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lyie\Desktop\Semestre 2\projet-suivi-support-client\dataset-Corrigé\"/>
    </mc:Choice>
  </mc:AlternateContent>
  <xr:revisionPtr revIDLastSave="0" documentId="13_ncr:1_{CB353EAF-0C75-4E9B-8247-30B67650E923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Agent" sheetId="12" r:id="rId1"/>
    <sheet name="Productivite" sheetId="8" r:id="rId2"/>
    <sheet name="Enquetes_Satisfaction" sheetId="7" r:id="rId3"/>
    <sheet name="Ticket" sheetId="11" r:id="rId4"/>
    <sheet name="Dim Date" sheetId="13" r:id="rId5"/>
    <sheet name="suivi_KPI" sheetId="10" r:id="rId6"/>
  </sheets>
  <definedNames>
    <definedName name="DonnéesExternes_3" localSheetId="4" hidden="1">'Dim Date'!$A$1:$B$13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0" l="1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2" i="10"/>
  <c r="U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20" i="10"/>
  <c r="U21" i="10"/>
  <c r="U22" i="10"/>
  <c r="U23" i="10"/>
  <c r="U24" i="10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38" i="10"/>
  <c r="U39" i="10"/>
  <c r="U40" i="10"/>
  <c r="U41" i="10"/>
  <c r="U2" i="10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2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2" i="10"/>
  <c r="L3" i="10"/>
  <c r="L4" i="10"/>
  <c r="L5" i="10"/>
  <c r="L6" i="10"/>
  <c r="M6" i="10" s="1"/>
  <c r="L7" i="10"/>
  <c r="L8" i="10"/>
  <c r="L9" i="10"/>
  <c r="L10" i="10"/>
  <c r="L11" i="10"/>
  <c r="L12" i="10"/>
  <c r="L13" i="10"/>
  <c r="L14" i="10"/>
  <c r="M14" i="10" s="1"/>
  <c r="L15" i="10"/>
  <c r="L16" i="10"/>
  <c r="L17" i="10"/>
  <c r="L18" i="10"/>
  <c r="L19" i="10"/>
  <c r="L20" i="10"/>
  <c r="L21" i="10"/>
  <c r="L22" i="10"/>
  <c r="L23" i="10"/>
  <c r="L24" i="10"/>
  <c r="L25" i="10"/>
  <c r="M25" i="10" s="1"/>
  <c r="L26" i="10"/>
  <c r="M26" i="10" s="1"/>
  <c r="L27" i="10"/>
  <c r="L28" i="10"/>
  <c r="M28" i="10" s="1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2" i="10"/>
  <c r="J4" i="10"/>
  <c r="J6" i="10"/>
  <c r="J16" i="10"/>
  <c r="J17" i="10"/>
  <c r="J30" i="10"/>
  <c r="J31" i="10"/>
  <c r="J41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2" i="10"/>
  <c r="H3" i="10"/>
  <c r="H4" i="10"/>
  <c r="H5" i="10"/>
  <c r="H6" i="10"/>
  <c r="S6" i="10" s="1"/>
  <c r="H7" i="10"/>
  <c r="S7" i="10" s="1"/>
  <c r="H8" i="10"/>
  <c r="S8" i="10" s="1"/>
  <c r="H9" i="10"/>
  <c r="S9" i="10" s="1"/>
  <c r="H10" i="10"/>
  <c r="H11" i="10"/>
  <c r="H12" i="10"/>
  <c r="H13" i="10"/>
  <c r="H14" i="10"/>
  <c r="S14" i="10" s="1"/>
  <c r="H15" i="10"/>
  <c r="S15" i="10" s="1"/>
  <c r="H16" i="10"/>
  <c r="S16" i="10" s="1"/>
  <c r="H17" i="10"/>
  <c r="S17" i="10" s="1"/>
  <c r="H18" i="10"/>
  <c r="H19" i="10"/>
  <c r="S19" i="10" s="1"/>
  <c r="H20" i="10"/>
  <c r="J20" i="10" s="1"/>
  <c r="H21" i="10"/>
  <c r="H22" i="10"/>
  <c r="S22" i="10" s="1"/>
  <c r="H23" i="10"/>
  <c r="S23" i="10" s="1"/>
  <c r="H24" i="10"/>
  <c r="S24" i="10" s="1"/>
  <c r="H25" i="10"/>
  <c r="S25" i="10" s="1"/>
  <c r="H26" i="10"/>
  <c r="H27" i="10"/>
  <c r="H28" i="10"/>
  <c r="J28" i="10" s="1"/>
  <c r="H29" i="10"/>
  <c r="H30" i="10"/>
  <c r="S30" i="10" s="1"/>
  <c r="H31" i="10"/>
  <c r="S31" i="10" s="1"/>
  <c r="H32" i="10"/>
  <c r="J32" i="10" s="1"/>
  <c r="H33" i="10"/>
  <c r="J33" i="10" s="1"/>
  <c r="H34" i="10"/>
  <c r="H35" i="10"/>
  <c r="H36" i="10"/>
  <c r="J36" i="10" s="1"/>
  <c r="H37" i="10"/>
  <c r="H38" i="10"/>
  <c r="S38" i="10" s="1"/>
  <c r="H39" i="10"/>
  <c r="S39" i="10" s="1"/>
  <c r="H40" i="10"/>
  <c r="S40" i="10" s="1"/>
  <c r="H41" i="10"/>
  <c r="S41" i="10" s="1"/>
  <c r="H2" i="10"/>
  <c r="S2" i="10" s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2" i="10"/>
  <c r="C3" i="10"/>
  <c r="R3" i="10" s="1"/>
  <c r="C4" i="10"/>
  <c r="M4" i="10" s="1"/>
  <c r="C5" i="10"/>
  <c r="M5" i="10" s="1"/>
  <c r="C6" i="10"/>
  <c r="R6" i="10" s="1"/>
  <c r="C7" i="10"/>
  <c r="I7" i="10" s="1"/>
  <c r="C8" i="10"/>
  <c r="M8" i="10" s="1"/>
  <c r="C9" i="10"/>
  <c r="I9" i="10" s="1"/>
  <c r="C10" i="10"/>
  <c r="C11" i="10"/>
  <c r="R11" i="10" s="1"/>
  <c r="C12" i="10"/>
  <c r="M12" i="10" s="1"/>
  <c r="C13" i="10"/>
  <c r="M13" i="10" s="1"/>
  <c r="C14" i="10"/>
  <c r="C15" i="10"/>
  <c r="C16" i="10"/>
  <c r="I16" i="10" s="1"/>
  <c r="C17" i="10"/>
  <c r="C18" i="10"/>
  <c r="R18" i="10" s="1"/>
  <c r="C19" i="10"/>
  <c r="R19" i="10" s="1"/>
  <c r="C20" i="10"/>
  <c r="M20" i="10" s="1"/>
  <c r="C21" i="10"/>
  <c r="M21" i="10" s="1"/>
  <c r="C22" i="10"/>
  <c r="R22" i="10" s="1"/>
  <c r="C23" i="10"/>
  <c r="C24" i="10"/>
  <c r="J24" i="10" s="1"/>
  <c r="C25" i="10"/>
  <c r="R25" i="10" s="1"/>
  <c r="C26" i="10"/>
  <c r="I26" i="10" s="1"/>
  <c r="C27" i="10"/>
  <c r="R27" i="10" s="1"/>
  <c r="C28" i="10"/>
  <c r="R28" i="10" s="1"/>
  <c r="C29" i="10"/>
  <c r="R29" i="10" s="1"/>
  <c r="C30" i="10"/>
  <c r="R30" i="10" s="1"/>
  <c r="C31" i="10"/>
  <c r="I31" i="10" s="1"/>
  <c r="C32" i="10"/>
  <c r="I32" i="10" s="1"/>
  <c r="C33" i="10"/>
  <c r="I33" i="10" s="1"/>
  <c r="C34" i="10"/>
  <c r="R34" i="10" s="1"/>
  <c r="C35" i="10"/>
  <c r="R35" i="10" s="1"/>
  <c r="C36" i="10"/>
  <c r="C37" i="10"/>
  <c r="R37" i="10" s="1"/>
  <c r="C38" i="10"/>
  <c r="R38" i="10" s="1"/>
  <c r="C39" i="10"/>
  <c r="R39" i="10" s="1"/>
  <c r="C40" i="10"/>
  <c r="R40" i="10" s="1"/>
  <c r="C41" i="10"/>
  <c r="R41" i="10" s="1"/>
  <c r="C2" i="10"/>
  <c r="R2" i="10" s="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2" i="10"/>
  <c r="D3" i="10"/>
  <c r="P3" i="10" s="1"/>
  <c r="D4" i="10"/>
  <c r="P4" i="10" s="1"/>
  <c r="D5" i="10"/>
  <c r="P5" i="10" s="1"/>
  <c r="D6" i="10"/>
  <c r="P6" i="10" s="1"/>
  <c r="D7" i="10"/>
  <c r="P7" i="10" s="1"/>
  <c r="D8" i="10"/>
  <c r="P8" i="10" s="1"/>
  <c r="D9" i="10"/>
  <c r="P9" i="10" s="1"/>
  <c r="D10" i="10"/>
  <c r="T10" i="10" s="1"/>
  <c r="D11" i="10"/>
  <c r="P11" i="10" s="1"/>
  <c r="D12" i="10"/>
  <c r="P12" i="10" s="1"/>
  <c r="D13" i="10"/>
  <c r="T13" i="10" s="1"/>
  <c r="D14" i="10"/>
  <c r="P14" i="10" s="1"/>
  <c r="D15" i="10"/>
  <c r="P15" i="10" s="1"/>
  <c r="D16" i="10"/>
  <c r="P16" i="10" s="1"/>
  <c r="D17" i="10"/>
  <c r="P17" i="10" s="1"/>
  <c r="D18" i="10"/>
  <c r="T18" i="10" s="1"/>
  <c r="D19" i="10"/>
  <c r="P19" i="10" s="1"/>
  <c r="D20" i="10"/>
  <c r="P20" i="10" s="1"/>
  <c r="D21" i="10"/>
  <c r="P21" i="10" s="1"/>
  <c r="D22" i="10"/>
  <c r="T22" i="10" s="1"/>
  <c r="D23" i="10"/>
  <c r="P23" i="10" s="1"/>
  <c r="D24" i="10"/>
  <c r="P24" i="10" s="1"/>
  <c r="D25" i="10"/>
  <c r="P25" i="10" s="1"/>
  <c r="D26" i="10"/>
  <c r="P26" i="10" s="1"/>
  <c r="D27" i="10"/>
  <c r="P27" i="10" s="1"/>
  <c r="D28" i="10"/>
  <c r="D29" i="10"/>
  <c r="T29" i="10" s="1"/>
  <c r="D30" i="10"/>
  <c r="P30" i="10" s="1"/>
  <c r="D31" i="10"/>
  <c r="T31" i="10" s="1"/>
  <c r="D32" i="10"/>
  <c r="P32" i="10" s="1"/>
  <c r="D33" i="10"/>
  <c r="P33" i="10" s="1"/>
  <c r="D34" i="10"/>
  <c r="P34" i="10" s="1"/>
  <c r="D35" i="10"/>
  <c r="P35" i="10" s="1"/>
  <c r="D36" i="10"/>
  <c r="P36" i="10" s="1"/>
  <c r="D37" i="10"/>
  <c r="T37" i="10" s="1"/>
  <c r="D38" i="10"/>
  <c r="P38" i="10" s="1"/>
  <c r="D39" i="10"/>
  <c r="T39" i="10" s="1"/>
  <c r="D40" i="10"/>
  <c r="T40" i="10" s="1"/>
  <c r="D41" i="10"/>
  <c r="P41" i="10" s="1"/>
  <c r="D2" i="10"/>
  <c r="T3" i="10"/>
  <c r="T4" i="10"/>
  <c r="T5" i="10"/>
  <c r="T6" i="10"/>
  <c r="T7" i="10"/>
  <c r="T8" i="10"/>
  <c r="T9" i="10"/>
  <c r="T19" i="10"/>
  <c r="T21" i="10"/>
  <c r="S3" i="10"/>
  <c r="S4" i="10"/>
  <c r="S5" i="10"/>
  <c r="S12" i="10"/>
  <c r="S13" i="10"/>
  <c r="S20" i="10"/>
  <c r="S21" i="10"/>
  <c r="S27" i="10"/>
  <c r="S28" i="10"/>
  <c r="S29" i="10"/>
  <c r="S32" i="10"/>
  <c r="S33" i="10"/>
  <c r="S36" i="10"/>
  <c r="S37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2" i="10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" i="7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N61" i="11"/>
  <c r="N62" i="11"/>
  <c r="N63" i="11"/>
  <c r="N64" i="11"/>
  <c r="N65" i="11"/>
  <c r="N66" i="11"/>
  <c r="N67" i="11"/>
  <c r="N68" i="11"/>
  <c r="N69" i="11"/>
  <c r="N70" i="11"/>
  <c r="N71" i="11"/>
  <c r="N72" i="11"/>
  <c r="N73" i="1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103" i="11"/>
  <c r="N104" i="11"/>
  <c r="N105" i="11"/>
  <c r="N106" i="11"/>
  <c r="N107" i="11"/>
  <c r="N108" i="11"/>
  <c r="N109" i="11"/>
  <c r="N110" i="11"/>
  <c r="N111" i="11"/>
  <c r="N112" i="11"/>
  <c r="N113" i="11"/>
  <c r="N114" i="11"/>
  <c r="N115" i="11"/>
  <c r="N116" i="11"/>
  <c r="N117" i="11"/>
  <c r="N118" i="11"/>
  <c r="N119" i="11"/>
  <c r="N120" i="11"/>
  <c r="N121" i="11"/>
  <c r="N122" i="11"/>
  <c r="N123" i="11"/>
  <c r="N124" i="11"/>
  <c r="N125" i="11"/>
  <c r="N126" i="11"/>
  <c r="N127" i="11"/>
  <c r="N128" i="11"/>
  <c r="N129" i="11"/>
  <c r="N130" i="11"/>
  <c r="N131" i="11"/>
  <c r="N132" i="11"/>
  <c r="N133" i="11"/>
  <c r="N134" i="11"/>
  <c r="N135" i="11"/>
  <c r="N136" i="11"/>
  <c r="N137" i="11"/>
  <c r="N138" i="11"/>
  <c r="N139" i="11"/>
  <c r="N140" i="11"/>
  <c r="N141" i="11"/>
  <c r="N142" i="11"/>
  <c r="N143" i="11"/>
  <c r="N144" i="11"/>
  <c r="N145" i="11"/>
  <c r="N146" i="11"/>
  <c r="N147" i="11"/>
  <c r="N148" i="11"/>
  <c r="N149" i="11"/>
  <c r="N150" i="11"/>
  <c r="N151" i="11"/>
  <c r="N152" i="11"/>
  <c r="N153" i="11"/>
  <c r="N154" i="11"/>
  <c r="N155" i="11"/>
  <c r="N156" i="11"/>
  <c r="N157" i="11"/>
  <c r="N158" i="11"/>
  <c r="N159" i="11"/>
  <c r="N160" i="11"/>
  <c r="N161" i="11"/>
  <c r="N162" i="11"/>
  <c r="N163" i="11"/>
  <c r="N164" i="11"/>
  <c r="N165" i="11"/>
  <c r="N166" i="11"/>
  <c r="N167" i="11"/>
  <c r="N168" i="11"/>
  <c r="N169" i="11"/>
  <c r="N170" i="11"/>
  <c r="N171" i="11"/>
  <c r="N172" i="11"/>
  <c r="N173" i="11"/>
  <c r="N174" i="11"/>
  <c r="N175" i="11"/>
  <c r="N176" i="11"/>
  <c r="N177" i="11"/>
  <c r="N178" i="11"/>
  <c r="N179" i="11"/>
  <c r="N180" i="11"/>
  <c r="N181" i="11"/>
  <c r="N182" i="11"/>
  <c r="N183" i="11"/>
  <c r="N184" i="11"/>
  <c r="N185" i="11"/>
  <c r="N186" i="11"/>
  <c r="N187" i="11"/>
  <c r="N188" i="11"/>
  <c r="N189" i="11"/>
  <c r="N190" i="11"/>
  <c r="N191" i="11"/>
  <c r="N192" i="11"/>
  <c r="N193" i="11"/>
  <c r="N194" i="11"/>
  <c r="N195" i="11"/>
  <c r="N196" i="11"/>
  <c r="N197" i="11"/>
  <c r="N198" i="11"/>
  <c r="N199" i="11"/>
  <c r="N200" i="11"/>
  <c r="N201" i="11"/>
  <c r="N202" i="11"/>
  <c r="N203" i="11"/>
  <c r="N204" i="11"/>
  <c r="N205" i="11"/>
  <c r="N206" i="11"/>
  <c r="N207" i="11"/>
  <c r="N208" i="11"/>
  <c r="N209" i="11"/>
  <c r="N210" i="11"/>
  <c r="N211" i="11"/>
  <c r="N212" i="11"/>
  <c r="N213" i="11"/>
  <c r="N214" i="11"/>
  <c r="N215" i="11"/>
  <c r="N216" i="11"/>
  <c r="N217" i="11"/>
  <c r="N218" i="11"/>
  <c r="N219" i="11"/>
  <c r="N220" i="11"/>
  <c r="N221" i="11"/>
  <c r="N222" i="11"/>
  <c r="N223" i="11"/>
  <c r="N224" i="11"/>
  <c r="N225" i="11"/>
  <c r="N226" i="11"/>
  <c r="N227" i="11"/>
  <c r="N228" i="11"/>
  <c r="N229" i="11"/>
  <c r="N230" i="11"/>
  <c r="N231" i="11"/>
  <c r="N232" i="11"/>
  <c r="N233" i="11"/>
  <c r="N234" i="11"/>
  <c r="N235" i="11"/>
  <c r="N236" i="11"/>
  <c r="N237" i="11"/>
  <c r="N238" i="11"/>
  <c r="N239" i="11"/>
  <c r="N240" i="11"/>
  <c r="N241" i="11"/>
  <c r="N242" i="11"/>
  <c r="N243" i="11"/>
  <c r="N244" i="11"/>
  <c r="N245" i="11"/>
  <c r="N246" i="11"/>
  <c r="N247" i="11"/>
  <c r="N248" i="11"/>
  <c r="N249" i="11"/>
  <c r="N250" i="11"/>
  <c r="N251" i="11"/>
  <c r="N252" i="11"/>
  <c r="N253" i="11"/>
  <c r="N254" i="11"/>
  <c r="N255" i="11"/>
  <c r="N256" i="11"/>
  <c r="N257" i="11"/>
  <c r="N258" i="11"/>
  <c r="N259" i="11"/>
  <c r="N260" i="11"/>
  <c r="N261" i="11"/>
  <c r="N262" i="11"/>
  <c r="N263" i="11"/>
  <c r="N264" i="11"/>
  <c r="N265" i="11"/>
  <c r="N266" i="11"/>
  <c r="N267" i="11"/>
  <c r="N268" i="11"/>
  <c r="N269" i="11"/>
  <c r="N270" i="11"/>
  <c r="N271" i="11"/>
  <c r="N272" i="11"/>
  <c r="N273" i="11"/>
  <c r="N274" i="11"/>
  <c r="N275" i="11"/>
  <c r="N276" i="11"/>
  <c r="N277" i="11"/>
  <c r="N278" i="11"/>
  <c r="N279" i="11"/>
  <c r="N280" i="11"/>
  <c r="N281" i="11"/>
  <c r="N282" i="11"/>
  <c r="N283" i="11"/>
  <c r="N284" i="11"/>
  <c r="N285" i="11"/>
  <c r="N286" i="11"/>
  <c r="N287" i="11"/>
  <c r="N288" i="11"/>
  <c r="N289" i="11"/>
  <c r="N290" i="11"/>
  <c r="N291" i="11"/>
  <c r="N292" i="11"/>
  <c r="N293" i="11"/>
  <c r="N294" i="11"/>
  <c r="N295" i="11"/>
  <c r="N296" i="11"/>
  <c r="N297" i="11"/>
  <c r="N298" i="11"/>
  <c r="N299" i="11"/>
  <c r="N300" i="11"/>
  <c r="N301" i="11"/>
  <c r="N302" i="11"/>
  <c r="N303" i="11"/>
  <c r="N304" i="11"/>
  <c r="N305" i="11"/>
  <c r="N306" i="11"/>
  <c r="N307" i="11"/>
  <c r="N308" i="11"/>
  <c r="N309" i="11"/>
  <c r="N310" i="11"/>
  <c r="N311" i="11"/>
  <c r="N312" i="11"/>
  <c r="N313" i="11"/>
  <c r="N314" i="11"/>
  <c r="N315" i="11"/>
  <c r="N316" i="11"/>
  <c r="N317" i="11"/>
  <c r="N318" i="11"/>
  <c r="N319" i="11"/>
  <c r="N320" i="11"/>
  <c r="N321" i="11"/>
  <c r="N322" i="11"/>
  <c r="N323" i="11"/>
  <c r="N324" i="11"/>
  <c r="N325" i="11"/>
  <c r="N326" i="11"/>
  <c r="N327" i="11"/>
  <c r="N328" i="11"/>
  <c r="N329" i="11"/>
  <c r="N330" i="11"/>
  <c r="N331" i="11"/>
  <c r="N332" i="11"/>
  <c r="N333" i="11"/>
  <c r="N334" i="11"/>
  <c r="N335" i="11"/>
  <c r="N336" i="11"/>
  <c r="N337" i="11"/>
  <c r="N338" i="11"/>
  <c r="N339" i="11"/>
  <c r="N340" i="11"/>
  <c r="N341" i="11"/>
  <c r="N342" i="11"/>
  <c r="N343" i="11"/>
  <c r="N344" i="11"/>
  <c r="N345" i="11"/>
  <c r="N346" i="11"/>
  <c r="N347" i="11"/>
  <c r="N348" i="11"/>
  <c r="N349" i="11"/>
  <c r="N350" i="11"/>
  <c r="N351" i="11"/>
  <c r="N352" i="11"/>
  <c r="N353" i="11"/>
  <c r="N354" i="11"/>
  <c r="N355" i="11"/>
  <c r="N356" i="11"/>
  <c r="N357" i="11"/>
  <c r="N358" i="11"/>
  <c r="N359" i="11"/>
  <c r="N360" i="11"/>
  <c r="N361" i="11"/>
  <c r="N362" i="11"/>
  <c r="N363" i="11"/>
  <c r="N364" i="11"/>
  <c r="N365" i="11"/>
  <c r="N366" i="11"/>
  <c r="N367" i="11"/>
  <c r="N368" i="11"/>
  <c r="N369" i="11"/>
  <c r="N370" i="11"/>
  <c r="N371" i="11"/>
  <c r="N372" i="11"/>
  <c r="N373" i="11"/>
  <c r="N374" i="11"/>
  <c r="N375" i="11"/>
  <c r="N376" i="11"/>
  <c r="N377" i="11"/>
  <c r="N378" i="11"/>
  <c r="N379" i="11"/>
  <c r="N380" i="11"/>
  <c r="N381" i="11"/>
  <c r="N382" i="11"/>
  <c r="N383" i="11"/>
  <c r="N384" i="11"/>
  <c r="N385" i="11"/>
  <c r="N386" i="11"/>
  <c r="N387" i="11"/>
  <c r="N388" i="11"/>
  <c r="N389" i="11"/>
  <c r="N390" i="11"/>
  <c r="N391" i="11"/>
  <c r="N392" i="11"/>
  <c r="N393" i="11"/>
  <c r="N394" i="11"/>
  <c r="N395" i="11"/>
  <c r="N396" i="11"/>
  <c r="N397" i="11"/>
  <c r="N398" i="11"/>
  <c r="N399" i="11"/>
  <c r="N400" i="11"/>
  <c r="N401" i="11"/>
  <c r="N402" i="11"/>
  <c r="N403" i="11"/>
  <c r="N404" i="11"/>
  <c r="N405" i="11"/>
  <c r="N406" i="11"/>
  <c r="N407" i="11"/>
  <c r="N408" i="11"/>
  <c r="N409" i="11"/>
  <c r="N410" i="11"/>
  <c r="N411" i="11"/>
  <c r="N412" i="11"/>
  <c r="N413" i="11"/>
  <c r="N414" i="11"/>
  <c r="N415" i="11"/>
  <c r="N416" i="11"/>
  <c r="N417" i="11"/>
  <c r="N418" i="11"/>
  <c r="N419" i="11"/>
  <c r="N420" i="11"/>
  <c r="N421" i="11"/>
  <c r="N422" i="11"/>
  <c r="N423" i="11"/>
  <c r="N424" i="11"/>
  <c r="N425" i="11"/>
  <c r="N426" i="11"/>
  <c r="N427" i="11"/>
  <c r="N428" i="11"/>
  <c r="N429" i="11"/>
  <c r="N430" i="11"/>
  <c r="N431" i="11"/>
  <c r="N432" i="11"/>
  <c r="N433" i="11"/>
  <c r="N434" i="11"/>
  <c r="N435" i="11"/>
  <c r="N436" i="11"/>
  <c r="N437" i="11"/>
  <c r="N438" i="11"/>
  <c r="N439" i="11"/>
  <c r="N440" i="11"/>
  <c r="N441" i="11"/>
  <c r="N442" i="11"/>
  <c r="N443" i="11"/>
  <c r="N444" i="11"/>
  <c r="N445" i="11"/>
  <c r="N446" i="11"/>
  <c r="N447" i="11"/>
  <c r="N448" i="11"/>
  <c r="N449" i="11"/>
  <c r="N450" i="11"/>
  <c r="N451" i="11"/>
  <c r="N452" i="11"/>
  <c r="N453" i="11"/>
  <c r="N454" i="11"/>
  <c r="N455" i="11"/>
  <c r="N456" i="11"/>
  <c r="N457" i="11"/>
  <c r="N458" i="11"/>
  <c r="N459" i="11"/>
  <c r="N460" i="11"/>
  <c r="N461" i="11"/>
  <c r="N462" i="11"/>
  <c r="N463" i="11"/>
  <c r="N464" i="11"/>
  <c r="N465" i="11"/>
  <c r="N466" i="11"/>
  <c r="N467" i="11"/>
  <c r="N468" i="11"/>
  <c r="N469" i="11"/>
  <c r="N470" i="11"/>
  <c r="N471" i="11"/>
  <c r="N472" i="11"/>
  <c r="N473" i="11"/>
  <c r="N474" i="11"/>
  <c r="N475" i="11"/>
  <c r="N476" i="11"/>
  <c r="N477" i="11"/>
  <c r="N478" i="11"/>
  <c r="N479" i="11"/>
  <c r="N480" i="11"/>
  <c r="N481" i="11"/>
  <c r="N482" i="11"/>
  <c r="N483" i="11"/>
  <c r="N484" i="11"/>
  <c r="N485" i="11"/>
  <c r="N486" i="11"/>
  <c r="N487" i="11"/>
  <c r="N488" i="11"/>
  <c r="N489" i="11"/>
  <c r="N490" i="11"/>
  <c r="N491" i="11"/>
  <c r="N492" i="11"/>
  <c r="N493" i="11"/>
  <c r="N494" i="11"/>
  <c r="N495" i="11"/>
  <c r="N496" i="11"/>
  <c r="N497" i="11"/>
  <c r="N498" i="11"/>
  <c r="N499" i="11"/>
  <c r="N500" i="11"/>
  <c r="N501" i="11"/>
  <c r="N502" i="11"/>
  <c r="N503" i="11"/>
  <c r="N504" i="11"/>
  <c r="N505" i="11"/>
  <c r="N506" i="11"/>
  <c r="N507" i="11"/>
  <c r="N508" i="11"/>
  <c r="N509" i="11"/>
  <c r="N510" i="11"/>
  <c r="N511" i="11"/>
  <c r="N512" i="11"/>
  <c r="N513" i="11"/>
  <c r="N514" i="11"/>
  <c r="N515" i="11"/>
  <c r="N516" i="11"/>
  <c r="N517" i="11"/>
  <c r="N518" i="11"/>
  <c r="N519" i="11"/>
  <c r="N520" i="11"/>
  <c r="N521" i="11"/>
  <c r="N522" i="11"/>
  <c r="N523" i="11"/>
  <c r="N524" i="11"/>
  <c r="N525" i="11"/>
  <c r="N526" i="11"/>
  <c r="N527" i="11"/>
  <c r="N528" i="11"/>
  <c r="N529" i="11"/>
  <c r="N530" i="11"/>
  <c r="N531" i="11"/>
  <c r="N532" i="11"/>
  <c r="N533" i="11"/>
  <c r="N534" i="11"/>
  <c r="N535" i="11"/>
  <c r="N536" i="11"/>
  <c r="N537" i="11"/>
  <c r="N538" i="11"/>
  <c r="N539" i="11"/>
  <c r="N540" i="11"/>
  <c r="N541" i="11"/>
  <c r="N542" i="11"/>
  <c r="N543" i="11"/>
  <c r="N544" i="11"/>
  <c r="N545" i="11"/>
  <c r="N546" i="11"/>
  <c r="N547" i="11"/>
  <c r="N548" i="11"/>
  <c r="N549" i="11"/>
  <c r="N550" i="11"/>
  <c r="N551" i="11"/>
  <c r="N552" i="11"/>
  <c r="N553" i="11"/>
  <c r="N554" i="11"/>
  <c r="N555" i="11"/>
  <c r="N556" i="11"/>
  <c r="N557" i="11"/>
  <c r="N558" i="11"/>
  <c r="N559" i="11"/>
  <c r="N560" i="11"/>
  <c r="N561" i="11"/>
  <c r="N562" i="11"/>
  <c r="N563" i="11"/>
  <c r="N564" i="11"/>
  <c r="N565" i="11"/>
  <c r="N566" i="11"/>
  <c r="N567" i="11"/>
  <c r="N568" i="11"/>
  <c r="N569" i="11"/>
  <c r="N570" i="11"/>
  <c r="N571" i="11"/>
  <c r="N572" i="11"/>
  <c r="N573" i="11"/>
  <c r="N574" i="11"/>
  <c r="N575" i="11"/>
  <c r="N576" i="11"/>
  <c r="N577" i="11"/>
  <c r="N578" i="11"/>
  <c r="N579" i="11"/>
  <c r="N580" i="11"/>
  <c r="N581" i="11"/>
  <c r="N582" i="11"/>
  <c r="N583" i="11"/>
  <c r="N584" i="11"/>
  <c r="N585" i="11"/>
  <c r="N586" i="11"/>
  <c r="N587" i="11"/>
  <c r="N588" i="11"/>
  <c r="N589" i="11"/>
  <c r="N590" i="11"/>
  <c r="N591" i="11"/>
  <c r="N592" i="11"/>
  <c r="N593" i="11"/>
  <c r="N594" i="11"/>
  <c r="N595" i="11"/>
  <c r="N596" i="11"/>
  <c r="N597" i="11"/>
  <c r="N598" i="11"/>
  <c r="N599" i="11"/>
  <c r="N600" i="11"/>
  <c r="N601" i="11"/>
  <c r="N602" i="11"/>
  <c r="N603" i="11"/>
  <c r="N604" i="11"/>
  <c r="N605" i="11"/>
  <c r="N606" i="11"/>
  <c r="N607" i="11"/>
  <c r="N608" i="11"/>
  <c r="N609" i="11"/>
  <c r="N610" i="11"/>
  <c r="N611" i="11"/>
  <c r="N612" i="11"/>
  <c r="N613" i="11"/>
  <c r="N614" i="11"/>
  <c r="N615" i="11"/>
  <c r="N616" i="11"/>
  <c r="N617" i="11"/>
  <c r="N618" i="11"/>
  <c r="N619" i="11"/>
  <c r="N620" i="11"/>
  <c r="N621" i="11"/>
  <c r="N622" i="11"/>
  <c r="N623" i="11"/>
  <c r="N624" i="11"/>
  <c r="N625" i="11"/>
  <c r="N626" i="11"/>
  <c r="N627" i="11"/>
  <c r="N628" i="11"/>
  <c r="N629" i="11"/>
  <c r="N630" i="11"/>
  <c r="N631" i="11"/>
  <c r="N632" i="11"/>
  <c r="N633" i="11"/>
  <c r="N634" i="11"/>
  <c r="N635" i="11"/>
  <c r="N636" i="11"/>
  <c r="N637" i="11"/>
  <c r="N638" i="11"/>
  <c r="N639" i="11"/>
  <c r="N640" i="11"/>
  <c r="N641" i="11"/>
  <c r="N642" i="11"/>
  <c r="N643" i="11"/>
  <c r="N644" i="11"/>
  <c r="N645" i="11"/>
  <c r="N646" i="11"/>
  <c r="N647" i="11"/>
  <c r="N648" i="11"/>
  <c r="N649" i="11"/>
  <c r="N650" i="11"/>
  <c r="N651" i="11"/>
  <c r="N652" i="11"/>
  <c r="N653" i="11"/>
  <c r="N654" i="11"/>
  <c r="N655" i="11"/>
  <c r="N656" i="11"/>
  <c r="N657" i="11"/>
  <c r="N658" i="11"/>
  <c r="N659" i="11"/>
  <c r="N660" i="11"/>
  <c r="N661" i="11"/>
  <c r="N662" i="11"/>
  <c r="N663" i="11"/>
  <c r="N664" i="11"/>
  <c r="N665" i="11"/>
  <c r="N666" i="11"/>
  <c r="N667" i="11"/>
  <c r="N668" i="11"/>
  <c r="N669" i="11"/>
  <c r="N670" i="11"/>
  <c r="N671" i="11"/>
  <c r="N672" i="11"/>
  <c r="N673" i="11"/>
  <c r="N674" i="11"/>
  <c r="N675" i="11"/>
  <c r="N676" i="11"/>
  <c r="N677" i="11"/>
  <c r="N678" i="11"/>
  <c r="N679" i="11"/>
  <c r="N680" i="11"/>
  <c r="N681" i="11"/>
  <c r="N682" i="11"/>
  <c r="N683" i="11"/>
  <c r="N684" i="11"/>
  <c r="N685" i="11"/>
  <c r="N686" i="11"/>
  <c r="N687" i="11"/>
  <c r="N688" i="11"/>
  <c r="N689" i="11"/>
  <c r="N690" i="11"/>
  <c r="N691" i="11"/>
  <c r="N692" i="11"/>
  <c r="N693" i="11"/>
  <c r="N694" i="11"/>
  <c r="N695" i="11"/>
  <c r="N696" i="11"/>
  <c r="N697" i="11"/>
  <c r="N698" i="11"/>
  <c r="N699" i="11"/>
  <c r="N700" i="11"/>
  <c r="N701" i="11"/>
  <c r="N702" i="11"/>
  <c r="N703" i="11"/>
  <c r="N704" i="11"/>
  <c r="N705" i="11"/>
  <c r="N706" i="11"/>
  <c r="N707" i="11"/>
  <c r="N708" i="11"/>
  <c r="N709" i="11"/>
  <c r="N710" i="11"/>
  <c r="N711" i="11"/>
  <c r="N712" i="11"/>
  <c r="N713" i="11"/>
  <c r="N714" i="11"/>
  <c r="N715" i="11"/>
  <c r="N716" i="11"/>
  <c r="N717" i="11"/>
  <c r="N718" i="11"/>
  <c r="N719" i="11"/>
  <c r="N720" i="11"/>
  <c r="N721" i="11"/>
  <c r="N722" i="11"/>
  <c r="N723" i="11"/>
  <c r="N724" i="11"/>
  <c r="N725" i="11"/>
  <c r="N726" i="11"/>
  <c r="N727" i="11"/>
  <c r="N728" i="11"/>
  <c r="N729" i="11"/>
  <c r="N730" i="11"/>
  <c r="N731" i="11"/>
  <c r="N732" i="11"/>
  <c r="N733" i="11"/>
  <c r="N734" i="11"/>
  <c r="N735" i="11"/>
  <c r="N736" i="11"/>
  <c r="N737" i="11"/>
  <c r="N738" i="11"/>
  <c r="N739" i="11"/>
  <c r="N740" i="11"/>
  <c r="N741" i="11"/>
  <c r="N742" i="11"/>
  <c r="N743" i="11"/>
  <c r="N744" i="11"/>
  <c r="N745" i="11"/>
  <c r="N746" i="11"/>
  <c r="N747" i="11"/>
  <c r="N748" i="11"/>
  <c r="N749" i="11"/>
  <c r="N750" i="11"/>
  <c r="N751" i="11"/>
  <c r="N752" i="11"/>
  <c r="N753" i="11"/>
  <c r="N754" i="11"/>
  <c r="N755" i="11"/>
  <c r="N756" i="11"/>
  <c r="N757" i="11"/>
  <c r="N758" i="11"/>
  <c r="N759" i="11"/>
  <c r="N760" i="11"/>
  <c r="N761" i="11"/>
  <c r="N762" i="11"/>
  <c r="N763" i="11"/>
  <c r="N764" i="11"/>
  <c r="N765" i="11"/>
  <c r="N766" i="11"/>
  <c r="N767" i="11"/>
  <c r="N768" i="11"/>
  <c r="N769" i="11"/>
  <c r="N770" i="11"/>
  <c r="N771" i="11"/>
  <c r="N772" i="11"/>
  <c r="N773" i="11"/>
  <c r="N774" i="11"/>
  <c r="N775" i="11"/>
  <c r="N776" i="11"/>
  <c r="N777" i="11"/>
  <c r="N778" i="11"/>
  <c r="N779" i="11"/>
  <c r="N780" i="11"/>
  <c r="N781" i="11"/>
  <c r="N782" i="11"/>
  <c r="N783" i="11"/>
  <c r="N784" i="11"/>
  <c r="N785" i="11"/>
  <c r="N786" i="11"/>
  <c r="N787" i="11"/>
  <c r="N788" i="11"/>
  <c r="N789" i="11"/>
  <c r="N790" i="11"/>
  <c r="N791" i="11"/>
  <c r="N792" i="11"/>
  <c r="N793" i="11"/>
  <c r="N794" i="11"/>
  <c r="N795" i="11"/>
  <c r="N796" i="11"/>
  <c r="N797" i="11"/>
  <c r="N798" i="11"/>
  <c r="N799" i="11"/>
  <c r="N800" i="11"/>
  <c r="N801" i="11"/>
  <c r="N802" i="11"/>
  <c r="N803" i="11"/>
  <c r="N804" i="11"/>
  <c r="N805" i="11"/>
  <c r="N806" i="11"/>
  <c r="N807" i="11"/>
  <c r="N808" i="11"/>
  <c r="N809" i="11"/>
  <c r="N810" i="11"/>
  <c r="N811" i="11"/>
  <c r="N812" i="11"/>
  <c r="N813" i="11"/>
  <c r="N814" i="11"/>
  <c r="N815" i="11"/>
  <c r="N816" i="11"/>
  <c r="N817" i="11"/>
  <c r="N818" i="11"/>
  <c r="N819" i="11"/>
  <c r="N820" i="11"/>
  <c r="N821" i="11"/>
  <c r="N822" i="11"/>
  <c r="N823" i="11"/>
  <c r="N824" i="11"/>
  <c r="N825" i="11"/>
  <c r="N826" i="11"/>
  <c r="N827" i="11"/>
  <c r="N828" i="11"/>
  <c r="N829" i="11"/>
  <c r="N830" i="11"/>
  <c r="N831" i="11"/>
  <c r="N832" i="11"/>
  <c r="N833" i="11"/>
  <c r="N834" i="11"/>
  <c r="N835" i="11"/>
  <c r="N836" i="11"/>
  <c r="N837" i="11"/>
  <c r="N838" i="11"/>
  <c r="N839" i="11"/>
  <c r="N840" i="11"/>
  <c r="N841" i="11"/>
  <c r="N842" i="11"/>
  <c r="N843" i="11"/>
  <c r="N844" i="11"/>
  <c r="N845" i="11"/>
  <c r="N846" i="11"/>
  <c r="N847" i="11"/>
  <c r="N848" i="11"/>
  <c r="N849" i="11"/>
  <c r="N850" i="11"/>
  <c r="N851" i="11"/>
  <c r="N852" i="11"/>
  <c r="N853" i="11"/>
  <c r="N854" i="11"/>
  <c r="N855" i="11"/>
  <c r="N856" i="11"/>
  <c r="N857" i="11"/>
  <c r="N858" i="11"/>
  <c r="N859" i="11"/>
  <c r="N860" i="11"/>
  <c r="N861" i="11"/>
  <c r="N862" i="11"/>
  <c r="N863" i="11"/>
  <c r="N864" i="11"/>
  <c r="N865" i="11"/>
  <c r="N866" i="11"/>
  <c r="N867" i="11"/>
  <c r="N868" i="11"/>
  <c r="N869" i="11"/>
  <c r="N870" i="11"/>
  <c r="N871" i="11"/>
  <c r="N872" i="11"/>
  <c r="N873" i="11"/>
  <c r="N874" i="11"/>
  <c r="N875" i="11"/>
  <c r="N876" i="11"/>
  <c r="N877" i="11"/>
  <c r="N878" i="11"/>
  <c r="N879" i="11"/>
  <c r="N880" i="11"/>
  <c r="N881" i="11"/>
  <c r="N882" i="11"/>
  <c r="N883" i="11"/>
  <c r="N884" i="11"/>
  <c r="N885" i="11"/>
  <c r="N886" i="11"/>
  <c r="N887" i="11"/>
  <c r="N888" i="11"/>
  <c r="N889" i="11"/>
  <c r="N890" i="11"/>
  <c r="N891" i="11"/>
  <c r="N892" i="11"/>
  <c r="N893" i="11"/>
  <c r="N894" i="11"/>
  <c r="N895" i="11"/>
  <c r="N896" i="11"/>
  <c r="N897" i="11"/>
  <c r="N898" i="11"/>
  <c r="N899" i="11"/>
  <c r="N900" i="11"/>
  <c r="N901" i="11"/>
  <c r="N902" i="11"/>
  <c r="N903" i="11"/>
  <c r="N904" i="11"/>
  <c r="N905" i="11"/>
  <c r="N906" i="11"/>
  <c r="N907" i="11"/>
  <c r="N908" i="11"/>
  <c r="N909" i="11"/>
  <c r="N910" i="11"/>
  <c r="N911" i="11"/>
  <c r="N912" i="11"/>
  <c r="N913" i="11"/>
  <c r="N914" i="11"/>
  <c r="N915" i="11"/>
  <c r="N916" i="11"/>
  <c r="N917" i="11"/>
  <c r="N918" i="11"/>
  <c r="N919" i="11"/>
  <c r="N920" i="11"/>
  <c r="N921" i="11"/>
  <c r="N922" i="11"/>
  <c r="N923" i="11"/>
  <c r="N924" i="11"/>
  <c r="N925" i="11"/>
  <c r="N926" i="11"/>
  <c r="N927" i="11"/>
  <c r="N928" i="11"/>
  <c r="N929" i="11"/>
  <c r="N930" i="11"/>
  <c r="N931" i="11"/>
  <c r="N932" i="11"/>
  <c r="N933" i="11"/>
  <c r="N934" i="11"/>
  <c r="N935" i="11"/>
  <c r="N936" i="11"/>
  <c r="N937" i="11"/>
  <c r="N938" i="11"/>
  <c r="N939" i="11"/>
  <c r="N940" i="11"/>
  <c r="N941" i="11"/>
  <c r="N942" i="11"/>
  <c r="N943" i="11"/>
  <c r="N944" i="11"/>
  <c r="N945" i="11"/>
  <c r="N946" i="11"/>
  <c r="N947" i="11"/>
  <c r="N948" i="11"/>
  <c r="N949" i="11"/>
  <c r="N950" i="11"/>
  <c r="N951" i="11"/>
  <c r="N952" i="11"/>
  <c r="N953" i="11"/>
  <c r="N954" i="11"/>
  <c r="N955" i="11"/>
  <c r="N956" i="11"/>
  <c r="N957" i="11"/>
  <c r="N958" i="11"/>
  <c r="N959" i="11"/>
  <c r="N960" i="11"/>
  <c r="N961" i="11"/>
  <c r="N962" i="11"/>
  <c r="N963" i="11"/>
  <c r="N964" i="11"/>
  <c r="N965" i="11"/>
  <c r="N966" i="11"/>
  <c r="N967" i="11"/>
  <c r="N968" i="11"/>
  <c r="N969" i="11"/>
  <c r="N970" i="11"/>
  <c r="N971" i="11"/>
  <c r="N972" i="11"/>
  <c r="N973" i="11"/>
  <c r="N974" i="11"/>
  <c r="N975" i="11"/>
  <c r="N976" i="11"/>
  <c r="N977" i="11"/>
  <c r="N978" i="11"/>
  <c r="N979" i="11"/>
  <c r="N980" i="11"/>
  <c r="N981" i="11"/>
  <c r="N982" i="11"/>
  <c r="N983" i="11"/>
  <c r="N984" i="11"/>
  <c r="N985" i="11"/>
  <c r="N986" i="11"/>
  <c r="N987" i="11"/>
  <c r="N988" i="11"/>
  <c r="N989" i="11"/>
  <c r="N990" i="11"/>
  <c r="N991" i="11"/>
  <c r="N992" i="11"/>
  <c r="N993" i="11"/>
  <c r="N994" i="11"/>
  <c r="N995" i="11"/>
  <c r="N996" i="11"/>
  <c r="N997" i="11"/>
  <c r="N998" i="11"/>
  <c r="N999" i="11"/>
  <c r="N1000" i="11"/>
  <c r="N1001" i="11"/>
  <c r="N1002" i="11"/>
  <c r="N1003" i="11"/>
  <c r="N1004" i="11"/>
  <c r="N1005" i="11"/>
  <c r="N1006" i="11"/>
  <c r="N1007" i="11"/>
  <c r="N1008" i="11"/>
  <c r="N1009" i="11"/>
  <c r="N1010" i="11"/>
  <c r="N1011" i="11"/>
  <c r="N1012" i="11"/>
  <c r="N1013" i="11"/>
  <c r="N1014" i="11"/>
  <c r="N1015" i="11"/>
  <c r="N1016" i="11"/>
  <c r="N1017" i="11"/>
  <c r="N1018" i="11"/>
  <c r="N1019" i="11"/>
  <c r="N1020" i="11"/>
  <c r="N1021" i="11"/>
  <c r="N1022" i="11"/>
  <c r="N1023" i="11"/>
  <c r="N1024" i="11"/>
  <c r="N1025" i="11"/>
  <c r="N1026" i="11"/>
  <c r="N1027" i="11"/>
  <c r="N1028" i="11"/>
  <c r="N1029" i="11"/>
  <c r="N1030" i="11"/>
  <c r="N1031" i="11"/>
  <c r="N1032" i="11"/>
  <c r="N1033" i="11"/>
  <c r="N1034" i="11"/>
  <c r="N1035" i="11"/>
  <c r="N1036" i="11"/>
  <c r="N1037" i="11"/>
  <c r="N1038" i="11"/>
  <c r="N1039" i="11"/>
  <c r="N1040" i="11"/>
  <c r="N1041" i="11"/>
  <c r="N1042" i="11"/>
  <c r="N1043" i="11"/>
  <c r="N1044" i="11"/>
  <c r="N1045" i="11"/>
  <c r="N1046" i="11"/>
  <c r="N1047" i="11"/>
  <c r="N1048" i="11"/>
  <c r="N1049" i="11"/>
  <c r="N1050" i="11"/>
  <c r="N1051" i="11"/>
  <c r="N1052" i="11"/>
  <c r="N1053" i="11"/>
  <c r="N1054" i="11"/>
  <c r="N1055" i="11"/>
  <c r="N1056" i="11"/>
  <c r="N1057" i="11"/>
  <c r="N1058" i="11"/>
  <c r="N1059" i="11"/>
  <c r="N1060" i="11"/>
  <c r="N1061" i="11"/>
  <c r="N1062" i="11"/>
  <c r="N1063" i="11"/>
  <c r="N1064" i="11"/>
  <c r="N1065" i="11"/>
  <c r="N1066" i="11"/>
  <c r="N1067" i="11"/>
  <c r="N1068" i="11"/>
  <c r="N1069" i="11"/>
  <c r="N1070" i="11"/>
  <c r="N1071" i="11"/>
  <c r="N1072" i="11"/>
  <c r="N1073" i="11"/>
  <c r="N1074" i="11"/>
  <c r="N1075" i="11"/>
  <c r="N1076" i="11"/>
  <c r="N1077" i="11"/>
  <c r="N1078" i="11"/>
  <c r="N1079" i="11"/>
  <c r="N1080" i="11"/>
  <c r="N1081" i="11"/>
  <c r="N1082" i="11"/>
  <c r="N1083" i="11"/>
  <c r="N1084" i="11"/>
  <c r="N1085" i="11"/>
  <c r="N1086" i="11"/>
  <c r="N1087" i="11"/>
  <c r="N1088" i="11"/>
  <c r="N1089" i="11"/>
  <c r="N1090" i="11"/>
  <c r="N1091" i="11"/>
  <c r="N1092" i="11"/>
  <c r="N1093" i="11"/>
  <c r="N1094" i="11"/>
  <c r="N1095" i="11"/>
  <c r="N1096" i="11"/>
  <c r="N1097" i="11"/>
  <c r="N1098" i="11"/>
  <c r="N1099" i="11"/>
  <c r="N1100" i="11"/>
  <c r="N1101" i="11"/>
  <c r="N1102" i="11"/>
  <c r="N1103" i="11"/>
  <c r="N1104" i="11"/>
  <c r="N1105" i="11"/>
  <c r="N1106" i="11"/>
  <c r="N1107" i="11"/>
  <c r="N1108" i="11"/>
  <c r="N1109" i="11"/>
  <c r="N1110" i="11"/>
  <c r="N1111" i="11"/>
  <c r="N1112" i="11"/>
  <c r="N1113" i="11"/>
  <c r="N1114" i="11"/>
  <c r="N1115" i="11"/>
  <c r="N1116" i="11"/>
  <c r="N1117" i="11"/>
  <c r="N1118" i="11"/>
  <c r="N1119" i="11"/>
  <c r="N1120" i="11"/>
  <c r="N1121" i="11"/>
  <c r="N1122" i="11"/>
  <c r="N1123" i="11"/>
  <c r="N1124" i="11"/>
  <c r="N1125" i="11"/>
  <c r="N1126" i="11"/>
  <c r="N1127" i="11"/>
  <c r="N1128" i="11"/>
  <c r="N1129" i="11"/>
  <c r="N1130" i="11"/>
  <c r="N1131" i="11"/>
  <c r="N1132" i="11"/>
  <c r="N1133" i="11"/>
  <c r="N1134" i="11"/>
  <c r="N1135" i="11"/>
  <c r="N1136" i="11"/>
  <c r="N1137" i="11"/>
  <c r="N1138" i="11"/>
  <c r="N1139" i="11"/>
  <c r="N1140" i="11"/>
  <c r="N1141" i="11"/>
  <c r="N1142" i="11"/>
  <c r="N1143" i="11"/>
  <c r="N1144" i="11"/>
  <c r="N1145" i="11"/>
  <c r="N1146" i="11"/>
  <c r="N1147" i="11"/>
  <c r="N1148" i="11"/>
  <c r="N1149" i="11"/>
  <c r="N1150" i="11"/>
  <c r="N1151" i="11"/>
  <c r="N1152" i="11"/>
  <c r="N1153" i="11"/>
  <c r="N1154" i="11"/>
  <c r="N1155" i="11"/>
  <c r="N1156" i="11"/>
  <c r="N1157" i="11"/>
  <c r="N1158" i="11"/>
  <c r="N1159" i="11"/>
  <c r="N1160" i="11"/>
  <c r="N1161" i="11"/>
  <c r="N1162" i="11"/>
  <c r="N1163" i="11"/>
  <c r="N1164" i="11"/>
  <c r="N1165" i="11"/>
  <c r="N1166" i="11"/>
  <c r="N1167" i="11"/>
  <c r="N1168" i="11"/>
  <c r="N1169" i="11"/>
  <c r="N1170" i="11"/>
  <c r="N1171" i="11"/>
  <c r="N1172" i="11"/>
  <c r="N1173" i="11"/>
  <c r="N1174" i="11"/>
  <c r="N1175" i="11"/>
  <c r="N1176" i="11"/>
  <c r="N1177" i="11"/>
  <c r="N1178" i="11"/>
  <c r="N1179" i="11"/>
  <c r="N1180" i="11"/>
  <c r="N1181" i="11"/>
  <c r="N1182" i="11"/>
  <c r="N1183" i="11"/>
  <c r="N1184" i="11"/>
  <c r="N1185" i="11"/>
  <c r="N1186" i="11"/>
  <c r="N1187" i="11"/>
  <c r="N1188" i="11"/>
  <c r="N1189" i="11"/>
  <c r="N1190" i="11"/>
  <c r="N1191" i="11"/>
  <c r="N1192" i="11"/>
  <c r="N1193" i="11"/>
  <c r="N1194" i="11"/>
  <c r="N1195" i="11"/>
  <c r="N1196" i="11"/>
  <c r="N1197" i="11"/>
  <c r="N1198" i="11"/>
  <c r="N1199" i="11"/>
  <c r="N1200" i="11"/>
  <c r="N1201" i="11"/>
  <c r="N1202" i="11"/>
  <c r="N1203" i="11"/>
  <c r="N1204" i="11"/>
  <c r="N1205" i="11"/>
  <c r="N1206" i="11"/>
  <c r="N1207" i="11"/>
  <c r="N1208" i="11"/>
  <c r="N1209" i="11"/>
  <c r="N1210" i="11"/>
  <c r="N1211" i="11"/>
  <c r="N1212" i="11"/>
  <c r="N1213" i="11"/>
  <c r="N1214" i="11"/>
  <c r="N1215" i="11"/>
  <c r="N1216" i="11"/>
  <c r="N1217" i="11"/>
  <c r="N1218" i="11"/>
  <c r="N1219" i="11"/>
  <c r="N1220" i="11"/>
  <c r="N1221" i="11"/>
  <c r="N1222" i="11"/>
  <c r="N1223" i="11"/>
  <c r="N1224" i="11"/>
  <c r="N1225" i="11"/>
  <c r="N1226" i="11"/>
  <c r="N1227" i="11"/>
  <c r="N1228" i="11"/>
  <c r="N1229" i="11"/>
  <c r="N1230" i="11"/>
  <c r="N1231" i="11"/>
  <c r="N1232" i="11"/>
  <c r="N1233" i="11"/>
  <c r="N1234" i="11"/>
  <c r="N1235" i="11"/>
  <c r="N1236" i="11"/>
  <c r="N1237" i="11"/>
  <c r="N1238" i="11"/>
  <c r="N1239" i="11"/>
  <c r="N1240" i="11"/>
  <c r="N1241" i="11"/>
  <c r="N1242" i="11"/>
  <c r="N1243" i="11"/>
  <c r="N1244" i="11"/>
  <c r="N1245" i="11"/>
  <c r="N1246" i="11"/>
  <c r="N1247" i="11"/>
  <c r="N1248" i="11"/>
  <c r="N1249" i="11"/>
  <c r="N1250" i="11"/>
  <c r="N1251" i="11"/>
  <c r="N1252" i="11"/>
  <c r="N1253" i="11"/>
  <c r="N1254" i="11"/>
  <c r="N1255" i="11"/>
  <c r="N1256" i="11"/>
  <c r="N1257" i="11"/>
  <c r="N1258" i="11"/>
  <c r="N1259" i="11"/>
  <c r="N1260" i="11"/>
  <c r="N1261" i="11"/>
  <c r="N1262" i="11"/>
  <c r="N1263" i="11"/>
  <c r="N1264" i="11"/>
  <c r="N1265" i="11"/>
  <c r="N1266" i="11"/>
  <c r="N1267" i="11"/>
  <c r="N1268" i="11"/>
  <c r="N1269" i="11"/>
  <c r="N1270" i="11"/>
  <c r="N1271" i="11"/>
  <c r="N1272" i="11"/>
  <c r="N1273" i="11"/>
  <c r="N1274" i="11"/>
  <c r="N1275" i="11"/>
  <c r="N1276" i="11"/>
  <c r="N1277" i="11"/>
  <c r="N1278" i="11"/>
  <c r="N1279" i="11"/>
  <c r="N1280" i="11"/>
  <c r="N1281" i="11"/>
  <c r="N1282" i="11"/>
  <c r="N1283" i="11"/>
  <c r="N1284" i="11"/>
  <c r="N1285" i="11"/>
  <c r="N1286" i="11"/>
  <c r="N1287" i="11"/>
  <c r="N1288" i="11"/>
  <c r="N1289" i="11"/>
  <c r="N1290" i="11"/>
  <c r="N1291" i="11"/>
  <c r="N1292" i="11"/>
  <c r="N1293" i="11"/>
  <c r="N1294" i="11"/>
  <c r="N1295" i="11"/>
  <c r="N1296" i="11"/>
  <c r="N1297" i="11"/>
  <c r="N1298" i="11"/>
  <c r="N1299" i="11"/>
  <c r="N1300" i="11"/>
  <c r="N1301" i="11"/>
  <c r="N1302" i="11"/>
  <c r="N1303" i="11"/>
  <c r="N1304" i="11"/>
  <c r="N1305" i="11"/>
  <c r="N1306" i="11"/>
  <c r="N1307" i="11"/>
  <c r="N1308" i="11"/>
  <c r="N1309" i="11"/>
  <c r="N1310" i="11"/>
  <c r="N1311" i="11"/>
  <c r="N1312" i="11"/>
  <c r="N1313" i="11"/>
  <c r="N1314" i="11"/>
  <c r="N1315" i="11"/>
  <c r="N1316" i="11"/>
  <c r="N1317" i="11"/>
  <c r="N1318" i="11"/>
  <c r="N1319" i="11"/>
  <c r="N1320" i="11"/>
  <c r="N1321" i="11"/>
  <c r="N1322" i="11"/>
  <c r="N1323" i="11"/>
  <c r="N1324" i="11"/>
  <c r="N1325" i="11"/>
  <c r="N1326" i="11"/>
  <c r="N1327" i="11"/>
  <c r="N1328" i="11"/>
  <c r="N1329" i="11"/>
  <c r="N1330" i="11"/>
  <c r="N1331" i="11"/>
  <c r="N1332" i="11"/>
  <c r="N1333" i="11"/>
  <c r="N1334" i="11"/>
  <c r="N1335" i="11"/>
  <c r="N1336" i="11"/>
  <c r="N1337" i="11"/>
  <c r="N1338" i="11"/>
  <c r="N1339" i="11"/>
  <c r="N1340" i="11"/>
  <c r="N1341" i="11"/>
  <c r="N1342" i="11"/>
  <c r="N1343" i="11"/>
  <c r="N1344" i="11"/>
  <c r="N1345" i="11"/>
  <c r="N1346" i="11"/>
  <c r="N1347" i="11"/>
  <c r="N1348" i="11"/>
  <c r="N1349" i="11"/>
  <c r="N1350" i="11"/>
  <c r="N1351" i="11"/>
  <c r="N1352" i="11"/>
  <c r="N1353" i="11"/>
  <c r="N1354" i="11"/>
  <c r="N1355" i="11"/>
  <c r="N1356" i="11"/>
  <c r="N1357" i="11"/>
  <c r="N1358" i="11"/>
  <c r="N1359" i="11"/>
  <c r="N1360" i="11"/>
  <c r="N1361" i="11"/>
  <c r="N1362" i="11"/>
  <c r="N1363" i="11"/>
  <c r="N1364" i="11"/>
  <c r="N1365" i="11"/>
  <c r="N1366" i="11"/>
  <c r="N1367" i="11"/>
  <c r="N1368" i="11"/>
  <c r="N1369" i="11"/>
  <c r="N1370" i="11"/>
  <c r="N1371" i="11"/>
  <c r="N1372" i="11"/>
  <c r="N1373" i="11"/>
  <c r="N1374" i="11"/>
  <c r="N1375" i="11"/>
  <c r="N1376" i="11"/>
  <c r="N1377" i="11"/>
  <c r="N1378" i="11"/>
  <c r="N1379" i="11"/>
  <c r="N1380" i="11"/>
  <c r="N1381" i="11"/>
  <c r="N1382" i="11"/>
  <c r="N1383" i="11"/>
  <c r="N1384" i="11"/>
  <c r="N1385" i="11"/>
  <c r="N1386" i="11"/>
  <c r="N1387" i="11"/>
  <c r="N1388" i="11"/>
  <c r="N1389" i="11"/>
  <c r="N1390" i="11"/>
  <c r="N1391" i="11"/>
  <c r="N1392" i="11"/>
  <c r="N1393" i="11"/>
  <c r="N1394" i="11"/>
  <c r="N1395" i="11"/>
  <c r="N1396" i="11"/>
  <c r="N1397" i="11"/>
  <c r="N1398" i="11"/>
  <c r="N1399" i="11"/>
  <c r="N1400" i="11"/>
  <c r="N1401" i="11"/>
  <c r="N1402" i="11"/>
  <c r="N1403" i="11"/>
  <c r="N1404" i="11"/>
  <c r="N1405" i="11"/>
  <c r="N1406" i="11"/>
  <c r="N1407" i="11"/>
  <c r="N1408" i="11"/>
  <c r="N1409" i="11"/>
  <c r="N1410" i="11"/>
  <c r="N1411" i="11"/>
  <c r="N1412" i="11"/>
  <c r="N1413" i="11"/>
  <c r="N1414" i="11"/>
  <c r="N1415" i="11"/>
  <c r="N1416" i="11"/>
  <c r="N1417" i="11"/>
  <c r="N1418" i="11"/>
  <c r="N1419" i="11"/>
  <c r="N1420" i="11"/>
  <c r="N1421" i="11"/>
  <c r="N1422" i="11"/>
  <c r="N1423" i="11"/>
  <c r="N1424" i="11"/>
  <c r="N1425" i="11"/>
  <c r="N1426" i="11"/>
  <c r="N1427" i="11"/>
  <c r="N1428" i="11"/>
  <c r="N1429" i="11"/>
  <c r="N1430" i="11"/>
  <c r="N1431" i="11"/>
  <c r="N1432" i="11"/>
  <c r="N1433" i="11"/>
  <c r="N1434" i="11"/>
  <c r="N1435" i="11"/>
  <c r="N1436" i="11"/>
  <c r="N1437" i="11"/>
  <c r="N1438" i="11"/>
  <c r="N1439" i="11"/>
  <c r="N1440" i="11"/>
  <c r="N1441" i="11"/>
  <c r="N1442" i="11"/>
  <c r="N1443" i="11"/>
  <c r="N1444" i="11"/>
  <c r="N1445" i="11"/>
  <c r="N1446" i="11"/>
  <c r="N1447" i="11"/>
  <c r="N1448" i="11"/>
  <c r="N1449" i="11"/>
  <c r="N1450" i="11"/>
  <c r="N1451" i="11"/>
  <c r="N1452" i="11"/>
  <c r="N1453" i="11"/>
  <c r="N1454" i="11"/>
  <c r="N1455" i="11"/>
  <c r="N1456" i="11"/>
  <c r="N1457" i="11"/>
  <c r="N1458" i="11"/>
  <c r="N1459" i="11"/>
  <c r="N1460" i="11"/>
  <c r="N1461" i="11"/>
  <c r="N1462" i="11"/>
  <c r="N1463" i="11"/>
  <c r="N1464" i="11"/>
  <c r="N1465" i="11"/>
  <c r="N1466" i="11"/>
  <c r="N1467" i="11"/>
  <c r="N1468" i="11"/>
  <c r="N1469" i="11"/>
  <c r="N1470" i="11"/>
  <c r="N1471" i="11"/>
  <c r="N1472" i="11"/>
  <c r="N1473" i="11"/>
  <c r="N1474" i="11"/>
  <c r="N1475" i="11"/>
  <c r="N1476" i="11"/>
  <c r="N1477" i="11"/>
  <c r="N1478" i="11"/>
  <c r="N1479" i="11"/>
  <c r="N1480" i="11"/>
  <c r="N1481" i="11"/>
  <c r="N1482" i="11"/>
  <c r="N1483" i="11"/>
  <c r="N1484" i="11"/>
  <c r="N1485" i="11"/>
  <c r="N1486" i="11"/>
  <c r="N1487" i="11"/>
  <c r="N1488" i="11"/>
  <c r="N1489" i="11"/>
  <c r="N1490" i="11"/>
  <c r="N1491" i="11"/>
  <c r="N1492" i="11"/>
  <c r="N1493" i="11"/>
  <c r="N1494" i="11"/>
  <c r="N1495" i="11"/>
  <c r="N1496" i="11"/>
  <c r="N1497" i="11"/>
  <c r="N1498" i="11"/>
  <c r="N1499" i="11"/>
  <c r="N1500" i="11"/>
  <c r="N1501" i="11"/>
  <c r="N1502" i="11"/>
  <c r="N1503" i="11"/>
  <c r="N1504" i="11"/>
  <c r="N1505" i="11"/>
  <c r="N1506" i="11"/>
  <c r="N1507" i="11"/>
  <c r="N1508" i="11"/>
  <c r="N1509" i="11"/>
  <c r="N1510" i="11"/>
  <c r="N1511" i="11"/>
  <c r="N1512" i="11"/>
  <c r="N1513" i="11"/>
  <c r="N1514" i="11"/>
  <c r="N1515" i="11"/>
  <c r="N1516" i="11"/>
  <c r="N1517" i="11"/>
  <c r="N1518" i="11"/>
  <c r="N1519" i="11"/>
  <c r="N1520" i="11"/>
  <c r="N1521" i="11"/>
  <c r="N1522" i="11"/>
  <c r="N1523" i="11"/>
  <c r="N1524" i="11"/>
  <c r="N1525" i="11"/>
  <c r="N1526" i="11"/>
  <c r="N1527" i="11"/>
  <c r="N1528" i="11"/>
  <c r="N1529" i="11"/>
  <c r="N1530" i="11"/>
  <c r="N1531" i="11"/>
  <c r="N1532" i="11"/>
  <c r="N1533" i="11"/>
  <c r="N1534" i="11"/>
  <c r="N1535" i="11"/>
  <c r="N1536" i="11"/>
  <c r="N1537" i="11"/>
  <c r="N1538" i="11"/>
  <c r="N1539" i="11"/>
  <c r="N1540" i="11"/>
  <c r="N1541" i="11"/>
  <c r="N1542" i="11"/>
  <c r="N1543" i="11"/>
  <c r="N1544" i="11"/>
  <c r="N1545" i="11"/>
  <c r="N1546" i="11"/>
  <c r="N1547" i="11"/>
  <c r="N1548" i="11"/>
  <c r="N1549" i="11"/>
  <c r="N1550" i="11"/>
  <c r="N1551" i="11"/>
  <c r="N1552" i="11"/>
  <c r="N1553" i="11"/>
  <c r="N1554" i="11"/>
  <c r="N1555" i="11"/>
  <c r="N1556" i="11"/>
  <c r="N1557" i="11"/>
  <c r="N1558" i="11"/>
  <c r="N1559" i="11"/>
  <c r="N1560" i="11"/>
  <c r="N1561" i="11"/>
  <c r="N1562" i="11"/>
  <c r="N1563" i="11"/>
  <c r="N1564" i="11"/>
  <c r="N1565" i="11"/>
  <c r="N1566" i="11"/>
  <c r="N1567" i="11"/>
  <c r="N1568" i="11"/>
  <c r="N1569" i="11"/>
  <c r="N1570" i="11"/>
  <c r="N1571" i="11"/>
  <c r="N1572" i="11"/>
  <c r="N1573" i="11"/>
  <c r="N1574" i="11"/>
  <c r="N1575" i="11"/>
  <c r="N1576" i="11"/>
  <c r="N1577" i="11"/>
  <c r="N1578" i="11"/>
  <c r="N1579" i="11"/>
  <c r="N1580" i="11"/>
  <c r="N1581" i="11"/>
  <c r="N1582" i="11"/>
  <c r="N1583" i="11"/>
  <c r="N1584" i="11"/>
  <c r="N1585" i="11"/>
  <c r="N1586" i="11"/>
  <c r="N1587" i="11"/>
  <c r="N1588" i="11"/>
  <c r="N1589" i="11"/>
  <c r="N1590" i="11"/>
  <c r="N1591" i="11"/>
  <c r="N1592" i="11"/>
  <c r="N1593" i="11"/>
  <c r="N1594" i="11"/>
  <c r="N1595" i="11"/>
  <c r="N1596" i="11"/>
  <c r="N1597" i="11"/>
  <c r="N1598" i="11"/>
  <c r="N1599" i="11"/>
  <c r="N1600" i="11"/>
  <c r="N1601" i="11"/>
  <c r="N1602" i="11"/>
  <c r="N1603" i="11"/>
  <c r="N1604" i="11"/>
  <c r="N1605" i="11"/>
  <c r="N1606" i="11"/>
  <c r="N1607" i="11"/>
  <c r="N1608" i="11"/>
  <c r="N1609" i="11"/>
  <c r="N1610" i="11"/>
  <c r="N1611" i="11"/>
  <c r="N1612" i="11"/>
  <c r="N1613" i="11"/>
  <c r="N1614" i="11"/>
  <c r="N1615" i="11"/>
  <c r="N1616" i="11"/>
  <c r="N1617" i="11"/>
  <c r="N1618" i="11"/>
  <c r="N1619" i="11"/>
  <c r="N1620" i="11"/>
  <c r="N1621" i="11"/>
  <c r="N1622" i="11"/>
  <c r="N1623" i="11"/>
  <c r="N1624" i="11"/>
  <c r="N1625" i="11"/>
  <c r="N1626" i="11"/>
  <c r="N1627" i="11"/>
  <c r="N1628" i="11"/>
  <c r="N1629" i="11"/>
  <c r="N1630" i="11"/>
  <c r="N1631" i="11"/>
  <c r="N1632" i="11"/>
  <c r="N1633" i="11"/>
  <c r="N1634" i="11"/>
  <c r="N1635" i="11"/>
  <c r="N1636" i="11"/>
  <c r="N1637" i="11"/>
  <c r="N1638" i="11"/>
  <c r="N1639" i="11"/>
  <c r="N1640" i="11"/>
  <c r="N1641" i="11"/>
  <c r="N1642" i="11"/>
  <c r="N1643" i="11"/>
  <c r="N1644" i="11"/>
  <c r="N1645" i="11"/>
  <c r="N1646" i="11"/>
  <c r="N1647" i="11"/>
  <c r="N1648" i="11"/>
  <c r="N1649" i="11"/>
  <c r="N1650" i="11"/>
  <c r="N1651" i="11"/>
  <c r="N1652" i="11"/>
  <c r="N1653" i="11"/>
  <c r="N1654" i="11"/>
  <c r="N1655" i="11"/>
  <c r="N1656" i="11"/>
  <c r="N1657" i="11"/>
  <c r="N1658" i="11"/>
  <c r="N1659" i="11"/>
  <c r="N1660" i="11"/>
  <c r="N1661" i="11"/>
  <c r="N1662" i="11"/>
  <c r="N1663" i="11"/>
  <c r="N1664" i="11"/>
  <c r="N1665" i="11"/>
  <c r="N1666" i="11"/>
  <c r="N1667" i="11"/>
  <c r="N1668" i="11"/>
  <c r="N1669" i="11"/>
  <c r="N1670" i="11"/>
  <c r="N1671" i="11"/>
  <c r="N1672" i="11"/>
  <c r="N1673" i="11"/>
  <c r="N1674" i="11"/>
  <c r="N1675" i="11"/>
  <c r="N1676" i="11"/>
  <c r="N1677" i="11"/>
  <c r="N1678" i="11"/>
  <c r="N1679" i="11"/>
  <c r="N1680" i="11"/>
  <c r="N1681" i="11"/>
  <c r="N1682" i="11"/>
  <c r="N1683" i="11"/>
  <c r="N1684" i="11"/>
  <c r="N1685" i="11"/>
  <c r="N1686" i="11"/>
  <c r="N1687" i="11"/>
  <c r="N1688" i="11"/>
  <c r="N1689" i="11"/>
  <c r="N1690" i="11"/>
  <c r="N1691" i="11"/>
  <c r="N1692" i="11"/>
  <c r="N1693" i="11"/>
  <c r="N1694" i="11"/>
  <c r="N1695" i="11"/>
  <c r="N1696" i="11"/>
  <c r="N1697" i="11"/>
  <c r="N1698" i="11"/>
  <c r="N1699" i="11"/>
  <c r="N1700" i="11"/>
  <c r="N1701" i="11"/>
  <c r="N1702" i="11"/>
  <c r="N1703" i="11"/>
  <c r="N1704" i="11"/>
  <c r="N1705" i="11"/>
  <c r="N1706" i="11"/>
  <c r="N1707" i="11"/>
  <c r="N1708" i="11"/>
  <c r="N1709" i="11"/>
  <c r="N1710" i="11"/>
  <c r="N1711" i="11"/>
  <c r="N1712" i="11"/>
  <c r="N1713" i="11"/>
  <c r="N1714" i="11"/>
  <c r="N1715" i="11"/>
  <c r="N1716" i="11"/>
  <c r="N1717" i="11"/>
  <c r="N1718" i="11"/>
  <c r="N1719" i="11"/>
  <c r="N1720" i="11"/>
  <c r="N1721" i="11"/>
  <c r="N1722" i="11"/>
  <c r="N1723" i="11"/>
  <c r="N1724" i="11"/>
  <c r="N1725" i="11"/>
  <c r="N1726" i="11"/>
  <c r="N1727" i="11"/>
  <c r="N1728" i="11"/>
  <c r="N1729" i="11"/>
  <c r="N1730" i="11"/>
  <c r="N1731" i="11"/>
  <c r="N1732" i="11"/>
  <c r="N1733" i="11"/>
  <c r="N1734" i="11"/>
  <c r="N1735" i="11"/>
  <c r="N1736" i="11"/>
  <c r="N1737" i="11"/>
  <c r="N1738" i="11"/>
  <c r="N1739" i="11"/>
  <c r="N1740" i="11"/>
  <c r="N1741" i="11"/>
  <c r="N1742" i="11"/>
  <c r="N1743" i="11"/>
  <c r="N1744" i="11"/>
  <c r="N1745" i="11"/>
  <c r="N1746" i="11"/>
  <c r="N1747" i="11"/>
  <c r="N1748" i="11"/>
  <c r="N1749" i="11"/>
  <c r="N1750" i="11"/>
  <c r="N1751" i="11"/>
  <c r="N1752" i="11"/>
  <c r="N1753" i="11"/>
  <c r="N1754" i="11"/>
  <c r="N1755" i="11"/>
  <c r="N1756" i="11"/>
  <c r="N1757" i="11"/>
  <c r="N1758" i="11"/>
  <c r="N1759" i="11"/>
  <c r="N1760" i="11"/>
  <c r="N1761" i="11"/>
  <c r="N1762" i="11"/>
  <c r="N1763" i="11"/>
  <c r="N1764" i="11"/>
  <c r="N1765" i="11"/>
  <c r="N1766" i="11"/>
  <c r="N1767" i="11"/>
  <c r="N1768" i="11"/>
  <c r="N1769" i="11"/>
  <c r="N1770" i="11"/>
  <c r="N1771" i="11"/>
  <c r="N1772" i="11"/>
  <c r="N1773" i="11"/>
  <c r="N1774" i="11"/>
  <c r="N1775" i="11"/>
  <c r="N1776" i="11"/>
  <c r="N1777" i="11"/>
  <c r="N1778" i="11"/>
  <c r="N1779" i="11"/>
  <c r="N1780" i="11"/>
  <c r="N1781" i="11"/>
  <c r="N1782" i="11"/>
  <c r="N1783" i="11"/>
  <c r="N1784" i="11"/>
  <c r="N1785" i="11"/>
  <c r="N1786" i="11"/>
  <c r="N1787" i="11"/>
  <c r="N1788" i="11"/>
  <c r="N1789" i="11"/>
  <c r="N1790" i="11"/>
  <c r="N1791" i="11"/>
  <c r="N1792" i="11"/>
  <c r="N1793" i="11"/>
  <c r="N1794" i="11"/>
  <c r="N1795" i="11"/>
  <c r="N1796" i="11"/>
  <c r="N1797" i="11"/>
  <c r="N1798" i="11"/>
  <c r="N1799" i="11"/>
  <c r="N1800" i="11"/>
  <c r="N1801" i="11"/>
  <c r="N1802" i="11"/>
  <c r="N1803" i="11"/>
  <c r="N1804" i="11"/>
  <c r="N1805" i="11"/>
  <c r="N1806" i="11"/>
  <c r="N1807" i="11"/>
  <c r="N1808" i="11"/>
  <c r="N1809" i="11"/>
  <c r="N1810" i="11"/>
  <c r="N1811" i="11"/>
  <c r="N1812" i="11"/>
  <c r="N1813" i="11"/>
  <c r="N1814" i="11"/>
  <c r="N1815" i="11"/>
  <c r="N1816" i="11"/>
  <c r="N1817" i="11"/>
  <c r="N1818" i="11"/>
  <c r="N1819" i="11"/>
  <c r="N1820" i="11"/>
  <c r="N1821" i="11"/>
  <c r="N1822" i="11"/>
  <c r="N1823" i="11"/>
  <c r="N1824" i="11"/>
  <c r="N1825" i="11"/>
  <c r="N1826" i="11"/>
  <c r="N1827" i="11"/>
  <c r="N1828" i="11"/>
  <c r="N1829" i="11"/>
  <c r="N1830" i="11"/>
  <c r="N1831" i="11"/>
  <c r="N1832" i="11"/>
  <c r="N1833" i="11"/>
  <c r="N1834" i="11"/>
  <c r="N1835" i="11"/>
  <c r="N1836" i="11"/>
  <c r="N1837" i="11"/>
  <c r="N1838" i="11"/>
  <c r="N1839" i="11"/>
  <c r="N1840" i="11"/>
  <c r="N1841" i="11"/>
  <c r="N1842" i="11"/>
  <c r="N1843" i="11"/>
  <c r="N1844" i="11"/>
  <c r="N1845" i="11"/>
  <c r="N1846" i="11"/>
  <c r="N1847" i="11"/>
  <c r="N1848" i="11"/>
  <c r="N1849" i="11"/>
  <c r="N1850" i="11"/>
  <c r="N1851" i="11"/>
  <c r="N1852" i="11"/>
  <c r="N1853" i="11"/>
  <c r="N1854" i="11"/>
  <c r="N1855" i="11"/>
  <c r="N1856" i="11"/>
  <c r="N1857" i="11"/>
  <c r="N1858" i="11"/>
  <c r="N1859" i="11"/>
  <c r="N1860" i="11"/>
  <c r="N1861" i="11"/>
  <c r="N1862" i="11"/>
  <c r="N1863" i="11"/>
  <c r="N1864" i="11"/>
  <c r="N1865" i="11"/>
  <c r="N1866" i="11"/>
  <c r="N1867" i="11"/>
  <c r="N1868" i="11"/>
  <c r="N1869" i="11"/>
  <c r="N1870" i="11"/>
  <c r="N1871" i="11"/>
  <c r="N1872" i="11"/>
  <c r="N1873" i="11"/>
  <c r="N1874" i="11"/>
  <c r="N1875" i="11"/>
  <c r="N1876" i="11"/>
  <c r="N1877" i="11"/>
  <c r="N1878" i="11"/>
  <c r="N1879" i="11"/>
  <c r="N1880" i="11"/>
  <c r="N1881" i="11"/>
  <c r="N1882" i="11"/>
  <c r="N1883" i="11"/>
  <c r="N1884" i="11"/>
  <c r="N1885" i="11"/>
  <c r="N1886" i="11"/>
  <c r="N1887" i="11"/>
  <c r="N1888" i="11"/>
  <c r="N1889" i="11"/>
  <c r="N1890" i="11"/>
  <c r="N1891" i="11"/>
  <c r="N1892" i="11"/>
  <c r="N1893" i="11"/>
  <c r="N1894" i="11"/>
  <c r="N1895" i="11"/>
  <c r="N1896" i="11"/>
  <c r="N1897" i="11"/>
  <c r="N1898" i="11"/>
  <c r="N1899" i="11"/>
  <c r="N1900" i="11"/>
  <c r="N1901" i="11"/>
  <c r="N1902" i="11"/>
  <c r="N1903" i="11"/>
  <c r="N1904" i="11"/>
  <c r="N1905" i="11"/>
  <c r="N1906" i="11"/>
  <c r="N1907" i="11"/>
  <c r="N1908" i="11"/>
  <c r="N1909" i="11"/>
  <c r="N1910" i="11"/>
  <c r="N1911" i="11"/>
  <c r="N1912" i="11"/>
  <c r="N1913" i="11"/>
  <c r="N1914" i="11"/>
  <c r="N1915" i="11"/>
  <c r="N1916" i="11"/>
  <c r="N1917" i="11"/>
  <c r="N1918" i="11"/>
  <c r="N1919" i="11"/>
  <c r="N1920" i="11"/>
  <c r="N1921" i="11"/>
  <c r="N1922" i="11"/>
  <c r="N1923" i="11"/>
  <c r="N1924" i="11"/>
  <c r="N1925" i="11"/>
  <c r="N1926" i="11"/>
  <c r="N1927" i="11"/>
  <c r="N1928" i="11"/>
  <c r="N1929" i="11"/>
  <c r="N1930" i="11"/>
  <c r="N1931" i="11"/>
  <c r="N1932" i="11"/>
  <c r="N1933" i="11"/>
  <c r="N1934" i="11"/>
  <c r="N1935" i="11"/>
  <c r="N1936" i="11"/>
  <c r="N1937" i="11"/>
  <c r="N1938" i="11"/>
  <c r="N1939" i="11"/>
  <c r="N1940" i="11"/>
  <c r="N1941" i="11"/>
  <c r="N1942" i="11"/>
  <c r="N1943" i="11"/>
  <c r="N1944" i="11"/>
  <c r="N1945" i="11"/>
  <c r="N1946" i="11"/>
  <c r="N1947" i="11"/>
  <c r="N1948" i="11"/>
  <c r="N1949" i="11"/>
  <c r="N1950" i="11"/>
  <c r="N1951" i="11"/>
  <c r="N1952" i="11"/>
  <c r="N1953" i="11"/>
  <c r="N1954" i="11"/>
  <c r="N1955" i="11"/>
  <c r="N1956" i="11"/>
  <c r="N1957" i="11"/>
  <c r="N1958" i="11"/>
  <c r="N1959" i="11"/>
  <c r="N1960" i="11"/>
  <c r="N1961" i="11"/>
  <c r="N1962" i="11"/>
  <c r="N1963" i="11"/>
  <c r="N1964" i="11"/>
  <c r="N1965" i="11"/>
  <c r="N1966" i="11"/>
  <c r="N1967" i="11"/>
  <c r="N1968" i="11"/>
  <c r="N1969" i="11"/>
  <c r="N1970" i="11"/>
  <c r="N1971" i="11"/>
  <c r="N1972" i="11"/>
  <c r="N1973" i="11"/>
  <c r="N1974" i="11"/>
  <c r="N1975" i="11"/>
  <c r="N1976" i="11"/>
  <c r="N1977" i="11"/>
  <c r="N1978" i="11"/>
  <c r="N1979" i="11"/>
  <c r="N1980" i="11"/>
  <c r="N1981" i="11"/>
  <c r="N1982" i="11"/>
  <c r="N1983" i="11"/>
  <c r="N1984" i="11"/>
  <c r="N1985" i="11"/>
  <c r="N1986" i="11"/>
  <c r="N1987" i="11"/>
  <c r="N1988" i="11"/>
  <c r="N1989" i="11"/>
  <c r="N1990" i="11"/>
  <c r="N1991" i="11"/>
  <c r="N1992" i="11"/>
  <c r="N1993" i="11"/>
  <c r="N1994" i="11"/>
  <c r="N1995" i="11"/>
  <c r="N1996" i="11"/>
  <c r="N1997" i="11"/>
  <c r="N1998" i="11"/>
  <c r="N1999" i="11"/>
  <c r="N2000" i="11"/>
  <c r="N2001" i="11"/>
  <c r="N2002" i="11"/>
  <c r="N2003" i="11"/>
  <c r="N2004" i="11"/>
  <c r="N2005" i="11"/>
  <c r="N2006" i="11"/>
  <c r="N2007" i="11"/>
  <c r="N2008" i="11"/>
  <c r="N2009" i="11"/>
  <c r="N2010" i="11"/>
  <c r="N2011" i="11"/>
  <c r="N2012" i="11"/>
  <c r="N2013" i="11"/>
  <c r="N2014" i="11"/>
  <c r="N2015" i="11"/>
  <c r="N2016" i="11"/>
  <c r="N2017" i="11"/>
  <c r="N2018" i="11"/>
  <c r="N2019" i="11"/>
  <c r="N2020" i="11"/>
  <c r="N2021" i="11"/>
  <c r="N2022" i="11"/>
  <c r="N2023" i="11"/>
  <c r="N2024" i="11"/>
  <c r="N2025" i="11"/>
  <c r="N2026" i="11"/>
  <c r="N2027" i="11"/>
  <c r="N2028" i="11"/>
  <c r="N2029" i="11"/>
  <c r="N2030" i="11"/>
  <c r="N2031" i="11"/>
  <c r="N2032" i="11"/>
  <c r="N2033" i="11"/>
  <c r="N2034" i="11"/>
  <c r="N2035" i="11"/>
  <c r="N2036" i="11"/>
  <c r="N2037" i="11"/>
  <c r="N2038" i="11"/>
  <c r="N2039" i="11"/>
  <c r="N2040" i="11"/>
  <c r="N2041" i="11"/>
  <c r="N2042" i="11"/>
  <c r="N2043" i="11"/>
  <c r="N2044" i="11"/>
  <c r="N2045" i="11"/>
  <c r="N2046" i="11"/>
  <c r="N2047" i="11"/>
  <c r="N2048" i="11"/>
  <c r="N2049" i="11"/>
  <c r="N2050" i="11"/>
  <c r="N2051" i="11"/>
  <c r="N2052" i="11"/>
  <c r="N2053" i="11"/>
  <c r="N2054" i="11"/>
  <c r="N2055" i="11"/>
  <c r="N2056" i="11"/>
  <c r="N2057" i="11"/>
  <c r="N2058" i="11"/>
  <c r="N2059" i="11"/>
  <c r="N2060" i="11"/>
  <c r="N2061" i="11"/>
  <c r="N2062" i="11"/>
  <c r="N2063" i="11"/>
  <c r="N2064" i="11"/>
  <c r="N2065" i="11"/>
  <c r="N2066" i="11"/>
  <c r="N2067" i="11"/>
  <c r="N2068" i="11"/>
  <c r="N2069" i="11"/>
  <c r="N2070" i="11"/>
  <c r="N2071" i="11"/>
  <c r="N2072" i="11"/>
  <c r="N2073" i="11"/>
  <c r="N2074" i="11"/>
  <c r="N2075" i="11"/>
  <c r="N2076" i="11"/>
  <c r="N2077" i="11"/>
  <c r="N2078" i="11"/>
  <c r="N2079" i="11"/>
  <c r="N2080" i="11"/>
  <c r="N2081" i="11"/>
  <c r="N2082" i="11"/>
  <c r="N2083" i="11"/>
  <c r="N2084" i="11"/>
  <c r="N2085" i="11"/>
  <c r="N2086" i="11"/>
  <c r="N2087" i="11"/>
  <c r="N2088" i="11"/>
  <c r="N2089" i="11"/>
  <c r="N2090" i="11"/>
  <c r="N2091" i="11"/>
  <c r="N2092" i="11"/>
  <c r="N2093" i="11"/>
  <c r="N2094" i="11"/>
  <c r="N2095" i="11"/>
  <c r="N2096" i="11"/>
  <c r="N2097" i="11"/>
  <c r="N2098" i="11"/>
  <c r="N2099" i="11"/>
  <c r="N2100" i="11"/>
  <c r="N2101" i="11"/>
  <c r="N2102" i="11"/>
  <c r="N2103" i="11"/>
  <c r="N2104" i="11"/>
  <c r="N2105" i="11"/>
  <c r="N2106" i="11"/>
  <c r="N2107" i="11"/>
  <c r="N2108" i="11"/>
  <c r="N2109" i="11"/>
  <c r="N2110" i="11"/>
  <c r="N2111" i="11"/>
  <c r="N2112" i="11"/>
  <c r="N2113" i="11"/>
  <c r="N2114" i="11"/>
  <c r="N2115" i="11"/>
  <c r="N2116" i="11"/>
  <c r="N2117" i="11"/>
  <c r="N2118" i="11"/>
  <c r="N2119" i="11"/>
  <c r="N2120" i="11"/>
  <c r="N2121" i="11"/>
  <c r="N2122" i="11"/>
  <c r="N2123" i="11"/>
  <c r="N2124" i="11"/>
  <c r="N2125" i="11"/>
  <c r="N2126" i="11"/>
  <c r="N2127" i="11"/>
  <c r="N2128" i="11"/>
  <c r="N2129" i="11"/>
  <c r="N2130" i="11"/>
  <c r="N2131" i="11"/>
  <c r="N2132" i="11"/>
  <c r="N2133" i="11"/>
  <c r="N2134" i="11"/>
  <c r="N2135" i="11"/>
  <c r="N2136" i="11"/>
  <c r="N2137" i="11"/>
  <c r="N2138" i="11"/>
  <c r="N2139" i="11"/>
  <c r="N2140" i="11"/>
  <c r="N2141" i="11"/>
  <c r="N2142" i="11"/>
  <c r="N2143" i="11"/>
  <c r="N2144" i="11"/>
  <c r="N2145" i="11"/>
  <c r="N2146" i="11"/>
  <c r="N2147" i="11"/>
  <c r="N2148" i="11"/>
  <c r="N2149" i="11"/>
  <c r="N2150" i="11"/>
  <c r="N2151" i="11"/>
  <c r="N2152" i="11"/>
  <c r="N2153" i="11"/>
  <c r="N2154" i="11"/>
  <c r="N2155" i="11"/>
  <c r="N2156" i="11"/>
  <c r="N2157" i="11"/>
  <c r="N2158" i="11"/>
  <c r="N2159" i="11"/>
  <c r="N2160" i="11"/>
  <c r="N2161" i="11"/>
  <c r="N2162" i="11"/>
  <c r="N2163" i="11"/>
  <c r="N2164" i="11"/>
  <c r="N2165" i="11"/>
  <c r="N2166" i="11"/>
  <c r="N2167" i="11"/>
  <c r="N2168" i="11"/>
  <c r="N2169" i="11"/>
  <c r="N2170" i="11"/>
  <c r="N2171" i="11"/>
  <c r="N2172" i="11"/>
  <c r="N2173" i="11"/>
  <c r="N2174" i="11"/>
  <c r="N2175" i="11"/>
  <c r="N2176" i="11"/>
  <c r="N2177" i="11"/>
  <c r="N2178" i="11"/>
  <c r="N2179" i="11"/>
  <c r="N2180" i="11"/>
  <c r="N2181" i="11"/>
  <c r="N2182" i="11"/>
  <c r="N2183" i="11"/>
  <c r="N2184" i="11"/>
  <c r="N2185" i="11"/>
  <c r="N2186" i="11"/>
  <c r="N2187" i="11"/>
  <c r="N2188" i="11"/>
  <c r="N2189" i="11"/>
  <c r="N2190" i="11"/>
  <c r="N2191" i="11"/>
  <c r="N2192" i="11"/>
  <c r="N2193" i="11"/>
  <c r="N2194" i="11"/>
  <c r="N2195" i="11"/>
  <c r="N2196" i="11"/>
  <c r="N2197" i="11"/>
  <c r="N2198" i="11"/>
  <c r="N2199" i="11"/>
  <c r="N2200" i="11"/>
  <c r="N2201" i="11"/>
  <c r="N2202" i="11"/>
  <c r="N2203" i="11"/>
  <c r="N2204" i="11"/>
  <c r="N2205" i="11"/>
  <c r="N2206" i="11"/>
  <c r="N2207" i="11"/>
  <c r="N2208" i="11"/>
  <c r="N2209" i="11"/>
  <c r="N2210" i="11"/>
  <c r="N2211" i="11"/>
  <c r="N2212" i="11"/>
  <c r="N2213" i="11"/>
  <c r="N2214" i="11"/>
  <c r="N2215" i="11"/>
  <c r="N2216" i="11"/>
  <c r="N2217" i="11"/>
  <c r="N2218" i="11"/>
  <c r="N2219" i="11"/>
  <c r="N2220" i="11"/>
  <c r="N2221" i="11"/>
  <c r="N2222" i="11"/>
  <c r="N2223" i="11"/>
  <c r="N2224" i="11"/>
  <c r="N2225" i="11"/>
  <c r="N2226" i="11"/>
  <c r="N2227" i="11"/>
  <c r="N2228" i="11"/>
  <c r="N2229" i="11"/>
  <c r="N2230" i="11"/>
  <c r="N2231" i="11"/>
  <c r="N2232" i="11"/>
  <c r="N2233" i="11"/>
  <c r="N2234" i="11"/>
  <c r="N2235" i="11"/>
  <c r="N2236" i="11"/>
  <c r="N2237" i="11"/>
  <c r="N2238" i="11"/>
  <c r="N2239" i="11"/>
  <c r="N2240" i="11"/>
  <c r="N2241" i="11"/>
  <c r="N2242" i="11"/>
  <c r="N2243" i="11"/>
  <c r="N2244" i="11"/>
  <c r="N2245" i="11"/>
  <c r="N2246" i="11"/>
  <c r="N2247" i="11"/>
  <c r="N2248" i="11"/>
  <c r="N2249" i="11"/>
  <c r="N2250" i="11"/>
  <c r="N2251" i="11"/>
  <c r="N2252" i="11"/>
  <c r="N2253" i="11"/>
  <c r="N2254" i="11"/>
  <c r="N2255" i="11"/>
  <c r="N2256" i="11"/>
  <c r="N2257" i="11"/>
  <c r="N2258" i="11"/>
  <c r="N2259" i="11"/>
  <c r="N2260" i="11"/>
  <c r="N2261" i="11"/>
  <c r="N2262" i="11"/>
  <c r="N2263" i="11"/>
  <c r="N2264" i="11"/>
  <c r="N2265" i="11"/>
  <c r="N2266" i="11"/>
  <c r="N2267" i="11"/>
  <c r="N2268" i="11"/>
  <c r="N2269" i="11"/>
  <c r="N2270" i="11"/>
  <c r="N2271" i="11"/>
  <c r="N2272" i="11"/>
  <c r="N2273" i="11"/>
  <c r="N2274" i="11"/>
  <c r="N2275" i="11"/>
  <c r="N2276" i="11"/>
  <c r="N2277" i="11"/>
  <c r="N2278" i="11"/>
  <c r="N2279" i="11"/>
  <c r="N2280" i="11"/>
  <c r="N2281" i="11"/>
  <c r="N2282" i="11"/>
  <c r="N2283" i="11"/>
  <c r="N2284" i="11"/>
  <c r="N2285" i="11"/>
  <c r="N2286" i="11"/>
  <c r="N2287" i="11"/>
  <c r="N2288" i="11"/>
  <c r="N2289" i="11"/>
  <c r="N2290" i="11"/>
  <c r="N2291" i="11"/>
  <c r="N2292" i="11"/>
  <c r="N2293" i="11"/>
  <c r="N2294" i="11"/>
  <c r="N2295" i="11"/>
  <c r="N2296" i="11"/>
  <c r="N2297" i="11"/>
  <c r="N2298" i="11"/>
  <c r="N2299" i="11"/>
  <c r="N2300" i="11"/>
  <c r="N2301" i="11"/>
  <c r="N2302" i="11"/>
  <c r="N2303" i="11"/>
  <c r="N2304" i="11"/>
  <c r="N2305" i="11"/>
  <c r="N2306" i="11"/>
  <c r="N2307" i="11"/>
  <c r="N2308" i="11"/>
  <c r="N2309" i="11"/>
  <c r="N2310" i="11"/>
  <c r="N2311" i="11"/>
  <c r="N2312" i="11"/>
  <c r="N2313" i="11"/>
  <c r="N2314" i="11"/>
  <c r="N2315" i="11"/>
  <c r="N2316" i="11"/>
  <c r="N2317" i="11"/>
  <c r="N2318" i="11"/>
  <c r="N2319" i="11"/>
  <c r="N2320" i="11"/>
  <c r="N2321" i="11"/>
  <c r="N2322" i="11"/>
  <c r="N2323" i="11"/>
  <c r="N2324" i="11"/>
  <c r="N2325" i="11"/>
  <c r="N2326" i="11"/>
  <c r="N2327" i="11"/>
  <c r="N2328" i="11"/>
  <c r="N2329" i="11"/>
  <c r="N2330" i="11"/>
  <c r="N2331" i="11"/>
  <c r="N2332" i="11"/>
  <c r="N2333" i="11"/>
  <c r="N2334" i="11"/>
  <c r="N2335" i="11"/>
  <c r="N2336" i="11"/>
  <c r="N2337" i="11"/>
  <c r="N2338" i="11"/>
  <c r="N2339" i="11"/>
  <c r="N2340" i="11"/>
  <c r="N2341" i="11"/>
  <c r="N2342" i="11"/>
  <c r="N2343" i="11"/>
  <c r="N2344" i="11"/>
  <c r="N2345" i="11"/>
  <c r="N2346" i="11"/>
  <c r="N2347" i="11"/>
  <c r="N2348" i="11"/>
  <c r="N2349" i="11"/>
  <c r="N2350" i="11"/>
  <c r="N2351" i="11"/>
  <c r="N2352" i="11"/>
  <c r="N2353" i="11"/>
  <c r="N2354" i="11"/>
  <c r="N2355" i="11"/>
  <c r="N2356" i="11"/>
  <c r="N2357" i="11"/>
  <c r="N2358" i="11"/>
  <c r="N2359" i="11"/>
  <c r="N2360" i="11"/>
  <c r="N2361" i="11"/>
  <c r="N2362" i="11"/>
  <c r="N2363" i="11"/>
  <c r="N2364" i="11"/>
  <c r="N2365" i="11"/>
  <c r="N2366" i="11"/>
  <c r="N2367" i="11"/>
  <c r="N2368" i="11"/>
  <c r="N2369" i="11"/>
  <c r="N2370" i="11"/>
  <c r="N2371" i="11"/>
  <c r="N2372" i="11"/>
  <c r="N2373" i="11"/>
  <c r="N2374" i="11"/>
  <c r="N2375" i="11"/>
  <c r="N2376" i="11"/>
  <c r="N2377" i="11"/>
  <c r="N2378" i="11"/>
  <c r="N2379" i="11"/>
  <c r="N2380" i="11"/>
  <c r="N2381" i="11"/>
  <c r="N2382" i="11"/>
  <c r="N2383" i="11"/>
  <c r="N2384" i="11"/>
  <c r="N2385" i="11"/>
  <c r="N2386" i="11"/>
  <c r="N2387" i="11"/>
  <c r="N2388" i="11"/>
  <c r="N2389" i="11"/>
  <c r="N2390" i="11"/>
  <c r="N2391" i="11"/>
  <c r="N2392" i="11"/>
  <c r="N2393" i="11"/>
  <c r="N2394" i="11"/>
  <c r="N2395" i="11"/>
  <c r="N2396" i="11"/>
  <c r="N2397" i="11"/>
  <c r="N2398" i="11"/>
  <c r="N2399" i="11"/>
  <c r="N2400" i="11"/>
  <c r="N2401" i="11"/>
  <c r="N2402" i="11"/>
  <c r="N2403" i="11"/>
  <c r="N2404" i="11"/>
  <c r="N2405" i="11"/>
  <c r="N2406" i="11"/>
  <c r="N2407" i="11"/>
  <c r="N2408" i="11"/>
  <c r="N2409" i="11"/>
  <c r="N2410" i="11"/>
  <c r="N2411" i="11"/>
  <c r="N2412" i="11"/>
  <c r="N2413" i="11"/>
  <c r="N2414" i="11"/>
  <c r="N2415" i="11"/>
  <c r="N2416" i="11"/>
  <c r="N2417" i="11"/>
  <c r="N2418" i="11"/>
  <c r="N2419" i="11"/>
  <c r="N2420" i="11"/>
  <c r="N2421" i="11"/>
  <c r="N2422" i="11"/>
  <c r="N2423" i="11"/>
  <c r="N2424" i="11"/>
  <c r="N2425" i="11"/>
  <c r="N2426" i="11"/>
  <c r="N2427" i="11"/>
  <c r="N2428" i="11"/>
  <c r="N2429" i="11"/>
  <c r="N2430" i="11"/>
  <c r="N2431" i="11"/>
  <c r="N2432" i="11"/>
  <c r="N2433" i="11"/>
  <c r="N2434" i="11"/>
  <c r="N2435" i="11"/>
  <c r="N2436" i="11"/>
  <c r="N2437" i="11"/>
  <c r="N2438" i="11"/>
  <c r="N2439" i="11"/>
  <c r="N2440" i="11"/>
  <c r="N2441" i="11"/>
  <c r="N2442" i="11"/>
  <c r="N2443" i="11"/>
  <c r="N2444" i="11"/>
  <c r="N2445" i="11"/>
  <c r="N2446" i="11"/>
  <c r="N2447" i="11"/>
  <c r="N2448" i="11"/>
  <c r="N2449" i="11"/>
  <c r="N2450" i="11"/>
  <c r="N2451" i="11"/>
  <c r="N2452" i="11"/>
  <c r="N2453" i="11"/>
  <c r="N2454" i="11"/>
  <c r="N2455" i="11"/>
  <c r="N2456" i="11"/>
  <c r="N2457" i="11"/>
  <c r="N2458" i="11"/>
  <c r="N2459" i="11"/>
  <c r="N2460" i="11"/>
  <c r="N2461" i="11"/>
  <c r="N2462" i="11"/>
  <c r="N2463" i="11"/>
  <c r="N2464" i="11"/>
  <c r="N2465" i="11"/>
  <c r="N2466" i="11"/>
  <c r="N2467" i="11"/>
  <c r="N2468" i="11"/>
  <c r="N2469" i="11"/>
  <c r="N2470" i="11"/>
  <c r="N2471" i="11"/>
  <c r="N2472" i="11"/>
  <c r="N2473" i="11"/>
  <c r="N2474" i="11"/>
  <c r="N2475" i="11"/>
  <c r="N2476" i="11"/>
  <c r="N2477" i="11"/>
  <c r="N2478" i="11"/>
  <c r="N2479" i="11"/>
  <c r="N2480" i="11"/>
  <c r="N2481" i="11"/>
  <c r="N2482" i="11"/>
  <c r="N2483" i="11"/>
  <c r="N2484" i="11"/>
  <c r="N2485" i="11"/>
  <c r="N2486" i="11"/>
  <c r="N2487" i="11"/>
  <c r="N2488" i="11"/>
  <c r="N2489" i="11"/>
  <c r="N2490" i="11"/>
  <c r="N2491" i="11"/>
  <c r="N2492" i="11"/>
  <c r="N2493" i="11"/>
  <c r="N2494" i="11"/>
  <c r="N2495" i="11"/>
  <c r="N2496" i="11"/>
  <c r="N2497" i="11"/>
  <c r="N2498" i="11"/>
  <c r="N2499" i="11"/>
  <c r="N2500" i="11"/>
  <c r="N2501" i="11"/>
  <c r="N2502" i="11"/>
  <c r="N2503" i="11"/>
  <c r="N2504" i="11"/>
  <c r="N2505" i="11"/>
  <c r="N2506" i="11"/>
  <c r="N2507" i="11"/>
  <c r="N2508" i="11"/>
  <c r="N2509" i="11"/>
  <c r="N2510" i="11"/>
  <c r="N2511" i="11"/>
  <c r="N2512" i="11"/>
  <c r="N2513" i="11"/>
  <c r="N2514" i="11"/>
  <c r="N2515" i="11"/>
  <c r="N2516" i="11"/>
  <c r="N2517" i="11"/>
  <c r="N2518" i="11"/>
  <c r="N2519" i="11"/>
  <c r="N2520" i="11"/>
  <c r="N2521" i="11"/>
  <c r="N2522" i="11"/>
  <c r="N2523" i="11"/>
  <c r="N2524" i="11"/>
  <c r="N2525" i="11"/>
  <c r="N2526" i="11"/>
  <c r="N2527" i="11"/>
  <c r="N2528" i="11"/>
  <c r="N2529" i="11"/>
  <c r="N2530" i="11"/>
  <c r="N2531" i="11"/>
  <c r="N2532" i="11"/>
  <c r="N2533" i="11"/>
  <c r="N2534" i="11"/>
  <c r="N2535" i="11"/>
  <c r="N2536" i="11"/>
  <c r="N2537" i="11"/>
  <c r="N2538" i="11"/>
  <c r="N2539" i="11"/>
  <c r="N2540" i="11"/>
  <c r="N2541" i="11"/>
  <c r="N2542" i="11"/>
  <c r="N2543" i="11"/>
  <c r="N2544" i="11"/>
  <c r="N2545" i="11"/>
  <c r="N2546" i="11"/>
  <c r="N2547" i="11"/>
  <c r="N2548" i="11"/>
  <c r="N2549" i="11"/>
  <c r="N2550" i="11"/>
  <c r="N2551" i="11"/>
  <c r="N2552" i="11"/>
  <c r="N2553" i="11"/>
  <c r="N2554" i="11"/>
  <c r="N2555" i="11"/>
  <c r="N2556" i="11"/>
  <c r="N2557" i="11"/>
  <c r="N2558" i="11"/>
  <c r="N2559" i="11"/>
  <c r="N2560" i="11"/>
  <c r="N2561" i="11"/>
  <c r="N2562" i="11"/>
  <c r="N2563" i="11"/>
  <c r="N2564" i="11"/>
  <c r="N2565" i="11"/>
  <c r="N2566" i="11"/>
  <c r="N2567" i="11"/>
  <c r="N2568" i="11"/>
  <c r="N2569" i="11"/>
  <c r="N2570" i="11"/>
  <c r="N2571" i="11"/>
  <c r="N2572" i="11"/>
  <c r="N2573" i="11"/>
  <c r="N2574" i="11"/>
  <c r="N2575" i="11"/>
  <c r="N2576" i="11"/>
  <c r="N2577" i="11"/>
  <c r="N2578" i="11"/>
  <c r="N2579" i="11"/>
  <c r="N2580" i="11"/>
  <c r="N2581" i="11"/>
  <c r="N2582" i="11"/>
  <c r="N2583" i="11"/>
  <c r="N2584" i="11"/>
  <c r="N2585" i="11"/>
  <c r="N2586" i="11"/>
  <c r="N2587" i="11"/>
  <c r="N2588" i="11"/>
  <c r="N2589" i="11"/>
  <c r="N2590" i="11"/>
  <c r="N2591" i="11"/>
  <c r="N2592" i="11"/>
  <c r="N2593" i="11"/>
  <c r="N2594" i="11"/>
  <c r="N2595" i="11"/>
  <c r="N2596" i="11"/>
  <c r="N2597" i="11"/>
  <c r="N2598" i="11"/>
  <c r="N2599" i="11"/>
  <c r="N2600" i="11"/>
  <c r="N2601" i="11"/>
  <c r="N2602" i="11"/>
  <c r="N2603" i="11"/>
  <c r="N2604" i="11"/>
  <c r="N2605" i="11"/>
  <c r="N2606" i="11"/>
  <c r="N2607" i="11"/>
  <c r="N2608" i="11"/>
  <c r="N2609" i="11"/>
  <c r="N2610" i="11"/>
  <c r="N2611" i="11"/>
  <c r="N2612" i="11"/>
  <c r="N2613" i="11"/>
  <c r="N2614" i="11"/>
  <c r="N2615" i="11"/>
  <c r="N2616" i="11"/>
  <c r="N2617" i="11"/>
  <c r="N2618" i="11"/>
  <c r="N2619" i="11"/>
  <c r="N2620" i="11"/>
  <c r="N2621" i="11"/>
  <c r="N2622" i="11"/>
  <c r="N2623" i="11"/>
  <c r="N2624" i="11"/>
  <c r="N2625" i="11"/>
  <c r="N2626" i="11"/>
  <c r="N2627" i="11"/>
  <c r="N2628" i="11"/>
  <c r="N2629" i="11"/>
  <c r="N2630" i="11"/>
  <c r="N2631" i="11"/>
  <c r="N2632" i="11"/>
  <c r="N2633" i="11"/>
  <c r="N2634" i="11"/>
  <c r="N2635" i="11"/>
  <c r="N2636" i="11"/>
  <c r="N2637" i="11"/>
  <c r="N2638" i="11"/>
  <c r="N2639" i="11"/>
  <c r="N2640" i="11"/>
  <c r="N2641" i="11"/>
  <c r="N2642" i="11"/>
  <c r="N2643" i="11"/>
  <c r="N2644" i="11"/>
  <c r="N2645" i="11"/>
  <c r="N2646" i="11"/>
  <c r="N2647" i="11"/>
  <c r="N2648" i="11"/>
  <c r="N2649" i="11"/>
  <c r="N2650" i="11"/>
  <c r="N2651" i="11"/>
  <c r="N2652" i="11"/>
  <c r="N2653" i="11"/>
  <c r="N2654" i="11"/>
  <c r="N2655" i="11"/>
  <c r="N2656" i="11"/>
  <c r="N2657" i="11"/>
  <c r="N2658" i="11"/>
  <c r="N2659" i="11"/>
  <c r="N2660" i="11"/>
  <c r="N2661" i="11"/>
  <c r="N2662" i="11"/>
  <c r="N2663" i="11"/>
  <c r="N2664" i="11"/>
  <c r="N2665" i="11"/>
  <c r="N2666" i="11"/>
  <c r="N2667" i="11"/>
  <c r="N2668" i="11"/>
  <c r="N2669" i="11"/>
  <c r="N2670" i="11"/>
  <c r="N2671" i="11"/>
  <c r="N2672" i="11"/>
  <c r="N2673" i="11"/>
  <c r="N2674" i="11"/>
  <c r="N2675" i="11"/>
  <c r="N2676" i="11"/>
  <c r="N2677" i="11"/>
  <c r="N2678" i="11"/>
  <c r="N2679" i="11"/>
  <c r="N2680" i="11"/>
  <c r="N2681" i="11"/>
  <c r="N2682" i="11"/>
  <c r="N2683" i="11"/>
  <c r="N2684" i="11"/>
  <c r="N2685" i="11"/>
  <c r="N2686" i="11"/>
  <c r="N2687" i="11"/>
  <c r="N2688" i="11"/>
  <c r="N2689" i="11"/>
  <c r="N2690" i="11"/>
  <c r="N2691" i="11"/>
  <c r="N2692" i="11"/>
  <c r="N2693" i="11"/>
  <c r="N2694" i="11"/>
  <c r="N2695" i="11"/>
  <c r="N2696" i="11"/>
  <c r="N2697" i="11"/>
  <c r="N2698" i="11"/>
  <c r="N2699" i="11"/>
  <c r="N2700" i="11"/>
  <c r="N2701" i="11"/>
  <c r="N2702" i="11"/>
  <c r="N2703" i="11"/>
  <c r="N2704" i="11"/>
  <c r="N2705" i="11"/>
  <c r="N2706" i="11"/>
  <c r="N2707" i="11"/>
  <c r="N2708" i="11"/>
  <c r="N2709" i="11"/>
  <c r="N2710" i="11"/>
  <c r="N2711" i="11"/>
  <c r="N2712" i="11"/>
  <c r="N2713" i="11"/>
  <c r="N2714" i="11"/>
  <c r="N2715" i="11"/>
  <c r="N2716" i="11"/>
  <c r="N2717" i="11"/>
  <c r="N2718" i="11"/>
  <c r="N2719" i="11"/>
  <c r="N2720" i="11"/>
  <c r="N2721" i="11"/>
  <c r="N2722" i="11"/>
  <c r="N2723" i="11"/>
  <c r="N2724" i="11"/>
  <c r="N2725" i="11"/>
  <c r="N2726" i="11"/>
  <c r="N2727" i="11"/>
  <c r="N2728" i="11"/>
  <c r="N2729" i="11"/>
  <c r="N2730" i="11"/>
  <c r="N2731" i="11"/>
  <c r="N2732" i="11"/>
  <c r="N2733" i="11"/>
  <c r="N2734" i="11"/>
  <c r="N2735" i="11"/>
  <c r="N2736" i="11"/>
  <c r="N2737" i="11"/>
  <c r="N2738" i="11"/>
  <c r="N2739" i="11"/>
  <c r="N2740" i="11"/>
  <c r="N2741" i="11"/>
  <c r="N2742" i="11"/>
  <c r="N2743" i="11"/>
  <c r="N2744" i="11"/>
  <c r="N2745" i="11"/>
  <c r="N2746" i="11"/>
  <c r="N2747" i="11"/>
  <c r="N2748" i="11"/>
  <c r="N2749" i="11"/>
  <c r="N2750" i="11"/>
  <c r="N2751" i="11"/>
  <c r="N2752" i="11"/>
  <c r="N2753" i="11"/>
  <c r="N2754" i="11"/>
  <c r="N2755" i="11"/>
  <c r="N2756" i="11"/>
  <c r="N2757" i="11"/>
  <c r="N2758" i="11"/>
  <c r="N2759" i="11"/>
  <c r="N2760" i="11"/>
  <c r="N2761" i="11"/>
  <c r="N2762" i="11"/>
  <c r="N2763" i="11"/>
  <c r="N2764" i="11"/>
  <c r="N2765" i="11"/>
  <c r="N2766" i="11"/>
  <c r="N2767" i="11"/>
  <c r="N2768" i="11"/>
  <c r="N2769" i="11"/>
  <c r="N2770" i="11"/>
  <c r="N2771" i="11"/>
  <c r="N2772" i="11"/>
  <c r="N2773" i="11"/>
  <c r="N2774" i="11"/>
  <c r="N2775" i="11"/>
  <c r="N2776" i="11"/>
  <c r="N2777" i="11"/>
  <c r="N2778" i="11"/>
  <c r="N2779" i="11"/>
  <c r="N2780" i="11"/>
  <c r="N2781" i="11"/>
  <c r="N2782" i="11"/>
  <c r="N2783" i="11"/>
  <c r="N2784" i="11"/>
  <c r="N2785" i="11"/>
  <c r="N2786" i="11"/>
  <c r="N2787" i="11"/>
  <c r="N2788" i="11"/>
  <c r="N2789" i="11"/>
  <c r="N2790" i="11"/>
  <c r="N2791" i="11"/>
  <c r="N2792" i="11"/>
  <c r="N2793" i="11"/>
  <c r="N2794" i="11"/>
  <c r="N2795" i="11"/>
  <c r="N2796" i="11"/>
  <c r="N2797" i="11"/>
  <c r="N2798" i="11"/>
  <c r="N2799" i="11"/>
  <c r="N2800" i="11"/>
  <c r="N2801" i="11"/>
  <c r="N2802" i="11"/>
  <c r="N2803" i="11"/>
  <c r="N2804" i="11"/>
  <c r="N2805" i="11"/>
  <c r="N2806" i="11"/>
  <c r="N2807" i="11"/>
  <c r="N2808" i="11"/>
  <c r="N2809" i="11"/>
  <c r="N2810" i="11"/>
  <c r="N2811" i="11"/>
  <c r="N2812" i="11"/>
  <c r="N2813" i="11"/>
  <c r="N2814" i="11"/>
  <c r="N2815" i="11"/>
  <c r="N2816" i="11"/>
  <c r="N2817" i="11"/>
  <c r="N2818" i="11"/>
  <c r="N2819" i="11"/>
  <c r="N2820" i="11"/>
  <c r="N2821" i="11"/>
  <c r="N2822" i="11"/>
  <c r="N2823" i="11"/>
  <c r="N2824" i="11"/>
  <c r="N2825" i="11"/>
  <c r="N2826" i="11"/>
  <c r="N2827" i="11"/>
  <c r="N2828" i="11"/>
  <c r="N2829" i="11"/>
  <c r="N2830" i="11"/>
  <c r="N2831" i="11"/>
  <c r="N2832" i="11"/>
  <c r="N2833" i="11"/>
  <c r="N2834" i="11"/>
  <c r="N2835" i="11"/>
  <c r="N2836" i="11"/>
  <c r="N2837" i="11"/>
  <c r="N2838" i="11"/>
  <c r="N2839" i="11"/>
  <c r="N2840" i="11"/>
  <c r="N2841" i="11"/>
  <c r="N2842" i="11"/>
  <c r="N2843" i="11"/>
  <c r="N2844" i="11"/>
  <c r="N2845" i="11"/>
  <c r="N2846" i="11"/>
  <c r="N2847" i="11"/>
  <c r="N2848" i="11"/>
  <c r="N2849" i="11"/>
  <c r="N2850" i="11"/>
  <c r="N2851" i="11"/>
  <c r="N2852" i="11"/>
  <c r="N2853" i="11"/>
  <c r="N2854" i="11"/>
  <c r="N2855" i="11"/>
  <c r="N2856" i="11"/>
  <c r="N2857" i="11"/>
  <c r="N2858" i="11"/>
  <c r="N2859" i="11"/>
  <c r="N2860" i="11"/>
  <c r="N2861" i="11"/>
  <c r="N2862" i="11"/>
  <c r="N2863" i="11"/>
  <c r="N2864" i="11"/>
  <c r="N2865" i="11"/>
  <c r="N2866" i="11"/>
  <c r="N2867" i="11"/>
  <c r="N2868" i="11"/>
  <c r="N2869" i="11"/>
  <c r="N2870" i="11"/>
  <c r="N2871" i="11"/>
  <c r="N2872" i="11"/>
  <c r="N2873" i="11"/>
  <c r="N2874" i="11"/>
  <c r="N2875" i="11"/>
  <c r="N2876" i="11"/>
  <c r="N2877" i="11"/>
  <c r="N2878" i="11"/>
  <c r="N2879" i="11"/>
  <c r="N2880" i="11"/>
  <c r="N2881" i="11"/>
  <c r="N2882" i="11"/>
  <c r="N2883" i="11"/>
  <c r="N2884" i="11"/>
  <c r="N2885" i="11"/>
  <c r="N2886" i="11"/>
  <c r="N2887" i="11"/>
  <c r="N2888" i="11"/>
  <c r="N2889" i="11"/>
  <c r="N2890" i="11"/>
  <c r="N2891" i="11"/>
  <c r="N2892" i="11"/>
  <c r="N2893" i="11"/>
  <c r="N2894" i="11"/>
  <c r="N2895" i="11"/>
  <c r="N2896" i="11"/>
  <c r="N2897" i="11"/>
  <c r="N2898" i="11"/>
  <c r="N2899" i="11"/>
  <c r="N2900" i="11"/>
  <c r="N2901" i="11"/>
  <c r="N2902" i="11"/>
  <c r="N2903" i="11"/>
  <c r="N2904" i="11"/>
  <c r="N2905" i="11"/>
  <c r="N2906" i="11"/>
  <c r="N2907" i="11"/>
  <c r="N2908" i="11"/>
  <c r="N2909" i="11"/>
  <c r="N2910" i="11"/>
  <c r="N2911" i="11"/>
  <c r="N2912" i="11"/>
  <c r="N2913" i="11"/>
  <c r="N2914" i="11"/>
  <c r="N2915" i="11"/>
  <c r="N2916" i="11"/>
  <c r="N2917" i="11"/>
  <c r="N2918" i="11"/>
  <c r="N2919" i="11"/>
  <c r="N2920" i="11"/>
  <c r="N2921" i="11"/>
  <c r="N2922" i="11"/>
  <c r="N2923" i="11"/>
  <c r="N2924" i="11"/>
  <c r="N2925" i="11"/>
  <c r="N2926" i="11"/>
  <c r="N2927" i="11"/>
  <c r="N2928" i="11"/>
  <c r="N2929" i="11"/>
  <c r="N2930" i="11"/>
  <c r="N2931" i="11"/>
  <c r="N2932" i="11"/>
  <c r="N2933" i="11"/>
  <c r="N2934" i="11"/>
  <c r="N2935" i="11"/>
  <c r="N2936" i="11"/>
  <c r="N2937" i="11"/>
  <c r="N2938" i="11"/>
  <c r="N2939" i="11"/>
  <c r="N2940" i="11"/>
  <c r="N2941" i="11"/>
  <c r="N2942" i="11"/>
  <c r="N2943" i="11"/>
  <c r="N2944" i="11"/>
  <c r="N2945" i="11"/>
  <c r="N2946" i="11"/>
  <c r="N2947" i="11"/>
  <c r="N2948" i="11"/>
  <c r="N2949" i="11"/>
  <c r="N2950" i="11"/>
  <c r="N2951" i="11"/>
  <c r="N2952" i="11"/>
  <c r="N2953" i="11"/>
  <c r="N2954" i="11"/>
  <c r="N2955" i="11"/>
  <c r="N2956" i="11"/>
  <c r="N2957" i="11"/>
  <c r="N2958" i="11"/>
  <c r="N2959" i="11"/>
  <c r="N2960" i="11"/>
  <c r="N2961" i="11"/>
  <c r="N2962" i="11"/>
  <c r="N2963" i="11"/>
  <c r="N2964" i="11"/>
  <c r="N2965" i="11"/>
  <c r="N2966" i="11"/>
  <c r="N2967" i="11"/>
  <c r="N2968" i="11"/>
  <c r="N2969" i="11"/>
  <c r="N2970" i="11"/>
  <c r="N2971" i="11"/>
  <c r="N2972" i="11"/>
  <c r="N2973" i="11"/>
  <c r="N2974" i="11"/>
  <c r="N2975" i="11"/>
  <c r="N2976" i="11"/>
  <c r="N2977" i="11"/>
  <c r="N2978" i="11"/>
  <c r="N2979" i="11"/>
  <c r="N2980" i="11"/>
  <c r="N2981" i="11"/>
  <c r="N2982" i="11"/>
  <c r="N2983" i="11"/>
  <c r="N2984" i="11"/>
  <c r="N2985" i="11"/>
  <c r="N2986" i="11"/>
  <c r="N2987" i="11"/>
  <c r="N2988" i="11"/>
  <c r="N2989" i="11"/>
  <c r="N2990" i="11"/>
  <c r="N2991" i="11"/>
  <c r="N2992" i="11"/>
  <c r="N2993" i="11"/>
  <c r="N2994" i="11"/>
  <c r="N2995" i="11"/>
  <c r="N2996" i="11"/>
  <c r="N2997" i="11"/>
  <c r="N2998" i="11"/>
  <c r="N2999" i="11"/>
  <c r="N3000" i="11"/>
  <c r="N3001" i="11"/>
  <c r="N3002" i="11"/>
  <c r="N3003" i="11"/>
  <c r="N3004" i="11"/>
  <c r="N3005" i="11"/>
  <c r="N3006" i="11"/>
  <c r="N3007" i="11"/>
  <c r="N3008" i="11"/>
  <c r="N3009" i="11"/>
  <c r="N3010" i="11"/>
  <c r="N3011" i="11"/>
  <c r="N3012" i="11"/>
  <c r="N3013" i="11"/>
  <c r="N3014" i="11"/>
  <c r="N3015" i="11"/>
  <c r="N3016" i="11"/>
  <c r="N3017" i="11"/>
  <c r="N3018" i="11"/>
  <c r="N3019" i="11"/>
  <c r="N3020" i="11"/>
  <c r="N3021" i="11"/>
  <c r="N3022" i="11"/>
  <c r="N3023" i="11"/>
  <c r="N3024" i="11"/>
  <c r="N3025" i="11"/>
  <c r="N3026" i="11"/>
  <c r="N3027" i="11"/>
  <c r="N3028" i="11"/>
  <c r="N3029" i="11"/>
  <c r="N3030" i="11"/>
  <c r="N3031" i="11"/>
  <c r="N3032" i="11"/>
  <c r="N3033" i="11"/>
  <c r="N3034" i="11"/>
  <c r="N3035" i="11"/>
  <c r="N3036" i="11"/>
  <c r="N3037" i="11"/>
  <c r="N3038" i="11"/>
  <c r="N3039" i="11"/>
  <c r="N3040" i="11"/>
  <c r="N3041" i="11"/>
  <c r="N3042" i="11"/>
  <c r="N3043" i="11"/>
  <c r="N3044" i="11"/>
  <c r="N3045" i="11"/>
  <c r="N3046" i="11"/>
  <c r="N3047" i="11"/>
  <c r="N3048" i="11"/>
  <c r="N3049" i="11"/>
  <c r="N3050" i="11"/>
  <c r="N3051" i="11"/>
  <c r="N3052" i="11"/>
  <c r="N3053" i="11"/>
  <c r="N3054" i="11"/>
  <c r="N3055" i="11"/>
  <c r="N3056" i="11"/>
  <c r="N3057" i="11"/>
  <c r="N3058" i="11"/>
  <c r="N3059" i="11"/>
  <c r="N3060" i="11"/>
  <c r="N3061" i="11"/>
  <c r="N3062" i="11"/>
  <c r="N3063" i="11"/>
  <c r="N3064" i="11"/>
  <c r="N3065" i="11"/>
  <c r="N3066" i="11"/>
  <c r="N3067" i="11"/>
  <c r="N3068" i="11"/>
  <c r="N3069" i="11"/>
  <c r="N3070" i="11"/>
  <c r="N3071" i="11"/>
  <c r="N3072" i="11"/>
  <c r="N3073" i="11"/>
  <c r="N3074" i="11"/>
  <c r="N3075" i="11"/>
  <c r="N3076" i="11"/>
  <c r="N3077" i="11"/>
  <c r="N3078" i="11"/>
  <c r="N3079" i="11"/>
  <c r="N3080" i="11"/>
  <c r="N3081" i="11"/>
  <c r="N3082" i="11"/>
  <c r="N3083" i="11"/>
  <c r="N3084" i="11"/>
  <c r="N3085" i="11"/>
  <c r="N3086" i="11"/>
  <c r="N3087" i="11"/>
  <c r="N3088" i="11"/>
  <c r="N3089" i="11"/>
  <c r="N3090" i="11"/>
  <c r="N3091" i="11"/>
  <c r="N3092" i="11"/>
  <c r="N3093" i="11"/>
  <c r="N3094" i="11"/>
  <c r="N3095" i="11"/>
  <c r="N3096" i="11"/>
  <c r="N3097" i="11"/>
  <c r="N3098" i="11"/>
  <c r="N3099" i="11"/>
  <c r="N3100" i="11"/>
  <c r="N3101" i="11"/>
  <c r="N3102" i="11"/>
  <c r="N3103" i="11"/>
  <c r="N3104" i="11"/>
  <c r="N3105" i="11"/>
  <c r="N3106" i="11"/>
  <c r="N3107" i="11"/>
  <c r="N3108" i="11"/>
  <c r="N3109" i="11"/>
  <c r="N3110" i="11"/>
  <c r="N3111" i="11"/>
  <c r="N3112" i="11"/>
  <c r="N3113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N313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5" i="11"/>
  <c r="N3146" i="11"/>
  <c r="N3147" i="11"/>
  <c r="N3148" i="11"/>
  <c r="N3149" i="11"/>
  <c r="N3150" i="11"/>
  <c r="N3151" i="11"/>
  <c r="N3152" i="11"/>
  <c r="N3153" i="11"/>
  <c r="N3154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0" i="11"/>
  <c r="N3171" i="11"/>
  <c r="N3172" i="11"/>
  <c r="N3173" i="11"/>
  <c r="N3174" i="11"/>
  <c r="N3175" i="11"/>
  <c r="N3176" i="11"/>
  <c r="N3177" i="11"/>
  <c r="N3178" i="11"/>
  <c r="N3179" i="11"/>
  <c r="N3180" i="11"/>
  <c r="N3181" i="11"/>
  <c r="N3182" i="11"/>
  <c r="N3183" i="11"/>
  <c r="N3184" i="11"/>
  <c r="N3185" i="11"/>
  <c r="N3186" i="11"/>
  <c r="N3187" i="11"/>
  <c r="N3188" i="11"/>
  <c r="N3189" i="11"/>
  <c r="N3190" i="11"/>
  <c r="N3191" i="11"/>
  <c r="N3192" i="11"/>
  <c r="N3193" i="11"/>
  <c r="N3194" i="11"/>
  <c r="N3195" i="11"/>
  <c r="N3196" i="11"/>
  <c r="N3197" i="11"/>
  <c r="N3198" i="11"/>
  <c r="N3199" i="11"/>
  <c r="N3200" i="11"/>
  <c r="N3201" i="11"/>
  <c r="N3202" i="11"/>
  <c r="N3203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2" i="11"/>
  <c r="N3243" i="11"/>
  <c r="N3244" i="11"/>
  <c r="N3245" i="11"/>
  <c r="N3246" i="11"/>
  <c r="N3247" i="11"/>
  <c r="N3248" i="11"/>
  <c r="N3249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8" i="11"/>
  <c r="N3299" i="11"/>
  <c r="N3300" i="11"/>
  <c r="N3301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N3313" i="11"/>
  <c r="N3314" i="11"/>
  <c r="N3315" i="11"/>
  <c r="N3316" i="11"/>
  <c r="N3317" i="11"/>
  <c r="N3318" i="11"/>
  <c r="N3319" i="11"/>
  <c r="N3320" i="11"/>
  <c r="N3321" i="11"/>
  <c r="N3322" i="11"/>
  <c r="N3323" i="11"/>
  <c r="N3324" i="11"/>
  <c r="N3325" i="11"/>
  <c r="N3326" i="11"/>
  <c r="N3327" i="11"/>
  <c r="N3328" i="11"/>
  <c r="N3329" i="11"/>
  <c r="N3330" i="11"/>
  <c r="N3331" i="11"/>
  <c r="N3332" i="11"/>
  <c r="N3333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7" i="11"/>
  <c r="N3378" i="11"/>
  <c r="N3379" i="11"/>
  <c r="N3380" i="11"/>
  <c r="N3381" i="11"/>
  <c r="N3382" i="11"/>
  <c r="N3383" i="11"/>
  <c r="N3384" i="11"/>
  <c r="N3385" i="11"/>
  <c r="N3386" i="11"/>
  <c r="N3387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N3463" i="11"/>
  <c r="N3464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6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1" i="11"/>
  <c r="N3512" i="11"/>
  <c r="N3513" i="11"/>
  <c r="N3514" i="11"/>
  <c r="N3515" i="11"/>
  <c r="N3516" i="11"/>
  <c r="N3517" i="11"/>
  <c r="N3518" i="11"/>
  <c r="N3519" i="11"/>
  <c r="N3520" i="11"/>
  <c r="N3521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N3534" i="11"/>
  <c r="N3535" i="11"/>
  <c r="N3536" i="11"/>
  <c r="N3537" i="11"/>
  <c r="N3538" i="11"/>
  <c r="N3539" i="11"/>
  <c r="N3540" i="11"/>
  <c r="N3541" i="11"/>
  <c r="N3542" i="11"/>
  <c r="N3543" i="11"/>
  <c r="N3544" i="11"/>
  <c r="N3545" i="11"/>
  <c r="N3546" i="11"/>
  <c r="N3547" i="11"/>
  <c r="N3548" i="11"/>
  <c r="N3549" i="11"/>
  <c r="N3550" i="11"/>
  <c r="N3551" i="11"/>
  <c r="N3552" i="11"/>
  <c r="N3553" i="11"/>
  <c r="N3554" i="11"/>
  <c r="N3555" i="11"/>
  <c r="N3556" i="11"/>
  <c r="N3557" i="11"/>
  <c r="N3558" i="11"/>
  <c r="N3559" i="11"/>
  <c r="N356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N3603" i="11"/>
  <c r="N3604" i="11"/>
  <c r="N3605" i="11"/>
  <c r="N3606" i="11"/>
  <c r="N3607" i="11"/>
  <c r="N3608" i="11"/>
  <c r="N3609" i="11"/>
  <c r="N3610" i="11"/>
  <c r="N3611" i="11"/>
  <c r="N3612" i="11"/>
  <c r="N3613" i="11"/>
  <c r="N3614" i="11"/>
  <c r="N3615" i="11"/>
  <c r="N3616" i="11"/>
  <c r="N3617" i="11"/>
  <c r="N3618" i="11"/>
  <c r="N3619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N3703" i="11"/>
  <c r="N3704" i="11"/>
  <c r="N3705" i="11"/>
  <c r="N3706" i="11"/>
  <c r="N3707" i="11"/>
  <c r="N3708" i="11"/>
  <c r="N3709" i="11"/>
  <c r="N3710" i="11"/>
  <c r="N3711" i="11"/>
  <c r="N3712" i="11"/>
  <c r="N3713" i="11"/>
  <c r="N3714" i="11"/>
  <c r="N3715" i="11"/>
  <c r="N3716" i="11"/>
  <c r="N3717" i="11"/>
  <c r="N3718" i="11"/>
  <c r="N3719" i="11"/>
  <c r="N3720" i="11"/>
  <c r="N3721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8" i="11"/>
  <c r="N3739" i="11"/>
  <c r="N3740" i="11"/>
  <c r="N3741" i="11"/>
  <c r="N3742" i="11"/>
  <c r="N3743" i="11"/>
  <c r="N3744" i="11"/>
  <c r="N3745" i="11"/>
  <c r="N3746" i="11"/>
  <c r="N3747" i="11"/>
  <c r="N3748" i="11"/>
  <c r="N3749" i="11"/>
  <c r="N3750" i="11"/>
  <c r="N3751" i="11"/>
  <c r="N3752" i="11"/>
  <c r="N3753" i="11"/>
  <c r="N3754" i="11"/>
  <c r="N3755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79" i="11"/>
  <c r="N3780" i="11"/>
  <c r="N3781" i="11"/>
  <c r="N3782" i="11"/>
  <c r="N3783" i="11"/>
  <c r="N3784" i="11"/>
  <c r="N3785" i="11"/>
  <c r="N3786" i="11"/>
  <c r="N3787" i="11"/>
  <c r="N3788" i="11"/>
  <c r="N3789" i="11"/>
  <c r="N3790" i="11"/>
  <c r="N3791" i="11"/>
  <c r="N3792" i="11"/>
  <c r="N3793" i="11"/>
  <c r="N3794" i="11"/>
  <c r="N3795" i="11"/>
  <c r="N3796" i="11"/>
  <c r="N3797" i="11"/>
  <c r="N3798" i="11"/>
  <c r="N3799" i="11"/>
  <c r="N3800" i="11"/>
  <c r="N3801" i="11"/>
  <c r="N3802" i="11"/>
  <c r="N3803" i="11"/>
  <c r="N3804" i="11"/>
  <c r="N3805" i="11"/>
  <c r="N3806" i="11"/>
  <c r="N3807" i="11"/>
  <c r="N3808" i="11"/>
  <c r="N3809" i="11"/>
  <c r="N3810" i="11"/>
  <c r="N3811" i="11"/>
  <c r="N3812" i="11"/>
  <c r="N3813" i="11"/>
  <c r="N3814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3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5" i="11"/>
  <c r="N3866" i="11"/>
  <c r="N3867" i="11"/>
  <c r="N3868" i="11"/>
  <c r="N3869" i="11"/>
  <c r="N3870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N3887" i="11"/>
  <c r="N3888" i="11"/>
  <c r="N3889" i="11"/>
  <c r="N3890" i="11"/>
  <c r="N3891" i="11"/>
  <c r="N3892" i="11"/>
  <c r="N3893" i="11"/>
  <c r="N3894" i="11"/>
  <c r="N3895" i="11"/>
  <c r="N3896" i="11"/>
  <c r="N3897" i="11"/>
  <c r="N3898" i="11"/>
  <c r="N3899" i="11"/>
  <c r="N3900" i="11"/>
  <c r="N3901" i="11"/>
  <c r="N3902" i="11"/>
  <c r="N3903" i="11"/>
  <c r="N3904" i="11"/>
  <c r="N3905" i="11"/>
  <c r="N3906" i="11"/>
  <c r="N3907" i="11"/>
  <c r="N3908" i="11"/>
  <c r="N3909" i="11"/>
  <c r="N3910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N3927" i="11"/>
  <c r="N3928" i="11"/>
  <c r="N3929" i="11"/>
  <c r="N3930" i="11"/>
  <c r="N3931" i="11"/>
  <c r="N3932" i="11"/>
  <c r="N3933" i="11"/>
  <c r="N3934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N3949" i="11"/>
  <c r="N3950" i="11"/>
  <c r="N3951" i="11"/>
  <c r="N3952" i="11"/>
  <c r="N3953" i="11"/>
  <c r="N3954" i="11"/>
  <c r="N3955" i="11"/>
  <c r="N3956" i="11"/>
  <c r="N3957" i="11"/>
  <c r="N3958" i="11"/>
  <c r="N3959" i="11"/>
  <c r="N3960" i="11"/>
  <c r="N3961" i="11"/>
  <c r="N3962" i="11"/>
  <c r="N3963" i="11"/>
  <c r="N3964" i="11"/>
  <c r="N3965" i="11"/>
  <c r="N3966" i="11"/>
  <c r="N3967" i="11"/>
  <c r="N3968" i="11"/>
  <c r="N3969" i="11"/>
  <c r="N3970" i="11"/>
  <c r="N3971" i="11"/>
  <c r="N3972" i="11"/>
  <c r="N3973" i="11"/>
  <c r="N3974" i="11"/>
  <c r="N3975" i="11"/>
  <c r="N3976" i="11"/>
  <c r="N3977" i="11"/>
  <c r="N3978" i="11"/>
  <c r="N3979" i="11"/>
  <c r="N3980" i="11"/>
  <c r="N3981" i="11"/>
  <c r="N3982" i="11"/>
  <c r="N3983" i="11"/>
  <c r="N3984" i="11"/>
  <c r="N3985" i="11"/>
  <c r="N3986" i="11"/>
  <c r="N3987" i="11"/>
  <c r="N3988" i="11"/>
  <c r="N3989" i="11"/>
  <c r="N3990" i="11"/>
  <c r="N3991" i="11"/>
  <c r="N3992" i="11"/>
  <c r="N3993" i="11"/>
  <c r="N3994" i="11"/>
  <c r="N3995" i="11"/>
  <c r="N3996" i="11"/>
  <c r="N3997" i="11"/>
  <c r="N3998" i="11"/>
  <c r="N3999" i="11"/>
  <c r="N4000" i="11"/>
  <c r="N4001" i="11"/>
  <c r="N4002" i="11"/>
  <c r="N4003" i="11"/>
  <c r="N4004" i="11"/>
  <c r="N4005" i="11"/>
  <c r="N4006" i="11"/>
  <c r="N4007" i="11"/>
  <c r="N4008" i="11"/>
  <c r="N4009" i="11"/>
  <c r="N4010" i="11"/>
  <c r="N4011" i="11"/>
  <c r="N4012" i="11"/>
  <c r="N4013" i="11"/>
  <c r="N4014" i="11"/>
  <c r="N4015" i="11"/>
  <c r="N4016" i="11"/>
  <c r="N4017" i="11"/>
  <c r="N4018" i="11"/>
  <c r="N4019" i="11"/>
  <c r="N4020" i="11"/>
  <c r="N4021" i="11"/>
  <c r="N4022" i="11"/>
  <c r="N4023" i="11"/>
  <c r="N4024" i="11"/>
  <c r="N4025" i="11"/>
  <c r="N4026" i="11"/>
  <c r="N4027" i="11"/>
  <c r="N4028" i="11"/>
  <c r="N4029" i="11"/>
  <c r="N4030" i="11"/>
  <c r="N4031" i="11"/>
  <c r="N4032" i="11"/>
  <c r="N4033" i="11"/>
  <c r="N4034" i="11"/>
  <c r="N4035" i="11"/>
  <c r="N4036" i="11"/>
  <c r="N4037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49" i="11"/>
  <c r="N4050" i="11"/>
  <c r="N4051" i="11"/>
  <c r="N4052" i="11"/>
  <c r="N4053" i="11"/>
  <c r="N4054" i="11"/>
  <c r="N4055" i="11"/>
  <c r="N4056" i="11"/>
  <c r="N4057" i="11"/>
  <c r="N4058" i="11"/>
  <c r="N4059" i="11"/>
  <c r="N4060" i="11"/>
  <c r="N4061" i="11"/>
  <c r="N4062" i="11"/>
  <c r="N4063" i="11"/>
  <c r="N4064" i="11"/>
  <c r="N4065" i="11"/>
  <c r="N4066" i="11"/>
  <c r="N4067" i="11"/>
  <c r="N4068" i="11"/>
  <c r="N4069" i="11"/>
  <c r="N4070" i="11"/>
  <c r="N4071" i="11"/>
  <c r="N4072" i="11"/>
  <c r="N4073" i="11"/>
  <c r="N4074" i="11"/>
  <c r="N4075" i="11"/>
  <c r="N4076" i="11"/>
  <c r="N4077" i="11"/>
  <c r="N4078" i="11"/>
  <c r="N4079" i="11"/>
  <c r="N4080" i="11"/>
  <c r="N4081" i="11"/>
  <c r="N4082" i="11"/>
  <c r="N4083" i="11"/>
  <c r="N4084" i="11"/>
  <c r="N4085" i="11"/>
  <c r="N4086" i="11"/>
  <c r="N4087" i="11"/>
  <c r="N4088" i="11"/>
  <c r="N4089" i="11"/>
  <c r="N4090" i="11"/>
  <c r="N4091" i="11"/>
  <c r="N4092" i="11"/>
  <c r="N4093" i="11"/>
  <c r="N4094" i="11"/>
  <c r="N4095" i="11"/>
  <c r="N4096" i="11"/>
  <c r="N4097" i="11"/>
  <c r="N4098" i="11"/>
  <c r="N4099" i="11"/>
  <c r="N4100" i="11"/>
  <c r="N4101" i="11"/>
  <c r="N4102" i="11"/>
  <c r="N4103" i="11"/>
  <c r="N4104" i="11"/>
  <c r="N4105" i="11"/>
  <c r="N4106" i="11"/>
  <c r="N4107" i="11"/>
  <c r="N4108" i="11"/>
  <c r="N4109" i="11"/>
  <c r="N4110" i="11"/>
  <c r="N4111" i="11"/>
  <c r="N4112" i="11"/>
  <c r="N4113" i="11"/>
  <c r="N4114" i="11"/>
  <c r="N4115" i="11"/>
  <c r="N4116" i="11"/>
  <c r="N4117" i="11"/>
  <c r="N4118" i="11"/>
  <c r="N4119" i="11"/>
  <c r="N4120" i="11"/>
  <c r="N4121" i="11"/>
  <c r="N4122" i="11"/>
  <c r="N4123" i="11"/>
  <c r="N4124" i="11"/>
  <c r="N4125" i="11"/>
  <c r="N4126" i="11"/>
  <c r="N4127" i="11"/>
  <c r="N4128" i="11"/>
  <c r="N4129" i="11"/>
  <c r="N4130" i="11"/>
  <c r="N4131" i="11"/>
  <c r="N4132" i="11"/>
  <c r="N4133" i="11"/>
  <c r="N4134" i="11"/>
  <c r="N4135" i="11"/>
  <c r="N4136" i="11"/>
  <c r="N4137" i="11"/>
  <c r="N4138" i="11"/>
  <c r="N4139" i="11"/>
  <c r="N4140" i="11"/>
  <c r="N4141" i="11"/>
  <c r="N4142" i="11"/>
  <c r="N4143" i="11"/>
  <c r="N4144" i="11"/>
  <c r="N4145" i="11"/>
  <c r="N4146" i="11"/>
  <c r="N4147" i="11"/>
  <c r="N4148" i="11"/>
  <c r="N4149" i="11"/>
  <c r="N4150" i="11"/>
  <c r="N4151" i="11"/>
  <c r="N4152" i="11"/>
  <c r="N4153" i="11"/>
  <c r="N4154" i="11"/>
  <c r="N4155" i="11"/>
  <c r="N4156" i="11"/>
  <c r="N4157" i="11"/>
  <c r="N4158" i="11"/>
  <c r="N4159" i="11"/>
  <c r="N4160" i="11"/>
  <c r="N4161" i="11"/>
  <c r="N4162" i="11"/>
  <c r="N4163" i="11"/>
  <c r="N4164" i="11"/>
  <c r="N4165" i="11"/>
  <c r="N4166" i="11"/>
  <c r="N4167" i="11"/>
  <c r="N4168" i="11"/>
  <c r="N4169" i="11"/>
  <c r="N4170" i="11"/>
  <c r="N4171" i="11"/>
  <c r="N4172" i="11"/>
  <c r="N4173" i="11"/>
  <c r="N4174" i="11"/>
  <c r="N4175" i="11"/>
  <c r="N4176" i="11"/>
  <c r="N4177" i="11"/>
  <c r="N4178" i="11"/>
  <c r="N4179" i="11"/>
  <c r="N4180" i="11"/>
  <c r="N4181" i="11"/>
  <c r="N4182" i="11"/>
  <c r="N4183" i="11"/>
  <c r="N4184" i="11"/>
  <c r="N4185" i="11"/>
  <c r="N4186" i="11"/>
  <c r="N4187" i="11"/>
  <c r="N4188" i="11"/>
  <c r="N4189" i="11"/>
  <c r="N4190" i="11"/>
  <c r="N4191" i="11"/>
  <c r="N4192" i="11"/>
  <c r="N4193" i="11"/>
  <c r="N4194" i="11"/>
  <c r="N4195" i="11"/>
  <c r="N4196" i="11"/>
  <c r="N4197" i="11"/>
  <c r="N4198" i="11"/>
  <c r="N4199" i="11"/>
  <c r="N4200" i="11"/>
  <c r="N4201" i="11"/>
  <c r="N4202" i="11"/>
  <c r="N4203" i="11"/>
  <c r="N4204" i="11"/>
  <c r="N4205" i="11"/>
  <c r="N4206" i="11"/>
  <c r="N4207" i="11"/>
  <c r="N4208" i="11"/>
  <c r="N4209" i="11"/>
  <c r="N4210" i="11"/>
  <c r="N4211" i="11"/>
  <c r="N4212" i="11"/>
  <c r="N4213" i="11"/>
  <c r="N4214" i="11"/>
  <c r="N4215" i="11"/>
  <c r="N4216" i="11"/>
  <c r="N4217" i="11"/>
  <c r="N4218" i="11"/>
  <c r="N4219" i="11"/>
  <c r="N4220" i="11"/>
  <c r="N4221" i="11"/>
  <c r="N4222" i="11"/>
  <c r="N4223" i="11"/>
  <c r="N4224" i="11"/>
  <c r="N4225" i="11"/>
  <c r="N4226" i="11"/>
  <c r="N4227" i="11"/>
  <c r="N4228" i="11"/>
  <c r="N4229" i="11"/>
  <c r="N4230" i="11"/>
  <c r="N4231" i="11"/>
  <c r="N4232" i="11"/>
  <c r="N4233" i="11"/>
  <c r="N4234" i="11"/>
  <c r="N4235" i="11"/>
  <c r="N4236" i="11"/>
  <c r="N4237" i="11"/>
  <c r="N4238" i="11"/>
  <c r="N4239" i="11"/>
  <c r="N4240" i="11"/>
  <c r="N4241" i="11"/>
  <c r="N4242" i="11"/>
  <c r="N4243" i="11"/>
  <c r="N4244" i="11"/>
  <c r="N4245" i="11"/>
  <c r="N4246" i="11"/>
  <c r="N4247" i="11"/>
  <c r="N4248" i="11"/>
  <c r="N4249" i="11"/>
  <c r="N4250" i="11"/>
  <c r="N4251" i="11"/>
  <c r="N4252" i="11"/>
  <c r="N4253" i="11"/>
  <c r="N4254" i="11"/>
  <c r="N4255" i="11"/>
  <c r="N4256" i="11"/>
  <c r="N4257" i="11"/>
  <c r="N4258" i="11"/>
  <c r="N4259" i="11"/>
  <c r="N4260" i="11"/>
  <c r="N4261" i="11"/>
  <c r="N4262" i="11"/>
  <c r="N4263" i="11"/>
  <c r="N4264" i="11"/>
  <c r="N4265" i="11"/>
  <c r="N4266" i="11"/>
  <c r="N4267" i="11"/>
  <c r="N4268" i="11"/>
  <c r="N4269" i="11"/>
  <c r="N4270" i="11"/>
  <c r="N4271" i="11"/>
  <c r="N4272" i="11"/>
  <c r="N4273" i="11"/>
  <c r="N4274" i="11"/>
  <c r="N4275" i="11"/>
  <c r="N4276" i="11"/>
  <c r="N4277" i="11"/>
  <c r="N4278" i="11"/>
  <c r="N4279" i="11"/>
  <c r="N4280" i="11"/>
  <c r="N4281" i="11"/>
  <c r="N4282" i="11"/>
  <c r="N4283" i="11"/>
  <c r="N4284" i="11"/>
  <c r="N4285" i="11"/>
  <c r="N4286" i="11"/>
  <c r="N4287" i="11"/>
  <c r="N4288" i="11"/>
  <c r="N4289" i="11"/>
  <c r="N4290" i="11"/>
  <c r="N4291" i="11"/>
  <c r="N4292" i="11"/>
  <c r="N4293" i="11"/>
  <c r="N4294" i="11"/>
  <c r="N4295" i="11"/>
  <c r="N4296" i="11"/>
  <c r="N4297" i="11"/>
  <c r="N4298" i="11"/>
  <c r="N4299" i="11"/>
  <c r="N4300" i="11"/>
  <c r="N4301" i="11"/>
  <c r="N4302" i="11"/>
  <c r="N4303" i="11"/>
  <c r="N4304" i="11"/>
  <c r="N4305" i="11"/>
  <c r="N4306" i="11"/>
  <c r="N4307" i="11"/>
  <c r="N4308" i="11"/>
  <c r="N4309" i="11"/>
  <c r="N4310" i="11"/>
  <c r="N4311" i="11"/>
  <c r="N4312" i="11"/>
  <c r="N4313" i="11"/>
  <c r="N4314" i="11"/>
  <c r="N4315" i="11"/>
  <c r="N4316" i="11"/>
  <c r="N4317" i="11"/>
  <c r="N4318" i="11"/>
  <c r="N4319" i="11"/>
  <c r="N4320" i="11"/>
  <c r="N4321" i="11"/>
  <c r="N4322" i="11"/>
  <c r="N4323" i="11"/>
  <c r="N4324" i="11"/>
  <c r="N4325" i="11"/>
  <c r="N4326" i="11"/>
  <c r="N4327" i="11"/>
  <c r="N4328" i="11"/>
  <c r="N4329" i="11"/>
  <c r="N4330" i="11"/>
  <c r="N4331" i="11"/>
  <c r="N4332" i="11"/>
  <c r="N4333" i="11"/>
  <c r="N4334" i="11"/>
  <c r="N4335" i="11"/>
  <c r="N4336" i="11"/>
  <c r="N4337" i="11"/>
  <c r="N4338" i="11"/>
  <c r="N4339" i="11"/>
  <c r="N4340" i="11"/>
  <c r="N4341" i="11"/>
  <c r="N4342" i="11"/>
  <c r="N4343" i="11"/>
  <c r="N4344" i="11"/>
  <c r="N4345" i="11"/>
  <c r="N4346" i="11"/>
  <c r="N4347" i="11"/>
  <c r="N4348" i="11"/>
  <c r="N4349" i="11"/>
  <c r="N4350" i="11"/>
  <c r="N4351" i="11"/>
  <c r="N4352" i="11"/>
  <c r="N4353" i="11"/>
  <c r="N4354" i="11"/>
  <c r="N4355" i="11"/>
  <c r="N4356" i="11"/>
  <c r="N4357" i="11"/>
  <c r="N4358" i="11"/>
  <c r="N4359" i="11"/>
  <c r="N4360" i="11"/>
  <c r="N4361" i="11"/>
  <c r="N4362" i="11"/>
  <c r="N4363" i="11"/>
  <c r="N4364" i="11"/>
  <c r="N4365" i="11"/>
  <c r="N4366" i="11"/>
  <c r="N4367" i="11"/>
  <c r="N4368" i="11"/>
  <c r="N4369" i="11"/>
  <c r="N4370" i="11"/>
  <c r="N4371" i="11"/>
  <c r="N4372" i="11"/>
  <c r="N4373" i="11"/>
  <c r="N4374" i="11"/>
  <c r="N4375" i="11"/>
  <c r="N4376" i="11"/>
  <c r="N4377" i="11"/>
  <c r="N4378" i="11"/>
  <c r="N4379" i="11"/>
  <c r="N4380" i="11"/>
  <c r="N4381" i="11"/>
  <c r="N4382" i="11"/>
  <c r="N4383" i="11"/>
  <c r="N4384" i="11"/>
  <c r="N4385" i="11"/>
  <c r="N4386" i="11"/>
  <c r="N4387" i="11"/>
  <c r="N4388" i="11"/>
  <c r="N4389" i="11"/>
  <c r="N4390" i="11"/>
  <c r="N4391" i="11"/>
  <c r="N4392" i="11"/>
  <c r="N4393" i="11"/>
  <c r="N4394" i="11"/>
  <c r="N4395" i="11"/>
  <c r="N4396" i="11"/>
  <c r="N4397" i="11"/>
  <c r="N4398" i="11"/>
  <c r="N4399" i="11"/>
  <c r="N4400" i="11"/>
  <c r="N4401" i="11"/>
  <c r="N4402" i="11"/>
  <c r="N4403" i="11"/>
  <c r="N4404" i="11"/>
  <c r="N4405" i="11"/>
  <c r="N4406" i="11"/>
  <c r="N4407" i="11"/>
  <c r="N4408" i="11"/>
  <c r="N4409" i="11"/>
  <c r="N4410" i="11"/>
  <c r="N4411" i="11"/>
  <c r="N4412" i="11"/>
  <c r="N4413" i="11"/>
  <c r="N4414" i="11"/>
  <c r="N4415" i="11"/>
  <c r="N4416" i="11"/>
  <c r="N4417" i="11"/>
  <c r="N4418" i="11"/>
  <c r="N4419" i="11"/>
  <c r="N4420" i="11"/>
  <c r="N4421" i="11"/>
  <c r="N4422" i="11"/>
  <c r="N4423" i="11"/>
  <c r="N4424" i="11"/>
  <c r="N4425" i="11"/>
  <c r="N4426" i="11"/>
  <c r="N4427" i="11"/>
  <c r="N4428" i="11"/>
  <c r="N4429" i="11"/>
  <c r="N4430" i="11"/>
  <c r="N4431" i="11"/>
  <c r="N4432" i="11"/>
  <c r="N4433" i="11"/>
  <c r="N4434" i="11"/>
  <c r="N4435" i="11"/>
  <c r="N4436" i="11"/>
  <c r="N4437" i="11"/>
  <c r="N4438" i="11"/>
  <c r="N4439" i="11"/>
  <c r="N4440" i="11"/>
  <c r="N4441" i="11"/>
  <c r="N4442" i="11"/>
  <c r="N4443" i="11"/>
  <c r="N4444" i="11"/>
  <c r="N4445" i="11"/>
  <c r="N4446" i="11"/>
  <c r="N4447" i="11"/>
  <c r="N4448" i="11"/>
  <c r="N4449" i="11"/>
  <c r="N4450" i="11"/>
  <c r="N4451" i="11"/>
  <c r="N4452" i="11"/>
  <c r="N4453" i="11"/>
  <c r="N4454" i="11"/>
  <c r="N4455" i="11"/>
  <c r="N4456" i="11"/>
  <c r="N4457" i="11"/>
  <c r="N4458" i="11"/>
  <c r="N4459" i="11"/>
  <c r="N4460" i="11"/>
  <c r="N4461" i="11"/>
  <c r="N4462" i="11"/>
  <c r="N4463" i="11"/>
  <c r="N4464" i="11"/>
  <c r="N4465" i="11"/>
  <c r="N4466" i="11"/>
  <c r="N4467" i="11"/>
  <c r="N4468" i="11"/>
  <c r="N4469" i="11"/>
  <c r="N4470" i="11"/>
  <c r="N4471" i="11"/>
  <c r="N4472" i="11"/>
  <c r="N4473" i="11"/>
  <c r="N4474" i="11"/>
  <c r="N4475" i="11"/>
  <c r="N4476" i="11"/>
  <c r="N4477" i="11"/>
  <c r="N4478" i="11"/>
  <c r="N4479" i="11"/>
  <c r="N4480" i="11"/>
  <c r="N4481" i="11"/>
  <c r="N4482" i="11"/>
  <c r="N4483" i="11"/>
  <c r="N4484" i="11"/>
  <c r="N4485" i="11"/>
  <c r="N4486" i="11"/>
  <c r="N4487" i="11"/>
  <c r="N4488" i="11"/>
  <c r="N4489" i="11"/>
  <c r="N4490" i="11"/>
  <c r="N4491" i="11"/>
  <c r="N4492" i="11"/>
  <c r="N4493" i="11"/>
  <c r="N4494" i="11"/>
  <c r="N4495" i="11"/>
  <c r="N4496" i="11"/>
  <c r="N4497" i="11"/>
  <c r="N4498" i="11"/>
  <c r="N4499" i="11"/>
  <c r="N4500" i="11"/>
  <c r="N4501" i="11"/>
  <c r="N4502" i="11"/>
  <c r="N4503" i="11"/>
  <c r="N4504" i="11"/>
  <c r="N4505" i="11"/>
  <c r="N4506" i="11"/>
  <c r="N4507" i="11"/>
  <c r="N4508" i="11"/>
  <c r="N4509" i="11"/>
  <c r="N4510" i="11"/>
  <c r="N4511" i="11"/>
  <c r="N4512" i="11"/>
  <c r="N4513" i="11"/>
  <c r="N4514" i="11"/>
  <c r="N4515" i="11"/>
  <c r="N4516" i="11"/>
  <c r="N4517" i="11"/>
  <c r="N4518" i="11"/>
  <c r="N4519" i="11"/>
  <c r="N4520" i="11"/>
  <c r="N4521" i="11"/>
  <c r="N4522" i="11"/>
  <c r="N4523" i="11"/>
  <c r="N4524" i="11"/>
  <c r="N4525" i="11"/>
  <c r="N4526" i="11"/>
  <c r="N4527" i="11"/>
  <c r="N4528" i="11"/>
  <c r="N4529" i="11"/>
  <c r="N4530" i="11"/>
  <c r="N4531" i="11"/>
  <c r="N4532" i="11"/>
  <c r="N4533" i="11"/>
  <c r="N4534" i="11"/>
  <c r="N4535" i="11"/>
  <c r="N4536" i="11"/>
  <c r="N4537" i="11"/>
  <c r="N4538" i="11"/>
  <c r="N4539" i="11"/>
  <c r="N4540" i="11"/>
  <c r="N4541" i="11"/>
  <c r="N4542" i="11"/>
  <c r="N4543" i="11"/>
  <c r="N4544" i="11"/>
  <c r="N4545" i="11"/>
  <c r="N4546" i="11"/>
  <c r="N4547" i="11"/>
  <c r="N4548" i="11"/>
  <c r="N4549" i="11"/>
  <c r="N4550" i="11"/>
  <c r="N4551" i="11"/>
  <c r="N4552" i="11"/>
  <c r="N4553" i="11"/>
  <c r="N4554" i="11"/>
  <c r="N4555" i="11"/>
  <c r="N4556" i="11"/>
  <c r="N4557" i="11"/>
  <c r="N4558" i="11"/>
  <c r="N4559" i="11"/>
  <c r="N4560" i="11"/>
  <c r="N4561" i="11"/>
  <c r="N4562" i="11"/>
  <c r="N4563" i="11"/>
  <c r="N4564" i="11"/>
  <c r="N4565" i="11"/>
  <c r="N4566" i="11"/>
  <c r="N4567" i="11"/>
  <c r="N4568" i="11"/>
  <c r="N4569" i="11"/>
  <c r="N4570" i="11"/>
  <c r="N4571" i="11"/>
  <c r="N4572" i="11"/>
  <c r="N4573" i="11"/>
  <c r="N4574" i="11"/>
  <c r="N4575" i="11"/>
  <c r="N4576" i="11"/>
  <c r="N4577" i="11"/>
  <c r="N4578" i="11"/>
  <c r="N4579" i="11"/>
  <c r="N4580" i="11"/>
  <c r="N4581" i="11"/>
  <c r="N4582" i="11"/>
  <c r="N4583" i="11"/>
  <c r="N4584" i="11"/>
  <c r="N4585" i="11"/>
  <c r="N4586" i="11"/>
  <c r="N4587" i="11"/>
  <c r="N4588" i="11"/>
  <c r="N4589" i="11"/>
  <c r="N4590" i="11"/>
  <c r="N4591" i="11"/>
  <c r="N4592" i="11"/>
  <c r="N4593" i="11"/>
  <c r="N4594" i="11"/>
  <c r="N4595" i="11"/>
  <c r="N4596" i="11"/>
  <c r="N4597" i="11"/>
  <c r="N4598" i="11"/>
  <c r="N4599" i="11"/>
  <c r="N4600" i="11"/>
  <c r="N4601" i="11"/>
  <c r="N4602" i="11"/>
  <c r="N4603" i="11"/>
  <c r="N4604" i="11"/>
  <c r="N4605" i="11"/>
  <c r="N4606" i="11"/>
  <c r="N4607" i="11"/>
  <c r="N4608" i="11"/>
  <c r="N4609" i="11"/>
  <c r="N4610" i="11"/>
  <c r="N4611" i="11"/>
  <c r="N4612" i="11"/>
  <c r="N4613" i="11"/>
  <c r="N4614" i="11"/>
  <c r="N4615" i="11"/>
  <c r="N4616" i="11"/>
  <c r="N4617" i="11"/>
  <c r="N4618" i="11"/>
  <c r="N4619" i="11"/>
  <c r="N4620" i="11"/>
  <c r="N4621" i="11"/>
  <c r="N4622" i="11"/>
  <c r="N4623" i="11"/>
  <c r="N4624" i="11"/>
  <c r="N4625" i="11"/>
  <c r="N4626" i="11"/>
  <c r="N4627" i="11"/>
  <c r="N4628" i="11"/>
  <c r="N4629" i="11"/>
  <c r="N4630" i="11"/>
  <c r="N4631" i="11"/>
  <c r="N4632" i="11"/>
  <c r="N4633" i="11"/>
  <c r="N4634" i="11"/>
  <c r="N4635" i="11"/>
  <c r="N4636" i="11"/>
  <c r="N4637" i="11"/>
  <c r="N4638" i="11"/>
  <c r="N4639" i="11"/>
  <c r="N4640" i="11"/>
  <c r="N4641" i="11"/>
  <c r="N4642" i="11"/>
  <c r="N4643" i="11"/>
  <c r="N4644" i="11"/>
  <c r="N4645" i="11"/>
  <c r="N4646" i="11"/>
  <c r="N4647" i="11"/>
  <c r="N4648" i="11"/>
  <c r="N4649" i="11"/>
  <c r="N4650" i="11"/>
  <c r="N4651" i="11"/>
  <c r="N4652" i="11"/>
  <c r="N4653" i="11"/>
  <c r="N4654" i="11"/>
  <c r="N4655" i="11"/>
  <c r="N4656" i="11"/>
  <c r="N4657" i="11"/>
  <c r="N4658" i="11"/>
  <c r="N4659" i="11"/>
  <c r="N4660" i="11"/>
  <c r="N4661" i="11"/>
  <c r="N4662" i="11"/>
  <c r="N4663" i="11"/>
  <c r="N4664" i="11"/>
  <c r="N4665" i="11"/>
  <c r="N4666" i="11"/>
  <c r="N4667" i="11"/>
  <c r="N4668" i="11"/>
  <c r="N4669" i="11"/>
  <c r="N4670" i="11"/>
  <c r="N4671" i="11"/>
  <c r="N4672" i="11"/>
  <c r="N4673" i="11"/>
  <c r="N4674" i="11"/>
  <c r="N4675" i="11"/>
  <c r="N4676" i="11"/>
  <c r="N4677" i="11"/>
  <c r="N4678" i="11"/>
  <c r="N4679" i="11"/>
  <c r="N4680" i="11"/>
  <c r="N4681" i="11"/>
  <c r="N4682" i="11"/>
  <c r="N4683" i="11"/>
  <c r="N4684" i="11"/>
  <c r="N4685" i="11"/>
  <c r="N4686" i="11"/>
  <c r="N4687" i="11"/>
  <c r="N4688" i="11"/>
  <c r="N4689" i="11"/>
  <c r="N4690" i="11"/>
  <c r="N4691" i="11"/>
  <c r="N4692" i="11"/>
  <c r="N4693" i="11"/>
  <c r="N4694" i="11"/>
  <c r="N4695" i="11"/>
  <c r="N4696" i="11"/>
  <c r="N4697" i="11"/>
  <c r="N4698" i="11"/>
  <c r="N4699" i="11"/>
  <c r="N4700" i="11"/>
  <c r="N4701" i="11"/>
  <c r="N4702" i="11"/>
  <c r="N4703" i="11"/>
  <c r="N4704" i="11"/>
  <c r="N4705" i="11"/>
  <c r="N4706" i="11"/>
  <c r="N4707" i="11"/>
  <c r="N4708" i="11"/>
  <c r="N4709" i="11"/>
  <c r="N4710" i="11"/>
  <c r="N4711" i="11"/>
  <c r="N4712" i="11"/>
  <c r="N4713" i="11"/>
  <c r="N4714" i="11"/>
  <c r="N4715" i="11"/>
  <c r="N4716" i="11"/>
  <c r="N4717" i="11"/>
  <c r="N4718" i="11"/>
  <c r="N4719" i="11"/>
  <c r="N4720" i="11"/>
  <c r="N4721" i="11"/>
  <c r="N4722" i="11"/>
  <c r="N4723" i="11"/>
  <c r="N4724" i="11"/>
  <c r="N4725" i="11"/>
  <c r="N4726" i="11"/>
  <c r="N4727" i="11"/>
  <c r="N4728" i="11"/>
  <c r="N4729" i="11"/>
  <c r="N4730" i="11"/>
  <c r="N4731" i="11"/>
  <c r="N4732" i="11"/>
  <c r="N4733" i="11"/>
  <c r="N4734" i="11"/>
  <c r="N4735" i="11"/>
  <c r="N4736" i="11"/>
  <c r="N4737" i="11"/>
  <c r="N4738" i="11"/>
  <c r="N4739" i="11"/>
  <c r="N4740" i="11"/>
  <c r="N4741" i="11"/>
  <c r="N4742" i="11"/>
  <c r="N4743" i="11"/>
  <c r="N4744" i="11"/>
  <c r="N4745" i="11"/>
  <c r="N4746" i="11"/>
  <c r="N4747" i="11"/>
  <c r="N4748" i="11"/>
  <c r="N4749" i="11"/>
  <c r="N4750" i="11"/>
  <c r="N4751" i="11"/>
  <c r="N4752" i="11"/>
  <c r="N4753" i="11"/>
  <c r="N4754" i="11"/>
  <c r="N4755" i="11"/>
  <c r="N4756" i="11"/>
  <c r="N4757" i="11"/>
  <c r="N4758" i="11"/>
  <c r="N4759" i="11"/>
  <c r="N4760" i="11"/>
  <c r="N4761" i="11"/>
  <c r="N4762" i="11"/>
  <c r="N4763" i="11"/>
  <c r="N4764" i="11"/>
  <c r="N4765" i="11"/>
  <c r="N4766" i="11"/>
  <c r="N4767" i="11"/>
  <c r="N4768" i="11"/>
  <c r="N4769" i="11"/>
  <c r="N4770" i="11"/>
  <c r="N4771" i="11"/>
  <c r="N4772" i="11"/>
  <c r="N4773" i="11"/>
  <c r="N4774" i="11"/>
  <c r="N4775" i="11"/>
  <c r="N4776" i="11"/>
  <c r="N4777" i="11"/>
  <c r="N4778" i="11"/>
  <c r="N4779" i="11"/>
  <c r="N4780" i="11"/>
  <c r="N4781" i="11"/>
  <c r="N4782" i="11"/>
  <c r="N4783" i="11"/>
  <c r="N4784" i="11"/>
  <c r="N4785" i="11"/>
  <c r="N4786" i="11"/>
  <c r="N4787" i="11"/>
  <c r="N4788" i="11"/>
  <c r="N4789" i="11"/>
  <c r="N4790" i="11"/>
  <c r="N4791" i="11"/>
  <c r="N4792" i="11"/>
  <c r="N4793" i="11"/>
  <c r="N4794" i="11"/>
  <c r="N4795" i="11"/>
  <c r="N4796" i="11"/>
  <c r="N4797" i="11"/>
  <c r="N4798" i="11"/>
  <c r="N4799" i="11"/>
  <c r="N4800" i="11"/>
  <c r="N4801" i="11"/>
  <c r="N4802" i="11"/>
  <c r="N4803" i="11"/>
  <c r="N4804" i="11"/>
  <c r="N4805" i="11"/>
  <c r="N4806" i="11"/>
  <c r="N4807" i="11"/>
  <c r="N4808" i="11"/>
  <c r="N4809" i="11"/>
  <c r="N4810" i="11"/>
  <c r="N4811" i="11"/>
  <c r="N4812" i="11"/>
  <c r="N4813" i="11"/>
  <c r="N4814" i="11"/>
  <c r="N4815" i="11"/>
  <c r="N4816" i="11"/>
  <c r="N4817" i="11"/>
  <c r="N4818" i="11"/>
  <c r="N4819" i="11"/>
  <c r="N4820" i="11"/>
  <c r="N4821" i="11"/>
  <c r="N4822" i="11"/>
  <c r="N4823" i="11"/>
  <c r="N4824" i="11"/>
  <c r="N4825" i="11"/>
  <c r="N4826" i="11"/>
  <c r="N4827" i="11"/>
  <c r="N4828" i="11"/>
  <c r="N4829" i="11"/>
  <c r="N4830" i="11"/>
  <c r="N4831" i="11"/>
  <c r="N4832" i="11"/>
  <c r="N4833" i="11"/>
  <c r="N4834" i="11"/>
  <c r="N4835" i="11"/>
  <c r="N4836" i="11"/>
  <c r="N4837" i="11"/>
  <c r="N4838" i="11"/>
  <c r="N4839" i="11"/>
  <c r="N4840" i="11"/>
  <c r="N4841" i="11"/>
  <c r="N4842" i="11"/>
  <c r="N4843" i="11"/>
  <c r="N4844" i="11"/>
  <c r="N4845" i="11"/>
  <c r="N4846" i="11"/>
  <c r="N4847" i="11"/>
  <c r="N4848" i="11"/>
  <c r="N4849" i="11"/>
  <c r="N4850" i="11"/>
  <c r="N4851" i="11"/>
  <c r="N4852" i="11"/>
  <c r="N4853" i="11"/>
  <c r="N4854" i="11"/>
  <c r="N4855" i="11"/>
  <c r="N4856" i="11"/>
  <c r="N4857" i="11"/>
  <c r="N4858" i="11"/>
  <c r="N4859" i="11"/>
  <c r="N4860" i="11"/>
  <c r="N4861" i="11"/>
  <c r="N4862" i="11"/>
  <c r="N4863" i="11"/>
  <c r="N4864" i="11"/>
  <c r="N4865" i="11"/>
  <c r="N4866" i="11"/>
  <c r="N4867" i="11"/>
  <c r="N4868" i="11"/>
  <c r="N4869" i="11"/>
  <c r="N4870" i="11"/>
  <c r="N4871" i="11"/>
  <c r="N4872" i="11"/>
  <c r="N4873" i="11"/>
  <c r="N4874" i="11"/>
  <c r="N4875" i="11"/>
  <c r="N4876" i="11"/>
  <c r="N4877" i="11"/>
  <c r="N4878" i="11"/>
  <c r="N4879" i="11"/>
  <c r="N4880" i="11"/>
  <c r="N4881" i="11"/>
  <c r="N4882" i="11"/>
  <c r="N4883" i="11"/>
  <c r="N4884" i="11"/>
  <c r="N4885" i="11"/>
  <c r="N4886" i="11"/>
  <c r="N4887" i="11"/>
  <c r="N4888" i="11"/>
  <c r="N4889" i="11"/>
  <c r="N4890" i="11"/>
  <c r="N4891" i="11"/>
  <c r="N4892" i="11"/>
  <c r="N4893" i="11"/>
  <c r="N4894" i="11"/>
  <c r="N4895" i="11"/>
  <c r="N4896" i="11"/>
  <c r="N4897" i="11"/>
  <c r="N4898" i="11"/>
  <c r="N4899" i="11"/>
  <c r="N4900" i="11"/>
  <c r="N4901" i="11"/>
  <c r="N4902" i="11"/>
  <c r="N4903" i="11"/>
  <c r="N4904" i="11"/>
  <c r="N4905" i="11"/>
  <c r="N4906" i="11"/>
  <c r="N4907" i="11"/>
  <c r="N4908" i="11"/>
  <c r="N4909" i="11"/>
  <c r="N4910" i="11"/>
  <c r="N4911" i="11"/>
  <c r="N4912" i="11"/>
  <c r="N4913" i="11"/>
  <c r="N4914" i="11"/>
  <c r="N4915" i="11"/>
  <c r="N4916" i="11"/>
  <c r="N4917" i="11"/>
  <c r="N4918" i="11"/>
  <c r="N4919" i="11"/>
  <c r="N4920" i="11"/>
  <c r="N4921" i="11"/>
  <c r="N4922" i="11"/>
  <c r="N4923" i="11"/>
  <c r="N4924" i="11"/>
  <c r="N4925" i="11"/>
  <c r="N4926" i="11"/>
  <c r="N4927" i="11"/>
  <c r="N4928" i="11"/>
  <c r="N4929" i="11"/>
  <c r="N4930" i="11"/>
  <c r="N4931" i="11"/>
  <c r="N4932" i="11"/>
  <c r="N4933" i="11"/>
  <c r="N4934" i="11"/>
  <c r="N4935" i="11"/>
  <c r="N4936" i="11"/>
  <c r="N4937" i="11"/>
  <c r="N4938" i="11"/>
  <c r="N4939" i="11"/>
  <c r="N4940" i="11"/>
  <c r="N4941" i="11"/>
  <c r="N4942" i="11"/>
  <c r="N4943" i="11"/>
  <c r="N4944" i="11"/>
  <c r="N4945" i="11"/>
  <c r="N4946" i="11"/>
  <c r="N4947" i="11"/>
  <c r="N4948" i="11"/>
  <c r="N4949" i="11"/>
  <c r="N4950" i="11"/>
  <c r="N4951" i="11"/>
  <c r="N4952" i="11"/>
  <c r="N4953" i="11"/>
  <c r="N4954" i="11"/>
  <c r="N4955" i="11"/>
  <c r="N4956" i="11"/>
  <c r="N4957" i="11"/>
  <c r="N4958" i="11"/>
  <c r="N4959" i="11"/>
  <c r="N4960" i="11"/>
  <c r="N4961" i="11"/>
  <c r="N4962" i="11"/>
  <c r="N4963" i="11"/>
  <c r="N4964" i="11"/>
  <c r="N4965" i="11"/>
  <c r="N4966" i="11"/>
  <c r="N4967" i="11"/>
  <c r="N4968" i="11"/>
  <c r="N4969" i="11"/>
  <c r="N4970" i="11"/>
  <c r="N4971" i="11"/>
  <c r="N4972" i="11"/>
  <c r="N4973" i="11"/>
  <c r="N4974" i="11"/>
  <c r="N4975" i="11"/>
  <c r="N4976" i="11"/>
  <c r="N4977" i="11"/>
  <c r="N4978" i="11"/>
  <c r="N4979" i="11"/>
  <c r="N4980" i="11"/>
  <c r="N4981" i="11"/>
  <c r="N4982" i="11"/>
  <c r="N4983" i="11"/>
  <c r="N4984" i="11"/>
  <c r="N4985" i="11"/>
  <c r="N4986" i="11"/>
  <c r="N4987" i="11"/>
  <c r="N4988" i="11"/>
  <c r="N4989" i="11"/>
  <c r="N4990" i="11"/>
  <c r="N4991" i="11"/>
  <c r="N4992" i="11"/>
  <c r="N4993" i="11"/>
  <c r="N4994" i="11"/>
  <c r="N4995" i="11"/>
  <c r="N4996" i="11"/>
  <c r="N4997" i="11"/>
  <c r="N4998" i="11"/>
  <c r="N4999" i="11"/>
  <c r="N5000" i="11"/>
  <c r="N5001" i="11"/>
  <c r="N5002" i="11"/>
  <c r="N5003" i="11"/>
  <c r="N5004" i="11"/>
  <c r="N5005" i="11"/>
  <c r="N5006" i="11"/>
  <c r="N5007" i="11"/>
  <c r="N5008" i="11"/>
  <c r="N5009" i="11"/>
  <c r="N5010" i="11"/>
  <c r="N5011" i="11"/>
  <c r="N5012" i="11"/>
  <c r="N5013" i="11"/>
  <c r="N5014" i="11"/>
  <c r="N5015" i="11"/>
  <c r="N5016" i="11"/>
  <c r="N5017" i="11"/>
  <c r="N5018" i="11"/>
  <c r="N5019" i="11"/>
  <c r="N5020" i="11"/>
  <c r="N5021" i="11"/>
  <c r="N5022" i="11"/>
  <c r="N5023" i="11"/>
  <c r="N5024" i="11"/>
  <c r="N5025" i="11"/>
  <c r="N5026" i="11"/>
  <c r="N5027" i="11"/>
  <c r="N5028" i="11"/>
  <c r="N5029" i="11"/>
  <c r="N5030" i="11"/>
  <c r="N5031" i="11"/>
  <c r="N5032" i="11"/>
  <c r="N5033" i="11"/>
  <c r="N5034" i="11"/>
  <c r="N5035" i="11"/>
  <c r="N5036" i="11"/>
  <c r="N5037" i="11"/>
  <c r="N5038" i="11"/>
  <c r="N5039" i="11"/>
  <c r="N5040" i="11"/>
  <c r="N5041" i="11"/>
  <c r="N5042" i="11"/>
  <c r="N5043" i="11"/>
  <c r="N5044" i="11"/>
  <c r="N5045" i="11"/>
  <c r="N5046" i="11"/>
  <c r="N5047" i="11"/>
  <c r="N5048" i="11"/>
  <c r="N5049" i="11"/>
  <c r="N5050" i="11"/>
  <c r="N5051" i="11"/>
  <c r="N5052" i="11"/>
  <c r="N5053" i="11"/>
  <c r="N5054" i="11"/>
  <c r="N5055" i="11"/>
  <c r="N5056" i="11"/>
  <c r="N5057" i="11"/>
  <c r="N5058" i="11"/>
  <c r="N5059" i="11"/>
  <c r="N5060" i="11"/>
  <c r="N5061" i="11"/>
  <c r="N5062" i="11"/>
  <c r="N5063" i="11"/>
  <c r="N5064" i="11"/>
  <c r="N5065" i="11"/>
  <c r="N5066" i="11"/>
  <c r="N5067" i="11"/>
  <c r="N5068" i="11"/>
  <c r="N5069" i="11"/>
  <c r="N5070" i="11"/>
  <c r="N5071" i="11"/>
  <c r="N5072" i="11"/>
  <c r="N5073" i="11"/>
  <c r="N5074" i="11"/>
  <c r="N5075" i="11"/>
  <c r="N5076" i="11"/>
  <c r="N5077" i="11"/>
  <c r="N5078" i="11"/>
  <c r="N5079" i="11"/>
  <c r="N5080" i="11"/>
  <c r="N5081" i="11"/>
  <c r="N5082" i="11"/>
  <c r="N5083" i="11"/>
  <c r="N5084" i="11"/>
  <c r="N5085" i="11"/>
  <c r="N5086" i="11"/>
  <c r="N5087" i="11"/>
  <c r="N5088" i="11"/>
  <c r="N5089" i="11"/>
  <c r="N5090" i="11"/>
  <c r="N5091" i="11"/>
  <c r="N5092" i="11"/>
  <c r="N5093" i="11"/>
  <c r="N5094" i="11"/>
  <c r="N5095" i="11"/>
  <c r="N5096" i="11"/>
  <c r="N5097" i="11"/>
  <c r="N5098" i="11"/>
  <c r="N5099" i="11"/>
  <c r="N5100" i="11"/>
  <c r="N5101" i="11"/>
  <c r="N5102" i="11"/>
  <c r="N5103" i="11"/>
  <c r="N5104" i="11"/>
  <c r="N5105" i="11"/>
  <c r="N5106" i="11"/>
  <c r="N5107" i="11"/>
  <c r="N5108" i="11"/>
  <c r="N5109" i="11"/>
  <c r="N5110" i="11"/>
  <c r="N5111" i="11"/>
  <c r="N5112" i="11"/>
  <c r="N5113" i="11"/>
  <c r="N5114" i="11"/>
  <c r="N5115" i="11"/>
  <c r="N5116" i="11"/>
  <c r="N5117" i="11"/>
  <c r="N5118" i="11"/>
  <c r="N5119" i="11"/>
  <c r="N5120" i="11"/>
  <c r="N5121" i="11"/>
  <c r="N5122" i="11"/>
  <c r="N5123" i="11"/>
  <c r="N5124" i="11"/>
  <c r="N5125" i="11"/>
  <c r="N5126" i="11"/>
  <c r="N5127" i="11"/>
  <c r="N5128" i="11"/>
  <c r="N5129" i="11"/>
  <c r="N5130" i="11"/>
  <c r="N5131" i="11"/>
  <c r="N5132" i="11"/>
  <c r="N5133" i="11"/>
  <c r="N5134" i="11"/>
  <c r="N5135" i="11"/>
  <c r="N5136" i="11"/>
  <c r="N5137" i="11"/>
  <c r="N5138" i="11"/>
  <c r="N5139" i="11"/>
  <c r="N5140" i="11"/>
  <c r="N5141" i="11"/>
  <c r="N5142" i="11"/>
  <c r="N5143" i="11"/>
  <c r="N5144" i="11"/>
  <c r="N5145" i="11"/>
  <c r="N5146" i="11"/>
  <c r="N5147" i="11"/>
  <c r="N5148" i="11"/>
  <c r="N5149" i="11"/>
  <c r="N5150" i="11"/>
  <c r="N5151" i="11"/>
  <c r="N5152" i="11"/>
  <c r="N5153" i="11"/>
  <c r="N5154" i="11"/>
  <c r="N5155" i="11"/>
  <c r="N5156" i="11"/>
  <c r="N5157" i="11"/>
  <c r="N5158" i="11"/>
  <c r="N5159" i="11"/>
  <c r="N5160" i="11"/>
  <c r="N5161" i="11"/>
  <c r="N5162" i="11"/>
  <c r="N5163" i="11"/>
  <c r="N5164" i="11"/>
  <c r="N5165" i="11"/>
  <c r="N5166" i="11"/>
  <c r="N5167" i="11"/>
  <c r="N5168" i="11"/>
  <c r="N5169" i="11"/>
  <c r="N5170" i="11"/>
  <c r="N5171" i="11"/>
  <c r="N5172" i="11"/>
  <c r="N5173" i="11"/>
  <c r="N5174" i="11"/>
  <c r="N5175" i="11"/>
  <c r="N5176" i="11"/>
  <c r="N5177" i="11"/>
  <c r="N5178" i="11"/>
  <c r="N5179" i="11"/>
  <c r="N5180" i="11"/>
  <c r="N5181" i="11"/>
  <c r="N5182" i="11"/>
  <c r="N5183" i="11"/>
  <c r="N5184" i="11"/>
  <c r="N5185" i="11"/>
  <c r="N5186" i="11"/>
  <c r="N5187" i="11"/>
  <c r="N5188" i="11"/>
  <c r="N5189" i="11"/>
  <c r="N5190" i="11"/>
  <c r="N5191" i="11"/>
  <c r="N5192" i="11"/>
  <c r="N5193" i="11"/>
  <c r="N5194" i="11"/>
  <c r="N5195" i="11"/>
  <c r="N5196" i="11"/>
  <c r="N5197" i="11"/>
  <c r="N5198" i="11"/>
  <c r="N5199" i="11"/>
  <c r="N5200" i="11"/>
  <c r="N5201" i="11"/>
  <c r="N5202" i="11"/>
  <c r="N5203" i="11"/>
  <c r="N5204" i="11"/>
  <c r="N5205" i="11"/>
  <c r="N5206" i="11"/>
  <c r="N5207" i="11"/>
  <c r="N5208" i="11"/>
  <c r="N5209" i="11"/>
  <c r="N5210" i="11"/>
  <c r="N5211" i="11"/>
  <c r="N5212" i="11"/>
  <c r="N5213" i="11"/>
  <c r="N5214" i="11"/>
  <c r="N5215" i="11"/>
  <c r="N5216" i="11"/>
  <c r="N5217" i="11"/>
  <c r="N5218" i="11"/>
  <c r="N5219" i="11"/>
  <c r="N5220" i="11"/>
  <c r="N5221" i="11"/>
  <c r="N5222" i="11"/>
  <c r="N5223" i="11"/>
  <c r="N5224" i="11"/>
  <c r="N5225" i="11"/>
  <c r="N5226" i="11"/>
  <c r="N5227" i="11"/>
  <c r="N5228" i="11"/>
  <c r="N5229" i="11"/>
  <c r="N5230" i="11"/>
  <c r="N5231" i="11"/>
  <c r="N5232" i="11"/>
  <c r="N5233" i="11"/>
  <c r="N5234" i="11"/>
  <c r="N5235" i="11"/>
  <c r="N5236" i="11"/>
  <c r="N5237" i="11"/>
  <c r="N5238" i="11"/>
  <c r="N5239" i="11"/>
  <c r="N5240" i="11"/>
  <c r="N5241" i="11"/>
  <c r="N5242" i="11"/>
  <c r="N5243" i="11"/>
  <c r="N5244" i="11"/>
  <c r="N5245" i="11"/>
  <c r="N5246" i="11"/>
  <c r="N5247" i="11"/>
  <c r="N5248" i="11"/>
  <c r="N5249" i="11"/>
  <c r="N5250" i="11"/>
  <c r="N5251" i="11"/>
  <c r="N5252" i="11"/>
  <c r="N5253" i="11"/>
  <c r="N5254" i="11"/>
  <c r="N5255" i="11"/>
  <c r="N5256" i="11"/>
  <c r="N5257" i="11"/>
  <c r="N5258" i="11"/>
  <c r="N5259" i="11"/>
  <c r="N5260" i="11"/>
  <c r="N5261" i="11"/>
  <c r="N5262" i="11"/>
  <c r="N5263" i="11"/>
  <c r="N5264" i="11"/>
  <c r="N5265" i="11"/>
  <c r="N5266" i="11"/>
  <c r="N5267" i="11"/>
  <c r="N5268" i="11"/>
  <c r="N5269" i="11"/>
  <c r="N5270" i="11"/>
  <c r="N5271" i="11"/>
  <c r="N5272" i="11"/>
  <c r="N5273" i="11"/>
  <c r="N5274" i="11"/>
  <c r="N5275" i="11"/>
  <c r="N5276" i="11"/>
  <c r="N5277" i="11"/>
  <c r="N5278" i="11"/>
  <c r="N5279" i="11"/>
  <c r="N5280" i="11"/>
  <c r="N5281" i="11"/>
  <c r="N5282" i="11"/>
  <c r="N5283" i="11"/>
  <c r="N5284" i="11"/>
  <c r="N5285" i="11"/>
  <c r="N5286" i="11"/>
  <c r="N5287" i="11"/>
  <c r="N5288" i="11"/>
  <c r="N5289" i="11"/>
  <c r="N5290" i="11"/>
  <c r="N5291" i="11"/>
  <c r="N5292" i="11"/>
  <c r="N5293" i="11"/>
  <c r="N5294" i="11"/>
  <c r="N5295" i="11"/>
  <c r="N5296" i="11"/>
  <c r="N5297" i="11"/>
  <c r="N5298" i="11"/>
  <c r="N5299" i="11"/>
  <c r="N5300" i="11"/>
  <c r="N5301" i="11"/>
  <c r="N5302" i="11"/>
  <c r="N5303" i="11"/>
  <c r="N5304" i="11"/>
  <c r="N5305" i="11"/>
  <c r="N5306" i="11"/>
  <c r="N5307" i="11"/>
  <c r="N5308" i="11"/>
  <c r="N5309" i="11"/>
  <c r="N5310" i="11"/>
  <c r="N5311" i="11"/>
  <c r="N5312" i="11"/>
  <c r="N5313" i="11"/>
  <c r="N5314" i="11"/>
  <c r="N5315" i="11"/>
  <c r="N5316" i="11"/>
  <c r="N5317" i="11"/>
  <c r="N5318" i="11"/>
  <c r="N5319" i="11"/>
  <c r="N5320" i="11"/>
  <c r="N5321" i="11"/>
  <c r="N5322" i="11"/>
  <c r="N5323" i="11"/>
  <c r="N5324" i="11"/>
  <c r="N5325" i="11"/>
  <c r="N5326" i="11"/>
  <c r="N5327" i="11"/>
  <c r="N5328" i="11"/>
  <c r="N5329" i="11"/>
  <c r="N5330" i="11"/>
  <c r="N5331" i="11"/>
  <c r="N5332" i="11"/>
  <c r="N5333" i="11"/>
  <c r="N5334" i="11"/>
  <c r="N5335" i="11"/>
  <c r="N5336" i="11"/>
  <c r="N5337" i="11"/>
  <c r="N5338" i="11"/>
  <c r="N5339" i="11"/>
  <c r="N5340" i="11"/>
  <c r="N5341" i="11"/>
  <c r="N5342" i="11"/>
  <c r="N5343" i="11"/>
  <c r="N5344" i="11"/>
  <c r="N5345" i="11"/>
  <c r="N5346" i="11"/>
  <c r="N5347" i="11"/>
  <c r="N5348" i="11"/>
  <c r="N5349" i="11"/>
  <c r="N5350" i="11"/>
  <c r="N5351" i="11"/>
  <c r="N5352" i="11"/>
  <c r="N5353" i="11"/>
  <c r="N5354" i="11"/>
  <c r="N5355" i="11"/>
  <c r="N5356" i="11"/>
  <c r="N5357" i="11"/>
  <c r="N5358" i="11"/>
  <c r="N5359" i="11"/>
  <c r="N5360" i="11"/>
  <c r="N5361" i="11"/>
  <c r="N5362" i="11"/>
  <c r="N5363" i="11"/>
  <c r="N5364" i="11"/>
  <c r="N5365" i="11"/>
  <c r="N5366" i="11"/>
  <c r="N5367" i="11"/>
  <c r="N5368" i="11"/>
  <c r="N5369" i="11"/>
  <c r="N5370" i="11"/>
  <c r="N5371" i="11"/>
  <c r="N5372" i="11"/>
  <c r="N5373" i="11"/>
  <c r="N5374" i="11"/>
  <c r="N5375" i="11"/>
  <c r="N5376" i="11"/>
  <c r="N5377" i="11"/>
  <c r="N5378" i="11"/>
  <c r="N5379" i="11"/>
  <c r="N5380" i="11"/>
  <c r="N5381" i="11"/>
  <c r="N5382" i="11"/>
  <c r="N5383" i="11"/>
  <c r="N5384" i="11"/>
  <c r="N5385" i="11"/>
  <c r="N5386" i="11"/>
  <c r="N5387" i="11"/>
  <c r="N5388" i="11"/>
  <c r="N5389" i="11"/>
  <c r="N5390" i="11"/>
  <c r="N5391" i="11"/>
  <c r="N5392" i="11"/>
  <c r="N5393" i="11"/>
  <c r="N5394" i="11"/>
  <c r="N5395" i="11"/>
  <c r="N5396" i="11"/>
  <c r="N5397" i="11"/>
  <c r="N5398" i="11"/>
  <c r="N5399" i="11"/>
  <c r="N5400" i="11"/>
  <c r="N5401" i="11"/>
  <c r="N5402" i="11"/>
  <c r="N5403" i="11"/>
  <c r="N5404" i="11"/>
  <c r="N5405" i="11"/>
  <c r="N5406" i="11"/>
  <c r="N5407" i="11"/>
  <c r="N5408" i="11"/>
  <c r="N5409" i="11"/>
  <c r="N5410" i="11"/>
  <c r="N5411" i="11"/>
  <c r="N5412" i="11"/>
  <c r="N5413" i="11"/>
  <c r="N5414" i="11"/>
  <c r="N5415" i="11"/>
  <c r="N5416" i="11"/>
  <c r="N5417" i="11"/>
  <c r="N5418" i="11"/>
  <c r="N5419" i="11"/>
  <c r="N5420" i="11"/>
  <c r="N5421" i="11"/>
  <c r="N5422" i="11"/>
  <c r="N5423" i="11"/>
  <c r="N5424" i="11"/>
  <c r="N5425" i="11"/>
  <c r="N5426" i="11"/>
  <c r="N5427" i="11"/>
  <c r="N5428" i="11"/>
  <c r="N5429" i="11"/>
  <c r="N5430" i="11"/>
  <c r="N5431" i="11"/>
  <c r="N5432" i="11"/>
  <c r="N5433" i="11"/>
  <c r="N5434" i="11"/>
  <c r="N5435" i="11"/>
  <c r="N5436" i="11"/>
  <c r="N5437" i="11"/>
  <c r="N5438" i="11"/>
  <c r="N5439" i="11"/>
  <c r="N5440" i="11"/>
  <c r="N5441" i="11"/>
  <c r="N5442" i="11"/>
  <c r="N5443" i="11"/>
  <c r="N5444" i="11"/>
  <c r="N5445" i="11"/>
  <c r="N5446" i="11"/>
  <c r="N5447" i="11"/>
  <c r="N5448" i="11"/>
  <c r="N5449" i="11"/>
  <c r="N5450" i="11"/>
  <c r="N5451" i="11"/>
  <c r="N5452" i="11"/>
  <c r="N5453" i="11"/>
  <c r="N5454" i="11"/>
  <c r="N5455" i="11"/>
  <c r="N5456" i="11"/>
  <c r="N5457" i="11"/>
  <c r="N5458" i="11"/>
  <c r="N5459" i="11"/>
  <c r="N5460" i="11"/>
  <c r="N5461" i="11"/>
  <c r="N5462" i="11"/>
  <c r="N5463" i="11"/>
  <c r="N5464" i="11"/>
  <c r="N5465" i="11"/>
  <c r="N5466" i="11"/>
  <c r="N5467" i="11"/>
  <c r="N5468" i="11"/>
  <c r="N5469" i="11"/>
  <c r="N5470" i="11"/>
  <c r="N5471" i="11"/>
  <c r="N5472" i="11"/>
  <c r="N5473" i="11"/>
  <c r="N5474" i="11"/>
  <c r="N5475" i="11"/>
  <c r="N5476" i="11"/>
  <c r="N5477" i="11"/>
  <c r="N5478" i="11"/>
  <c r="N5479" i="11"/>
  <c r="N5480" i="11"/>
  <c r="N5481" i="11"/>
  <c r="N5482" i="11"/>
  <c r="N5483" i="11"/>
  <c r="N5484" i="11"/>
  <c r="N5485" i="11"/>
  <c r="N5486" i="11"/>
  <c r="N5487" i="11"/>
  <c r="N5488" i="11"/>
  <c r="N5489" i="11"/>
  <c r="N5490" i="11"/>
  <c r="N5491" i="11"/>
  <c r="N5492" i="11"/>
  <c r="N5493" i="11"/>
  <c r="N5494" i="11"/>
  <c r="N5495" i="11"/>
  <c r="N5496" i="11"/>
  <c r="N5497" i="11"/>
  <c r="N5498" i="11"/>
  <c r="N5499" i="11"/>
  <c r="N5500" i="11"/>
  <c r="N5501" i="11"/>
  <c r="N5502" i="11"/>
  <c r="N5503" i="11"/>
  <c r="N5504" i="11"/>
  <c r="N5505" i="11"/>
  <c r="N5506" i="11"/>
  <c r="N5507" i="11"/>
  <c r="N5508" i="11"/>
  <c r="N5509" i="11"/>
  <c r="N5510" i="11"/>
  <c r="N5511" i="11"/>
  <c r="N5512" i="11"/>
  <c r="N5513" i="11"/>
  <c r="N5514" i="11"/>
  <c r="N5515" i="11"/>
  <c r="N5516" i="11"/>
  <c r="N5517" i="11"/>
  <c r="N5518" i="11"/>
  <c r="N5519" i="11"/>
  <c r="N5520" i="11"/>
  <c r="N5521" i="11"/>
  <c r="N5522" i="11"/>
  <c r="N5523" i="11"/>
  <c r="N5524" i="11"/>
  <c r="N5525" i="11"/>
  <c r="N5526" i="11"/>
  <c r="N5527" i="11"/>
  <c r="N5528" i="11"/>
  <c r="N5529" i="11"/>
  <c r="N5530" i="11"/>
  <c r="N5531" i="11"/>
  <c r="N5532" i="11"/>
  <c r="N5533" i="11"/>
  <c r="N5534" i="11"/>
  <c r="N5535" i="11"/>
  <c r="N5536" i="11"/>
  <c r="N5537" i="11"/>
  <c r="N5538" i="11"/>
  <c r="N5539" i="11"/>
  <c r="N5540" i="11"/>
  <c r="N5541" i="11"/>
  <c r="N5542" i="11"/>
  <c r="N5543" i="11"/>
  <c r="N5544" i="11"/>
  <c r="N5545" i="11"/>
  <c r="N5546" i="11"/>
  <c r="N5547" i="11"/>
  <c r="N5548" i="11"/>
  <c r="N5549" i="11"/>
  <c r="N5550" i="11"/>
  <c r="N5551" i="11"/>
  <c r="N5552" i="11"/>
  <c r="N5553" i="11"/>
  <c r="N5554" i="11"/>
  <c r="N5555" i="11"/>
  <c r="N5556" i="11"/>
  <c r="N5557" i="11"/>
  <c r="N5558" i="11"/>
  <c r="N5559" i="11"/>
  <c r="N5560" i="11"/>
  <c r="N5561" i="11"/>
  <c r="N5562" i="11"/>
  <c r="N5563" i="11"/>
  <c r="N5564" i="11"/>
  <c r="N5565" i="11"/>
  <c r="N5566" i="11"/>
  <c r="N5567" i="11"/>
  <c r="N5568" i="11"/>
  <c r="N5569" i="11"/>
  <c r="N5570" i="11"/>
  <c r="N5571" i="11"/>
  <c r="N5572" i="11"/>
  <c r="N5573" i="11"/>
  <c r="N5574" i="11"/>
  <c r="N5575" i="11"/>
  <c r="N5576" i="11"/>
  <c r="N5577" i="11"/>
  <c r="N5578" i="11"/>
  <c r="N5579" i="11"/>
  <c r="N5580" i="11"/>
  <c r="N5581" i="11"/>
  <c r="N5582" i="11"/>
  <c r="N5583" i="11"/>
  <c r="N5584" i="11"/>
  <c r="N5585" i="11"/>
  <c r="N5586" i="11"/>
  <c r="N5587" i="11"/>
  <c r="N5588" i="11"/>
  <c r="N5589" i="11"/>
  <c r="N5590" i="11"/>
  <c r="N5591" i="11"/>
  <c r="N5592" i="11"/>
  <c r="N5593" i="11"/>
  <c r="N5594" i="11"/>
  <c r="N5595" i="11"/>
  <c r="N5596" i="11"/>
  <c r="N5597" i="11"/>
  <c r="N5598" i="11"/>
  <c r="N5599" i="11"/>
  <c r="N5600" i="11"/>
  <c r="N5601" i="11"/>
  <c r="N5602" i="11"/>
  <c r="N5603" i="11"/>
  <c r="N5604" i="11"/>
  <c r="N5605" i="11"/>
  <c r="N5606" i="11"/>
  <c r="N5607" i="11"/>
  <c r="N5608" i="11"/>
  <c r="N5609" i="11"/>
  <c r="N5610" i="11"/>
  <c r="N5611" i="11"/>
  <c r="N5612" i="11"/>
  <c r="N5613" i="11"/>
  <c r="N5614" i="11"/>
  <c r="N5615" i="11"/>
  <c r="N5616" i="11"/>
  <c r="N5617" i="11"/>
  <c r="N5618" i="11"/>
  <c r="N5619" i="11"/>
  <c r="N5620" i="11"/>
  <c r="N5621" i="11"/>
  <c r="N5622" i="11"/>
  <c r="N5623" i="11"/>
  <c r="N5624" i="11"/>
  <c r="N5625" i="11"/>
  <c r="N5626" i="11"/>
  <c r="N5627" i="11"/>
  <c r="N5628" i="11"/>
  <c r="N5629" i="11"/>
  <c r="N5630" i="11"/>
  <c r="N5631" i="11"/>
  <c r="N5632" i="11"/>
  <c r="N5633" i="11"/>
  <c r="N5634" i="11"/>
  <c r="N5635" i="11"/>
  <c r="N5636" i="11"/>
  <c r="N5637" i="11"/>
  <c r="N5638" i="11"/>
  <c r="N5639" i="11"/>
  <c r="N5640" i="11"/>
  <c r="N5641" i="11"/>
  <c r="N5642" i="11"/>
  <c r="N5643" i="11"/>
  <c r="N5644" i="11"/>
  <c r="N5645" i="11"/>
  <c r="N5646" i="11"/>
  <c r="N5647" i="11"/>
  <c r="N5648" i="11"/>
  <c r="N5649" i="11"/>
  <c r="N5650" i="11"/>
  <c r="N5651" i="11"/>
  <c r="N5652" i="11"/>
  <c r="N5653" i="11"/>
  <c r="N5654" i="11"/>
  <c r="N5655" i="11"/>
  <c r="N5656" i="11"/>
  <c r="N5657" i="11"/>
  <c r="N5658" i="11"/>
  <c r="N5659" i="11"/>
  <c r="N5660" i="11"/>
  <c r="N5661" i="11"/>
  <c r="N5662" i="11"/>
  <c r="N5663" i="11"/>
  <c r="N5664" i="11"/>
  <c r="N5665" i="11"/>
  <c r="N5666" i="11"/>
  <c r="N5667" i="11"/>
  <c r="N5668" i="11"/>
  <c r="N5669" i="11"/>
  <c r="N5670" i="11"/>
  <c r="N5671" i="11"/>
  <c r="N5672" i="11"/>
  <c r="N5673" i="11"/>
  <c r="N5674" i="11"/>
  <c r="N5675" i="11"/>
  <c r="N5676" i="11"/>
  <c r="N5677" i="11"/>
  <c r="N5678" i="11"/>
  <c r="N5679" i="11"/>
  <c r="N5680" i="11"/>
  <c r="N5681" i="11"/>
  <c r="N5682" i="11"/>
  <c r="N5683" i="11"/>
  <c r="N5684" i="11"/>
  <c r="N5685" i="11"/>
  <c r="N5686" i="11"/>
  <c r="N5687" i="11"/>
  <c r="N5688" i="11"/>
  <c r="N5689" i="11"/>
  <c r="N5690" i="11"/>
  <c r="N5691" i="11"/>
  <c r="N5692" i="11"/>
  <c r="N5693" i="11"/>
  <c r="N5694" i="11"/>
  <c r="N5695" i="11"/>
  <c r="N5696" i="11"/>
  <c r="N5697" i="11"/>
  <c r="N5698" i="11"/>
  <c r="N5699" i="11"/>
  <c r="N5700" i="11"/>
  <c r="N5701" i="11"/>
  <c r="N5702" i="11"/>
  <c r="N5703" i="11"/>
  <c r="N5704" i="11"/>
  <c r="N5705" i="11"/>
  <c r="N5706" i="11"/>
  <c r="N5707" i="11"/>
  <c r="N5708" i="11"/>
  <c r="N5709" i="11"/>
  <c r="N5710" i="11"/>
  <c r="N5711" i="11"/>
  <c r="N5712" i="11"/>
  <c r="N5713" i="11"/>
  <c r="N5714" i="11"/>
  <c r="N5715" i="11"/>
  <c r="N5716" i="11"/>
  <c r="N5717" i="11"/>
  <c r="N5718" i="11"/>
  <c r="N5719" i="11"/>
  <c r="N5720" i="11"/>
  <c r="N5721" i="11"/>
  <c r="N5722" i="11"/>
  <c r="N5723" i="11"/>
  <c r="N5724" i="11"/>
  <c r="N5725" i="11"/>
  <c r="N5726" i="11"/>
  <c r="N5727" i="11"/>
  <c r="N5728" i="11"/>
  <c r="N5729" i="11"/>
  <c r="N5730" i="11"/>
  <c r="N5731" i="11"/>
  <c r="N5732" i="11"/>
  <c r="N5733" i="11"/>
  <c r="N5734" i="11"/>
  <c r="N5735" i="11"/>
  <c r="N5736" i="11"/>
  <c r="N5737" i="11"/>
  <c r="N5738" i="11"/>
  <c r="N5739" i="11"/>
  <c r="N5740" i="11"/>
  <c r="N5741" i="11"/>
  <c r="N5742" i="11"/>
  <c r="N5743" i="11"/>
  <c r="N5744" i="11"/>
  <c r="N5745" i="11"/>
  <c r="N5746" i="11"/>
  <c r="N5747" i="11"/>
  <c r="N5748" i="11"/>
  <c r="N5749" i="11"/>
  <c r="N5750" i="11"/>
  <c r="N5751" i="11"/>
  <c r="N5752" i="11"/>
  <c r="N5753" i="11"/>
  <c r="N5754" i="11"/>
  <c r="N5755" i="11"/>
  <c r="N5756" i="11"/>
  <c r="N5757" i="11"/>
  <c r="N5758" i="11"/>
  <c r="N5759" i="11"/>
  <c r="N5760" i="11"/>
  <c r="N5761" i="11"/>
  <c r="N5762" i="11"/>
  <c r="N5763" i="11"/>
  <c r="N5764" i="11"/>
  <c r="N5765" i="11"/>
  <c r="N5766" i="11"/>
  <c r="N5767" i="11"/>
  <c r="N5768" i="11"/>
  <c r="N5769" i="11"/>
  <c r="N5770" i="11"/>
  <c r="N5771" i="11"/>
  <c r="N5772" i="11"/>
  <c r="N5773" i="11"/>
  <c r="N5774" i="11"/>
  <c r="N5775" i="11"/>
  <c r="N5776" i="11"/>
  <c r="N5777" i="11"/>
  <c r="N5778" i="11"/>
  <c r="N5779" i="11"/>
  <c r="N5780" i="11"/>
  <c r="N5781" i="11"/>
  <c r="N5782" i="11"/>
  <c r="N5783" i="11"/>
  <c r="N5784" i="11"/>
  <c r="N5785" i="11"/>
  <c r="N5786" i="11"/>
  <c r="N5787" i="11"/>
  <c r="N5788" i="11"/>
  <c r="N5789" i="11"/>
  <c r="N5790" i="11"/>
  <c r="N5791" i="11"/>
  <c r="N5792" i="11"/>
  <c r="N5793" i="11"/>
  <c r="N5794" i="11"/>
  <c r="N5795" i="11"/>
  <c r="N5796" i="11"/>
  <c r="N5797" i="11"/>
  <c r="N5798" i="11"/>
  <c r="N5799" i="11"/>
  <c r="N5800" i="11"/>
  <c r="N5801" i="11"/>
  <c r="N5802" i="11"/>
  <c r="N5803" i="11"/>
  <c r="N5804" i="11"/>
  <c r="N5805" i="11"/>
  <c r="N5806" i="11"/>
  <c r="N5807" i="11"/>
  <c r="N5808" i="11"/>
  <c r="N5809" i="11"/>
  <c r="N5810" i="11"/>
  <c r="N5811" i="11"/>
  <c r="N5812" i="11"/>
  <c r="N5813" i="11"/>
  <c r="N5814" i="11"/>
  <c r="N5815" i="11"/>
  <c r="N5816" i="11"/>
  <c r="N5817" i="11"/>
  <c r="N5818" i="11"/>
  <c r="N5819" i="11"/>
  <c r="N5820" i="11"/>
  <c r="N5821" i="11"/>
  <c r="N5822" i="11"/>
  <c r="N5823" i="11"/>
  <c r="N5824" i="11"/>
  <c r="N5825" i="11"/>
  <c r="N5826" i="11"/>
  <c r="N5827" i="11"/>
  <c r="N5828" i="11"/>
  <c r="N5829" i="11"/>
  <c r="N5830" i="11"/>
  <c r="N5831" i="11"/>
  <c r="N5832" i="11"/>
  <c r="N5833" i="11"/>
  <c r="N5834" i="11"/>
  <c r="N5835" i="11"/>
  <c r="N5836" i="11"/>
  <c r="N5837" i="11"/>
  <c r="N5838" i="11"/>
  <c r="N5839" i="11"/>
  <c r="N5840" i="11"/>
  <c r="N5841" i="11"/>
  <c r="N5842" i="11"/>
  <c r="N5843" i="11"/>
  <c r="N5844" i="11"/>
  <c r="N5845" i="11"/>
  <c r="N5846" i="11"/>
  <c r="N5847" i="11"/>
  <c r="N5848" i="11"/>
  <c r="N5849" i="11"/>
  <c r="N5850" i="11"/>
  <c r="N5851" i="11"/>
  <c r="N5852" i="11"/>
  <c r="N5853" i="11"/>
  <c r="N5854" i="11"/>
  <c r="N5855" i="11"/>
  <c r="N5856" i="11"/>
  <c r="N5857" i="11"/>
  <c r="N5858" i="11"/>
  <c r="N5859" i="11"/>
  <c r="N5860" i="11"/>
  <c r="N5861" i="11"/>
  <c r="N5862" i="11"/>
  <c r="N5863" i="11"/>
  <c r="N5864" i="11"/>
  <c r="N5865" i="11"/>
  <c r="N5866" i="11"/>
  <c r="N5867" i="11"/>
  <c r="N5868" i="11"/>
  <c r="N5869" i="11"/>
  <c r="N5870" i="11"/>
  <c r="N5871" i="11"/>
  <c r="N5872" i="11"/>
  <c r="N5873" i="11"/>
  <c r="N5874" i="11"/>
  <c r="N5875" i="11"/>
  <c r="N5876" i="11"/>
  <c r="N5877" i="11"/>
  <c r="N5878" i="11"/>
  <c r="N5879" i="11"/>
  <c r="N5880" i="11"/>
  <c r="N5881" i="11"/>
  <c r="N5882" i="11"/>
  <c r="N5883" i="11"/>
  <c r="N5884" i="11"/>
  <c r="N5885" i="11"/>
  <c r="N5886" i="11"/>
  <c r="N5887" i="11"/>
  <c r="N5888" i="11"/>
  <c r="N5889" i="11"/>
  <c r="N5890" i="11"/>
  <c r="N5891" i="11"/>
  <c r="N5892" i="11"/>
  <c r="N5893" i="11"/>
  <c r="N5894" i="11"/>
  <c r="N5895" i="11"/>
  <c r="N5896" i="11"/>
  <c r="N5897" i="11"/>
  <c r="N5898" i="11"/>
  <c r="N5899" i="11"/>
  <c r="N5900" i="11"/>
  <c r="N5901" i="11"/>
  <c r="N5902" i="11"/>
  <c r="N5903" i="11"/>
  <c r="N5904" i="11"/>
  <c r="N5905" i="11"/>
  <c r="N5906" i="11"/>
  <c r="N5907" i="11"/>
  <c r="N5908" i="11"/>
  <c r="N5909" i="11"/>
  <c r="N5910" i="11"/>
  <c r="N5911" i="11"/>
  <c r="N5912" i="11"/>
  <c r="N5913" i="11"/>
  <c r="N5914" i="11"/>
  <c r="N5915" i="11"/>
  <c r="N5916" i="11"/>
  <c r="N5917" i="11"/>
  <c r="N5918" i="11"/>
  <c r="N5919" i="11"/>
  <c r="N5920" i="11"/>
  <c r="N5921" i="11"/>
  <c r="N5922" i="11"/>
  <c r="N5923" i="11"/>
  <c r="N5924" i="11"/>
  <c r="N5925" i="11"/>
  <c r="N5926" i="11"/>
  <c r="N5927" i="11"/>
  <c r="N5928" i="11"/>
  <c r="N5929" i="11"/>
  <c r="N5930" i="11"/>
  <c r="N5931" i="11"/>
  <c r="N5932" i="11"/>
  <c r="N5933" i="11"/>
  <c r="N5934" i="11"/>
  <c r="N5935" i="11"/>
  <c r="N5936" i="11"/>
  <c r="N5937" i="11"/>
  <c r="N5938" i="11"/>
  <c r="N5939" i="11"/>
  <c r="N5940" i="11"/>
  <c r="N5941" i="11"/>
  <c r="N5942" i="11"/>
  <c r="N5943" i="11"/>
  <c r="N5944" i="11"/>
  <c r="N5945" i="11"/>
  <c r="N5946" i="11"/>
  <c r="N5947" i="11"/>
  <c r="N5948" i="11"/>
  <c r="N5949" i="11"/>
  <c r="N5950" i="11"/>
  <c r="N5951" i="11"/>
  <c r="N5952" i="11"/>
  <c r="N5953" i="11"/>
  <c r="N5954" i="11"/>
  <c r="N5955" i="11"/>
  <c r="N5956" i="11"/>
  <c r="N5957" i="11"/>
  <c r="N5958" i="11"/>
  <c r="N5959" i="11"/>
  <c r="N5960" i="11"/>
  <c r="N5961" i="11"/>
  <c r="N5962" i="11"/>
  <c r="N5963" i="11"/>
  <c r="N5964" i="11"/>
  <c r="N5965" i="11"/>
  <c r="N5966" i="11"/>
  <c r="N5967" i="11"/>
  <c r="N5968" i="11"/>
  <c r="N5969" i="11"/>
  <c r="N5970" i="11"/>
  <c r="N5971" i="11"/>
  <c r="N5972" i="11"/>
  <c r="N5973" i="11"/>
  <c r="N5974" i="11"/>
  <c r="N5975" i="11"/>
  <c r="N5976" i="11"/>
  <c r="N5977" i="11"/>
  <c r="N5978" i="11"/>
  <c r="N5979" i="11"/>
  <c r="N5980" i="11"/>
  <c r="N5981" i="11"/>
  <c r="N5982" i="11"/>
  <c r="N5983" i="11"/>
  <c r="N5984" i="11"/>
  <c r="N5985" i="11"/>
  <c r="N5986" i="11"/>
  <c r="N5987" i="11"/>
  <c r="N5988" i="11"/>
  <c r="N5989" i="11"/>
  <c r="N5990" i="11"/>
  <c r="N5991" i="11"/>
  <c r="N5992" i="11"/>
  <c r="N5993" i="11"/>
  <c r="N5994" i="11"/>
  <c r="N5995" i="11"/>
  <c r="N5996" i="11"/>
  <c r="N5997" i="11"/>
  <c r="N5998" i="11"/>
  <c r="N5999" i="11"/>
  <c r="N6000" i="11"/>
  <c r="N6001" i="11"/>
  <c r="N2" i="11"/>
  <c r="J35" i="10" l="1"/>
  <c r="J3" i="10"/>
  <c r="T35" i="10"/>
  <c r="M10" i="10"/>
  <c r="J26" i="10"/>
  <c r="S35" i="10"/>
  <c r="T30" i="10"/>
  <c r="M17" i="10"/>
  <c r="J40" i="10"/>
  <c r="J15" i="10"/>
  <c r="M29" i="10"/>
  <c r="T12" i="10"/>
  <c r="J19" i="10"/>
  <c r="T11" i="10"/>
  <c r="J18" i="10"/>
  <c r="T28" i="10"/>
  <c r="J39" i="10"/>
  <c r="J25" i="10"/>
  <c r="J14" i="10"/>
  <c r="J34" i="10"/>
  <c r="J10" i="10"/>
  <c r="T27" i="10"/>
  <c r="J38" i="10"/>
  <c r="J12" i="10"/>
  <c r="M19" i="10"/>
  <c r="J11" i="10"/>
  <c r="S11" i="10"/>
  <c r="J23" i="10"/>
  <c r="J9" i="10"/>
  <c r="P28" i="10"/>
  <c r="J27" i="10"/>
  <c r="T20" i="10"/>
  <c r="J37" i="10"/>
  <c r="J29" i="10"/>
  <c r="J21" i="10"/>
  <c r="J13" i="10"/>
  <c r="J5" i="10"/>
  <c r="J22" i="10"/>
  <c r="J8" i="10"/>
  <c r="J7" i="10"/>
  <c r="M3" i="10"/>
  <c r="M35" i="10"/>
  <c r="M27" i="10"/>
  <c r="M11" i="10"/>
  <c r="P18" i="10"/>
  <c r="P10" i="10"/>
  <c r="R26" i="10"/>
  <c r="R17" i="10"/>
  <c r="R9" i="10"/>
  <c r="T24" i="10"/>
  <c r="M33" i="10"/>
  <c r="R32" i="10"/>
  <c r="R16" i="10"/>
  <c r="T15" i="10"/>
  <c r="I15" i="10"/>
  <c r="M32" i="10"/>
  <c r="P31" i="10"/>
  <c r="R31" i="10"/>
  <c r="R7" i="10"/>
  <c r="T14" i="10"/>
  <c r="I38" i="10"/>
  <c r="I30" i="10"/>
  <c r="I22" i="10"/>
  <c r="I14" i="10"/>
  <c r="I6" i="10"/>
  <c r="M15" i="10"/>
  <c r="M7" i="10"/>
  <c r="M39" i="10"/>
  <c r="M31" i="10"/>
  <c r="M23" i="10"/>
  <c r="P22" i="10"/>
  <c r="R14" i="10"/>
  <c r="I2" i="10"/>
  <c r="I34" i="10"/>
  <c r="I18" i="10"/>
  <c r="I10" i="10"/>
  <c r="M34" i="10"/>
  <c r="R10" i="10"/>
  <c r="S10" i="10"/>
  <c r="T25" i="10"/>
  <c r="M18" i="10"/>
  <c r="R33" i="10"/>
  <c r="I40" i="10"/>
  <c r="I24" i="10"/>
  <c r="I8" i="10"/>
  <c r="M9" i="10"/>
  <c r="S18" i="10"/>
  <c r="T23" i="10"/>
  <c r="I39" i="10"/>
  <c r="I23" i="10"/>
  <c r="M40" i="10"/>
  <c r="R23" i="10"/>
  <c r="S26" i="10"/>
  <c r="I37" i="10"/>
  <c r="I29" i="10"/>
  <c r="I21" i="10"/>
  <c r="I13" i="10"/>
  <c r="I5" i="10"/>
  <c r="M38" i="10"/>
  <c r="M30" i="10"/>
  <c r="M22" i="10"/>
  <c r="P37" i="10"/>
  <c r="P29" i="10"/>
  <c r="P13" i="10"/>
  <c r="R21" i="10"/>
  <c r="R13" i="10"/>
  <c r="R5" i="10"/>
  <c r="T26" i="10"/>
  <c r="T17" i="10"/>
  <c r="I41" i="10"/>
  <c r="I25" i="10"/>
  <c r="I17" i="10"/>
  <c r="T16" i="10"/>
  <c r="M41" i="10"/>
  <c r="P40" i="10"/>
  <c r="R24" i="10"/>
  <c r="R8" i="10"/>
  <c r="M16" i="10"/>
  <c r="M24" i="10"/>
  <c r="P39" i="10"/>
  <c r="R15" i="10"/>
  <c r="T36" i="10"/>
  <c r="I36" i="10"/>
  <c r="I28" i="10"/>
  <c r="I20" i="10"/>
  <c r="I12" i="10"/>
  <c r="I4" i="10"/>
  <c r="M37" i="10"/>
  <c r="R36" i="10"/>
  <c r="R20" i="10"/>
  <c r="R12" i="10"/>
  <c r="R4" i="10"/>
  <c r="S34" i="10"/>
  <c r="I35" i="10"/>
  <c r="I27" i="10"/>
  <c r="I19" i="10"/>
  <c r="I11" i="10"/>
  <c r="I3" i="10"/>
  <c r="M36" i="10"/>
  <c r="T41" i="10"/>
  <c r="T32" i="10"/>
  <c r="T38" i="10"/>
  <c r="T34" i="10"/>
  <c r="T33" i="10"/>
  <c r="T2" i="10"/>
  <c r="P2" i="10"/>
  <c r="M2" i="10"/>
  <c r="J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BBBEFD-74CD-4297-96B8-6EDB0C007302}" keepAlive="1" name="Requête - Agent" description="Connexion à la requête « Agent » dans le classeur." type="5" refreshedVersion="8" background="1" saveData="1">
    <dbPr connection="Provider=Microsoft.Mashup.OleDb.1;Data Source=$Workbook$;Location=Agent;Extended Properties=&quot;&quot;" command="SELECT * FROM [Agent]"/>
  </connection>
  <connection id="2" xr16:uid="{58E6E2E9-B450-45DC-AF31-C84BD4396BA8}" keepAlive="1" name="Requête - Dim Date" description="Connexion à la requête « Dim Date » dans le classeur." type="5" refreshedVersion="8" background="1" saveData="1">
    <dbPr connection="Provider=Microsoft.Mashup.OleDb.1;Data Source=$Workbook$;Location=&quot;Dim Date&quot;;Extended Properties=&quot;&quot;" command="SELECT * FROM [Dim Date]"/>
  </connection>
  <connection id="3" xr16:uid="{61E64E6A-B164-4185-B062-256E8F55F7C6}" keepAlive="1" name="Requête - Enquetes_Satisfaction" description="Connexion à la requête « Enquetes_Satisfaction » dans le classeur." type="5" refreshedVersion="8" background="1" saveData="1">
    <dbPr connection="Provider=Microsoft.Mashup.OleDb.1;Data Source=$Workbook$;Location=Enquetes_Satisfaction;Extended Properties=&quot;&quot;" command="SELECT * FROM [Enquetes_Satisfaction]"/>
  </connection>
  <connection id="4" xr16:uid="{0E73B0B3-B50F-4162-B7D4-D6C9A0FB39F6}" keepAlive="1" name="Requête - Productivite" description="Connexion à la requête « Productivite » dans le classeur." type="5" refreshedVersion="8" background="1" saveData="1">
    <dbPr connection="Provider=Microsoft.Mashup.OleDb.1;Data Source=$Workbook$;Location=Productivite;Extended Properties=&quot;&quot;" command="SELECT * FROM [Productivite]"/>
  </connection>
  <connection id="5" xr16:uid="{926E9192-5B2F-4C63-A4B4-25E7F353B905}" keepAlive="1" name="Requête - Ticket" description="Connexion à la requête « Ticket » dans le classeur." type="5" refreshedVersion="8" background="1" saveData="1">
    <dbPr connection="Provider=Microsoft.Mashup.OleDb.1;Data Source=$Workbook$;Location=Ticket;Extended Properties=&quot;&quot;" command="SELECT * FROM [Ticket]"/>
  </connection>
</connections>
</file>

<file path=xl/sharedStrings.xml><?xml version="1.0" encoding="utf-8"?>
<sst xmlns="http://schemas.openxmlformats.org/spreadsheetml/2006/main" count="59670" uniqueCount="8404">
  <si>
    <t>ID_Ticket</t>
  </si>
  <si>
    <t>Date_Ouverture</t>
  </si>
  <si>
    <t>Canal</t>
  </si>
  <si>
    <t>Categorie</t>
  </si>
  <si>
    <t>Priorite</t>
  </si>
  <si>
    <t>Statut</t>
  </si>
  <si>
    <t>SLA_Cible_h</t>
  </si>
  <si>
    <t>Reouvertures</t>
  </si>
  <si>
    <t>Satisfaction_Client</t>
  </si>
  <si>
    <t>Commentaire</t>
  </si>
  <si>
    <t>ID_Agent</t>
  </si>
  <si>
    <t>Temps_Resolution_h</t>
  </si>
  <si>
    <t>TCK-004579</t>
  </si>
  <si>
    <t>Chat</t>
  </si>
  <si>
    <t>Bug technique</t>
  </si>
  <si>
    <t>Moyenne</t>
  </si>
  <si>
    <t>Ferme sans resolution</t>
  </si>
  <si>
    <t>cf mail joint</t>
  </si>
  <si>
    <t>AG-026</t>
  </si>
  <si>
    <t>TCK-005341</t>
  </si>
  <si>
    <t>Portail Web</t>
  </si>
  <si>
    <t>Critique</t>
  </si>
  <si>
    <t>Resolu</t>
  </si>
  <si>
    <t>AG-040</t>
  </si>
  <si>
    <t>TCK-005385</t>
  </si>
  <si>
    <t>Email</t>
  </si>
  <si>
    <t>Remboursement</t>
  </si>
  <si>
    <t>Basse</t>
  </si>
  <si>
    <t>Non resolu</t>
  </si>
  <si>
    <t>AG-006</t>
  </si>
  <si>
    <t>TCK-000126</t>
  </si>
  <si>
    <t>Haute</t>
  </si>
  <si>
    <t>En cours</t>
  </si>
  <si>
    <t>A recontacter</t>
  </si>
  <si>
    <t>AG-025</t>
  </si>
  <si>
    <t>TCK-002718</t>
  </si>
  <si>
    <t>Telephone</t>
  </si>
  <si>
    <t>Demande fonctionnalite</t>
  </si>
  <si>
    <t>probleme recurrent</t>
  </si>
  <si>
    <t>AG-034</t>
  </si>
  <si>
    <t>Probleme de connexion</t>
  </si>
  <si>
    <t>AG-029</t>
  </si>
  <si>
    <t>TCK-003323</t>
  </si>
  <si>
    <t>Autre</t>
  </si>
  <si>
    <t>Top!!</t>
  </si>
  <si>
    <t>AG-019</t>
  </si>
  <si>
    <t>TCK-001445</t>
  </si>
  <si>
    <t>AG-037</t>
  </si>
  <si>
    <t>TCK-001454</t>
  </si>
  <si>
    <t>AG-035</t>
  </si>
  <si>
    <t>TCK-004491</t>
  </si>
  <si>
    <t>AG-033</t>
  </si>
  <si>
    <t>TCK-004283</t>
  </si>
  <si>
    <t>AG-008</t>
  </si>
  <si>
    <t>TCK-001410</t>
  </si>
  <si>
    <t>Escalade N2</t>
  </si>
  <si>
    <t>TCK-003540</t>
  </si>
  <si>
    <t>AG-038</t>
  </si>
  <si>
    <t>TCK-005826</t>
  </si>
  <si>
    <t>Question facturation</t>
  </si>
  <si>
    <t>TCK-001970</t>
  </si>
  <si>
    <t>TCK-005115</t>
  </si>
  <si>
    <t>Client mecontent</t>
  </si>
  <si>
    <t>TCK-005952</t>
  </si>
  <si>
    <t>TCK-002439</t>
  </si>
  <si>
    <t>AG-007</t>
  </si>
  <si>
    <t>TCK-004159</t>
  </si>
  <si>
    <t>TCK-002089</t>
  </si>
  <si>
    <t>Reseaux sociaux</t>
  </si>
  <si>
    <t>AG-039</t>
  </si>
  <si>
    <t>TCK-003520</t>
  </si>
  <si>
    <t>TCK-003903</t>
  </si>
  <si>
    <t>AG-018</t>
  </si>
  <si>
    <t>TCK-002315</t>
  </si>
  <si>
    <t>TCK-000369</t>
  </si>
  <si>
    <t>RAS</t>
  </si>
  <si>
    <t>TCK-003388</t>
  </si>
  <si>
    <t>TCK-000037</t>
  </si>
  <si>
    <t>AG-021</t>
  </si>
  <si>
    <t>TCK-003013</t>
  </si>
  <si>
    <t>TCK-000434</t>
  </si>
  <si>
    <t>AG-032</t>
  </si>
  <si>
    <t>TCK-003412</t>
  </si>
  <si>
    <t>TCK-001141</t>
  </si>
  <si>
    <t>TCK-005546</t>
  </si>
  <si>
    <t>AG-028</t>
  </si>
  <si>
    <t>TCK-004324</t>
  </si>
  <si>
    <t>AG-017</t>
  </si>
  <si>
    <t>TCK-003267</t>
  </si>
  <si>
    <t>AG-014</t>
  </si>
  <si>
    <t>TCK-005769</t>
  </si>
  <si>
    <t>TCK-004011</t>
  </si>
  <si>
    <t>AG-036</t>
  </si>
  <si>
    <t>TCK-002939</t>
  </si>
  <si>
    <t>TCK-004656</t>
  </si>
  <si>
    <t>TCK-000611</t>
  </si>
  <si>
    <t>TCK-000837</t>
  </si>
  <si>
    <t>AG-010</t>
  </si>
  <si>
    <t>TCK-003887</t>
  </si>
  <si>
    <t>AG-003</t>
  </si>
  <si>
    <t>TCK-000744</t>
  </si>
  <si>
    <t>AG-024</t>
  </si>
  <si>
    <t>TCK-003715</t>
  </si>
  <si>
    <t>TCK-004822</t>
  </si>
  <si>
    <t>AG-027</t>
  </si>
  <si>
    <t>TCK-004209</t>
  </si>
  <si>
    <t>TCK-002317</t>
  </si>
  <si>
    <t>TCK-004887</t>
  </si>
  <si>
    <t>AG-011</t>
  </si>
  <si>
    <t>TCK-002660</t>
  </si>
  <si>
    <t>TCK-001080</t>
  </si>
  <si>
    <t>TCK-001994</t>
  </si>
  <si>
    <t>TCK-002652</t>
  </si>
  <si>
    <t>TCK-004345</t>
  </si>
  <si>
    <t>TCK-004025</t>
  </si>
  <si>
    <t>TCK-001936</t>
  </si>
  <si>
    <t>TCK-000545</t>
  </si>
  <si>
    <t>TCK-005158</t>
  </si>
  <si>
    <t>TCK-003858</t>
  </si>
  <si>
    <t>TCK-005910</t>
  </si>
  <si>
    <t>TCK-005738</t>
  </si>
  <si>
    <t>TCK-002760</t>
  </si>
  <si>
    <t>TCK-002897</t>
  </si>
  <si>
    <t>TCK-000063</t>
  </si>
  <si>
    <t>TCK-003205</t>
  </si>
  <si>
    <t>TCK-002073</t>
  </si>
  <si>
    <t>AG-012</t>
  </si>
  <si>
    <t>TCK-005260</t>
  </si>
  <si>
    <t>TCK-000025</t>
  </si>
  <si>
    <t>TCK-005412</t>
  </si>
  <si>
    <t>AG-005</t>
  </si>
  <si>
    <t>TCK-002528</t>
  </si>
  <si>
    <t>TCK-001124</t>
  </si>
  <si>
    <t>TCK-001594</t>
  </si>
  <si>
    <t>TCK-002761</t>
  </si>
  <si>
    <t>TCK-000351</t>
  </si>
  <si>
    <t>TCK-001705</t>
  </si>
  <si>
    <t>TCK-004617</t>
  </si>
  <si>
    <t>TCK-005048</t>
  </si>
  <si>
    <t>AG-020</t>
  </si>
  <si>
    <t>TCK-001197</t>
  </si>
  <si>
    <t>TCK-000350</t>
  </si>
  <si>
    <t>TCK-000518</t>
  </si>
  <si>
    <t>AG-023</t>
  </si>
  <si>
    <t>TCK-003821</t>
  </si>
  <si>
    <t>TCK-003031</t>
  </si>
  <si>
    <t>AG-013</t>
  </si>
  <si>
    <t>TCK-005209</t>
  </si>
  <si>
    <t>TCK-000487</t>
  </si>
  <si>
    <t>TCK-000468</t>
  </si>
  <si>
    <t>TCK-002393</t>
  </si>
  <si>
    <t>TCK-001092</t>
  </si>
  <si>
    <t>TCK-000616</t>
  </si>
  <si>
    <t>TCK-000251</t>
  </si>
  <si>
    <t>TCK-003303</t>
  </si>
  <si>
    <t>TCK-005056</t>
  </si>
  <si>
    <t>TCK-000851</t>
  </si>
  <si>
    <t>TCK-004986</t>
  </si>
  <si>
    <t>AG-022</t>
  </si>
  <si>
    <t>TCK-005201</t>
  </si>
  <si>
    <t>TCK-004260</t>
  </si>
  <si>
    <t>TCK-000116</t>
  </si>
  <si>
    <t>TCK-005663</t>
  </si>
  <si>
    <t>TCK-004884</t>
  </si>
  <si>
    <t>TCK-000732</t>
  </si>
  <si>
    <t>TCK-000921</t>
  </si>
  <si>
    <t>TCK-001770</t>
  </si>
  <si>
    <t>TCK-000270</t>
  </si>
  <si>
    <t>TCK-000318</t>
  </si>
  <si>
    <t>TCK-004307</t>
  </si>
  <si>
    <t>TCK-003019</t>
  </si>
  <si>
    <t>TCK-001353</t>
  </si>
  <si>
    <t>TCK-003627</t>
  </si>
  <si>
    <t>TCK-005639</t>
  </si>
  <si>
    <t>TCK-002684</t>
  </si>
  <si>
    <t>TCK-001664</t>
  </si>
  <si>
    <t>TCK-004207</t>
  </si>
  <si>
    <t>TCK-004029</t>
  </si>
  <si>
    <t>TCK-000905</t>
  </si>
  <si>
    <t>TCK-002085</t>
  </si>
  <si>
    <t>TCK-000034</t>
  </si>
  <si>
    <t>AG-031</t>
  </si>
  <si>
    <t>TCK-005924</t>
  </si>
  <si>
    <t>TCK-001183</t>
  </si>
  <si>
    <t>TCK-001869</t>
  </si>
  <si>
    <t>TCK-001547</t>
  </si>
  <si>
    <t>TCK-000641</t>
  </si>
  <si>
    <t>TCK-001709</t>
  </si>
  <si>
    <t>TCK-000274</t>
  </si>
  <si>
    <t>TCK-004734</t>
  </si>
  <si>
    <t>TCK-002625</t>
  </si>
  <si>
    <t>TCK-003473</t>
  </si>
  <si>
    <t>TCK-005846</t>
  </si>
  <si>
    <t>TCK-000258</t>
  </si>
  <si>
    <t>TCK-001921</t>
  </si>
  <si>
    <t>TCK-002001</t>
  </si>
  <si>
    <t>TCK-000018</t>
  </si>
  <si>
    <t>TCK-002539</t>
  </si>
  <si>
    <t>TCK-002922</t>
  </si>
  <si>
    <t>TCK-001624</t>
  </si>
  <si>
    <t>TCK-001127</t>
  </si>
  <si>
    <t>TCK-004555</t>
  </si>
  <si>
    <t>TCK-002015</t>
  </si>
  <si>
    <t>TCK-001377</t>
  </si>
  <si>
    <t>TCK-001497</t>
  </si>
  <si>
    <t>TCK-000877</t>
  </si>
  <si>
    <t>TCK-001585</t>
  </si>
  <si>
    <t>TCK-001058</t>
  </si>
  <si>
    <t>TCK-001796</t>
  </si>
  <si>
    <t>TCK-003538</t>
  </si>
  <si>
    <t>TCK-004846</t>
  </si>
  <si>
    <t>TCK-002697</t>
  </si>
  <si>
    <t>TCK-001697</t>
  </si>
  <si>
    <t>TCK-005189</t>
  </si>
  <si>
    <t>TCK-002519</t>
  </si>
  <si>
    <t>TCK-001671</t>
  </si>
  <si>
    <t>TCK-003707</t>
  </si>
  <si>
    <t>TCK-001632</t>
  </si>
  <si>
    <t>TCK-001867</t>
  </si>
  <si>
    <t>TCK-002910</t>
  </si>
  <si>
    <t>TCK-001415</t>
  </si>
  <si>
    <t>TCK-004395</t>
  </si>
  <si>
    <t>TCK-001531</t>
  </si>
  <si>
    <t>TCK-001584</t>
  </si>
  <si>
    <t>TCK-001753</t>
  </si>
  <si>
    <t>TCK-004625</t>
  </si>
  <si>
    <t>TCK-004138</t>
  </si>
  <si>
    <t>TCK-001626</t>
  </si>
  <si>
    <t>TCK-005295</t>
  </si>
  <si>
    <t>TCK-001889</t>
  </si>
  <si>
    <t>TCK-000982</t>
  </si>
  <si>
    <t>TCK-001676</t>
  </si>
  <si>
    <t>TCK-003149</t>
  </si>
  <si>
    <t>TCK-001065</t>
  </si>
  <si>
    <t>TCK-001767</t>
  </si>
  <si>
    <t>TCK-000687</t>
  </si>
  <si>
    <t>AG-016</t>
  </si>
  <si>
    <t>TCK-005905</t>
  </si>
  <si>
    <t>TCK-003201</t>
  </si>
  <si>
    <t>TCK-005288</t>
  </si>
  <si>
    <t>TCK-001932</t>
  </si>
  <si>
    <t>TCK-003462</t>
  </si>
  <si>
    <t>TCK-000880</t>
  </si>
  <si>
    <t>TCK-001656</t>
  </si>
  <si>
    <t>TCK-003511</t>
  </si>
  <si>
    <t>TCK-004800</t>
  </si>
  <si>
    <t>TCK-004402</t>
  </si>
  <si>
    <t>TCK-005228</t>
  </si>
  <si>
    <t>TCK-000603</t>
  </si>
  <si>
    <t>TCK-001424</t>
  </si>
  <si>
    <t>TCK-000894</t>
  </si>
  <si>
    <t>TCK-005531</t>
  </si>
  <si>
    <t>TCK-002753</t>
  </si>
  <si>
    <t>AG-015</t>
  </si>
  <si>
    <t>TCK-000627</t>
  </si>
  <si>
    <t>TCK-002080</t>
  </si>
  <si>
    <t>TCK-004368</t>
  </si>
  <si>
    <t>TCK-005544</t>
  </si>
  <si>
    <t>TCK-003102</t>
  </si>
  <si>
    <t>TCK-003208</t>
  </si>
  <si>
    <t>TCK-005862</t>
  </si>
  <si>
    <t>TCK-000282</t>
  </si>
  <si>
    <t>TCK-005653</t>
  </si>
  <si>
    <t>TCK-004731</t>
  </si>
  <si>
    <t>TCK-003379</t>
  </si>
  <si>
    <t>TCK-000576</t>
  </si>
  <si>
    <t>TCK-003376</t>
  </si>
  <si>
    <t>TCK-002121</t>
  </si>
  <si>
    <t>TCK-004646</t>
  </si>
  <si>
    <t>TCK-002867</t>
  </si>
  <si>
    <t>TCK-004838</t>
  </si>
  <si>
    <t>TCK-005111</t>
  </si>
  <si>
    <t>TCK-002454</t>
  </si>
  <si>
    <t>TCK-004334</t>
  </si>
  <si>
    <t>TCK-001042</t>
  </si>
  <si>
    <t>TCK-001494</t>
  </si>
  <si>
    <t>TCK-000810</t>
  </si>
  <si>
    <t>TCK-000686</t>
  </si>
  <si>
    <t>TCK-004328</t>
  </si>
  <si>
    <t>TCK-000331</t>
  </si>
  <si>
    <t>TCK-001229</t>
  </si>
  <si>
    <t>TCK-004569</t>
  </si>
  <si>
    <t>TCK-000058</t>
  </si>
  <si>
    <t>TCK-001968</t>
  </si>
  <si>
    <t>TCK-003435</t>
  </si>
  <si>
    <t>TCK-003966</t>
  </si>
  <si>
    <t>TCK-001728</t>
  </si>
  <si>
    <t>TCK-002441</t>
  </si>
  <si>
    <t>TCK-001990</t>
  </si>
  <si>
    <t>TCK-005516</t>
  </si>
  <si>
    <t>TCK-001241</t>
  </si>
  <si>
    <t>TCK-000833</t>
  </si>
  <si>
    <t>TCK-004561</t>
  </si>
  <si>
    <t>TCK-001073</t>
  </si>
  <si>
    <t>TCK-000967</t>
  </si>
  <si>
    <t>TCK-002900</t>
  </si>
  <si>
    <t>TCK-003012</t>
  </si>
  <si>
    <t>TCK-000088</t>
  </si>
  <si>
    <t>TCK-005210</t>
  </si>
  <si>
    <t>TCK-001143</t>
  </si>
  <si>
    <t>TCK-004771</t>
  </si>
  <si>
    <t>TCK-003007</t>
  </si>
  <si>
    <t>TCK-004292</t>
  </si>
  <si>
    <t>TCK-004120</t>
  </si>
  <si>
    <t>TCK-002544</t>
  </si>
  <si>
    <t>TCK-000176</t>
  </si>
  <si>
    <t>TCK-001012</t>
  </si>
  <si>
    <t>TCK-000941</t>
  </si>
  <si>
    <t>TCK-003126</t>
  </si>
  <si>
    <t>TCK-002837</t>
  </si>
  <si>
    <t>TCK-001120</t>
  </si>
  <si>
    <t>TCK-004587</t>
  </si>
  <si>
    <t>TCK-001088</t>
  </si>
  <si>
    <t>TCK-005980</t>
  </si>
  <si>
    <t>TCK-002423</t>
  </si>
  <si>
    <t>TCK-001461</t>
  </si>
  <si>
    <t>TCK-003127</t>
  </si>
  <si>
    <t>TCK-002383</t>
  </si>
  <si>
    <t>TCK-002020</t>
  </si>
  <si>
    <t>TCK-000165</t>
  </si>
  <si>
    <t>TCK-000739</t>
  </si>
  <si>
    <t>TCK-004026</t>
  </si>
  <si>
    <t>TCK-001554</t>
  </si>
  <si>
    <t>TCK-003256</t>
  </si>
  <si>
    <t>TCK-004924</t>
  </si>
  <si>
    <t>TCK-003917</t>
  </si>
  <si>
    <t>TCK-004514</t>
  </si>
  <si>
    <t>TCK-003618</t>
  </si>
  <si>
    <t>TCK-002588</t>
  </si>
  <si>
    <t>TCK-005645</t>
  </si>
  <si>
    <t>TCK-005549</t>
  </si>
  <si>
    <t>TCK-001976</t>
  </si>
  <si>
    <t>TCK-003763</t>
  </si>
  <si>
    <t>TCK-004163</t>
  </si>
  <si>
    <t>TCK-000791</t>
  </si>
  <si>
    <t>TCK-003340</t>
  </si>
  <si>
    <t>TCK-005477</t>
  </si>
  <si>
    <t>TCK-003385</t>
  </si>
  <si>
    <t>TCK-001827</t>
  </si>
  <si>
    <t>TCK-004269</t>
  </si>
  <si>
    <t>TCK-004770</t>
  </si>
  <si>
    <t>TCK-003570</t>
  </si>
  <si>
    <t>TCK-000376</t>
  </si>
  <si>
    <t>TCK-004082</t>
  </si>
  <si>
    <t>TCK-002146</t>
  </si>
  <si>
    <t>TCK-003994</t>
  </si>
  <si>
    <t>TCK-003713</t>
  </si>
  <si>
    <t>TCK-000530</t>
  </si>
  <si>
    <t>TCK-002276</t>
  </si>
  <si>
    <t>TCK-003915</t>
  </si>
  <si>
    <t>TCK-001774</t>
  </si>
  <si>
    <t>TCK-001620</t>
  </si>
  <si>
    <t>TCK-000042</t>
  </si>
  <si>
    <t>TCK-000457</t>
  </si>
  <si>
    <t>TCK-003803</t>
  </si>
  <si>
    <t>TCK-000200</t>
  </si>
  <si>
    <t>TCK-000256</t>
  </si>
  <si>
    <t>TCK-000027</t>
  </si>
  <si>
    <t>TCK-002580</t>
  </si>
  <si>
    <t>TCK-004257</t>
  </si>
  <si>
    <t>TCK-000204</t>
  </si>
  <si>
    <t>TCK-003427</t>
  </si>
  <si>
    <t>TCK-003265</t>
  </si>
  <si>
    <t>TCK-001913</t>
  </si>
  <si>
    <t>TCK-005043</t>
  </si>
  <si>
    <t>TCK-004172</t>
  </si>
  <si>
    <t>TCK-001549</t>
  </si>
  <si>
    <t>TCK-005264</t>
  </si>
  <si>
    <t>TCK-001965</t>
  </si>
  <si>
    <t>TCK-000555</t>
  </si>
  <si>
    <t>TCK-002812</t>
  </si>
  <si>
    <t>TCK-004264</t>
  </si>
  <si>
    <t>TCK-000022</t>
  </si>
  <si>
    <t>TCK-003113</t>
  </si>
  <si>
    <t>TCK-000323</t>
  </si>
  <si>
    <t>TCK-002335</t>
  </si>
  <si>
    <t>TCK-004318</t>
  </si>
  <si>
    <t>TCK-002925</t>
  </si>
  <si>
    <t>TCK-005033</t>
  </si>
  <si>
    <t>TCK-002883</t>
  </si>
  <si>
    <t>TCK-004665</t>
  </si>
  <si>
    <t>TCK-005182</t>
  </si>
  <si>
    <t>TCK-004359</t>
  </si>
  <si>
    <t>TCK-002602</t>
  </si>
  <si>
    <t>TCK-003294</t>
  </si>
  <si>
    <t>TCK-004678</t>
  </si>
  <si>
    <t>TCK-000522</t>
  </si>
  <si>
    <t>TCK-001358</t>
  </si>
  <si>
    <t>TCK-001258</t>
  </si>
  <si>
    <t>TCK-002809</t>
  </si>
  <si>
    <t>TCK-000233</t>
  </si>
  <si>
    <t>TCK-002919</t>
  </si>
  <si>
    <t>TCK-003228</t>
  </si>
  <si>
    <t>TCK-001292</t>
  </si>
  <si>
    <t>TCK-000533</t>
  </si>
  <si>
    <t>TCK-002825</t>
  </si>
  <si>
    <t>TCK-004471</t>
  </si>
  <si>
    <t>TCK-001009</t>
  </si>
  <si>
    <t>TCK-004449</t>
  </si>
  <si>
    <t>TCK-004076</t>
  </si>
  <si>
    <t>TCK-005055</t>
  </si>
  <si>
    <t>TCK-005690</t>
  </si>
  <si>
    <t>TCK-000501</t>
  </si>
  <si>
    <t>TCK-000750</t>
  </si>
  <si>
    <t>TCK-001293</t>
  </si>
  <si>
    <t>TCK-001586</t>
  </si>
  <si>
    <t>TCK-004032</t>
  </si>
  <si>
    <t>TCK-001396</t>
  </si>
  <si>
    <t>TCK-005535</t>
  </si>
  <si>
    <t>TCK-005847</t>
  </si>
  <si>
    <t>TCK-003518</t>
  </si>
  <si>
    <t>TCK-003166</t>
  </si>
  <si>
    <t>TCK-003039</t>
  </si>
  <si>
    <t>TCK-000592</t>
  </si>
  <si>
    <t>TCK-000078</t>
  </si>
  <si>
    <t>TCK-004019</t>
  </si>
  <si>
    <t>TCK-002455</t>
  </si>
  <si>
    <t>TCK-005112</t>
  </si>
  <si>
    <t>TCK-001135</t>
  </si>
  <si>
    <t>TCK-004337</t>
  </si>
  <si>
    <t>TCK-001208</t>
  </si>
  <si>
    <t>TCK-001213</t>
  </si>
  <si>
    <t>TCK-003658</t>
  </si>
  <si>
    <t>TCK-004088</t>
  </si>
  <si>
    <t>TCK-001296</t>
  </si>
  <si>
    <t>TCK-005222</t>
  </si>
  <si>
    <t>TCK-001156</t>
  </si>
  <si>
    <t>TCK-000106</t>
  </si>
  <si>
    <t>TCK-004853</t>
  </si>
  <si>
    <t>TCK-003185</t>
  </si>
  <si>
    <t>TCK-002033</t>
  </si>
  <si>
    <t>TCK-001186</t>
  </si>
  <si>
    <t>TCK-000446</t>
  </si>
  <si>
    <t>TCK-002541</t>
  </si>
  <si>
    <t>TCK-005356</t>
  </si>
  <si>
    <t>TCK-003847</t>
  </si>
  <si>
    <t>TCK-004677</t>
  </si>
  <si>
    <t>TCK-001057</t>
  </si>
  <si>
    <t>TCK-003160</t>
  </si>
  <si>
    <t>TCK-005595</t>
  </si>
  <si>
    <t>TCK-005958</t>
  </si>
  <si>
    <t>TCK-005557</t>
  </si>
  <si>
    <t>TCK-005355</t>
  </si>
  <si>
    <t>TCK-005943</t>
  </si>
  <si>
    <t>TCK-000954</t>
  </si>
  <si>
    <t>TCK-005007</t>
  </si>
  <si>
    <t>TCK-005157</t>
  </si>
  <si>
    <t>TCK-004516</t>
  </si>
  <si>
    <t>TCK-003367</t>
  </si>
  <si>
    <t>TCK-002460</t>
  </si>
  <si>
    <t>TCK-005046</t>
  </si>
  <si>
    <t>TCK-003879</t>
  </si>
  <si>
    <t>TCK-005969</t>
  </si>
  <si>
    <t>TCK-005509</t>
  </si>
  <si>
    <t>TCK-001477</t>
  </si>
  <si>
    <t>TCK-004444</t>
  </si>
  <si>
    <t>TCK-003580</t>
  </si>
  <si>
    <t>TCK-005915</t>
  </si>
  <si>
    <t>TCK-005647</t>
  </si>
  <si>
    <t>TCK-002285</t>
  </si>
  <si>
    <t>TCK-001530</t>
  </si>
  <si>
    <t>TCK-001130</t>
  </si>
  <si>
    <t>TCK-004440</t>
  </si>
  <si>
    <t>TCK-004876</t>
  </si>
  <si>
    <t>TCK-002210</t>
  </si>
  <si>
    <t>TCK-005406</t>
  </si>
  <si>
    <t>TCK-004852</t>
  </si>
  <si>
    <t>TCK-000564</t>
  </si>
  <si>
    <t>TCK-001174</t>
  </si>
  <si>
    <t>TCK-004006</t>
  </si>
  <si>
    <t>TCK-001453</t>
  </si>
  <si>
    <t>TCK-001778</t>
  </si>
  <si>
    <t>TCK-004864</t>
  </si>
  <si>
    <t>TCK-002116</t>
  </si>
  <si>
    <t>TCK-001395</t>
  </si>
  <si>
    <t>TCK-002507</t>
  </si>
  <si>
    <t>TCK-003176</t>
  </si>
  <si>
    <t>TCK-003964</t>
  </si>
  <si>
    <t>TCK-004830</t>
  </si>
  <si>
    <t>TCK-000280</t>
  </si>
  <si>
    <t>TCK-002830</t>
  </si>
  <si>
    <t>TCK-001505</t>
  </si>
  <si>
    <t>TCK-005824</t>
  </si>
  <si>
    <t>TCK-000452</t>
  </si>
  <si>
    <t>TCK-003480</t>
  </si>
  <si>
    <t>TCK-003428</t>
  </si>
  <si>
    <t>TCK-000262</t>
  </si>
  <si>
    <t>TCK-005856</t>
  </si>
  <si>
    <t>TCK-000455</t>
  </si>
  <si>
    <t>TCK-002333</t>
  </si>
  <si>
    <t>TCK-000643</t>
  </si>
  <si>
    <t>TCK-001892</t>
  </si>
  <si>
    <t>TCK-001128</t>
  </si>
  <si>
    <t>TCK-002872</t>
  </si>
  <si>
    <t>TCK-005938</t>
  </si>
  <si>
    <t>TCK-000607</t>
  </si>
  <si>
    <t>TCK-002558</t>
  </si>
  <si>
    <t>TCK-004231</t>
  </si>
  <si>
    <t>TCK-002668</t>
  </si>
  <si>
    <t>TCK-001374</t>
  </si>
  <si>
    <t>TCK-000761</t>
  </si>
  <si>
    <t>TCK-005103</t>
  </si>
  <si>
    <t>TCK-005116</t>
  </si>
  <si>
    <t>TCK-004915</t>
  </si>
  <si>
    <t>TCK-004914</t>
  </si>
  <si>
    <t>TCK-002920</t>
  </si>
  <si>
    <t>TCK-004045</t>
  </si>
  <si>
    <t>TCK-001121</t>
  </si>
  <si>
    <t>TCK-002874</t>
  </si>
  <si>
    <t>TCK-001279</t>
  </si>
  <si>
    <t>TCK-005391</t>
  </si>
  <si>
    <t>TCK-000448</t>
  </si>
  <si>
    <t>TCK-000895</t>
  </si>
  <si>
    <t>TCK-001295</t>
  </si>
  <si>
    <t>TCK-000568</t>
  </si>
  <si>
    <t>TCK-003299</t>
  </si>
  <si>
    <t>TCK-005225</t>
  </si>
  <si>
    <t>TCK-002252</t>
  </si>
  <si>
    <t>TCK-004113</t>
  </si>
  <si>
    <t>TCK-001236</t>
  </si>
  <si>
    <t>TCK-002621</t>
  </si>
  <si>
    <t>TCK-005191</t>
  </si>
  <si>
    <t>TCK-004828</t>
  </si>
  <si>
    <t>TCK-003567</t>
  </si>
  <si>
    <t>TCK-004119</t>
  </si>
  <si>
    <t>TCK-001137</t>
  </si>
  <si>
    <t>TCK-000808</t>
  </si>
  <si>
    <t>TCK-005249</t>
  </si>
  <si>
    <t>TCK-001471</t>
  </si>
  <si>
    <t>TCK-005953</t>
  </si>
  <si>
    <t>TCK-003069</t>
  </si>
  <si>
    <t>TCK-000024</t>
  </si>
  <si>
    <t>TCK-005202</t>
  </si>
  <si>
    <t>TCK-001242</t>
  </si>
  <si>
    <t>TCK-001204</t>
  </si>
  <si>
    <t>TCK-002489</t>
  </si>
  <si>
    <t>TCK-001861</t>
  </si>
  <si>
    <t>TCK-005929</t>
  </si>
  <si>
    <t>TCK-001639</t>
  </si>
  <si>
    <t>TCK-000780</t>
  </si>
  <si>
    <t>TCK-001637</t>
  </si>
  <si>
    <t>TCK-002416</t>
  </si>
  <si>
    <t>TCK-003003</t>
  </si>
  <si>
    <t>TCK-000809</t>
  </si>
  <si>
    <t>TCK-000797</t>
  </si>
  <si>
    <t>TCK-001234</t>
  </si>
  <si>
    <t>TCK-003970</t>
  </si>
  <si>
    <t>TCK-003509</t>
  </si>
  <si>
    <t>TCK-003901</t>
  </si>
  <si>
    <t>TCK-002245</t>
  </si>
  <si>
    <t>TCK-005445</t>
  </si>
  <si>
    <t>TCK-004694</t>
  </si>
  <si>
    <t>TCK-002456</t>
  </si>
  <si>
    <t>TCK-004883</t>
  </si>
  <si>
    <t>TCK-005528</t>
  </si>
  <si>
    <t>TCK-000672</t>
  </si>
  <si>
    <t>TCK-000206</t>
  </si>
  <si>
    <t>TCK-005016</t>
  </si>
  <si>
    <t>TCK-004817</t>
  </si>
  <si>
    <t>TCK-003946</t>
  </si>
  <si>
    <t>TCK-004205</t>
  </si>
  <si>
    <t>TCK-002992</t>
  </si>
  <si>
    <t>TCK-003091</t>
  </si>
  <si>
    <t>TCK-005700</t>
  </si>
  <si>
    <t>TCK-003079</t>
  </si>
  <si>
    <t>TCK-002097</t>
  </si>
  <si>
    <t>TCK-004953</t>
  </si>
  <si>
    <t>TCK-002694</t>
  </si>
  <si>
    <t>TCK-005378</t>
  </si>
  <si>
    <t>TCK-005894</t>
  </si>
  <si>
    <t>TCK-000466</t>
  </si>
  <si>
    <t>TCK-005199</t>
  </si>
  <si>
    <t>TCK-005429</t>
  </si>
  <si>
    <t>TCK-003679</t>
  </si>
  <si>
    <t>TCK-005446</t>
  </si>
  <si>
    <t>TCK-000720</t>
  </si>
  <si>
    <t>TCK-002275</t>
  </si>
  <si>
    <t>TCK-005500</t>
  </si>
  <si>
    <t>TCK-001562</t>
  </si>
  <si>
    <t>TCK-004702</t>
  </si>
  <si>
    <t>TCK-003342</t>
  </si>
  <si>
    <t>TCK-005594</t>
  </si>
  <si>
    <t>TCK-005768</t>
  </si>
  <si>
    <t>TCK-003451</t>
  </si>
  <si>
    <t>TCK-002099</t>
  </si>
  <si>
    <t>TCK-003579</t>
  </si>
  <si>
    <t>TCK-002687</t>
  </si>
  <si>
    <t>TCK-003717</t>
  </si>
  <si>
    <t>TCK-005536</t>
  </si>
  <si>
    <t>TCK-001177</t>
  </si>
  <si>
    <t>TCK-000095</t>
  </si>
  <si>
    <t>TCK-005996</t>
  </si>
  <si>
    <t>TCK-002008_DUP</t>
  </si>
  <si>
    <t>TCK-001730</t>
  </si>
  <si>
    <t>TCK-005999</t>
  </si>
  <si>
    <t>TCK-003502</t>
  </si>
  <si>
    <t>TCK-002873</t>
  </si>
  <si>
    <t>TCK-005756</t>
  </si>
  <si>
    <t>TCK-002840</t>
  </si>
  <si>
    <t>TCK-004167</t>
  </si>
  <si>
    <t>TCK-000239</t>
  </si>
  <si>
    <t>TCK-005981</t>
  </si>
  <si>
    <t>TCK-003292</t>
  </si>
  <si>
    <t>TCK-001066</t>
  </si>
  <si>
    <t>TCK-001758</t>
  </si>
  <si>
    <t>TCK-004329</t>
  </si>
  <si>
    <t>TCK-005887</t>
  </si>
  <si>
    <t>TCK-001444</t>
  </si>
  <si>
    <t>TCK-004219</t>
  </si>
  <si>
    <t>TCK-004769</t>
  </si>
  <si>
    <t>TCK-004834</t>
  </si>
  <si>
    <t>TCK-004648</t>
  </si>
  <si>
    <t>TCK-002440</t>
  </si>
  <si>
    <t>TCK-003833</t>
  </si>
  <si>
    <t>TCK-005993</t>
  </si>
  <si>
    <t>TCK-001104</t>
  </si>
  <si>
    <t>TCK-005491</t>
  </si>
  <si>
    <t>TCK-005903</t>
  </si>
  <si>
    <t>TCK-005978</t>
  </si>
  <si>
    <t>TCK-002706</t>
  </si>
  <si>
    <t>TCK-001045</t>
  </si>
  <si>
    <t>TCK-001261</t>
  </si>
  <si>
    <t>TCK-002059</t>
  </si>
  <si>
    <t>TCK-002350</t>
  </si>
  <si>
    <t>TCK-003568</t>
  </si>
  <si>
    <t>TCK-004670</t>
  </si>
  <si>
    <t>TCK-002796</t>
  </si>
  <si>
    <t>TCK-001254</t>
  </si>
  <si>
    <t>TCK-004234</t>
  </si>
  <si>
    <t>TCK-000591</t>
  </si>
  <si>
    <t>TCK-002768</t>
  </si>
  <si>
    <t>TCK-004760</t>
  </si>
  <si>
    <t>TCK-004497</t>
  </si>
  <si>
    <t>TCK-002472</t>
  </si>
  <si>
    <t>TCK-001519</t>
  </si>
  <si>
    <t>TCK-000493</t>
  </si>
  <si>
    <t>TCK-004117</t>
  </si>
  <si>
    <t>TCK-005808</t>
  </si>
  <si>
    <t>TCK-004861</t>
  </si>
  <si>
    <t>TCK-003402</t>
  </si>
  <si>
    <t>TCK-003561</t>
  </si>
  <si>
    <t>TCK-000159</t>
  </si>
  <si>
    <t>TCK-003463</t>
  </si>
  <si>
    <t>TCK-002633</t>
  </si>
  <si>
    <t>TCK-005712</t>
  </si>
  <si>
    <t>TCK-002583</t>
  </si>
  <si>
    <t>TCK-003533</t>
  </si>
  <si>
    <t>TCK-000968</t>
  </si>
  <si>
    <t>TCK-000214</t>
  </si>
  <si>
    <t>TCK-001168</t>
  </si>
  <si>
    <t>TCK-001742</t>
  </si>
  <si>
    <t>TCK-003791</t>
  </si>
  <si>
    <t>TCK-003431</t>
  </si>
  <si>
    <t>TCK-005686</t>
  </si>
  <si>
    <t>TCK-001451</t>
  </si>
  <si>
    <t>TCK-001283</t>
  </si>
  <si>
    <t>TCK-000934</t>
  </si>
  <si>
    <t>TCK-000286</t>
  </si>
  <si>
    <t>TCK-002293</t>
  </si>
  <si>
    <t>TCK-004176</t>
  </si>
  <si>
    <t>TCK-002952</t>
  </si>
  <si>
    <t>TCK-001727</t>
  </si>
  <si>
    <t>TCK-003956</t>
  </si>
  <si>
    <t>TCK-005776</t>
  </si>
  <si>
    <t>TCK-001546</t>
  </si>
  <si>
    <t>TCK-002980</t>
  </si>
  <si>
    <t>TCK-004504</t>
  </si>
  <si>
    <t>TCK-001101</t>
  </si>
  <si>
    <t>TCK-004507</t>
  </si>
  <si>
    <t>TCK-003406</t>
  </si>
  <si>
    <t>TCK-003348</t>
  </si>
  <si>
    <t>TCK-003704</t>
  </si>
  <si>
    <t>TCK-002083</t>
  </si>
  <si>
    <t>TCK-004063</t>
  </si>
  <si>
    <t>TCK-001270</t>
  </si>
  <si>
    <t>TCK-004188</t>
  </si>
  <si>
    <t>TCK-001568</t>
  </si>
  <si>
    <t>TCK-004854</t>
  </si>
  <si>
    <t>TCK-004980</t>
  </si>
  <si>
    <t>TCK-004693</t>
  </si>
  <si>
    <t>TCK-000389</t>
  </si>
  <si>
    <t>TCK-000520</t>
  </si>
  <si>
    <t>TCK-002277</t>
  </si>
  <si>
    <t>TCK-002937</t>
  </si>
  <si>
    <t>TCK-001407</t>
  </si>
  <si>
    <t>TCK-000180</t>
  </si>
  <si>
    <t>TCK-005521</t>
  </si>
  <si>
    <t>TCK-002086</t>
  </si>
  <si>
    <t>TCK-005871</t>
  </si>
  <si>
    <t>TCK-003908</t>
  </si>
  <si>
    <t>TCK-000885</t>
  </si>
  <si>
    <t>TCK-000570</t>
  </si>
  <si>
    <t>TCK-002823</t>
  </si>
  <si>
    <t>TCK-003273</t>
  </si>
  <si>
    <t>TCK-003193</t>
  </si>
  <si>
    <t>TCK-003785</t>
  </si>
  <si>
    <t>TCK-004280</t>
  </si>
  <si>
    <t>TCK-004930</t>
  </si>
  <si>
    <t>TCK-003945</t>
  </si>
  <si>
    <t>TCK-003563</t>
  </si>
  <si>
    <t>TCK-004453</t>
  </si>
  <si>
    <t>TCK-004888</t>
  </si>
  <si>
    <t>TCK-002854</t>
  </si>
  <si>
    <t>TCK-004900</t>
  </si>
  <si>
    <t>TCK-002732</t>
  </si>
  <si>
    <t>TCK-002716</t>
  </si>
  <si>
    <t>TCK-004393</t>
  </si>
  <si>
    <t>TCK-003539</t>
  </si>
  <si>
    <t>TCK-003513</t>
  </si>
  <si>
    <t>TCK-004370</t>
  </si>
  <si>
    <t>TCK-002836</t>
  </si>
  <si>
    <t>TCK-002728</t>
  </si>
  <si>
    <t>TCK-000010</t>
  </si>
  <si>
    <t>TCK-001052</t>
  </si>
  <si>
    <t>TCK-003196</t>
  </si>
  <si>
    <t>TCK-005093</t>
  </si>
  <si>
    <t>TCK-001205</t>
  </si>
  <si>
    <t>TCK-004913</t>
  </si>
  <si>
    <t>TCK-004277</t>
  </si>
  <si>
    <t>TCK-003841</t>
  </si>
  <si>
    <t>TCK-003797</t>
  </si>
  <si>
    <t>TCK-003072</t>
  </si>
  <si>
    <t>TCK-004506</t>
  </si>
  <si>
    <t>TCK-000763</t>
  </si>
  <si>
    <t>TCK-002739</t>
  </si>
  <si>
    <t>TCK-003596</t>
  </si>
  <si>
    <t>TCK-004435</t>
  </si>
  <si>
    <t>TCK-005848</t>
  </si>
  <si>
    <t>TCK-004976</t>
  </si>
  <si>
    <t>TCK-002938</t>
  </si>
  <si>
    <t>TCK-001074</t>
  </si>
  <si>
    <t>TCK-000906</t>
  </si>
  <si>
    <t>TCK-005825</t>
  </si>
  <si>
    <t>TCK-002965</t>
  </si>
  <si>
    <t>TCK-002847</t>
  </si>
  <si>
    <t>TCK-001681</t>
  </si>
  <si>
    <t>TCK-005060</t>
  </si>
  <si>
    <t>TCK-000472</t>
  </si>
  <si>
    <t>TCK-002100</t>
  </si>
  <si>
    <t>TCK-005357</t>
  </si>
  <si>
    <t>TCK-001350</t>
  </si>
  <si>
    <t>TCK-004480</t>
  </si>
  <si>
    <t>TCK-005918</t>
  </si>
  <si>
    <t>TCK-000347</t>
  </si>
  <si>
    <t>TCK-002327</t>
  </si>
  <si>
    <t>TCK-005296</t>
  </si>
  <si>
    <t>TCK-001741</t>
  </si>
  <si>
    <t>TCK-002498</t>
  </si>
  <si>
    <t>TCK-004244</t>
  </si>
  <si>
    <t>TCK-004055</t>
  </si>
  <si>
    <t>TCK-004629</t>
  </si>
  <si>
    <t>TCK-003105</t>
  </si>
  <si>
    <t>TCK-000874</t>
  </si>
  <si>
    <t>TCK-001345</t>
  </si>
  <si>
    <t>TCK-001316</t>
  </si>
  <si>
    <t>TCK-004067</t>
  </si>
  <si>
    <t>TCK-005237</t>
  </si>
  <si>
    <t>TCK-004299</t>
  </si>
  <si>
    <t>TCK-002450</t>
  </si>
  <si>
    <t>TCK-000368</t>
  </si>
  <si>
    <t>TCK-000372</t>
  </si>
  <si>
    <t>TCK-003334</t>
  </si>
  <si>
    <t>TCK-004323</t>
  </si>
  <si>
    <t>TCK-004247</t>
  </si>
  <si>
    <t>TCK-005451</t>
  </si>
  <si>
    <t>TCK-003799</t>
  </si>
  <si>
    <t>TCK-003955</t>
  </si>
  <si>
    <t>TCK-002891</t>
  </si>
  <si>
    <t>TCK-004798</t>
  </si>
  <si>
    <t>TCK-002986</t>
  </si>
  <si>
    <t>TCK-005074</t>
  </si>
  <si>
    <t>TCK-005732</t>
  </si>
  <si>
    <t>TCK-003198</t>
  </si>
  <si>
    <t>TCK-004305</t>
  </si>
  <si>
    <t>TCK-003018</t>
  </si>
  <si>
    <t>TCK-000538</t>
  </si>
  <si>
    <t>TCK-004842</t>
  </si>
  <si>
    <t>TCK-002787</t>
  </si>
  <si>
    <t>TCK-001022</t>
  </si>
  <si>
    <t>TCK-000703</t>
  </si>
  <si>
    <t>TCK-002373</t>
  </si>
  <si>
    <t>TCK-001411</t>
  </si>
  <si>
    <t>TCK-001565</t>
  </si>
  <si>
    <t>TCK-001457</t>
  </si>
  <si>
    <t>TCK-004610</t>
  </si>
  <si>
    <t>TCK-005823</t>
  </si>
  <si>
    <t>TCK-004519</t>
  </si>
  <si>
    <t>TCK-000925</t>
  </si>
  <si>
    <t>TCK-004130</t>
  </si>
  <si>
    <t>TCK-000440</t>
  </si>
  <si>
    <t>TCK-003996</t>
  </si>
  <si>
    <t>TCK-005991</t>
  </si>
  <si>
    <t>TCK-005217</t>
  </si>
  <si>
    <t>TCK-002821</t>
  </si>
  <si>
    <t>TCK-000850</t>
  </si>
  <si>
    <t>TCK-000668</t>
  </si>
  <si>
    <t>TCK-001033</t>
  </si>
  <si>
    <t>TCK-005188</t>
  </si>
  <si>
    <t>TCK-004316</t>
  </si>
  <si>
    <t>TCK-001652</t>
  </si>
  <si>
    <t>TCK-001047</t>
  </si>
  <si>
    <t>TCK-001833</t>
  </si>
  <si>
    <t>TCK-003900</t>
  </si>
  <si>
    <t>TCK-001743</t>
  </si>
  <si>
    <t>TCK-001172</t>
  </si>
  <si>
    <t>TCK-000242</t>
  </si>
  <si>
    <t>TCK-003261</t>
  </si>
  <si>
    <t>TCK-003168</t>
  </si>
  <si>
    <t>TCK-005881</t>
  </si>
  <si>
    <t>TCK-004675</t>
  </si>
  <si>
    <t>TCK-005586</t>
  </si>
  <si>
    <t>TCK-004153</t>
  </si>
  <si>
    <t>TCK-003762</t>
  </si>
  <si>
    <t>TCK-004097</t>
  </si>
  <si>
    <t>TCK-005925</t>
  </si>
  <si>
    <t>TCK-001492</t>
  </si>
  <si>
    <t>TCK-002494</t>
  </si>
  <si>
    <t>TCK-002043</t>
  </si>
  <si>
    <t>TCK-003659</t>
  </si>
  <si>
    <t>TCK-003333</t>
  </si>
  <si>
    <t>TCK-001055</t>
  </si>
  <si>
    <t>TCK-000881</t>
  </si>
  <si>
    <t>TCK-002246</t>
  </si>
  <si>
    <t>TCK-003455</t>
  </si>
  <si>
    <t>TCK-004934</t>
  </si>
  <si>
    <t>TCK-000821</t>
  </si>
  <si>
    <t>TCK-005075</t>
  </si>
  <si>
    <t>TCK-004457</t>
  </si>
  <si>
    <t>TCK-000529</t>
  </si>
  <si>
    <t>TCK-001821</t>
  </si>
  <si>
    <t>TCK-004104</t>
  </si>
  <si>
    <t>TCK-002135</t>
  </si>
  <si>
    <t>TCK-002843</t>
  </si>
  <si>
    <t>TCK-005852</t>
  </si>
  <si>
    <t>TCK-003768</t>
  </si>
  <si>
    <t>TCK-001543</t>
  </si>
  <si>
    <t>TCK-003822</t>
  </si>
  <si>
    <t>TCK-005387</t>
  </si>
  <si>
    <t>TCK-003274</t>
  </si>
  <si>
    <t>TCK-001049</t>
  </si>
  <si>
    <t>TCK-005455</t>
  </si>
  <si>
    <t>TCK-000886</t>
  </si>
  <si>
    <t>TCK-000962</t>
  </si>
  <si>
    <t>TCK-005921</t>
  </si>
  <si>
    <t>TCK-002752</t>
  </si>
  <si>
    <t>TCK-000237</t>
  </si>
  <si>
    <t>TCK-001275</t>
  </si>
  <si>
    <t>TCK-000930</t>
  </si>
  <si>
    <t>TCK-000716</t>
  </si>
  <si>
    <t>TCK-000956</t>
  </si>
  <si>
    <t>TCK-003296</t>
  </si>
  <si>
    <t>TCK-004295</t>
  </si>
  <si>
    <t>TCK-003358</t>
  </si>
  <si>
    <t>TCK-002486</t>
  </si>
  <si>
    <t>TCK-004634</t>
  </si>
  <si>
    <t>TCK-001718</t>
  </si>
  <si>
    <t>TCK-001188</t>
  </si>
  <si>
    <t>TCK-000207</t>
  </si>
  <si>
    <t>TCK-004608</t>
  </si>
  <si>
    <t>TCK-003071</t>
  </si>
  <si>
    <t>TCK-001722</t>
  </si>
  <si>
    <t>TCK-002189</t>
  </si>
  <si>
    <t>TCK-004152</t>
  </si>
  <si>
    <t>TCK-001334</t>
  </si>
  <si>
    <t>TCK-004312</t>
  </si>
  <si>
    <t>TCK-004940</t>
  </si>
  <si>
    <t>TCK-002480</t>
  </si>
  <si>
    <t>TCK-002182</t>
  </si>
  <si>
    <t>TCK-003524</t>
  </si>
  <si>
    <t>TCK-003047</t>
  </si>
  <si>
    <t>TCK-002242</t>
  </si>
  <si>
    <t>TCK-004530</t>
  </si>
  <si>
    <t>TCK-004960</t>
  </si>
  <si>
    <t>TCK-001112</t>
  </si>
  <si>
    <t>TCK-005917</t>
  </si>
  <si>
    <t>TCK-001219</t>
  </si>
  <si>
    <t>TCK-005167</t>
  </si>
  <si>
    <t>TCK-001392</t>
  </si>
  <si>
    <t>TCK-003949</t>
  </si>
  <si>
    <t>TCK-000094</t>
  </si>
  <si>
    <t>TCK-005944</t>
  </si>
  <si>
    <t>TCK-005185</t>
  </si>
  <si>
    <t>TCK-000813</t>
  </si>
  <si>
    <t>TCK-000650</t>
  </si>
  <si>
    <t>TCK-001286</t>
  </si>
  <si>
    <t>TCK-000697</t>
  </si>
  <si>
    <t>TCK-001404</t>
  </si>
  <si>
    <t>TCK-004654</t>
  </si>
  <si>
    <t>TCK-000135</t>
  </si>
  <si>
    <t>TCK-002814</t>
  </si>
  <si>
    <t>TCK-003341</t>
  </si>
  <si>
    <t>TCK-002144</t>
  </si>
  <si>
    <t>TCK-002862</t>
  </si>
  <si>
    <t>TCK-003203</t>
  </si>
  <si>
    <t>TCK-001341</t>
  </si>
  <si>
    <t>TCK-003437</t>
  </si>
  <si>
    <t>TCK-005772</t>
  </si>
  <si>
    <t>TCK-002262</t>
  </si>
  <si>
    <t>TCK-002434</t>
  </si>
  <si>
    <t>TCK-001647</t>
  </si>
  <si>
    <t>TCK-002805</t>
  </si>
  <si>
    <t>TCK-002216</t>
  </si>
  <si>
    <t>TCK-000421</t>
  </si>
  <si>
    <t>TCK-000578</t>
  </si>
  <si>
    <t>TCK-001699</t>
  </si>
  <si>
    <t>TCK-001371</t>
  </si>
  <si>
    <t>TCK-003852</t>
  </si>
  <si>
    <t>TCK-003820</t>
  </si>
  <si>
    <t>TCK-002453</t>
  </si>
  <si>
    <t>TCK-005474</t>
  </si>
  <si>
    <t>TCK-000839</t>
  </si>
  <si>
    <t>TCK-005283</t>
  </si>
  <si>
    <t>TCK-003163</t>
  </si>
  <si>
    <t>TCK-002495</t>
  </si>
  <si>
    <t>TCK-005321</t>
  </si>
  <si>
    <t>TCK-001966</t>
  </si>
  <si>
    <t>TCK-002982</t>
  </si>
  <si>
    <t>TCK-001167</t>
  </si>
  <si>
    <t>TCK-001362</t>
  </si>
  <si>
    <t>TCK-003698</t>
  </si>
  <si>
    <t>TCK-001973</t>
  </si>
  <si>
    <t>TCK-000332</t>
  </si>
  <si>
    <t>TCK-003414</t>
  </si>
  <si>
    <t>TCK-000235</t>
  </si>
  <si>
    <t>TCK-004566</t>
  </si>
  <si>
    <t>TCK-003157</t>
  </si>
  <si>
    <t>TCK-002550</t>
  </si>
  <si>
    <t>TCK-003954</t>
  </si>
  <si>
    <t>TCK-003048</t>
  </si>
  <si>
    <t>TCK-005309</t>
  </si>
  <si>
    <t>TCK-001675</t>
  </si>
  <si>
    <t>TCK-005104</t>
  </si>
  <si>
    <t>TCK-003574</t>
  </si>
  <si>
    <t>TCK-001570</t>
  </si>
  <si>
    <t>TCK-004982</t>
  </si>
  <si>
    <t>TCK-004904</t>
  </si>
  <si>
    <t>TCK-001389</t>
  </si>
  <si>
    <t>TCK-005505</t>
  </si>
  <si>
    <t>TCK-004803</t>
  </si>
  <si>
    <t>TCK-003877</t>
  </si>
  <si>
    <t>TCK-000762</t>
  </si>
  <si>
    <t>TCK-000021</t>
  </si>
  <si>
    <t>TCK-002960</t>
  </si>
  <si>
    <t>TCK-000380</t>
  </si>
  <si>
    <t>TCK-001782</t>
  </si>
  <si>
    <t>TCK-000187</t>
  </si>
  <si>
    <t>TCK-003038</t>
  </si>
  <si>
    <t>TCK-001401</t>
  </si>
  <si>
    <t>TCK-005770</t>
  </si>
  <si>
    <t>TCK-005683</t>
  </si>
  <si>
    <t>TCK-002903</t>
  </si>
  <si>
    <t>TCK-003891</t>
  </si>
  <si>
    <t>TCK-004327</t>
  </si>
  <si>
    <t>TCK-004363</t>
  </si>
  <si>
    <t>TCK-001981</t>
  </si>
  <si>
    <t>TCK-002200</t>
  </si>
  <si>
    <t>TCK-003258</t>
  </si>
  <si>
    <t>TCK-001879</t>
  </si>
  <si>
    <t>TCK-000667</t>
  </si>
  <si>
    <t>TCK-000978</t>
  </si>
  <si>
    <t>TCK-003110</t>
  </si>
  <si>
    <t>TCK-003255</t>
  </si>
  <si>
    <t>TCK-004551</t>
  </si>
  <si>
    <t>TCK-002876</t>
  </si>
  <si>
    <t>TCK-001615</t>
  </si>
  <si>
    <t>TCK-001736</t>
  </si>
  <si>
    <t>TCK-000093</t>
  </si>
  <si>
    <t>TCK-005124</t>
  </si>
  <si>
    <t>TCK-001278</t>
  </si>
  <si>
    <t>TCK-003146</t>
  </si>
  <si>
    <t>TCK-002076</t>
  </si>
  <si>
    <t>TCK-005782</t>
  </si>
  <si>
    <t>TCK-004468</t>
  </si>
  <si>
    <t>TCK-001264</t>
  </si>
  <si>
    <t>TCK-000112</t>
  </si>
  <si>
    <t>TCK-000158</t>
  </si>
  <si>
    <t>TCK-005489</t>
  </si>
  <si>
    <t>TCK-002206</t>
  </si>
  <si>
    <t>TCK-003090</t>
  </si>
  <si>
    <t>TCK-005469</t>
  </si>
  <si>
    <t>TCK-005131</t>
  </si>
  <si>
    <t>TCK-004293</t>
  </si>
  <si>
    <t>TCK-001864</t>
  </si>
  <si>
    <t>TCK-000642</t>
  </si>
  <si>
    <t>TCK-003636</t>
  </si>
  <si>
    <t>TCK-001230</t>
  </si>
  <si>
    <t>TCK-004062</t>
  </si>
  <si>
    <t>TCK-000551</t>
  </si>
  <si>
    <t>TCK-004585</t>
  </si>
  <si>
    <t>TCK-005183</t>
  </si>
  <si>
    <t>TCK-001232</t>
  </si>
  <si>
    <t>TCK-002181</t>
  </si>
  <si>
    <t>TCK-001029</t>
  </si>
  <si>
    <t>TCK-004075</t>
  </si>
  <si>
    <t>TCK-000532</t>
  </si>
  <si>
    <t>TCK-005692</t>
  </si>
  <si>
    <t>TCK-003740</t>
  </si>
  <si>
    <t>TCK-003118</t>
  </si>
  <si>
    <t>TCK-000915</t>
  </si>
  <si>
    <t>TCK-004958</t>
  </si>
  <si>
    <t>TCK-001687</t>
  </si>
  <si>
    <t>TCK-004341</t>
  </si>
  <si>
    <t>TCK-002414</t>
  </si>
  <si>
    <t>TCK-004237</t>
  </si>
  <si>
    <t>TCK-002196</t>
  </si>
  <si>
    <t>TCK-003137</t>
  </si>
  <si>
    <t>TCK-004169</t>
  </si>
  <si>
    <t>TCK-003810</t>
  </si>
  <si>
    <t>TCK-003405</t>
  </si>
  <si>
    <t>TCK-003603</t>
  </si>
  <si>
    <t>TCK-005753</t>
  </si>
  <si>
    <t>TCK-004005</t>
  </si>
  <si>
    <t>TCK-002585</t>
  </si>
  <si>
    <t>TCK-002332</t>
  </si>
  <si>
    <t>TCK-000009</t>
  </si>
  <si>
    <t>TCK-004197</t>
  </si>
  <si>
    <t>TCK-000355</t>
  </si>
  <si>
    <t>TCK-002666</t>
  </si>
  <si>
    <t>TCK-003445</t>
  </si>
  <si>
    <t>TCK-000199</t>
  </si>
  <si>
    <t>TCK-003156</t>
  </si>
  <si>
    <t>TCK-005518</t>
  </si>
  <si>
    <t>TCK-001421</t>
  </si>
  <si>
    <t>TCK-002358</t>
  </si>
  <si>
    <t>TCK-000958</t>
  </si>
  <si>
    <t>TCK-004743</t>
  </si>
  <si>
    <t>TCK-001082</t>
  </si>
  <si>
    <t>TCK-005548</t>
  </si>
  <si>
    <t>TCK-001095</t>
  </si>
  <si>
    <t>TCK-000451</t>
  </si>
  <si>
    <t>TCK-001657</t>
  </si>
  <si>
    <t>TCK-003638</t>
  </si>
  <si>
    <t>TCK-005254</t>
  </si>
  <si>
    <t>TCK-000032</t>
  </si>
  <si>
    <t>TCK-003440</t>
  </si>
  <si>
    <t>TCK-001359</t>
  </si>
  <si>
    <t>TCK-004855</t>
  </si>
  <si>
    <t>TCK-004415</t>
  </si>
  <si>
    <t>TCK-001977</t>
  </si>
  <si>
    <t>TCK-003991</t>
  </si>
  <si>
    <t>TCK-003287</t>
  </si>
  <si>
    <t>TCK-002402</t>
  </si>
  <si>
    <t>TCK-005187</t>
  </si>
  <si>
    <t>TCK-005162</t>
  </si>
  <si>
    <t>TCK-000535</t>
  </si>
  <si>
    <t>TCK-002473</t>
  </si>
  <si>
    <t>TCK-003801</t>
  </si>
  <si>
    <t>TCK-003980</t>
  </si>
  <si>
    <t>TCK-002344</t>
  </si>
  <si>
    <t>TCK-003632</t>
  </si>
  <si>
    <t>TCK-005937</t>
  </si>
  <si>
    <t>TCK-003730</t>
  </si>
  <si>
    <t>TCK-002618</t>
  </si>
  <si>
    <t>TCK-005907</t>
  </si>
  <si>
    <t>TCK-005693</t>
  </si>
  <si>
    <t>TCK-005051</t>
  </si>
  <si>
    <t>TCK-005148</t>
  </si>
  <si>
    <t>TCK-001459</t>
  </si>
  <si>
    <t>TCK-005049</t>
  </si>
  <si>
    <t>TCK-002064</t>
  </si>
  <si>
    <t>TCK-002695</t>
  </si>
  <si>
    <t>TCK-000479</t>
  </si>
  <si>
    <t>TCK-000840</t>
  </si>
  <si>
    <t>TCK-004609</t>
  </si>
  <si>
    <t>TCK-003170</t>
  </si>
  <si>
    <t>TCK-002953</t>
  </si>
  <si>
    <t>TCK-001301</t>
  </si>
  <si>
    <t>TCK-000618</t>
  </si>
  <si>
    <t>TCK-005832</t>
  </si>
  <si>
    <t>TCK-000896</t>
  </si>
  <si>
    <t>TCK-005434</t>
  </si>
  <si>
    <t>TCK-000217</t>
  </si>
  <si>
    <t>TCK-001915</t>
  </si>
  <si>
    <t>TCK-004148</t>
  </si>
  <si>
    <t>TCK-004216</t>
  </si>
  <si>
    <t>TCK-002238</t>
  </si>
  <si>
    <t>TCK-004203</t>
  </si>
  <si>
    <t>TCK-004018</t>
  </si>
  <si>
    <t>TCK-000147</t>
  </si>
  <si>
    <t>TCK-001504</t>
  </si>
  <si>
    <t>TCK-000984</t>
  </si>
  <si>
    <t>TCK-001089</t>
  </si>
  <si>
    <t>TCK-002887</t>
  </si>
  <si>
    <t>TCK-003199</t>
  </si>
  <si>
    <t>TCK-002218</t>
  </si>
  <si>
    <t>TCK-001928_DUP</t>
  </si>
  <si>
    <t>TCK-001887</t>
  </si>
  <si>
    <t>TCK-000801</t>
  </si>
  <si>
    <t>TCK-003064</t>
  </si>
  <si>
    <t>TCK-005912</t>
  </si>
  <si>
    <t>TCK-000016</t>
  </si>
  <si>
    <t>TCK-000145</t>
  </si>
  <si>
    <t>TCK-003400</t>
  </si>
  <si>
    <t>TCK-001542</t>
  </si>
  <si>
    <t>TCK-002405</t>
  </si>
  <si>
    <t>TCK-004135</t>
  </si>
  <si>
    <t>TCK-005607</t>
  </si>
  <si>
    <t>TCK-001735</t>
  </si>
  <si>
    <t>TCK-000129</t>
  </si>
  <si>
    <t>TCK-005640</t>
  </si>
  <si>
    <t>TCK-000719</t>
  </si>
  <si>
    <t>TCK-000322</t>
  </si>
  <si>
    <t>TCK-001170</t>
  </si>
  <si>
    <t>TCK-005376</t>
  </si>
  <si>
    <t>TCK-004991</t>
  </si>
  <si>
    <t>TCK-004134</t>
  </si>
  <si>
    <t>TCK-001304</t>
  </si>
  <si>
    <t>TCK-001863</t>
  </si>
  <si>
    <t>TCK-004384</t>
  </si>
  <si>
    <t>TCK-005400</t>
  </si>
  <si>
    <t>TCK-003218</t>
  </si>
  <si>
    <t>TCK-002338</t>
  </si>
  <si>
    <t>TCK-002208</t>
  </si>
  <si>
    <t>TCK-005836</t>
  </si>
  <si>
    <t>TCK-005098</t>
  </si>
  <si>
    <t>TCK-005787</t>
  </si>
  <si>
    <t>TCK-001744</t>
  </si>
  <si>
    <t>TCK-005087</t>
  </si>
  <si>
    <t>TCK-004447</t>
  </si>
  <si>
    <t>TCK-005304</t>
  </si>
  <si>
    <t>TCK-005673</t>
  </si>
  <si>
    <t>TCK-002287</t>
  </si>
  <si>
    <t>TCK-001659</t>
  </si>
  <si>
    <t>TCK-003686</t>
  </si>
  <si>
    <t>TCK-003464</t>
  </si>
  <si>
    <t>TCK-005344</t>
  </si>
  <si>
    <t>TCK-000899</t>
  </si>
  <si>
    <t>TCK-005099</t>
  </si>
  <si>
    <t>TCK-003337</t>
  </si>
  <si>
    <t>TCK-004262</t>
  </si>
  <si>
    <t>TCK-002533</t>
  </si>
  <si>
    <t>TCK-003207</t>
  </si>
  <si>
    <t>TCK-002417</t>
  </si>
  <si>
    <t>TCK-000124</t>
  </si>
  <si>
    <t>TCK-002517</t>
  </si>
  <si>
    <t>TCK-000935</t>
  </si>
  <si>
    <t>TCK-004263</t>
  </si>
  <si>
    <t>TCK-005920</t>
  </si>
  <si>
    <t>TCK-003386</t>
  </si>
  <si>
    <t>TCK-005325</t>
  </si>
  <si>
    <t>TCK-003250</t>
  </si>
  <si>
    <t>TCK-003748</t>
  </si>
  <si>
    <t>TCK-005236</t>
  </si>
  <si>
    <t>TCK-001514</t>
  </si>
  <si>
    <t>TCK-001405</t>
  </si>
  <si>
    <t>TCK-004015</t>
  </si>
  <si>
    <t>TCK-002003_DUP</t>
  </si>
  <si>
    <t>TCK-003217</t>
  </si>
  <si>
    <t>TCK-005532</t>
  </si>
  <si>
    <t>TCK-000039</t>
  </si>
  <si>
    <t>TCK-000001</t>
  </si>
  <si>
    <t>TCK-004687</t>
  </si>
  <si>
    <t>TCK-004050</t>
  </si>
  <si>
    <t>TCK-004967</t>
  </si>
  <si>
    <t>TCK-002375</t>
  </si>
  <si>
    <t>TCK-000854</t>
  </si>
  <si>
    <t>TCK-000779</t>
  </si>
  <si>
    <t>TCK-004833</t>
  </si>
  <si>
    <t>TCK-003312</t>
  </si>
  <si>
    <t>TCK-005483</t>
  </si>
  <si>
    <t>TCK-005651</t>
  </si>
  <si>
    <t>TCK-004102</t>
  </si>
  <si>
    <t>TCK-004066_DUP</t>
  </si>
  <si>
    <t>TCK-004974</t>
  </si>
  <si>
    <t>TCK-001868</t>
  </si>
  <si>
    <t>TCK-004660</t>
  </si>
  <si>
    <t>TCK-003870</t>
  </si>
  <si>
    <t>TCK-000863</t>
  </si>
  <si>
    <t>TCK-000556</t>
  </si>
  <si>
    <t>TCK-000423</t>
  </si>
  <si>
    <t>TCK-005796</t>
  </si>
  <si>
    <t>TCK-003410</t>
  </si>
  <si>
    <t>TCK-003544</t>
  </si>
  <si>
    <t>TCK-002079</t>
  </si>
  <si>
    <t>TCK-000229</t>
  </si>
  <si>
    <t>TCK-003140</t>
  </si>
  <si>
    <t>TCK-004963</t>
  </si>
  <si>
    <t>TCK-000390</t>
  </si>
  <si>
    <t>TCK-001631_DUP</t>
  </si>
  <si>
    <t>TCK-003210</t>
  </si>
  <si>
    <t>TCK-004245</t>
  </si>
  <si>
    <t>TCK-002963</t>
  </si>
  <si>
    <t>TCK-000210</t>
  </si>
  <si>
    <t>TCK-001118</t>
  </si>
  <si>
    <t>TCK-001031</t>
  </si>
  <si>
    <t>TCK-003130</t>
  </si>
  <si>
    <t>TCK-005081</t>
  </si>
  <si>
    <t>TCK-002217</t>
  </si>
  <si>
    <t>TCK-000558</t>
  </si>
  <si>
    <t>TCK-001464</t>
  </si>
  <si>
    <t>TCK-002009</t>
  </si>
  <si>
    <t>TCK-005471</t>
  </si>
  <si>
    <t>TCK-002513</t>
  </si>
  <si>
    <t>TCK-005946</t>
  </si>
  <si>
    <t>TCK-001060</t>
  </si>
  <si>
    <t>TCK-003096</t>
  </si>
  <si>
    <t>TCK-001317</t>
  </si>
  <si>
    <t>TCK-005965</t>
  </si>
  <si>
    <t>TCK-001844</t>
  </si>
  <si>
    <t>TCK-000742</t>
  </si>
  <si>
    <t>TCK-004271</t>
  </si>
  <si>
    <t>TCK-002311</t>
  </si>
  <si>
    <t>TCK-001795</t>
  </si>
  <si>
    <t>TCK-005139</t>
  </si>
  <si>
    <t>TCK-000565</t>
  </si>
  <si>
    <t>TCK-004954</t>
  </si>
  <si>
    <t>TCK-001929</t>
  </si>
  <si>
    <t>TCK-003424</t>
  </si>
  <si>
    <t>TCK-005442</t>
  </si>
  <si>
    <t>TCK-000030</t>
  </si>
  <si>
    <t>TCK-003612</t>
  </si>
  <si>
    <t>TCK-004352</t>
  </si>
  <si>
    <t>TCK-005510</t>
  </si>
  <si>
    <t>TCK-000769</t>
  </si>
  <si>
    <t>TCK-001891</t>
  </si>
  <si>
    <t>TCK-002371</t>
  </si>
  <si>
    <t>TCK-005615</t>
  </si>
  <si>
    <t>TCK-005128</t>
  </si>
  <si>
    <t>TCK-002606</t>
  </si>
  <si>
    <t>TCK-005135</t>
  </si>
  <si>
    <t>TCK-005404</t>
  </si>
  <si>
    <t>TCK-005058</t>
  </si>
  <si>
    <t>TCK-001679</t>
  </si>
  <si>
    <t>TCK-004171</t>
  </si>
  <si>
    <t>TCK-004336</t>
  </si>
  <si>
    <t>TCK-003371</t>
  </si>
  <si>
    <t>TCK-000539</t>
  </si>
  <si>
    <t>TCK-005076</t>
  </si>
  <si>
    <t>TCK-001508</t>
  </si>
  <si>
    <t>TCK-000499</t>
  </si>
  <si>
    <t>TCK-001014</t>
  </si>
  <si>
    <t>TCK-001621</t>
  </si>
  <si>
    <t>TCK-005460</t>
  </si>
  <si>
    <t>TCK-004289</t>
  </si>
  <si>
    <t>TCK-005062</t>
  </si>
  <si>
    <t>TCK-001218</t>
  </si>
  <si>
    <t>TCK-004928</t>
  </si>
  <si>
    <t>TCK-000419</t>
  </si>
  <si>
    <t>TCK-001276</t>
  </si>
  <si>
    <t>TCK-003043</t>
  </si>
  <si>
    <t>TCK-000916</t>
  </si>
  <si>
    <t>TCK-001010</t>
  </si>
  <si>
    <t>TCK-004496</t>
  </si>
  <si>
    <t>TCK-001740</t>
  </si>
  <si>
    <t>TCK-002006</t>
  </si>
  <si>
    <t>TCK-003192</t>
  </si>
  <si>
    <t>TCK-001785</t>
  </si>
  <si>
    <t>TCK-005592</t>
  </si>
  <si>
    <t>TCK-004959</t>
  </si>
  <si>
    <t>TCK-002419</t>
  </si>
  <si>
    <t>TCK-004302</t>
  </si>
  <si>
    <t>TCK-005271</t>
  </si>
  <si>
    <t>TCK-001823</t>
  </si>
  <si>
    <t>TCK-002209</t>
  </si>
  <si>
    <t>TCK-004362</t>
  </si>
  <si>
    <t>TCK-001906</t>
  </si>
  <si>
    <t>TCK-001802</t>
  </si>
  <si>
    <t>TCK-005750</t>
  </si>
  <si>
    <t>TCK-002713</t>
  </si>
  <si>
    <t>TCK-001832</t>
  </si>
  <si>
    <t>TCK-000949</t>
  </si>
  <si>
    <t>TCK-002055</t>
  </si>
  <si>
    <t>TCK-005833</t>
  </si>
  <si>
    <t>TCK-002926</t>
  </si>
  <si>
    <t>TCK-002634</t>
  </si>
  <si>
    <t>TCK-004394</t>
  </si>
  <si>
    <t>TCK-002056</t>
  </si>
  <si>
    <t>TCK-004355</t>
  </si>
  <si>
    <t>TCK-001843</t>
  </si>
  <si>
    <t>TCK-001126</t>
  </si>
  <si>
    <t>TCK-005425</t>
  </si>
  <si>
    <t>TCK-004792</t>
  </si>
  <si>
    <t>TCK-002542</t>
  </si>
  <si>
    <t>TCK-002879</t>
  </si>
  <si>
    <t>TCK-001162</t>
  </si>
  <si>
    <t>TCK-003827</t>
  </si>
  <si>
    <t>TCK-002538</t>
  </si>
  <si>
    <t>TCK-001273</t>
  </si>
  <si>
    <t>TCK-005565</t>
  </si>
  <si>
    <t>TCK-000309</t>
  </si>
  <si>
    <t>TCK-004988</t>
  </si>
  <si>
    <t>TCK-005194</t>
  </si>
  <si>
    <t>TCK-000995</t>
  </si>
  <si>
    <t>TCK-000195</t>
  </si>
  <si>
    <t>TCK-001872</t>
  </si>
  <si>
    <t>TCK-003560</t>
  </si>
  <si>
    <t>TCK-002124</t>
  </si>
  <si>
    <t>TCK-005742</t>
  </si>
  <si>
    <t>TCK-000677</t>
  </si>
  <si>
    <t>TCK-001628</t>
  </si>
  <si>
    <t>TCK-002257</t>
  </si>
  <si>
    <t>TCK-003085</t>
  </si>
  <si>
    <t>TCK-002946</t>
  </si>
  <si>
    <t>TCK-003848</t>
  </si>
  <si>
    <t>TCK-002748</t>
  </si>
  <si>
    <t>TCK-000972</t>
  </si>
  <si>
    <t>TCK-003895</t>
  </si>
  <si>
    <t>TCK-003357</t>
  </si>
  <si>
    <t>TCK-001467</t>
  </si>
  <si>
    <t>TCK-004366</t>
  </si>
  <si>
    <t>TCK-005809</t>
  </si>
  <si>
    <t>TCK-001747</t>
  </si>
  <si>
    <t>TCK-002626</t>
  </si>
  <si>
    <t>TCK-000923</t>
  </si>
  <si>
    <t>TCK-004542</t>
  </si>
  <si>
    <t>TCK-004619</t>
  </si>
  <si>
    <t>TCK-002259</t>
  </si>
  <si>
    <t>TCK-000602</t>
  </si>
  <si>
    <t>TCK-002667</t>
  </si>
  <si>
    <t>TCK-000959</t>
  </si>
  <si>
    <t>TCK-002321</t>
  </si>
  <si>
    <t>TCK-001054</t>
  </si>
  <si>
    <t>TCK-004538</t>
  </si>
  <si>
    <t>TCK-001140</t>
  </si>
  <si>
    <t>TCK-004616</t>
  </si>
  <si>
    <t>TCK-000671</t>
  </si>
  <si>
    <t>TCK-000994</t>
  </si>
  <si>
    <t>TCK-003178</t>
  </si>
  <si>
    <t>TCK-004501</t>
  </si>
  <si>
    <t>TCK-005050</t>
  </si>
  <si>
    <t>TCK-002511</t>
  </si>
  <si>
    <t>TCK-003547</t>
  </si>
  <si>
    <t>TCK-003448</t>
  </si>
  <si>
    <t>TCK-005484</t>
  </si>
  <si>
    <t>TCK-005728</t>
  </si>
  <si>
    <t>TCK-000688</t>
  </si>
  <si>
    <t>TCK-003401</t>
  </si>
  <si>
    <t>TCK-001482</t>
  </si>
  <si>
    <t>TCK-004326</t>
  </si>
  <si>
    <t>TCK-005625</t>
  </si>
  <si>
    <t>TCK-004856</t>
  </si>
  <si>
    <t>TCK-001169</t>
  </si>
  <si>
    <t>TCK-000900</t>
  </si>
  <si>
    <t>TCK-001449</t>
  </si>
  <si>
    <t>TCK-003850</t>
  </si>
  <si>
    <t>TCK-001737</t>
  </si>
  <si>
    <t>TCK-005330</t>
  </si>
  <si>
    <t>TCK-001378</t>
  </si>
  <si>
    <t>TCK-003022</t>
  </si>
  <si>
    <t>TCK-000102</t>
  </si>
  <si>
    <t>TCK-000201</t>
  </si>
  <si>
    <t>TCK-003481</t>
  </si>
  <si>
    <t>TCK-003786</t>
  </si>
  <si>
    <t>TCK-003310</t>
  </si>
  <si>
    <t>TCK-002816</t>
  </si>
  <si>
    <t>TCK-003931</t>
  </si>
  <si>
    <t>TCK-001268</t>
  </si>
  <si>
    <t>TCK-002309</t>
  </si>
  <si>
    <t>TCK-005634</t>
  </si>
  <si>
    <t>TCK-005582</t>
  </si>
  <si>
    <t>TCK-001348</t>
  </si>
  <si>
    <t>TCK-001908</t>
  </si>
  <si>
    <t>TCK-005463</t>
  </si>
  <si>
    <t>TCK-004595</t>
  </si>
  <si>
    <t>TCK-000998</t>
  </si>
  <si>
    <t>TCK-000993</t>
  </si>
  <si>
    <t>TCK-004498</t>
  </si>
  <si>
    <t>TCK-003154</t>
  </si>
  <si>
    <t>TCK-002261</t>
  </si>
  <si>
    <t>TCK-003913</t>
  </si>
  <si>
    <t>TCK-001948</t>
  </si>
  <si>
    <t>TCK-002571</t>
  </si>
  <si>
    <t>TCK-005790</t>
  </si>
  <si>
    <t>TCK-003626</t>
  </si>
  <si>
    <t>TCK-004948</t>
  </si>
  <si>
    <t>TCK-003703</t>
  </si>
  <si>
    <t>TCK-005284</t>
  </si>
  <si>
    <t>TCK-005354</t>
  </si>
  <si>
    <t>TCK-002496</t>
  </si>
  <si>
    <t>TCK-004325</t>
  </si>
  <si>
    <t>TCK-005543</t>
  </si>
  <si>
    <t>TCK-003957</t>
  </si>
  <si>
    <t>TCK-005457</t>
  </si>
  <si>
    <t>TCK-005452</t>
  </si>
  <si>
    <t>TCK-003153</t>
  </si>
  <si>
    <t>TCK-004679</t>
  </si>
  <si>
    <t>TCK-003313</t>
  </si>
  <si>
    <t>TCK-001866</t>
  </si>
  <si>
    <t>TCK-002140</t>
  </si>
  <si>
    <t>TCK-000007</t>
  </si>
  <si>
    <t>TCK-003682</t>
  </si>
  <si>
    <t>TCK-004510</t>
  </si>
  <si>
    <t>TCK-003189</t>
  </si>
  <si>
    <t>TCK-005643</t>
  </si>
  <si>
    <t>TCK-004779</t>
  </si>
  <si>
    <t>TCK-003026</t>
  </si>
  <si>
    <t>TCK-001764</t>
  </si>
  <si>
    <t>TCK-004688</t>
  </si>
  <si>
    <t>TCK-004417</t>
  </si>
  <si>
    <t>TCK-005802</t>
  </si>
  <si>
    <t>TCK-002024_DUP</t>
  </si>
  <si>
    <t>TCK-001239</t>
  </si>
  <si>
    <t>TCK-001387</t>
  </si>
  <si>
    <t>TCK-003177</t>
  </si>
  <si>
    <t>TCK-004571</t>
  </si>
  <si>
    <t>TCK-001711</t>
  </si>
  <si>
    <t>TCK-001308</t>
  </si>
  <si>
    <t>TCK-002488</t>
  </si>
  <si>
    <t>TCK-003495</t>
  </si>
  <si>
    <t>TCK-005845</t>
  </si>
  <si>
    <t>TCK-003635</t>
  </si>
  <si>
    <t>TCK-003187</t>
  </si>
  <si>
    <t>TCK-005340</t>
  </si>
  <si>
    <t>TCK-005502</t>
  </si>
  <si>
    <t>TCK-005440</t>
  </si>
  <si>
    <t>TCK-002224</t>
  </si>
  <si>
    <t>TCK-004156</t>
  </si>
  <si>
    <t>TCK-004758</t>
  </si>
  <si>
    <t>TCK-002041</t>
  </si>
  <si>
    <t>TCK-002404</t>
  </si>
  <si>
    <t>TCK-000819</t>
  </si>
  <si>
    <t>TCK-000149</t>
  </si>
  <si>
    <t>TCK-000853</t>
  </si>
  <si>
    <t>TCK-000778</t>
  </si>
  <si>
    <t>TCK-000782</t>
  </si>
  <si>
    <t>TCK-002425</t>
  </si>
  <si>
    <t>TCK-002353</t>
  </si>
  <si>
    <t>TCK-000892</t>
  </si>
  <si>
    <t>TCK-004602</t>
  </si>
  <si>
    <t>TCK-004272</t>
  </si>
  <si>
    <t>TCK-003960</t>
  </si>
  <si>
    <t>TCK-000579</t>
  </si>
  <si>
    <t>TCK-000141</t>
  </si>
  <si>
    <t>TCK-001200</t>
  </si>
  <si>
    <t>TCK-005301</t>
  </si>
  <si>
    <t>TCK-005961</t>
  </si>
  <si>
    <t>TCK-005624</t>
  </si>
  <si>
    <t>TCK-003924</t>
  </si>
  <si>
    <t>TCK-003749</t>
  </si>
  <si>
    <t>TCK-002905</t>
  </si>
  <si>
    <t>TCK-003986</t>
  </si>
  <si>
    <t>TCK-001207</t>
  </si>
  <si>
    <t>TCK-005985</t>
  </si>
  <si>
    <t>TCK-003593</t>
  </si>
  <si>
    <t>TCK-005408</t>
  </si>
  <si>
    <t>TCK-003892</t>
  </si>
  <si>
    <t>TCK-000071</t>
  </si>
  <si>
    <t>TCK-004709</t>
  </si>
  <si>
    <t>TCK-001225</t>
  </si>
  <si>
    <t>TCK-000655</t>
  </si>
  <si>
    <t>TCK-002884</t>
  </si>
  <si>
    <t>TCK-003629</t>
  </si>
  <si>
    <t>TCK-001189</t>
  </si>
  <si>
    <t>TCK-005749</t>
  </si>
  <si>
    <t>TCK-005487</t>
  </si>
  <si>
    <t>TCK-000241</t>
  </si>
  <si>
    <t>TCK-000584</t>
  </si>
  <si>
    <t>TCK-003742</t>
  </si>
  <si>
    <t>TCK-005297</t>
  </si>
  <si>
    <t>TCK-000230</t>
  </si>
  <si>
    <t>TCK-001578</t>
  </si>
  <si>
    <t>TCK-005799</t>
  </si>
  <si>
    <t>TCK-001361</t>
  </si>
  <si>
    <t>TCK-005702</t>
  </si>
  <si>
    <t>TCK-001971</t>
  </si>
  <si>
    <t>TCK-001750</t>
  </si>
  <si>
    <t>TCK-001999</t>
  </si>
  <si>
    <t>TCK-005820</t>
  </si>
  <si>
    <t>TCK-005006</t>
  </si>
  <si>
    <t>TCK-001090</t>
  </si>
  <si>
    <t>TCK-000193</t>
  </si>
  <si>
    <t>TCK-002010</t>
  </si>
  <si>
    <t>TCK-004162</t>
  </si>
  <si>
    <t>TCK-000939</t>
  </si>
  <si>
    <t>TCK-001949</t>
  </si>
  <si>
    <t>TCK-002895</t>
  </si>
  <si>
    <t>TCK-003171</t>
  </si>
  <si>
    <t>TCK-000023</t>
  </si>
  <si>
    <t>TCK-000589</t>
  </si>
  <si>
    <t>TCK-005734</t>
  </si>
  <si>
    <t>TCK-001902</t>
  </si>
  <si>
    <t>TCK-002503</t>
  </si>
  <si>
    <t>TCK-000208</t>
  </si>
  <si>
    <t>TCK-005984</t>
  </si>
  <si>
    <t>TCK-001763</t>
  </si>
  <si>
    <t>TCK-003498</t>
  </si>
  <si>
    <t>TCK-002841</t>
  </si>
  <si>
    <t>TCK-000248</t>
  </si>
  <si>
    <t>TCK-003958</t>
  </si>
  <si>
    <t>TCK-001244</t>
  </si>
  <si>
    <t>TCK-002898</t>
  </si>
  <si>
    <t>TCK-002429</t>
  </si>
  <si>
    <t>TCK-000438</t>
  </si>
  <si>
    <t>TCK-004181</t>
  </si>
  <si>
    <t>TCK-004484</t>
  </si>
  <si>
    <t>TCK-002749</t>
  </si>
  <si>
    <t>TCK-002657</t>
  </si>
  <si>
    <t>TCK-003359</t>
  </si>
  <si>
    <t>TCK-002388</t>
  </si>
  <si>
    <t>TCK-003918</t>
  </si>
  <si>
    <t>TCK-001682</t>
  </si>
  <si>
    <t>TCK-001202</t>
  </si>
  <si>
    <t>TCK-004583</t>
  </si>
  <si>
    <t>TCK-004178</t>
  </si>
  <si>
    <t>TCK-004391</t>
  </si>
  <si>
    <t>TCK-005786</t>
  </si>
  <si>
    <t>TCK-002997</t>
  </si>
  <si>
    <t>TCK-004943</t>
  </si>
  <si>
    <t>TCK-001037</t>
  </si>
  <si>
    <t>TCK-001433</t>
  </si>
  <si>
    <t>TCK-002295</t>
  </si>
  <si>
    <t>TCK-001797</t>
  </si>
  <si>
    <t>TCK-003653</t>
  </si>
  <si>
    <t>TCK-005618</t>
  </si>
  <si>
    <t>TCK-000203</t>
  </si>
  <si>
    <t>TCK-002798</t>
  </si>
  <si>
    <t>TCK-002377</t>
  </si>
  <si>
    <t>TCK-001564</t>
  </si>
  <si>
    <t>TCK-004727</t>
  </si>
  <si>
    <t>TCK-001191</t>
  </si>
  <si>
    <t>TCK-003978</t>
  </si>
  <si>
    <t>TCK-001734</t>
  </si>
  <si>
    <t>TCK-004710</t>
  </si>
  <si>
    <t>TCK-005705</t>
  </si>
  <si>
    <t>TCK-004187</t>
  </si>
  <si>
    <t>TCK-005908</t>
  </si>
  <si>
    <t>TCK-003106</t>
  </si>
  <si>
    <t>TCK-003522</t>
  </si>
  <si>
    <t>TCK-000425</t>
  </si>
  <si>
    <t>TCK-004638</t>
  </si>
  <si>
    <t>TCK-004521</t>
  </si>
  <si>
    <t>TCK-005798</t>
  </si>
  <si>
    <t>TCK-003211</t>
  </si>
  <si>
    <t>TCK-004939</t>
  </si>
  <si>
    <t>TCK-001840</t>
  </si>
  <si>
    <t>TCK-005300</t>
  </si>
  <si>
    <t>TCK-003032</t>
  </si>
  <si>
    <t>TCK-002042</t>
  </si>
  <si>
    <t>TCK-005853</t>
  </si>
  <si>
    <t>TCK-005609</t>
  </si>
  <si>
    <t>TCK-004824</t>
  </si>
  <si>
    <t>TCK-000459</t>
  </si>
  <si>
    <t>TCK-003584</t>
  </si>
  <si>
    <t>TCK-005221</t>
  </si>
  <si>
    <t>TCK-003230</t>
  </si>
  <si>
    <t>TCK-003952</t>
  </si>
  <si>
    <t>TCK-000019</t>
  </si>
  <si>
    <t>TCK-005142</t>
  </si>
  <si>
    <t>TCK-004871</t>
  </si>
  <si>
    <t>TCK-005751</t>
  </si>
  <si>
    <t>TCK-000152</t>
  </si>
  <si>
    <t>TCK-004662</t>
  </si>
  <si>
    <t>TCK-002436</t>
  </si>
  <si>
    <t>TCK-002247</t>
  </si>
  <si>
    <t>TCK-005773</t>
  </si>
  <si>
    <t>TCK-000550</t>
  </si>
  <si>
    <t>TCK-001163</t>
  </si>
  <si>
    <t>TCK-003559</t>
  </si>
  <si>
    <t>TCK-005493</t>
  </si>
  <si>
    <t>TCK-005970</t>
  </si>
  <si>
    <t>TCK-001903</t>
  </si>
  <si>
    <t>TCK-005390</t>
  </si>
  <si>
    <t>TCK-001013</t>
  </si>
  <si>
    <t>TCK-005262</t>
  </si>
  <si>
    <t>TCK-002510</t>
  </si>
  <si>
    <t>TCK-005084</t>
  </si>
  <si>
    <t>TCK-005294</t>
  </si>
  <si>
    <t>TCK-003630</t>
  </si>
  <si>
    <t>TCK-000534</t>
  </si>
  <si>
    <t>TCK-000153</t>
  </si>
  <si>
    <t>TCK-000164</t>
  </si>
  <si>
    <t>TCK-001880</t>
  </si>
  <si>
    <t>TCK-004427</t>
  </si>
  <si>
    <t>TCK-005251</t>
  </si>
  <si>
    <t>TCK-005290</t>
  </si>
  <si>
    <t>TCK-004916</t>
  </si>
  <si>
    <t>TCK-003705</t>
  </si>
  <si>
    <t>TCK-003813</t>
  </si>
  <si>
    <t>TCK-005864</t>
  </si>
  <si>
    <t>TCK-002909</t>
  </si>
  <si>
    <t>TCK-005726</t>
  </si>
  <si>
    <t>TCK-003597</t>
  </si>
  <si>
    <t>TCK-002346</t>
  </si>
  <si>
    <t>TCK-005318</t>
  </si>
  <si>
    <t>TCK-003516</t>
  </si>
  <si>
    <t>TCK-002106</t>
  </si>
  <si>
    <t>TCK-001038</t>
  </si>
  <si>
    <t>TCK-001527</t>
  </si>
  <si>
    <t>TCK-004081</t>
  </si>
  <si>
    <t>TCK-005314</t>
  </si>
  <si>
    <t>TCK-000696</t>
  </si>
  <si>
    <t>TCK-001835</t>
  </si>
  <si>
    <t>TCK-001083</t>
  </si>
  <si>
    <t>TCK-005096</t>
  </si>
  <si>
    <t>TCK-005743</t>
  </si>
  <si>
    <t>TCK-002864</t>
  </si>
  <si>
    <t>TCK-001724</t>
  </si>
  <si>
    <t>TCK-001000</t>
  </si>
  <si>
    <t>TCK-004078</t>
  </si>
  <si>
    <t>TCK-001039</t>
  </si>
  <si>
    <t>TCK-000933</t>
  </si>
  <si>
    <t>TCK-001712</t>
  </si>
  <si>
    <t>TCK-000661</t>
  </si>
  <si>
    <t>TCK-003733</t>
  </si>
  <si>
    <t>TCK-004981</t>
  </si>
  <si>
    <t>TCK-001426</t>
  </si>
  <si>
    <t>TCK-002171</t>
  </si>
  <si>
    <t>TCK-005244</t>
  </si>
  <si>
    <t>TCK-000812</t>
  </si>
  <si>
    <t>TCK-000381</t>
  </si>
  <si>
    <t>TCK-001556</t>
  </si>
  <si>
    <t>TCK-001935</t>
  </si>
  <si>
    <t>TCK-004085</t>
  </si>
  <si>
    <t>TCK-002199</t>
  </si>
  <si>
    <t>TCK-000870</t>
  </si>
  <si>
    <t>TCK-003496</t>
  </si>
  <si>
    <t>TCK-005004</t>
  </si>
  <si>
    <t>TCK-004177</t>
  </si>
  <si>
    <t>TCK-003974</t>
  </si>
  <si>
    <t>TCK-002892</t>
  </si>
  <si>
    <t>TCK-001271</t>
  </si>
  <si>
    <t>TCK-000871</t>
  </si>
  <si>
    <t>TCK-005729</t>
  </si>
  <si>
    <t>TCK-001939</t>
  </si>
  <si>
    <t>TCK-004977</t>
  </si>
  <si>
    <t>TCK-004812</t>
  </si>
  <si>
    <t>TCK-005152</t>
  </si>
  <si>
    <t>TCK-004298</t>
  </si>
  <si>
    <t>TCK-004947</t>
  </si>
  <si>
    <t>TCK-004227</t>
  </si>
  <si>
    <t>TCK-005752</t>
  </si>
  <si>
    <t>TCK-004878</t>
  </si>
  <si>
    <t>TCK-005422</t>
  </si>
  <si>
    <t>TCK-005696</t>
  </si>
  <si>
    <t>TCK-003666</t>
  </si>
  <si>
    <t>TCK-001103</t>
  </si>
  <si>
    <t>TCK-002151</t>
  </si>
  <si>
    <t>TCK-002012</t>
  </si>
  <si>
    <t>TCK-004342</t>
  </si>
  <si>
    <t>TCK-003894</t>
  </si>
  <si>
    <t>TCK-004723</t>
  </si>
  <si>
    <t>TCK-002662</t>
  </si>
  <si>
    <t>TCK-005379</t>
  </si>
  <si>
    <t>TCK-001544</t>
  </si>
  <si>
    <t>TCK-002803</t>
  </si>
  <si>
    <t>TCK-004647</t>
  </si>
  <si>
    <t>TCK-001969</t>
  </si>
  <si>
    <t>TCK-002866</t>
  </si>
  <si>
    <t>TCK-004251</t>
  </si>
  <si>
    <t>TCK-004706</t>
  </si>
  <si>
    <t>TCK-004848</t>
  </si>
  <si>
    <t>TCK-001390</t>
  </si>
  <si>
    <t>TCK-003564</t>
  </si>
  <si>
    <t>TCK-004618</t>
  </si>
  <si>
    <t>TCK-003061</t>
  </si>
  <si>
    <t>TCK-002557</t>
  </si>
  <si>
    <t>TCK-002724</t>
  </si>
  <si>
    <t>TCK-000841</t>
  </si>
  <si>
    <t>TCK-003062</t>
  </si>
  <si>
    <t>TCK-002228</t>
  </si>
  <si>
    <t>TCK-001483</t>
  </si>
  <si>
    <t>TCK-000026</t>
  </si>
  <si>
    <t>TCK-002601</t>
  </si>
  <si>
    <t>TCK-000830</t>
  </si>
  <si>
    <t>TCK-001916</t>
  </si>
  <si>
    <t>TCK-003339</t>
  </si>
  <si>
    <t>TCK-003649</t>
  </si>
  <si>
    <t>TCK-002411</t>
  </si>
  <si>
    <t>TCK-002396</t>
  </si>
  <si>
    <t>TCK-000313</t>
  </si>
  <si>
    <t>TCK-001182</t>
  </si>
  <si>
    <t>TCK-000196</t>
  </si>
  <si>
    <t>TCK-001252</t>
  </si>
  <si>
    <t>TCK-001366</t>
  </si>
  <si>
    <t>TCK-004911</t>
  </si>
  <si>
    <t>TCK-000855</t>
  </si>
  <si>
    <t>TCK-005989</t>
  </si>
  <si>
    <t>TCK-002175</t>
  </si>
  <si>
    <t>TCK-000304</t>
  </si>
  <si>
    <t>TCK-000849</t>
  </si>
  <si>
    <t>TCK-000273</t>
  </si>
  <si>
    <t>TCK-005328</t>
  </si>
  <si>
    <t>TCK-005141</t>
  </si>
  <si>
    <t>TCK-004593</t>
  </si>
  <si>
    <t>TCK-001922</t>
  </si>
  <si>
    <t>TCK-005866</t>
  </si>
  <si>
    <t>TCK-003027</t>
  </si>
  <si>
    <t>TCK-003419</t>
  </si>
  <si>
    <t>TCK-004230</t>
  </si>
  <si>
    <t>TCK-004419</t>
  </si>
  <si>
    <t>TCK-003282</t>
  </si>
  <si>
    <t>TCK-003720</t>
  </si>
  <si>
    <t>TCK-004306</t>
  </si>
  <si>
    <t>TCK-001524</t>
  </si>
  <si>
    <t>TCK-005057</t>
  </si>
  <si>
    <t>TCK-002442</t>
  </si>
  <si>
    <t>TCK-005398</t>
  </si>
  <si>
    <t>TCK-003885</t>
  </si>
  <si>
    <t>TCK-004831</t>
  </si>
  <si>
    <t>TCK-002917</t>
  </si>
  <si>
    <t>TCK-002326</t>
  </si>
  <si>
    <t>TCK-005901</t>
  </si>
  <si>
    <t>TCK-005578</t>
  </si>
  <si>
    <t>TCK-001988</t>
  </si>
  <si>
    <t>TCK-005504</t>
  </si>
  <si>
    <t>TCK-002806</t>
  </si>
  <si>
    <t>TCK-001441</t>
  </si>
  <si>
    <t>TCK-001919</t>
  </si>
  <si>
    <t>TCK-004296</t>
  </si>
  <si>
    <t>TCK-003233</t>
  </si>
  <si>
    <t>TCK-001777</t>
  </si>
  <si>
    <t>TCK-002101</t>
  </si>
  <si>
    <t>TCK-000612</t>
  </si>
  <si>
    <t>TCK-005561</t>
  </si>
  <si>
    <t>TCK-003969</t>
  </si>
  <si>
    <t>TCK-000699</t>
  </si>
  <si>
    <t>TCK-001070</t>
  </si>
  <si>
    <t>TCK-000188</t>
  </si>
  <si>
    <t>TCK-005146</t>
  </si>
  <si>
    <t>TCK-000087</t>
  </si>
  <si>
    <t>TCK-005579</t>
  </si>
  <si>
    <t>TCK-003360</t>
  </si>
  <si>
    <t>TCK-002520</t>
  </si>
  <si>
    <t>TCK-000669</t>
  </si>
  <si>
    <t>TCK-005085</t>
  </si>
  <si>
    <t>TCK-005495</t>
  </si>
  <si>
    <t>TCK-000378</t>
  </si>
  <si>
    <t>TCK-002013</t>
  </si>
  <si>
    <t>TCK-005748</t>
  </si>
  <si>
    <t>TCK-002467</t>
  </si>
  <si>
    <t>TCK-001623</t>
  </si>
  <si>
    <t>TCK-003878</t>
  </si>
  <si>
    <t>TCK-005274</t>
  </si>
  <si>
    <t>TCK-000293</t>
  </si>
  <si>
    <t>TCK-002725</t>
  </si>
  <si>
    <t>TCK-002932</t>
  </si>
  <si>
    <t>TCK-005025</t>
  </si>
  <si>
    <t>TCK-000398</t>
  </si>
  <si>
    <t>TCK-005727</t>
  </si>
  <si>
    <t>TCK-002896</t>
  </si>
  <si>
    <t>TCK-000387</t>
  </si>
  <si>
    <t>TCK-000772</t>
  </si>
  <si>
    <t>TCK-001372</t>
  </si>
  <si>
    <t>TCK-001075</t>
  </si>
  <si>
    <t>TCK-004767</t>
  </si>
  <si>
    <t>TCK-005186</t>
  </si>
  <si>
    <t>TCK-005095</t>
  </si>
  <si>
    <t>TCK-005791</t>
  </si>
  <si>
    <t>TCK-005372</t>
  </si>
  <si>
    <t>TCK-000301</t>
  </si>
  <si>
    <t>TCK-003817</t>
  </si>
  <si>
    <t>TCK-000992</t>
  </si>
  <si>
    <t>TCK-003657</t>
  </si>
  <si>
    <t>TCK-000464</t>
  </si>
  <si>
    <t>TCK-003242</t>
  </si>
  <si>
    <t>TCK-003583</t>
  </si>
  <si>
    <t>TCK-003220</t>
  </si>
  <si>
    <t>TCK-003732</t>
  </si>
  <si>
    <t>TCK-005211</t>
  </si>
  <si>
    <t>TCK-004024</t>
  </si>
  <si>
    <t>TCK-004728</t>
  </si>
  <si>
    <t>TCK-000247</t>
  </si>
  <si>
    <t>TCK-003741</t>
  </si>
  <si>
    <t>TCK-003152</t>
  </si>
  <si>
    <t>TCK-001250</t>
  </si>
  <si>
    <t>TCK-002176</t>
  </si>
  <si>
    <t>TCK-000139</t>
  </si>
  <si>
    <t>TCK-004495</t>
  </si>
  <si>
    <t>TCK-005347</t>
  </si>
  <si>
    <t>TCK-004746</t>
  </si>
  <si>
    <t>TCK-001231</t>
  </si>
  <si>
    <t>TCK-004840</t>
  </si>
  <si>
    <t>TCK-005740</t>
  </si>
  <si>
    <t>TCK-003899</t>
  </si>
  <si>
    <t>TCK-004221</t>
  </si>
  <si>
    <t>TCK-000516</t>
  </si>
  <si>
    <t>TCK-005204</t>
  </si>
  <si>
    <t>TCK-000977</t>
  </si>
  <si>
    <t>TCK-002426</t>
  </si>
  <si>
    <t>TCK-003864</t>
  </si>
  <si>
    <t>TCK-005527</t>
  </si>
  <si>
    <t>TCK-005032</t>
  </si>
  <si>
    <t>TCK-005170</t>
  </si>
  <si>
    <t>TCK-001625</t>
  </si>
  <si>
    <t>TCK-001198</t>
  </si>
  <si>
    <t>TCK-005913</t>
  </si>
  <si>
    <t>TCK-005013</t>
  </si>
  <si>
    <t>TCK-002962</t>
  </si>
  <si>
    <t>TCK-002410</t>
  </si>
  <si>
    <t>TCK-002231</t>
  </si>
  <si>
    <t>TCK-005986</t>
  </si>
  <si>
    <t>TCK-005324</t>
  </si>
  <si>
    <t>TCK-004184</t>
  </si>
  <si>
    <t>TCK-002742</t>
  </si>
  <si>
    <t>TCK-004841</t>
  </si>
  <si>
    <t>TCK-004759</t>
  </si>
  <si>
    <t>TCK-003756</t>
  </si>
  <si>
    <t>TCK-002361</t>
  </si>
  <si>
    <t>TCK-005575</t>
  </si>
  <si>
    <t>TCK-002651</t>
  </si>
  <si>
    <t>TCK-001257</t>
  </si>
  <si>
    <t>TCK-001772</t>
  </si>
  <si>
    <t>TCK-003129</t>
  </si>
  <si>
    <t>TCK-001541</t>
  </si>
  <si>
    <t>TCK-001133</t>
  </si>
  <si>
    <t>TCK-005840</t>
  </si>
  <si>
    <t>TCK-004416</t>
  </si>
  <si>
    <t>TCK-002316</t>
  </si>
  <si>
    <t>TCK-003934</t>
  </si>
  <si>
    <t>TCK-002164</t>
  </si>
  <si>
    <t>TCK-004180</t>
  </si>
  <si>
    <t>TCK-003992</t>
  </si>
  <si>
    <t>TCK-001733</t>
  </si>
  <si>
    <t>TCK-002720</t>
  </si>
  <si>
    <t>TCK-000289</t>
  </si>
  <si>
    <t>TCK-000329</t>
  </si>
  <si>
    <t>TCK-002120</t>
  </si>
  <si>
    <t>TCK-004729</t>
  </si>
  <si>
    <t>TCK-003530</t>
  </si>
  <si>
    <t>TCK-003279</t>
  </si>
  <si>
    <t>TCK-003345</t>
  </si>
  <si>
    <t>TCK-002226</t>
  </si>
  <si>
    <t>TCK-004565</t>
  </si>
  <si>
    <t>TCK-002418</t>
  </si>
  <si>
    <t>TCK-002166</t>
  </si>
  <si>
    <t>TCK-003320</t>
  </si>
  <si>
    <t>TCK-005311</t>
  </si>
  <si>
    <t>TCK-003005</t>
  </si>
  <si>
    <t>TCK-005090</t>
  </si>
  <si>
    <t>TCK-002290</t>
  </si>
  <si>
    <t>TCK-004724</t>
  </si>
  <si>
    <t>TCK-000980</t>
  </si>
  <si>
    <t>TCK-003600</t>
  </si>
  <si>
    <t>TCK-000491</t>
  </si>
  <si>
    <t>TCK-002381</t>
  </si>
  <si>
    <t>TCK-005133</t>
  </si>
  <si>
    <t>TCK-005588</t>
  </si>
  <si>
    <t>TCK-004733</t>
  </si>
  <si>
    <t>TCK-001507</t>
  </si>
  <si>
    <t>TCK-005171</t>
  </si>
  <si>
    <t>TCK-004467</t>
  </si>
  <si>
    <t>TCK-004557</t>
  </si>
  <si>
    <t>TCK-004667</t>
  </si>
  <si>
    <t>TCK-001413</t>
  </si>
  <si>
    <t>TCK-002869</t>
  </si>
  <si>
    <t>TCK-001746</t>
  </si>
  <si>
    <t>TCK-000038</t>
  </si>
  <si>
    <t>TCK-002324</t>
  </si>
  <si>
    <t>TCK-005547_DUP</t>
  </si>
  <si>
    <t>TCK-002104</t>
  </si>
  <si>
    <t>TCK-002818</t>
  </si>
  <si>
    <t>TCK-002655</t>
  </si>
  <si>
    <t>TCK-001587</t>
  </si>
  <si>
    <t>TCK-001876</t>
  </si>
  <si>
    <t>TCK-003483</t>
  </si>
  <si>
    <t>TCK-000511</t>
  </si>
  <si>
    <t>TCK-002865</t>
  </si>
  <si>
    <t>TCK-000940</t>
  </si>
  <si>
    <t>TCK-005166</t>
  </si>
  <si>
    <t>TCK-003503</t>
  </si>
  <si>
    <t>TCK-003306</t>
  </si>
  <si>
    <t>TCK-002304</t>
  </si>
  <si>
    <t>TCK-005717</t>
  </si>
  <si>
    <t>TCK-000707</t>
  </si>
  <si>
    <t>TCK-000358</t>
  </si>
  <si>
    <t>TCK-004030</t>
  </si>
  <si>
    <t>TCK-001007</t>
  </si>
  <si>
    <t>TCK-003770</t>
  </si>
  <si>
    <t>TCK-005765</t>
  </si>
  <si>
    <t>TCK-002810</t>
  </si>
  <si>
    <t>TCK-005352</t>
  </si>
  <si>
    <t>TCK-000822</t>
  </si>
  <si>
    <t>TCK-002734</t>
  </si>
  <si>
    <t>TCK-004173</t>
  </si>
  <si>
    <t>TCK-003366</t>
  </si>
  <si>
    <t>TCK-000738</t>
  </si>
  <si>
    <t>TCK-002788</t>
  </si>
  <si>
    <t>TCK-000726</t>
  </si>
  <si>
    <t>TCK-000407</t>
  </si>
  <si>
    <t>TCK-002819</t>
  </si>
  <si>
    <t>TCK-001152</t>
  </si>
  <si>
    <t>TCK-000482</t>
  </si>
  <si>
    <t>TCK-003190</t>
  </si>
  <si>
    <t>TCK-003361</t>
  </si>
  <si>
    <t>TCK-003259</t>
  </si>
  <si>
    <t>TCK-004881</t>
  </si>
  <si>
    <t>TCK-001646</t>
  </si>
  <si>
    <t>TCK-002820</t>
  </si>
  <si>
    <t>TCK-003442</t>
  </si>
  <si>
    <t>TCK-004070</t>
  </si>
  <si>
    <t>TCK-003815</t>
  </si>
  <si>
    <t>TCK-000227</t>
  </si>
  <si>
    <t>TCK-000800</t>
  </si>
  <si>
    <t>TCK-003529</t>
  </si>
  <si>
    <t>TCK-003245</t>
  </si>
  <si>
    <t>TCK-002380</t>
  </si>
  <si>
    <t>TCK-001430</t>
  </si>
  <si>
    <t>TCK-004241</t>
  </si>
  <si>
    <t>TCK-000435</t>
  </si>
  <si>
    <t>TCK-000383</t>
  </si>
  <si>
    <t>TCK-000629</t>
  </si>
  <si>
    <t>TCK-005520</t>
  </si>
  <si>
    <t>TCK-001826</t>
  </si>
  <si>
    <t>TCK-003382</t>
  </si>
  <si>
    <t>TCK-003349</t>
  </si>
  <si>
    <t>TCK-000303</t>
  </si>
  <si>
    <t>TCK-004213</t>
  </si>
  <si>
    <t>TCK-001791</t>
  </si>
  <si>
    <t>TCK-002808</t>
  </si>
  <si>
    <t>TCK-003882</t>
  </si>
  <si>
    <t>TCK-000326</t>
  </si>
  <si>
    <t>TCK-000748</t>
  </si>
  <si>
    <t>TCK-000741</t>
  </si>
  <si>
    <t>TCK-002935</t>
  </si>
  <si>
    <t>TCK-005604</t>
  </si>
  <si>
    <t>TCK-003683</t>
  </si>
  <si>
    <t>TCK-005203</t>
  </si>
  <si>
    <t>TCK-005125</t>
  </si>
  <si>
    <t>TCK-000519</t>
  </si>
  <si>
    <t>TCK-001732</t>
  </si>
  <si>
    <t>TCK-003060</t>
  </si>
  <si>
    <t>TCK-004966</t>
  </si>
  <si>
    <t>TCK-005497</t>
  </si>
  <si>
    <t>TCK-002789</t>
  </si>
  <si>
    <t>TCK-000637</t>
  </si>
  <si>
    <t>TCK-004330</t>
  </si>
  <si>
    <t>TCK-004783</t>
  </si>
  <si>
    <t>TCK-001768</t>
  </si>
  <si>
    <t>TCK-005759</t>
  </si>
  <si>
    <t>TCK-002688</t>
  </si>
  <si>
    <t>TCK-002087</t>
  </si>
  <si>
    <t>TCK-003765</t>
  </si>
  <si>
    <t>TCK-001498</t>
  </si>
  <si>
    <t>TCK-005120</t>
  </si>
  <si>
    <t>TCK-002842</t>
  </si>
  <si>
    <t>TCK-002022</t>
  </si>
  <si>
    <t>TCK-000073</t>
  </si>
  <si>
    <t>TCK-002153</t>
  </si>
  <si>
    <t>TCK-005223</t>
  </si>
  <si>
    <t>TCK-001960</t>
  </si>
  <si>
    <t>TCK-005002</t>
  </si>
  <si>
    <t>TCK-004896</t>
  </si>
  <si>
    <t>TCK-004533</t>
  </si>
  <si>
    <t>TCK-005805</t>
  </si>
  <si>
    <t>TCK-000842</t>
  </si>
  <si>
    <t>TCK-000449</t>
  </si>
  <si>
    <t>TCK-002849</t>
  </si>
  <si>
    <t>TCK-000731</t>
  </si>
  <si>
    <t>TCK-005123</t>
  </si>
  <si>
    <t>TCK-002505</t>
  </si>
  <si>
    <t>TCK-001125</t>
  </si>
  <si>
    <t>TCK-003120</t>
  </si>
  <si>
    <t>TCK-001365</t>
  </si>
  <si>
    <t>TCK-005656</t>
  </si>
  <si>
    <t>TCK-003158</t>
  </si>
  <si>
    <t>TCK-001721</t>
  </si>
  <si>
    <t>TCK-005963</t>
  </si>
  <si>
    <t>TCK-005822</t>
  </si>
  <si>
    <t>TCK-004784</t>
  </si>
  <si>
    <t>TCK-003961</t>
  </si>
  <si>
    <t>TCK-001788</t>
  </si>
  <si>
    <t>TCK-004626</t>
  </si>
  <si>
    <t>TCK-002984</t>
  </si>
  <si>
    <t>TCK-002392</t>
  </si>
  <si>
    <t>TCK-000108</t>
  </si>
  <si>
    <t>TCK-004799</t>
  </si>
  <si>
    <t>TCK-005470</t>
  </si>
  <si>
    <t>TCK-000388</t>
  </si>
  <si>
    <t>TCK-000582</t>
  </si>
  <si>
    <t>TCK-002478</t>
  </si>
  <si>
    <t>TCK-004745</t>
  </si>
  <si>
    <t>TCK-005789</t>
  </si>
  <si>
    <t>TCK-003396</t>
  </si>
  <si>
    <t>TCK-002964</t>
  </si>
  <si>
    <t>TCK-005423</t>
  </si>
  <si>
    <t>TCK-005121</t>
  </si>
  <si>
    <t>TCK-000619</t>
  </si>
  <si>
    <t>TCK-003816</t>
  </si>
  <si>
    <t>TCK-002446</t>
  </si>
  <si>
    <t>TCK-001282</t>
  </si>
  <si>
    <t>TCK-003818</t>
  </si>
  <si>
    <t>TCK-000567</t>
  </si>
  <si>
    <t>TCK-000864</t>
  </si>
  <si>
    <t>TCK-005597</t>
  </si>
  <si>
    <t>TCK-001315</t>
  </si>
  <si>
    <t>TCK-004907</t>
  </si>
  <si>
    <t>TCK-002306</t>
  </si>
  <si>
    <t>TCK-001945</t>
  </si>
  <si>
    <t>TCK-005697</t>
  </si>
  <si>
    <t>TCK-003505</t>
  </si>
  <si>
    <t>TCK-001129</t>
  </si>
  <si>
    <t>TCK-000461</t>
  </si>
  <si>
    <t>TCK-005011</t>
  </si>
  <si>
    <t>TCK-003545</t>
  </si>
  <si>
    <t>TCK-000470</t>
  </si>
  <si>
    <t>TCK-003262</t>
  </si>
  <si>
    <t>TCK-005874</t>
  </si>
  <si>
    <t>TCK-000752</t>
  </si>
  <si>
    <t>TCK-001165</t>
  </si>
  <si>
    <t>TCK-002578</t>
  </si>
  <si>
    <t>TCK-003346</t>
  </si>
  <si>
    <t>TCK-004281</t>
  </si>
  <si>
    <t>TCK-000955</t>
  </si>
  <si>
    <t>TCK-003881</t>
  </si>
  <si>
    <t>TCK-005766</t>
  </si>
  <si>
    <t>TCK-001603</t>
  </si>
  <si>
    <t>TCK-003020</t>
  </si>
  <si>
    <t>TCK-002548</t>
  </si>
  <si>
    <t>TCK-004816</t>
  </si>
  <si>
    <t>TCK-004575</t>
  </si>
  <si>
    <t>TCK-005065</t>
  </si>
  <si>
    <t>TCK-003041</t>
  </si>
  <si>
    <t>TCK-000771</t>
  </si>
  <si>
    <t>TCK-005024</t>
  </si>
  <si>
    <t>TCK-002612</t>
  </si>
  <si>
    <t>TCK-004436</t>
  </si>
  <si>
    <t>TCK-000903</t>
  </si>
  <si>
    <t>TCK-000335</t>
  </si>
  <si>
    <t>TCK-003696</t>
  </si>
  <si>
    <t>TCK-004905</t>
  </si>
  <si>
    <t>TCK-001600</t>
  </si>
  <si>
    <t>TCK-003769</t>
  </si>
  <si>
    <t>TCK-002645</t>
  </si>
  <si>
    <t>TCK-002031</t>
  </si>
  <si>
    <t>TCK-003008</t>
  </si>
  <si>
    <t>TCK-000492</t>
  </si>
  <si>
    <t>TCK-001327</t>
  </si>
  <si>
    <t>TCK-002054</t>
  </si>
  <si>
    <t>TCK-005949</t>
  </si>
  <si>
    <t>TCK-005195</t>
  </si>
  <si>
    <t>TCK-001408</t>
  </si>
  <si>
    <t>TCK-002270</t>
  </si>
  <si>
    <t>TCK-001138</t>
  </si>
  <si>
    <t>TCK-004919</t>
  </si>
  <si>
    <t>TCK-001243</t>
  </si>
  <si>
    <t>TCK-000961</t>
  </si>
  <si>
    <t>TCK-004503</t>
  </si>
  <si>
    <t>TCK-002398</t>
  </si>
  <si>
    <t>TCK-004339</t>
  </si>
  <si>
    <t>TCK-002598</t>
  </si>
  <si>
    <t>TCK-005793</t>
  </si>
  <si>
    <t>TCK-004993</t>
  </si>
  <si>
    <t>TCK-002636</t>
  </si>
  <si>
    <t>TCK-005902</t>
  </si>
  <si>
    <t>TCK-000414</t>
  </si>
  <si>
    <t>TCK-002767</t>
  </si>
  <si>
    <t>TCK-001209</t>
  </si>
  <si>
    <t>TCK-002160</t>
  </si>
  <si>
    <t>TCK-004522</t>
  </si>
  <si>
    <t>TCK-004259</t>
  </si>
  <si>
    <t>TCK-004388</t>
  </si>
  <si>
    <t>TCK-003938</t>
  </si>
  <si>
    <t>TCK-001072</t>
  </si>
  <si>
    <t>TCK-003301</t>
  </si>
  <si>
    <t>TCK-000174</t>
  </si>
  <si>
    <t>TCK-002923</t>
  </si>
  <si>
    <t>TCK-002108</t>
  </si>
  <si>
    <t>TCK-001877</t>
  </si>
  <si>
    <t>TCK-000185</t>
  </si>
  <si>
    <t>TCK-003076</t>
  </si>
  <si>
    <t>TCK-001822</t>
  </si>
  <si>
    <t>TCK-001523</t>
  </si>
  <si>
    <t>TCK-000405</t>
  </si>
  <si>
    <t>TCK-002940</t>
  </si>
  <si>
    <t>TCK-001500</t>
  </si>
  <si>
    <t>TCK-005884</t>
  </si>
  <si>
    <t>TCK-000740</t>
  </si>
  <si>
    <t>TCK-005229</t>
  </si>
  <si>
    <t>TCK-001984</t>
  </si>
  <si>
    <t>TCK-004071</t>
  </si>
  <si>
    <t>TCK-003240</t>
  </si>
  <si>
    <t>TCK-004155</t>
  </si>
  <si>
    <t>TCK-002560</t>
  </si>
  <si>
    <t>TCK-004748</t>
  </si>
  <si>
    <t>TCK-005119</t>
  </si>
  <si>
    <t>TCK-003305</t>
  </si>
  <si>
    <t>TCK-002274</t>
  </si>
  <si>
    <t>TCK-002846</t>
  </si>
  <si>
    <t>TCK-002286</t>
  </si>
  <si>
    <t>TCK-001622</t>
  </si>
  <si>
    <t>TCK-002793</t>
  </si>
  <si>
    <t>TCK-005745</t>
  </si>
  <si>
    <t>TCK-005156</t>
  </si>
  <si>
    <t>TCK-000702</t>
  </si>
  <si>
    <t>TCK-000918</t>
  </si>
  <si>
    <t>TCK-000929</t>
  </si>
  <si>
    <t>TCK-005573</t>
  </si>
  <si>
    <t>TCK-005196</t>
  </si>
  <si>
    <t>TCK-004921</t>
  </si>
  <si>
    <t>TCK-002699</t>
  </si>
  <si>
    <t>TCK-000604</t>
  </si>
  <si>
    <t>TCK-003521</t>
  </si>
  <si>
    <t>TCK-001298</t>
  </si>
  <si>
    <t>TCK-003888</t>
  </si>
  <si>
    <t>TCK-002658</t>
  </si>
  <si>
    <t>TCK-005904</t>
  </si>
  <si>
    <t>TCK-001465</t>
  </si>
  <si>
    <t>TCK-001398</t>
  </si>
  <si>
    <t>TCK-000806</t>
  </si>
  <si>
    <t>TCK-002622</t>
  </si>
  <si>
    <t>TCK-003430</t>
  </si>
  <si>
    <t>TCK-005306</t>
  </si>
  <si>
    <t>TCK-004979</t>
  </si>
  <si>
    <t>TCK-000212</t>
  </si>
  <si>
    <t>TCK-002139</t>
  </si>
  <si>
    <t>TCK-001051</t>
  </si>
  <si>
    <t>TCK-003893</t>
  </si>
  <si>
    <t>TCK-003981</t>
  </si>
  <si>
    <t>TCK-004474</t>
  </si>
  <si>
    <t>TCK-000117</t>
  </si>
  <si>
    <t>TCK-002194</t>
  </si>
  <si>
    <t>TCK-005476</t>
  </si>
  <si>
    <t>TCK-003116</t>
  </si>
  <si>
    <t>TCK-002885</t>
  </si>
  <si>
    <t>TCK-001831</t>
  </si>
  <si>
    <t>TCK-002853</t>
  </si>
  <si>
    <t>TCK-000043</t>
  </si>
  <si>
    <t>TCK-001071</t>
  </si>
  <si>
    <t>TCK-002376</t>
  </si>
  <si>
    <t>TCK-001607</t>
  </si>
  <si>
    <t>TCK-003353</t>
  </si>
  <si>
    <t>TCK-000113</t>
  </si>
  <si>
    <t>TCK-000983</t>
  </si>
  <si>
    <t>TCK-003914</t>
  </si>
  <si>
    <t>TCK-003691</t>
  </si>
  <si>
    <t>TCK-001158</t>
  </si>
  <si>
    <t>TCK-004523</t>
  </si>
  <si>
    <t>TCK-004253</t>
  </si>
  <si>
    <t>TCK-004110</t>
  </si>
  <si>
    <t>TCK-001328</t>
  </si>
  <si>
    <t>TCK-004701</t>
  </si>
  <si>
    <t>TCK-004736</t>
  </si>
  <si>
    <t>TCK-000681</t>
  </si>
  <si>
    <t>TCK-003853</t>
  </si>
  <si>
    <t>TCK-001214</t>
  </si>
  <si>
    <t>TCK-005022</t>
  </si>
  <si>
    <t>TCK-003092</t>
  </si>
  <si>
    <t>TCK-002675</t>
  </si>
  <si>
    <t>TCK-004087</t>
  </si>
  <si>
    <t>TCK-004369</t>
  </si>
  <si>
    <t>TCK-000510</t>
  </si>
  <si>
    <t>TCK-005426</t>
  </si>
  <si>
    <t>TCK-002679</t>
  </si>
  <si>
    <t>TCK-003987</t>
  </si>
  <si>
    <t>TCK-004863</t>
  </si>
  <si>
    <t>TCK-003011</t>
  </si>
  <si>
    <t>TCK-005997</t>
  </si>
  <si>
    <t>TCK-002976</t>
  </si>
  <si>
    <t>TCK-002023</t>
  </si>
  <si>
    <t>TCK-000569</t>
  </si>
  <si>
    <t>TCK-000974</t>
  </si>
  <si>
    <t>TCK-000161</t>
  </si>
  <si>
    <t>TCK-004893</t>
  </si>
  <si>
    <t>TCK-005608</t>
  </si>
  <si>
    <t>TCK-005601</t>
  </si>
  <si>
    <t>TCK-000811</t>
  </si>
  <si>
    <t>TCK-003251</t>
  </si>
  <si>
    <t>TCK-005190</t>
  </si>
  <si>
    <t>TCK-000324</t>
  </si>
  <si>
    <t>TCK-003173</t>
  </si>
  <si>
    <t>TCK-005567</t>
  </si>
  <si>
    <t>TCK-001175</t>
  </si>
  <si>
    <t>TCK-000796</t>
  </si>
  <si>
    <t>TCK-002365</t>
  </si>
  <si>
    <t>TCK-001993</t>
  </si>
  <si>
    <t>TCK-003052</t>
  </si>
  <si>
    <t>TCK-003253</t>
  </si>
  <si>
    <t>TCK-000255</t>
  </si>
  <si>
    <t>TCK-005184</t>
  </si>
  <si>
    <t>TCK-000553</t>
  </si>
  <si>
    <t>TCK-005339</t>
  </si>
  <si>
    <t>TCK-002367</t>
  </si>
  <si>
    <t>TCK-004021</t>
  </si>
  <si>
    <t>TCK-004525</t>
  </si>
  <si>
    <t>TCK-004157</t>
  </si>
  <si>
    <t>TCK-005040</t>
  </si>
  <si>
    <t>TCK-001100</t>
  </si>
  <si>
    <t>TCK-004400</t>
  </si>
  <si>
    <t>TCK-001610</t>
  </si>
  <si>
    <t>TCK-004058</t>
  </si>
  <si>
    <t>TCK-002336</t>
  </si>
  <si>
    <t>TCK-004857</t>
  </si>
  <si>
    <t>TCK-001534</t>
  </si>
  <si>
    <t>TCK-000515</t>
  </si>
  <si>
    <t>TCK-002765</t>
  </si>
  <si>
    <t>TCK-003699</t>
  </si>
  <si>
    <t>TCK-004211</t>
  </si>
  <si>
    <t>TCK-003067</t>
  </si>
  <si>
    <t>TCK-001618</t>
  </si>
  <si>
    <t>TCK-003432</t>
  </si>
  <si>
    <t>TCK-002039</t>
  </si>
  <si>
    <t>TCK-005587</t>
  </si>
  <si>
    <t>TCK-002466</t>
  </si>
  <si>
    <t>TCK-001926</t>
  </si>
  <si>
    <t>TCK-005481</t>
  </si>
  <si>
    <t>TCK-000393</t>
  </si>
  <si>
    <t>TCK-004099</t>
  </si>
  <si>
    <t>TCK-003238</t>
  </si>
  <si>
    <t>TCK-001980</t>
  </si>
  <si>
    <t>TCK-002523</t>
  </si>
  <si>
    <t>TCK-001978</t>
  </si>
  <si>
    <t>TCK-004711</t>
  </si>
  <si>
    <t>TCK-004448</t>
  </si>
  <si>
    <t>TCK-005837</t>
  </si>
  <si>
    <t>TCK-002435</t>
  </si>
  <si>
    <t>TCK-001855</t>
  </si>
  <si>
    <t>TCK-000496</t>
  </si>
  <si>
    <t>TCK-002279</t>
  </si>
  <si>
    <t>TCK-002877</t>
  </si>
  <si>
    <t>TCK-001195</t>
  </si>
  <si>
    <t>TCK-002604</t>
  </si>
  <si>
    <t>TCK-002850</t>
  </si>
  <si>
    <t>TCK-000319</t>
  </si>
  <si>
    <t>TCK-001794</t>
  </si>
  <si>
    <t>TCK-002727</t>
  </si>
  <si>
    <t>TCK-004473</t>
  </si>
  <si>
    <t>TCK-003283</t>
  </si>
  <si>
    <t>TCK-005180</t>
  </si>
  <si>
    <t>TCK-000072</t>
  </si>
  <si>
    <t>TCK-003030</t>
  </si>
  <si>
    <t>TCK-000638</t>
  </si>
  <si>
    <t>TCK-004643</t>
  </si>
  <si>
    <t>TCK-002592</t>
  </si>
  <si>
    <t>TCK-002464</t>
  </si>
  <si>
    <t>TCK-000802</t>
  </si>
  <si>
    <t>TCK-001680</t>
  </si>
  <si>
    <t>TCK-001235</t>
  </si>
  <si>
    <t>TCK-005612</t>
  </si>
  <si>
    <t>TCK-000566</t>
  </si>
  <si>
    <t>TCK-004644</t>
  </si>
  <si>
    <t>TCK-002297</t>
  </si>
  <si>
    <t>TCK-005214</t>
  </si>
  <si>
    <t>TCK-001260</t>
  </si>
  <si>
    <t>TCK-000537</t>
  </si>
  <si>
    <t>TCK-000410</t>
  </si>
  <si>
    <t>TCK-004411</t>
  </si>
  <si>
    <t>TCK-000240</t>
  </si>
  <si>
    <t>TCK-003219</t>
  </si>
  <si>
    <t>TCK-003434</t>
  </si>
  <si>
    <t>TCK-003214</t>
  </si>
  <si>
    <t>TCK-003021</t>
  </si>
  <si>
    <t>TCK-001375</t>
  </si>
  <si>
    <t>TCK-002987</t>
  </si>
  <si>
    <t>TCK-002575</t>
  </si>
  <si>
    <t>TCK-005804</t>
  </si>
  <si>
    <t>TCK-001333</t>
  </si>
  <si>
    <t>TCK-000478</t>
  </si>
  <si>
    <t>TCK-005208</t>
  </si>
  <si>
    <t>TCK-004804</t>
  </si>
  <si>
    <t>TCK-005012</t>
  </si>
  <si>
    <t>TCK-000836</t>
  </si>
  <si>
    <t>TCK-000985</t>
  </si>
  <si>
    <t>TCK-001418</t>
  </si>
  <si>
    <t>TCK-001851</t>
  </si>
  <si>
    <t>TCK-005045</t>
  </si>
  <si>
    <t>TCK-003487</t>
  </si>
  <si>
    <t>TCK-005492</t>
  </si>
  <si>
    <t>TCK-000888_DUP</t>
  </si>
  <si>
    <t>TCK-003078</t>
  </si>
  <si>
    <t>TCK-003806</t>
  </si>
  <si>
    <t>TCK-000882</t>
  </si>
  <si>
    <t>TCK-005441</t>
  </si>
  <si>
    <t>TCK-001456</t>
  </si>
  <si>
    <t>TCK-002186</t>
  </si>
  <si>
    <t>TCK-005265</t>
  </si>
  <si>
    <t>TCK-004309</t>
  </si>
  <si>
    <t>TCK-000442</t>
  </si>
  <si>
    <t>TCK-000265</t>
  </si>
  <si>
    <t>TCK-003433</t>
  </si>
  <si>
    <t>TCK-005359</t>
  </si>
  <si>
    <t>TCK-003909</t>
  </si>
  <si>
    <t>TCK-005897</t>
  </si>
  <si>
    <t>TCK-002967</t>
  </si>
  <si>
    <t>TCK-005682</t>
  </si>
  <si>
    <t>TCK-004845</t>
  </si>
  <si>
    <t>TCK-001662</t>
  </si>
  <si>
    <t>TCK-000717</t>
  </si>
  <si>
    <t>TCK-000725</t>
  </si>
  <si>
    <t>TCK-003599</t>
  </si>
  <si>
    <t>TCK-003706</t>
  </si>
  <si>
    <t>TCK-001470</t>
  </si>
  <si>
    <t>TCK-005879</t>
  </si>
  <si>
    <t>TCK-002236</t>
  </si>
  <si>
    <t>TCK-004749</t>
  </si>
  <si>
    <t>TCK-005047</t>
  </si>
  <si>
    <t>TCK-005246</t>
  </si>
  <si>
    <t>TCK-000155</t>
  </si>
  <si>
    <t>TCK-003275</t>
  </si>
  <si>
    <t>TCK-001947</t>
  </si>
  <si>
    <t>TCK-003138</t>
  </si>
  <si>
    <t>TCK-001417</t>
  </si>
  <si>
    <t>TCK-000909</t>
  </si>
  <si>
    <t>TCK-004543</t>
  </si>
  <si>
    <t>TCK-004086</t>
  </si>
  <si>
    <t>TCK-001873</t>
  </si>
  <si>
    <t>TCK-000020</t>
  </si>
  <si>
    <t>TCK-005658</t>
  </si>
  <si>
    <t>TCK-000315</t>
  </si>
  <si>
    <t>TCK-000626</t>
  </si>
  <si>
    <t>TCK-002709</t>
  </si>
  <si>
    <t>TCK-005008</t>
  </si>
  <si>
    <t>TCK-000119</t>
  </si>
  <si>
    <t>TCK-004912</t>
  </si>
  <si>
    <t>TCK-002833</t>
  </si>
  <si>
    <t>TCK-004683</t>
  </si>
  <si>
    <t>TCK-002032</t>
  </si>
  <si>
    <t>TCK-005427</t>
  </si>
  <si>
    <t>TCK-001862</t>
  </si>
  <si>
    <t>TCK-000244</t>
  </si>
  <si>
    <t>TCK-005688</t>
  </si>
  <si>
    <t>TCK-004487</t>
  </si>
  <si>
    <t>TCK-000005</t>
  </si>
  <si>
    <t>TCK-001972</t>
  </si>
  <si>
    <t>TCK-004437</t>
  </si>
  <si>
    <t>TCK-003543</t>
  </si>
  <si>
    <t>TCK-004658</t>
  </si>
  <si>
    <t>TCK-003135</t>
  </si>
  <si>
    <t>TCK-003562</t>
  </si>
  <si>
    <t>TCK-004787</t>
  </si>
  <si>
    <t>TCK-005003</t>
  </si>
  <si>
    <t>TCK-005635</t>
  </si>
  <si>
    <t>TCK-000408</t>
  </si>
  <si>
    <t>TCK-001914</t>
  </si>
  <si>
    <t>TCK-000216</t>
  </si>
  <si>
    <t>TCK-002774</t>
  </si>
  <si>
    <t>TCK-004357</t>
  </si>
  <si>
    <t>TCK-002251</t>
  </si>
  <si>
    <t>TCK-003269</t>
  </si>
  <si>
    <t>TCK-000029</t>
  </si>
  <si>
    <t>TCK-004582</t>
  </si>
  <si>
    <t>TCK-003458</t>
  </si>
  <si>
    <t>TCK-002640</t>
  </si>
  <si>
    <t>TCK-002190</t>
  </si>
  <si>
    <t>TCK-001462</t>
  </si>
  <si>
    <t>TCK-004301</t>
  </si>
  <si>
    <t>TCK-002904</t>
  </si>
  <si>
    <t>TCK-003800</t>
  </si>
  <si>
    <t>TCK-005257</t>
  </si>
  <si>
    <t>TCK-000912</t>
  </si>
  <si>
    <t>TCK-004414</t>
  </si>
  <si>
    <t>TCK-005695</t>
  </si>
  <si>
    <t>TCK-002368</t>
  </si>
  <si>
    <t>TCK-001091</t>
  </si>
  <si>
    <t>TCK-005831</t>
  </si>
  <si>
    <t>TCK-001678</t>
  </si>
  <si>
    <t>TCK-001309</t>
  </si>
  <si>
    <t>TCK-003628</t>
  </si>
  <si>
    <t>TCK-005959</t>
  </si>
  <si>
    <t>TCK-004308</t>
  </si>
  <si>
    <t>TCK-005870</t>
  </si>
  <si>
    <t>TCK-000325</t>
  </si>
  <si>
    <t>TCK-001313</t>
  </si>
  <si>
    <t>TCK-000965</t>
  </si>
  <si>
    <t>TCK-000543</t>
  </si>
  <si>
    <t>TCK-003551</t>
  </si>
  <si>
    <t>TCK-000680</t>
  </si>
  <si>
    <t>TCK-002746</t>
  </si>
  <si>
    <t>TCK-005361</t>
  </si>
  <si>
    <t>TCK-005363</t>
  </si>
  <si>
    <t>TCK-005724</t>
  </si>
  <si>
    <t>TCK-005815</t>
  </si>
  <si>
    <t>TCK-000070</t>
  </si>
  <si>
    <t>TCK-002607</t>
  </si>
  <si>
    <t>TCK-004500</t>
  </si>
  <si>
    <t>TCK-004689</t>
  </si>
  <si>
    <t>TCK-001490</t>
  </si>
  <si>
    <t>TCK-003234</t>
  </si>
  <si>
    <t>TCK-004291</t>
  </si>
  <si>
    <t>TCK-003863</t>
  </si>
  <si>
    <t>TCK-004007</t>
  </si>
  <si>
    <t>TCK-000521</t>
  </si>
  <si>
    <t>TCK-003772</t>
  </si>
  <si>
    <t>TCK-003932</t>
  </si>
  <si>
    <t>TCK-004536</t>
  </si>
  <si>
    <t>TCK-001692</t>
  </si>
  <si>
    <t>TCK-003369</t>
  </si>
  <si>
    <t>TCK-003276</t>
  </si>
  <si>
    <t>TCK-002334</t>
  </si>
  <si>
    <t>TCK-000902</t>
  </si>
  <si>
    <t>TCK-003808</t>
  </si>
  <si>
    <t>TCK-002817</t>
  </si>
  <si>
    <t>TCK-004228</t>
  </si>
  <si>
    <t>TCK-004879</t>
  </si>
  <si>
    <t>TCK-004122</t>
  </si>
  <si>
    <t>TCK-004578</t>
  </si>
  <si>
    <t>TCK-001817</t>
  </si>
  <si>
    <t>TCK-005649</t>
  </si>
  <si>
    <t>TCK-000279</t>
  </si>
  <si>
    <t>TCK-000509</t>
  </si>
  <si>
    <t>TCK-002582</t>
  </si>
  <si>
    <t>TCK-000693</t>
  </si>
  <si>
    <t>TCK-002783</t>
  </si>
  <si>
    <t>TCK-001800</t>
  </si>
  <si>
    <t>TCK-000465</t>
  </si>
  <si>
    <t>TCK-002366</t>
  </si>
  <si>
    <t>TCK-003083</t>
  </si>
  <si>
    <t>TCK-003417</t>
  </si>
  <si>
    <t>TCK-005498</t>
  </si>
  <si>
    <t>TCK-003421</t>
  </si>
  <si>
    <t>TCK-005273</t>
  </si>
  <si>
    <t>TCK-002594</t>
  </si>
  <si>
    <t>TCK-005555</t>
  </si>
  <si>
    <t>TCK-004782</t>
  </si>
  <si>
    <t>TCK-003671</t>
  </si>
  <si>
    <t>TCK-004809</t>
  </si>
  <si>
    <t>TCK-002500</t>
  </si>
  <si>
    <t>TCK-001484</t>
  </si>
  <si>
    <t>TCK-001020_DUP</t>
  </si>
  <si>
    <t>TCK-005218</t>
  </si>
  <si>
    <t>TCK-003640</t>
  </si>
  <si>
    <t>TCK-005807</t>
  </si>
  <si>
    <t>TCK-002122</t>
  </si>
  <si>
    <t>TCK-001825</t>
  </si>
  <si>
    <t>TCK-003352</t>
  </si>
  <si>
    <t>TCK-002522</t>
  </si>
  <si>
    <t>TCK-005616</t>
  </si>
  <si>
    <t>TCK-002958</t>
  </si>
  <si>
    <t>TCK-001006</t>
  </si>
  <si>
    <t>TCK-004796</t>
  </si>
  <si>
    <t>TCK-002824</t>
  </si>
  <si>
    <t>TCK-001355</t>
  </si>
  <si>
    <t>TCK-002771</t>
  </si>
  <si>
    <t>TCK-005464</t>
  </si>
  <si>
    <t>TCK-000150</t>
  </si>
  <si>
    <t>TCK-000753</t>
  </si>
  <si>
    <t>TCK-004382</t>
  </si>
  <si>
    <t>TCK-004452</t>
  </si>
  <si>
    <t>TCK-002801</t>
  </si>
  <si>
    <t>TCK-004802</t>
  </si>
  <si>
    <t>TCK-002198</t>
  </si>
  <si>
    <t>TCK-003134</t>
  </si>
  <si>
    <t>TCK-004700</t>
  </si>
  <si>
    <t>TCK-001757</t>
  </si>
  <si>
    <t>TCK-002312</t>
  </si>
  <si>
    <t>TCK-004691</t>
  </si>
  <si>
    <t>TCK-003246</t>
  </si>
  <si>
    <t>TCK-005860</t>
  </si>
  <si>
    <t>TCK-002463</t>
  </si>
  <si>
    <t>TCK-002339</t>
  </si>
  <si>
    <t>TCK-004502</t>
  </si>
  <si>
    <t>TCK-004973</t>
  </si>
  <si>
    <t>TCK-003227</t>
  </si>
  <si>
    <t>TCK-003447</t>
  </si>
  <si>
    <t>TCK-001048</t>
  </si>
  <si>
    <t>TCK-005708</t>
  </si>
  <si>
    <t>TCK-004195</t>
  </si>
  <si>
    <t>TCK-003492</t>
  </si>
  <si>
    <t>TCK-000060</t>
  </si>
  <si>
    <t>TCK-003309</t>
  </si>
  <si>
    <t>TCK-005569</t>
  </si>
  <si>
    <t>TCK-005779</t>
  </si>
  <si>
    <t>TCK-001598</t>
  </si>
  <si>
    <t>TCK-005292</t>
  </si>
  <si>
    <t>TCK-002590</t>
  </si>
  <si>
    <t>TCK-000371</t>
  </si>
  <si>
    <t>TCK-004376</t>
  </si>
  <si>
    <t>TCK-000659</t>
  </si>
  <si>
    <t>TCK-005129</t>
  </si>
  <si>
    <t>TCK-005675</t>
  </si>
  <si>
    <t>TCK-001809</t>
  </si>
  <si>
    <t>TCK-001885</t>
  </si>
  <si>
    <t>TCK-003794</t>
  </si>
  <si>
    <t>TCK-002019</t>
  </si>
  <si>
    <t>TCK-000476</t>
  </si>
  <si>
    <t>TCK-003541</t>
  </si>
  <si>
    <t>TCK-001725</t>
  </si>
  <si>
    <t>TCK-004757</t>
  </si>
  <si>
    <t>TCK-003542</t>
  </si>
  <si>
    <t>TCK-004265</t>
  </si>
  <si>
    <t>TCK-002409</t>
  </si>
  <si>
    <t>TCK-005165</t>
  </si>
  <si>
    <t>TCK-005144</t>
  </si>
  <si>
    <t>TCK-001478</t>
  </si>
  <si>
    <t>TCK-000598</t>
  </si>
  <si>
    <t>TCK-001611</t>
  </si>
  <si>
    <t>TCK-002587</t>
  </si>
  <si>
    <t>TCK-005934</t>
  </si>
  <si>
    <t>TCK-004903</t>
  </si>
  <si>
    <t>TCK-005212</t>
  </si>
  <si>
    <t>TCK-005054</t>
  </si>
  <si>
    <t>TCK-005872</t>
  </si>
  <si>
    <t>TCK-002047</t>
  </si>
  <si>
    <t>TCK-000924</t>
  </si>
  <si>
    <t>TCK-004432</t>
  </si>
  <si>
    <t>TCK-005307</t>
  </si>
  <si>
    <t>TCK-001438</t>
  </si>
  <si>
    <t>TCK-005517</t>
  </si>
  <si>
    <t>TCK-001548</t>
  </si>
  <si>
    <t>TCK-004752</t>
  </si>
  <si>
    <t>TCK-001154</t>
  </si>
  <si>
    <t>TCK-002776</t>
  </si>
  <si>
    <t>TCK-005537</t>
  </si>
  <si>
    <t>TCK-001638</t>
  </si>
  <si>
    <t>TCK-000399</t>
  </si>
  <si>
    <t>TCK-003499</t>
  </si>
  <si>
    <t>TCK-004056</t>
  </si>
  <si>
    <t>TCK-003646</t>
  </si>
  <si>
    <t>TCK-004922</t>
  </si>
  <si>
    <t>TCK-003372</t>
  </si>
  <si>
    <t>TCK-001383</t>
  </si>
  <si>
    <t>TCK-004258</t>
  </si>
  <si>
    <t>TCK-003017</t>
  </si>
  <si>
    <t>TCK-005767</t>
  </si>
  <si>
    <t>TCK-002156</t>
  </si>
  <si>
    <t>TCK-000847</t>
  </si>
  <si>
    <t>TCK-005395</t>
  </si>
  <si>
    <t>TCK-001015</t>
  </si>
  <si>
    <t>TCK-000403</t>
  </si>
  <si>
    <t>TCK-003058</t>
  </si>
  <si>
    <t>TCK-003239</t>
  </si>
  <si>
    <t>TCK-002659</t>
  </si>
  <si>
    <t>TCK-002403</t>
  </si>
  <si>
    <t>TCK-003374</t>
  </si>
  <si>
    <t>TCK-002562</t>
  </si>
  <si>
    <t>TCK-001245</t>
  </si>
  <si>
    <t>TCK-000712</t>
  </si>
  <si>
    <t>TCK-002420</t>
  </si>
  <si>
    <t>TCK-004469</t>
  </si>
  <si>
    <t>TCK-005681</t>
  </si>
  <si>
    <t>TCK-001093</t>
  </si>
  <si>
    <t>TCK-001627</t>
  </si>
  <si>
    <t>TCK-001669</t>
  </si>
  <si>
    <t>TCK-002221</t>
  </si>
  <si>
    <t>TCK-003906</t>
  </si>
  <si>
    <t>TCK-000123</t>
  </si>
  <si>
    <t>TCK-004397</t>
  </si>
  <si>
    <t>TCK-005855</t>
  </si>
  <si>
    <t>TCK-002394</t>
  </si>
  <si>
    <t>TCK-002074</t>
  </si>
  <si>
    <t>TCK-003923</t>
  </si>
  <si>
    <t>TCK-001352</t>
  </si>
  <si>
    <t>TCK-003880</t>
  </si>
  <si>
    <t>TCK-003195</t>
  </si>
  <si>
    <t>TCK-002476</t>
  </si>
  <si>
    <t>TCK-001122</t>
  </si>
  <si>
    <t>TCK-001212</t>
  </si>
  <si>
    <t>TCK-001084</t>
  </si>
  <si>
    <t>TCK-005841</t>
  </si>
  <si>
    <t>TCK-003391</t>
  </si>
  <si>
    <t>TCK-003536</t>
  </si>
  <si>
    <t>TCK-004672</t>
  </si>
  <si>
    <t>TCK-000872</t>
  </si>
  <si>
    <t>TCK-001660</t>
  </si>
  <si>
    <t>TCK-004801</t>
  </si>
  <si>
    <t>TCK-002002</t>
  </si>
  <si>
    <t>TCK-004607</t>
  </si>
  <si>
    <t>TCK-005088</t>
  </si>
  <si>
    <t>TCK-001380</t>
  </si>
  <si>
    <t>TCK-004837</t>
  </si>
  <si>
    <t>TCK-003866</t>
  </si>
  <si>
    <t>TCK-004478</t>
  </si>
  <si>
    <t>TCK-003942</t>
  </si>
  <si>
    <t>TCK-002014</t>
  </si>
  <si>
    <t>TCK-005029</t>
  </si>
  <si>
    <t>TCK-002406</t>
  </si>
  <si>
    <t>TCK-002471</t>
  </si>
  <si>
    <t>TCK-002299</t>
  </si>
  <si>
    <t>TCK-005722</t>
  </si>
  <si>
    <t>TCK-002518</t>
  </si>
  <si>
    <t>TCK-001116</t>
  </si>
  <si>
    <t>TCK-002870</t>
  </si>
  <si>
    <t>TCK-001032</t>
  </si>
  <si>
    <t>TCK-005164</t>
  </si>
  <si>
    <t>TCK-005876</t>
  </si>
  <si>
    <t>TCK-003461</t>
  </si>
  <si>
    <t>TCK-001026</t>
  </si>
  <si>
    <t>TCK-002826</t>
  </si>
  <si>
    <t>TCK-001290</t>
  </si>
  <si>
    <t>TCK-005149</t>
  </si>
  <si>
    <t>TCK-003935</t>
  </si>
  <si>
    <t>TCK-004261</t>
  </si>
  <si>
    <t>TCK-002005</t>
  </si>
  <si>
    <t>TCK-001630</t>
  </si>
  <si>
    <t>TCK-002118</t>
  </si>
  <si>
    <t>TCK-000463</t>
  </si>
  <si>
    <t>TCK-002134</t>
  </si>
  <si>
    <t>TCK-000288</t>
  </si>
  <si>
    <t>TCK-001021</t>
  </si>
  <si>
    <t>TCK-002264</t>
  </si>
  <si>
    <t>TCK-005407</t>
  </si>
  <si>
    <t>TCK-002671</t>
  </si>
  <si>
    <t>TCK-003911</t>
  </si>
  <si>
    <t>TCK-004613</t>
  </si>
  <si>
    <t>TCK-005177</t>
  </si>
  <si>
    <t>TCK-003965</t>
  </si>
  <si>
    <t>TCK-002611</t>
  </si>
  <si>
    <t>TCK-004008</t>
  </si>
  <si>
    <t>TCK-003094</t>
  </si>
  <si>
    <t>TCK-003161</t>
  </si>
  <si>
    <t>TCK-004294</t>
  </si>
  <si>
    <t>TCK-003446</t>
  </si>
  <si>
    <t>TCK-002487</t>
  </si>
  <si>
    <t>TCK-003873</t>
  </si>
  <si>
    <t>TCK-003617</t>
  </si>
  <si>
    <t>TCK-004147</t>
  </si>
  <si>
    <t>TCK-004601</t>
  </si>
  <si>
    <t>TCK-004651</t>
  </si>
  <si>
    <t>TCK-001883</t>
  </si>
  <si>
    <t>TCK-003472</t>
  </si>
  <si>
    <t>TCK-003528</t>
  </si>
  <si>
    <t>TCK-002957</t>
  </si>
  <si>
    <t>TCK-005414</t>
  </si>
  <si>
    <t>TCK-005650</t>
  </si>
  <si>
    <t>TCK-000878</t>
  </si>
  <si>
    <t>TCK-001385</t>
  </si>
  <si>
    <t>TCK-000829</t>
  </si>
  <si>
    <t>TCK-005719</t>
  </si>
  <si>
    <t>TCK-005515</t>
  </si>
  <si>
    <t>TCK-005233</t>
  </si>
  <si>
    <t>TCK-005916</t>
  </si>
  <si>
    <t>TCK-000046</t>
  </si>
  <si>
    <t>TCK-003159</t>
  </si>
  <si>
    <t>TCK-002497</t>
  </si>
  <si>
    <t>TCK-005403</t>
  </si>
  <si>
    <t>TCK-000404</t>
  </si>
  <si>
    <t>TCK-002369</t>
  </si>
  <si>
    <t>TCK-000100</t>
  </si>
  <si>
    <t>TCK-003460</t>
  </si>
  <si>
    <t>TCK-002521</t>
  </si>
  <si>
    <t>TCK-002379</t>
  </si>
  <si>
    <t>TCK-004663</t>
  </si>
  <si>
    <t>TCK-000186</t>
  </si>
  <si>
    <t>TCK-004373</t>
  </si>
  <si>
    <t>TCK-004124</t>
  </si>
  <si>
    <t>TCK-000624</t>
  </si>
  <si>
    <t>TCK-001726</t>
  </si>
  <si>
    <t>TCK-004987</t>
  </si>
  <si>
    <t>TCK-002103</t>
  </si>
  <si>
    <t>TCK-000644</t>
  </si>
  <si>
    <t>TCK-005821</t>
  </si>
  <si>
    <t>TCK-002119</t>
  </si>
  <si>
    <t>TCK-004526</t>
  </si>
  <si>
    <t>TCK-003423</t>
  </si>
  <si>
    <t>TCK-005431</t>
  </si>
  <si>
    <t>TCK-002894</t>
  </si>
  <si>
    <t>TCK-004868</t>
  </si>
  <si>
    <t>TCK-002777</t>
  </si>
  <si>
    <t>TCK-000628</t>
  </si>
  <si>
    <t>TCK-004300</t>
  </si>
  <si>
    <t>TCK-005253</t>
  </si>
  <si>
    <t>TCK-005250</t>
  </si>
  <si>
    <t>TCK-001559</t>
  </si>
  <si>
    <t>TCK-001905</t>
  </si>
  <si>
    <t>TCK-005034</t>
  </si>
  <si>
    <t>TCK-003829</t>
  </si>
  <si>
    <t>TCK-000608</t>
  </si>
  <si>
    <t>TCK-003602</t>
  </si>
  <si>
    <t>TCK-003268</t>
  </si>
  <si>
    <t>TCK-002609</t>
  </si>
  <si>
    <t>TCK-001036</t>
  </si>
  <si>
    <t>TCK-003655</t>
  </si>
  <si>
    <t>TCK-003610</t>
  </si>
  <si>
    <t>TCK-002092</t>
  </si>
  <si>
    <t>TCK-005079</t>
  </si>
  <si>
    <t>TCK-003029</t>
  </si>
  <si>
    <t>TCK-000932</t>
  </si>
  <si>
    <t>TCK-000751</t>
  </si>
  <si>
    <t>TCK-000500</t>
  </si>
  <si>
    <t>TCK-000943</t>
  </si>
  <si>
    <t>TCK-004475</t>
  </si>
  <si>
    <t>TCK-001391</t>
  </si>
  <si>
    <t>TCK-002342</t>
  </si>
  <si>
    <t>TCK-000122</t>
  </si>
  <si>
    <t>TCK-001924</t>
  </si>
  <si>
    <t>TCK-004777</t>
  </si>
  <si>
    <t>TCK-005298</t>
  </si>
  <si>
    <t>TCK-000858</t>
  </si>
  <si>
    <t>TCK-001874_DUP</t>
  </si>
  <si>
    <t>TCK-001944</t>
  </si>
  <si>
    <t>TCK-002203</t>
  </si>
  <si>
    <t>TCK-001262</t>
  </si>
  <si>
    <t>TCK-000035</t>
  </si>
  <si>
    <t>TCK-004446</t>
  </si>
  <si>
    <t>TCK-003507</t>
  </si>
  <si>
    <t>TCK-002681</t>
  </si>
  <si>
    <t>TCK-000947</t>
  </si>
  <si>
    <t>TCK-000786</t>
  </si>
  <si>
    <t>TCK-004131</t>
  </si>
  <si>
    <t>TCK-004103</t>
  </si>
  <si>
    <t>TCK-000062</t>
  </si>
  <si>
    <t>TCK-005310</t>
  </si>
  <si>
    <t>TCK-004048</t>
  </si>
  <si>
    <t>TCK-003075</t>
  </si>
  <si>
    <t>TCK-002561</t>
  </si>
  <si>
    <t>TCK-001846</t>
  </si>
  <si>
    <t>TCK-001217</t>
  </si>
  <si>
    <t>TCK-000852</t>
  </si>
  <si>
    <t>TCK-004730</t>
  </si>
  <si>
    <t>TCK-006000</t>
  </si>
  <si>
    <t>TCK-000140</t>
  </si>
  <si>
    <t>TCK-000184</t>
  </si>
  <si>
    <t>TCK-002913</t>
  </si>
  <si>
    <t>TCK-001136</t>
  </si>
  <si>
    <t>TCK-003057</t>
  </si>
  <si>
    <t>TCK-004741</t>
  </si>
  <si>
    <t>TCK-002589</t>
  </si>
  <si>
    <t>TCK-000428</t>
  </si>
  <si>
    <t>TCK-001536</t>
  </si>
  <si>
    <t>TCK-004217</t>
  </si>
  <si>
    <t>TCK-002499</t>
  </si>
  <si>
    <t>TCK-001576</t>
  </si>
  <si>
    <t>TCK-000633</t>
  </si>
  <si>
    <t>TCK-004412</t>
  </si>
  <si>
    <t>TCK-002890</t>
  </si>
  <si>
    <t>TCK-001923</t>
  </si>
  <si>
    <t>TCK-001294</t>
  </si>
  <si>
    <t>TCK-001619</t>
  </si>
  <si>
    <t>TCK-000121</t>
  </si>
  <si>
    <t>TCK-002574</t>
  </si>
  <si>
    <t>TCK-005591</t>
  </si>
  <si>
    <t>TCK-000182</t>
  </si>
  <si>
    <t>TCK-005258</t>
  </si>
  <si>
    <t>TCK-005511</t>
  </si>
  <si>
    <t>TCK-001028</t>
  </si>
  <si>
    <t>TCK-001557</t>
  </si>
  <si>
    <t>TCK-003025</t>
  </si>
  <si>
    <t>TCK-004179</t>
  </si>
  <si>
    <t>TCK-003237</t>
  </si>
  <si>
    <t>TCK-000991</t>
  </si>
  <si>
    <t>TCK-003605</t>
  </si>
  <si>
    <t>TCK-004418</t>
  </si>
  <si>
    <t>TCK-002265</t>
  </si>
  <si>
    <t>TCK-002364</t>
  </si>
  <si>
    <t>TCK-002000</t>
  </si>
  <si>
    <t>TCK-000456</t>
  </si>
  <si>
    <t>TCK-000294</t>
  </si>
  <si>
    <t>TCK-005163</t>
  </si>
  <si>
    <t>TCK-003456</t>
  </si>
  <si>
    <t>TCK-003608</t>
  </si>
  <si>
    <t>TCK-002741</t>
  </si>
  <si>
    <t>TCK-005570</t>
  </si>
  <si>
    <t>TCK-005503</t>
  </si>
  <si>
    <t>TCK-005580</t>
  </si>
  <si>
    <t>TCK-005035</t>
  </si>
  <si>
    <t>TCK-003474</t>
  </si>
  <si>
    <t>TCK-002813</t>
  </si>
  <si>
    <t>TCK-001963</t>
  </si>
  <si>
    <t>TCK-005982</t>
  </si>
  <si>
    <t>TCK-001114</t>
  </si>
  <si>
    <t>TCK-002449</t>
  </si>
  <si>
    <t>TCK-000151</t>
  </si>
  <si>
    <t>TCK-001344</t>
  </si>
  <si>
    <t>TCK-004926</t>
  </si>
  <si>
    <t>TCK-001132</t>
  </si>
  <si>
    <t>TCK-004639</t>
  </si>
  <si>
    <t>TCK-003252</t>
  </si>
  <si>
    <t>TCK-000299</t>
  </si>
  <si>
    <t>TCK-001938</t>
  </si>
  <si>
    <t>TCK-003595</t>
  </si>
  <si>
    <t>TCK-002053</t>
  </si>
  <si>
    <t>TCK-002239</t>
  </si>
  <si>
    <t>TCK-003293</t>
  </si>
  <si>
    <t>TCK-005332</t>
  </si>
  <si>
    <t>TCK-005600</t>
  </si>
  <si>
    <t>TCK-000169</t>
  </si>
  <si>
    <t>TCK-004128</t>
  </si>
  <si>
    <t>TCK-000397</t>
  </si>
  <si>
    <t>TCK-000222</t>
  </si>
  <si>
    <t>TCK-002213</t>
  </si>
  <si>
    <t>TCK-002225</t>
  </si>
  <si>
    <t>TCK-005499</t>
  </si>
  <si>
    <t>TCK-000245</t>
  </si>
  <si>
    <t>TCK-005028</t>
  </si>
  <si>
    <t>TCK-000357</t>
  </si>
  <si>
    <t>TCK-003408</t>
  </si>
  <si>
    <t>TCK-001442</t>
  </si>
  <si>
    <t>TCK-000512</t>
  </si>
  <si>
    <t>TCK-004003</t>
  </si>
  <si>
    <t>TCK-003722</t>
  </si>
  <si>
    <t>TCK-005875</t>
  </si>
  <si>
    <t>TCK-000630</t>
  </si>
  <si>
    <t>TCK-002661</t>
  </si>
  <si>
    <t>TCK-001274</t>
  </si>
  <si>
    <t>TCK-002148</t>
  </si>
  <si>
    <t>TCK-000536</t>
  </si>
  <si>
    <t>TCK-000651</t>
  </si>
  <si>
    <t>TCK-005213</t>
  </si>
  <si>
    <t>TCK-004438</t>
  </si>
  <si>
    <t>TCK-005617</t>
  </si>
  <si>
    <t>TCK-001393</t>
  </si>
  <si>
    <t>TCK-002052</t>
  </si>
  <si>
    <t>TCK-001422</t>
  </si>
  <si>
    <t>TCK-001131</t>
  </si>
  <si>
    <t>TCK-000031</t>
  </si>
  <si>
    <t>TCK-003525</t>
  </si>
  <si>
    <t>TCK-004136</t>
  </si>
  <si>
    <t>TCK-001238</t>
  </si>
  <si>
    <t>TCK-005031</t>
  </si>
  <si>
    <t>TCK-000059</t>
  </si>
  <si>
    <t>TCK-001502</t>
  </si>
  <si>
    <t>TCK-001291</t>
  </si>
  <si>
    <t>TCK-001807</t>
  </si>
  <si>
    <t>TCK-001602</t>
  </si>
  <si>
    <t>TCK-005092</t>
  </si>
  <si>
    <t>TCK-002631</t>
  </si>
  <si>
    <t>TCK-003112</t>
  </si>
  <si>
    <t>TCK-003526</t>
  </si>
  <si>
    <t>TCK-002240</t>
  </si>
  <si>
    <t>TCK-001085</t>
  </si>
  <si>
    <t>TCK-005393</t>
  </si>
  <si>
    <t>TCK-001517</t>
  </si>
  <si>
    <t>TCK-005215</t>
  </si>
  <si>
    <t>TCK-005086</t>
  </si>
  <si>
    <t>TCK-001475</t>
  </si>
  <si>
    <t>TCK-003181</t>
  </si>
  <si>
    <t>TCK-003572</t>
  </si>
  <si>
    <t>TCK-003512</t>
  </si>
  <si>
    <t>TCK-003491</t>
  </si>
  <si>
    <t>TCK-001329</t>
  </si>
  <si>
    <t>TCK-003080</t>
  </si>
  <si>
    <t>TCK-003825</t>
  </si>
  <si>
    <t>TCK-003065</t>
  </si>
  <si>
    <t>TCK-003469</t>
  </si>
  <si>
    <t>TCK-001011</t>
  </si>
  <si>
    <t>TCK-002271</t>
  </si>
  <si>
    <t>TCK-002370</t>
  </si>
  <si>
    <t>TCK-002243</t>
  </si>
  <si>
    <t>TCK-004080</t>
  </si>
  <si>
    <t>TCK-001440</t>
  </si>
  <si>
    <t>TCK-000211</t>
  </si>
  <si>
    <t>TCK-004962</t>
  </si>
  <si>
    <t>TCK-001670</t>
  </si>
  <si>
    <t>TCK-005891</t>
  </si>
  <si>
    <t>TCK-001616</t>
  </si>
  <si>
    <t>TCK-000547</t>
  </si>
  <si>
    <t>TCK-002851</t>
  </si>
  <si>
    <t>TCK-005538</t>
  </si>
  <si>
    <t>TCK-003221</t>
  </si>
  <si>
    <t>TCK-005571</t>
  </si>
  <si>
    <t>TCK-000127</t>
  </si>
  <si>
    <t>TCK-005585</t>
  </si>
  <si>
    <t>TCK-004815</t>
  </si>
  <si>
    <t>TCK-001634</t>
  </si>
  <si>
    <t>TCK-001512</t>
  </si>
  <si>
    <t>TCK-004998</t>
  </si>
  <si>
    <t>TCK-003407</t>
  </si>
  <si>
    <t>TCK-005101</t>
  </si>
  <si>
    <t>TCK-004725</t>
  </si>
  <si>
    <t>TCK-000868</t>
  </si>
  <si>
    <t>TCK-000789</t>
  </si>
  <si>
    <t>TCK-000467</t>
  </si>
  <si>
    <t>TCK-002004</t>
  </si>
  <si>
    <t>TCK-001755</t>
  </si>
  <si>
    <t>TCK-002504</t>
  </si>
  <si>
    <t>TCK-001853</t>
  </si>
  <si>
    <t>TCK-000990</t>
  </si>
  <si>
    <t>TCK-001210</t>
  </si>
  <si>
    <t>TCK-001940</t>
  </si>
  <si>
    <t>TCK-001460</t>
  </si>
  <si>
    <t>TCK-003861</t>
  </si>
  <si>
    <t>TCK-000711</t>
  </si>
  <si>
    <t>TCK-000271</t>
  </si>
  <si>
    <t>TCK-002191</t>
  </si>
  <si>
    <t>TCK-004254</t>
  </si>
  <si>
    <t>TCK-003984</t>
  </si>
  <si>
    <t>TCK-000198</t>
  </si>
  <si>
    <t>TCK-002011</t>
  </si>
  <si>
    <t>TCK-004996</t>
  </si>
  <si>
    <t>TCK-004589</t>
  </si>
  <si>
    <t>TCK-003787</t>
  </si>
  <si>
    <t>TCK-005641</t>
  </si>
  <si>
    <t>TCK-003939</t>
  </si>
  <si>
    <t>TCK-004965</t>
  </si>
  <si>
    <t>TCK-000594</t>
  </si>
  <si>
    <t>TCK-001605</t>
  </si>
  <si>
    <t>TCK-001342</t>
  </si>
  <si>
    <t>TCK-005143</t>
  </si>
  <si>
    <t>TCK-003669</t>
  </si>
  <si>
    <t>TCK-003554</t>
  </si>
  <si>
    <t>TCK-005957</t>
  </si>
  <si>
    <t>TCK-002959</t>
  </si>
  <si>
    <t>TCK-004401</t>
  </si>
  <si>
    <t>TCK-004347</t>
  </si>
  <si>
    <t>TCK-000563</t>
  </si>
  <si>
    <t>TCK-000267</t>
  </si>
  <si>
    <t>TCK-000178</t>
  </si>
  <si>
    <t>TCK-004918</t>
  </si>
  <si>
    <t>TCK-001370</t>
  </si>
  <si>
    <t>TCK-001691</t>
  </si>
  <si>
    <t>TCK-001848</t>
  </si>
  <si>
    <t>TCK-000077</t>
  </si>
  <si>
    <t>TCK-003439</t>
  </si>
  <si>
    <t>TCK-000684</t>
  </si>
  <si>
    <t>TCK-000097</t>
  </si>
  <si>
    <t>TCK-001560</t>
  </si>
  <si>
    <t>TCK-000676</t>
  </si>
  <si>
    <t>TCK-003489</t>
  </si>
  <si>
    <t>TCK-001002</t>
  </si>
  <si>
    <t>TCK-000028</t>
  </si>
  <si>
    <t>TCK-005829</t>
  </si>
  <si>
    <t>TCK-003712</t>
  </si>
  <si>
    <t>TCK-005678</t>
  </si>
  <si>
    <t>TCK-002566</t>
  </si>
  <si>
    <t>TCK-004074</t>
  </si>
  <si>
    <t>TCK-003871</t>
  </si>
  <si>
    <t>TCK-003515</t>
  </si>
  <si>
    <t>TCK-001842</t>
  </si>
  <si>
    <t>TCK-002703</t>
  </si>
  <si>
    <t>TCK-005178</t>
  </si>
  <si>
    <t>TCK-005305</t>
  </si>
  <si>
    <t>TCK-000179</t>
  </si>
  <si>
    <t>TCK-001325</t>
  </si>
  <si>
    <t>TCK-004038</t>
  </si>
  <si>
    <t>TCK-002094</t>
  </si>
  <si>
    <t>TCK-002096</t>
  </si>
  <si>
    <t>TCK-004942</t>
  </si>
  <si>
    <t>TCK-004537</t>
  </si>
  <si>
    <t>TCK-002526</t>
  </si>
  <si>
    <t>TCK-000098</t>
  </si>
  <si>
    <t>TCK-001496</t>
  </si>
  <si>
    <t>TCK-001537</t>
  </si>
  <si>
    <t>TCK-002551</t>
  </si>
  <si>
    <t>TCK-001053</t>
  </si>
  <si>
    <t>TCK-005450</t>
  </si>
  <si>
    <t>TCK-002360</t>
  </si>
  <si>
    <t>TCK-004599</t>
  </si>
  <si>
    <t>TCK-003959</t>
  </si>
  <si>
    <t>TCK-003680</t>
  </si>
  <si>
    <t>TCK-005844</t>
  </si>
  <si>
    <t>TCK-005512</t>
  </si>
  <si>
    <t>TCK-001707</t>
  </si>
  <si>
    <t>TCK-005230</t>
  </si>
  <si>
    <t>TCK-000223</t>
  </si>
  <si>
    <t>TCK-005018</t>
  </si>
  <si>
    <t>TCK-002136</t>
  </si>
  <si>
    <t>TCK-002219</t>
  </si>
  <si>
    <t>TCK-002637</t>
  </si>
  <si>
    <t>TCK-005480</t>
  </si>
  <si>
    <t>TCK-003101</t>
  </si>
  <si>
    <t>TCK-002034</t>
  </si>
  <si>
    <t>TCK-004246</t>
  </si>
  <si>
    <t>TCK-002088</t>
  </si>
  <si>
    <t>TCK-003951</t>
  </si>
  <si>
    <t>TCK-001110</t>
  </si>
  <si>
    <t>TCK-001376</t>
  </si>
  <si>
    <t>TCK-003527</t>
  </si>
  <si>
    <t>TCK-000588</t>
  </si>
  <si>
    <t>TCK-002260</t>
  </si>
  <si>
    <t>TCK-001201</t>
  </si>
  <si>
    <t>TCK-000946</t>
  </si>
  <si>
    <t>TCK-005172</t>
  </si>
  <si>
    <t>TCK-004013</t>
  </si>
  <si>
    <t>TCK-003862</t>
  </si>
  <si>
    <t>TCK-002501</t>
  </si>
  <si>
    <t>TCK-003243</t>
  </si>
  <si>
    <t>TCK-004860</t>
  </si>
  <si>
    <t>TCK-001686</t>
  </si>
  <si>
    <t>TCK-003316</t>
  </si>
  <si>
    <t>TCK-000266</t>
  </si>
  <si>
    <t>TCK-004818</t>
  </si>
  <si>
    <t>TCK-001784</t>
  </si>
  <si>
    <t>TCK-002677</t>
  </si>
  <si>
    <t>TCK-005554</t>
  </si>
  <si>
    <t>TCK-002177</t>
  </si>
  <si>
    <t>TCK-001882</t>
  </si>
  <si>
    <t>TCK-002107</t>
  </si>
  <si>
    <t>TCK-001466</t>
  </si>
  <si>
    <t>TCK-005122</t>
  </si>
  <si>
    <t>TCK-001196</t>
  </si>
  <si>
    <t>TCK-001650</t>
  </si>
  <si>
    <t>TCK-001599</t>
  </si>
  <si>
    <t>TCK-003585</t>
  </si>
  <si>
    <t>TCK-001253</t>
  </si>
  <si>
    <t>TCK-000415</t>
  </si>
  <si>
    <t>TCK-001704</t>
  </si>
  <si>
    <t>TCK-004949</t>
  </si>
  <si>
    <t>TCK-003676_DUP</t>
  </si>
  <si>
    <t>TCK-004807</t>
  </si>
  <si>
    <t>TCK-001749</t>
  </si>
  <si>
    <t>TCK-002048</t>
  </si>
  <si>
    <t>TCK-005169</t>
  </si>
  <si>
    <t>TCK-002430</t>
  </si>
  <si>
    <t>TCK-003835</t>
  </si>
  <si>
    <t>TCK-001702</t>
  </si>
  <si>
    <t>TCK-001979</t>
  </si>
  <si>
    <t>TCK-002815</t>
  </si>
  <si>
    <t>TCK-001099</t>
  </si>
  <si>
    <t>TCK-003441</t>
  </si>
  <si>
    <t>TCK-005241</t>
  </si>
  <si>
    <t>TCK-004485</t>
  </si>
  <si>
    <t>TCK-004637</t>
  </si>
  <si>
    <t>TCK-005289</t>
  </si>
  <si>
    <t>TCK-002754</t>
  </si>
  <si>
    <t>TCK-001062</t>
  </si>
  <si>
    <t>TCK-002356</t>
  </si>
  <si>
    <t>TCK-000586</t>
  </si>
  <si>
    <t>TCK-005370</t>
  </si>
  <si>
    <t>TCK-005238</t>
  </si>
  <si>
    <t>TCK-005364</t>
  </si>
  <si>
    <t>TCK-000209</t>
  </si>
  <si>
    <t>TCK-001166</t>
  </si>
  <si>
    <t>TCK-000264</t>
  </si>
  <si>
    <t>TCK-004539</t>
  </si>
  <si>
    <t>TCK-005559</t>
  </si>
  <si>
    <t>TCK-002839</t>
  </si>
  <si>
    <t>TCK-001171</t>
  </si>
  <si>
    <t>TCK-002288</t>
  </si>
  <si>
    <t>TCK-002537</t>
  </si>
  <si>
    <t>TCK-004865</t>
  </si>
  <si>
    <t>TCK-005694</t>
  </si>
  <si>
    <t>TCK-005465</t>
  </si>
  <si>
    <t>TCK-003823</t>
  </si>
  <si>
    <t>TCK-005485</t>
  </si>
  <si>
    <t>TCK-004127</t>
  </si>
  <si>
    <t>TCK-003976</t>
  </si>
  <si>
    <t>TCK-001302</t>
  </si>
  <si>
    <t>TCK-000632</t>
  </si>
  <si>
    <t>TCK-003319</t>
  </si>
  <si>
    <t>TCK-005899</t>
  </si>
  <si>
    <t>TCK-003108</t>
  </si>
  <si>
    <t>TCK-000690</t>
  </si>
  <si>
    <t>TCK-000051</t>
  </si>
  <si>
    <t>TCK-003266</t>
  </si>
  <si>
    <t>TCK-000374</t>
  </si>
  <si>
    <t>TCK-000698</t>
  </si>
  <si>
    <t>TCK-002563</t>
  </si>
  <si>
    <t>TCK-004143</t>
  </si>
  <si>
    <t>TCK-003150</t>
  </si>
  <si>
    <t>TCK-003953</t>
  </si>
  <si>
    <t>TCK-003284</t>
  </si>
  <si>
    <t>TCK-001986</t>
  </si>
  <si>
    <t>TCK-003751</t>
  </si>
  <si>
    <t>TCK-004901</t>
  </si>
  <si>
    <t>TCK-003033</t>
  </si>
  <si>
    <t>TCK-003351</t>
  </si>
  <si>
    <t>TCK-004549</t>
  </si>
  <si>
    <t>TCK-000189</t>
  </si>
  <si>
    <t>TCK-000694</t>
  </si>
  <si>
    <t>TCK-004513</t>
  </si>
  <si>
    <t>TCK-004387</t>
  </si>
  <si>
    <t>TCK-004766</t>
  </si>
  <si>
    <t>TCK-002280</t>
  </si>
  <si>
    <t>TCK-005928</t>
  </si>
  <si>
    <t>TCK-004385</t>
  </si>
  <si>
    <t>TCK-001098</t>
  </si>
  <si>
    <t>TCK-005654</t>
  </si>
  <si>
    <t>TCK-004367</t>
  </si>
  <si>
    <t>TCK-001748</t>
  </si>
  <si>
    <t>TCK-001803</t>
  </si>
  <si>
    <t>TCK-002475</t>
  </si>
  <si>
    <t>TCK-004084</t>
  </si>
  <si>
    <t>TCK-004703</t>
  </si>
  <si>
    <t>TCK-002641</t>
  </si>
  <si>
    <t>TCK-005430</t>
  </si>
  <si>
    <t>TCK-002646</t>
  </si>
  <si>
    <t>TCK-000494</t>
  </si>
  <si>
    <t>TCK-002914</t>
  </si>
  <si>
    <t>TCK-003624</t>
  </si>
  <si>
    <t>TCK-005720</t>
  </si>
  <si>
    <t>TCK-000730</t>
  </si>
  <si>
    <t>TCK-004827</t>
  </si>
  <si>
    <t>TCK-000825</t>
  </si>
  <si>
    <t>TCK-000635</t>
  </si>
  <si>
    <t>TCK-001591</t>
  </si>
  <si>
    <t>TCK-001738</t>
  </si>
  <si>
    <t>TCK-000575</t>
  </si>
  <si>
    <t>TCK-000715</t>
  </si>
  <si>
    <t>TCK-002253</t>
  </si>
  <si>
    <t>TCK-005593</t>
  </si>
  <si>
    <t>TCK-005401</t>
  </si>
  <si>
    <t>TCK-000759</t>
  </si>
  <si>
    <t>TCK-000622</t>
  </si>
  <si>
    <t>TCK-000109</t>
  </si>
  <si>
    <t>TCK-003534</t>
  </si>
  <si>
    <t>TCK-003471</t>
  </si>
  <si>
    <t>TCK-001096</t>
  </si>
  <si>
    <t>TCK-004068</t>
  </si>
  <si>
    <t>TCK-000495</t>
  </si>
  <si>
    <t>TCK-005783</t>
  </si>
  <si>
    <t>TCK-005335</t>
  </si>
  <si>
    <t>TCK-002220</t>
  </si>
  <si>
    <t>TCK-005369</t>
  </si>
  <si>
    <t>TCK-003688</t>
  </si>
  <si>
    <t>TCK-001596</t>
  </si>
  <si>
    <t>TCK-004154</t>
  </si>
  <si>
    <t>TCK-002318</t>
  </si>
  <si>
    <t>TCK-005216</t>
  </si>
  <si>
    <t>TCK-002044</t>
  </si>
  <si>
    <t>TCK-000884</t>
  </si>
  <si>
    <t>TCK-003377</t>
  </si>
  <si>
    <t>TCK-004680</t>
  </si>
  <si>
    <t>TCK-000710</t>
  </si>
  <si>
    <t>TCK-001540</t>
  </si>
  <si>
    <t>TCK-000177</t>
  </si>
  <si>
    <t>TCK-005676</t>
  </si>
  <si>
    <t>TCK-003404</t>
  </si>
  <si>
    <t>TCK-004200</t>
  </si>
  <si>
    <t>TCK-004115</t>
  </si>
  <si>
    <t>TCK-004508</t>
  </si>
  <si>
    <t>TCK-001106</t>
  </si>
  <si>
    <t>TCK-003263</t>
  </si>
  <si>
    <t>TCK-005816</t>
  </si>
  <si>
    <t>TCK-002255</t>
  </si>
  <si>
    <t>TCK-001211</t>
  </si>
  <si>
    <t>TCK-004118</t>
  </si>
  <si>
    <t>TCK-004785</t>
  </si>
  <si>
    <t>TCK-003335</t>
  </si>
  <si>
    <t>TCK-000506</t>
  </si>
  <si>
    <t>TCK-002126</t>
  </si>
  <si>
    <t>TCK-003868</t>
  </si>
  <si>
    <t>TCK-000727</t>
  </si>
  <si>
    <t>TCK-005066</t>
  </si>
  <si>
    <t>TCK-000631</t>
  </si>
  <si>
    <t>TCK-002635</t>
  </si>
  <si>
    <t>TCK-003280</t>
  </si>
  <si>
    <t>TCK-000749</t>
  </si>
  <si>
    <t>TCK-005365</t>
  </si>
  <si>
    <t>TCK-000615</t>
  </si>
  <si>
    <t>TCK-001326</t>
  </si>
  <si>
    <t>TCK-005117</t>
  </si>
  <si>
    <t>TCK-005794</t>
  </si>
  <si>
    <t>TCK-002428</t>
  </si>
  <si>
    <t>TCK-004791</t>
  </si>
  <si>
    <t>TCK-005519</t>
  </si>
  <si>
    <t>TCK-005885</t>
  </si>
  <si>
    <t>TCK-005637</t>
  </si>
  <si>
    <t>TCK-000692</t>
  </si>
  <si>
    <t>TCK-001884</t>
  </si>
  <si>
    <t>TCK-002438</t>
  </si>
  <si>
    <t>TCK-000784</t>
  </si>
  <si>
    <t>TCK-004849</t>
  </si>
  <si>
    <t>TCK-004843</t>
  </si>
  <si>
    <t>TCK-003948</t>
  </si>
  <si>
    <t>TCK-000232</t>
  </si>
  <si>
    <t>TCK-003701</t>
  </si>
  <si>
    <t>TCK-002492</t>
  </si>
  <si>
    <t>TCK-004210</t>
  </si>
  <si>
    <t>TCK-003854</t>
  </si>
  <si>
    <t>TCK-004276</t>
  </si>
  <si>
    <t>TCK-004051</t>
  </si>
  <si>
    <t>TCK-004100</t>
  </si>
  <si>
    <t>TCK-003988</t>
  </si>
  <si>
    <t>TCK-003672</t>
  </si>
  <si>
    <t>TCK-004250</t>
  </si>
  <si>
    <t>TCK-003053</t>
  </si>
  <si>
    <t>TCK-000560</t>
  </si>
  <si>
    <t>TCK-005968</t>
  </si>
  <si>
    <t>TCK-003103</t>
  </si>
  <si>
    <t>TCK-005466</t>
  </si>
  <si>
    <t>TCK-000167</t>
  </si>
  <si>
    <t>TCK-000044</t>
  </si>
  <si>
    <t>TCK-003202</t>
  </si>
  <si>
    <t>TCK-003167</t>
  </si>
  <si>
    <t>TCK-000171</t>
  </si>
  <si>
    <t>TCK-003738</t>
  </si>
  <si>
    <t>TCK-001488</t>
  </si>
  <si>
    <t>TCK-000507</t>
  </si>
  <si>
    <t>TCK-005239</t>
  </si>
  <si>
    <t>TCK-001363</t>
  </si>
  <si>
    <t>TCK-003467</t>
  </si>
  <si>
    <t>TCK-004750</t>
  </si>
  <si>
    <t>TCK-000333</t>
  </si>
  <si>
    <t>TCK-005562</t>
  </si>
  <si>
    <t>TCK-004199</t>
  </si>
  <si>
    <t>TCK-002046</t>
  </si>
  <si>
    <t>TCK-002385</t>
  </si>
  <si>
    <t>TCK-001493</t>
  </si>
  <si>
    <t>TCK-000621</t>
  </si>
  <si>
    <t>TCK-005410</t>
  </si>
  <si>
    <t>TCK-002996</t>
  </si>
  <si>
    <t>TCK-003034</t>
  </si>
  <si>
    <t>TCK-005842</t>
  </si>
  <si>
    <t>TCK-004002</t>
  </si>
  <si>
    <t>TCK-001606</t>
  </si>
  <si>
    <t>TCK-002459</t>
  </si>
  <si>
    <t>TCK-002308</t>
  </si>
  <si>
    <t>TCK-001027</t>
  </si>
  <si>
    <t>TCK-002912</t>
  </si>
  <si>
    <t>TCK-004158</t>
  </si>
  <si>
    <t>TCK-004317</t>
  </si>
  <si>
    <t>TCK-004597</t>
  </si>
  <si>
    <t>TCK-004712</t>
  </si>
  <si>
    <t>TCK-002698</t>
  </si>
  <si>
    <t>TCK-002514</t>
  </si>
  <si>
    <t>TCK-003675</t>
  </si>
  <si>
    <t>TCK-004623</t>
  </si>
  <si>
    <t>TCK-001339</t>
  </si>
  <si>
    <t>TCK-005599</t>
  </si>
  <si>
    <t>TCK-003819</t>
  </si>
  <si>
    <t>TCK-004753</t>
  </si>
  <si>
    <t>TCK-001957</t>
  </si>
  <si>
    <t>TCK-003179</t>
  </si>
  <si>
    <t>TCK-005333</t>
  </si>
  <si>
    <t>TCK-005235</t>
  </si>
  <si>
    <t>TCK-001399</t>
  </si>
  <si>
    <t>TCK-003397</t>
  </si>
  <si>
    <t>TCK-004145</t>
  </si>
  <si>
    <t>TCK-003591</t>
  </si>
  <si>
    <t>TCK-001369</t>
  </si>
  <si>
    <t>TCK-002150</t>
  </si>
  <si>
    <t>TCK-003855</t>
  </si>
  <si>
    <t>TCK-005736</t>
  </si>
  <si>
    <t>TCK-005010</t>
  </si>
  <si>
    <t>TCK-003774</t>
  </si>
  <si>
    <t>TCK-003692</t>
  </si>
  <si>
    <t>TCK-004805</t>
  </si>
  <si>
    <t>TCK-004349</t>
  </si>
  <si>
    <t>TCK-002931</t>
  </si>
  <si>
    <t>TCK-003477</t>
  </si>
  <si>
    <t>TCK-004268</t>
  </si>
  <si>
    <t>TCK-001708</t>
  </si>
  <si>
    <t>TCK-004278</t>
  </si>
  <si>
    <t>TCK-005861</t>
  </si>
  <si>
    <t>TCK-005461</t>
  </si>
  <si>
    <t>TCK-004404</t>
  </si>
  <si>
    <t>TCK-000917</t>
  </si>
  <si>
    <t>TCK-002180</t>
  </si>
  <si>
    <t>TCK-002630</t>
  </si>
  <si>
    <t>TCK-005014</t>
  </si>
  <si>
    <t>TCK-003311</t>
  </si>
  <si>
    <t>TCK-005206</t>
  </si>
  <si>
    <t>TCK-000092</t>
  </si>
  <si>
    <t>TCK-004546</t>
  </si>
  <si>
    <t>TCK-001164</t>
  </si>
  <si>
    <t>TCK-004681</t>
  </si>
  <si>
    <t>TCK-005922</t>
  </si>
  <si>
    <t>TCK-000913</t>
  </si>
  <si>
    <t>TCK-000219</t>
  </si>
  <si>
    <t>TCK-003830</t>
  </si>
  <si>
    <t>TCK-001910</t>
  </si>
  <si>
    <t>TCK-001661</t>
  </si>
  <si>
    <t>TCK-002506</t>
  </si>
  <si>
    <t>TCK-003907</t>
  </si>
  <si>
    <t>TCK-003453</t>
  </si>
  <si>
    <t>TCK-005384</t>
  </si>
  <si>
    <t>TCK-002991</t>
  </si>
  <si>
    <t>TCK-003792</t>
  </si>
  <si>
    <t>TCK-005320</t>
  </si>
  <si>
    <t>TCK-001145</t>
  </si>
  <si>
    <t>TCK-000125</t>
  </si>
  <si>
    <t>TCK-003484</t>
  </si>
  <si>
    <t>TCK-004346</t>
  </si>
  <si>
    <t>TCK-002995</t>
  </si>
  <si>
    <t>TCK-003967</t>
  </si>
  <si>
    <t>TCK-004633</t>
  </si>
  <si>
    <t>TCK-005039</t>
  </si>
  <si>
    <t>TCK-003375</t>
  </si>
  <si>
    <t>TCK-005947</t>
  </si>
  <si>
    <t>TCK-002916</t>
  </si>
  <si>
    <t>TCK-000086</t>
  </si>
  <si>
    <t>TCK-005888</t>
  </si>
  <si>
    <t>TCK-002422</t>
  </si>
  <si>
    <t>TCK-001381</t>
  </si>
  <si>
    <t>TCK-005078</t>
  </si>
  <si>
    <t>TCK-005462</t>
  </si>
  <si>
    <t>TCK-002759</t>
  </si>
  <si>
    <t>TCK-001043</t>
  </si>
  <si>
    <t>TCK-003180</t>
  </si>
  <si>
    <t>TCK-004039</t>
  </si>
  <si>
    <t>TCK-003973</t>
  </si>
  <si>
    <t>TCK-000079</t>
  </si>
  <si>
    <t>TCK-002065</t>
  </si>
  <si>
    <t>TCK-002941</t>
  </si>
  <si>
    <t>TCK-003063</t>
  </si>
  <si>
    <t>TCK-003297</t>
  </si>
  <si>
    <t>TCK-002736</t>
  </si>
  <si>
    <t>TCK-002930</t>
  </si>
  <si>
    <t>TCK-004372</t>
  </si>
  <si>
    <t>TCK-002649</t>
  </si>
  <si>
    <t>TCK-002972</t>
  </si>
  <si>
    <t>TCK-001056</t>
  </si>
  <si>
    <t>TCK-000340</t>
  </si>
  <si>
    <t>TCK-001799</t>
  </si>
  <si>
    <t>TCK-002145</t>
  </si>
  <si>
    <t>TCK-004001</t>
  </si>
  <si>
    <t>TCK-002258</t>
  </si>
  <si>
    <t>TCK-004627</t>
  </si>
  <si>
    <t>TCK-005620</t>
  </si>
  <si>
    <t>TCK-000724</t>
  </si>
  <si>
    <t>TCK-001955</t>
  </si>
  <si>
    <t>TCK-003943</t>
  </si>
  <si>
    <t>TCK-000004</t>
  </si>
  <si>
    <t>TCK-000502</t>
  </si>
  <si>
    <t>TCK-003073</t>
  </si>
  <si>
    <t>TCK-001808</t>
  </si>
  <si>
    <t>TCK-000311</t>
  </si>
  <si>
    <t>TCK-002685</t>
  </si>
  <si>
    <t>TCK-001228</t>
  </si>
  <si>
    <t>TCK-003450</t>
  </si>
  <si>
    <t>TCK-004443</t>
  </si>
  <si>
    <t>TCK-004664</t>
  </si>
  <si>
    <t>TCK-002387</t>
  </si>
  <si>
    <t>TCK-000609</t>
  </si>
  <si>
    <t>TCK-003812</t>
  </si>
  <si>
    <t>TCK-001593</t>
  </si>
  <si>
    <t>TCK-004797</t>
  </si>
  <si>
    <t>TCK-003714</t>
  </si>
  <si>
    <t>TCK-001946</t>
  </si>
  <si>
    <t>TCK-004425</t>
  </si>
  <si>
    <t>TCK-003046</t>
  </si>
  <si>
    <t>TCK-001050</t>
  </si>
  <si>
    <t>TCK-005584</t>
  </si>
  <si>
    <t>TCK-000348</t>
  </si>
  <si>
    <t>TCK-001997</t>
  </si>
  <si>
    <t>TCK-000104</t>
  </si>
  <si>
    <t>TCK-005774</t>
  </si>
  <si>
    <t>TCK-003775</t>
  </si>
  <si>
    <t>TCK-001280</t>
  </si>
  <si>
    <t>TCK-005869</t>
  </si>
  <si>
    <t>TCK-003172</t>
  </si>
  <si>
    <t>TCK-000775</t>
  </si>
  <si>
    <t>TCK-002983</t>
  </si>
  <si>
    <t>TCK-001259</t>
  </si>
  <si>
    <t>TCK-004223</t>
  </si>
  <si>
    <t>TCK-005285</t>
  </si>
  <si>
    <t>TCK-002382</t>
  </si>
  <si>
    <t>TCK-004944</t>
  </si>
  <si>
    <t>TCK-002154</t>
  </si>
  <si>
    <t>TCK-003365</t>
  </si>
  <si>
    <t>TCK-004125</t>
  </si>
  <si>
    <t>TCK-000816</t>
  </si>
  <si>
    <t>TCK-000118</t>
  </si>
  <si>
    <t>TCK-003182</t>
  </si>
  <si>
    <t>TCK-005138</t>
  </si>
  <si>
    <t>TCK-003983</t>
  </si>
  <si>
    <t>TCK-002445</t>
  </si>
  <si>
    <t>TCK-003095</t>
  </si>
  <si>
    <t>TCK-005589</t>
  </si>
  <si>
    <t>TCK-004218</t>
  </si>
  <si>
    <t>TCK-005819</t>
  </si>
  <si>
    <t>TCK-000945</t>
  </si>
  <si>
    <t>TCK-001159</t>
  </si>
  <si>
    <t>TCK-002291</t>
  </si>
  <si>
    <t>TCK-000585</t>
  </si>
  <si>
    <t>TCK-003588</t>
  </si>
  <si>
    <t>TCK-003249</t>
  </si>
  <si>
    <t>TCK-002540</t>
  </si>
  <si>
    <t>TCK-004137</t>
  </si>
  <si>
    <t>TCK-002966</t>
  </si>
  <si>
    <t>TCK-002278</t>
  </si>
  <si>
    <t>TCK-003363</t>
  </si>
  <si>
    <t>TCK-003668</t>
  </si>
  <si>
    <t>TCK-002113</t>
  </si>
  <si>
    <t>TCK-003390</t>
  </si>
  <si>
    <t>TCK-002597</t>
  </si>
  <si>
    <t>TCK-002889</t>
  </si>
  <si>
    <t>TCK-002673</t>
  </si>
  <si>
    <t>TCK-003831</t>
  </si>
  <si>
    <t>TCK-001967</t>
  </si>
  <si>
    <t>TCK-004488</t>
  </si>
  <si>
    <t>TCK-002758</t>
  </si>
  <si>
    <t>TCK-003393</t>
  </si>
  <si>
    <t>TCK-001199</t>
  </si>
  <si>
    <t>TCK-000253</t>
  </si>
  <si>
    <t>TCK-002669</t>
  </si>
  <si>
    <t>TCK-002458</t>
  </si>
  <si>
    <t>TCK-005737</t>
  </si>
  <si>
    <t>TCK-005810</t>
  </si>
  <si>
    <t>TCK-002617</t>
  </si>
  <si>
    <t>TCK-000514</t>
  </si>
  <si>
    <t>TCK-005192</t>
  </si>
  <si>
    <t>TCK-001501</t>
  </si>
  <si>
    <t>TCK-000257</t>
  </si>
  <si>
    <t>TCK-003725</t>
  </si>
  <si>
    <t>TCK-003674</t>
  </si>
  <si>
    <t>TCK-004545</t>
  </si>
  <si>
    <t>TCK-002468</t>
  </si>
  <si>
    <t>TCK-003042</t>
  </si>
  <si>
    <t>TCK-003622</t>
  </si>
  <si>
    <t>TCK-003519</t>
  </si>
  <si>
    <t>TCK-005914</t>
  </si>
  <si>
    <t>TCK-005896</t>
  </si>
  <si>
    <t>TCK-005303</t>
  </si>
  <si>
    <t>TCK-000552</t>
  </si>
  <si>
    <t>TCK-004033</t>
  </si>
  <si>
    <t>TCK-005350</t>
  </si>
  <si>
    <t>TCK-002038</t>
  </si>
  <si>
    <t>TCK-000400</t>
  </si>
  <si>
    <t>TCK-005147</t>
  </si>
  <si>
    <t>TCK-003922</t>
  </si>
  <si>
    <t>TCK-002172</t>
  </si>
  <si>
    <t>TCK-003621</t>
  </si>
  <si>
    <t>TCK-003634</t>
  </si>
  <si>
    <t>TCK-005792</t>
  </si>
  <si>
    <t>TCK-002427</t>
  </si>
  <si>
    <t>TCK-001265</t>
  </si>
  <si>
    <t>TCK-004826</t>
  </si>
  <si>
    <t>TCK-003001</t>
  </si>
  <si>
    <t>TCK-001925</t>
  </si>
  <si>
    <t>TCK-004938</t>
  </si>
  <si>
    <t>TCK-005800</t>
  </si>
  <si>
    <t>TCK-000297</t>
  </si>
  <si>
    <t>TCK-004697</t>
  </si>
  <si>
    <t>TCK-004160</t>
  </si>
  <si>
    <t>TCK-001569</t>
  </si>
  <si>
    <t>TCK-001223</t>
  </si>
  <si>
    <t>TCK-005415</t>
  </si>
  <si>
    <t>TCK-000857</t>
  </si>
  <si>
    <t>TCK-003326</t>
  </si>
  <si>
    <t>TCK-004225</t>
  </si>
  <si>
    <t>TCK-004000</t>
  </si>
  <si>
    <t>TCK-001731</t>
  </si>
  <si>
    <t>TCK-002643</t>
  </si>
  <si>
    <t>TCK-002689</t>
  </si>
  <si>
    <t>TCK-005433</t>
  </si>
  <si>
    <t>TCK-005679</t>
  </si>
  <si>
    <t>TCK-001653</t>
  </si>
  <si>
    <t>TCK-005020</t>
  </si>
  <si>
    <t>TCK-004572</t>
  </si>
  <si>
    <t>TCK-001151</t>
  </si>
  <si>
    <t>TCK-000838</t>
  </si>
  <si>
    <t>TCK-000893</t>
  </si>
  <si>
    <t>TCK-005754</t>
  </si>
  <si>
    <t>TCK-000089</t>
  </si>
  <si>
    <t>TCK-003783</t>
  </si>
  <si>
    <t>TCK-005540</t>
  </si>
  <si>
    <t>TCK-004659</t>
  </si>
  <si>
    <t>TCK-004027</t>
  </si>
  <si>
    <t>TCK-004717</t>
  </si>
  <si>
    <t>TCK-004455</t>
  </si>
  <si>
    <t>TCK-001655</t>
  </si>
  <si>
    <t>TCK-005760</t>
  </si>
  <si>
    <t>TCK-001545</t>
  </si>
  <si>
    <t>TCK-001572</t>
  </si>
  <si>
    <t>TCK-004568</t>
  </si>
  <si>
    <t>TCK-000541</t>
  </si>
  <si>
    <t>TCK-002195</t>
  </si>
  <si>
    <t>TCK-001337</t>
  </si>
  <si>
    <t>TCK-002173</t>
  </si>
  <si>
    <t>TCK-000889</t>
  </si>
  <si>
    <t>TCK-002030</t>
  </si>
  <si>
    <t>TCK-003814</t>
  </si>
  <si>
    <t>TCK-000460</t>
  </si>
  <si>
    <t>TCK-002215</t>
  </si>
  <si>
    <t>TCK-004459</t>
  </si>
  <si>
    <t>TCK-003828</t>
  </si>
  <si>
    <t>TCK-000662</t>
  </si>
  <si>
    <t>TCK-002399</t>
  </si>
  <si>
    <t>TCK-003454</t>
  </si>
  <si>
    <t>TCK-001463</t>
  </si>
  <si>
    <t>TCK-002114</t>
  </si>
  <si>
    <t>TCK-002994</t>
  </si>
  <si>
    <t>TCK-002502</t>
  </si>
  <si>
    <t>TCK-004790</t>
  </si>
  <si>
    <t>TCK-004950</t>
  </si>
  <si>
    <t>TCK-003216</t>
  </si>
  <si>
    <t>TCK-004340</t>
  </si>
  <si>
    <t>TCK-000701</t>
  </si>
  <si>
    <t>TCK-001349</t>
  </si>
  <si>
    <t>TCK-002553</t>
  </si>
  <si>
    <t>TCK-001962</t>
  </si>
  <si>
    <t>TCK-002202</t>
  </si>
  <si>
    <t>TCK-001875</t>
  </si>
  <si>
    <t>TCK-002397</t>
  </si>
  <si>
    <t>TCK-001812</t>
  </si>
  <si>
    <t>TCK-000815</t>
  </si>
  <si>
    <t>TCK-000823</t>
  </si>
  <si>
    <t>TCK-004061</t>
  </si>
  <si>
    <t>TCK-005308</t>
  </si>
  <si>
    <t>TCK-001533</t>
  </si>
  <si>
    <t>TCK-003929</t>
  </si>
  <si>
    <t>TCK-003919</t>
  </si>
  <si>
    <t>TCK-001111</t>
  </si>
  <si>
    <t>TCK-004594</t>
  </si>
  <si>
    <t>TCK-004360</t>
  </si>
  <si>
    <t>TCK-001595</t>
  </si>
  <si>
    <t>TCK-004422</t>
  </si>
  <si>
    <t>TCK-003718</t>
  </si>
  <si>
    <t>TCK-002878</t>
  </si>
  <si>
    <t>TCK-001792</t>
  </si>
  <si>
    <t>TCK-003531</t>
  </si>
  <si>
    <t>TCK-001216</t>
  </si>
  <si>
    <t>TCK-004532</t>
  </si>
  <si>
    <t>TCK-004744</t>
  </si>
  <si>
    <t>TCK-001061</t>
  </si>
  <si>
    <t>TCK-001829</t>
  </si>
  <si>
    <t>TCK-003834</t>
  </si>
  <si>
    <t>TCK-002888</t>
  </si>
  <si>
    <t>TCK-003615</t>
  </si>
  <si>
    <t>TCK-001510</t>
  </si>
  <si>
    <t>TCK-003368</t>
  </si>
  <si>
    <t>TCK-002457</t>
  </si>
  <si>
    <t>TCK-005037</t>
  </si>
  <si>
    <t>TCK-005023</t>
  </si>
  <si>
    <t>TCK-003648</t>
  </si>
  <si>
    <t>TCK-003086</t>
  </si>
  <si>
    <t>TCK-004978</t>
  </si>
  <si>
    <t>TCK-000846</t>
  </si>
  <si>
    <t>TCK-005873</t>
  </si>
  <si>
    <t>TCK-005655</t>
  </si>
  <si>
    <t>TCK-003223</t>
  </si>
  <si>
    <t>TCK-001142</t>
  </si>
  <si>
    <t>TCK-005322</t>
  </si>
  <si>
    <t>TCK-003523</t>
  </si>
  <si>
    <t>TCK-000665</t>
  </si>
  <si>
    <t>TCK-005420</t>
  </si>
  <si>
    <t>TCK-005667</t>
  </si>
  <si>
    <t>TCK-002400</t>
  </si>
  <si>
    <t>TCK-002743</t>
  </si>
  <si>
    <t>TCK-003708</t>
  </si>
  <si>
    <t>TCK-002999</t>
  </si>
  <si>
    <t>TCK-001942</t>
  </si>
  <si>
    <t>TCK-001911</t>
  </si>
  <si>
    <t>TCK-003308</t>
  </si>
  <si>
    <t>TCK-004544</t>
  </si>
  <si>
    <t>TCK-000236</t>
  </si>
  <si>
    <t>TCK-003082</t>
  </si>
  <si>
    <t>TCK-002729</t>
  </si>
  <si>
    <t>TCK-004951</t>
  </si>
  <si>
    <t>TCK-002629</t>
  </si>
  <si>
    <t>TCK-003876</t>
  </si>
  <si>
    <t>TCK-004586</t>
  </si>
  <si>
    <t>TCK-000605</t>
  </si>
  <si>
    <t>TCK-003084</t>
  </si>
  <si>
    <t>TCK-000066</t>
  </si>
  <si>
    <t>TCK-003851</t>
  </si>
  <si>
    <t>TCK-002130</t>
  </si>
  <si>
    <t>TCK-002313</t>
  </si>
  <si>
    <t>TCK-001516</t>
  </si>
  <si>
    <t>TCK-002078</t>
  </si>
  <si>
    <t>TCK-000006</t>
  </si>
  <si>
    <t>TCK-005906</t>
  </si>
  <si>
    <t>TCK-002132</t>
  </si>
  <si>
    <t>TCK-002943</t>
  </si>
  <si>
    <t>TCK-004751</t>
  </si>
  <si>
    <t>TCK-005967</t>
  </si>
  <si>
    <t>TCK-004774</t>
  </si>
  <si>
    <t>TCK-005950</t>
  </si>
  <si>
    <t>TCK-000156</t>
  </si>
  <si>
    <t>TCK-000429</t>
  </si>
  <si>
    <t>TCK-004270</t>
  </si>
  <si>
    <t>TCK-003678</t>
  </si>
  <si>
    <t>TCK-000473</t>
  </si>
  <si>
    <t>TCK-005030</t>
  </si>
  <si>
    <t>TCK-000362</t>
  </si>
  <si>
    <t>TCK-002747</t>
  </si>
  <si>
    <t>TCK-005019</t>
  </si>
  <si>
    <t>TCK-004429</t>
  </si>
  <si>
    <t>TCK-003114</t>
  </si>
  <si>
    <t>TCK-004886</t>
  </si>
  <si>
    <t>TCK-000268</t>
  </si>
  <si>
    <t>TCK-000437</t>
  </si>
  <si>
    <t>TCK-005684</t>
  </si>
  <si>
    <t>TCK-000302</t>
  </si>
  <si>
    <t>TCK-005942</t>
  </si>
  <si>
    <t>TCK-001425</t>
  </si>
  <si>
    <t>TCK-004899</t>
  </si>
  <si>
    <t>TCK-005168</t>
  </si>
  <si>
    <t>TCK-002117</t>
  </si>
  <si>
    <t>TCK-002565</t>
  </si>
  <si>
    <t>TCK-002229</t>
  </si>
  <si>
    <t>TCK-004971</t>
  </si>
  <si>
    <t>TCK-001178</t>
  </si>
  <si>
    <t>TCK-002731</t>
  </si>
  <si>
    <t>TCK-004399</t>
  </si>
  <si>
    <t>TCK-004092</t>
  </si>
  <si>
    <t>TCK-000157</t>
  </si>
  <si>
    <t>TCK-003015</t>
  </si>
  <si>
    <t>TCK-002531</t>
  </si>
  <si>
    <t>TCK-003479</t>
  </si>
  <si>
    <t>TCK-003660</t>
  </si>
  <si>
    <t>TCK-005541</t>
  </si>
  <si>
    <t>TCK-005514</t>
  </si>
  <si>
    <t>TCK-000411</t>
  </si>
  <si>
    <t>TCK-000975</t>
  </si>
  <si>
    <t>TCK-004541</t>
  </si>
  <si>
    <t>TCK-000981</t>
  </si>
  <si>
    <t>TCK-004239</t>
  </si>
  <si>
    <t>TCK-002508</t>
  </si>
  <si>
    <t>TCK-001608</t>
  </si>
  <si>
    <t>TCK-001983</t>
  </si>
  <si>
    <t>TCK-004166</t>
  </si>
  <si>
    <t>TCK-005063</t>
  </si>
  <si>
    <t>TCK-002152</t>
  </si>
  <si>
    <t>TCK-002944</t>
  </si>
  <si>
    <t>TCK-002871</t>
  </si>
  <si>
    <t>TCK-005417</t>
  </si>
  <si>
    <t>TCK-003068</t>
  </si>
  <si>
    <t>TCK-004624</t>
  </si>
  <si>
    <t>TCK-004989</t>
  </si>
  <si>
    <t>TCK-003257</t>
  </si>
  <si>
    <t>TCK-000413</t>
  </si>
  <si>
    <t>TCK-000653</t>
  </si>
  <si>
    <t>TCK-005467</t>
  </si>
  <si>
    <t>TCK-004489</t>
  </si>
  <si>
    <t>TCK-000341</t>
  </si>
  <si>
    <t>TCK-001688</t>
  </si>
  <si>
    <t>TCK-003693</t>
  </si>
  <si>
    <t>TCK-003647</t>
  </si>
  <si>
    <t>TCK-004481</t>
  </si>
  <si>
    <t>TCK-004708</t>
  </si>
  <si>
    <t>TCK-002990</t>
  </si>
  <si>
    <t>TCK-000540</t>
  </si>
  <si>
    <t>TCK-004720</t>
  </si>
  <si>
    <t>TCK-002644</t>
  </si>
  <si>
    <t>TCK-003457</t>
  </si>
  <si>
    <t>TCK-005744</t>
  </si>
  <si>
    <t>TCK-000426</t>
  </si>
  <si>
    <t>TCK-005680</t>
  </si>
  <si>
    <t>TCK-000017</t>
  </si>
  <si>
    <t>TCK-003777</t>
  </si>
  <si>
    <t>TCK-001194</t>
  </si>
  <si>
    <t>TCK-000444</t>
  </si>
  <si>
    <t>TCK-004226</t>
  </si>
  <si>
    <t>TCK-001306</t>
  </si>
  <si>
    <t>TCK-001683</t>
  </si>
  <si>
    <t>TCK-000754</t>
  </si>
  <si>
    <t>TCK-004511</t>
  </si>
  <si>
    <t>TCK-003051</t>
  </si>
  <si>
    <t>TCK-002934</t>
  </si>
  <si>
    <t>TCK-004454</t>
  </si>
  <si>
    <t>TCK-004564</t>
  </si>
  <si>
    <t>TCK-002268</t>
  </si>
  <si>
    <t>TCK-004612</t>
  </si>
  <si>
    <t>TCK-005890</t>
  </si>
  <si>
    <t>TCK-002319</t>
  </si>
  <si>
    <t>TCK-001836</t>
  </si>
  <si>
    <t>TCK-003204</t>
  </si>
  <si>
    <t>TCK-004829</t>
  </si>
  <si>
    <t>TCK-001729</t>
  </si>
  <si>
    <t>TCK-001673</t>
  </si>
  <si>
    <t>TCK-000587</t>
  </si>
  <si>
    <t>TCK-003169</t>
  </si>
  <si>
    <t>TCK-000363</t>
  </si>
  <si>
    <t>TCK-004992</t>
  </si>
  <si>
    <t>TCK-005448</t>
  </si>
  <si>
    <t>TCK-002443</t>
  </si>
  <si>
    <t>TCK-005972</t>
  </si>
  <si>
    <t>TCK-003059</t>
  </si>
  <si>
    <t>TCK-004735</t>
  </si>
  <si>
    <t>TCK-003926</t>
  </si>
  <si>
    <t>TCK-004390</t>
  </si>
  <si>
    <t>TCK-001001</t>
  </si>
  <si>
    <t>TCK-005302</t>
  </si>
  <si>
    <t>TCK-001321</t>
  </si>
  <si>
    <t>TCK-002282</t>
  </si>
  <si>
    <t>TCK-001076</t>
  </si>
  <si>
    <t>TCK-004685</t>
  </si>
  <si>
    <t>TCK-001412</t>
  </si>
  <si>
    <t>TCK-000213</t>
  </si>
  <si>
    <t>TCK-000132</t>
  </si>
  <si>
    <t>TCK-003726</t>
  </si>
  <si>
    <t>TCK-001780</t>
  </si>
  <si>
    <t>TCK-002378</t>
  </si>
  <si>
    <t>TCK-005068</t>
  </si>
  <si>
    <t>TCK-001786</t>
  </si>
  <si>
    <t>TCK-003141</t>
  </si>
  <si>
    <t>TCK-001563</t>
  </si>
  <si>
    <t>TCK-001157</t>
  </si>
  <si>
    <t>TCK-004584</t>
  </si>
  <si>
    <t>TCK-000192</t>
  </si>
  <si>
    <t>TCK-002778</t>
  </si>
  <si>
    <t>TCK-000338</t>
  </si>
  <si>
    <t>TCK-003124</t>
  </si>
  <si>
    <t>TCK-001489</t>
  </si>
  <si>
    <t>TCK-002491</t>
  </si>
  <si>
    <t>TCK-000080</t>
  </si>
  <si>
    <t>TCK-005674</t>
  </si>
  <si>
    <t>TCK-000559</t>
  </si>
  <si>
    <t>TCK-003336</t>
  </si>
  <si>
    <t>TCK-003849</t>
  </si>
  <si>
    <t>TCK-003776</t>
  </si>
  <si>
    <t>TCK-005479</t>
  </si>
  <si>
    <t>TCK-002227</t>
  </si>
  <si>
    <t>TCK-001318</t>
  </si>
  <si>
    <t>TCK-005179</t>
  </si>
  <si>
    <t>TCK-003690</t>
  </si>
  <si>
    <t>TCK-002230</t>
  </si>
  <si>
    <t>TCK-003040</t>
  </si>
  <si>
    <t>TCK-005529</t>
  </si>
  <si>
    <t>TCK-002481</t>
  </si>
  <si>
    <t>TCK-005718</t>
  </si>
  <si>
    <t>TCK-001904</t>
  </si>
  <si>
    <t>TCK-001525</t>
  </si>
  <si>
    <t>TCK-001779</t>
  </si>
  <si>
    <t>TCK-004361</t>
  </si>
  <si>
    <t>TCK-004043</t>
  </si>
  <si>
    <t>TCK-002352</t>
  </si>
  <si>
    <t>TCK-002067</t>
  </si>
  <si>
    <t>TCK-005931</t>
  </si>
  <si>
    <t>TCK-003550</t>
  </si>
  <si>
    <t>TCK-003840</t>
  </si>
  <si>
    <t>TCK-003723</t>
  </si>
  <si>
    <t>TCK-003286</t>
  </si>
  <si>
    <t>TCK-001987</t>
  </si>
  <si>
    <t>TCK-005077</t>
  </si>
  <si>
    <t>TCK-000392</t>
  </si>
  <si>
    <t>TCK-000973</t>
  </si>
  <si>
    <t>TCK-000657</t>
  </si>
  <si>
    <t>TCK-000084</t>
  </si>
  <si>
    <t>TCK-001575</t>
  </si>
  <si>
    <t>TCK-001386</t>
  </si>
  <si>
    <t>TCK-003429</t>
  </si>
  <si>
    <t>TCK-003164</t>
  </si>
  <si>
    <t>TCK-005662</t>
  </si>
  <si>
    <t>TCK-003314</t>
  </si>
  <si>
    <t>TCK-000074</t>
  </si>
  <si>
    <t>TCK-003302</t>
  </si>
  <si>
    <t>TCK-003104</t>
  </si>
  <si>
    <t>TCK-005496</t>
  </si>
  <si>
    <t>TCK-002063</t>
  </si>
  <si>
    <t>TCK-003466</t>
  </si>
  <si>
    <t>TCK-004726</t>
  </si>
  <si>
    <t>TCK-000083</t>
  </si>
  <si>
    <t>TCK-004479</t>
  </si>
  <si>
    <t>TCK-000976</t>
  </si>
  <si>
    <t>TCK-002201</t>
  </si>
  <si>
    <t>TCK-004490</t>
  </si>
  <si>
    <t>TCK-003449</t>
  </si>
  <si>
    <t>TCK-005971</t>
  </si>
  <si>
    <t>TCK-001716</t>
  </si>
  <si>
    <t>TCK-001511</t>
  </si>
  <si>
    <t>TCK-002665</t>
  </si>
  <si>
    <t>TCK-004165</t>
  </si>
  <si>
    <t>TCK-000964</t>
  </si>
  <si>
    <t>TCK-002112</t>
  </si>
  <si>
    <t>TCK-004894</t>
  </si>
  <si>
    <t>TCK-000574</t>
  </si>
  <si>
    <t>TCK-005506</t>
  </si>
  <si>
    <t>TCK-000447</t>
  </si>
  <si>
    <t>TCK-002947</t>
  </si>
  <si>
    <t>TCK-005898</t>
  </si>
  <si>
    <t>TCK-004256</t>
  </si>
  <si>
    <t>TCK-005278</t>
  </si>
  <si>
    <t>TCK-004090</t>
  </si>
  <si>
    <t>TCK-001041</t>
  </si>
  <si>
    <t>TCK-005291</t>
  </si>
  <si>
    <t>TCK-005329</t>
  </si>
  <si>
    <t>TCK-002933</t>
  </si>
  <si>
    <t>TCK-000417</t>
  </si>
  <si>
    <t>TCK-002115</t>
  </si>
  <si>
    <t>TCK-001761</t>
  </si>
  <si>
    <t>TCK-002762</t>
  </si>
  <si>
    <t>TCK-000891</t>
  </si>
  <si>
    <t>TCK-005475</t>
  </si>
  <si>
    <t>TCK-001513</t>
  </si>
  <si>
    <t>TCK-002766</t>
  </si>
  <si>
    <t>TCK-003504</t>
  </si>
  <si>
    <t>TCK-005053</t>
  </si>
  <si>
    <t>TCK-000283</t>
  </si>
  <si>
    <t>TCK-004882</t>
  </si>
  <si>
    <t>TCK-000544</t>
  </si>
  <si>
    <t>TCK-002062</t>
  </si>
  <si>
    <t>TCK-003750</t>
  </si>
  <si>
    <t>TCK-003979</t>
  </si>
  <si>
    <t>TCK-004908</t>
  </si>
  <si>
    <t>TCK-004509</t>
  </si>
  <si>
    <t>TCK-005572</t>
  </si>
  <si>
    <t>TCK-004083</t>
  </si>
  <si>
    <t>TCK-003277</t>
  </si>
  <si>
    <t>TCK-003151</t>
  </si>
  <si>
    <t>TCK-005657</t>
  </si>
  <si>
    <t>TCK-004714</t>
  </si>
  <si>
    <t>TCK-001518</t>
  </si>
  <si>
    <t>TCK-003883</t>
  </si>
  <si>
    <t>TCK-000224</t>
  </si>
  <si>
    <t>TCK-004266</t>
  </si>
  <si>
    <t>TCK-004313</t>
  </si>
  <si>
    <t>TCK-002095</t>
  </si>
  <si>
    <t>TCK-005394</t>
  </si>
  <si>
    <t>TCK-001886</t>
  </si>
  <si>
    <t>TCK-002835</t>
  </si>
  <si>
    <t>TCK-004645</t>
  </si>
  <si>
    <t>TCK-001943</t>
  </si>
  <si>
    <t>TCK-000441</t>
  </si>
  <si>
    <t>TCK-004902</t>
  </si>
  <si>
    <t>TCK-004383</t>
  </si>
  <si>
    <t>TCK-003662</t>
  </si>
  <si>
    <t>TCK-002058</t>
  </si>
  <si>
    <t>TCK-004547</t>
  </si>
  <si>
    <t>TCK-003411</t>
  </si>
  <si>
    <t>TCK-004920</t>
  </si>
  <si>
    <t>TCK-002133</t>
  </si>
  <si>
    <t>TCK-002799</t>
  </si>
  <si>
    <t>TCK-004755</t>
  </si>
  <si>
    <t>TCK-001781</t>
  </si>
  <si>
    <t>TCK-005248</t>
  </si>
  <si>
    <t>TCK-005375</t>
  </si>
  <si>
    <t>TCK-004910</t>
  </si>
  <si>
    <t>TCK-004212</t>
  </si>
  <si>
    <t>TCK-003409</t>
  </si>
  <si>
    <t>TCK-005940</t>
  </si>
  <si>
    <t>TCK-004952</t>
  </si>
  <si>
    <t>TCK-003332</t>
  </si>
  <si>
    <t>TCK-003737</t>
  </si>
  <si>
    <t>TCK-005220</t>
  </si>
  <si>
    <t>TCK-002187</t>
  </si>
  <si>
    <t>TCK-000764</t>
  </si>
  <si>
    <t>TCK-003639</t>
  </si>
  <si>
    <t>TCK-000336</t>
  </si>
  <si>
    <t>TCK-003916</t>
  </si>
  <si>
    <t>TCK-004810</t>
  </si>
  <si>
    <t>TCK-002704</t>
  </si>
  <si>
    <t>TCK-005132</t>
  </si>
  <si>
    <t>TCK-004036</t>
  </si>
  <si>
    <t>TCK-000593</t>
  </si>
  <si>
    <t>TCK-001801</t>
  </si>
  <si>
    <t>TCK-004333</t>
  </si>
  <si>
    <t>TCK-004322</t>
  </si>
  <si>
    <t>TCK-003350</t>
  </si>
  <si>
    <t>TCK-000370</t>
  </si>
  <si>
    <t>TCK-000312</t>
  </si>
  <si>
    <t>TCK-003553</t>
  </si>
  <si>
    <t>TCK-004098</t>
  </si>
  <si>
    <t>TCK-003557</t>
  </si>
  <si>
    <t>TCK-004194</t>
  </si>
  <si>
    <t>TCK-002985</t>
  </si>
  <si>
    <t>TCK-001640</t>
  </si>
  <si>
    <t>TCK-000860</t>
  </si>
  <si>
    <t>TCK-003422</t>
  </si>
  <si>
    <t>TCK-002779</t>
  </si>
  <si>
    <t>TCK-005137</t>
  </si>
  <si>
    <t>TCK-001503</t>
  </si>
  <si>
    <t>TCK-001672</t>
  </si>
  <si>
    <t>TCK-001176</t>
  </si>
  <si>
    <t>TCK-003117</t>
  </si>
  <si>
    <t>TCK-001649</t>
  </si>
  <si>
    <t>TCK-005114</t>
  </si>
  <si>
    <t>TCK-004862</t>
  </si>
  <si>
    <t>TCK-004077</t>
  </si>
  <si>
    <t>TCK-005094</t>
  </si>
  <si>
    <t>TCK-003999</t>
  </si>
  <si>
    <t>TCK-003681</t>
  </si>
  <si>
    <t>TCK-003121</t>
  </si>
  <si>
    <t>TCK-004788</t>
  </si>
  <si>
    <t>TCK-002613</t>
  </si>
  <si>
    <t>TCK-005843</t>
  </si>
  <si>
    <t>TCK-000194</t>
  </si>
  <si>
    <t>TCK-002619</t>
  </si>
  <si>
    <t>TCK-004690</t>
  </si>
  <si>
    <t>TCK-005964</t>
  </si>
  <si>
    <t>TCK-005954</t>
  </si>
  <si>
    <t>TCK-004917</t>
  </si>
  <si>
    <t>TCK-003329</t>
  </si>
  <si>
    <t>TCK-003556</t>
  </si>
  <si>
    <t>TCK-002973</t>
  </si>
  <si>
    <t>TCK-004042</t>
  </si>
  <si>
    <t>TCK-002831</t>
  </si>
  <si>
    <t>TCK-005501</t>
  </si>
  <si>
    <t>TCK-000320</t>
  </si>
  <si>
    <t>TCK-002564</t>
  </si>
  <si>
    <t>TCK-003459</t>
  </si>
  <si>
    <t>TCK-005699</t>
  </si>
  <si>
    <t>TCK-003867</t>
  </si>
  <si>
    <t>TCK-004620</t>
  </si>
  <si>
    <t>TCK-004956</t>
  </si>
  <si>
    <t>TCK-004206</t>
  </si>
  <si>
    <t>TCK-000136</t>
  </si>
  <si>
    <t>TCK-005126</t>
  </si>
  <si>
    <t>TCK-001651</t>
  </si>
  <si>
    <t>TCK-004518</t>
  </si>
  <si>
    <t>TCK-003317</t>
  </si>
  <si>
    <t>TCK-005893</t>
  </si>
  <si>
    <t>TCK-005806</t>
  </si>
  <si>
    <t>TCK-000356</t>
  </si>
  <si>
    <t>TCK-004560</t>
  </si>
  <si>
    <t>TCK-005436</t>
  </si>
  <si>
    <t>TCK-001077</t>
  </si>
  <si>
    <t>TCK-005193</t>
  </si>
  <si>
    <t>TCK-005992</t>
  </si>
  <si>
    <t>TCK-003920</t>
  </si>
  <si>
    <t>TCK-002110</t>
  </si>
  <si>
    <t>TCK-004492</t>
  </si>
  <si>
    <t>TCK-003278</t>
  </si>
  <si>
    <t>TCK-003710</t>
  </si>
  <si>
    <t>TCK-004093</t>
  </si>
  <si>
    <t>TCK-000613</t>
  </si>
  <si>
    <t>TCK-001222</t>
  </si>
  <si>
    <t>TCK-004534</t>
  </si>
  <si>
    <t>TCK-001898</t>
  </si>
  <si>
    <t>TCK-005631</t>
  </si>
  <si>
    <t>TCK-000488</t>
  </si>
  <si>
    <t>TCK-002664</t>
  </si>
  <si>
    <t>TCK-003077</t>
  </si>
  <si>
    <t>TCK-004220</t>
  </si>
  <si>
    <t>TCK-002948</t>
  </si>
  <si>
    <t>TCK-003035</t>
  </si>
  <si>
    <t>TCK-003194</t>
  </si>
  <si>
    <t>TCK-005534</t>
  </si>
  <si>
    <t>TCK-003606</t>
  </si>
  <si>
    <t>TCK-004721</t>
  </si>
  <si>
    <t>TCK-004183</t>
  </si>
  <si>
    <t>TCK-000330</t>
  </si>
  <si>
    <t>TCK-000824</t>
  </si>
  <si>
    <t>TCK-005268</t>
  </si>
  <si>
    <t>TCK-000065</t>
  </si>
  <si>
    <t>TCK-002639</t>
  </si>
  <si>
    <t>TCK-000773</t>
  </si>
  <si>
    <t>TCK-004240</t>
  </si>
  <si>
    <t>TCK-000366</t>
  </si>
  <si>
    <t>TCK-000617</t>
  </si>
  <si>
    <t>TCK-001108</t>
  </si>
  <si>
    <t>TCK-003241</t>
  </si>
  <si>
    <t>TCK-000354</t>
  </si>
  <si>
    <t>TCK-000679</t>
  </si>
  <si>
    <t>TCK-004405</t>
  </si>
  <si>
    <t>TCK-000876</t>
  </si>
  <si>
    <t>TCK-002296</t>
  </si>
  <si>
    <t>TCK-000670</t>
  </si>
  <si>
    <t>TCK-004108</t>
  </si>
  <si>
    <t>TCK-002017</t>
  </si>
  <si>
    <t>TCK-001956</t>
  </si>
  <si>
    <t>TCK-003944</t>
  </si>
  <si>
    <t>TCK-002484</t>
  </si>
  <si>
    <t>TCK-000401</t>
  </si>
  <si>
    <t>TCK-004409</t>
  </si>
  <si>
    <t>TCK-004540</t>
  </si>
  <si>
    <t>TCK-000614</t>
  </si>
  <si>
    <t>TCK-001814</t>
  </si>
  <si>
    <t>TCK-001474</t>
  </si>
  <si>
    <t>TCK-004439</t>
  </si>
  <si>
    <t>TCK-002822</t>
  </si>
  <si>
    <t>TCK-004371</t>
  </si>
  <si>
    <t>TCK-001818</t>
  </si>
  <si>
    <t>TCK-000505</t>
  </si>
  <si>
    <t>TCK-000228</t>
  </si>
  <si>
    <t>TCK-001756</t>
  </si>
  <si>
    <t>TCK-002832</t>
  </si>
  <si>
    <t>TCK-000246</t>
  </si>
  <si>
    <t>TCK-003295</t>
  </si>
  <si>
    <t>TCK-001636</t>
  </si>
  <si>
    <t>TCK-003724</t>
  </si>
  <si>
    <t>TCK-005154</t>
  </si>
  <si>
    <t>TCK-000375</t>
  </si>
  <si>
    <t>TCK-000120</t>
  </si>
  <si>
    <t>TCK-000041</t>
  </si>
  <si>
    <t>TCK-002794</t>
  </si>
  <si>
    <t>TCK-004866</t>
  </si>
  <si>
    <t>TCK-000664</t>
  </si>
  <si>
    <t>TCK-003997</t>
  </si>
  <si>
    <t>TCK-000647</t>
  </si>
  <si>
    <t>TCK-002579</t>
  </si>
  <si>
    <t>TCK-001436</t>
  </si>
  <si>
    <t>TCK-005558</t>
  </si>
  <si>
    <t>TCK-003796</t>
  </si>
  <si>
    <t>TCK-003744</t>
  </si>
  <si>
    <t>TCK-004094</t>
  </si>
  <si>
    <t>TCK-004606</t>
  </si>
  <si>
    <t>TCK-002795</t>
  </si>
  <si>
    <t>TCK-002066</t>
  </si>
  <si>
    <t>TCK-000756</t>
  </si>
  <si>
    <t>TCK-003370</t>
  </si>
  <si>
    <t>TCK-002951</t>
  </si>
  <si>
    <t>TCK-002343</t>
  </si>
  <si>
    <t>TCK-004676</t>
  </si>
  <si>
    <t>TCK-002028</t>
  </si>
  <si>
    <t>TCK-005343</t>
  </si>
  <si>
    <t>TCK-004614</t>
  </si>
  <si>
    <t>TCK-000803</t>
  </si>
  <si>
    <t>TCK-004458</t>
  </si>
  <si>
    <t>TCK-001388</t>
  </si>
  <si>
    <t>TCK-002555</t>
  </si>
  <si>
    <t>TCK-004010</t>
  </si>
  <si>
    <t>TCK-002037</t>
  </si>
  <si>
    <t>TCK-000395</t>
  </si>
  <si>
    <t>TCK-005424</t>
  </si>
  <si>
    <t>TCK-002800</t>
  </si>
  <si>
    <t>TCK-001819</t>
  </si>
  <si>
    <t>TCK-000379</t>
  </si>
  <si>
    <t>TCK-003270</t>
  </si>
  <si>
    <t>TCK-000794</t>
  </si>
  <si>
    <t>TCK-000606</t>
  </si>
  <si>
    <t>TCK-001959</t>
  </si>
  <si>
    <t>TCK-001515</t>
  </si>
  <si>
    <t>TCK-000290</t>
  </si>
  <si>
    <t>TCK-003537</t>
  </si>
  <si>
    <t>TCK-001272</t>
  </si>
  <si>
    <t>TCK-002615</t>
  </si>
  <si>
    <t>TCK-003028</t>
  </si>
  <si>
    <t>TCK-004765</t>
  </si>
  <si>
    <t>TCK-005685</t>
  </si>
  <si>
    <t>TCK-003598</t>
  </si>
  <si>
    <t>TCK-003378</t>
  </si>
  <si>
    <t>TCK-004378</t>
  </si>
  <si>
    <t>TCK-005710</t>
  </si>
  <si>
    <t>TCK-000298</t>
  </si>
  <si>
    <t>TCK-001918</t>
  </si>
  <si>
    <t>TCK-005909</t>
  </si>
  <si>
    <t>TCK-002974</t>
  </si>
  <si>
    <t>TCK-001320</t>
  </si>
  <si>
    <t>TCK-004407</t>
  </si>
  <si>
    <t>TCK-005665</t>
  </si>
  <si>
    <t>TCK-003789</t>
  </si>
  <si>
    <t>TCK-001382</t>
  </si>
  <si>
    <t>TCK-000704</t>
  </si>
  <si>
    <t>TCK-001635</t>
  </si>
  <si>
    <t>TCK-005780</t>
  </si>
  <si>
    <t>TCK-001550</t>
  </si>
  <si>
    <t>TCK-002678</t>
  </si>
  <si>
    <t>TCK-004737</t>
  </si>
  <si>
    <t>TCK-002773</t>
  </si>
  <si>
    <t>TCK-000483</t>
  </si>
  <si>
    <t>TCK-003971</t>
  </si>
  <si>
    <t>TCK-003010</t>
  </si>
  <si>
    <t>TCK-003687</t>
  </si>
  <si>
    <t>TCK-005813</t>
  </si>
  <si>
    <t>TCK-005735</t>
  </si>
  <si>
    <t>TCK-004655</t>
  </si>
  <si>
    <t>TCK-001008</t>
  </si>
  <si>
    <t>TCK-002603</t>
  </si>
  <si>
    <t>TCK-002670</t>
  </si>
  <si>
    <t>TCK-000911</t>
  </si>
  <si>
    <t>TCK-004470</t>
  </si>
  <si>
    <t>TCK-002686</t>
  </si>
  <si>
    <t>TCK-005353</t>
  </si>
  <si>
    <t>TCK-002050</t>
  </si>
  <si>
    <t>TCK-005632</t>
  </si>
  <si>
    <t>TCK-001256</t>
  </si>
  <si>
    <t>TCK-005747</t>
  </si>
  <si>
    <t>TCK-001798</t>
  </si>
  <si>
    <t>TCK-005550</t>
  </si>
  <si>
    <t>TCK-000225</t>
  </si>
  <si>
    <t>TCK-001368</t>
  </si>
  <si>
    <t>TCK-002921</t>
  </si>
  <si>
    <t>TCK-005360</t>
  </si>
  <si>
    <t>TCK-005707</t>
  </si>
  <si>
    <t>TCK-001105</t>
  </si>
  <si>
    <t>TCK-001854</t>
  </si>
  <si>
    <t>TCK-005923</t>
  </si>
  <si>
    <t>TCK-001284</t>
  </si>
  <si>
    <t>TCK-001931</t>
  </si>
  <si>
    <t>TCK-005714</t>
  </si>
  <si>
    <t>TCK-002880</t>
  </si>
  <si>
    <t>TCK-003754</t>
  </si>
  <si>
    <t>TCK-004408</t>
  </si>
  <si>
    <t>TCK-002545</t>
  </si>
  <si>
    <t>TCK-003044</t>
  </si>
  <si>
    <t>TCK-000082</t>
  </si>
  <si>
    <t>TCK-002899</t>
  </si>
  <si>
    <t>TCK-002605</t>
  </si>
  <si>
    <t>TCK-004789</t>
  </si>
  <si>
    <t>TCK-001674</t>
  </si>
  <si>
    <t>TCK-005106</t>
  </si>
  <si>
    <t>TCK-003566</t>
  </si>
  <si>
    <t>TCK-004392_DUP</t>
  </si>
  <si>
    <t>TCK-005243</t>
  </si>
  <si>
    <t>TCK-004972</t>
  </si>
  <si>
    <t>TCK-000107</t>
  </si>
  <si>
    <t>TCK-000599</t>
  </si>
  <si>
    <t>TCK-004553</t>
  </si>
  <si>
    <t>TCK-005574</t>
  </si>
  <si>
    <t>TCK-002341</t>
  </si>
  <si>
    <t>TCK-002474</t>
  </si>
  <si>
    <t>TCK-004332</t>
  </si>
  <si>
    <t>TCK-002250</t>
  </si>
  <si>
    <t>TCK-000360</t>
  </si>
  <si>
    <t>TCK-002444</t>
  </si>
  <si>
    <t>TCK-003645</t>
  </si>
  <si>
    <t>TCK-000170</t>
  </si>
  <si>
    <t>TCK-002091</t>
  </si>
  <si>
    <t>TCK-001927</t>
  </si>
  <si>
    <t>TCK-003387</t>
  </si>
  <si>
    <t>TCK-001224</t>
  </si>
  <si>
    <t>TCK-004806</t>
  </si>
  <si>
    <t>TCK-001870</t>
  </si>
  <si>
    <t>TCK-002266</t>
  </si>
  <si>
    <t>TCK-001860</t>
  </si>
  <si>
    <t>TCK-001193</t>
  </si>
  <si>
    <t>TCK-002547</t>
  </si>
  <si>
    <t>TCK-003131</t>
  </si>
  <si>
    <t>TCK-002512</t>
  </si>
  <si>
    <t>TCK-004319</t>
  </si>
  <si>
    <t>TCK-005224</t>
  </si>
  <si>
    <t>TCK-000867</t>
  </si>
  <si>
    <t>TCK-003925</t>
  </si>
  <si>
    <t>TCK-005513</t>
  </si>
  <si>
    <t>TCK-005771</t>
  </si>
  <si>
    <t>TCK-000342</t>
  </si>
  <si>
    <t>TCK-001144</t>
  </si>
  <si>
    <t>TCK-005933</t>
  </si>
  <si>
    <t>TCK-002244</t>
  </si>
  <si>
    <t>TCK-004696</t>
  </si>
  <si>
    <t>TCK-000291</t>
  </si>
  <si>
    <t>TCK-004995</t>
  </si>
  <si>
    <t>TCK-004990</t>
  </si>
  <si>
    <t>TCK-003790</t>
  </si>
  <si>
    <t>TCK-003364</t>
  </si>
  <si>
    <t>TCK-004772</t>
  </si>
  <si>
    <t>TCK-002981</t>
  </si>
  <si>
    <t>TCK-004839</t>
  </si>
  <si>
    <t>TCK-004431</t>
  </si>
  <si>
    <t>TCK-002077</t>
  </si>
  <si>
    <t>TCK-005373</t>
  </si>
  <si>
    <t>TCK-005027</t>
  </si>
  <si>
    <t>TCK-000601</t>
  </si>
  <si>
    <t>TCK-001787</t>
  </si>
  <si>
    <t>TCK-004786</t>
  </si>
  <si>
    <t>TCK-002623</t>
  </si>
  <si>
    <t>TCK-005983</t>
  </si>
  <si>
    <t>TCK-001332</t>
  </si>
  <si>
    <t>TCK-005227</t>
  </si>
  <si>
    <t>TCK-003654</t>
  </si>
  <si>
    <t>TCK-000394</t>
  </si>
  <si>
    <t>TCK-001920</t>
  </si>
  <si>
    <t>TCK-003782</t>
  </si>
  <si>
    <t>TCK-004069</t>
  </si>
  <si>
    <t>TCK-000766</t>
  </si>
  <si>
    <t>TCK-005960</t>
  </si>
  <si>
    <t>TCK-002680</t>
  </si>
  <si>
    <t>TCK-005454</t>
  </si>
  <si>
    <t>TCK-000689</t>
  </si>
  <si>
    <t>TCK-004208</t>
  </si>
  <si>
    <t>TCK-002158</t>
  </si>
  <si>
    <t>TCK-005140</t>
  </si>
  <si>
    <t>TCK-001403</t>
  </si>
  <si>
    <t>TCK-002829</t>
  </si>
  <si>
    <t>TCK-001551</t>
  </si>
  <si>
    <t>TCK-002161</t>
  </si>
  <si>
    <t>TCK-002462</t>
  </si>
  <si>
    <t>TCK-003272</t>
  </si>
  <si>
    <t>TCK-005269</t>
  </si>
  <si>
    <t>TCK-003905</t>
  </si>
  <si>
    <t>TCK-000205</t>
  </si>
  <si>
    <t>TCK-002349</t>
  </si>
  <si>
    <t>TCK-002721</t>
  </si>
  <si>
    <t>TCK-005207</t>
  </si>
  <si>
    <t>TCK-000700</t>
  </si>
  <si>
    <t>TCK-000011</t>
  </si>
  <si>
    <t>TCK-000887</t>
  </si>
  <si>
    <t>TCK-001723</t>
  </si>
  <si>
    <t>TCK-001480</t>
  </si>
  <si>
    <t>TCK-002556</t>
  </si>
  <si>
    <t>TCK-002902</t>
  </si>
  <si>
    <t>TCK-001952</t>
  </si>
  <si>
    <t>TCK-001338</t>
  </si>
  <si>
    <t>TCK-003721</t>
  </si>
  <si>
    <t>TCK-005803</t>
  </si>
  <si>
    <t>TCK-001612</t>
  </si>
  <si>
    <t>TCK-001481</t>
  </si>
  <si>
    <t>TCK-003728</t>
  </si>
  <si>
    <t>TCK-005668</t>
  </si>
  <si>
    <t>TCK-000458</t>
  </si>
  <si>
    <t>TCK-003930</t>
  </si>
  <si>
    <t>TCK-000013</t>
  </si>
  <si>
    <t>TCK-004764</t>
  </si>
  <si>
    <t>TCK-005145</t>
  </si>
  <si>
    <t>TCK-005411</t>
  </si>
  <si>
    <t>TCK-003100</t>
  </si>
  <si>
    <t>TCK-001553</t>
  </si>
  <si>
    <t>TCK-004279</t>
  </si>
  <si>
    <t>TCK-004267</t>
  </si>
  <si>
    <t>TCK-003569</t>
  </si>
  <si>
    <t>TCK-000793</t>
  </si>
  <si>
    <t>TCK-001184</t>
  </si>
  <si>
    <t>TCK-000907</t>
  </si>
  <si>
    <t>TCK-002431</t>
  </si>
  <si>
    <t>TCK-002786</t>
  </si>
  <si>
    <t>TCK-004386</t>
  </si>
  <si>
    <t>TCK-001894</t>
  </si>
  <si>
    <t>TCK-004343</t>
  </si>
  <si>
    <t>TCK-004754</t>
  </si>
  <si>
    <t>TCK-000489</t>
  </si>
  <si>
    <t>TCK-000745</t>
  </si>
  <si>
    <t>TCK-000433</t>
  </si>
  <si>
    <t>TCK-005630</t>
  </si>
  <si>
    <t>TCK-005105</t>
  </si>
  <si>
    <t>TCK-001580</t>
  </si>
  <si>
    <t>TCK-002757</t>
  </si>
  <si>
    <t>TCK-001665</t>
  </si>
  <si>
    <t>TCK-002347</t>
  </si>
  <si>
    <t>TCK-001775</t>
  </si>
  <si>
    <t>TCK-000508</t>
  </si>
  <si>
    <t>TCK-000765</t>
  </si>
  <si>
    <t>TCK-004441</t>
  </si>
  <si>
    <t>TCK-002875</t>
  </si>
  <si>
    <t>TCK-001771</t>
  </si>
  <si>
    <t>TCK-002735</t>
  </si>
  <si>
    <t>TCK-004821</t>
  </si>
  <si>
    <t>TCK-005151</t>
  </si>
  <si>
    <t>TCK-000422</t>
  </si>
  <si>
    <t>TCK-004576</t>
  </si>
  <si>
    <t>TCK-005598</t>
  </si>
  <si>
    <t>TCK-005731</t>
  </si>
  <si>
    <t>TCK-001289</t>
  </si>
  <si>
    <t>TCK-004851</t>
  </si>
  <si>
    <t>TCK-004321</t>
  </si>
  <si>
    <t>TCK-003650</t>
  </si>
  <si>
    <t>TCK-002573</t>
  </si>
  <si>
    <t>TCK-000904</t>
  </si>
  <si>
    <t>TCK-001312</t>
  </si>
  <si>
    <t>TCK-003119</t>
  </si>
  <si>
    <t>TCK-000804</t>
  </si>
  <si>
    <t>TCK-002827</t>
  </si>
  <si>
    <t>TCK-005266</t>
  </si>
  <si>
    <t>TCK-003394</t>
  </si>
  <si>
    <t>TCK-002527</t>
  </si>
  <si>
    <t>TCK-000344</t>
  </si>
  <si>
    <t>TCK-001331</t>
  </si>
  <si>
    <t>TCK-005878</t>
  </si>
  <si>
    <t>TCK-004410</t>
  </si>
  <si>
    <t>TCK-004170</t>
  </si>
  <si>
    <t>TCK-004456</t>
  </si>
  <si>
    <t>TCK-001941</t>
  </si>
  <si>
    <t>TCK-005313</t>
  </si>
  <si>
    <t>TCK-004762</t>
  </si>
  <si>
    <t>TCK-004641</t>
  </si>
  <si>
    <t>TCK-005082</t>
  </si>
  <si>
    <t>TCK-001577</t>
  </si>
  <si>
    <t>TCK-002192</t>
  </si>
  <si>
    <t>TCK-002102</t>
  </si>
  <si>
    <t>TCK-001086</t>
  </si>
  <si>
    <t>TCK-002470</t>
  </si>
  <si>
    <t>TCK-003328</t>
  </si>
  <si>
    <t>TCK-004064</t>
  </si>
  <si>
    <t>TCK-005762</t>
  </si>
  <si>
    <t>TCK-001123</t>
  </si>
  <si>
    <t>TCK-003490</t>
  </si>
  <si>
    <t>TCK-004832</t>
  </si>
  <si>
    <t>TCK-001805</t>
  </si>
  <si>
    <t>TCK-000012</t>
  </si>
  <si>
    <t>TCK-003805</t>
  </si>
  <si>
    <t>TCK-003616</t>
  </si>
  <si>
    <t>TCK-002281</t>
  </si>
  <si>
    <t>TCK-000146</t>
  </si>
  <si>
    <t>TCK-001044</t>
  </si>
  <si>
    <t>TCK-004065</t>
  </si>
  <si>
    <t>TCK-003586</t>
  </si>
  <si>
    <t>TCK-002412</t>
  </si>
  <si>
    <t>TCK-004937</t>
  </si>
  <si>
    <t>TCK-004615</t>
  </si>
  <si>
    <t>TCK-003719</t>
  </si>
  <si>
    <t>TCK-002738</t>
  </si>
  <si>
    <t>TCK-000774</t>
  </si>
  <si>
    <t>TCK-001912</t>
  </si>
  <si>
    <t>TCK-004581</t>
  </si>
  <si>
    <t>TCK-001288</t>
  </si>
  <si>
    <t>TCK-003232</t>
  </si>
  <si>
    <t>TCK-005382</t>
  </si>
  <si>
    <t>TCK-003291</t>
  </si>
  <si>
    <t>TCK-005331</t>
  </si>
  <si>
    <t>TCK-000950</t>
  </si>
  <si>
    <t>TCK-002998</t>
  </si>
  <si>
    <t>TCK-004499</t>
  </si>
  <si>
    <t>TCK-004445</t>
  </si>
  <si>
    <t>TCK-000634</t>
  </si>
  <si>
    <t>TCK-003089</t>
  </si>
  <si>
    <t>TCK-003209</t>
  </si>
  <si>
    <t>TCK-005956</t>
  </si>
  <si>
    <t>TCK-000714</t>
  </si>
  <si>
    <t>TCK-003760</t>
  </si>
  <si>
    <t>TCK-004285</t>
  </si>
  <si>
    <t>TCK-004968</t>
  </si>
  <si>
    <t>TCK-001590</t>
  </si>
  <si>
    <t>TCK-003998</t>
  </si>
  <si>
    <t>TCK-003087</t>
  </si>
  <si>
    <t>TCK-002340</t>
  </si>
  <si>
    <t>TCK-000908</t>
  </si>
  <si>
    <t>TCK-000572</t>
  </si>
  <si>
    <t>TCK-002363</t>
  </si>
  <si>
    <t>TCK-005069</t>
  </si>
  <si>
    <t>TCK-001834</t>
  </si>
  <si>
    <t>TCK-005988</t>
  </si>
  <si>
    <t>TCK-004054</t>
  </si>
  <si>
    <t>TCK-005927</t>
  </si>
  <si>
    <t>TCK-005368</t>
  </si>
  <si>
    <t>TCK-005911</t>
  </si>
  <si>
    <t>TCK-001841</t>
  </si>
  <si>
    <t>TCK-000163</t>
  </si>
  <si>
    <t>TCK-001751</t>
  </si>
  <si>
    <t>TCK-001644</t>
  </si>
  <si>
    <t>TCK-000101</t>
  </si>
  <si>
    <t>TCK-002269</t>
  </si>
  <si>
    <t>TCK-001810</t>
  </si>
  <si>
    <t>TCK-003933</t>
  </si>
  <si>
    <t>TCK-002483</t>
  </si>
  <si>
    <t>TCK-000409</t>
  </si>
  <si>
    <t>TCK-004353</t>
  </si>
  <si>
    <t>TCK-001347</t>
  </si>
  <si>
    <t>TCK-004358</t>
  </si>
  <si>
    <t>TCK-002451</t>
  </si>
  <si>
    <t>TCK-003143</t>
  </si>
  <si>
    <t>TCK-003488</t>
  </si>
  <si>
    <t>TCK-003641</t>
  </si>
  <si>
    <t>TCK-004140</t>
  </si>
  <si>
    <t>TCK-001081_DUP</t>
  </si>
  <si>
    <t>TCK-001452</t>
  </si>
  <si>
    <t>TCK-004236</t>
  </si>
  <si>
    <t>TCK-000856</t>
  </si>
  <si>
    <t>TCK-000249</t>
  </si>
  <si>
    <t>TCK-001850</t>
  </si>
  <si>
    <t>TCK-005560</t>
  </si>
  <si>
    <t>TCK-003486</t>
  </si>
  <si>
    <t>TCK-004935</t>
  </si>
  <si>
    <t>TCK-004946</t>
  </si>
  <si>
    <t>TCK-002424</t>
  </si>
  <si>
    <t>TCK-001079</t>
  </si>
  <si>
    <t>TCK-004303</t>
  </si>
  <si>
    <t>TCK-003197</t>
  </si>
  <si>
    <t>TCK-000562</t>
  </si>
  <si>
    <t>TCK-005733</t>
  </si>
  <si>
    <t>TCK-005973</t>
  </si>
  <si>
    <t>TCK-001506</t>
  </si>
  <si>
    <t>TCK-003248</t>
  </si>
  <si>
    <t>TCK-004505</t>
  </si>
  <si>
    <t>TCK-000963</t>
  </si>
  <si>
    <t>TCK-000284</t>
  </si>
  <si>
    <t>TCK-005009</t>
  </si>
  <si>
    <t>TCK-002756</t>
  </si>
  <si>
    <t>TCK-000709</t>
  </si>
  <si>
    <t>TCK-005892</t>
  </si>
  <si>
    <t>TCK-005280</t>
  </si>
  <si>
    <t>TCK-003508</t>
  </si>
  <si>
    <t>TCK-001776</t>
  </si>
  <si>
    <t>TCK-000760</t>
  </si>
  <si>
    <t>TCK-004674</t>
  </si>
  <si>
    <t>TCK-004596</t>
  </si>
  <si>
    <t>TCK-004969</t>
  </si>
  <si>
    <t>TCK-004604</t>
  </si>
  <si>
    <t>TCK-004133</t>
  </si>
  <si>
    <t>TCK-004123</t>
  </si>
  <si>
    <t>TCK-000897</t>
  </si>
  <si>
    <t>TCK-004182</t>
  </si>
  <si>
    <t>TCK-005539</t>
  </si>
  <si>
    <t>TCK-000805</t>
  </si>
  <si>
    <t>TCK-002882</t>
  </si>
  <si>
    <t>TCK-004486</t>
  </si>
  <si>
    <t>TCK-004732</t>
  </si>
  <si>
    <t>TCK-001739</t>
  </si>
  <si>
    <t>TCK-002128</t>
  </si>
  <si>
    <t>TCK-000148</t>
  </si>
  <si>
    <t>TCK-005919</t>
  </si>
  <si>
    <t>TCK-001701</t>
  </si>
  <si>
    <t>TCK-001094</t>
  </si>
  <si>
    <t>TCK-000928</t>
  </si>
  <si>
    <t>TCK-003761</t>
  </si>
  <si>
    <t>TCK-000528</t>
  </si>
  <si>
    <t>TCK-001263</t>
  </si>
  <si>
    <t>TCK-005951</t>
  </si>
  <si>
    <t>TCK-002949</t>
  </si>
  <si>
    <t>TCK-002614</t>
  </si>
  <si>
    <t>TCK-004420</t>
  </si>
  <si>
    <t>TCK-005267</t>
  </si>
  <si>
    <t>TCK-000382</t>
  </si>
  <si>
    <t>TCK-000486</t>
  </si>
  <si>
    <t>TCK-005276</t>
  </si>
  <si>
    <t>TCK-002329</t>
  </si>
  <si>
    <t>TCK-000597</t>
  </si>
  <si>
    <t>TCK-001414</t>
  </si>
  <si>
    <t>TCK-003685</t>
  </si>
  <si>
    <t>TCK-002627</t>
  </si>
  <si>
    <t>TCK-000580</t>
  </si>
  <si>
    <t>TCK-002656</t>
  </si>
  <si>
    <t>TCK-005100</t>
  </si>
  <si>
    <t>TCK-003778</t>
  </si>
  <si>
    <t>TCK-005583</t>
  </si>
  <si>
    <t>TCK-003795</t>
  </si>
  <si>
    <t>TCK-002469</t>
  </si>
  <si>
    <t>TCK-005522</t>
  </si>
  <si>
    <t>TCK-001830</t>
  </si>
  <si>
    <t>TCK-005110</t>
  </si>
  <si>
    <t>TCK-002722</t>
  </si>
  <si>
    <t>TCK-002193</t>
  </si>
  <si>
    <t>TCK-002138</t>
  </si>
  <si>
    <t>TCK-002569</t>
  </si>
  <si>
    <t>TCK-005337</t>
  </si>
  <si>
    <t>TCK-001982</t>
  </si>
  <si>
    <t>TCK-001437</t>
  </si>
  <si>
    <t>TCK-001179</t>
  </si>
  <si>
    <t>TCK-004761</t>
  </si>
  <si>
    <t>TCK-002969</t>
  </si>
  <si>
    <t>TCK-003729</t>
  </si>
  <si>
    <t>TCK-000931</t>
  </si>
  <si>
    <t>TCK-003886</t>
  </si>
  <si>
    <t>TCK-003846</t>
  </si>
  <si>
    <t>TCK-005778</t>
  </si>
  <si>
    <t>TCK-005564</t>
  </si>
  <si>
    <t>TCK-005150</t>
  </si>
  <si>
    <t>TCK-000328</t>
  </si>
  <si>
    <t>TCK-005367</t>
  </si>
  <si>
    <t>TCK-001937</t>
  </si>
  <si>
    <t>TCK-005664</t>
  </si>
  <si>
    <t>TCK-005761</t>
  </si>
  <si>
    <t>TCK-001666</t>
  </si>
  <si>
    <t>TCK-002256</t>
  </si>
  <si>
    <t>TCK-005851</t>
  </si>
  <si>
    <t>TCK-003793</t>
  </si>
  <si>
    <t>TCK-000115</t>
  </si>
  <si>
    <t>TCK-005741</t>
  </si>
  <si>
    <t>TCK-004398</t>
  </si>
  <si>
    <t>TCK-001539</t>
  </si>
  <si>
    <t>TCK-004380</t>
  </si>
  <si>
    <t>TCK-003575</t>
  </si>
  <si>
    <t>TCK-003927</t>
  </si>
  <si>
    <t>TCK-001323</t>
  </si>
  <si>
    <t>TCK-003889</t>
  </si>
  <si>
    <t>TCK-001509</t>
  </si>
  <si>
    <t>TCK-002069</t>
  </si>
  <si>
    <t>TCK-004073</t>
  </si>
  <si>
    <t>TCK-001865</t>
  </si>
  <si>
    <t>TCK-000869</t>
  </si>
  <si>
    <t>TCK-005721</t>
  </si>
  <si>
    <t>TCK-002170</t>
  </si>
  <si>
    <t>TCK-002248</t>
  </si>
  <si>
    <t>TCK-000221</t>
  </si>
  <si>
    <t>TCK-003000</t>
  </si>
  <si>
    <t>TCK-004808</t>
  </si>
  <si>
    <t>TCK-005134</t>
  </si>
  <si>
    <t>TCK-003213</t>
  </si>
  <si>
    <t>TCK-005272</t>
  </si>
  <si>
    <t>TCK-000305</t>
  </si>
  <si>
    <t>TCK-003098</t>
  </si>
  <si>
    <t>TCK-005219</t>
  </si>
  <si>
    <t>TCK-001852</t>
  </si>
  <si>
    <t>TCK-005348</t>
  </si>
  <si>
    <t>TCK-001097</t>
  </si>
  <si>
    <t>TCK-004556</t>
  </si>
  <si>
    <t>TCK-000047</t>
  </si>
  <si>
    <t>TCK-003212</t>
  </si>
  <si>
    <t>TCK-001146</t>
  </si>
  <si>
    <t>TCK-002534</t>
  </si>
  <si>
    <t>TCK-003771</t>
  </si>
  <si>
    <t>TCK-000718</t>
  </si>
  <si>
    <t>TCK-001495</t>
  </si>
  <si>
    <t>TCK-003111</t>
  </si>
  <si>
    <t>TCK-000596</t>
  </si>
  <si>
    <t>TCK-000590</t>
  </si>
  <si>
    <t>TCK-000523</t>
  </si>
  <si>
    <t>TCK-002751</t>
  </si>
  <si>
    <t>TCK-001589</t>
  </si>
  <si>
    <t>TCK-005231</t>
  </si>
  <si>
    <t>TCK-004175</t>
  </si>
  <si>
    <t>TCK-003247</t>
  </si>
  <si>
    <t>TCK-001069</t>
  </si>
  <si>
    <t>TCK-005669</t>
  </si>
  <si>
    <t>TCK-004413</t>
  </si>
  <si>
    <t>TCK-001532</t>
  </si>
  <si>
    <t>TCK-002781</t>
  </si>
  <si>
    <t>TCK-005646</t>
  </si>
  <si>
    <t>TCK-004668</t>
  </si>
  <si>
    <t>TCK-003804</t>
  </si>
  <si>
    <t>TCK-005652</t>
  </si>
  <si>
    <t>TCK-004403</t>
  </si>
  <si>
    <t>TCK-005622</t>
  </si>
  <si>
    <t>TCK-000416</t>
  </si>
  <si>
    <t>TCK-005677</t>
  </si>
  <si>
    <t>TCK-003753</t>
  </si>
  <si>
    <t>TCK-001684</t>
  </si>
  <si>
    <t>TCK-000431</t>
  </si>
  <si>
    <t>TCK-002591</t>
  </si>
  <si>
    <t>TCK-003023</t>
  </si>
  <si>
    <t>TCK-002586</t>
  </si>
  <si>
    <t>TCK-003014</t>
  </si>
  <si>
    <t>TCK-001958</t>
  </si>
  <si>
    <t>TCK-004590</t>
  </si>
  <si>
    <t>TCK-003982</t>
  </si>
  <si>
    <t>TCK-003758</t>
  </si>
  <si>
    <t>TCK-004287</t>
  </si>
  <si>
    <t>TCK-003006</t>
  </si>
  <si>
    <t>TCK-002292</t>
  </si>
  <si>
    <t>TCK-004233</t>
  </si>
  <si>
    <t>TCK-004476</t>
  </si>
  <si>
    <t>TCK-005542</t>
  </si>
  <si>
    <t>TCK-002337</t>
  </si>
  <si>
    <t>TCK-002942</t>
  </si>
  <si>
    <t>TCK-003571</t>
  </si>
  <si>
    <t>TCK-001476</t>
  </si>
  <si>
    <t>TCK-005130</t>
  </si>
  <si>
    <t>TCK-003661</t>
  </si>
  <si>
    <t>TCK-000003</t>
  </si>
  <si>
    <t>TCK-002098</t>
  </si>
  <si>
    <t>TCK-002616</t>
  </si>
  <si>
    <t>TCK-001068</t>
  </si>
  <si>
    <t>TCK-000181</t>
  </si>
  <si>
    <t>TCK-004243</t>
  </si>
  <si>
    <t>TCK-004089</t>
  </si>
  <si>
    <t>TCK-000402</t>
  </si>
  <si>
    <t>TCK-002908</t>
  </si>
  <si>
    <t>TCK-001450</t>
  </si>
  <si>
    <t>TCK-000173</t>
  </si>
  <si>
    <t>TCK-005052</t>
  </si>
  <si>
    <t>TCK-005327</t>
  </si>
  <si>
    <t>TCK-003857</t>
  </si>
  <si>
    <t>TCK-002524</t>
  </si>
  <si>
    <t>TCK-001917</t>
  </si>
  <si>
    <t>TCK-002536</t>
  </si>
  <si>
    <t>TCK-002691</t>
  </si>
  <si>
    <t>TCK-003300</t>
  </si>
  <si>
    <t>TCK-002029</t>
  </si>
  <si>
    <t>TCK-000776</t>
  </si>
  <si>
    <t>TCK-005001</t>
  </si>
  <si>
    <t>TCK-001005</t>
  </si>
  <si>
    <t>TCK-000412</t>
  </si>
  <si>
    <t>TCK-000259</t>
  </si>
  <si>
    <t>TCK-000901</t>
  </si>
  <si>
    <t>TCK-003837</t>
  </si>
  <si>
    <t>TCK-004059</t>
  </si>
  <si>
    <t>TCK-001416</t>
  </si>
  <si>
    <t>TCK-000792</t>
  </si>
  <si>
    <t>TCK-000531</t>
  </si>
  <si>
    <t>TCK-000898</t>
  </si>
  <si>
    <t>TCK-002355</t>
  </si>
  <si>
    <t>TCK-003290</t>
  </si>
  <si>
    <t>TCK-005419</t>
  </si>
  <si>
    <t>TCK-005605</t>
  </si>
  <si>
    <t>TCK-000966</t>
  </si>
  <si>
    <t>TCK-002515</t>
  </si>
  <si>
    <t>TCK-000834</t>
  </si>
  <si>
    <t>TCK-001434</t>
  </si>
  <si>
    <t>TCK-002599</t>
  </si>
  <si>
    <t>TCK-003884</t>
  </si>
  <si>
    <t>TCK-000781</t>
  </si>
  <si>
    <t>TCK-004739</t>
  </si>
  <si>
    <t>TCK-001180</t>
  </si>
  <si>
    <t>TCK-001109</t>
  </si>
  <si>
    <t>TCK-002852</t>
  </si>
  <si>
    <t>TCK-000133</t>
  </si>
  <si>
    <t>TCK-002477</t>
  </si>
  <si>
    <t>TCK-002868</t>
  </si>
  <si>
    <t>TCK-002320</t>
  </si>
  <si>
    <t>TCK-002881</t>
  </si>
  <si>
    <t>TCK-004150</t>
  </si>
  <si>
    <t>TCK-000620</t>
  </si>
  <si>
    <t>TCK-001016</t>
  </si>
  <si>
    <t>TCK-004381</t>
  </si>
  <si>
    <t>TCK-003501</t>
  </si>
  <si>
    <t>TCK-001552</t>
  </si>
  <si>
    <t>TCK-001297</t>
  </si>
  <si>
    <t>TCK-003734</t>
  </si>
  <si>
    <t>TCK-001953</t>
  </si>
  <si>
    <t>TCK-002828</t>
  </si>
  <si>
    <t>TCK-005596</t>
  </si>
  <si>
    <t>TCK-003066</t>
  </si>
  <si>
    <t>TCK-000475</t>
  </si>
  <si>
    <t>TCK-003050</t>
  </si>
  <si>
    <t>TCK-002298</t>
  </si>
  <si>
    <t>TCK-005648</t>
  </si>
  <si>
    <t>TCK-002682</t>
  </si>
  <si>
    <t>TCK-005059</t>
  </si>
  <si>
    <t>TCK-005458</t>
  </si>
  <si>
    <t>TCK-002907</t>
  </si>
  <si>
    <t>TCK-003443</t>
  </si>
  <si>
    <t>TCK-002802</t>
  </si>
  <si>
    <t>TCK-003897</t>
  </si>
  <si>
    <t>TCK-001458</t>
  </si>
  <si>
    <t>TCK-000770</t>
  </si>
  <si>
    <t>TCK-003548</t>
  </si>
  <si>
    <t>TCK-001991</t>
  </si>
  <si>
    <t>TCK-004034</t>
  </si>
  <si>
    <t>TCK-001303</t>
  </si>
  <si>
    <t>TCK-003307</t>
  </si>
  <si>
    <t>TCK-005127</t>
  </si>
  <si>
    <t>TCK-001134</t>
  </si>
  <si>
    <t>TCK-004101</t>
  </si>
  <si>
    <t>TCK-000439</t>
  </si>
  <si>
    <t>TCK-000250</t>
  </si>
  <si>
    <t>TCK-003191</t>
  </si>
  <si>
    <t>TCK-005524</t>
  </si>
  <si>
    <t>TCK-004198</t>
  </si>
  <si>
    <t>TCK-002485</t>
  </si>
  <si>
    <t>TCK-000610</t>
  </si>
  <si>
    <t>TCK-004632</t>
  </si>
  <si>
    <t>TCK-001310</t>
  </si>
  <si>
    <t>TCK-001155</t>
  </si>
  <si>
    <t>TCK-005449</t>
  </si>
  <si>
    <t>TCK-000735</t>
  </si>
  <si>
    <t>TCK-002968</t>
  </si>
  <si>
    <t>TCK-004047</t>
  </si>
  <si>
    <t>TCK-001522</t>
  </si>
  <si>
    <t>TCK-003614</t>
  </si>
  <si>
    <t>TCK-005473</t>
  </si>
  <si>
    <t>TCK-003175</t>
  </si>
  <si>
    <t>TCK-003468</t>
  </si>
  <si>
    <t>TCK-004999</t>
  </si>
  <si>
    <t>TCK-005418</t>
  </si>
  <si>
    <t>TCK-004847</t>
  </si>
  <si>
    <t>TCK-002018</t>
  </si>
  <si>
    <t>TCK-000471</t>
  </si>
  <si>
    <t>TCK-002719</t>
  </si>
  <si>
    <t>TCK-001806</t>
  </si>
  <si>
    <t>TCK-003055</t>
  </si>
  <si>
    <t>TCK-003781</t>
  </si>
  <si>
    <t>TCK-003298</t>
  </si>
  <si>
    <t>TCK-000757</t>
  </si>
  <si>
    <t>TCK-002750</t>
  </si>
  <si>
    <t>TCK-000285</t>
  </si>
  <si>
    <t>TCK-004139</t>
  </si>
  <si>
    <t>TCK-005064</t>
  </si>
  <si>
    <t>TCK-003235</t>
  </si>
  <si>
    <t>TCK-000636</t>
  </si>
  <si>
    <t>TCK-001989</t>
  </si>
  <si>
    <t>TCK-000081</t>
  </si>
  <si>
    <t>TCK-002314</t>
  </si>
  <si>
    <t>TCK-005610</t>
  </si>
  <si>
    <t>TCK-004290</t>
  </si>
  <si>
    <t>TCK-005336</t>
  </si>
  <si>
    <t>TCK-000783</t>
  </si>
  <si>
    <t>TCK-005279</t>
  </si>
  <si>
    <t>TCK-000138</t>
  </si>
  <si>
    <t>TCK-005438</t>
  </si>
  <si>
    <t>TCK-000734</t>
  </si>
  <si>
    <t>TCK-002690</t>
  </si>
  <si>
    <t>TCK-000736</t>
  </si>
  <si>
    <t>TCK-002860</t>
  </si>
  <si>
    <t>TCK-002676</t>
  </si>
  <si>
    <t>TCK-003607</t>
  </si>
  <si>
    <t>TCK-005621</t>
  </si>
  <si>
    <t>TCK-005381</t>
  </si>
  <si>
    <t>TCK-005044</t>
  </si>
  <si>
    <t>TCK-001694</t>
  </si>
  <si>
    <t>TCK-002859</t>
  </si>
  <si>
    <t>TCK-005293</t>
  </si>
  <si>
    <t>TCK-001406</t>
  </si>
  <si>
    <t>TCK-001754</t>
  </si>
  <si>
    <t>TCK-000269</t>
  </si>
  <si>
    <t>TCK-005073</t>
  </si>
  <si>
    <t>TCK-004202</t>
  </si>
  <si>
    <t>TCK-005176</t>
  </si>
  <si>
    <t>TCK-000875</t>
  </si>
  <si>
    <t>TCK-002174</t>
  </si>
  <si>
    <t>TCK-003331</t>
  </si>
  <si>
    <t>TCK-002915</t>
  </si>
  <si>
    <t>TCK-004095</t>
  </si>
  <si>
    <t>TCK-001899</t>
  </si>
  <si>
    <t>TCK-001837</t>
  </si>
  <si>
    <t>TCK-001078</t>
  </si>
  <si>
    <t>TCK-002791</t>
  </si>
  <si>
    <t>TCK-003667</t>
  </si>
  <si>
    <t>TCK-003514</t>
  </si>
  <si>
    <t>TCK-005097</t>
  </si>
  <si>
    <t>TCK-000960</t>
  </si>
  <si>
    <t>TCK-005811</t>
  </si>
  <si>
    <t>TCK-002142</t>
  </si>
  <si>
    <t>TCK-004699</t>
  </si>
  <si>
    <t>TCK-001428</t>
  </si>
  <si>
    <t>TCK-004186</t>
  </si>
  <si>
    <t>TCK-004017</t>
  </si>
  <si>
    <t>TCK-000272</t>
  </si>
  <si>
    <t>TCK-004196</t>
  </si>
  <si>
    <t>TCK-004742</t>
  </si>
  <si>
    <t>TCK-004044</t>
  </si>
  <si>
    <t>TCK-001996</t>
  </si>
  <si>
    <t>TCK-001583</t>
  </si>
  <si>
    <t>TCK-002717</t>
  </si>
  <si>
    <t>TCK-005603</t>
  </si>
  <si>
    <t>TCK-004344</t>
  </si>
  <si>
    <t>TCK-000746</t>
  </si>
  <si>
    <t>TCK-001765</t>
  </si>
  <si>
    <t>TCK-004524</t>
  </si>
  <si>
    <t>TCK-005323</t>
  </si>
  <si>
    <t>TCK-000154</t>
  </si>
  <si>
    <t>TCK-002408</t>
  </si>
  <si>
    <t>TCK-004107</t>
  </si>
  <si>
    <t>TCK-002045</t>
  </si>
  <si>
    <t>TCK-000826</t>
  </si>
  <si>
    <t>TCK-001364</t>
  </si>
  <si>
    <t>TCK-005868</t>
  </si>
  <si>
    <t>TCK-005553</t>
  </si>
  <si>
    <t>TCK-000922</t>
  </si>
  <si>
    <t>TCK-004630</t>
  </si>
  <si>
    <t>TCK-005606</t>
  </si>
  <si>
    <t>TCK-003549</t>
  </si>
  <si>
    <t>TCK-001573</t>
  </si>
  <si>
    <t>TCK-004057</t>
  </si>
  <si>
    <t>TCK-000844</t>
  </si>
  <si>
    <t>TCK-004517</t>
  </si>
  <si>
    <t>TCK-002465</t>
  </si>
  <si>
    <t>TCK-003910</t>
  </si>
  <si>
    <t>TCK-004793</t>
  </si>
  <si>
    <t>TCK-000361</t>
  </si>
  <si>
    <t>TCK-000942</t>
  </si>
  <si>
    <t>TCK-000254</t>
  </si>
  <si>
    <t>TCK-001893</t>
  </si>
  <si>
    <t>TCK-004091</t>
  </si>
  <si>
    <t>TCK-000469</t>
  </si>
  <si>
    <t>TCK-003578</t>
  </si>
  <si>
    <t>TCK-004707</t>
  </si>
  <si>
    <t>TCK-003494</t>
  </si>
  <si>
    <t>TCK-001491</t>
  </si>
  <si>
    <t>TCK-003576</t>
  </si>
  <si>
    <t>TCK-001117</t>
  </si>
  <si>
    <t>TCK-004049</t>
  </si>
  <si>
    <t>TCK-001900</t>
  </si>
  <si>
    <t>TCK-003642</t>
  </si>
  <si>
    <t>TCK-003123</t>
  </si>
  <si>
    <t>TCK-005850</t>
  </si>
  <si>
    <t>TCK-005659</t>
  </si>
  <si>
    <t>TCK-001839</t>
  </si>
  <si>
    <t>TCK-001845</t>
  </si>
  <si>
    <t>TCK-002273</t>
  </si>
  <si>
    <t>TCK-001617</t>
  </si>
  <si>
    <t>TCK-003651</t>
  </si>
  <si>
    <t>TCK-001190</t>
  </si>
  <si>
    <t>TCK-000346</t>
  </si>
  <si>
    <t>TCK-001574</t>
  </si>
  <si>
    <t>TCK-000996</t>
  </si>
  <si>
    <t>TCK-005478</t>
  </si>
  <si>
    <t>TCK-004768</t>
  </si>
  <si>
    <t>TCK-005858</t>
  </si>
  <si>
    <t>TCK-003941</t>
  </si>
  <si>
    <t>TCK-002035</t>
  </si>
  <si>
    <t>TCK-002129</t>
  </si>
  <si>
    <t>TCK-003224</t>
  </si>
  <si>
    <t>TCK-001895</t>
  </si>
  <si>
    <t>TCK-005642</t>
  </si>
  <si>
    <t>TCK-001356</t>
  </si>
  <si>
    <t>TCK-001064</t>
  </si>
  <si>
    <t>TCK-005930</t>
  </si>
  <si>
    <t>TCK-003289</t>
  </si>
  <si>
    <t>TCK-003950</t>
  </si>
  <si>
    <t>TCK-005660</t>
  </si>
  <si>
    <t>TCK-002386</t>
  </si>
  <si>
    <t>TCK-000096</t>
  </si>
  <si>
    <t>TCK-001714</t>
  </si>
  <si>
    <t>TCK-002183</t>
  </si>
  <si>
    <t>TCK-004421</t>
  </si>
  <si>
    <t>TCK-004201</t>
  </si>
  <si>
    <t>TCK-001773</t>
  </si>
  <si>
    <t>TCK-002928</t>
  </si>
  <si>
    <t>TCK-000914</t>
  </si>
  <si>
    <t>TCK-001113</t>
  </si>
  <si>
    <t>TCK-002648</t>
  </si>
  <si>
    <t>TCK-003592</t>
  </si>
  <si>
    <t>TCK-004794</t>
  </si>
  <si>
    <t>TCK-001346</t>
  </si>
  <si>
    <t>TCK-005755</t>
  </si>
  <si>
    <t>TCK-002197</t>
  </si>
  <si>
    <t>TCK-004189</t>
  </si>
  <si>
    <t>TCK-003689</t>
  </si>
  <si>
    <t>TCK-005955</t>
  </si>
  <si>
    <t>TCK-000831</t>
  </si>
  <si>
    <t>TCK-004151</t>
  </si>
  <si>
    <t>TCK-003694</t>
  </si>
  <si>
    <t>TCK-002979</t>
  </si>
  <si>
    <t>TCK-002407</t>
  </si>
  <si>
    <t>TCK-005118</t>
  </si>
  <si>
    <t>TCK-002068</t>
  </si>
  <si>
    <t>TCK-000215</t>
  </si>
  <si>
    <t>TCK-005758</t>
  </si>
  <si>
    <t>TCK-001067</t>
  </si>
  <si>
    <t>TCK-005945</t>
  </si>
  <si>
    <t>TCK-005725</t>
  </si>
  <si>
    <t>TCK-005939</t>
  </si>
  <si>
    <t>TCK-002549</t>
  </si>
  <si>
    <t>TCK-005316</t>
  </si>
  <si>
    <t>TCK-005108</t>
  </si>
  <si>
    <t>TCK-002554</t>
  </si>
  <si>
    <t>TCK-002785</t>
  </si>
  <si>
    <t>TCK-003024</t>
  </si>
  <si>
    <t>TCK-000166</t>
  </si>
  <si>
    <t>TCK-000202</t>
  </si>
  <si>
    <t>TCK-004889</t>
  </si>
  <si>
    <t>TCK-004335</t>
  </si>
  <si>
    <t>TCK-000986</t>
  </si>
  <si>
    <t>TCK-004649</t>
  </si>
  <si>
    <t>TCK-002714</t>
  </si>
  <si>
    <t>TCK-001992</t>
  </si>
  <si>
    <t>TCK-000799</t>
  </si>
  <si>
    <t>TCK-005530</t>
  </si>
  <si>
    <t>TCK-005590</t>
  </si>
  <si>
    <t>TCK-003470</t>
  </si>
  <si>
    <t>TCK-001820</t>
  </si>
  <si>
    <t>TCK-001645</t>
  </si>
  <si>
    <t>TCK-001281</t>
  </si>
  <si>
    <t>TCK-001400</t>
  </si>
  <si>
    <t>TCK-002672</t>
  </si>
  <si>
    <t>TCK-002040</t>
  </si>
  <si>
    <t>TCK-000049</t>
  </si>
  <si>
    <t>TCK-001255</t>
  </si>
  <si>
    <t>TCK-005523</t>
  </si>
  <si>
    <t>TCK-005941</t>
  </si>
  <si>
    <t>TCK-003264</t>
  </si>
  <si>
    <t>TCK-000367</t>
  </si>
  <si>
    <t>TCK-002163</t>
  </si>
  <si>
    <t>TCK-004867</t>
  </si>
  <si>
    <t>TCK-001379</t>
  </si>
  <si>
    <t>TCK-002844</t>
  </si>
  <si>
    <t>TCK-002945</t>
  </si>
  <si>
    <t>TCK-003145</t>
  </si>
  <si>
    <t>TCK-003875</t>
  </si>
  <si>
    <t>TCK-003184</t>
  </si>
  <si>
    <t>TCK-005788</t>
  </si>
  <si>
    <t>TCK-005362</t>
  </si>
  <si>
    <t>TCK-004611</t>
  </si>
  <si>
    <t>TCK-001432</t>
  </si>
  <si>
    <t>TCK-002764</t>
  </si>
  <si>
    <t>TCK-001700</t>
  </si>
  <si>
    <t>TCK-005706</t>
  </si>
  <si>
    <t>TCK-004573</t>
  </si>
  <si>
    <t>TCK-003144</t>
  </si>
  <si>
    <t>TCK-003002</t>
  </si>
  <si>
    <t>TCK-002911</t>
  </si>
  <si>
    <t>TCK-000504</t>
  </si>
  <si>
    <t>TCK-001696</t>
  </si>
  <si>
    <t>TCK-004925</t>
  </si>
  <si>
    <t>TCK-002237</t>
  </si>
  <si>
    <t>TCK-004776</t>
  </si>
  <si>
    <t>TCK-000938</t>
  </si>
  <si>
    <t>TCK-005830</t>
  </si>
  <si>
    <t>TCK-005801</t>
  </si>
  <si>
    <t>TCK-003716</t>
  </si>
  <si>
    <t>TCK-001658</t>
  </si>
  <si>
    <t>TCK-004365</t>
  </si>
  <si>
    <t>TCK-002357</t>
  </si>
  <si>
    <t>TCK-003381</t>
  </si>
  <si>
    <t>TCK-001003</t>
  </si>
  <si>
    <t>TCK-001648</t>
  </si>
  <si>
    <t>TCK-000979</t>
  </si>
  <si>
    <t>TCK-002674</t>
  </si>
  <si>
    <t>TCK-004204</t>
  </si>
  <si>
    <t>TCK-003856</t>
  </si>
  <si>
    <t>TCK-005334</t>
  </si>
  <si>
    <t>TCK-003824</t>
  </si>
  <si>
    <t>TCK-005005</t>
  </si>
  <si>
    <t>TCK-004554</t>
  </si>
  <si>
    <t>TCK-003324</t>
  </si>
  <si>
    <t>TCK-002755</t>
  </si>
  <si>
    <t>TCK-000577</t>
  </si>
  <si>
    <t>TCK-003343</t>
  </si>
  <si>
    <t>TCK-002141</t>
  </si>
  <si>
    <t>TCK-000817</t>
  </si>
  <si>
    <t>TCK-004941</t>
  </si>
  <si>
    <t>TCK-004460</t>
  </si>
  <si>
    <t>TCK-002918</t>
  </si>
  <si>
    <t>TCK-000143</t>
  </si>
  <si>
    <t>TCK-002025</t>
  </si>
  <si>
    <t>TCK-002211</t>
  </si>
  <si>
    <t>TCK-000334</t>
  </si>
  <si>
    <t>TCK-000862</t>
  </si>
  <si>
    <t>TCK-004713</t>
  </si>
  <si>
    <t>TCK-003711</t>
  </si>
  <si>
    <t>TCK-003355</t>
  </si>
  <si>
    <t>TCK-000571</t>
  </si>
  <si>
    <t>TCK-004424</t>
  </si>
  <si>
    <t>TCK-001815</t>
  </si>
  <si>
    <t>TCK-001181</t>
  </si>
  <si>
    <t>TCK-002628</t>
  </si>
  <si>
    <t>TCK-001402</t>
  </si>
  <si>
    <t>TCK-001579</t>
  </si>
  <si>
    <t>TCK-002906</t>
  </si>
  <si>
    <t>TCK-003582</t>
  </si>
  <si>
    <t>TCK-000926</t>
  </si>
  <si>
    <t>TCK-000952</t>
  </si>
  <si>
    <t>TCK-005439</t>
  </si>
  <si>
    <t>TCK-003644</t>
  </si>
  <si>
    <t>TCK-000788</t>
  </si>
  <si>
    <t>TCK-004897</t>
  </si>
  <si>
    <t>TCK-004650</t>
  </si>
  <si>
    <t>TCK-003500</t>
  </si>
  <si>
    <t>TCK-004819</t>
  </si>
  <si>
    <t>TCK-005488</t>
  </si>
  <si>
    <t>TCK-000281</t>
  </si>
  <si>
    <t>TCK-002696</t>
  </si>
  <si>
    <t>TCK-003165</t>
  </si>
  <si>
    <t>TCK-002234</t>
  </si>
  <si>
    <t>TCK-001319</t>
  </si>
  <si>
    <t>TCK-003155</t>
  </si>
  <si>
    <t>TCK-000057</t>
  </si>
  <si>
    <t>TCK-003200</t>
  </si>
  <si>
    <t>TCK-000845</t>
  </si>
  <si>
    <t>TCK-002331</t>
  </si>
  <si>
    <t>TCK-000190</t>
  </si>
  <si>
    <t>TCK-001354</t>
  </si>
  <si>
    <t>TCK-002284</t>
  </si>
  <si>
    <t>TCK-005966</t>
  </si>
  <si>
    <t>TCK-003613</t>
  </si>
  <si>
    <t>TCK-001287</t>
  </si>
  <si>
    <t>TCK-000339</t>
  </si>
  <si>
    <t>TCK-001429</t>
  </si>
  <si>
    <t>TCK-005346</t>
  </si>
  <si>
    <t>TCK-000316</t>
  </si>
  <si>
    <t>TCK-004304</t>
  </si>
  <si>
    <t>TCK-001443</t>
  </si>
  <si>
    <t>TCK-003054</t>
  </si>
  <si>
    <t>TCK-002642</t>
  </si>
  <si>
    <t>TCK-002705</t>
  </si>
  <si>
    <t>TCK-001035</t>
  </si>
  <si>
    <t>TCK-003609</t>
  </si>
  <si>
    <t>TCK-005160</t>
  </si>
  <si>
    <t>TCK-002845</t>
  </si>
  <si>
    <t>TCK-002723</t>
  </si>
  <si>
    <t>TCK-004275</t>
  </si>
  <si>
    <t>TCK-002584</t>
  </si>
  <si>
    <t>TCK-004705</t>
  </si>
  <si>
    <t>TCK-000002</t>
  </si>
  <si>
    <t>TCK-002384</t>
  </si>
  <si>
    <t>TCK-003186</t>
  </si>
  <si>
    <t>TCK-004164</t>
  </si>
  <si>
    <t>TCK-001641</t>
  </si>
  <si>
    <t>TCK-001423</t>
  </si>
  <si>
    <t>TCK-000649</t>
  </si>
  <si>
    <t>TCK-002608</t>
  </si>
  <si>
    <t>TCK-005256</t>
  </si>
  <si>
    <t>TCK-004284</t>
  </si>
  <si>
    <t>TCK-003928</t>
  </si>
  <si>
    <t>TCK-001311</t>
  </si>
  <si>
    <t>TCK-001613</t>
  </si>
  <si>
    <t>TCK-005397</t>
  </si>
  <si>
    <t>TCK-002848</t>
  </si>
  <si>
    <t>TCK-005386</t>
  </si>
  <si>
    <t>TCK-003673</t>
  </si>
  <si>
    <t>TCK-002804</t>
  </si>
  <si>
    <t>TCK-001717</t>
  </si>
  <si>
    <t>TCK-004985</t>
  </si>
  <si>
    <t>TCK-002663</t>
  </si>
  <si>
    <t>TCK-002763</t>
  </si>
  <si>
    <t>TCK-000353</t>
  </si>
  <si>
    <t>TCK-004661</t>
  </si>
  <si>
    <t>TCK-004483</t>
  </si>
  <si>
    <t>TCK-002235</t>
  </si>
  <si>
    <t>TCK-003656</t>
  </si>
  <si>
    <t>TCK-004041</t>
  </si>
  <si>
    <t>TCK-005402</t>
  </si>
  <si>
    <t>TCK-002310</t>
  </si>
  <si>
    <t>TCK-000386</t>
  </si>
  <si>
    <t>TCK-002301</t>
  </si>
  <si>
    <t>TCK-005317</t>
  </si>
  <si>
    <t>TCK-004775</t>
  </si>
  <si>
    <t>TCK-000075</t>
  </si>
  <si>
    <t>TCK-004695</t>
  </si>
  <si>
    <t>TCK-000317</t>
  </si>
  <si>
    <t>TCK-001469</t>
  </si>
  <si>
    <t>TCK-001455</t>
  </si>
  <si>
    <t>TCK-001148</t>
  </si>
  <si>
    <t>TCK-003088</t>
  </si>
  <si>
    <t>TCK-004022</t>
  </si>
  <si>
    <t>TCK-001307</t>
  </si>
  <si>
    <t>TCK-003811</t>
  </si>
  <si>
    <t>TCK-003937</t>
  </si>
  <si>
    <t>TCK-000424</t>
  </si>
  <si>
    <t>TCK-002372</t>
  </si>
  <si>
    <t>TCK-003590</t>
  </si>
  <si>
    <t>TCK-005629</t>
  </si>
  <si>
    <t>TCK-001473</t>
  </si>
  <si>
    <t>TCK-002433</t>
  </si>
  <si>
    <t>TCK-002792</t>
  </si>
  <si>
    <t>TCK-000287</t>
  </si>
  <si>
    <t>TCK-004249</t>
  </si>
  <si>
    <t>TCK-002838</t>
  </si>
  <si>
    <t>TCK-001017</t>
  </si>
  <si>
    <t>TCK-004858</t>
  </si>
  <si>
    <t>TCK-004574</t>
  </si>
  <si>
    <t>TCK-003860</t>
  </si>
  <si>
    <t>TCK-000263</t>
  </si>
  <si>
    <t>TCK-000430</t>
  </si>
  <si>
    <t>TCK-001793</t>
  </si>
  <si>
    <t>TCK-004116</t>
  </si>
  <si>
    <t>TCK-005962</t>
  </si>
  <si>
    <t>TCK-005409</t>
  </si>
  <si>
    <t>TCK-000807</t>
  </si>
  <si>
    <t>TCK-002772</t>
  </si>
  <si>
    <t>TCK-002970</t>
  </si>
  <si>
    <t>TCK-003475</t>
  </si>
  <si>
    <t>TCK-002036</t>
  </si>
  <si>
    <t>TCK-000343</t>
  </si>
  <si>
    <t>TCK-004450</t>
  </si>
  <si>
    <t>TCK-003975</t>
  </si>
  <si>
    <t>TCK-002726</t>
  </si>
  <si>
    <t>TCK-004112</t>
  </si>
  <si>
    <t>TCK-005447</t>
  </si>
  <si>
    <t>TCK-000843</t>
  </si>
  <si>
    <t>TCK-005299</t>
  </si>
  <si>
    <t>TCK-000052</t>
  </si>
  <si>
    <t>TCK-004964</t>
  </si>
  <si>
    <t>TCK-005070</t>
  </si>
  <si>
    <t>TCK-003133</t>
  </si>
  <si>
    <t>TCK-003968</t>
  </si>
  <si>
    <t>TCK-003643</t>
  </si>
  <si>
    <t>TCK-000832</t>
  </si>
  <si>
    <t>TCK-001324</t>
  </si>
  <si>
    <t>TCK-000561</t>
  </si>
  <si>
    <t>TCK-001856</t>
  </si>
  <si>
    <t>TCK-005886</t>
  </si>
  <si>
    <t>TCK-003436</t>
  </si>
  <si>
    <t>TCK-001759</t>
  </si>
  <si>
    <t>TCK-001384</t>
  </si>
  <si>
    <t>TCK-003425</t>
  </si>
  <si>
    <t>TCK-000327</t>
  </si>
  <si>
    <t>TCK-004527</t>
  </si>
  <si>
    <t>TCK-000076</t>
  </si>
  <si>
    <t>TCK-000639</t>
  </si>
  <si>
    <t>TCK-005017</t>
  </si>
  <si>
    <t>TCK-004252</t>
  </si>
  <si>
    <t>TCK-003225</t>
  </si>
  <si>
    <t>TCK-002401</t>
  </si>
  <si>
    <t>TCK-005671</t>
  </si>
  <si>
    <t>TCK-002975</t>
  </si>
  <si>
    <t>TCK-003420</t>
  </si>
  <si>
    <t>TCK-000695</t>
  </si>
  <si>
    <t>TCK-000814</t>
  </si>
  <si>
    <t>TCK-003546</t>
  </si>
  <si>
    <t>TCK-003842</t>
  </si>
  <si>
    <t>TCK-002168</t>
  </si>
  <si>
    <t>TCK-004255</t>
  </si>
  <si>
    <t>TCK-000747</t>
  </si>
  <si>
    <t>TCK-004286</t>
  </si>
  <si>
    <t>TCK-003036</t>
  </si>
  <si>
    <t>TCK-000957</t>
  </si>
  <si>
    <t>TCK-005432</t>
  </si>
  <si>
    <t>TCK-000048</t>
  </si>
  <si>
    <t>TCK-001226</t>
  </si>
  <si>
    <t>TCK-002007</t>
  </si>
  <si>
    <t>TCK-003963</t>
  </si>
  <si>
    <t>TCK-004161</t>
  </si>
  <si>
    <t>TCK-000987</t>
  </si>
  <si>
    <t>TCK-000524</t>
  </si>
  <si>
    <t>TCK-000462</t>
  </si>
  <si>
    <t>TCK-003510</t>
  </si>
  <si>
    <t>TCK-003665</t>
  </si>
  <si>
    <t>TCK-001215</t>
  </si>
  <si>
    <t>TCK-001419</t>
  </si>
  <si>
    <t>TCK-005281</t>
  </si>
  <si>
    <t>TCK-004983</t>
  </si>
  <si>
    <t>TCK-004031</t>
  </si>
  <si>
    <t>TCK-004936</t>
  </si>
  <si>
    <t>TCK-004406</t>
  </si>
  <si>
    <t>TCK-004684</t>
  </si>
  <si>
    <t>TCK-000064</t>
  </si>
  <si>
    <t>TCK-002345</t>
  </si>
  <si>
    <t>TCK-004016</t>
  </si>
  <si>
    <t>TCK-003147</t>
  </si>
  <si>
    <t>TCK-000678</t>
  </si>
  <si>
    <t>TCK-002543</t>
  </si>
  <si>
    <t>TCK-003215</t>
  </si>
  <si>
    <t>TCK-000443</t>
  </si>
  <si>
    <t>TCK-001555</t>
  </si>
  <si>
    <t>TCK-002021</t>
  </si>
  <si>
    <t>TCK-002212</t>
  </si>
  <si>
    <t>TCK-005345</t>
  </si>
  <si>
    <t>TCK-003497</t>
  </si>
  <si>
    <t>TCK-001220</t>
  </si>
  <si>
    <t>TCK-005242</t>
  </si>
  <si>
    <t>TCK-004229</t>
  </si>
  <si>
    <t>TCK-003620</t>
  </si>
  <si>
    <t>TCK-001609</t>
  </si>
  <si>
    <t>TCK-003403</t>
  </si>
  <si>
    <t>TCK-000144</t>
  </si>
  <si>
    <t>TCK-002081</t>
  </si>
  <si>
    <t>TCK-002351</t>
  </si>
  <si>
    <t>TCK-000454</t>
  </si>
  <si>
    <t>TCK-004348</t>
  </si>
  <si>
    <t>TCK-004477</t>
  </si>
  <si>
    <t>TCK-003399</t>
  </si>
  <si>
    <t>TCK-004898</t>
  </si>
  <si>
    <t>TCK-000036</t>
  </si>
  <si>
    <t>TCK-004351</t>
  </si>
  <si>
    <t>TCK-003727</t>
  </si>
  <si>
    <t>TCK-004079</t>
  </si>
  <si>
    <t>TCK-000721</t>
  </si>
  <si>
    <t>TCK-000920</t>
  </si>
  <si>
    <t>TCK-001018</t>
  </si>
  <si>
    <t>TCK-002179</t>
  </si>
  <si>
    <t>TCK-003739</t>
  </si>
  <si>
    <t>TCK-003802</t>
  </si>
  <si>
    <t>TCK-000008</t>
  </si>
  <si>
    <t>TCK-005247</t>
  </si>
  <si>
    <t>TCK-001878</t>
  </si>
  <si>
    <t>TCK-002165</t>
  </si>
  <si>
    <t>TCK-001571</t>
  </si>
  <si>
    <t>TCK-002127</t>
  </si>
  <si>
    <t>TCK-000549</t>
  </si>
  <si>
    <t>TCK-005021</t>
  </si>
  <si>
    <t>TCK-002222</t>
  </si>
  <si>
    <t>TCK-000548</t>
  </si>
  <si>
    <t>TCK-003631</t>
  </si>
  <si>
    <t>TCK-005857</t>
  </si>
  <si>
    <t>TCK-001690</t>
  </si>
  <si>
    <t>TCK-002855</t>
  </si>
  <si>
    <t>TCK-002988</t>
  </si>
  <si>
    <t>TCK-000053</t>
  </si>
  <si>
    <t>TCK-001248</t>
  </si>
  <si>
    <t>TCK-002159</t>
  </si>
  <si>
    <t>TCK-000238</t>
  </si>
  <si>
    <t>TCK-002300</t>
  </si>
  <si>
    <t>TCK-000260</t>
  </si>
  <si>
    <t>TCK-004844</t>
  </si>
  <si>
    <t>TCK-004192</t>
  </si>
  <si>
    <t>TCK-005987</t>
  </si>
  <si>
    <t>TCK-004142</t>
  </si>
  <si>
    <t>TCK-000728</t>
  </si>
  <si>
    <t>TCK-003747</t>
  </si>
  <si>
    <t>TCK-000971</t>
  </si>
  <si>
    <t>TCK-003049</t>
  </si>
  <si>
    <t>TCK-004994</t>
  </si>
  <si>
    <t>TCK-003836</t>
  </si>
  <si>
    <t>TCK-000953</t>
  </si>
  <si>
    <t>TCK-000818</t>
  </si>
  <si>
    <t>TCK-005380</t>
  </si>
  <si>
    <t>TCK-000191</t>
  </si>
  <si>
    <t>TCK-002532</t>
  </si>
  <si>
    <t>TCK-001752</t>
  </si>
  <si>
    <t>TCK-001019</t>
  </si>
  <si>
    <t>TCK-002263</t>
  </si>
  <si>
    <t>TCK-003798</t>
  </si>
  <si>
    <t>TCK-005315</t>
  </si>
  <si>
    <t>TCK-003506</t>
  </si>
  <si>
    <t>TCK-004859</t>
  </si>
  <si>
    <t>TCK-000503</t>
  </si>
  <si>
    <t>TCK-000682</t>
  </si>
  <si>
    <t>TCK-004682</t>
  </si>
  <si>
    <t>TCK-005865</t>
  </si>
  <si>
    <t>TCK-003625</t>
  </si>
  <si>
    <t>TCK-005428</t>
  </si>
  <si>
    <t>TCK-002954</t>
  </si>
  <si>
    <t>TCK-005259</t>
  </si>
  <si>
    <t>TCK-003865</t>
  </si>
  <si>
    <t>TCK-004520</t>
  </si>
  <si>
    <t>TCK-002570</t>
  </si>
  <si>
    <t>TCK-004146</t>
  </si>
  <si>
    <t>TCK-001485</t>
  </si>
  <si>
    <t>TCK-000128</t>
  </si>
  <si>
    <t>TCK-001267</t>
  </si>
  <si>
    <t>TCK-005976</t>
  </si>
  <si>
    <t>TCK-003188</t>
  </si>
  <si>
    <t>TCK-002737</t>
  </si>
  <si>
    <t>TCK-002328</t>
  </si>
  <si>
    <t>TCK-001871</t>
  </si>
  <si>
    <t>TCK-004636</t>
  </si>
  <si>
    <t>TCK-001285</t>
  </si>
  <si>
    <t>TCK-002552</t>
  </si>
  <si>
    <t>TCK-002223</t>
  </si>
  <si>
    <t>TCK-005042</t>
  </si>
  <si>
    <t>TCK-003587</t>
  </si>
  <si>
    <t>TCK-005795</t>
  </si>
  <si>
    <t>TCK-004671</t>
  </si>
  <si>
    <t>TCK-003347</t>
  </si>
  <si>
    <t>TCK-004215</t>
  </si>
  <si>
    <t>TCK-003517</t>
  </si>
  <si>
    <t>TCK-000787</t>
  </si>
  <si>
    <t>TCK-001227</t>
  </si>
  <si>
    <t>TCK-002577</t>
  </si>
  <si>
    <t>TCK-000110</t>
  </si>
  <si>
    <t>TCK-004880</t>
  </si>
  <si>
    <t>TCK-002207</t>
  </si>
  <si>
    <t>TCK-000557</t>
  </si>
  <si>
    <t>TCK-002620</t>
  </si>
  <si>
    <t>TCK-005818</t>
  </si>
  <si>
    <t>TCK-001119</t>
  </si>
  <si>
    <t>TCK-001102</t>
  </si>
  <si>
    <t>TCK-004311</t>
  </si>
  <si>
    <t>TCK-004875</t>
  </si>
  <si>
    <t>TCK-002241</t>
  </si>
  <si>
    <t>TCK-000310</t>
  </si>
  <si>
    <t>TCK-001161</t>
  </si>
  <si>
    <t>TCK-005619</t>
  </si>
  <si>
    <t>TCK-004315</t>
  </si>
  <si>
    <t>TCK-003709</t>
  </si>
  <si>
    <t>TCK-005709</t>
  </si>
  <si>
    <t>TCK-000713</t>
  </si>
  <si>
    <t>TCK-004528</t>
  </si>
  <si>
    <t>TCK-004433</t>
  </si>
  <si>
    <t>TCK-003921</t>
  </si>
  <si>
    <t>TCK-004105</t>
  </si>
  <si>
    <t>TCK-005644</t>
  </si>
  <si>
    <t>TCK-001221</t>
  </si>
  <si>
    <t>TCK-003354</t>
  </si>
  <si>
    <t>TCK-000573</t>
  </si>
  <si>
    <t>TCK-004692</t>
  </si>
  <si>
    <t>TCK-004028</t>
  </si>
  <si>
    <t>TCK-001472</t>
  </si>
  <si>
    <t>TCK-000365</t>
  </si>
  <si>
    <t>TCK-005508</t>
  </si>
  <si>
    <t>TCK-000517</t>
  </si>
  <si>
    <t>TCK-001588</t>
  </si>
  <si>
    <t>TCK-005377</t>
  </si>
  <si>
    <t>TCK-002016</t>
  </si>
  <si>
    <t>TCK-002807</t>
  </si>
  <si>
    <t>TCK-005525</t>
  </si>
  <si>
    <t>TCK-001663</t>
  </si>
  <si>
    <t>TCK-002188</t>
  </si>
  <si>
    <t>TCK-003940</t>
  </si>
  <si>
    <t>TCK-003315</t>
  </si>
  <si>
    <t>TCK-002834</t>
  </si>
  <si>
    <t>TCK-000675</t>
  </si>
  <si>
    <t>TCK-000820</t>
  </si>
  <si>
    <t>TCK-003872</t>
  </si>
  <si>
    <t>TCK-000432</t>
  </si>
  <si>
    <t>TCK-005854</t>
  </si>
  <si>
    <t>TCK-002730</t>
  </si>
  <si>
    <t>TCK-005252</t>
  </si>
  <si>
    <t>TCK-000314</t>
  </si>
  <si>
    <t>TCK-005342</t>
  </si>
  <si>
    <t>TCK-002989</t>
  </si>
  <si>
    <t>TCK-000827</t>
  </si>
  <si>
    <t>TCK-003746</t>
  </si>
  <si>
    <t>TCK-000061</t>
  </si>
  <si>
    <t>TCK-000683</t>
  </si>
  <si>
    <t>TCK-002782</t>
  </si>
  <si>
    <t>TCK-005797</t>
  </si>
  <si>
    <t>TCK-002325</t>
  </si>
  <si>
    <t>TCK-003485</t>
  </si>
  <si>
    <t>TCK-000300</t>
  </si>
  <si>
    <t>TCK-002769</t>
  </si>
  <si>
    <t>TCK-001153</t>
  </si>
  <si>
    <t>TCK-000890</t>
  </si>
  <si>
    <t>TCK-005041</t>
  </si>
  <si>
    <t>TCK-002057</t>
  </si>
  <si>
    <t>TCK-001336</t>
  </si>
  <si>
    <t>TCK-000645</t>
  </si>
  <si>
    <t>TCK-002322</t>
  </si>
  <si>
    <t>TCK-000527</t>
  </si>
  <si>
    <t>TCK-004603</t>
  </si>
  <si>
    <t>TCK-002950</t>
  </si>
  <si>
    <t>TCK-004813</t>
  </si>
  <si>
    <t>TCK-005113</t>
  </si>
  <si>
    <t>TCK-002733</t>
  </si>
  <si>
    <t>TCK-004004</t>
  </si>
  <si>
    <t>TCK-000055</t>
  </si>
  <si>
    <t>TCK-005626</t>
  </si>
  <si>
    <t>TCK-000050</t>
  </si>
  <si>
    <t>TCK-000767</t>
  </si>
  <si>
    <t>TCK-005552</t>
  </si>
  <si>
    <t>TCK-003037</t>
  </si>
  <si>
    <t>TCK-002157</t>
  </si>
  <si>
    <t>TCK-004906</t>
  </si>
  <si>
    <t>TCK-003594</t>
  </si>
  <si>
    <t>TCK-003623</t>
  </si>
  <si>
    <t>TCK-002071</t>
  </si>
  <si>
    <t>TCK-005389</t>
  </si>
  <si>
    <t>TCK-000377</t>
  </si>
  <si>
    <t>TCK-000737</t>
  </si>
  <si>
    <t>TCK-005670</t>
  </si>
  <si>
    <t>TCK-000595</t>
  </si>
  <si>
    <t>TCK-000349</t>
  </si>
  <si>
    <t>TCK-002254</t>
  </si>
  <si>
    <t>TCK-004190</t>
  </si>
  <si>
    <t>TCK-002856</t>
  </si>
  <si>
    <t>TCK-001249</t>
  </si>
  <si>
    <t>TCK-005900</t>
  </si>
  <si>
    <t>TCK-005990</t>
  </si>
  <si>
    <t>TCK-005877</t>
  </si>
  <si>
    <t>TCK-005468</t>
  </si>
  <si>
    <t>TCK-005245</t>
  </si>
  <si>
    <t>TCK-001300</t>
  </si>
  <si>
    <t>TCK-004035</t>
  </si>
  <si>
    <t>TCK-004096</t>
  </si>
  <si>
    <t>TCK-004232</t>
  </si>
  <si>
    <t>TCK-004621</t>
  </si>
  <si>
    <t>TCK-000936</t>
  </si>
  <si>
    <t>TCK-001715</t>
  </si>
  <si>
    <t>TCK-002305</t>
  </si>
  <si>
    <t>TCK-005613</t>
  </si>
  <si>
    <t>TCK-003148</t>
  </si>
  <si>
    <t>TCK-005691</t>
  </si>
  <si>
    <t>TCK-004874</t>
  </si>
  <si>
    <t>TCK-002447</t>
  </si>
  <si>
    <t>TCK-000708</t>
  </si>
  <si>
    <t>TCK-004657</t>
  </si>
  <si>
    <t>TCK-005374</t>
  </si>
  <si>
    <t>TCK-000654</t>
  </si>
  <si>
    <t>TCK-003004</t>
  </si>
  <si>
    <t>TCK-004314</t>
  </si>
  <si>
    <t>TCK-000418</t>
  </si>
  <si>
    <t>TCK-005083</t>
  </si>
  <si>
    <t>TCK-002858</t>
  </si>
  <si>
    <t>TCK-001040</t>
  </si>
  <si>
    <t>TCK-000131</t>
  </si>
  <si>
    <t>TCK-000848</t>
  </si>
  <si>
    <t>TCK-001150</t>
  </si>
  <si>
    <t>TCK-003912</t>
  </si>
  <si>
    <t>TCK-002993</t>
  </si>
  <si>
    <t>TCK-004121</t>
  </si>
  <si>
    <t>TCK-002632</t>
  </si>
  <si>
    <t>TCK-002391</t>
  </si>
  <si>
    <t>TCK-001890</t>
  </si>
  <si>
    <t>TCK-001528</t>
  </si>
  <si>
    <t>TCK-003869</t>
  </si>
  <si>
    <t>TCK-002204</t>
  </si>
  <si>
    <t>TCK-005319</t>
  </si>
  <si>
    <t>TCK-001023</t>
  </si>
  <si>
    <t>TCK-000873</t>
  </si>
  <si>
    <t>TCK-001567</t>
  </si>
  <si>
    <t>TCK-000226</t>
  </si>
  <si>
    <t>TCK-003779</t>
  </si>
  <si>
    <t>TCK-005153</t>
  </si>
  <si>
    <t>TCK-002929</t>
  </si>
  <si>
    <t>TCK-005713</t>
  </si>
  <si>
    <t>TCK-004622</t>
  </si>
  <si>
    <t>TCK-001789</t>
  </si>
  <si>
    <t>TCK-000948</t>
  </si>
  <si>
    <t>TCK-005507</t>
  </si>
  <si>
    <t>TCK-003702</t>
  </si>
  <si>
    <t>TCK-003136</t>
  </si>
  <si>
    <t>TCK-001909</t>
  </si>
  <si>
    <t>TCK-004451</t>
  </si>
  <si>
    <t>TCK-000068</t>
  </si>
  <si>
    <t>TCK-001698</t>
  </si>
  <si>
    <t>TCK-000722</t>
  </si>
  <si>
    <t>TCK-004242</t>
  </si>
  <si>
    <t>TCK-003093</t>
  </si>
  <si>
    <t>TCK-004512</t>
  </si>
  <si>
    <t>TCK-002572</t>
  </si>
  <si>
    <t>TCK-000969_DUP</t>
  </si>
  <si>
    <t>TCK-000172</t>
  </si>
  <si>
    <t>TCK-003677</t>
  </si>
  <si>
    <t>TCK-004823</t>
  </si>
  <si>
    <t>TCK-001896</t>
  </si>
  <si>
    <t>TCK-000056</t>
  </si>
  <si>
    <t>TCK-004235</t>
  </si>
  <si>
    <t>TCK-002857</t>
  </si>
  <si>
    <t>TCK-000450</t>
  </si>
  <si>
    <t>TCK-001998</t>
  </si>
  <si>
    <t>TCK-002595</t>
  </si>
  <si>
    <t>TCK-003398</t>
  </si>
  <si>
    <t>TCK-000989</t>
  </si>
  <si>
    <t>TCK-000970</t>
  </si>
  <si>
    <t>TCK-000137</t>
  </si>
  <si>
    <t>TCK-001897</t>
  </si>
  <si>
    <t>TCK-000175</t>
  </si>
  <si>
    <t>TCK-002303</t>
  </si>
  <si>
    <t>TCK-003206</t>
  </si>
  <si>
    <t>TCK-004482</t>
  </si>
  <si>
    <t>TCK-005849</t>
  </si>
  <si>
    <t>TCK-000445</t>
  </si>
  <si>
    <t>TCK-005198</t>
  </si>
  <si>
    <t>TCK-005155</t>
  </si>
  <si>
    <t>TCK-001828</t>
  </si>
  <si>
    <t>TCK-002886</t>
  </si>
  <si>
    <t>TCK-004781</t>
  </si>
  <si>
    <t>TCK-001582</t>
  </si>
  <si>
    <t>TCK-000090</t>
  </si>
  <si>
    <t>TCK-000795</t>
  </si>
  <si>
    <t>TCK-002049</t>
  </si>
  <si>
    <t>TCK-002178</t>
  </si>
  <si>
    <t>TCK-001030</t>
  </si>
  <si>
    <t>TCK-003415</t>
  </si>
  <si>
    <t>TCK-001330</t>
  </si>
  <si>
    <t>TCK-003174</t>
  </si>
  <si>
    <t>TCK-003125</t>
  </si>
  <si>
    <t>TCK-000040</t>
  </si>
  <si>
    <t>TCK-005109</t>
  </si>
  <si>
    <t>TCK-000944</t>
  </si>
  <si>
    <t>TCK-003601</t>
  </si>
  <si>
    <t>TCK-000666</t>
  </si>
  <si>
    <t>TCK-004012</t>
  </si>
  <si>
    <t>TCK-000453</t>
  </si>
  <si>
    <t>TCK-004877</t>
  </si>
  <si>
    <t>TCK-001685</t>
  </si>
  <si>
    <t>TCK-001149</t>
  </si>
  <si>
    <t>TCK-004274</t>
  </si>
  <si>
    <t>TCK-002185</t>
  </si>
  <si>
    <t>TCK-000337</t>
  </si>
  <si>
    <t>TCK-002167</t>
  </si>
  <si>
    <t>TCK-004931</t>
  </si>
  <si>
    <t>TCK-005998</t>
  </si>
  <si>
    <t>TCK-002978</t>
  </si>
  <si>
    <t>TCK-001601</t>
  </si>
  <si>
    <t>TCK-001642</t>
  </si>
  <si>
    <t>TCK-000352</t>
  </si>
  <si>
    <t>TCK-000625</t>
  </si>
  <si>
    <t>TCK-005556</t>
  </si>
  <si>
    <t>TCK-002184</t>
  </si>
  <si>
    <t>TCK-002509</t>
  </si>
  <si>
    <t>TCK-002090</t>
  </si>
  <si>
    <t>TCK-004820</t>
  </si>
  <si>
    <t>TCK-004795</t>
  </si>
  <si>
    <t>TCK-000359</t>
  </si>
  <si>
    <t>TCK-001322</t>
  </si>
  <si>
    <t>TCK-001614</t>
  </si>
  <si>
    <t>TCK-001857</t>
  </si>
  <si>
    <t>TCK-001526</t>
  </si>
  <si>
    <t>TCK-004715</t>
  </si>
  <si>
    <t>TCK-004562</t>
  </si>
  <si>
    <t>TCK-001435</t>
  </si>
  <si>
    <t>TCK-005979</t>
  </si>
  <si>
    <t>TCK-005932</t>
  </si>
  <si>
    <t>TCK-005838</t>
  </si>
  <si>
    <t>TCK-001420</t>
  </si>
  <si>
    <t>TCK-005828</t>
  </si>
  <si>
    <t>TCK-001703</t>
  </si>
  <si>
    <t>TCK-002650</t>
  </si>
  <si>
    <t>TCK-003759</t>
  </si>
  <si>
    <t>TCK-004588</t>
  </si>
  <si>
    <t>TCK-000777</t>
  </si>
  <si>
    <t>TCK-002576</t>
  </si>
  <si>
    <t>TCK-003755</t>
  </si>
  <si>
    <t>TCK-003832</t>
  </si>
  <si>
    <t>TCK-001766</t>
  </si>
  <si>
    <t>TCK-000474</t>
  </si>
  <si>
    <t>TCK-005701</t>
  </si>
  <si>
    <t>TCK-003493</t>
  </si>
  <si>
    <t>TCK-003904</t>
  </si>
  <si>
    <t>TCK-002415</t>
  </si>
  <si>
    <t>TCK-003663</t>
  </si>
  <si>
    <t>TCK-005757</t>
  </si>
  <si>
    <t>TCK-005232</t>
  </si>
  <si>
    <t>TCK-005444</t>
  </si>
  <si>
    <t>TCK-003535</t>
  </si>
  <si>
    <t>TCK-001581</t>
  </si>
  <si>
    <t>TCK-000480</t>
  </si>
  <si>
    <t>TCK-002638</t>
  </si>
  <si>
    <t>TCK-000103</t>
  </si>
  <si>
    <t>TCK-001479</t>
  </si>
  <si>
    <t>TCK-005739</t>
  </si>
  <si>
    <t>TCK-002712</t>
  </si>
  <si>
    <t>TCK-003947</t>
  </si>
  <si>
    <t>TCK-003826</t>
  </si>
  <si>
    <t>TCK-000743</t>
  </si>
  <si>
    <t>TCK-005698</t>
  </si>
  <si>
    <t>TCK-000054</t>
  </si>
  <si>
    <t>TCK-000988</t>
  </si>
  <si>
    <t>TCK-003757</t>
  </si>
  <si>
    <t>TCK-005486</t>
  </si>
  <si>
    <t>TCK-000069</t>
  </si>
  <si>
    <t>TCK-005882</t>
  </si>
  <si>
    <t>TCK-004037</t>
  </si>
  <si>
    <t>TCK-003619</t>
  </si>
  <si>
    <t>TCK-004814</t>
  </si>
  <si>
    <t>TCK-005197</t>
  </si>
  <si>
    <t>TCK-005435</t>
  </si>
  <si>
    <t>TCK-002775</t>
  </si>
  <si>
    <t>TCK-004430</t>
  </si>
  <si>
    <t>TCK-003344</t>
  </si>
  <si>
    <t>TCK-005490</t>
  </si>
  <si>
    <t>TCK-003325</t>
  </si>
  <si>
    <t>TCK-001240</t>
  </si>
  <si>
    <t>TCK-000785</t>
  </si>
  <si>
    <t>TCK-005270</t>
  </si>
  <si>
    <t>TCK-005255</t>
  </si>
  <si>
    <t>TCK-005234</t>
  </si>
  <si>
    <t>TCK-003773</t>
  </si>
  <si>
    <t>TCK-002707</t>
  </si>
  <si>
    <t>TCK-004224</t>
  </si>
  <si>
    <t>TCK-001975</t>
  </si>
  <si>
    <t>TCK-002971</t>
  </si>
  <si>
    <t>TCK-005358</t>
  </si>
  <si>
    <t>TCK-003581</t>
  </si>
  <si>
    <t>TCK-001107</t>
  </si>
  <si>
    <t>TCK-000951</t>
  </si>
  <si>
    <t>TCK-003128</t>
  </si>
  <si>
    <t>TCK-002123</t>
  </si>
  <si>
    <t>TCK-003838</t>
  </si>
  <si>
    <t>TCK-005226</t>
  </si>
  <si>
    <t>TCK-003236</t>
  </si>
  <si>
    <t>TCK-004558</t>
  </si>
  <si>
    <t>TCK-000640</t>
  </si>
  <si>
    <t>TCK-003383</t>
  </si>
  <si>
    <t>TCK-002567</t>
  </si>
  <si>
    <t>TCK-000758</t>
  </si>
  <si>
    <t>TCK-003664</t>
  </si>
  <si>
    <t>TCK-000879</t>
  </si>
  <si>
    <t>TCK-005026</t>
  </si>
  <si>
    <t>TCK-000231</t>
  </si>
  <si>
    <t>TCK-002461</t>
  </si>
  <si>
    <t>TCK-005416</t>
  </si>
  <si>
    <t>TCK-004060</t>
  </si>
  <si>
    <t>TCK-004652</t>
  </si>
  <si>
    <t>TCK-004640</t>
  </si>
  <si>
    <t>TCK-001561</t>
  </si>
  <si>
    <t>TCK-005568</t>
  </si>
  <si>
    <t>TCK-004111</t>
  </si>
  <si>
    <t>TCK-005566</t>
  </si>
  <si>
    <t>TCK-000099</t>
  </si>
  <si>
    <t>TCK-003697</t>
  </si>
  <si>
    <t>TCK-001431</t>
  </si>
  <si>
    <t>TCK-001251</t>
  </si>
  <si>
    <t>TCK-002693</t>
  </si>
  <si>
    <t>TCK-001888</t>
  </si>
  <si>
    <t>TCK-005102</t>
  </si>
  <si>
    <t>TCK-005577</t>
  </si>
  <si>
    <t>TCK-005551</t>
  </si>
  <si>
    <t>TCK-003552</t>
  </si>
  <si>
    <t>TCK-003652</t>
  </si>
  <si>
    <t>TCK-002061</t>
  </si>
  <si>
    <t>TCK-000295</t>
  </si>
  <si>
    <t>TCK-002770</t>
  </si>
  <si>
    <t>TCK-005777</t>
  </si>
  <si>
    <t>TCK-002354</t>
  </si>
  <si>
    <t>TCK-003254</t>
  </si>
  <si>
    <t>TCK-000160</t>
  </si>
  <si>
    <t>TCK-001237</t>
  </si>
  <si>
    <t>TCK-004747</t>
  </si>
  <si>
    <t>TCK-005834</t>
  </si>
  <si>
    <t>TCK-000910</t>
  </si>
  <si>
    <t>TCK-002432</t>
  </si>
  <si>
    <t>TCK-001558</t>
  </si>
  <si>
    <t>TCK-000321</t>
  </si>
  <si>
    <t>TCK-003809</t>
  </si>
  <si>
    <t>TCK-000015</t>
  </si>
  <si>
    <t>TCK-005072</t>
  </si>
  <si>
    <t>TCK-005533</t>
  </si>
  <si>
    <t>TCK-003465</t>
  </si>
  <si>
    <t>TCK-001447</t>
  </si>
  <si>
    <t>TCK-003476</t>
  </si>
  <si>
    <t>TCK-004559</t>
  </si>
  <si>
    <t>TCK-001693</t>
  </si>
  <si>
    <t>TCK-003700</t>
  </si>
  <si>
    <t>TCK-005633</t>
  </si>
  <si>
    <t>TCK-001720</t>
  </si>
  <si>
    <t>TCK-004740</t>
  </si>
  <si>
    <t>TCK-005977</t>
  </si>
  <si>
    <t>TCK-004716</t>
  </si>
  <si>
    <t>TCK-000652</t>
  </si>
  <si>
    <t>TCK-004350</t>
  </si>
  <si>
    <t>TCK-004970</t>
  </si>
  <si>
    <t>TCK-004563</t>
  </si>
  <si>
    <t>TCK-004850</t>
  </si>
  <si>
    <t>TCK-000919</t>
  </si>
  <si>
    <t>TCK-005038</t>
  </si>
  <si>
    <t>TCK-000883</t>
  </si>
  <si>
    <t>TCK-000292</t>
  </si>
  <si>
    <t>TCK-000234</t>
  </si>
  <si>
    <t>TCK-002790</t>
  </si>
  <si>
    <t>TCK-003438</t>
  </si>
  <si>
    <t>TCK-003482</t>
  </si>
  <si>
    <t>TCK-001995</t>
  </si>
  <si>
    <t>TCK-001305</t>
  </si>
  <si>
    <t>TCK-003392</t>
  </si>
  <si>
    <t>TCK-002272</t>
  </si>
  <si>
    <t>TCK-003132</t>
  </si>
  <si>
    <t>TCK-002026</t>
  </si>
  <si>
    <t>TCK-003395</t>
  </si>
  <si>
    <t>TCK-001486</t>
  </si>
  <si>
    <t>TCK-005338</t>
  </si>
  <si>
    <t>TCK-004631</t>
  </si>
  <si>
    <t>TCK-002977</t>
  </si>
  <si>
    <t>TCK-005628</t>
  </si>
  <si>
    <t>TCK-000526</t>
  </si>
  <si>
    <t>TCK-003444</t>
  </si>
  <si>
    <t>TCK-002448</t>
  </si>
  <si>
    <t>TCK-005784</t>
  </si>
  <si>
    <t>TCK-004686</t>
  </si>
  <si>
    <t>TCK-000674</t>
  </si>
  <si>
    <t>TCK-000481</t>
  </si>
  <si>
    <t>TCK-002155</t>
  </si>
  <si>
    <t>TCK-005443</t>
  </si>
  <si>
    <t>TCK-005472</t>
  </si>
  <si>
    <t>TCK-004932</t>
  </si>
  <si>
    <t>TCK-003788</t>
  </si>
  <si>
    <t>TCK-000252</t>
  </si>
  <si>
    <t>TCK-004763</t>
  </si>
  <si>
    <t>TCK-000391</t>
  </si>
  <si>
    <t>TCK-001468</t>
  </si>
  <si>
    <t>TCK-005775</t>
  </si>
  <si>
    <t>TCK-003288</t>
  </si>
  <si>
    <t>TCK-005459</t>
  </si>
  <si>
    <t>TCK-004891</t>
  </si>
  <si>
    <t>TCK-001985</t>
  </si>
  <si>
    <t>TCK-001934</t>
  </si>
  <si>
    <t>TCK-002105</t>
  </si>
  <si>
    <t>TCK-004778</t>
  </si>
  <si>
    <t>TCK-001206</t>
  </si>
  <si>
    <t>TCK-005174</t>
  </si>
  <si>
    <t>TCK-003139</t>
  </si>
  <si>
    <t>TCK-002395</t>
  </si>
  <si>
    <t>TCK-004248</t>
  </si>
  <si>
    <t>TCK-005880</t>
  </si>
  <si>
    <t>TCK-000828</t>
  </si>
  <si>
    <t>TCK-005351</t>
  </si>
  <si>
    <t>TCK-000525</t>
  </si>
  <si>
    <t>TCK-001266</t>
  </si>
  <si>
    <t>TCK-002070</t>
  </si>
  <si>
    <t>TCK-000406</t>
  </si>
  <si>
    <t>TCK-004354</t>
  </si>
  <si>
    <t>TCK-002437</t>
  </si>
  <si>
    <t>TCK-003767</t>
  </si>
  <si>
    <t>TCK-004282</t>
  </si>
  <si>
    <t>TCK-004570</t>
  </si>
  <si>
    <t>TCK-002901</t>
  </si>
  <si>
    <t>TCK-004909</t>
  </si>
  <si>
    <t>TCK-002389</t>
  </si>
  <si>
    <t>TCK-005263</t>
  </si>
  <si>
    <t>TCK-005812</t>
  </si>
  <si>
    <t>TCK-004461</t>
  </si>
  <si>
    <t>TCK-004961</t>
  </si>
  <si>
    <t>TCK-003902</t>
  </si>
  <si>
    <t>TCK-001859</t>
  </si>
  <si>
    <t>TCK-003009</t>
  </si>
  <si>
    <t>TCK-005627</t>
  </si>
  <si>
    <t>TCK-001351</t>
  </si>
  <si>
    <t>TCK-004426</t>
  </si>
  <si>
    <t>TCK-000513</t>
  </si>
  <si>
    <t>TCK-000663</t>
  </si>
  <si>
    <t>TCK-004442</t>
  </si>
  <si>
    <t>TCK-001604</t>
  </si>
  <si>
    <t>TCK-004929</t>
  </si>
  <si>
    <t>TCK-004780</t>
  </si>
  <si>
    <t>TCK-001677</t>
  </si>
  <si>
    <t>TCK-004642</t>
  </si>
  <si>
    <t>TCK-000277</t>
  </si>
  <si>
    <t>TCK-004869</t>
  </si>
  <si>
    <t>TCK-000067</t>
  </si>
  <si>
    <t>TCK-001951</t>
  </si>
  <si>
    <t>TCK-005159</t>
  </si>
  <si>
    <t>TCK-002421</t>
  </si>
  <si>
    <t>TCK-002692</t>
  </si>
  <si>
    <t>TCK-004331</t>
  </si>
  <si>
    <t>TCK-003356</t>
  </si>
  <si>
    <t>TCK-000646</t>
  </si>
  <si>
    <t>TCK-002348</t>
  </si>
  <si>
    <t>TCK-001667</t>
  </si>
  <si>
    <t>TCK-001139</t>
  </si>
  <si>
    <t>TCK-000542</t>
  </si>
  <si>
    <t>TCK-001314</t>
  </si>
  <si>
    <t>TCK-004297</t>
  </si>
  <si>
    <t>TCK-001964</t>
  </si>
  <si>
    <t>TCK-005392</t>
  </si>
  <si>
    <t>TCK-002362</t>
  </si>
  <si>
    <t>TCK-000307</t>
  </si>
  <si>
    <t>TCK-005703</t>
  </si>
  <si>
    <t>TCK-005405</t>
  </si>
  <si>
    <t>TCK-000130</t>
  </si>
  <si>
    <t>TCK-000396</t>
  </si>
  <si>
    <t>TCK-005974</t>
  </si>
  <si>
    <t>TCK-001930</t>
  </si>
  <si>
    <t>TCK-004423</t>
  </si>
  <si>
    <t>TCK-004288</t>
  </si>
  <si>
    <t>TCK-000723</t>
  </si>
  <si>
    <t>TCK-003222</t>
  </si>
  <si>
    <t>TCK-003764</t>
  </si>
  <si>
    <t>TCK-000308</t>
  </si>
  <si>
    <t>TCK-005161</t>
  </si>
  <si>
    <t>TCK-005494</t>
  </si>
  <si>
    <t>TCK-004592</t>
  </si>
  <si>
    <t>TCK-003081</t>
  </si>
  <si>
    <t>TCK-000385</t>
  </si>
  <si>
    <t>TCK-002559</t>
  </si>
  <si>
    <t>TCK-002701</t>
  </si>
  <si>
    <t>TCK-000583</t>
  </si>
  <si>
    <t>TCK-004494</t>
  </si>
  <si>
    <t>TCK-002581</t>
  </si>
  <si>
    <t>TCK-002811</t>
  </si>
  <si>
    <t>TCK-000162</t>
  </si>
  <si>
    <t>TCK-001335</t>
  </si>
  <si>
    <t>TCK-005827</t>
  </si>
  <si>
    <t>TCK-005200</t>
  </si>
  <si>
    <t>TCK-000937</t>
  </si>
  <si>
    <t>TCK-005136</t>
  </si>
  <si>
    <t>TCK-001367</t>
  </si>
  <si>
    <t>TCK-005936</t>
  </si>
  <si>
    <t>TCK-003122</t>
  </si>
  <si>
    <t>TCK-004023</t>
  </si>
  <si>
    <t>TCK-005371</t>
  </si>
  <si>
    <t>TCK-004756</t>
  </si>
  <si>
    <t>TCK-001950</t>
  </si>
  <si>
    <t>TCK-004666</t>
  </si>
  <si>
    <t>TCK-003874</t>
  </si>
  <si>
    <t>TCK-001160</t>
  </si>
  <si>
    <t>TCK-003990</t>
  </si>
  <si>
    <t>TCK-001592</t>
  </si>
  <si>
    <t>TCK-002702</t>
  </si>
  <si>
    <t>TCK-002745</t>
  </si>
  <si>
    <t>TCK-001881</t>
  </si>
  <si>
    <t>TCK-003637</t>
  </si>
  <si>
    <t>TCK-002530</t>
  </si>
  <si>
    <t>TCK-002082</t>
  </si>
  <si>
    <t>TCK-003183</t>
  </si>
  <si>
    <t>TCK-004144</t>
  </si>
  <si>
    <t>TCK-004126</t>
  </si>
  <si>
    <t>TCK-003226</t>
  </si>
  <si>
    <t>TCK-004598</t>
  </si>
  <si>
    <t>TCK-001847</t>
  </si>
  <si>
    <t>TCK-005863</t>
  </si>
  <si>
    <t>TCK-005282</t>
  </si>
  <si>
    <t>TCK-001269</t>
  </si>
  <si>
    <t>TCK-003231</t>
  </si>
  <si>
    <t>TCK-004529</t>
  </si>
  <si>
    <t>TCK-002302</t>
  </si>
  <si>
    <t>TCK-000997</t>
  </si>
  <si>
    <t>TCK-000045</t>
  </si>
  <si>
    <t>TCK-005453</t>
  </si>
  <si>
    <t>TCK-002740</t>
  </si>
  <si>
    <t>TCK-004463</t>
  </si>
  <si>
    <t>TCK-005173</t>
  </si>
  <si>
    <t>TCK-005175</t>
  </si>
  <si>
    <t>TCK-003839</t>
  </si>
  <si>
    <t>TCK-000261</t>
  </si>
  <si>
    <t>TCK-002861</t>
  </si>
  <si>
    <t>TCK-002784</t>
  </si>
  <si>
    <t>TCK-003097</t>
  </si>
  <si>
    <t>TCK-004653</t>
  </si>
  <si>
    <t>TCK-002624</t>
  </si>
  <si>
    <t>TCK-004669</t>
  </si>
  <si>
    <t>TCK-003327</t>
  </si>
  <si>
    <t>TCK-000600</t>
  </si>
  <si>
    <t>TCK-005763</t>
  </si>
  <si>
    <t>TCK-000420</t>
  </si>
  <si>
    <t>TCK-002137</t>
  </si>
  <si>
    <t>TCK-005399</t>
  </si>
  <si>
    <t>TCK-001247</t>
  </si>
  <si>
    <t>TCK-001233</t>
  </si>
  <si>
    <t>TCK-005545</t>
  </si>
  <si>
    <t>TCK-002267</t>
  </si>
  <si>
    <t>TCK-002205</t>
  </si>
  <si>
    <t>TCK-001813</t>
  </si>
  <si>
    <t>TCK-005563</t>
  </si>
  <si>
    <t>TCK-000276</t>
  </si>
  <si>
    <t>TCK-000706</t>
  </si>
  <si>
    <t>TCK-003843</t>
  </si>
  <si>
    <t>TCK-004550</t>
  </si>
  <si>
    <t>TCK-000114</t>
  </si>
  <si>
    <t>TCK-004168</t>
  </si>
  <si>
    <t>TCK-004014</t>
  </si>
  <si>
    <t>TCK-002131</t>
  </si>
  <si>
    <t>TCK-003229</t>
  </si>
  <si>
    <t>TCK-002927</t>
  </si>
  <si>
    <t>TCK-000142</t>
  </si>
  <si>
    <t>TCK-005015</t>
  </si>
  <si>
    <t>TCK-004548</t>
  </si>
  <si>
    <t>TCK-004580</t>
  </si>
  <si>
    <t>TCK-005611</t>
  </si>
  <si>
    <t>TCK-001566</t>
  </si>
  <si>
    <t>TCK-003766</t>
  </si>
  <si>
    <t>TCK-004836</t>
  </si>
  <si>
    <t>TCK-003989</t>
  </si>
  <si>
    <t>TCK-002413</t>
  </si>
  <si>
    <t>TCK-001654</t>
  </si>
  <si>
    <t>TCK-003532</t>
  </si>
  <si>
    <t>TCK-000105</t>
  </si>
  <si>
    <t>TCK-004053</t>
  </si>
  <si>
    <t>TCK-001858</t>
  </si>
  <si>
    <t>TCK-005935</t>
  </si>
  <si>
    <t>TCK-005994</t>
  </si>
  <si>
    <t>TCK-002330</t>
  </si>
  <si>
    <t>TCK-003977</t>
  </si>
  <si>
    <t>TCK-003890</t>
  </si>
  <si>
    <t>TCK-002710</t>
  </si>
  <si>
    <t>TCK-004338</t>
  </si>
  <si>
    <t>TCK-002479</t>
  </si>
  <si>
    <t>TCK-002863</t>
  </si>
  <si>
    <t>TCK-005666</t>
  </si>
  <si>
    <t>TCK-005716</t>
  </si>
  <si>
    <t>TCK-004193</t>
  </si>
  <si>
    <t>TCK-002516</t>
  </si>
  <si>
    <t>TCK-005764</t>
  </si>
  <si>
    <t>TCK-003565</t>
  </si>
  <si>
    <t>TCK-005287</t>
  </si>
  <si>
    <t>TCK-000085</t>
  </si>
  <si>
    <t>TCK-001719</t>
  </si>
  <si>
    <t>TCK-004106</t>
  </si>
  <si>
    <t>TCK-002653</t>
  </si>
  <si>
    <t>TCK-004975</t>
  </si>
  <si>
    <t>TCK-001340</t>
  </si>
  <si>
    <t>TCK-004870</t>
  </si>
  <si>
    <t>TCK-005482</t>
  </si>
  <si>
    <t>TCK-003896</t>
  </si>
  <si>
    <t>TCK-001409</t>
  </si>
  <si>
    <t>TCK-005689</t>
  </si>
  <si>
    <t>TCK-001373</t>
  </si>
  <si>
    <t>TCK-003845</t>
  </si>
  <si>
    <t>TCK-003995</t>
  </si>
  <si>
    <t>TCK-004185</t>
  </si>
  <si>
    <t>TCK-000091</t>
  </si>
  <si>
    <t>TCK-004377</t>
  </si>
  <si>
    <t>TCK-003056</t>
  </si>
  <si>
    <t>TCK-001907</t>
  </si>
  <si>
    <t>TCK-002700</t>
  </si>
  <si>
    <t>TCK-005581</t>
  </si>
  <si>
    <t>TCK-001824</t>
  </si>
  <si>
    <t>TCK-005421</t>
  </si>
  <si>
    <t>TCK-003418</t>
  </si>
  <si>
    <t>TCK-001427</t>
  </si>
  <si>
    <t>TCK-003413</t>
  </si>
  <si>
    <t>TCK-005089</t>
  </si>
  <si>
    <t>TCK-004462</t>
  </si>
  <si>
    <t>TCK-002072</t>
  </si>
  <si>
    <t>TCK-004773</t>
  </si>
  <si>
    <t>TCK-002027</t>
  </si>
  <si>
    <t>TCK-000999</t>
  </si>
  <si>
    <t>TCK-005286</t>
  </si>
  <si>
    <t>TCK-002359</t>
  </si>
  <si>
    <t>TCK-003109</t>
  </si>
  <si>
    <t>TCK-003426</t>
  </si>
  <si>
    <t>TCK-001760</t>
  </si>
  <si>
    <t>TCK-003452</t>
  </si>
  <si>
    <t>TCK-002289</t>
  </si>
  <si>
    <t>TCK-002715</t>
  </si>
  <si>
    <t>TCK-001343</t>
  </si>
  <si>
    <t>TCK-004191</t>
  </si>
  <si>
    <t>TCK-005383</t>
  </si>
  <si>
    <t>TCK-002147</t>
  </si>
  <si>
    <t>TCK-000168</t>
  </si>
  <si>
    <t>TCK-000497</t>
  </si>
  <si>
    <t>TCK-003162</t>
  </si>
  <si>
    <t>TCK-004811</t>
  </si>
  <si>
    <t>TCK-005636</t>
  </si>
  <si>
    <t>TCK-004428</t>
  </si>
  <si>
    <t>TCK-000220</t>
  </si>
  <si>
    <t>TCK-002482</t>
  </si>
  <si>
    <t>TCK-002535</t>
  </si>
  <si>
    <t>TCK-003731</t>
  </si>
  <si>
    <t>TCK-001538</t>
  </si>
  <si>
    <t>TCK-004628</t>
  </si>
  <si>
    <t>TCK-000306</t>
  </si>
  <si>
    <t>TCK-003844</t>
  </si>
  <si>
    <t>TCK-005746</t>
  </si>
  <si>
    <t>TCK-000197</t>
  </si>
  <si>
    <t>TCK-005261</t>
  </si>
  <si>
    <t>TCK-005715</t>
  </si>
  <si>
    <t>TCK-001147</t>
  </si>
  <si>
    <t>TCK-004591</t>
  </si>
  <si>
    <t>TCK-000111</t>
  </si>
  <si>
    <t>TCK-005205</t>
  </si>
  <si>
    <t>TCK-005366</t>
  </si>
  <si>
    <t>TCK-003555</t>
  </si>
  <si>
    <t>TCK-004466</t>
  </si>
  <si>
    <t>TCK-004890</t>
  </si>
  <si>
    <t>TCK-000927</t>
  </si>
  <si>
    <t>TCK-001816</t>
  </si>
  <si>
    <t>TCK-004493</t>
  </si>
  <si>
    <t>TCK-005275</t>
  </si>
  <si>
    <t>TCK-005312</t>
  </si>
  <si>
    <t>TCK-000798</t>
  </si>
  <si>
    <t>TCK-001299</t>
  </si>
  <si>
    <t>TCK-003260</t>
  </si>
  <si>
    <t>TCK-001063</t>
  </si>
  <si>
    <t>TCK-004515</t>
  </si>
  <si>
    <t>TCK-003281</t>
  </si>
  <si>
    <t>TCK-004472</t>
  </si>
  <si>
    <t>TCK-004567</t>
  </si>
  <si>
    <t>TCK-005638</t>
  </si>
  <si>
    <t>TCK-003321</t>
  </si>
  <si>
    <t>TCK-003972</t>
  </si>
  <si>
    <t>TCK-003318</t>
  </si>
  <si>
    <t>TCK-001360</t>
  </si>
  <si>
    <t>TCK-001762</t>
  </si>
  <si>
    <t>TCK-004895</t>
  </si>
  <si>
    <t>TCK-002060</t>
  </si>
  <si>
    <t>TCK-002893</t>
  </si>
  <si>
    <t>TCK-003735</t>
  </si>
  <si>
    <t>TCK-003558</t>
  </si>
  <si>
    <t>TCK-001487</t>
  </si>
  <si>
    <t>TCK-004635</t>
  </si>
  <si>
    <t>TCK-005080</t>
  </si>
  <si>
    <t>TCK-003780</t>
  </si>
  <si>
    <t>TCK-004577</t>
  </si>
  <si>
    <t>TCK-005576</t>
  </si>
  <si>
    <t>TCK-004320</t>
  </si>
  <si>
    <t>TCK-000673</t>
  </si>
  <si>
    <t>TCK-004072</t>
  </si>
  <si>
    <t>TCK-001394</t>
  </si>
  <si>
    <t>TCK-003142</t>
  </si>
  <si>
    <t>TCK-002654</t>
  </si>
  <si>
    <t>TCK-005091</t>
  </si>
  <si>
    <t>TCK-000581</t>
  </si>
  <si>
    <t>TCK-001046</t>
  </si>
  <si>
    <t>TCK-004174</t>
  </si>
  <si>
    <t>TCK-002596</t>
  </si>
  <si>
    <t>TCK-002797</t>
  </si>
  <si>
    <t>TCK-003478</t>
  </si>
  <si>
    <t>TCK-004923</t>
  </si>
  <si>
    <t>TCK-004222</t>
  </si>
  <si>
    <t>TCK-005349</t>
  </si>
  <si>
    <t>TCK-003115</t>
  </si>
  <si>
    <t>TCK-003589</t>
  </si>
  <si>
    <t>TCK-003962</t>
  </si>
  <si>
    <t>TCK-001961</t>
  </si>
  <si>
    <t>TCK-001933</t>
  </si>
  <si>
    <t>TCK-001597</t>
  </si>
  <si>
    <t>TCK-004673</t>
  </si>
  <si>
    <t>TCK-005672</t>
  </si>
  <si>
    <t>TCK-004718</t>
  </si>
  <si>
    <t>TCK-000768</t>
  </si>
  <si>
    <t>TCK-005326</t>
  </si>
  <si>
    <t>TCK-005437</t>
  </si>
  <si>
    <t>TCK-000660</t>
  </si>
  <si>
    <t>TCK-004957</t>
  </si>
  <si>
    <t>TCK-005614</t>
  </si>
  <si>
    <t>TCK-005867</t>
  </si>
  <si>
    <t>TCK-003573</t>
  </si>
  <si>
    <t>TCK-000623</t>
  </si>
  <si>
    <t>TCK-005895</t>
  </si>
  <si>
    <t>TCK-004356</t>
  </si>
  <si>
    <t>TCK-004379</t>
  </si>
  <si>
    <t>TCK-004052</t>
  </si>
  <si>
    <t>TCK-002683</t>
  </si>
  <si>
    <t>TCK-005711</t>
  </si>
  <si>
    <t>TCK-001185</t>
  </si>
  <si>
    <t>TCK-001974</t>
  </si>
  <si>
    <t>TCK-004552</t>
  </si>
  <si>
    <t>TCK-003859</t>
  </si>
  <si>
    <t>TCK-004531</t>
  </si>
  <si>
    <t>TCK-003736</t>
  </si>
  <si>
    <t>TCK-002936</t>
  </si>
  <si>
    <t>TCK-004396</t>
  </si>
  <si>
    <t>TCK-005859</t>
  </si>
  <si>
    <t>TCK-003993</t>
  </si>
  <si>
    <t>TCK-005975</t>
  </si>
  <si>
    <t>TCK-004535</t>
  </si>
  <si>
    <t>TCK-002374</t>
  </si>
  <si>
    <t>TCK-002452</t>
  </si>
  <si>
    <t>TCK-003338</t>
  </si>
  <si>
    <t>TCK-005723</t>
  </si>
  <si>
    <t>TCK-004009</t>
  </si>
  <si>
    <t>TCK-004389</t>
  </si>
  <si>
    <t>TCK-001838</t>
  </si>
  <si>
    <t>TCK-004375</t>
  </si>
  <si>
    <t>TCK-000656</t>
  </si>
  <si>
    <t>TCK-001059</t>
  </si>
  <si>
    <t>TCK-000733</t>
  </si>
  <si>
    <t>TCK-003784</t>
  </si>
  <si>
    <t>TCK-000554</t>
  </si>
  <si>
    <t>TCK-002143</t>
  </si>
  <si>
    <t>TCK-000278</t>
  </si>
  <si>
    <t>TCK-001901</t>
  </si>
  <si>
    <t>TCK-003304</t>
  </si>
  <si>
    <t>TCK-002294</t>
  </si>
  <si>
    <t>TCK-003898</t>
  </si>
  <si>
    <t>TCK-001192</t>
  </si>
  <si>
    <t>TCK-005623</t>
  </si>
  <si>
    <t>TCK-001357</t>
  </si>
  <si>
    <t>TCK-001695</t>
  </si>
  <si>
    <t>TCK-003807</t>
  </si>
  <si>
    <t>TCK-004872</t>
  </si>
  <si>
    <t>TCK-000427</t>
  </si>
  <si>
    <t>TCK-005883</t>
  </si>
  <si>
    <t>TCK-001187</t>
  </si>
  <si>
    <t>TCK-000866</t>
  </si>
  <si>
    <t>TCK-003016</t>
  </si>
  <si>
    <t>TCK-001710</t>
  </si>
  <si>
    <t>TCK-005889</t>
  </si>
  <si>
    <t>TCK-001246</t>
  </si>
  <si>
    <t>TCK-003670</t>
  </si>
  <si>
    <t>TCK-004997</t>
  </si>
  <si>
    <t>TCK-001529</t>
  </si>
  <si>
    <t>TCK-004698</t>
  </si>
  <si>
    <t>TCK-005388</t>
  </si>
  <si>
    <t>TCK-003107</t>
  </si>
  <si>
    <t>TCK-000218</t>
  </si>
  <si>
    <t>TCK-004310</t>
  </si>
  <si>
    <t>TCK-004132</t>
  </si>
  <si>
    <t>TCK-002956</t>
  </si>
  <si>
    <t>TCK-003695</t>
  </si>
  <si>
    <t>TCK-004464</t>
  </si>
  <si>
    <t>TCK-004109</t>
  </si>
  <si>
    <t>TCK-000477</t>
  </si>
  <si>
    <t>TCK-003416</t>
  </si>
  <si>
    <t>TCK-003271</t>
  </si>
  <si>
    <t>TCK-005817</t>
  </si>
  <si>
    <t>TCK-002283</t>
  </si>
  <si>
    <t>TCK-002744</t>
  </si>
  <si>
    <t>TCK-005181</t>
  </si>
  <si>
    <t>TCK-000729</t>
  </si>
  <si>
    <t>TCK-001633</t>
  </si>
  <si>
    <t>TCK-004046</t>
  </si>
  <si>
    <t>TCK-000014</t>
  </si>
  <si>
    <t>TCK-001024</t>
  </si>
  <si>
    <t>TCK-005061</t>
  </si>
  <si>
    <t>TCK-004704</t>
  </si>
  <si>
    <t>TCK-000436</t>
  </si>
  <si>
    <t>TCK-004114</t>
  </si>
  <si>
    <t>TCK-001783</t>
  </si>
  <si>
    <t>TCK-001804</t>
  </si>
  <si>
    <t>TCK-001115</t>
  </si>
  <si>
    <t>TCK-003380</t>
  </si>
  <si>
    <t>TCK-002390</t>
  </si>
  <si>
    <t>TCK-001954</t>
  </si>
  <si>
    <t>TCK-000345</t>
  </si>
  <si>
    <t>TCK-000033</t>
  </si>
  <si>
    <t>TCK-003936</t>
  </si>
  <si>
    <t>TCK-002600</t>
  </si>
  <si>
    <t>TCK-002647</t>
  </si>
  <si>
    <t>TCK-005814</t>
  </si>
  <si>
    <t>TCK-004129</t>
  </si>
  <si>
    <t>TCK-000373</t>
  </si>
  <si>
    <t>TCK-000658</t>
  </si>
  <si>
    <t>TCK-003743</t>
  </si>
  <si>
    <t>TCK-001087</t>
  </si>
  <si>
    <t>TCK-003099</t>
  </si>
  <si>
    <t>TCK-002249</t>
  </si>
  <si>
    <t>TCK-005413</t>
  </si>
  <si>
    <t>TCK-000861</t>
  </si>
  <si>
    <t>TCK-005704</t>
  </si>
  <si>
    <t>TCK-004141</t>
  </si>
  <si>
    <t>TCK-001535</t>
  </si>
  <si>
    <t>TCK-002593</t>
  </si>
  <si>
    <t>TCK-000490</t>
  </si>
  <si>
    <t>TCK-004600</t>
  </si>
  <si>
    <t>TCK-000134</t>
  </si>
  <si>
    <t>TCK-002109</t>
  </si>
  <si>
    <t>TCK-000691</t>
  </si>
  <si>
    <t>TCK-002075</t>
  </si>
  <si>
    <t>TCK-002149</t>
  </si>
  <si>
    <t>TCK-003604</t>
  </si>
  <si>
    <t>TCK-005071</t>
  </si>
  <si>
    <t>TCK-005785</t>
  </si>
  <si>
    <t>TCK-004873</t>
  </si>
  <si>
    <t>TCK-004885</t>
  </si>
  <si>
    <t>TCK-000364</t>
  </si>
  <si>
    <t>TCK-004892</t>
  </si>
  <si>
    <t>TCK-001629</t>
  </si>
  <si>
    <t>TCK-001277</t>
  </si>
  <si>
    <t>TCK-005036</t>
  </si>
  <si>
    <t>TCK-005602</t>
  </si>
  <si>
    <t>TCK-002490</t>
  </si>
  <si>
    <t>TCK-000648</t>
  </si>
  <si>
    <t>TCK-001004</t>
  </si>
  <si>
    <t>TCK-002525</t>
  </si>
  <si>
    <t>TCK-002111</t>
  </si>
  <si>
    <t>TCK-001173</t>
  </si>
  <si>
    <t>TCK-000484</t>
  </si>
  <si>
    <t>TCK-001811</t>
  </si>
  <si>
    <t>TCK-003330</t>
  </si>
  <si>
    <t>TCK-004149</t>
  </si>
  <si>
    <t>TCK-000243</t>
  </si>
  <si>
    <t>TCK-002084</t>
  </si>
  <si>
    <t>TCK-001203</t>
  </si>
  <si>
    <t>TCK-003752</t>
  </si>
  <si>
    <t>TCK-004835</t>
  </si>
  <si>
    <t>TCK-002169</t>
  </si>
  <si>
    <t>TCK-005396</t>
  </si>
  <si>
    <t>TCK-002093</t>
  </si>
  <si>
    <t>TCK-003373</t>
  </si>
  <si>
    <t>TCK-004933</t>
  </si>
  <si>
    <t>TCK-002125</t>
  </si>
  <si>
    <t>TCK-001745</t>
  </si>
  <si>
    <t>TCK-004465</t>
  </si>
  <si>
    <t>TCK-002955</t>
  </si>
  <si>
    <t>TCK-003285</t>
  </si>
  <si>
    <t>TCK-004364</t>
  </si>
  <si>
    <t>TCK-003384</t>
  </si>
  <si>
    <t>TCK-004825</t>
  </si>
  <si>
    <t>TCK-002493</t>
  </si>
  <si>
    <t>TCK-001520</t>
  </si>
  <si>
    <t>TCK-001034</t>
  </si>
  <si>
    <t>TCK-001713</t>
  </si>
  <si>
    <t>TCK-000296</t>
  </si>
  <si>
    <t>TCK-001849</t>
  </si>
  <si>
    <t>TCK-004722</t>
  </si>
  <si>
    <t>TCK-004374</t>
  </si>
  <si>
    <t>TCK-000498</t>
  </si>
  <si>
    <t>TCK-000485</t>
  </si>
  <si>
    <t>TCK-001521</t>
  </si>
  <si>
    <t>TCK-000183</t>
  </si>
  <si>
    <t>TCK-005067</t>
  </si>
  <si>
    <t>TCK-005948</t>
  </si>
  <si>
    <t>TCK-000685</t>
  </si>
  <si>
    <t>TCK-001769</t>
  </si>
  <si>
    <t>TCK-004955</t>
  </si>
  <si>
    <t>TCK-005277</t>
  </si>
  <si>
    <t>TCK-002051</t>
  </si>
  <si>
    <t>TCK-000755</t>
  </si>
  <si>
    <t>TCK-004605</t>
  </si>
  <si>
    <t>TCK-002546</t>
  </si>
  <si>
    <t>TCK-003362</t>
  </si>
  <si>
    <t>TCK-003633</t>
  </si>
  <si>
    <t>TCK-001439</t>
  </si>
  <si>
    <t>TCK-001446</t>
  </si>
  <si>
    <t>TCK-004238</t>
  </si>
  <si>
    <t>TCK-000865</t>
  </si>
  <si>
    <t>TCK-002232</t>
  </si>
  <si>
    <t>TCK-002323</t>
  </si>
  <si>
    <t>TCK-005107</t>
  </si>
  <si>
    <t>TCK-002961</t>
  </si>
  <si>
    <t>TCK-003745</t>
  </si>
  <si>
    <t>TCK-004945</t>
  </si>
  <si>
    <t>TCK-003985</t>
  </si>
  <si>
    <t>TCK-002780</t>
  </si>
  <si>
    <t>TCK-003684</t>
  </si>
  <si>
    <t>TCK-003045</t>
  </si>
  <si>
    <t>TCK-004984</t>
  </si>
  <si>
    <t>TCK-004214</t>
  </si>
  <si>
    <t>TCK-003074</t>
  </si>
  <si>
    <t>TCK-002162</t>
  </si>
  <si>
    <t>TCK-000546</t>
  </si>
  <si>
    <t>TCK-001790</t>
  </si>
  <si>
    <t>TCK-002214</t>
  </si>
  <si>
    <t>TCK-004040</t>
  </si>
  <si>
    <t>TCK-002233</t>
  </si>
  <si>
    <t>TCK-001397</t>
  </si>
  <si>
    <t>TCK-000275</t>
  </si>
  <si>
    <t>TCK-000705</t>
  </si>
  <si>
    <t>TCK-001025</t>
  </si>
  <si>
    <t>TCK-005687</t>
  </si>
  <si>
    <t>TCK-005661</t>
  </si>
  <si>
    <t>TCK-005839</t>
  </si>
  <si>
    <t>TCK-000384</t>
  </si>
  <si>
    <t>TCK-005526</t>
  </si>
  <si>
    <t>TCK-002610</t>
  </si>
  <si>
    <t>TCK-005926</t>
  </si>
  <si>
    <t>TCK-004273</t>
  </si>
  <si>
    <t>TCK-005456</t>
  </si>
  <si>
    <t>TCK-003244</t>
  </si>
  <si>
    <t>TCK-002568</t>
  </si>
  <si>
    <t>TCK-004927</t>
  </si>
  <si>
    <t>TCK-001643</t>
  </si>
  <si>
    <t>TCK-005730</t>
  </si>
  <si>
    <t>TCK-004719</t>
  </si>
  <si>
    <t>TCK-000859</t>
  </si>
  <si>
    <t>TCK-004020</t>
  </si>
  <si>
    <t>TCK-004738</t>
  </si>
  <si>
    <t>TCK-003389</t>
  </si>
  <si>
    <t>TCK-002307</t>
  </si>
  <si>
    <t>TCK-000835</t>
  </si>
  <si>
    <t>TCK-002711</t>
  </si>
  <si>
    <t>TCK-001499</t>
  </si>
  <si>
    <t>TCK-004434</t>
  </si>
  <si>
    <t>TCK-003611</t>
  </si>
  <si>
    <t>TCK-003577</t>
  </si>
  <si>
    <t>TCK-001448</t>
  </si>
  <si>
    <t>TCK-005781</t>
  </si>
  <si>
    <t>TCK-002529</t>
  </si>
  <si>
    <t>TCK-005240</t>
  </si>
  <si>
    <t>TCK-001706</t>
  </si>
  <si>
    <t>TCK-002924</t>
  </si>
  <si>
    <t>TCK-005835</t>
  </si>
  <si>
    <t>TCK-002708</t>
  </si>
  <si>
    <t>TCK-003070</t>
  </si>
  <si>
    <t>TCK-000790</t>
  </si>
  <si>
    <t>TCK-001668</t>
  </si>
  <si>
    <t>TCK-003322</t>
  </si>
  <si>
    <t>TCK-001689</t>
  </si>
  <si>
    <t>TCK-005995</t>
  </si>
  <si>
    <t>Nom_Agent</t>
  </si>
  <si>
    <t>Equipe</t>
  </si>
  <si>
    <t>Date_Embauche</t>
  </si>
  <si>
    <t>Type_Contrat</t>
  </si>
  <si>
    <t>Statut_Actif</t>
  </si>
  <si>
    <t>AG-001</t>
  </si>
  <si>
    <t>Adam Robert</t>
  </si>
  <si>
    <t>Support Facturation</t>
  </si>
  <si>
    <t>CDI</t>
  </si>
  <si>
    <t>Actif</t>
  </si>
  <si>
    <t>AG-002</t>
  </si>
  <si>
    <t>Zoe Thomas</t>
  </si>
  <si>
    <t>Support Technique</t>
  </si>
  <si>
    <t>Inactif</t>
  </si>
  <si>
    <t>Louis Bernard</t>
  </si>
  <si>
    <t>Support N1</t>
  </si>
  <si>
    <t>Interim</t>
  </si>
  <si>
    <t>AG-004</t>
  </si>
  <si>
    <t>Nathan Vincent</t>
  </si>
  <si>
    <t>Paul Bernard</t>
  </si>
  <si>
    <t>Support VIP</t>
  </si>
  <si>
    <t>Manon Bernard</t>
  </si>
  <si>
    <t>Alternance</t>
  </si>
  <si>
    <t>CDD</t>
  </si>
  <si>
    <t>Paul Durand</t>
  </si>
  <si>
    <t>AG-009</t>
  </si>
  <si>
    <t>Lina Durand</t>
  </si>
  <si>
    <t>Raphael Fournier</t>
  </si>
  <si>
    <t>Lea Leroy</t>
  </si>
  <si>
    <t>Adam David</t>
  </si>
  <si>
    <t>Camille Petit</t>
  </si>
  <si>
    <t>Lina Bertrand</t>
  </si>
  <si>
    <t>Jules Bertrand</t>
  </si>
  <si>
    <t>Raphael Simon</t>
  </si>
  <si>
    <t>Raphael Lefebvre</t>
  </si>
  <si>
    <t>Support N2</t>
  </si>
  <si>
    <t>Louis Simon</t>
  </si>
  <si>
    <t>Julia Dubois</t>
  </si>
  <si>
    <t>Hugo Garcia</t>
  </si>
  <si>
    <t>Gabriel Leroy</t>
  </si>
  <si>
    <t>Manon Martin</t>
  </si>
  <si>
    <t>Lucas Robert</t>
  </si>
  <si>
    <t>Zoe Michel</t>
  </si>
  <si>
    <t>Gabriel Bernard</t>
  </si>
  <si>
    <t>Chloe Laurent</t>
  </si>
  <si>
    <t>Hugo Vincent</t>
  </si>
  <si>
    <t>AG-030</t>
  </si>
  <si>
    <t>Louis Morel</t>
  </si>
  <si>
    <t>Lina Lefebvre</t>
  </si>
  <si>
    <t>Raphael Bertrand</t>
  </si>
  <si>
    <t>Adam Moreau</t>
  </si>
  <si>
    <t>Arthur Lefebvre</t>
  </si>
  <si>
    <t>Ines Dubois</t>
  </si>
  <si>
    <t>Sarah Leroy</t>
  </si>
  <si>
    <t>Julia Lefebvre</t>
  </si>
  <si>
    <t>Sarah Dubois</t>
  </si>
  <si>
    <t>Date</t>
  </si>
  <si>
    <t>Heures_Travaillees</t>
  </si>
  <si>
    <t>Tickets_Traites</t>
  </si>
  <si>
    <t>Absence</t>
  </si>
  <si>
    <t>Non</t>
  </si>
  <si>
    <t>Oui - Conges</t>
  </si>
  <si>
    <t>Oui - Maladie</t>
  </si>
  <si>
    <t>ID_Enquete</t>
  </si>
  <si>
    <t>Date_Reponse</t>
  </si>
  <si>
    <t>CSAT</t>
  </si>
  <si>
    <t>NPS</t>
  </si>
  <si>
    <t>Commentaire_Client</t>
  </si>
  <si>
    <t>ENQ-003926</t>
  </si>
  <si>
    <t>ENQ-000249</t>
  </si>
  <si>
    <t>Deception</t>
  </si>
  <si>
    <t>ENQ-001848</t>
  </si>
  <si>
    <t>ENQ-001553</t>
  </si>
  <si>
    <t>ENQ-000668</t>
  </si>
  <si>
    <t>ENQ-001123</t>
  </si>
  <si>
    <t>ENQ-001772</t>
  </si>
  <si>
    <t>Agent tres pro</t>
  </si>
  <si>
    <t>ENQ-001681</t>
  </si>
  <si>
    <t>ENQ-000985</t>
  </si>
  <si>
    <t>ENQ-001334</t>
  </si>
  <si>
    <t>ENQ-005137</t>
  </si>
  <si>
    <t>Tres satisfait</t>
  </si>
  <si>
    <t>ENQ-001412</t>
  </si>
  <si>
    <t>ENQ-005801</t>
  </si>
  <si>
    <t>ENQ-003584</t>
  </si>
  <si>
    <t>ENQ-001153</t>
  </si>
  <si>
    <t>ENQ-004754</t>
  </si>
  <si>
    <t>ENQ-000315</t>
  </si>
  <si>
    <t>Reponse trop lente</t>
  </si>
  <si>
    <t>ENQ-003937</t>
  </si>
  <si>
    <t>ENQ-004003</t>
  </si>
  <si>
    <t>ENQ-000970</t>
  </si>
  <si>
    <t>ENQ-001722</t>
  </si>
  <si>
    <t>ENQ-005722</t>
  </si>
  <si>
    <t>ENQ-004415</t>
  </si>
  <si>
    <t>ENQ-004456</t>
  </si>
  <si>
    <t>ENQ-002306</t>
  </si>
  <si>
    <t>ENQ-002260</t>
  </si>
  <si>
    <t>ENQ-002379</t>
  </si>
  <si>
    <t>ENQ-001741</t>
  </si>
  <si>
    <t>ENQ-001804</t>
  </si>
  <si>
    <t>ENQ-003865</t>
  </si>
  <si>
    <t>ENQ-002052</t>
  </si>
  <si>
    <t>ENQ-001447</t>
  </si>
  <si>
    <t>ENQ-003054</t>
  </si>
  <si>
    <t>ENQ-000391</t>
  </si>
  <si>
    <t>ENQ-004797</t>
  </si>
  <si>
    <t>ENQ-002478</t>
  </si>
  <si>
    <t>ENQ-001071</t>
  </si>
  <si>
    <t>ENQ-002272</t>
  </si>
  <si>
    <t>ENQ-003736</t>
  </si>
  <si>
    <t>ENQ-005863</t>
  </si>
  <si>
    <t>ENQ-000892</t>
  </si>
  <si>
    <t>ENQ-005088</t>
  </si>
  <si>
    <t>ENQ-003105</t>
  </si>
  <si>
    <t>ENQ-003499</t>
  </si>
  <si>
    <t>ENQ-000261</t>
  </si>
  <si>
    <t>ENQ-001170</t>
  </si>
  <si>
    <t>ENQ-000051</t>
  </si>
  <si>
    <t>ENQ-000816</t>
  </si>
  <si>
    <t>ENQ-004853</t>
  </si>
  <si>
    <t>ENQ-000851</t>
  </si>
  <si>
    <t>ENQ-001317</t>
  </si>
  <si>
    <t>ENQ-001311</t>
  </si>
  <si>
    <t>ENQ-002016</t>
  </si>
  <si>
    <t>ENQ-003556</t>
  </si>
  <si>
    <t>ENQ-001656</t>
  </si>
  <si>
    <t>ENQ-005926</t>
  </si>
  <si>
    <t>ENQ-002711</t>
  </si>
  <si>
    <t>ENQ-003476</t>
  </si>
  <si>
    <t>ENQ-006059</t>
  </si>
  <si>
    <t>ENQ-003395</t>
  </si>
  <si>
    <t>ENQ-004253</t>
  </si>
  <si>
    <t>ENQ-006078</t>
  </si>
  <si>
    <t>ENQ-001859</t>
  </si>
  <si>
    <t>ENQ-005291</t>
  </si>
  <si>
    <t>ENQ-003730</t>
  </si>
  <si>
    <t>ENQ-005311</t>
  </si>
  <si>
    <t>ENQ-005545</t>
  </si>
  <si>
    <t>ENQ-004425</t>
  </si>
  <si>
    <t>ENQ-003832</t>
  </si>
  <si>
    <t>ENQ-000457</t>
  </si>
  <si>
    <t>ENQ-000238</t>
  </si>
  <si>
    <t>ENQ-004672</t>
  </si>
  <si>
    <t>ENQ-004049</t>
  </si>
  <si>
    <t>ENQ-005649</t>
  </si>
  <si>
    <t>ENQ-005844</t>
  </si>
  <si>
    <t>TCK_003115</t>
  </si>
  <si>
    <t>ENQ-001784</t>
  </si>
  <si>
    <t>ENQ-000529</t>
  </si>
  <si>
    <t>ENQ-002426</t>
  </si>
  <si>
    <t>ENQ-005202</t>
  </si>
  <si>
    <t>ENQ-001661</t>
  </si>
  <si>
    <t>ENQ-000386</t>
  </si>
  <si>
    <t>ENQ-002243</t>
  </si>
  <si>
    <t>ENQ-005493</t>
  </si>
  <si>
    <t>ENQ-002459</t>
  </si>
  <si>
    <t>ENQ-004054</t>
  </si>
  <si>
    <t>ENQ-002199</t>
  </si>
  <si>
    <t>ENQ-004228</t>
  </si>
  <si>
    <t>ENQ-004942</t>
  </si>
  <si>
    <t>ENQ-000234</t>
  </si>
  <si>
    <t>ENQ-005753</t>
  </si>
  <si>
    <t>ENQ-003143</t>
  </si>
  <si>
    <t>ENQ-005726</t>
  </si>
  <si>
    <t>ENQ-003628</t>
  </si>
  <si>
    <t>ENQ-000194</t>
  </si>
  <si>
    <t>ENQ-002435</t>
  </si>
  <si>
    <t>ENQ-004587</t>
  </si>
  <si>
    <t>ENQ-004356</t>
  </si>
  <si>
    <t>ENQ-003512</t>
  </si>
  <si>
    <t>ENQ-004973</t>
  </si>
  <si>
    <t>ENQ-003864</t>
  </si>
  <si>
    <t>ENQ-005520</t>
  </si>
  <si>
    <t>ENQ-002169</t>
  </si>
  <si>
    <t>ENQ-002009</t>
  </si>
  <si>
    <t>ENQ-000453</t>
  </si>
  <si>
    <t>ENQ-004145</t>
  </si>
  <si>
    <t>ENQ-002294</t>
  </si>
  <si>
    <t>ENQ-004179</t>
  </si>
  <si>
    <t>TCK_003616</t>
  </si>
  <si>
    <t>ENQ-002667</t>
  </si>
  <si>
    <t>ENQ-003449</t>
  </si>
  <si>
    <t>ENQ-003821</t>
  </si>
  <si>
    <t>ENQ-000027</t>
  </si>
  <si>
    <t>ENQ-000984</t>
  </si>
  <si>
    <t>ENQ-001309</t>
  </si>
  <si>
    <t>ENQ-005628</t>
  </si>
  <si>
    <t>ENQ-001535</t>
  </si>
  <si>
    <t>ENQ-005862</t>
  </si>
  <si>
    <t>ENQ-004306</t>
  </si>
  <si>
    <t>ENQ-005140</t>
  </si>
  <si>
    <t>ENQ-001801</t>
  </si>
  <si>
    <t>ENQ-000030</t>
  </si>
  <si>
    <t>ENQ-002651</t>
  </si>
  <si>
    <t>ENQ-005891</t>
  </si>
  <si>
    <t>ENQ-002798</t>
  </si>
  <si>
    <t>ENQ-001666</t>
  </si>
  <si>
    <t>ENQ-005718</t>
  </si>
  <si>
    <t>ENQ-005706</t>
  </si>
  <si>
    <t>ENQ-001704</t>
  </si>
  <si>
    <t>ENQ-000955</t>
  </si>
  <si>
    <t>ENQ-002703</t>
  </si>
  <si>
    <t>ENQ-002445</t>
  </si>
  <si>
    <t>ENQ-001824</t>
  </si>
  <si>
    <t>ENQ-003825</t>
  </si>
  <si>
    <t>ENQ-004975</t>
  </si>
  <si>
    <t>ENQ-003369</t>
  </si>
  <si>
    <t>ENQ-003777</t>
  </si>
  <si>
    <t>ENQ-003978</t>
  </si>
  <si>
    <t>ENQ-005319</t>
  </si>
  <si>
    <t>ENQ-003525</t>
  </si>
  <si>
    <t>ENQ-003962</t>
  </si>
  <si>
    <t>ENQ-003136</t>
  </si>
  <si>
    <t>ENQ-002664</t>
  </si>
  <si>
    <t>ENQ-000792</t>
  </si>
  <si>
    <t>ENQ-005595</t>
  </si>
  <si>
    <t>ENQ-004828</t>
  </si>
  <si>
    <t>ENQ-003819</t>
  </si>
  <si>
    <t>ENQ-001386</t>
  </si>
  <si>
    <t>ENQ-001136</t>
  </si>
  <si>
    <t>ENQ-001229</t>
  </si>
  <si>
    <t>ENQ-004389</t>
  </si>
  <si>
    <t>ENQ-000904</t>
  </si>
  <si>
    <t>ENQ-003290</t>
  </si>
  <si>
    <t>ENQ-005294</t>
  </si>
  <si>
    <t>ENQ-005858</t>
  </si>
  <si>
    <t>ENQ-004160</t>
  </si>
  <si>
    <t>ENQ-004719</t>
  </si>
  <si>
    <t>ENQ-002394</t>
  </si>
  <si>
    <t>ENQ-004946</t>
  </si>
  <si>
    <t>ENQ-001227</t>
  </si>
  <si>
    <t>ENQ-005774</t>
  </si>
  <si>
    <t>ENQ-004895</t>
  </si>
  <si>
    <t>ENQ-004869</t>
  </si>
  <si>
    <t>ENQ-001352</t>
  </si>
  <si>
    <t>ENQ-003911</t>
  </si>
  <si>
    <t>ENQ-005018</t>
  </si>
  <si>
    <t>ENQ-001110</t>
  </si>
  <si>
    <t>ENQ-002068</t>
  </si>
  <si>
    <t>ENQ-001130</t>
  </si>
  <si>
    <t>ENQ-005916</t>
  </si>
  <si>
    <t>ENQ-003294</t>
  </si>
  <si>
    <t>ENQ-004203</t>
  </si>
  <si>
    <t>ENQ-002106</t>
  </si>
  <si>
    <t>ENQ-003335</t>
  </si>
  <si>
    <t>ENQ-000744</t>
  </si>
  <si>
    <t>ENQ-001888</t>
  </si>
  <si>
    <t>ENQ-005914</t>
  </si>
  <si>
    <t>ENQ-005043</t>
  </si>
  <si>
    <t>ENQ-000106</t>
  </si>
  <si>
    <t>ENQ-002957</t>
  </si>
  <si>
    <t>ENQ-000047</t>
  </si>
  <si>
    <t>ENQ-005192</t>
  </si>
  <si>
    <t>ENQ-005278</t>
  </si>
  <si>
    <t>ENQ-003007</t>
  </si>
  <si>
    <t>ENQ-002092</t>
  </si>
  <si>
    <t>ENQ-000024</t>
  </si>
  <si>
    <t>ENQ-005967</t>
  </si>
  <si>
    <t>ENQ-002552</t>
  </si>
  <si>
    <t>ENQ-004526</t>
  </si>
  <si>
    <t>ENQ-004329</t>
  </si>
  <si>
    <t>ENQ-000986</t>
  </si>
  <si>
    <t>ENQ-004824</t>
  </si>
  <si>
    <t>ENQ-006010</t>
  </si>
  <si>
    <t>ENQ-002686</t>
  </si>
  <si>
    <t>ENQ-003284</t>
  </si>
  <si>
    <t>ENQ-000817</t>
  </si>
  <si>
    <t>ENQ-003185</t>
  </si>
  <si>
    <t>ENQ-004967</t>
  </si>
  <si>
    <t>ENQ-002851</t>
  </si>
  <si>
    <t>ENQ-002961</t>
  </si>
  <si>
    <t>ENQ-005563</t>
  </si>
  <si>
    <t>ENQ-006072</t>
  </si>
  <si>
    <t>ENQ-004680</t>
  </si>
  <si>
    <t>ENQ-005961</t>
  </si>
  <si>
    <t>ENQ-005698</t>
  </si>
  <si>
    <t>ENQ-005813</t>
  </si>
  <si>
    <t>ENQ-002730</t>
  </si>
  <si>
    <t>ENQ-002890</t>
  </si>
  <si>
    <t>ENQ-004896</t>
  </si>
  <si>
    <t>ENQ-004476</t>
  </si>
  <si>
    <t>ENQ-003403</t>
  </si>
  <si>
    <t>ENQ-000963</t>
  </si>
  <si>
    <t>ENQ-004703</t>
  </si>
  <si>
    <t>ENQ-004159</t>
  </si>
  <si>
    <t>ENQ-001314</t>
  </si>
  <si>
    <t>ENQ-001954</t>
  </si>
  <si>
    <t>ENQ-004910</t>
  </si>
  <si>
    <t>ENQ-001984</t>
  </si>
  <si>
    <t>ENQ-004070</t>
  </si>
  <si>
    <t>ENQ-005035</t>
  </si>
  <si>
    <t>ENQ-004422</t>
  </si>
  <si>
    <t>ENQ-000195</t>
  </si>
  <si>
    <t>ENQ-002564</t>
  </si>
  <si>
    <t>ENQ-004314</t>
  </si>
  <si>
    <t>ENQ-001205</t>
  </si>
  <si>
    <t>ENQ-003334</t>
  </si>
  <si>
    <t>ENQ-004452</t>
  </si>
  <si>
    <t>ENQ-003406</t>
  </si>
  <si>
    <t>ENQ-005841</t>
  </si>
  <si>
    <t>ENQ-001425</t>
  </si>
  <si>
    <t>ENQ-005621</t>
  </si>
  <si>
    <t>ENQ-001487</t>
  </si>
  <si>
    <t>ENQ-002170</t>
  </si>
  <si>
    <t>ENQ-004451</t>
  </si>
  <si>
    <t>ENQ-002616</t>
  </si>
  <si>
    <t>ENQ-000336</t>
  </si>
  <si>
    <t>ENQ-000942</t>
  </si>
  <si>
    <t>ENQ-000006</t>
  </si>
  <si>
    <t>ENQ-003088</t>
  </si>
  <si>
    <t>ENQ-002824</t>
  </si>
  <si>
    <t>ENQ-002757</t>
  </si>
  <si>
    <t>ENQ-002450</t>
  </si>
  <si>
    <t>ENQ-002191</t>
  </si>
  <si>
    <t>ENQ-003263</t>
  </si>
  <si>
    <t>ENQ-002547</t>
  </si>
  <si>
    <t>ENQ-001755</t>
  </si>
  <si>
    <t>ENQ-002160</t>
  </si>
  <si>
    <t>ENQ-001037</t>
  </si>
  <si>
    <t>ENQ-000959</t>
  </si>
  <si>
    <t>ENQ-002580</t>
  </si>
  <si>
    <t>ENQ-005280</t>
  </si>
  <si>
    <t>ENQ-002624</t>
  </si>
  <si>
    <t>ENQ-001402</t>
  </si>
  <si>
    <t>ENQ-004051</t>
  </si>
  <si>
    <t>ENQ-002156</t>
  </si>
  <si>
    <t>ENQ-004921</t>
  </si>
  <si>
    <t>ENQ-000609</t>
  </si>
  <si>
    <t>ENQ-002368</t>
  </si>
  <si>
    <t>ENQ-005153</t>
  </si>
  <si>
    <t>ENQ-000153</t>
  </si>
  <si>
    <t>ENQ-001983</t>
  </si>
  <si>
    <t>ENQ-005562</t>
  </si>
  <si>
    <t>ENQ-001091</t>
  </si>
  <si>
    <t>ENQ-003738</t>
  </si>
  <si>
    <t>ENQ-004633</t>
  </si>
  <si>
    <t>ENQ-002216</t>
  </si>
  <si>
    <t>ENQ-003430</t>
  </si>
  <si>
    <t>ENQ-005751</t>
  </si>
  <si>
    <t>ENQ-001188</t>
  </si>
  <si>
    <t>ENQ-000740</t>
  </si>
  <si>
    <t>ENQ-004251</t>
  </si>
  <si>
    <t>ENQ-005147</t>
  </si>
  <si>
    <t>ENQ-001388</t>
  </si>
  <si>
    <t>ENQ-002622</t>
  </si>
  <si>
    <t>ENQ-004351</t>
  </si>
  <si>
    <t>ENQ-000191</t>
  </si>
  <si>
    <t>ENQ-002721</t>
  </si>
  <si>
    <t>ENQ-005094</t>
  </si>
  <si>
    <t>ENQ-004610</t>
  </si>
  <si>
    <t>ENQ-005448</t>
  </si>
  <si>
    <t>ENQ-004035</t>
  </si>
  <si>
    <t>ENQ-000246</t>
  </si>
  <si>
    <t>ENQ-000768</t>
  </si>
  <si>
    <t>ENQ-003913</t>
  </si>
  <si>
    <t>ENQ-004011</t>
  </si>
  <si>
    <t>ENQ-002971</t>
  </si>
  <si>
    <t>ENQ-005186</t>
  </si>
  <si>
    <t>ENQ-005856</t>
  </si>
  <si>
    <t>ENQ-002544</t>
  </si>
  <si>
    <t>ENQ-005840</t>
  </si>
  <si>
    <t>ENQ-001881</t>
  </si>
  <si>
    <t>ENQ-001327</t>
  </si>
  <si>
    <t>ENQ-002877</t>
  </si>
  <si>
    <t>ENQ-000031</t>
  </si>
  <si>
    <t>ENQ-005924</t>
  </si>
  <si>
    <t>ENQ-002777</t>
  </si>
  <si>
    <t>ENQ-001559</t>
  </si>
  <si>
    <t>ENQ-001819</t>
  </si>
  <si>
    <t>ENQ-002962</t>
  </si>
  <si>
    <t>ENQ-002313</t>
  </si>
  <si>
    <t>ENQ-003779</t>
  </si>
  <si>
    <t>ENQ-005656</t>
  </si>
  <si>
    <t>ENQ-001100</t>
  </si>
  <si>
    <t>ENQ-004677</t>
  </si>
  <si>
    <t>ENQ-001248</t>
  </si>
  <si>
    <t>ENQ-004692</t>
  </si>
  <si>
    <t>TCK-005000</t>
  </si>
  <si>
    <t>ENQ-000541</t>
  </si>
  <si>
    <t>ENQ-005917</t>
  </si>
  <si>
    <t>ENQ-004971</t>
  </si>
  <si>
    <t>ENQ-001477</t>
  </si>
  <si>
    <t>ENQ-004629</t>
  </si>
  <si>
    <t>ENQ-002069</t>
  </si>
  <si>
    <t>ENQ-004888</t>
  </si>
  <si>
    <t>ENQ-001501</t>
  </si>
  <si>
    <t>ENQ-005302</t>
  </si>
  <si>
    <t>ENQ-003211</t>
  </si>
  <si>
    <t>ENQ-004697</t>
  </si>
  <si>
    <t>ENQ-003377</t>
  </si>
  <si>
    <t>ENQ-002603</t>
  </si>
  <si>
    <t>ENQ-004689</t>
  </si>
  <si>
    <t>ENQ-006094</t>
  </si>
  <si>
    <t>ENQ-004956</t>
  </si>
  <si>
    <t>ENQ-003308</t>
  </si>
  <si>
    <t>ENQ-005690</t>
  </si>
  <si>
    <t>ENQ-001934</t>
  </si>
  <si>
    <t>ENQ-004985</t>
  </si>
  <si>
    <t>ENQ-005361</t>
  </si>
  <si>
    <t>ENQ-003958</t>
  </si>
  <si>
    <t>ENQ-004749</t>
  </si>
  <si>
    <t>ENQ-003638</t>
  </si>
  <si>
    <t>ENQ-004259</t>
  </si>
  <si>
    <t>ENQ-000096</t>
  </si>
  <si>
    <t>ENQ-002195</t>
  </si>
  <si>
    <t>ENQ-003883</t>
  </si>
  <si>
    <t>ENQ-002346</t>
  </si>
  <si>
    <t>ENQ-005404</t>
  </si>
  <si>
    <t>ENQ-005518</t>
  </si>
  <si>
    <t>ENQ-000627</t>
  </si>
  <si>
    <t>ENQ-002749</t>
  </si>
  <si>
    <t>ENQ-003392</t>
  </si>
  <si>
    <t>ENQ-003122</t>
  </si>
  <si>
    <t>ENQ-003342</t>
  </si>
  <si>
    <t>ENQ-003899</t>
  </si>
  <si>
    <t>ENQ-000042</t>
  </si>
  <si>
    <t>ENQ-003693</t>
  </si>
  <si>
    <t>ENQ-004015</t>
  </si>
  <si>
    <t>ENQ-006042</t>
  </si>
  <si>
    <t>ENQ-003250</t>
  </si>
  <si>
    <t>ENQ-001219</t>
  </si>
  <si>
    <t>ENQ-004148</t>
  </si>
  <si>
    <t>ENQ-000563</t>
  </si>
  <si>
    <t>ENQ-000168</t>
  </si>
  <si>
    <t>ENQ-003938</t>
  </si>
  <si>
    <t>ENQ-001567</t>
  </si>
  <si>
    <t>ENQ-005859</t>
  </si>
  <si>
    <t>ENQ-005948</t>
  </si>
  <si>
    <t>ENQ-004738</t>
  </si>
  <si>
    <t>ENQ-000491</t>
  </si>
  <si>
    <t>ENQ-002319</t>
  </si>
  <si>
    <t>ENQ-002279</t>
  </si>
  <si>
    <t>ENQ-002347</t>
  </si>
  <si>
    <t>ENQ-003503</t>
  </si>
  <si>
    <t>ENQ-002237</t>
  </si>
  <si>
    <t>ENQ-000946</t>
  </si>
  <si>
    <t>ENQ-005919</t>
  </si>
  <si>
    <t>ENQ-001185</t>
  </si>
  <si>
    <t>ENQ-003643</t>
  </si>
  <si>
    <t>ENQ-000980</t>
  </si>
  <si>
    <t>ENQ-000858</t>
  </si>
  <si>
    <t>ENQ-002327</t>
  </si>
  <si>
    <t>ENQ-000902</t>
  </si>
  <si>
    <t>ENQ-004656</t>
  </si>
  <si>
    <t>ENQ-003276</t>
  </si>
  <si>
    <t>ENQ-004647</t>
  </si>
  <si>
    <t>ENQ-001500</t>
  </si>
  <si>
    <t>ENQ-002358</t>
  </si>
  <si>
    <t>ENQ-001831</t>
  </si>
  <si>
    <t>ENQ-003939</t>
  </si>
  <si>
    <t>ENQ-001717</t>
  </si>
  <si>
    <t>ENQ-002639</t>
  </si>
  <si>
    <t>ENQ-001276</t>
  </si>
  <si>
    <t>ENQ-003940</t>
  </si>
  <si>
    <t>ENQ-004674</t>
  </si>
  <si>
    <t>ENQ-004570</t>
  </si>
  <si>
    <t>ENQ-003633</t>
  </si>
  <si>
    <t>ENQ-004736</t>
  </si>
  <si>
    <t>ENQ-002202</t>
  </si>
  <si>
    <t>ENQ-001616</t>
  </si>
  <si>
    <t>ENQ-000000</t>
  </si>
  <si>
    <t>ENQ-005686</t>
  </si>
  <si>
    <t>ENQ-000524</t>
  </si>
  <si>
    <t>ENQ-001752</t>
  </si>
  <si>
    <t>ENQ-003241</t>
  </si>
  <si>
    <t>ENQ-003034</t>
  </si>
  <si>
    <t>ENQ-002604</t>
  </si>
  <si>
    <t>ENQ-002460</t>
  </si>
  <si>
    <t>ENQ-004770</t>
  </si>
  <si>
    <t>ENQ-002248</t>
  </si>
  <si>
    <t>ENQ-002948</t>
  </si>
  <si>
    <t>ENQ-005843</t>
  </si>
  <si>
    <t>ENQ-002207</t>
  </si>
  <si>
    <t>ENQ-003667</t>
  </si>
  <si>
    <t>ENQ-003745</t>
  </si>
  <si>
    <t>ENQ-001370</t>
  </si>
  <si>
    <t>ENQ-001345</t>
  </si>
  <si>
    <t>ENQ-001715</t>
  </si>
  <si>
    <t>ENQ-003946</t>
  </si>
  <si>
    <t>ENQ-000526</t>
  </si>
  <si>
    <t>ENQ-005529</t>
  </si>
  <si>
    <t>ENQ-005171</t>
  </si>
  <si>
    <t>ENQ-002915</t>
  </si>
  <si>
    <t>ENQ-001767</t>
  </si>
  <si>
    <t>ENQ-005772</t>
  </si>
  <si>
    <t>ENQ-005064</t>
  </si>
  <si>
    <t>ENQ-002151</t>
  </si>
  <si>
    <t>ENQ-003193</t>
  </si>
  <si>
    <t>ENQ-004509</t>
  </si>
  <si>
    <t>ENQ-002621</t>
  </si>
  <si>
    <t>ENQ-002783</t>
  </si>
  <si>
    <t>ENQ-003425</t>
  </si>
  <si>
    <t>ENQ-001421</t>
  </si>
  <si>
    <t>ENQ-003580</t>
  </si>
  <si>
    <t>ENQ-001083</t>
  </si>
  <si>
    <t>ENQ-000425</t>
  </si>
  <si>
    <t>ENQ-004141</t>
  </si>
  <si>
    <t>ENQ-004636</t>
  </si>
  <si>
    <t>ENQ-001826</t>
  </si>
  <si>
    <t>ENQ-002739</t>
  </si>
  <si>
    <t>ENQ-005102</t>
  </si>
  <si>
    <t>ENQ-000318</t>
  </si>
  <si>
    <t>ENQ-003240</t>
  </si>
  <si>
    <t>ENQ-000509</t>
  </si>
  <si>
    <t>ENQ-005216</t>
  </si>
  <si>
    <t>ENQ-002261</t>
  </si>
  <si>
    <t>ENQ-002404</t>
  </si>
  <si>
    <t>ENQ-003496</t>
  </si>
  <si>
    <t>ENQ-002581</t>
  </si>
  <si>
    <t>ENQ-000793</t>
  </si>
  <si>
    <t>ENQ-002302</t>
  </si>
  <si>
    <t>ENQ-000405</t>
  </si>
  <si>
    <t>ENQ-002990</t>
  </si>
  <si>
    <t>ENQ-000285</t>
  </si>
  <si>
    <t>ENQ-002754</t>
  </si>
  <si>
    <t>ENQ-001622</t>
  </si>
  <si>
    <t>ENQ-005889</t>
  </si>
  <si>
    <t>ENQ-000856</t>
  </si>
  <si>
    <t>ENQ-003661</t>
  </si>
  <si>
    <t>ENQ-001479</t>
  </si>
  <si>
    <t>ENQ-002901</t>
  </si>
  <si>
    <t>ENQ-001323</t>
  </si>
  <si>
    <t>ENQ-001284</t>
  </si>
  <si>
    <t>ENQ-002359</t>
  </si>
  <si>
    <t>ENQ-000054</t>
  </si>
  <si>
    <t>ENQ-001011</t>
  </si>
  <si>
    <t>ENQ-003455</t>
  </si>
  <si>
    <t>ENQ-005794</t>
  </si>
  <si>
    <t>ENQ-005026</t>
  </si>
  <si>
    <t>ENQ-004375</t>
  </si>
  <si>
    <t>ENQ-002792</t>
  </si>
  <si>
    <t>ENQ-001074</t>
  </si>
  <si>
    <t>ENQ-001988</t>
  </si>
  <si>
    <t>ENQ-004327</t>
  </si>
  <si>
    <t>ENQ-002760</t>
  </si>
  <si>
    <t>ENQ-001904</t>
  </si>
  <si>
    <t>ENQ-003782</t>
  </si>
  <si>
    <t>ENQ-005953</t>
  </si>
  <si>
    <t>ENQ-003489</t>
  </si>
  <si>
    <t>ENQ-005272</t>
  </si>
  <si>
    <t>ENQ-003800</t>
  </si>
  <si>
    <t>ENQ-006075</t>
  </si>
  <si>
    <t>ENQ-005907</t>
  </si>
  <si>
    <t>ENQ-002708</t>
  </si>
  <si>
    <t>ENQ-001295</t>
  </si>
  <si>
    <t>ENQ-003948</t>
  </si>
  <si>
    <t>ENQ-002625</t>
  </si>
  <si>
    <t>ENQ-005442</t>
  </si>
  <si>
    <t>ENQ-002026</t>
  </si>
  <si>
    <t>ENQ-001626</t>
  </si>
  <si>
    <t>ENQ-004272</t>
  </si>
  <si>
    <t>ENQ-000657</t>
  </si>
  <si>
    <t>ENQ-001925</t>
  </si>
  <si>
    <t>ENQ-004414</t>
  </si>
  <si>
    <t>ENQ-005932</t>
  </si>
  <si>
    <t>ENQ-003265</t>
  </si>
  <si>
    <t>ENQ-003637</t>
  </si>
  <si>
    <t>ENQ-000033</t>
  </si>
  <si>
    <t>ENQ-000652</t>
  </si>
  <si>
    <t>ENQ-000489</t>
  </si>
  <si>
    <t>ENQ-003658</t>
  </si>
  <si>
    <t>ENQ-005461</t>
  </si>
  <si>
    <t>ENQ-003353</t>
  </si>
  <si>
    <t>ENQ-004345</t>
  </si>
  <si>
    <t>ENQ-003593</t>
  </si>
  <si>
    <t>ENQ-002666</t>
  </si>
  <si>
    <t>ENQ-004438</t>
  </si>
  <si>
    <t>ENQ-002652</t>
  </si>
  <si>
    <t>ENQ-005927</t>
  </si>
  <si>
    <t>ENQ-004666</t>
  </si>
  <si>
    <t>ENQ-002746</t>
  </si>
  <si>
    <t>ENQ-003260</t>
  </si>
  <si>
    <t>ENQ-005378</t>
  </si>
  <si>
    <t>ENQ-005940</t>
  </si>
  <si>
    <t>ENQ-003710</t>
  </si>
  <si>
    <t>ENQ-003437</t>
  </si>
  <si>
    <t>ENQ-001215</t>
  </si>
  <si>
    <t>ENQ-002150</t>
  </si>
  <si>
    <t>ENQ-004902</t>
  </si>
  <si>
    <t>ENQ-002818</t>
  </si>
  <si>
    <t>ENQ-004355</t>
  </si>
  <si>
    <t>ENQ-001489</t>
  </si>
  <si>
    <t>ENQ-004255</t>
  </si>
  <si>
    <t>ENQ-004546</t>
  </si>
  <si>
    <t>ENQ-002250</t>
  </si>
  <si>
    <t>ENQ-004242</t>
  </si>
  <si>
    <t>ENQ-003146</t>
  </si>
  <si>
    <t>ENQ-004320</t>
  </si>
  <si>
    <t>ENQ-000456</t>
  </si>
  <si>
    <t>ENQ-001792</t>
  </si>
  <si>
    <t>ENQ-003046</t>
  </si>
  <si>
    <t>ENQ-001359</t>
  </si>
  <si>
    <t>ENQ-005915</t>
  </si>
  <si>
    <t>ENQ-000475</t>
  </si>
  <si>
    <t>ENQ-003852</t>
  </si>
  <si>
    <t>ENQ-002328</t>
  </si>
  <si>
    <t>ENQ-005659</t>
  </si>
  <si>
    <t>ENQ-004225</t>
  </si>
  <si>
    <t>ENQ-002866</t>
  </si>
  <si>
    <t>ENQ-005812</t>
  </si>
  <si>
    <t>ENQ-003039</t>
  </si>
  <si>
    <t>ENQ-002860</t>
  </si>
  <si>
    <t>ENQ-005060</t>
  </si>
  <si>
    <t>ENQ-004593</t>
  </si>
  <si>
    <t>ENQ-003729</t>
  </si>
  <si>
    <t>ENQ-000564</t>
  </si>
  <si>
    <t>ENQ-004010</t>
  </si>
  <si>
    <t>ENQ-000878</t>
  </si>
  <si>
    <t>ENQ-000721</t>
  </si>
  <si>
    <t>ENQ-005165</t>
  </si>
  <si>
    <t>ENQ-003477</t>
  </si>
  <si>
    <t>ENQ-001247</t>
  </si>
  <si>
    <t>ENQ-005571</t>
  </si>
  <si>
    <t>ENQ-000049</t>
  </si>
  <si>
    <t>ENQ-005569</t>
  </si>
  <si>
    <t>ENQ-000207</t>
  </si>
  <si>
    <t>ENQ-003361</t>
  </si>
  <si>
    <t>ENQ-005717</t>
  </si>
  <si>
    <t>ENQ-001209</t>
  </si>
  <si>
    <t>ENQ-001973</t>
  </si>
  <si>
    <t>ENQ-004265</t>
  </si>
  <si>
    <t>ENQ-001270</t>
  </si>
  <si>
    <t>ENQ-002221</t>
  </si>
  <si>
    <t>ENQ-004454</t>
  </si>
  <si>
    <t>ENQ-005234</t>
  </si>
  <si>
    <t>ENQ-000629</t>
  </si>
  <si>
    <t>ENQ-005752</t>
  </si>
  <si>
    <t>ENQ-002129</t>
  </si>
  <si>
    <t>ENQ-003388</t>
  </si>
  <si>
    <t>ENQ-005612</t>
  </si>
  <si>
    <t>ENQ-005787</t>
  </si>
  <si>
    <t>ENQ-000579</t>
  </si>
  <si>
    <t>ENQ-000810</t>
  </si>
  <si>
    <t>ENQ-000189</t>
  </si>
  <si>
    <t>ENQ-005668</t>
  </si>
  <si>
    <t>ENQ-004043</t>
  </si>
  <si>
    <t>ENQ-005646</t>
  </si>
  <si>
    <t>ENQ-002461</t>
  </si>
  <si>
    <t>ENQ-003387</t>
  </si>
  <si>
    <t>ENQ-005647</t>
  </si>
  <si>
    <t>ENQ-002235</t>
  </si>
  <si>
    <t>ENQ-004005</t>
  </si>
  <si>
    <t>ENQ-000729</t>
  </si>
  <si>
    <t>ENQ-003987</t>
  </si>
  <si>
    <t>ENQ-001941</t>
  </si>
  <si>
    <t>ENQ-005498</t>
  </si>
  <si>
    <t>ENQ-004132</t>
  </si>
  <si>
    <t>ENQ-005299</t>
  </si>
  <si>
    <t>ENQ-003166</t>
  </si>
  <si>
    <t>ENQ-003028</t>
  </si>
  <si>
    <t>ENQ-002265</t>
  </si>
  <si>
    <t>ENQ-000850</t>
  </si>
  <si>
    <t>ENQ-004823</t>
  </si>
  <si>
    <t>ENQ-002899</t>
  </si>
  <si>
    <t>ENQ-000960</t>
  </si>
  <si>
    <t>ENQ-000467</t>
  </si>
  <si>
    <t>ENQ-001424</t>
  </si>
  <si>
    <t>ENQ-004582</t>
  </si>
  <si>
    <t>TCK_005176</t>
  </si>
  <si>
    <t>ENQ-002377</t>
  </si>
  <si>
    <t>ENQ-004846</t>
  </si>
  <si>
    <t>ENQ-004953</t>
  </si>
  <si>
    <t>ENQ-000982</t>
  </si>
  <si>
    <t>ENQ-004726</t>
  </si>
  <si>
    <t>ENQ-003507</t>
  </si>
  <si>
    <t>ENQ-004089</t>
  </si>
  <si>
    <t>ENQ-000587</t>
  </si>
  <si>
    <t>ENQ-000419</t>
  </si>
  <si>
    <t>ENQ-002033</t>
  </si>
  <si>
    <t>ENQ-003866</t>
  </si>
  <si>
    <t>ENQ-005162</t>
  </si>
  <si>
    <t>ENQ-004614</t>
  </si>
  <si>
    <t>ENQ-000962</t>
  </si>
  <si>
    <t>ENQ-005941</t>
  </si>
  <si>
    <t>ENQ-003148</t>
  </si>
  <si>
    <t>ENQ-005393</t>
  </si>
  <si>
    <t>ENQ-002825</t>
  </si>
  <si>
    <t>ENQ-000101</t>
  </si>
  <si>
    <t>ENQ-000392</t>
  </si>
  <si>
    <t>ENQ-003301</t>
  </si>
  <si>
    <t>ENQ-001172</t>
  </si>
  <si>
    <t>ENQ-002415</t>
  </si>
  <si>
    <t>ENQ-003442</t>
  </si>
  <si>
    <t>ENQ-003178</t>
  </si>
  <si>
    <t>ENQ-001617</t>
  </si>
  <si>
    <t>ENQ-004583</t>
  </si>
  <si>
    <t>ENQ-004739</t>
  </si>
  <si>
    <t>ENQ-002736</t>
  </si>
  <si>
    <t>ENQ-000250</t>
  </si>
  <si>
    <t>ENQ-004085</t>
  </si>
  <si>
    <t>ENQ-005584</t>
  </si>
  <si>
    <t>ENQ-000222</t>
  </si>
  <si>
    <t>ENQ-003973</t>
  </si>
  <si>
    <t>ENQ-005481</t>
  </si>
  <si>
    <t>ENQ-006031</t>
  </si>
  <si>
    <t>ENQ-002960</t>
  </si>
  <si>
    <t>ENQ-003461</t>
  </si>
  <si>
    <t>ENQ-003481</t>
  </si>
  <si>
    <t>ENQ-000889</t>
  </si>
  <si>
    <t>ENQ-002785</t>
  </si>
  <si>
    <t>ENQ-002282</t>
  </si>
  <si>
    <t>ENQ-001335</t>
  </si>
  <si>
    <t>ENQ-002642</t>
  </si>
  <si>
    <t>ENQ-004843</t>
  </si>
  <si>
    <t>ENQ-004859</t>
  </si>
  <si>
    <t>ENQ-001292</t>
  </si>
  <si>
    <t>ENQ-000961</t>
  </si>
  <si>
    <t>ENQ-000664</t>
  </si>
  <si>
    <t>ENQ-002654</t>
  </si>
  <si>
    <t>ENQ-004969</t>
  </si>
  <si>
    <t>ENQ-001433</t>
  </si>
  <si>
    <t>ENQ-000064</t>
  </si>
  <si>
    <t>ENQ-000084</t>
  </si>
  <si>
    <t>ENQ-002615</t>
  </si>
  <si>
    <t>ENQ-006051</t>
  </si>
  <si>
    <t>ENQ-005129</t>
  </si>
  <si>
    <t>ENQ-006073</t>
  </si>
  <si>
    <t>ENQ-002234</t>
  </si>
  <si>
    <t>ENQ-001806</t>
  </si>
  <si>
    <t>ENQ-000242</t>
  </si>
  <si>
    <t>ENQ-000152</t>
  </si>
  <si>
    <t>ENQ-005141</t>
  </si>
  <si>
    <t>ENQ-005002</t>
  </si>
  <si>
    <t>ENQ-002266</t>
  </si>
  <si>
    <t>ENQ-005870</t>
  </si>
  <si>
    <t>ENQ-005293</t>
  </si>
  <si>
    <t>ENQ-002331</t>
  </si>
  <si>
    <t>ENQ-001914</t>
  </si>
  <si>
    <t>ENQ-001600</t>
  </si>
  <si>
    <t>ENQ-004116</t>
  </si>
  <si>
    <t>ENQ-000968</t>
  </si>
  <si>
    <t>ENQ-002239</t>
  </si>
  <si>
    <t>ENQ-000028</t>
  </si>
  <si>
    <t>ENQ-003792</t>
  </si>
  <si>
    <t>ENQ-002726</t>
  </si>
  <si>
    <t>ENQ-005527</t>
  </si>
  <si>
    <t>ENQ-003498</t>
  </si>
  <si>
    <t>ENQ-006012</t>
  </si>
  <si>
    <t>ENQ-005785</t>
  </si>
  <si>
    <t>ENQ-004487</t>
  </si>
  <si>
    <t>ENQ-002023</t>
  </si>
  <si>
    <t>ENQ-005000</t>
  </si>
  <si>
    <t>ENQ-005583</t>
  </si>
  <si>
    <t>ENQ-002086</t>
  </si>
  <si>
    <t>ENQ-005977</t>
  </si>
  <si>
    <t>ENQ-000894</t>
  </si>
  <si>
    <t>ENQ-000227</t>
  </si>
  <si>
    <t>ENQ-002287</t>
  </si>
  <si>
    <t>ENQ-002888</t>
  </si>
  <si>
    <t>ENQ-002907</t>
  </si>
  <si>
    <t>ENQ-002154</t>
  </si>
  <si>
    <t>ENQ-004955</t>
  </si>
  <si>
    <t>ENQ-001400</t>
  </si>
  <si>
    <t>ENQ-000815</t>
  </si>
  <si>
    <t>ENQ-002369</t>
  </si>
  <si>
    <t>ENQ-004721</t>
  </si>
  <si>
    <t>ENQ-002794</t>
  </si>
  <si>
    <t>ENQ-002979</t>
  </si>
  <si>
    <t>ENQ-002024</t>
  </si>
  <si>
    <t>ENQ-003675</t>
  </si>
  <si>
    <t>ENQ-001454</t>
  </si>
  <si>
    <t>ENQ-000876</t>
  </si>
  <si>
    <t>ENQ-003770</t>
  </si>
  <si>
    <t>ENQ-005724</t>
  </si>
  <si>
    <t>ENQ-002457</t>
  </si>
  <si>
    <t>ENQ-002299</t>
  </si>
  <si>
    <t>ENQ-005620</t>
  </si>
  <si>
    <t>ENQ-003268</t>
  </si>
  <si>
    <t>ENQ-005368</t>
  </si>
  <si>
    <t>ENQ-002168</t>
  </si>
  <si>
    <t>ENQ-002308</t>
  </si>
  <si>
    <t>ENQ-002752</t>
  </si>
  <si>
    <t>ENQ-004839</t>
  </si>
  <si>
    <t>ENQ-002482</t>
  </si>
  <si>
    <t>ENQ-005439</t>
  </si>
  <si>
    <t>ENQ-005123</t>
  </si>
  <si>
    <t>ENQ-005367</t>
  </si>
  <si>
    <t>ENQ-000675</t>
  </si>
  <si>
    <t>ENQ-004134</t>
  </si>
  <si>
    <t>ENQ-001159</t>
  </si>
  <si>
    <t>ENQ-002612</t>
  </si>
  <si>
    <t>TCK_004446</t>
  </si>
  <si>
    <t>ENQ-002734</t>
  </si>
  <si>
    <t>ENQ-002557</t>
  </si>
  <si>
    <t>ENQ-000770</t>
  </si>
  <si>
    <t>ENQ-005085</t>
  </si>
  <si>
    <t>ENQ-005852</t>
  </si>
  <si>
    <t>ENQ-005614</t>
  </si>
  <si>
    <t>ENQ-000496</t>
  </si>
  <si>
    <t>ENQ-004278</t>
  </si>
  <si>
    <t>ENQ-002127</t>
  </si>
  <si>
    <t>ENQ-004679</t>
  </si>
  <si>
    <t>ENQ-004880</t>
  </si>
  <si>
    <t>ENQ-000758</t>
  </si>
  <si>
    <t>ENQ-003538</t>
  </si>
  <si>
    <t>ENQ-001112</t>
  </si>
  <si>
    <t>ENQ-006063</t>
  </si>
  <si>
    <t>ENQ-001763</t>
  </si>
  <si>
    <t>ENQ-001332</t>
  </si>
  <si>
    <t>ENQ-005921</t>
  </si>
  <si>
    <t>ENQ-003107</t>
  </si>
  <si>
    <t>ENQ-000806</t>
  </si>
  <si>
    <t>ENQ-000279</t>
  </si>
  <si>
    <t>ENQ-004364</t>
  </si>
  <si>
    <t>ENQ-001898</t>
  </si>
  <si>
    <t>ENQ-005883</t>
  </si>
  <si>
    <t>ENQ-000736</t>
  </si>
  <si>
    <t>ENQ-001448</t>
  </si>
  <si>
    <t>ENQ-005089</t>
  </si>
  <si>
    <t>ENQ-003112</t>
  </si>
  <si>
    <t>ENQ-000265</t>
  </si>
  <si>
    <t>ENQ-002063</t>
  </si>
  <si>
    <t>ENQ-003235</t>
  </si>
  <si>
    <t>ENQ-002819</t>
  </si>
  <si>
    <t>ENQ-001593</t>
  </si>
  <si>
    <t>ENQ-000756</t>
  </si>
  <si>
    <t>ENQ-001268</t>
  </si>
  <si>
    <t>ENQ-002634</t>
  </si>
  <si>
    <t>ENQ-001663</t>
  </si>
  <si>
    <t>ENQ-000173</t>
  </si>
  <si>
    <t>ENQ-003140</t>
  </si>
  <si>
    <t>ENQ-002378</t>
  </si>
  <si>
    <t>ENQ-004305</t>
  </si>
  <si>
    <t>ENQ-003356</t>
  </si>
  <si>
    <t>ENQ-003640</t>
  </si>
  <si>
    <t>ENQ-005999</t>
  </si>
  <si>
    <t>ENQ-000362</t>
  </si>
  <si>
    <t>ENQ-004162</t>
  </si>
  <si>
    <t>ENQ-003466</t>
  </si>
  <si>
    <t>ENQ-001246</t>
  </si>
  <si>
    <t>ENQ-003091</t>
  </si>
  <si>
    <t>ENQ-002937</t>
  </si>
  <si>
    <t>ENQ-000178</t>
  </si>
  <si>
    <t>ENQ-006069</t>
  </si>
  <si>
    <t>ENQ-005313</t>
  </si>
  <si>
    <t>ENQ-003771</t>
  </si>
  <si>
    <t>ENQ-005194</t>
  </si>
  <si>
    <t>ENQ-005338</t>
  </si>
  <si>
    <t>ENQ-003932</t>
  </si>
  <si>
    <t>ENQ-004444</t>
  </si>
  <si>
    <t>ENQ-003743</t>
  </si>
  <si>
    <t>ENQ-005325</t>
  </si>
  <si>
    <t>ENQ-001436</t>
  </si>
  <si>
    <t>ENQ-002142</t>
  </si>
  <si>
    <t>ENQ-002322</t>
  </si>
  <si>
    <t>ENQ-002617</t>
  </si>
  <si>
    <t>ENQ-002645</t>
  </si>
  <si>
    <t>ENQ-003631</t>
  </si>
  <si>
    <t>ENQ-003409</t>
  </si>
  <si>
    <t>ENQ-003869</t>
  </si>
  <si>
    <t>ENQ-002908</t>
  </si>
  <si>
    <t>ENQ-004991</t>
  </si>
  <si>
    <t>ENQ-004052</t>
  </si>
  <si>
    <t>ENQ-002477</t>
  </si>
  <si>
    <t>ENQ-003300</t>
  </si>
  <si>
    <t>ENQ-005560</t>
  </si>
  <si>
    <t>ENQ-005382</t>
  </si>
  <si>
    <t>ENQ-005330</t>
  </si>
  <si>
    <t>ENQ-003957</t>
  </si>
  <si>
    <t>ENQ-001186</t>
  </si>
  <si>
    <t>ENQ-005104</t>
  </si>
  <si>
    <t>ENQ-000119</t>
  </si>
  <si>
    <t>ENQ-000849</t>
  </si>
  <si>
    <t>ENQ-005149</t>
  </si>
  <si>
    <t>ENQ-002530</t>
  </si>
  <si>
    <t>ENQ-002144</t>
  </si>
  <si>
    <t>ENQ-004994</t>
  </si>
  <si>
    <t>ENQ-000067</t>
  </si>
  <si>
    <t>ENQ-001107</t>
  </si>
  <si>
    <t>ENQ-002748</t>
  </si>
  <si>
    <t>ENQ-001636</t>
  </si>
  <si>
    <t>ENQ-001777</t>
  </si>
  <si>
    <t>ENQ-002038</t>
  </si>
  <si>
    <t>ENQ-000576</t>
  </si>
  <si>
    <t>ENQ-005955</t>
  </si>
  <si>
    <t>ENQ-005648</t>
  </si>
  <si>
    <t>ENQ-005990</t>
  </si>
  <si>
    <t>ENQ-001158</t>
  </si>
  <si>
    <t>ENQ-001114</t>
  </si>
  <si>
    <t>ENQ-005100</t>
  </si>
  <si>
    <t>ENQ-003286</t>
  </si>
  <si>
    <t>ENQ-003165</t>
  </si>
  <si>
    <t>ENQ-001562</t>
  </si>
  <si>
    <t>ENQ-003983</t>
  </si>
  <si>
    <t>ENQ-004852</t>
  </si>
  <si>
    <t>ENQ-002602</t>
  </si>
  <si>
    <t>ENQ-002497</t>
  </si>
  <si>
    <t>ENQ-002893</t>
  </si>
  <si>
    <t>ENQ-000040</t>
  </si>
  <si>
    <t>ENQ-001766</t>
  </si>
  <si>
    <t>ENQ-002834</t>
  </si>
  <si>
    <t>ENQ-004809</t>
  </si>
  <si>
    <t>ENQ-005729</t>
  </si>
  <si>
    <t>ENQ-005665</t>
  </si>
  <si>
    <t>ENQ-004652</t>
  </si>
  <si>
    <t>ENQ-005213</t>
  </si>
  <si>
    <t>ENQ-003404</t>
  </si>
  <si>
    <t>ENQ-005504</t>
  </si>
  <si>
    <t>ENQ-001565</t>
  </si>
  <si>
    <t>ENQ-004357</t>
  </si>
  <si>
    <t>ENQ-004671</t>
  </si>
  <si>
    <t>TCK_001895</t>
  </si>
  <si>
    <t>ENQ-002351</t>
  </si>
  <si>
    <t>ENQ-003594</t>
  </si>
  <si>
    <t>ENQ-001833</t>
  </si>
  <si>
    <t>ENQ-002219</t>
  </si>
  <si>
    <t>ENQ-003607</t>
  </si>
  <si>
    <t>ENQ-000581</t>
  </si>
  <si>
    <t>ENQ-002714</t>
  </si>
  <si>
    <t>ENQ-002334</t>
  </si>
  <si>
    <t>ENQ-001342</t>
  </si>
  <si>
    <t>ENQ-003955</t>
  </si>
  <si>
    <t>ENQ-000602</t>
  </si>
  <si>
    <t>ENQ-002597</t>
  </si>
  <si>
    <t>ENQ-005795</t>
  </si>
  <si>
    <t>ENQ-004293</t>
  </si>
  <si>
    <t>ENQ-003106</t>
  </si>
  <si>
    <t>ENQ-000111</t>
  </si>
  <si>
    <t>ENQ-000206</t>
  </si>
  <si>
    <t>ENQ-001781</t>
  </si>
  <si>
    <t>ENQ-001395</t>
  </si>
  <si>
    <t>ENQ-001481</t>
  </si>
  <si>
    <t>ENQ-003002</t>
  </si>
  <si>
    <t>ENQ-000785</t>
  </si>
  <si>
    <t>ENQ-002512</t>
  </si>
  <si>
    <t>ENQ-000482</t>
  </si>
  <si>
    <t>ENQ-002646</t>
  </si>
  <si>
    <t>ENQ-002427</t>
  </si>
  <si>
    <t>ENQ-001868</t>
  </si>
  <si>
    <t>ENQ-005750</t>
  </si>
  <si>
    <t>ENQ-002109</t>
  </si>
  <si>
    <t>ENQ-002474</t>
  </si>
  <si>
    <t>ENQ-003029</t>
  </si>
  <si>
    <t>ENQ-003763</t>
  </si>
  <si>
    <t>ENQ-002872</t>
  </si>
  <si>
    <t>ENQ-003976</t>
  </si>
  <si>
    <t>ENQ-002339</t>
  </si>
  <si>
    <t>ENQ-003762</t>
  </si>
  <si>
    <t>ENQ-003879</t>
  </si>
  <si>
    <t>ENQ-005298</t>
  </si>
  <si>
    <t>ENQ-005173</t>
  </si>
  <si>
    <t>ENQ-000136</t>
  </si>
  <si>
    <t>ENQ-005034</t>
  </si>
  <si>
    <t>ENQ-000947</t>
  </si>
  <si>
    <t>ENQ-004560</t>
  </si>
  <si>
    <t>ENQ-003050</t>
  </si>
  <si>
    <t>ENQ-000949</t>
  </si>
  <si>
    <t>ENQ-001899</t>
  </si>
  <si>
    <t>ENQ-001519</t>
  </si>
  <si>
    <t>ENQ-001022</t>
  </si>
  <si>
    <t>ENQ-002820</t>
  </si>
  <si>
    <t>ENQ-005260</t>
  </si>
  <si>
    <t>ENQ-004469</t>
  </si>
  <si>
    <t>ENQ-000138</t>
  </si>
  <si>
    <t>ENQ-000523</t>
  </si>
  <si>
    <t>ENQ-001834</t>
  </si>
  <si>
    <t>ENQ-004513</t>
  </si>
  <si>
    <t>ENQ-004413</t>
  </si>
  <si>
    <t>ENQ-001362</t>
  </si>
  <si>
    <t>ENQ-005878</t>
  </si>
  <si>
    <t>ENQ-000424</t>
  </si>
  <si>
    <t>ENQ-005490</t>
  </si>
  <si>
    <t>ENQ-001556</t>
  </si>
  <si>
    <t>ENQ-000559</t>
  </si>
  <si>
    <t>ENQ-005444</t>
  </si>
  <si>
    <t>ENQ-000369</t>
  </si>
  <si>
    <t>ENQ-003364</t>
  </si>
  <si>
    <t>ENQ-004439</t>
  </si>
  <si>
    <t>ENQ-005207</t>
  </si>
  <si>
    <t>ENQ-001894</t>
  </si>
  <si>
    <t>ENQ-005263</t>
  </si>
  <si>
    <t>ENQ-001994</t>
  </si>
  <si>
    <t>ENQ-004267</t>
  </si>
  <si>
    <t>ENQ-002579</t>
  </si>
  <si>
    <t>ENQ-005884</t>
  </si>
  <si>
    <t>ENQ-003708</t>
  </si>
  <si>
    <t>ENQ-002993</t>
  </si>
  <si>
    <t>ENQ-001459</t>
  </si>
  <si>
    <t>ENQ-000534</t>
  </si>
  <si>
    <t>ENQ-003093</t>
  </si>
  <si>
    <t>ENQ-002771</t>
  </si>
  <si>
    <t>ENQ-002629</t>
  </si>
  <si>
    <t>ENQ-000468</t>
  </si>
  <si>
    <t>ENQ-005401</t>
  </si>
  <si>
    <t>ENQ-004829</t>
  </si>
  <si>
    <t>ENQ-003685</t>
  </si>
  <si>
    <t>ENQ-000225</t>
  </si>
  <si>
    <t>ENQ-002439</t>
  </si>
  <si>
    <t>ENQ-005513</t>
  </si>
  <si>
    <t>ENQ-000873</t>
  </si>
  <si>
    <t>ENQ-000686</t>
  </si>
  <si>
    <t>ENQ-005030</t>
  </si>
  <si>
    <t>ENQ-000309</t>
  </si>
  <si>
    <t>ENQ-003709</t>
  </si>
  <si>
    <t>ENQ-003578</t>
  </si>
  <si>
    <t>ENQ-004686</t>
  </si>
  <si>
    <t>ENQ-000163</t>
  </si>
  <si>
    <t>ENQ-001315</t>
  </si>
  <si>
    <t>ENQ-001861</t>
  </si>
  <si>
    <t>ENQ-001156</t>
  </si>
  <si>
    <t>ENQ-004704</t>
  </si>
  <si>
    <t>ENQ-006007</t>
  </si>
  <si>
    <t>ENQ-006108</t>
  </si>
  <si>
    <t>ENQ-004079</t>
  </si>
  <si>
    <t>ENQ-003683</t>
  </si>
  <si>
    <t>ENQ-002285</t>
  </si>
  <si>
    <t>ENQ-001027</t>
  </si>
  <si>
    <t>ENQ-003590</t>
  </si>
  <si>
    <t>ENQ-005074</t>
  </si>
  <si>
    <t>ENQ-000557</t>
  </si>
  <si>
    <t>ENQ-002922</t>
  </si>
  <si>
    <t>ENQ-004244</t>
  </si>
  <si>
    <t>ENQ-004695</t>
  </si>
  <si>
    <t>ENQ-000776</t>
  </si>
  <si>
    <t>ENQ-002584</t>
  </si>
  <si>
    <t>ENQ-002619</t>
  </si>
  <si>
    <t>ENQ-002325</t>
  </si>
  <si>
    <t>ENQ-004283</t>
  </si>
  <si>
    <t>ENQ-004139</t>
  </si>
  <si>
    <t>ENQ-005817</t>
  </si>
  <si>
    <t>ENQ-004173</t>
  </si>
  <si>
    <t>ENQ-000169</t>
  </si>
  <si>
    <t>ENQ-005261</t>
  </si>
  <si>
    <t>ENQ-003691</t>
  </si>
  <si>
    <t>ENQ-003951</t>
  </si>
  <si>
    <t>ENQ-000870</t>
  </si>
  <si>
    <t>ENQ-000569</t>
  </si>
  <si>
    <t>ENQ-003069</t>
  </si>
  <si>
    <t>ENQ-004940</t>
  </si>
  <si>
    <t>ENQ-003648</t>
  </si>
  <si>
    <t>ENQ-004397</t>
  </si>
  <si>
    <t>ENQ-001094</t>
  </si>
  <si>
    <t>ENQ-005494</t>
  </si>
  <si>
    <t>ENQ-002062</t>
  </si>
  <si>
    <t>ENQ-003928</t>
  </si>
  <si>
    <t>ENQ-001540</t>
  </si>
  <si>
    <t>ENQ-004336</t>
  </si>
  <si>
    <t>ENQ-001068</t>
  </si>
  <si>
    <t>ENQ-004061</t>
  </si>
  <si>
    <t>ENQ-000340</t>
  </si>
  <si>
    <t>ENQ-002228</t>
  </si>
  <si>
    <t>ENQ-000458</t>
  </si>
  <si>
    <t>ENQ-001955</t>
  </si>
  <si>
    <t>ENQ-001851</t>
  </si>
  <si>
    <t>ENQ-004644</t>
  </si>
  <si>
    <t>ENQ-005189</t>
  </si>
  <si>
    <t>ENQ-004641</t>
  </si>
  <si>
    <t>ENQ-004711</t>
  </si>
  <si>
    <t>ENQ-002371</t>
  </si>
  <si>
    <t>ENQ-001965</t>
  </si>
  <si>
    <t>ENQ-003149</t>
  </si>
  <si>
    <t>ENQ-003233</t>
  </si>
  <si>
    <t>ENQ-002571</t>
  </si>
  <si>
    <t>ENQ-000834</t>
  </si>
  <si>
    <t>ENQ-004392</t>
  </si>
  <si>
    <t>ENQ-004025</t>
  </si>
  <si>
    <t>ENQ-003089</t>
  </si>
  <si>
    <t>ENQ-002870</t>
  </si>
  <si>
    <t>ENQ-000001</t>
  </si>
  <si>
    <t>ENQ-000375</t>
  </si>
  <si>
    <t>ENQ-003610</t>
  </si>
  <si>
    <t>ENQ-000940</t>
  </si>
  <si>
    <t>ENQ-000350</t>
  </si>
  <si>
    <t>ENQ-002374</t>
  </si>
  <si>
    <t>ENQ-006045</t>
  </si>
  <si>
    <t>ENQ-003885</t>
  </si>
  <si>
    <t>ENQ-005236</t>
  </si>
  <si>
    <t>ENQ-000783</t>
  </si>
  <si>
    <t>ENQ-005727</t>
  </si>
  <si>
    <t>ENQ-004224</t>
  </si>
  <si>
    <t>ENQ-000314</t>
  </si>
  <si>
    <t>ENQ-002841</t>
  </si>
  <si>
    <t>ENQ-003104</t>
  </si>
  <si>
    <t>ENQ-000647</t>
  </si>
  <si>
    <t>ENQ-000911</t>
  </si>
  <si>
    <t>ENQ-004751</t>
  </si>
  <si>
    <t>ENQ-003752</t>
  </si>
  <si>
    <t>ENQ-004047</t>
  </si>
  <si>
    <t>ENQ-005627</t>
  </si>
  <si>
    <t>ENQ-001461</t>
  </si>
  <si>
    <t>ENQ-003450</t>
  </si>
  <si>
    <t>ENQ-000498</t>
  </si>
  <si>
    <t>ENQ-001457</t>
  </si>
  <si>
    <t>ENQ-005405</t>
  </si>
  <si>
    <t>ENQ-000885</t>
  </si>
  <si>
    <t>ENQ-003557</t>
  </si>
  <si>
    <t>ENQ-000417</t>
  </si>
  <si>
    <t>ENQ-002161</t>
  </si>
  <si>
    <t>ENQ-003920</t>
  </si>
  <si>
    <t>ENQ-001274</t>
  </si>
  <si>
    <t>ENQ-000704</t>
  </si>
  <si>
    <t>ENQ-000400</t>
  </si>
  <si>
    <t>ENQ-000181</t>
  </si>
  <si>
    <t>ENQ-005157</t>
  </si>
  <si>
    <t>ENQ-001917</t>
  </si>
  <si>
    <t>ENQ-004341</t>
  </si>
  <si>
    <t>ENQ-003679</t>
  </si>
  <si>
    <t>ENQ-002192</t>
  </si>
  <si>
    <t>ENQ-004140</t>
  </si>
  <si>
    <t>ENQ-005983</t>
  </si>
  <si>
    <t>ENQ-002196</t>
  </si>
  <si>
    <t>ENQ-002187</t>
  </si>
  <si>
    <t>ENQ-001031</t>
  </si>
  <si>
    <t>ENQ-001830</t>
  </si>
  <si>
    <t>ENQ-004286</t>
  </si>
  <si>
    <t>ENQ-004091</t>
  </si>
  <si>
    <t>ENQ-005264</t>
  </si>
  <si>
    <t>ENQ-002914</t>
  </si>
  <si>
    <t>ENQ-002117</t>
  </si>
  <si>
    <t>ENQ-003515</t>
  </si>
  <si>
    <t>ENQ-000075</t>
  </si>
  <si>
    <t>ENQ-000711</t>
  </si>
  <si>
    <t>ENQ-004884</t>
  </si>
  <si>
    <t>ENQ-000413</t>
  </si>
  <si>
    <t>ENQ-004200</t>
  </si>
  <si>
    <t>ENQ-004368</t>
  </si>
  <si>
    <t>ENQ-005591</t>
  </si>
  <si>
    <t>ENQ-003875</t>
  </si>
  <si>
    <t>TCK-002003</t>
  </si>
  <si>
    <t>ENQ-004581</t>
  </si>
  <si>
    <t>ENQ-004713</t>
  </si>
  <si>
    <t>ENQ-004800</t>
  </si>
  <si>
    <t>ENQ-003582</t>
  </si>
  <si>
    <t>ENQ-005898</t>
  </si>
  <si>
    <t>ENQ-000641</t>
  </si>
  <si>
    <t>ENQ-003601</t>
  </si>
  <si>
    <t>ENQ-005195</t>
  </si>
  <si>
    <t>ENQ-005936</t>
  </si>
  <si>
    <t>ENQ-003310</t>
  </si>
  <si>
    <t>ENQ-005467</t>
  </si>
  <si>
    <t>ENQ-004950</t>
  </si>
  <si>
    <t>ENQ-003446</t>
  </si>
  <si>
    <t>ENQ-004058</t>
  </si>
  <si>
    <t>ENQ-001310</t>
  </si>
  <si>
    <t>ENQ-001226</t>
  </si>
  <si>
    <t>ENQ-004020</t>
  </si>
  <si>
    <t>ENQ-000676</t>
  </si>
  <si>
    <t>ENQ-005061</t>
  </si>
  <si>
    <t>ENQ-006030</t>
  </si>
  <si>
    <t>ENQ-004598</t>
  </si>
  <si>
    <t>ENQ-001355</t>
  </si>
  <si>
    <t>ENQ-001475</t>
  </si>
  <si>
    <t>ENQ-002894</t>
  </si>
  <si>
    <t>ENQ-001077</t>
  </si>
  <si>
    <t>ENQ-005455</t>
  </si>
  <si>
    <t>ENQ-003795</t>
  </si>
  <si>
    <t>ENQ-005661</t>
  </si>
  <si>
    <t>ENQ-002100</t>
  </si>
  <si>
    <t>ENQ-002626</t>
  </si>
  <si>
    <t>ENQ-004974</t>
  </si>
  <si>
    <t>ENQ-002047</t>
  </si>
  <si>
    <t>ENQ-000532</t>
  </si>
  <si>
    <t>ENQ-004330</t>
  </si>
  <si>
    <t>ENQ-002984</t>
  </si>
  <si>
    <t>ENQ-006101</t>
  </si>
  <si>
    <t>ENQ-004274</t>
  </si>
  <si>
    <t>ENQ-001548</t>
  </si>
  <si>
    <t>ENQ-002707</t>
  </si>
  <si>
    <t>ENQ-001631</t>
  </si>
  <si>
    <t>ENQ-004833</t>
  </si>
  <si>
    <t>ENQ-004951</t>
  </si>
  <si>
    <t>ENQ-002902</t>
  </si>
  <si>
    <t>ENQ-003061</t>
  </si>
  <si>
    <t>ENQ-004213</t>
  </si>
  <si>
    <t>ENQ-001748</t>
  </si>
  <si>
    <t>ENQ-002633</t>
  </si>
  <si>
    <t>ENQ-000517</t>
  </si>
  <si>
    <t>ENQ-004669</t>
  </si>
  <si>
    <t>ENQ-003954</t>
  </si>
  <si>
    <t>ENQ-001807</t>
  </si>
  <si>
    <t>ENQ-002969</t>
  </si>
  <si>
    <t>ENQ-002562</t>
  </si>
  <si>
    <t>ENQ-005769</t>
  </si>
  <si>
    <t>ENQ-000076</t>
  </si>
  <si>
    <t>ENQ-005138</t>
  </si>
  <si>
    <t>ENQ-005468</t>
  </si>
  <si>
    <t>ENQ-003547</t>
  </si>
  <si>
    <t>ENQ-004830</t>
  </si>
  <si>
    <t>ENQ-003873</t>
  </si>
  <si>
    <t>ENQ-002727</t>
  </si>
  <si>
    <t>ENQ-003767</t>
  </si>
  <si>
    <t>ENQ-003560</t>
  </si>
  <si>
    <t>ENQ-003174</t>
  </si>
  <si>
    <t>ENQ-001990</t>
  </si>
  <si>
    <t>ENQ-002448</t>
  </si>
  <si>
    <t>ENQ-002295</t>
  </si>
  <si>
    <t>ENQ-003025</t>
  </si>
  <si>
    <t>ENQ-004673</t>
  </si>
  <si>
    <t>ENQ-003155</t>
  </si>
  <si>
    <t>ENQ-002135</t>
  </si>
  <si>
    <t>ENQ-001677</t>
  </si>
  <si>
    <t>ENQ-004972</t>
  </si>
  <si>
    <t>ENQ-005300</t>
  </si>
  <si>
    <t>ENQ-002659</t>
  </si>
  <si>
    <t>ENQ-000844</t>
  </si>
  <si>
    <t>ENQ-005637</t>
  </si>
  <si>
    <t>ENQ-001278</t>
  </si>
  <si>
    <t>ENQ-005179</t>
  </si>
  <si>
    <t>ENQ-004759</t>
  </si>
  <si>
    <t>ENQ-005460</t>
  </si>
  <si>
    <t>ENQ-003705</t>
  </si>
  <si>
    <t>ENQ-004151</t>
  </si>
  <si>
    <t>ENQ-002867</t>
  </si>
  <si>
    <t>ENQ-000423</t>
  </si>
  <si>
    <t>ENQ-005539</t>
  </si>
  <si>
    <t>ENQ-003283</t>
  </si>
  <si>
    <t>ENQ-000177</t>
  </si>
  <si>
    <t>ENQ-000585</t>
  </si>
  <si>
    <t>ENQ-000547</t>
  </si>
  <si>
    <t>ENQ-001385</t>
  </si>
  <si>
    <t>ENQ-000348</t>
  </si>
  <si>
    <t>ENQ-000965</t>
  </si>
  <si>
    <t>ENQ-005198</t>
  </si>
  <si>
    <t>ENQ-004316</t>
  </si>
  <si>
    <t>ENQ-004729</t>
  </si>
  <si>
    <t>ENQ-005209</t>
  </si>
  <si>
    <t>ENQ-001325</t>
  </si>
  <si>
    <t>ENQ-003261</t>
  </si>
  <si>
    <t>ENQ-002429</t>
  </si>
  <si>
    <t>ENQ-005683</t>
  </si>
  <si>
    <t>ENQ-000595</t>
  </si>
  <si>
    <t>ENQ-000978</t>
  </si>
  <si>
    <t>ENQ-005778</t>
  </si>
  <si>
    <t>ENQ-005549</t>
  </si>
  <si>
    <t>ENQ-003523</t>
  </si>
  <si>
    <t>ENQ-003471</t>
  </si>
  <si>
    <t>ENQ-004573</t>
  </si>
  <si>
    <t>ENQ-001300</t>
  </si>
  <si>
    <t>ENQ-002743</t>
  </si>
  <si>
    <t>ENQ-002670</t>
  </si>
  <si>
    <t>ENQ-004725</t>
  </si>
  <si>
    <t>ENQ-000936</t>
  </si>
  <si>
    <t>ENQ-004104</t>
  </si>
  <si>
    <t>ENQ-002740</t>
  </si>
  <si>
    <t>ENQ-000302</t>
  </si>
  <si>
    <t>ENQ-003238</t>
  </si>
  <si>
    <t>ENQ-002595</t>
  </si>
  <si>
    <t>ENQ-002048</t>
  </si>
  <si>
    <t>ENQ-001601</t>
  </si>
  <si>
    <t>ENQ-002720</t>
  </si>
  <si>
    <t>ENQ-000772</t>
  </si>
  <si>
    <t>ENQ-003823</t>
  </si>
  <si>
    <t>ENQ-003878</t>
  </si>
  <si>
    <t>ENQ-001609</t>
  </si>
  <si>
    <t>ENQ-002413</t>
  </si>
  <si>
    <t>ENQ-000672</t>
  </si>
  <si>
    <t>ENQ-003822</t>
  </si>
  <si>
    <t>ENQ-001665</t>
  </si>
  <si>
    <t>ENQ-001658</t>
  </si>
  <si>
    <t>ENQ-003696</t>
  </si>
  <si>
    <t>ENQ-001720</t>
  </si>
  <si>
    <t>ENQ-005454</t>
  </si>
  <si>
    <t>ENQ-006000</t>
  </si>
  <si>
    <t>ENQ-004077</t>
  </si>
  <si>
    <t>ENQ-001351</t>
  </si>
  <si>
    <t>ENQ-004807</t>
  </si>
  <si>
    <t>ENQ-002656</t>
  </si>
  <si>
    <t>ENQ-003554</t>
  </si>
  <si>
    <t>ENQ-004968</t>
  </si>
  <si>
    <t>ENQ-002254</t>
  </si>
  <si>
    <t>ENQ-005249</t>
  </si>
  <si>
    <t>ENQ-002812</t>
  </si>
  <si>
    <t>ENQ-002335</t>
  </si>
  <si>
    <t>ENQ-004288</t>
  </si>
  <si>
    <t>ENQ-002976</t>
  </si>
  <si>
    <t>ENQ-002852</t>
  </si>
  <si>
    <t>ENQ-001328</t>
  </si>
  <si>
    <t>ENQ-000353</t>
  </si>
  <si>
    <t>ENQ-003218</t>
  </si>
  <si>
    <t>ENQ-000149</t>
  </si>
  <si>
    <t>ENQ-005965</t>
  </si>
  <si>
    <t>ENQ-003325</t>
  </si>
  <si>
    <t>ENQ-001905</t>
  </si>
  <si>
    <t>ENQ-003497</t>
  </si>
  <si>
    <t>ENQ-001875</t>
  </si>
  <si>
    <t>ENQ-004516</t>
  </si>
  <si>
    <t>ENQ-000286</t>
  </si>
  <si>
    <t>ENQ-003072</t>
  </si>
  <si>
    <t>ENQ-003176</t>
  </si>
  <si>
    <t>ENQ-000930</t>
  </si>
  <si>
    <t>ENQ-001579</t>
  </si>
  <si>
    <t>ENQ-004485</t>
  </si>
  <si>
    <t>ENQ-005182</t>
  </si>
  <si>
    <t>ENQ-002513</t>
  </si>
  <si>
    <t>ENQ-002863</t>
  </si>
  <si>
    <t>ENQ-001719</t>
  </si>
  <si>
    <t>ENQ-004447</t>
  </si>
  <si>
    <t>ENQ-002434</t>
  </si>
  <si>
    <t>ENQ-003526</t>
  </si>
  <si>
    <t>ENQ-004769</t>
  </si>
  <si>
    <t>ENQ-001512</t>
  </si>
  <si>
    <t>ENQ-003750</t>
  </si>
  <si>
    <t>ENQ-001294</t>
  </si>
  <si>
    <t>ENQ-000790</t>
  </si>
  <si>
    <t>ENQ-002804</t>
  </si>
  <si>
    <t>ENQ-000444</t>
  </si>
  <si>
    <t>ENQ-001936</t>
  </si>
  <si>
    <t>ENQ-003012</t>
  </si>
  <si>
    <t>ENQ-001737</t>
  </si>
  <si>
    <t>ENQ-002742</t>
  </si>
  <si>
    <t>ENQ-005580</t>
  </si>
  <si>
    <t>ENQ-001049</t>
  </si>
  <si>
    <t>ENQ-001569</t>
  </si>
  <si>
    <t>ENQ-004027</t>
  </si>
  <si>
    <t>ENQ-000989</t>
  </si>
  <si>
    <t>ENQ-002801</t>
  </si>
  <si>
    <t>ENQ-006103</t>
  </si>
  <si>
    <t>ENQ-003968</t>
  </si>
  <si>
    <t>ENQ-001966</t>
  </si>
  <si>
    <t>ENQ-003340</t>
  </si>
  <si>
    <t>ENQ-001624</t>
  </si>
  <si>
    <t>ENQ-001438</t>
  </si>
  <si>
    <t>ENQ-001503</t>
  </si>
  <si>
    <t>ENQ-000379</t>
  </si>
  <si>
    <t>ENQ-002980</t>
  </si>
  <si>
    <t>ENQ-001391</t>
  </si>
  <si>
    <t>ENQ-005029</t>
  </si>
  <si>
    <t>ENQ-005201</t>
  </si>
  <si>
    <t>ENQ-000126</t>
  </si>
  <si>
    <t>ENQ-001808</t>
  </si>
  <si>
    <t>ENQ-002712</t>
  </si>
  <si>
    <t>ENQ-003634</t>
  </si>
  <si>
    <t>ENQ-005127</t>
  </si>
  <si>
    <t>ENQ-000148</t>
  </si>
  <si>
    <t>ENQ-003655</t>
  </si>
  <si>
    <t>ENQ-001721</t>
  </si>
  <si>
    <t>ENQ-002153</t>
  </si>
  <si>
    <t>ENQ-002700</t>
  </si>
  <si>
    <t>ENQ-004391</t>
  </si>
  <si>
    <t>ENQ-004062</t>
  </si>
  <si>
    <t>ENQ-002307</t>
  </si>
  <si>
    <t>ENQ-004106</t>
  </si>
  <si>
    <t>ENQ-000264</t>
  </si>
  <si>
    <t>ENQ-005928</t>
  </si>
  <si>
    <t>ENQ-003843</t>
  </si>
  <si>
    <t>ENQ-006061</t>
  </si>
  <si>
    <t>ENQ-004722</t>
  </si>
  <si>
    <t>ENQ-004596</t>
  </si>
  <si>
    <t>TCK_000960</t>
  </si>
  <si>
    <t>ENQ-005589</t>
  </si>
  <si>
    <t>ENQ-003944</t>
  </si>
  <si>
    <t>TCK_002678</t>
  </si>
  <si>
    <t>ENQ-001566</t>
  </si>
  <si>
    <t>ENQ-005131</t>
  </si>
  <si>
    <t>ENQ-001602</t>
  </si>
  <si>
    <t>ENQ-002903</t>
  </si>
  <si>
    <t>TCK_005122</t>
  </si>
  <si>
    <t>ENQ-000623</t>
  </si>
  <si>
    <t>ENQ-002194</t>
  </si>
  <si>
    <t>ENQ-001725</t>
  </si>
  <si>
    <t>ENQ-005847</t>
  </si>
  <si>
    <t>ENQ-005303</t>
  </si>
  <si>
    <t>ENQ-003386</t>
  </si>
  <si>
    <t>ENQ-005873</t>
  </si>
  <si>
    <t>ENQ-005592</t>
  </si>
  <si>
    <t>ENQ-000510</t>
  </si>
  <si>
    <t>ENQ-000635</t>
  </si>
  <si>
    <t>ENQ-003749</t>
  </si>
  <si>
    <t>ENQ-005063</t>
  </si>
  <si>
    <t>ENQ-003595</t>
  </si>
  <si>
    <t>ENQ-002958</t>
  </si>
  <si>
    <t>ENQ-005058</t>
  </si>
  <si>
    <t>ENQ-003597</t>
  </si>
  <si>
    <t>ENQ-004299</t>
  </si>
  <si>
    <t>ENQ-000903</t>
  </si>
  <si>
    <t>ENQ-002698</t>
  </si>
  <si>
    <t>ENQ-001933</t>
  </si>
  <si>
    <t>ENQ-000981</t>
  </si>
  <si>
    <t>ENQ-003008</t>
  </si>
  <si>
    <t>ENQ-000954</t>
  </si>
  <si>
    <t>ENQ-003258</t>
  </si>
  <si>
    <t>ENQ-005055</t>
  </si>
  <si>
    <t>ENQ-000730</t>
  </si>
  <si>
    <t>ENQ-005704</t>
  </si>
  <si>
    <t>ENQ-002470</t>
  </si>
  <si>
    <t>ENQ-000638</t>
  </si>
  <si>
    <t>ENQ-004716</t>
  </si>
  <si>
    <t>ENQ-004087</t>
  </si>
  <si>
    <t>ENQ-004279</t>
  </si>
  <si>
    <t>ENQ-005208</t>
  </si>
  <si>
    <t>ENQ-002430</t>
  </si>
  <si>
    <t>ENQ-005069</t>
  </si>
  <si>
    <t>ENQ-002005</t>
  </si>
  <si>
    <t>ENQ-004640</t>
  </si>
  <si>
    <t>ENQ-003761</t>
  </si>
  <si>
    <t>ENQ-004226</t>
  </si>
  <si>
    <t>ENQ-003145</t>
  </si>
  <si>
    <t>ENQ-001064</t>
  </si>
  <si>
    <t>ENQ-001273</t>
  </si>
  <si>
    <t>ENQ-003164</t>
  </si>
  <si>
    <t>ENQ-005671</t>
  </si>
  <si>
    <t>ENQ-000560</t>
  </si>
  <si>
    <t>ENQ-003837</t>
  </si>
  <si>
    <t>ENQ-005570</t>
  </si>
  <si>
    <t>ENQ-005792</t>
  </si>
  <si>
    <t>ENQ-000431</t>
  </si>
  <si>
    <t>ENQ-005950</t>
  </si>
  <si>
    <t>ENQ-002549</t>
  </si>
  <si>
    <t>ENQ-004205</t>
  </si>
  <si>
    <t>ENQ-001269</t>
  </si>
  <si>
    <t>TCK_001378</t>
  </si>
  <si>
    <t>ENQ-001369</t>
  </si>
  <si>
    <t>ENQ-003859</t>
  </si>
  <si>
    <t>ENQ-002858</t>
  </si>
  <si>
    <t>ENQ-002510</t>
  </si>
  <si>
    <t>ENQ-000797</t>
  </si>
  <si>
    <t>ENQ-000620</t>
  </si>
  <si>
    <t>ENQ-004756</t>
  </si>
  <si>
    <t>ENQ-002133</t>
  </si>
  <si>
    <t>ENQ-003801</t>
  </si>
  <si>
    <t>ENQ-003079</t>
  </si>
  <si>
    <t>ENQ-002983</t>
  </si>
  <si>
    <t>ENQ-004103</t>
  </si>
  <si>
    <t>ENQ-005623</t>
  </si>
  <si>
    <t>ENQ-002286</t>
  </si>
  <si>
    <t>ENQ-001127</t>
  </si>
  <si>
    <t>ENQ-005118</t>
  </si>
  <si>
    <t>ENQ-004865</t>
  </si>
  <si>
    <t>ENQ-003641</t>
  </si>
  <si>
    <t>ENQ-000308</t>
  </si>
  <si>
    <t>ENQ-004424</t>
  </si>
  <si>
    <t>ENQ-005432</t>
  </si>
  <si>
    <t>ENQ-001499</t>
  </si>
  <si>
    <t>ENQ-004934</t>
  </si>
  <si>
    <t>ENQ-000717</t>
  </si>
  <si>
    <t>ENQ-002640</t>
  </si>
  <si>
    <t>ENQ-000701</t>
  </si>
  <si>
    <t>ENQ-000406</t>
  </si>
  <si>
    <t>ENQ-003281</t>
  </si>
  <si>
    <t>ENQ-005435</t>
  </si>
  <si>
    <t>ENQ-002105</t>
  </si>
  <si>
    <t>ENQ-002140</t>
  </si>
  <si>
    <t>ENQ-006023</t>
  </si>
  <si>
    <t>ENQ-001776</t>
  </si>
  <si>
    <t>ENQ-006090</t>
  </si>
  <si>
    <t>ENQ-003723</t>
  </si>
  <si>
    <t>ENQ-002934</t>
  </si>
  <si>
    <t>ENQ-003472</t>
  </si>
  <si>
    <t>ENQ-001923</t>
  </si>
  <si>
    <t>ENQ-000228</t>
  </si>
  <si>
    <t>ENQ-005736</t>
  </si>
  <si>
    <t>ENQ-004408</t>
  </si>
  <si>
    <t>ENQ-003396</t>
  </si>
  <si>
    <t>ENQ-001884</t>
  </si>
  <si>
    <t>ENQ-000612</t>
  </si>
  <si>
    <t>ENQ-004556</t>
  </si>
  <si>
    <t>ENQ-000753</t>
  </si>
  <si>
    <t>ENQ-002985</t>
  </si>
  <si>
    <t>ENQ-003077</t>
  </si>
  <si>
    <t>ENQ-000172</t>
  </si>
  <si>
    <t>ENQ-000416</t>
  </si>
  <si>
    <t>ENQ-002906</t>
  </si>
  <si>
    <t>ENQ-002071</t>
  </si>
  <si>
    <t>ENQ-003884</t>
  </si>
  <si>
    <t>ENQ-002312</t>
  </si>
  <si>
    <t>ENQ-004536</t>
  </si>
  <si>
    <t>ENQ-004817</t>
  </si>
  <si>
    <t>ENQ-000019</t>
  </si>
  <si>
    <t>ENQ-000754</t>
  </si>
  <si>
    <t>ENQ-001230</t>
  </si>
  <si>
    <t>ENQ-003602</t>
  </si>
  <si>
    <t>ENQ-004154</t>
  </si>
  <si>
    <t>ENQ-006035</t>
  </si>
  <si>
    <t>ENQ-004503</t>
  </si>
  <si>
    <t>ENQ-002747</t>
  </si>
  <si>
    <t>ENQ-004177</t>
  </si>
  <si>
    <t>ENQ-000015</t>
  </si>
  <si>
    <t>ENQ-003172</t>
  </si>
  <si>
    <t>ENQ-004819</t>
  </si>
  <si>
    <t>ENQ-005505</t>
  </si>
  <si>
    <t>ENQ-004453</t>
  </si>
  <si>
    <t>ENQ-000378</t>
  </si>
  <si>
    <t>ENQ-005304</t>
  </si>
  <si>
    <t>ENQ-001998</t>
  </si>
  <si>
    <t>ENQ-004240</t>
  </si>
  <si>
    <t>ENQ-004806</t>
  </si>
  <si>
    <t>ENQ-004569</t>
  </si>
  <si>
    <t>ENQ-002599</t>
  </si>
  <si>
    <t>ENQ-000073</t>
  </si>
  <si>
    <t>ENQ-004784</t>
  </si>
  <si>
    <t>ENQ-002966</t>
  </si>
  <si>
    <t>ENQ-002163</t>
  </si>
  <si>
    <t>ENQ-000203</t>
  </si>
  <si>
    <t>ENQ-004699</t>
  </si>
  <si>
    <t>ENQ-000421</t>
  </si>
  <si>
    <t>ENQ-000248</t>
  </si>
  <si>
    <t>ENQ-005443</t>
  </si>
  <si>
    <t>ENQ-002499</t>
  </si>
  <si>
    <t>ENQ-001739</t>
  </si>
  <si>
    <t>ENQ-003256</t>
  </si>
  <si>
    <t>ENQ-001827</t>
  </si>
  <si>
    <t>ENQ-004962</t>
  </si>
  <si>
    <t>ENQ-001417</t>
  </si>
  <si>
    <t>ENQ-004558</t>
  </si>
  <si>
    <t>ENQ-004648</t>
  </si>
  <si>
    <t>ENQ-005376</t>
  </si>
  <si>
    <t>ENQ-004192</t>
  </si>
  <si>
    <t>ENQ-004409</t>
  </si>
  <si>
    <t>ENQ-005789</t>
  </si>
  <si>
    <t>ENQ-001794</t>
  </si>
  <si>
    <t>ENQ-001030</t>
  </si>
  <si>
    <t>ENQ-000698</t>
  </si>
  <si>
    <t>ENQ-004416</t>
  </si>
  <si>
    <t>ENQ-005383</t>
  </si>
  <si>
    <t>ENQ-001964</t>
  </si>
  <si>
    <t>ENQ-001754</t>
  </si>
  <si>
    <t>ENQ-002675</t>
  </si>
  <si>
    <t>ENQ-001705</t>
  </si>
  <si>
    <t>ENQ-001870</t>
  </si>
  <si>
    <t>ENQ-005469</t>
  </si>
  <si>
    <t>ENQ-005966</t>
  </si>
  <si>
    <t>ENQ-002292</t>
  </si>
  <si>
    <t>ENQ-000674</t>
  </si>
  <si>
    <t>ENQ-003639</t>
  </si>
  <si>
    <t>ENQ-003551</t>
  </si>
  <si>
    <t>TCK_001306</t>
  </si>
  <si>
    <t>ENQ-001586</t>
  </si>
  <si>
    <t>ENQ-001549</t>
  </si>
  <si>
    <t>ENQ-004827</t>
  </si>
  <si>
    <t>ENQ-001619</t>
  </si>
  <si>
    <t>ENQ-004551</t>
  </si>
  <si>
    <t>ENQ-005317</t>
  </si>
  <si>
    <t>ENQ-001041</t>
  </si>
  <si>
    <t>ENQ-002953</t>
  </si>
  <si>
    <t>ENQ-006029</t>
  </si>
  <si>
    <t>ENQ-001098</t>
  </si>
  <si>
    <t>ENQ-002850</t>
  </si>
  <si>
    <t>ENQ-004873</t>
  </si>
  <si>
    <t>ENQ-005676</t>
  </si>
  <si>
    <t>ENQ-004918</t>
  </si>
  <si>
    <t>ENQ-003724</t>
  </si>
  <si>
    <t>ENQ-000201</t>
  </si>
  <si>
    <t>ENQ-002098</t>
  </si>
  <si>
    <t>ENQ-000786</t>
  </si>
  <si>
    <t>ENQ-001290</t>
  </si>
  <si>
    <t>ENQ-003116</t>
  </si>
  <si>
    <t>ENQ-003062</t>
  </si>
  <si>
    <t>ENQ-000009</t>
  </si>
  <si>
    <t>ENQ-005532</t>
  </si>
  <si>
    <t>ENQ-000679</t>
  </si>
  <si>
    <t>ENQ-002054</t>
  </si>
  <si>
    <t>ENQ-005450</t>
  </si>
  <si>
    <t>ENQ-000278</t>
  </si>
  <si>
    <t>ENQ-001714</t>
  </si>
  <si>
    <t>ENQ-005459</t>
  </si>
  <si>
    <t>ENQ-001422</t>
  </si>
  <si>
    <t>ENQ-000787</t>
  </si>
  <si>
    <t>ENQ-003493</t>
  </si>
  <si>
    <t>ENQ-003571</t>
  </si>
  <si>
    <t>ENQ-001651</t>
  </si>
  <si>
    <t>ENQ-000551</t>
  </si>
  <si>
    <t>ENQ-003966</t>
  </si>
  <si>
    <t>ENQ-003812</t>
  </si>
  <si>
    <t>ENQ-005745</t>
  </si>
  <si>
    <t>ENQ-002424</t>
  </si>
  <si>
    <t>ENQ-004423</t>
  </si>
  <si>
    <t>ENQ-000651</t>
  </si>
  <si>
    <t>ENQ-001365</t>
  </si>
  <si>
    <t>ENQ-002767</t>
  </si>
  <si>
    <t>ENQ-003435</t>
  </si>
  <si>
    <t>ENQ-003207</t>
  </si>
  <si>
    <t>ENQ-002318</t>
  </si>
  <si>
    <t>ENQ-001298</t>
  </si>
  <si>
    <t>TCK_005284</t>
  </si>
  <si>
    <t>ENQ-001798</t>
  </si>
  <si>
    <t>ENQ-005732</t>
  </si>
  <si>
    <t>ENQ-003572</t>
  </si>
  <si>
    <t>ENQ-003540</t>
  </si>
  <si>
    <t>ENQ-006006</t>
  </si>
  <si>
    <t>ENQ-000267</t>
  </si>
  <si>
    <t>ENQ-004643</t>
  </si>
  <si>
    <t>ENQ-005013</t>
  </si>
  <si>
    <t>ENQ-000321</t>
  </si>
  <si>
    <t>ENQ-004187</t>
  </si>
  <si>
    <t>ENQ-003646</t>
  </si>
  <si>
    <t>ENQ-001882</t>
  </si>
  <si>
    <t>ENQ-005606</t>
  </si>
  <si>
    <t>ENQ-002437</t>
  </si>
  <si>
    <t>ENQ-005821</t>
  </si>
  <si>
    <t>ENQ-003725</t>
  </si>
  <si>
    <t>ENQ-002885</t>
  </si>
  <si>
    <t>ENQ-004332</t>
  </si>
  <si>
    <t>ENQ-004486</t>
  </si>
  <si>
    <t>ENQ-005895</t>
  </si>
  <si>
    <t>ENQ-005764</t>
  </si>
  <si>
    <t>ENQ-005511</t>
  </si>
  <si>
    <t>ENQ-003015</t>
  </si>
  <si>
    <t>ENQ-000590</t>
  </si>
  <si>
    <t>ENQ-004142</t>
  </si>
  <si>
    <t>ENQ-005594</t>
  </si>
  <si>
    <t>ENQ-001502</t>
  </si>
  <si>
    <t>ENQ-000481</t>
  </si>
  <si>
    <t>ENQ-003398</t>
  </si>
  <si>
    <t>ENQ-004781</t>
  </si>
  <si>
    <t>ENQ-000454</t>
  </si>
  <si>
    <t>ENQ-004198</t>
  </si>
  <si>
    <t>ENQ-005422</t>
  </si>
  <si>
    <t>ENQ-003071</t>
  </si>
  <si>
    <t>ENQ-004463</t>
  </si>
  <si>
    <t>ENQ-002012</t>
  </si>
  <si>
    <t>ENQ-003161</t>
  </si>
  <si>
    <t>ENQ-004963</t>
  </si>
  <si>
    <t>ENQ-001116</t>
  </si>
  <si>
    <t>ENQ-004026</t>
  </si>
  <si>
    <t>ENQ-005174</t>
  </si>
  <si>
    <t>ENQ-006071</t>
  </si>
  <si>
    <t>ENQ-000356</t>
  </si>
  <si>
    <t>ENQ-000898</t>
  </si>
  <si>
    <t>ENQ-004273</t>
  </si>
  <si>
    <t>ENQ-002226</t>
  </si>
  <si>
    <t>ENQ-003331</t>
  </si>
  <si>
    <t>ENQ-005499</t>
  </si>
  <si>
    <t>ENQ-004932</t>
  </si>
  <si>
    <t>ENQ-001961</t>
  </si>
  <si>
    <t>ENQ-002663</t>
  </si>
  <si>
    <t>ENQ-004046</t>
  </si>
  <si>
    <t>ENQ-002229</t>
  </si>
  <si>
    <t>ENQ-001192</t>
  </si>
  <si>
    <t>ENQ-001281</t>
  </si>
  <si>
    <t>ENQ-005167</t>
  </si>
  <si>
    <t>ENQ-003372</t>
  </si>
  <si>
    <t>ENQ-001165</t>
  </si>
  <si>
    <t>ENQ-002242</t>
  </si>
  <si>
    <t>ENQ-003011</t>
  </si>
  <si>
    <t>ENQ-001716</t>
  </si>
  <si>
    <t>ENQ-005099</t>
  </si>
  <si>
    <t>ENQ-003814</t>
  </si>
  <si>
    <t>ENQ-002588</t>
  </si>
  <si>
    <t>ENQ-003950</t>
  </si>
  <si>
    <t>ENQ-005305</t>
  </si>
  <si>
    <t>ENQ-005682</t>
  </si>
  <si>
    <t>ENQ-000691</t>
  </si>
  <si>
    <t>ENQ-000747</t>
  </si>
  <si>
    <t>ENQ-002011</t>
  </si>
  <si>
    <t>ENQ-004730</t>
  </si>
  <si>
    <t>ENQ-005691</t>
  </si>
  <si>
    <t>ENQ-005734</t>
  </si>
  <si>
    <t>ENQ-006093</t>
  </si>
  <si>
    <t>ENQ-005962</t>
  </si>
  <si>
    <t>ENQ-005440</t>
  </si>
  <si>
    <t>ENQ-003295</t>
  </si>
  <si>
    <t>ENQ-004605</t>
  </si>
  <si>
    <t>ENQ-001023</t>
  </si>
  <si>
    <t>ENQ-004590</t>
  </si>
  <si>
    <t>ENQ-005510</t>
  </si>
  <si>
    <t>ENQ-005273</t>
  </si>
  <si>
    <t>ENQ-002246</t>
  </si>
  <si>
    <t>ENQ-000317</t>
  </si>
  <si>
    <t>ENQ-004527</t>
  </si>
  <si>
    <t>ENQ-003856</t>
  </si>
  <si>
    <t>ENQ-000089</t>
  </si>
  <si>
    <t>ENQ-000399</t>
  </si>
  <si>
    <t>ENQ-001197</t>
  </si>
  <si>
    <t>ENQ-003259</t>
  </si>
  <si>
    <t>ENQ-000794</t>
  </si>
  <si>
    <t>ENQ-005500</t>
  </si>
  <si>
    <t>ENQ-000600</t>
  </si>
  <si>
    <t>ENQ-005865</t>
  </si>
  <si>
    <t>ENQ-002781</t>
  </si>
  <si>
    <t>ENQ-001079</t>
  </si>
  <si>
    <t>ENQ-001442</t>
  </si>
  <si>
    <t>ENQ-003416</t>
  </si>
  <si>
    <t>ENQ-003175</t>
  </si>
  <si>
    <t>ENQ-001928</t>
  </si>
  <si>
    <t>ENQ-002227</t>
  </si>
  <si>
    <t>ENQ-003332</t>
  </si>
  <si>
    <t>ENQ-000150</t>
  </si>
  <si>
    <t>ENQ-002606</t>
  </si>
  <si>
    <t>ENQ-000727</t>
  </si>
  <si>
    <t>ENQ-002087</t>
  </si>
  <si>
    <t>ENQ-003103</t>
  </si>
  <si>
    <t>ENQ-003081</t>
  </si>
  <si>
    <t>ENQ-001038</t>
  </si>
  <si>
    <t>ENQ-000381</t>
  </si>
  <si>
    <t>ENQ-002868</t>
  </si>
  <si>
    <t>ENQ-000240</t>
  </si>
  <si>
    <t>ENQ-002911</t>
  </si>
  <si>
    <t>ENQ-003084</t>
  </si>
  <si>
    <t>ENQ-000087</t>
  </si>
  <si>
    <t>ENQ-004443</t>
  </si>
  <si>
    <t>ENQ-000666</t>
  </si>
  <si>
    <t>ENQ-004508</t>
  </si>
  <si>
    <t>ENQ-001472</t>
  </si>
  <si>
    <t>ENQ-001012</t>
  </si>
  <si>
    <t>ENQ-001224</t>
  </si>
  <si>
    <t>ENQ-002395</t>
  </si>
  <si>
    <t>ENQ-004623</t>
  </si>
  <si>
    <t>ENQ-000342</t>
  </si>
  <si>
    <t>ENQ-000390</t>
  </si>
  <si>
    <t>ENQ-004505</t>
  </si>
  <si>
    <t>ENQ-004044</t>
  </si>
  <si>
    <t>ENQ-003138</t>
  </si>
  <si>
    <t>ENQ-004793</t>
  </si>
  <si>
    <t>ENQ-000886</t>
  </si>
  <si>
    <t>ENQ-001026</t>
  </si>
  <si>
    <t>ENQ-005788</t>
  </si>
  <si>
    <t>ENQ-002678</t>
  </si>
  <si>
    <t>ENQ-002238</t>
  </si>
  <si>
    <t>ENQ-005968</t>
  </si>
  <si>
    <t>ENQ-001743</t>
  </si>
  <si>
    <t>ENQ-003945</t>
  </si>
  <si>
    <t>ENQ-004166</t>
  </si>
  <si>
    <t>ENQ-002372</t>
  </si>
  <si>
    <t>ENQ-001761</t>
  </si>
  <si>
    <t>ENQ-005672</t>
  </si>
  <si>
    <t>ENQ-004709</t>
  </si>
  <si>
    <t>ENQ-003880</t>
  </si>
  <si>
    <t>ENQ-000151</t>
  </si>
  <si>
    <t>ENQ-000209</t>
  </si>
  <si>
    <t>ENQ-001353</t>
  </si>
  <si>
    <t>ENQ-003412</t>
  </si>
  <si>
    <t>ENQ-000692</t>
  </si>
  <si>
    <t>ENQ-005197</t>
  </si>
  <si>
    <t>ENQ-004752</t>
  </si>
  <si>
    <t>ENQ-002462</t>
  </si>
  <si>
    <t>ENQ-002610</t>
  </si>
  <si>
    <t>ENQ-003055</t>
  </si>
  <si>
    <t>ENQ-001293</t>
  </si>
  <si>
    <t>ENQ-005176</t>
  </si>
  <si>
    <t>ENQ-002149</t>
  </si>
  <si>
    <t>ENQ-003614</t>
  </si>
  <si>
    <t>ENQ-000699</t>
  </si>
  <si>
    <t>ENQ-001793</t>
  </si>
  <si>
    <t>ENQ-002718</t>
  </si>
  <si>
    <t>ENQ-002809</t>
  </si>
  <si>
    <t>ENQ-003038</t>
  </si>
  <si>
    <t>ENQ-002952</t>
  </si>
  <si>
    <t>ENQ-001244</t>
  </si>
  <si>
    <t>ENQ-004924</t>
  </si>
  <si>
    <t>ENQ-004040</t>
  </si>
  <si>
    <t>ENQ-004844</t>
  </si>
  <si>
    <t>ENQ-005331</t>
  </si>
  <si>
    <t>ENQ-004947</t>
  </si>
  <si>
    <t>ENQ-005019</t>
  </si>
  <si>
    <t>ENQ-001644</t>
  </si>
  <si>
    <t>ENQ-004066</t>
  </si>
  <si>
    <t>ENQ-001254</t>
  </si>
  <si>
    <t>ENQ-000470</t>
  </si>
  <si>
    <t>ENQ-002155</t>
  </si>
  <si>
    <t>ENQ-005867</t>
  </si>
  <si>
    <t>ENQ-005577</t>
  </si>
  <si>
    <t>ENQ-005538</t>
  </si>
  <si>
    <t>ENQ-004383</t>
  </si>
  <si>
    <t>ENQ-004172</t>
  </si>
  <si>
    <t>ENQ-004032</t>
  </si>
  <si>
    <t>ENQ-003195</t>
  </si>
  <si>
    <t>ENQ-002540</t>
  </si>
  <si>
    <t>ENQ-005995</t>
  </si>
  <si>
    <t>ENQ-003397</t>
  </si>
  <si>
    <t>ENQ-001645</t>
  </si>
  <si>
    <t>ENQ-002788</t>
  </si>
  <si>
    <t>ENQ-001010</t>
  </si>
  <si>
    <t>ENQ-003500</t>
  </si>
  <si>
    <t>ENQ-001468</t>
  </si>
  <si>
    <t>ENQ-004653</t>
  </si>
  <si>
    <t>ENQ-005835</t>
  </si>
  <si>
    <t>ENQ-000696</t>
  </si>
  <si>
    <t>ENQ-001944</t>
  </si>
  <si>
    <t>ENQ-004988</t>
  </si>
  <si>
    <t>ENQ-002101</t>
  </si>
  <si>
    <t>ENQ-003733</t>
  </si>
  <si>
    <t>ENQ-003848</t>
  </si>
  <si>
    <t>ENQ-002360</t>
  </si>
  <si>
    <t>ENQ-003299</t>
  </si>
  <si>
    <t>ENQ-004691</t>
  </si>
  <si>
    <t>ENQ-000167</t>
  </si>
  <si>
    <t>ENQ-002446</t>
  </si>
  <si>
    <t>ENQ-003870</t>
  </si>
  <si>
    <t>ENQ-000670</t>
  </si>
  <si>
    <t>ENQ-002589</t>
  </si>
  <si>
    <t>ENQ-004907</t>
  </si>
  <si>
    <t>ENQ-001879</t>
  </si>
  <si>
    <t>ENQ-000079</t>
  </si>
  <si>
    <t>ENQ-005427</t>
  </si>
  <si>
    <t>ENQ-005287</t>
  </si>
  <si>
    <t>ENQ-004075</t>
  </si>
  <si>
    <t>ENQ-003222</t>
  </si>
  <si>
    <t>ENQ-004998</t>
  </si>
  <si>
    <t>ENQ-005474</t>
  </si>
  <si>
    <t>TCK-000888</t>
  </si>
  <si>
    <t>ENQ-003100</t>
  </si>
  <si>
    <t>ENQ-002524</t>
  </si>
  <si>
    <t>ENQ-000129</t>
  </si>
  <si>
    <t>ENQ-000777</t>
  </si>
  <si>
    <t>ENQ-003697</t>
  </si>
  <si>
    <t>ENQ-002991</t>
  </si>
  <si>
    <t>ENQ-001304</t>
  </si>
  <si>
    <t>ENQ-005937</t>
  </si>
  <si>
    <t>ENQ-001036</t>
  </si>
  <si>
    <t>ENQ-003807</t>
  </si>
  <si>
    <t>ENQ-004763</t>
  </si>
  <si>
    <t>ENQ-005807</t>
  </si>
  <si>
    <t>ENQ-003451</t>
  </si>
  <si>
    <t>ENQ-002501</t>
  </si>
  <si>
    <t>ENQ-000719</t>
  </si>
  <si>
    <t>ENQ-003860</t>
  </si>
  <si>
    <t>ENQ-001488</t>
  </si>
  <si>
    <t>ENQ-002476</t>
  </si>
  <si>
    <t>ENQ-004099</t>
  </si>
  <si>
    <t>ENQ-004879</t>
  </si>
  <si>
    <t>ENQ-003704</t>
  </si>
  <si>
    <t>ENQ-004547</t>
  </si>
  <si>
    <t>ENQ-001174</t>
  </si>
  <si>
    <t>ENQ-001802</t>
  </si>
  <si>
    <t>ENQ-000141</t>
  </si>
  <si>
    <t>ENQ-005599</t>
  </si>
  <si>
    <t>ENQ-002644</t>
  </si>
  <si>
    <t>ENQ-001141</t>
  </si>
  <si>
    <t>ENQ-004502</t>
  </si>
  <si>
    <t>ENQ-002255</t>
  </si>
  <si>
    <t>ENQ-004063</t>
  </si>
  <si>
    <t>ENQ-000977</t>
  </si>
  <si>
    <t>ENQ-003117</t>
  </si>
  <si>
    <t>ENQ-002070</t>
  </si>
  <si>
    <t>ENQ-006096</t>
  </si>
  <si>
    <t>ENQ-006067</t>
  </si>
  <si>
    <t>ENQ-005316</t>
  </si>
  <si>
    <t>ENQ-002755</t>
  </si>
  <si>
    <t>ENQ-002949</t>
  </si>
  <si>
    <t>ENQ-004331</t>
  </si>
  <si>
    <t>ENQ-004933</t>
  </si>
  <si>
    <t>ENQ-005832</t>
  </si>
  <si>
    <t>ENQ-004997</t>
  </si>
  <si>
    <t>ENQ-005849</t>
  </si>
  <si>
    <t>ENQ-000622</t>
  </si>
  <si>
    <t>ENQ-002590</t>
  </si>
  <si>
    <t>ENQ-001987</t>
  </si>
  <si>
    <t>ENQ-000867</t>
  </si>
  <si>
    <t>ENQ-005544</t>
  </si>
  <si>
    <t>ENQ-001407</t>
  </si>
  <si>
    <t>ENQ-000065</t>
  </si>
  <si>
    <t>ENQ-001814</t>
  </si>
  <si>
    <t>ENQ-002766</t>
  </si>
  <si>
    <t>ENQ-005716</t>
  </si>
  <si>
    <t>ENQ-000527</t>
  </si>
  <si>
    <t>ENQ-005096</t>
  </si>
  <si>
    <t>ENQ-003467</t>
  </si>
  <si>
    <t>ENQ-003460</t>
  </si>
  <si>
    <t>ENQ-001347</t>
  </si>
  <si>
    <t>ENQ-003995</t>
  </si>
  <si>
    <t>ENQ-003182</t>
  </si>
  <si>
    <t>ENQ-004184</t>
  </si>
  <si>
    <t>ENQ-001178</t>
  </si>
  <si>
    <t>TCK_001785</t>
  </si>
  <si>
    <t>ENQ-001432</t>
  </si>
  <si>
    <t>ENQ-001299</t>
  </si>
  <si>
    <t>ENQ-005423</t>
  </si>
  <si>
    <t>ENQ-005600</t>
  </si>
  <si>
    <t>ENQ-001541</t>
  </si>
  <si>
    <t>ENQ-005578</t>
  </si>
  <si>
    <t>ENQ-002938</t>
  </si>
  <si>
    <t>ENQ-001394</t>
  </si>
  <si>
    <t>ENQ-004710</t>
  </si>
  <si>
    <t>ENQ-002857</t>
  </si>
  <si>
    <t>ENQ-003212</t>
  </si>
  <si>
    <t>ENQ-002136</t>
  </si>
  <si>
    <t>ENQ-001289</t>
  </si>
  <si>
    <t>ENQ-000365</t>
  </si>
  <si>
    <t>ENQ-003184</t>
  </si>
  <si>
    <t>ENQ-004706</t>
  </si>
  <si>
    <t>ENQ-001688</t>
  </si>
  <si>
    <t>ENQ-005021</t>
  </si>
  <si>
    <t>ENQ-002162</t>
  </si>
  <si>
    <t>ENQ-004282</t>
  </si>
  <si>
    <t>ENQ-006022</t>
  </si>
  <si>
    <t>ENQ-001517</t>
  </si>
  <si>
    <t>ENQ-005380</t>
  </si>
  <si>
    <t>TCK-004066</t>
  </si>
  <si>
    <t>ENQ-003651</t>
  </si>
  <si>
    <t>ENQ-002406</t>
  </si>
  <si>
    <t>ENQ-005768</t>
  </si>
  <si>
    <t>ENQ-004458</t>
  </si>
  <si>
    <t>ENQ-000446</t>
  </si>
  <si>
    <t>ENQ-004109</t>
  </si>
  <si>
    <t>ENQ-000565</t>
  </si>
  <si>
    <t>ENQ-003197</t>
  </si>
  <si>
    <t>ENQ-000725</t>
  </si>
  <si>
    <t>ENQ-002840</t>
  </si>
  <si>
    <t>ENQ-005225</t>
  </si>
  <si>
    <t>ENQ-002563</t>
  </si>
  <si>
    <t>ENQ-002806</t>
  </si>
  <si>
    <t>ENQ-003171</t>
  </si>
  <si>
    <t>ENQ-001818</t>
  </si>
  <si>
    <t>ENQ-003621</t>
  </si>
  <si>
    <t>ENQ-003030</t>
  </si>
  <si>
    <t>ENQ-005187</t>
  </si>
  <si>
    <t>ENQ-001907</t>
  </si>
  <si>
    <t>ENQ-004114</t>
  </si>
  <si>
    <t>ENQ-001708</t>
  </si>
  <si>
    <t>ENQ-000142</t>
  </si>
  <si>
    <t>ENQ-001277</t>
  </si>
  <si>
    <t>ENQ-000418</t>
  </si>
  <si>
    <t>ENQ-000831</t>
  </si>
  <si>
    <t>ENQ-005175</t>
  </si>
  <si>
    <t>ENQ-002967</t>
  </si>
  <si>
    <t>ENQ-003469</t>
  </si>
  <si>
    <t>ENQ-000891</t>
  </si>
  <si>
    <t>ENQ-002586</t>
  </si>
  <si>
    <t>ENQ-003094</t>
  </si>
  <si>
    <t>ENQ-001220</t>
  </si>
  <si>
    <t>ENQ-002975</t>
  </si>
  <si>
    <t>ENQ-005160</t>
  </si>
  <si>
    <t>ENQ-005117</t>
  </si>
  <si>
    <t>ENQ-005257</t>
  </si>
  <si>
    <t>ENQ-004256</t>
  </si>
  <si>
    <t>ENQ-003005</t>
  </si>
  <si>
    <t>ENQ-002607</t>
  </si>
  <si>
    <t>ENQ-003266</t>
  </si>
  <si>
    <t>ENQ-004840</t>
  </si>
  <si>
    <t>ENQ-000570</t>
  </si>
  <si>
    <t>ENQ-004406</t>
  </si>
  <si>
    <t>ENQ-001211</t>
  </si>
  <si>
    <t>ENQ-004030</t>
  </si>
  <si>
    <t>ENQ-000759</t>
  </si>
  <si>
    <t>ENQ-002913</t>
  </si>
  <si>
    <t>ENQ-001712</t>
  </si>
  <si>
    <t>ENQ-000014</t>
  </si>
  <si>
    <t>ENQ-005959</t>
  </si>
  <si>
    <t>ENQ-004094</t>
  </si>
  <si>
    <t>ENQ-001989</t>
  </si>
  <si>
    <t>ENQ-005289</t>
  </si>
  <si>
    <t>ENQ-000642</t>
  </si>
  <si>
    <t>ENQ-005458</t>
  </si>
  <si>
    <t>ENQ-004374</t>
  </si>
  <si>
    <t>ENQ-002223</t>
  </si>
  <si>
    <t>ENQ-005365</t>
  </si>
  <si>
    <t>ENQ-004693</t>
  </si>
  <si>
    <t>ENQ-001075</t>
  </si>
  <si>
    <t>ENQ-003313</t>
  </si>
  <si>
    <t>ENQ-001997</t>
  </si>
  <si>
    <t>ENQ-003817</t>
  </si>
  <si>
    <t>ENQ-003052</t>
  </si>
  <si>
    <t>ENQ-003573</t>
  </si>
  <si>
    <t>ENQ-003021</t>
  </si>
  <si>
    <t>ENQ-002929</t>
  </si>
  <si>
    <t>ENQ-001373</t>
  </si>
  <si>
    <t>ENQ-001847</t>
  </si>
  <si>
    <t>ENQ-006021</t>
  </si>
  <si>
    <t>ENQ-001951</t>
  </si>
  <si>
    <t>ENQ-003734</t>
  </si>
  <si>
    <t>ENQ-004766</t>
  </si>
  <si>
    <t>ENQ-002587</t>
  </si>
  <si>
    <t>ENQ-004909</t>
  </si>
  <si>
    <t>ENQ-001516</t>
  </si>
  <si>
    <t>ENQ-002835</t>
  </si>
  <si>
    <t>ENQ-003805</t>
  </si>
  <si>
    <t>ENQ-005087</t>
  </si>
  <si>
    <t>ENQ-005630</t>
  </si>
  <si>
    <t>ENQ-003264</t>
  </si>
  <si>
    <t>ENQ-005597</t>
  </si>
  <si>
    <t>ENQ-000422</t>
  </si>
  <si>
    <t>ENQ-001764</t>
  </si>
  <si>
    <t>ENQ-001067</t>
  </si>
  <si>
    <t>ENQ-005818</t>
  </si>
  <si>
    <t>ENQ-001980</t>
  </si>
  <si>
    <t>ENQ-000669</t>
  </si>
  <si>
    <t>ENQ-002197</t>
  </si>
  <si>
    <t>ENQ-003463</t>
  </si>
  <si>
    <t>ENQ-000133</t>
  </si>
  <si>
    <t>ENQ-002485</t>
  </si>
  <si>
    <t>ENQ-002519</t>
  </si>
  <si>
    <t>ENQ-003539</t>
  </si>
  <si>
    <t>ENQ-000913</t>
  </si>
  <si>
    <t>ENQ-001514</t>
  </si>
  <si>
    <t>ENQ-000219</t>
  </si>
  <si>
    <t>ENQ-005191</t>
  </si>
  <si>
    <t>ENQ-003043</t>
  </si>
  <si>
    <t>ENQ-005779</t>
  </si>
  <si>
    <t>ENQ-004848</t>
  </si>
  <si>
    <t>ENQ-004493</t>
  </si>
  <si>
    <t>ENQ-001775</t>
  </si>
  <si>
    <t>ENQ-003769</t>
  </si>
  <si>
    <t>ENQ-000957</t>
  </si>
  <si>
    <t>ENQ-003716</t>
  </si>
  <si>
    <t>ENQ-002520</t>
  </si>
  <si>
    <t>ENQ-004585</t>
  </si>
  <si>
    <t>ENQ-005861</t>
  </si>
  <si>
    <t>ENQ-000388</t>
  </si>
  <si>
    <t>ENQ-000841</t>
  </si>
  <si>
    <t>ENQ-002680</t>
  </si>
  <si>
    <t>ENQ-000310</t>
  </si>
  <si>
    <t>ENQ-004548</t>
  </si>
  <si>
    <t>ENQ-004789</t>
  </si>
  <si>
    <t>ENQ-002022</t>
  </si>
  <si>
    <t>ENQ-004825</t>
  </si>
  <si>
    <t>ENQ-005587</t>
  </si>
  <si>
    <t>ENQ-000571</t>
  </si>
  <si>
    <t>ENQ-003524</t>
  </si>
  <si>
    <t>ENQ-004249</t>
  </si>
  <si>
    <t>ENQ-001993</t>
  </si>
  <si>
    <t>ENQ-005351</t>
  </si>
  <si>
    <t>ENQ-002046</t>
  </si>
  <si>
    <t>ENQ-005912</t>
  </si>
  <si>
    <t>ENQ-000029</t>
  </si>
  <si>
    <t>ENQ-005111</t>
  </si>
  <si>
    <t>ENQ-006102</t>
  </si>
  <si>
    <t>ENQ-003044</t>
  </si>
  <si>
    <t>ENQ-001922</t>
  </si>
  <si>
    <t>ENQ-001467</t>
  </si>
  <si>
    <t>ENQ-000685</t>
  </si>
  <si>
    <t>ENQ-000825</t>
  </si>
  <si>
    <t>ENQ-000232</t>
  </si>
  <si>
    <t>ENQ-001947</t>
  </si>
  <si>
    <t>ENQ-000097</t>
  </si>
  <si>
    <t>ENQ-002278</t>
  </si>
  <si>
    <t>ENQ-001529</t>
  </si>
  <si>
    <t>ENQ-002420</t>
  </si>
  <si>
    <t>ENQ-001816</t>
  </si>
  <si>
    <t>ENQ-005495</t>
  </si>
  <si>
    <t>ENQ-001648</t>
  </si>
  <si>
    <t>ENQ-001889</t>
  </si>
  <si>
    <t>ENQ-001856</t>
  </si>
  <si>
    <t>ENQ-004321</t>
  </si>
  <si>
    <t>ENQ-005429</t>
  </si>
  <si>
    <t>ENQ-001485</t>
  </si>
  <si>
    <t>ENQ-000086</t>
  </si>
  <si>
    <t>ENQ-005274</t>
  </si>
  <si>
    <t>ENQ-000011</t>
  </si>
  <si>
    <t>ENQ-004874</t>
  </si>
  <si>
    <t>ENQ-003234</t>
  </si>
  <si>
    <t>ENQ-001903</t>
  </si>
  <si>
    <t>ENQ-003371</t>
  </si>
  <si>
    <t>ENQ-003863</t>
  </si>
  <si>
    <t>ENQ-000601</t>
  </si>
  <si>
    <t>ENQ-004885</t>
  </si>
  <si>
    <t>ENQ-004319</t>
  </si>
  <si>
    <t>ENQ-002758</t>
  </si>
  <si>
    <t>ENQ-001799</t>
  </si>
  <si>
    <t>ENQ-004600</t>
  </si>
  <si>
    <t>ENQ-003620</t>
  </si>
  <si>
    <t>ENQ-005857</t>
  </si>
  <si>
    <t>ENQ-004146</t>
  </si>
  <si>
    <t>ENQ-004498</t>
  </si>
  <si>
    <t>ENQ-004467</t>
  </si>
  <si>
    <t>ENQ-001061</t>
  </si>
  <si>
    <t>ENQ-001250</t>
  </si>
  <si>
    <t>ENQ-002912</t>
  </si>
  <si>
    <t>ENQ-004724</t>
  </si>
  <si>
    <t>ENQ-000499</t>
  </si>
  <si>
    <t>ENQ-004250</t>
  </si>
  <si>
    <t>ENQ-005277</t>
  </si>
  <si>
    <t>ENQ-001285</t>
  </si>
  <si>
    <t>ENQ-004195</t>
  </si>
  <si>
    <t>ENQ-002349</t>
  </si>
  <si>
    <t>ENQ-000826</t>
  </si>
  <si>
    <t>ENQ-000266</t>
  </si>
  <si>
    <t>ENQ-005814</t>
  </si>
  <si>
    <t>ENQ-001976</t>
  </si>
  <si>
    <t>ENQ-000593</t>
  </si>
  <si>
    <t>ENQ-002833</t>
  </si>
  <si>
    <t>ENQ-005725</t>
  </si>
  <si>
    <t>ENQ-002094</t>
  </si>
  <si>
    <t>ENQ-003824</t>
  </si>
  <si>
    <t>ENQ-001264</t>
  </si>
  <si>
    <t>ENQ-000796</t>
  </si>
  <si>
    <t>ENQ-003529</t>
  </si>
  <si>
    <t>ENQ-003855</t>
  </si>
  <si>
    <t>ENQ-004554</t>
  </si>
  <si>
    <t>ENQ-003487</t>
  </si>
  <si>
    <t>ENQ-005284</t>
  </si>
  <si>
    <t>ENQ-005005</t>
  </si>
  <si>
    <t>ENQ-000213</t>
  </si>
  <si>
    <t>ENQ-002204</t>
  </si>
  <si>
    <t>ENQ-003952</t>
  </si>
  <si>
    <t>ENQ-004980</t>
  </si>
  <si>
    <t>ENQ-000179</t>
  </si>
  <si>
    <t>ENQ-000624</t>
  </si>
  <si>
    <t>ENQ-002416</t>
  </si>
  <si>
    <t>ENQ-005522</t>
  </si>
  <si>
    <t>ENQ-004135</t>
  </si>
  <si>
    <t>ENQ-002518</t>
  </si>
  <si>
    <t>ENQ-000401</t>
  </si>
  <si>
    <t>TCK_002116</t>
  </si>
  <si>
    <t>ENQ-003681</t>
  </si>
  <si>
    <t>TCK-001631</t>
  </si>
  <si>
    <t>ENQ-004808</t>
  </si>
  <si>
    <t>ENQ-005827</t>
  </si>
  <si>
    <t>ENQ-005906</t>
  </si>
  <si>
    <t>ENQ-002848</t>
  </si>
  <si>
    <t>ENQ-004243</t>
  </si>
  <si>
    <t>ENQ-000824</t>
  </si>
  <si>
    <t>ENQ-004223</t>
  </si>
  <si>
    <t>ENQ-005154</t>
  </si>
  <si>
    <t>ENQ-005625</t>
  </si>
  <si>
    <t>ENQ-003362</t>
  </si>
  <si>
    <t>ENQ-001505</t>
  </si>
  <si>
    <t>ENQ-004370</t>
  </si>
  <si>
    <t>ENQ-005721</t>
  </si>
  <si>
    <t>ENQ-001316</t>
  </si>
  <si>
    <t>ENQ-005640</t>
  </si>
  <si>
    <t>ENQ-000630</t>
  </si>
  <si>
    <t>ENQ-000803</t>
  </si>
  <si>
    <t>ENQ-004479</t>
  </si>
  <si>
    <t>ENQ-000950</t>
  </si>
  <si>
    <t>ENQ-000531</t>
  </si>
  <si>
    <t>ENQ-001939</t>
  </si>
  <si>
    <t>ENQ-005634</t>
  </si>
  <si>
    <t>ENQ-002301</t>
  </si>
  <si>
    <t>ENQ-000866</t>
  </si>
  <si>
    <t>ENQ-000511</t>
  </si>
  <si>
    <t>ENQ-005370</t>
  </si>
  <si>
    <t>ENQ-000139</t>
  </si>
  <si>
    <t>ENQ-002200</t>
  </si>
  <si>
    <t>ENQ-003804</t>
  </si>
  <si>
    <t>ENQ-004113</t>
  </si>
  <si>
    <t>ENQ-004866</t>
  </si>
  <si>
    <t>ENQ-006062</t>
  </si>
  <si>
    <t>ENQ-003576</t>
  </si>
  <si>
    <t>ENQ-004199</t>
  </si>
  <si>
    <t>ENQ-000715</t>
  </si>
  <si>
    <t>ENQ-005242</t>
  </si>
  <si>
    <t>ENQ-004816</t>
  </si>
  <si>
    <t>ENQ-003348</t>
  </si>
  <si>
    <t>ENQ-000304</t>
  </si>
  <si>
    <t>ENQ-005318</t>
  </si>
  <si>
    <t>TCK_000666</t>
  </si>
  <si>
    <t>ENQ-003775</t>
  </si>
  <si>
    <t>ENQ-003629</t>
  </si>
  <si>
    <t>ENQ-005363</t>
  </si>
  <si>
    <t>ENQ-003393</t>
  </si>
  <si>
    <t>ENQ-005626</t>
  </si>
  <si>
    <t>ENQ-002500</t>
  </si>
  <si>
    <t>ENQ-002332</t>
  </si>
  <si>
    <t>ENQ-005773</t>
  </si>
  <si>
    <t>ENQ-000584</t>
  </si>
  <si>
    <t>ENQ-001001</t>
  </si>
  <si>
    <t>ENQ-001450</t>
  </si>
  <si>
    <t>ENQ-004326</t>
  </si>
  <si>
    <t>ENQ-000723</t>
  </si>
  <si>
    <t>ENQ-000394</t>
  </si>
  <si>
    <t>ENQ-003735</t>
  </si>
  <si>
    <t>ENQ-001404</t>
  </si>
  <si>
    <t>ENQ-002408</t>
  </si>
  <si>
    <t>ENQ-001076</t>
  </si>
  <si>
    <t>ENQ-002217</t>
  </si>
  <si>
    <t>ENQ-004317</t>
  </si>
  <si>
    <t>ENQ-004772</t>
  </si>
  <si>
    <t>ENQ-004216</t>
  </si>
  <si>
    <t>ENQ-000095</t>
  </si>
  <si>
    <t>ENQ-000919</t>
  </si>
  <si>
    <t>ENQ-002049</t>
  </si>
  <si>
    <t>ENQ-003255</t>
  </si>
  <si>
    <t>ENQ-001524</t>
  </si>
  <si>
    <t>ENQ-005075</t>
  </si>
  <si>
    <t>ENQ-003537</t>
  </si>
  <si>
    <t>ENQ-004127</t>
  </si>
  <si>
    <t>ENQ-000325</t>
  </si>
  <si>
    <t>ENQ-005834</t>
  </si>
  <si>
    <t>ENQ-003544</t>
  </si>
  <si>
    <t>ENQ-004041</t>
  </si>
  <si>
    <t>ENQ-005484</t>
  </si>
  <si>
    <t>ENQ-000575</t>
  </si>
  <si>
    <t>ENQ-004984</t>
  </si>
  <si>
    <t>ENQ-006040</t>
  </si>
  <si>
    <t>ENQ-002823</t>
  </si>
  <si>
    <t>ENQ-002515</t>
  </si>
  <si>
    <t>ENQ-001817</t>
  </si>
  <si>
    <t>ENQ-003654</t>
  </si>
  <si>
    <t>ENQ-001198</t>
  </si>
  <si>
    <t>ENQ-001550</t>
  </si>
  <si>
    <t>ENQ-001025</t>
  </si>
  <si>
    <t>ENQ-002532</t>
  </si>
  <si>
    <t>ENQ-000175</t>
  </si>
  <si>
    <t>ENQ-006027</t>
  </si>
  <si>
    <t>ENQ-004038</t>
  </si>
  <si>
    <t>ENQ-003236</t>
  </si>
  <si>
    <t>ENQ-004371</t>
  </si>
  <si>
    <t>ENQ-002352</t>
  </si>
  <si>
    <t>ENQ-002735</t>
  </si>
  <si>
    <t>ENQ-001604</t>
  </si>
  <si>
    <t>ENQ-005243</t>
  </si>
  <si>
    <t>ENQ-003344</t>
  </si>
  <si>
    <t>ENQ-005820</t>
  </si>
  <si>
    <t>ENQ-004743</t>
  </si>
  <si>
    <t>ENQ-005689</t>
  </si>
  <si>
    <t>ENQ-006084</t>
  </si>
  <si>
    <t>ENQ-003407</t>
  </si>
  <si>
    <t>ENQ-001594</t>
  </si>
  <si>
    <t>ENQ-005537</t>
  </si>
  <si>
    <t>ENQ-004384</t>
  </si>
  <si>
    <t>ENQ-003751</t>
  </si>
  <si>
    <t>ENQ-000819</t>
  </si>
  <si>
    <t>ENQ-000466</t>
  </si>
  <si>
    <t>ENQ-003338</t>
  </si>
  <si>
    <t>ENQ-003988</t>
  </si>
  <si>
    <t>ENQ-005143</t>
  </si>
  <si>
    <t>ENQ-005980</t>
  </si>
  <si>
    <t>ENQ-001238</t>
  </si>
  <si>
    <t>ENQ-003151</t>
  </si>
  <si>
    <t>ENQ-005487</t>
  </si>
  <si>
    <t>ENQ-001375</t>
  </si>
  <si>
    <t>ENQ-001125</t>
  </si>
  <si>
    <t>ENQ-001897</t>
  </si>
  <si>
    <t>ENQ-004662</t>
  </si>
  <si>
    <t>ENQ-000574</t>
  </si>
  <si>
    <t>ENQ-001307</t>
  </si>
  <si>
    <t>ENQ-004511</t>
  </si>
  <si>
    <t>ENQ-005012</t>
  </si>
  <si>
    <t>ENQ-003799</t>
  </si>
  <si>
    <t>ENQ-003485</t>
  </si>
  <si>
    <t>ENQ-000039</t>
  </si>
  <si>
    <t>ENQ-001146</t>
  </si>
  <si>
    <t>ENQ-000996</t>
  </si>
  <si>
    <t>ENQ-002933</t>
  </si>
  <si>
    <t>ENQ-000131</t>
  </si>
  <si>
    <t>ENQ-004632</t>
  </si>
  <si>
    <t>ENQ-002669</t>
  </si>
  <si>
    <t>ENQ-003191</t>
  </si>
  <si>
    <t>ENQ-003092</t>
  </si>
  <si>
    <t>ENQ-000447</t>
  </si>
  <si>
    <t>ENQ-001531</t>
  </si>
  <si>
    <t>ENQ-002074</t>
  </si>
  <si>
    <t>ENQ-005027</t>
  </si>
  <si>
    <t>ENQ-003902</t>
  </si>
  <si>
    <t>ENQ-005762</t>
  </si>
  <si>
    <t>ENQ-000337</t>
  </si>
  <si>
    <t>ENQ-001860</t>
  </si>
  <si>
    <t>ENQ-000476</t>
  </si>
  <si>
    <t>ENQ-004790</t>
  </si>
  <si>
    <t>ENQ-001906</t>
  </si>
  <si>
    <t>ENQ-002488</t>
  </si>
  <si>
    <t>ENQ-006081</t>
  </si>
  <si>
    <t>ENQ-000604</t>
  </si>
  <si>
    <t>ENQ-002896</t>
  </si>
  <si>
    <t>ENQ-001551</t>
  </si>
  <si>
    <t>ENQ-001493</t>
  </si>
  <si>
    <t>ENQ-001073</t>
  </si>
  <si>
    <t>ENQ-000808</t>
  </si>
  <si>
    <t>ENQ-003676</t>
  </si>
  <si>
    <t>ENQ-005506</t>
  </si>
  <si>
    <t>ENQ-003316</t>
  </si>
  <si>
    <t>ENQ-002444</t>
  </si>
  <si>
    <t>ENQ-004922</t>
  </si>
  <si>
    <t>ENQ-000184</t>
  </si>
  <si>
    <t>ENQ-004136</t>
  </si>
  <si>
    <t>ENQ-001590</t>
  </si>
  <si>
    <t>ENQ-005206</t>
  </si>
  <si>
    <t>ENQ-001451</t>
  </si>
  <si>
    <t>ENQ-004013</t>
  </si>
  <si>
    <t>ENQ-001173</t>
  </si>
  <si>
    <t>ENQ-001850</t>
  </si>
  <si>
    <t>ENQ-004957</t>
  </si>
  <si>
    <t>ENQ-005425</t>
  </si>
  <si>
    <t>ENQ-003414</t>
  </si>
  <si>
    <t>ENQ-001217</t>
  </si>
  <si>
    <t>ENQ-004117</t>
  </si>
  <si>
    <t>ENQ-003177</t>
  </si>
  <si>
    <t>ENQ-002661</t>
  </si>
  <si>
    <t>ENQ-001803</t>
  </si>
  <si>
    <t>ENQ-006077</t>
  </si>
  <si>
    <t>ENQ-001835</t>
  </si>
  <si>
    <t>ENQ-000245</t>
  </si>
  <si>
    <t>ENQ-003992</t>
  </si>
  <si>
    <t>ENQ-001655</t>
  </si>
  <si>
    <t>ENQ-002909</t>
  </si>
  <si>
    <t>ENQ-004900</t>
  </si>
  <si>
    <t>ENQ-005042</t>
  </si>
  <si>
    <t>ENQ-001711</t>
  </si>
  <si>
    <t>ENQ-002240</t>
  </si>
  <si>
    <t>ENQ-003977</t>
  </si>
  <si>
    <t>ENQ-003142</t>
  </si>
  <si>
    <t>ENQ-004777</t>
  </si>
  <si>
    <t>ENQ-001398</t>
  </si>
  <si>
    <t>ENQ-005573</t>
  </si>
  <si>
    <t>ENQ-003616</t>
  </si>
  <si>
    <t>ENQ-001913</t>
  </si>
  <si>
    <t>ENQ-003130</t>
  </si>
  <si>
    <t>ENQ-003635</t>
  </si>
  <si>
    <t>ENQ-000832</t>
  </si>
  <si>
    <t>ENQ-003219</t>
  </si>
  <si>
    <t>ENQ-004906</t>
  </si>
  <si>
    <t>ENQ-001282</t>
  </si>
  <si>
    <t>ENQ-000839</t>
  </si>
  <si>
    <t>ENQ-002999</t>
  </si>
  <si>
    <t>ENQ-000662</t>
  </si>
  <si>
    <t>ENQ-002660</t>
  </si>
  <si>
    <t>ENQ-005309</t>
  </si>
  <si>
    <t>ENQ-002614</t>
  </si>
  <si>
    <t>ENQ-002057</t>
  </si>
  <si>
    <t>ENQ-001578</t>
  </si>
  <si>
    <t>ENQ-004577</t>
  </si>
  <si>
    <t>ENQ-000437</t>
  </si>
  <si>
    <t>ENQ-005150</t>
  </si>
  <si>
    <t>ENQ-005694</t>
  </si>
  <si>
    <t>ENQ-005826</t>
  </si>
  <si>
    <t>ENQ-002722</t>
  </si>
  <si>
    <t>ENQ-002963</t>
  </si>
  <si>
    <t>ENQ-000053</t>
  </si>
  <si>
    <t>ENQ-003759</t>
  </si>
  <si>
    <t>ENQ-001585</t>
  </si>
  <si>
    <t>Pas de commentaire</t>
  </si>
  <si>
    <t>Non renseigné</t>
  </si>
  <si>
    <t>TCK-001874</t>
  </si>
  <si>
    <t>TCK-003676</t>
  </si>
  <si>
    <t>TCK-001081</t>
  </si>
  <si>
    <t>Nombre d'absence</t>
  </si>
  <si>
    <t>Id mois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</si>
  <si>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</si>
  <si>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</si>
  <si>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</si>
  <si>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</si>
  <si>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</si>
  <si>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</si>
  <si>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</si>
  <si>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</si>
  <si>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aout</t>
  </si>
  <si>
    <t>septembre</t>
  </si>
  <si>
    <t>octobre</t>
  </si>
  <si>
    <t>novembre</t>
  </si>
  <si>
    <t>décembre</t>
  </si>
  <si>
    <t>Temps résolution moyen</t>
  </si>
  <si>
    <t>Moyenne satisfaction client</t>
  </si>
  <si>
    <t>Nombre de ticket traité</t>
  </si>
  <si>
    <t>Volume_Tickets_Reçu</t>
  </si>
  <si>
    <t>Taux de productivité</t>
  </si>
  <si>
    <t>Retard</t>
  </si>
  <si>
    <t>Respect des SLA</t>
  </si>
  <si>
    <t>Respect SLA</t>
  </si>
  <si>
    <t>Taux de réclammation</t>
  </si>
  <si>
    <t>Nombre de réclammation</t>
  </si>
  <si>
    <t>CSAT moyen</t>
  </si>
  <si>
    <t>Id Agent</t>
  </si>
  <si>
    <t>NPS moyen</t>
  </si>
  <si>
    <t>Nombre d'heure travaillé</t>
  </si>
  <si>
    <t>Temps moyen de traitement</t>
  </si>
  <si>
    <t>Taux de résolution</t>
  </si>
  <si>
    <t>Taux de réouverture</t>
  </si>
  <si>
    <t>Taux de résolution au premier contact</t>
  </si>
  <si>
    <t>Ticket par heure</t>
  </si>
  <si>
    <t>Taux de présence</t>
  </si>
  <si>
    <t>Nombre de jour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</si>
</sst>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0"/>
      </left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0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Fill="1" applyBorder="1"/>
    <xf numFmtId="14" fontId="0" fillId="3" borderId="5" xfId="0" applyNumberForma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14" fontId="0" fillId="0" borderId="2" xfId="0" applyNumberFormat="1" applyBorder="1"/>
    <xf numFmtId="14" fontId="0" fillId="0" borderId="0" xfId="0" applyNumberFormat="1"/>
    <xf numFmtId="0" fontId="1" fillId="2" borderId="7" xfId="0" applyFont="1" applyFill="1" applyBorder="1"/>
    <xf numFmtId="0" fontId="1" fillId="2" borderId="8" xfId="0" applyFont="1" applyFill="1" applyBorder="1"/>
    <xf numFmtId="0" fontId="0" fillId="3" borderId="7" xfId="0" applyFill="1" applyBorder="1"/>
    <xf numFmtId="14" fontId="0" fillId="3" borderId="7" xfId="0" applyNumberFormat="1" applyFill="1" applyBorder="1"/>
    <xf numFmtId="0" fontId="0" fillId="3" borderId="8" xfId="0" applyFill="1" applyBorder="1"/>
    <xf numFmtId="0" fontId="0" fillId="4" borderId="4" xfId="0" applyFill="1" applyBorder="1"/>
    <xf numFmtId="0" fontId="0" fillId="4" borderId="7" xfId="0" applyFill="1" applyBorder="1"/>
    <xf numFmtId="14" fontId="0" fillId="4" borderId="7" xfId="0" applyNumberFormat="1" applyFill="1" applyBorder="1"/>
    <xf numFmtId="0" fontId="0" fillId="4" borderId="8" xfId="0" applyFill="1" applyBorder="1"/>
    <xf numFmtId="0" fontId="0" fillId="4" borderId="1" xfId="0" applyFill="1" applyBorder="1"/>
    <xf numFmtId="0" fontId="0" fillId="4" borderId="9" xfId="0" applyFill="1" applyBorder="1"/>
    <xf numFmtId="14" fontId="0" fillId="4" borderId="9" xfId="0" applyNumberFormat="1" applyFill="1" applyBorder="1"/>
    <xf numFmtId="0" fontId="0" fillId="4" borderId="10" xfId="0" applyFill="1" applyBorder="1"/>
    <xf numFmtId="10" fontId="0" fillId="0" borderId="0" xfId="0" applyNumberFormat="1"/>
    <xf numFmtId="0" fontId="1" fillId="2" borderId="11" xfId="0" applyFont="1" applyFill="1" applyBorder="1"/>
    <xf numFmtId="0" fontId="1" fillId="2" borderId="0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0" fillId="0" borderId="1" xfId="0" applyFont="1" applyBorder="1"/>
    <xf numFmtId="0" fontId="0" fillId="3" borderId="4" xfId="0" applyFont="1" applyFill="1" applyBorder="1"/>
    <xf numFmtId="0" fontId="0" fillId="3" borderId="5" xfId="0" applyFont="1" applyFill="1" applyBorder="1"/>
    <xf numFmtId="2" fontId="0" fillId="3" borderId="5" xfId="0" applyNumberFormat="1" applyFont="1" applyFill="1" applyBorder="1"/>
    <xf numFmtId="10" fontId="0" fillId="3" borderId="5" xfId="0" applyNumberFormat="1" applyFont="1" applyFill="1" applyBorder="1"/>
    <xf numFmtId="0" fontId="0" fillId="0" borderId="5" xfId="0" applyFont="1" applyBorder="1"/>
    <xf numFmtId="2" fontId="0" fillId="0" borderId="5" xfId="0" applyNumberFormat="1" applyFont="1" applyBorder="1"/>
    <xf numFmtId="10" fontId="0" fillId="0" borderId="5" xfId="0" applyNumberFormat="1" applyFont="1" applyBorder="1"/>
    <xf numFmtId="0" fontId="0" fillId="0" borderId="4" xfId="0" applyFont="1" applyBorder="1"/>
    <xf numFmtId="2" fontId="0" fillId="0" borderId="2" xfId="0" applyNumberFormat="1" applyFont="1" applyBorder="1"/>
    <xf numFmtId="10" fontId="0" fillId="0" borderId="2" xfId="0" applyNumberFormat="1" applyFont="1" applyBorder="1"/>
    <xf numFmtId="10" fontId="0" fillId="3" borderId="6" xfId="0" applyNumberFormat="1" applyFont="1" applyFill="1" applyBorder="1"/>
    <xf numFmtId="0" fontId="0" fillId="3" borderId="6" xfId="0" applyFont="1" applyFill="1" applyBorder="1"/>
    <xf numFmtId="2" fontId="0" fillId="3" borderId="2" xfId="0" applyNumberFormat="1" applyFont="1" applyFill="1" applyBorder="1"/>
    <xf numFmtId="10" fontId="0" fillId="3" borderId="2" xfId="0" applyNumberFormat="1" applyFont="1" applyFill="1" applyBorder="1"/>
    <xf numFmtId="10" fontId="0" fillId="3" borderId="3" xfId="0" applyNumberFormat="1" applyFont="1" applyFill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2" xr16:uid="{B890B729-F0BD-424F-879C-48C8D6FA2E8D}" autoFormatId="16" applyNumberFormats="0" applyBorderFormats="0" applyFontFormats="0" applyPatternFormats="0" applyAlignmentFormats="0" applyWidthHeightFormats="0">
  <queryTableRefresh nextId="3">
    <queryTableFields count="2">
      <queryTableField id="1" name="Id mois" tableColumnId="1"/>
      <queryTableField id="2" name="moi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49139E-6F56-4DED-831B-EFF216860824}" name="Dim_Date" displayName="Dim_Date" ref="A1:B13" tableType="queryTable" totalsRowShown="0">
  <autoFilter ref="A1:B13" xr:uid="{AF49139E-6F56-4DED-831B-EFF216860824}"/>
  <tableColumns count="2">
    <tableColumn id="1" xr3:uid="{9087B1B6-823F-489C-86EC-847090984842}" uniqueName="1" name="Id mois" queryTableFieldId="1"/>
    <tableColumn id="2" xr3:uid="{BD6E1B97-7EB4-4E66-9BD7-B2BA4F21AE40}" uniqueName="2" name="mois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46E89-7731-41F4-ACD5-A98526961A1E}">
  <dimension ref="A1:F41"/>
  <sheetViews>
    <sheetView workbookViewId="0">
      <selection activeCell="E10" sqref="E10"/>
    </sheetView>
  </sheetViews>
  <sheetFormatPr baseColWidth="10" defaultRowHeight="14.5" x14ac:dyDescent="0.35"/>
  <cols>
    <col min="1" max="1" width="10.81640625" bestFit="1" customWidth="1"/>
    <col min="2" max="2" width="15.36328125" bestFit="1" customWidth="1"/>
    <col min="3" max="3" width="17.453125" bestFit="1" customWidth="1"/>
    <col min="4" max="4" width="16.81640625" bestFit="1" customWidth="1"/>
    <col min="5" max="5" width="14.54296875" bestFit="1" customWidth="1"/>
    <col min="6" max="6" width="13.08984375" bestFit="1" customWidth="1"/>
  </cols>
  <sheetData>
    <row r="1" spans="1:6" x14ac:dyDescent="0.35">
      <c r="A1" s="3" t="s">
        <v>10</v>
      </c>
      <c r="B1" s="4" t="s">
        <v>6072</v>
      </c>
      <c r="C1" s="4" t="s">
        <v>6073</v>
      </c>
      <c r="D1" s="4" t="s">
        <v>6074</v>
      </c>
      <c r="E1" s="4" t="s">
        <v>6075</v>
      </c>
      <c r="F1" s="5" t="s">
        <v>6076</v>
      </c>
    </row>
    <row r="2" spans="1:6" x14ac:dyDescent="0.35">
      <c r="A2" s="6" t="s">
        <v>6077</v>
      </c>
      <c r="B2" s="8" t="s">
        <v>6078</v>
      </c>
      <c r="C2" s="8" t="s">
        <v>6079</v>
      </c>
      <c r="D2" s="7">
        <v>45530</v>
      </c>
      <c r="E2" s="8" t="s">
        <v>6080</v>
      </c>
      <c r="F2" s="9" t="s">
        <v>6081</v>
      </c>
    </row>
    <row r="3" spans="1:6" x14ac:dyDescent="0.35">
      <c r="A3" s="10" t="s">
        <v>6082</v>
      </c>
      <c r="B3" s="12" t="s">
        <v>6083</v>
      </c>
      <c r="C3" s="12" t="s">
        <v>6084</v>
      </c>
      <c r="D3" s="11">
        <v>45390</v>
      </c>
      <c r="E3" s="12" t="s">
        <v>6080</v>
      </c>
      <c r="F3" s="13" t="s">
        <v>6085</v>
      </c>
    </row>
    <row r="4" spans="1:6" x14ac:dyDescent="0.35">
      <c r="A4" s="6" t="s">
        <v>99</v>
      </c>
      <c r="B4" s="8" t="s">
        <v>6086</v>
      </c>
      <c r="C4" s="8" t="s">
        <v>6087</v>
      </c>
      <c r="D4" s="7">
        <v>45085</v>
      </c>
      <c r="E4" s="8" t="s">
        <v>6088</v>
      </c>
      <c r="F4" s="9" t="s">
        <v>6081</v>
      </c>
    </row>
    <row r="5" spans="1:6" x14ac:dyDescent="0.35">
      <c r="A5" s="10" t="s">
        <v>6089</v>
      </c>
      <c r="B5" s="12" t="s">
        <v>6090</v>
      </c>
      <c r="C5" s="12" t="s">
        <v>6079</v>
      </c>
      <c r="D5" s="11">
        <v>44318</v>
      </c>
      <c r="E5" s="12" t="s">
        <v>6080</v>
      </c>
      <c r="F5" s="13" t="s">
        <v>6085</v>
      </c>
    </row>
    <row r="6" spans="1:6" x14ac:dyDescent="0.35">
      <c r="A6" s="6" t="s">
        <v>130</v>
      </c>
      <c r="B6" s="8" t="s">
        <v>6091</v>
      </c>
      <c r="C6" s="8" t="s">
        <v>6092</v>
      </c>
      <c r="D6" s="7">
        <v>45396</v>
      </c>
      <c r="E6" s="8" t="s">
        <v>6088</v>
      </c>
      <c r="F6" s="9" t="s">
        <v>6081</v>
      </c>
    </row>
    <row r="7" spans="1:6" x14ac:dyDescent="0.35">
      <c r="A7" s="10" t="s">
        <v>29</v>
      </c>
      <c r="B7" s="12" t="s">
        <v>6093</v>
      </c>
      <c r="C7" s="12" t="s">
        <v>6092</v>
      </c>
      <c r="D7" s="11">
        <v>44469</v>
      </c>
      <c r="E7" s="12" t="s">
        <v>6094</v>
      </c>
      <c r="F7" s="13" t="s">
        <v>6081</v>
      </c>
    </row>
    <row r="8" spans="1:6" x14ac:dyDescent="0.35">
      <c r="A8" s="6" t="s">
        <v>65</v>
      </c>
      <c r="B8" s="8" t="s">
        <v>6083</v>
      </c>
      <c r="C8" s="8" t="s">
        <v>6092</v>
      </c>
      <c r="D8" s="7">
        <v>44828</v>
      </c>
      <c r="E8" s="8" t="s">
        <v>6095</v>
      </c>
      <c r="F8" s="9" t="s">
        <v>6081</v>
      </c>
    </row>
    <row r="9" spans="1:6" x14ac:dyDescent="0.35">
      <c r="A9" s="10" t="s">
        <v>53</v>
      </c>
      <c r="B9" s="12" t="s">
        <v>6096</v>
      </c>
      <c r="C9" s="12" t="s">
        <v>6084</v>
      </c>
      <c r="D9" s="11">
        <v>44396</v>
      </c>
      <c r="E9" s="12" t="s">
        <v>6080</v>
      </c>
      <c r="F9" s="13" t="s">
        <v>6081</v>
      </c>
    </row>
    <row r="10" spans="1:6" x14ac:dyDescent="0.35">
      <c r="A10" s="6" t="s">
        <v>6097</v>
      </c>
      <c r="B10" s="8" t="s">
        <v>6098</v>
      </c>
      <c r="C10" s="8" t="s">
        <v>6079</v>
      </c>
      <c r="D10" s="7">
        <v>45590</v>
      </c>
      <c r="E10" s="8" t="s">
        <v>6088</v>
      </c>
      <c r="F10" s="9" t="s">
        <v>6081</v>
      </c>
    </row>
    <row r="11" spans="1:6" x14ac:dyDescent="0.35">
      <c r="A11" s="10" t="s">
        <v>97</v>
      </c>
      <c r="B11" s="12" t="s">
        <v>6099</v>
      </c>
      <c r="C11" s="12" t="s">
        <v>6079</v>
      </c>
      <c r="D11" s="11">
        <v>44937</v>
      </c>
      <c r="E11" s="12" t="s">
        <v>6094</v>
      </c>
      <c r="F11" s="13" t="s">
        <v>6081</v>
      </c>
    </row>
    <row r="12" spans="1:6" x14ac:dyDescent="0.35">
      <c r="A12" s="6" t="s">
        <v>108</v>
      </c>
      <c r="B12" s="8" t="s">
        <v>6100</v>
      </c>
      <c r="C12" s="8" t="s">
        <v>6087</v>
      </c>
      <c r="D12" s="7">
        <v>45373</v>
      </c>
      <c r="E12" s="8" t="s">
        <v>6094</v>
      </c>
      <c r="F12" s="9" t="s">
        <v>6081</v>
      </c>
    </row>
    <row r="13" spans="1:6" x14ac:dyDescent="0.35">
      <c r="A13" s="10" t="s">
        <v>126</v>
      </c>
      <c r="B13" s="12" t="s">
        <v>6101</v>
      </c>
      <c r="C13" s="12" t="s">
        <v>6084</v>
      </c>
      <c r="D13" s="11">
        <v>45444</v>
      </c>
      <c r="E13" s="12" t="s">
        <v>6080</v>
      </c>
      <c r="F13" s="13" t="s">
        <v>6081</v>
      </c>
    </row>
    <row r="14" spans="1:6" x14ac:dyDescent="0.35">
      <c r="A14" s="6" t="s">
        <v>146</v>
      </c>
      <c r="B14" s="8" t="s">
        <v>6102</v>
      </c>
      <c r="C14" s="8" t="s">
        <v>6084</v>
      </c>
      <c r="D14" s="7">
        <v>44508</v>
      </c>
      <c r="E14" s="8" t="s">
        <v>6088</v>
      </c>
      <c r="F14" s="9" t="s">
        <v>6081</v>
      </c>
    </row>
    <row r="15" spans="1:6" x14ac:dyDescent="0.35">
      <c r="A15" s="10" t="s">
        <v>89</v>
      </c>
      <c r="B15" s="12" t="s">
        <v>6090</v>
      </c>
      <c r="C15" s="12" t="s">
        <v>6092</v>
      </c>
      <c r="D15" s="11">
        <v>44839</v>
      </c>
      <c r="E15" s="12" t="s">
        <v>6094</v>
      </c>
      <c r="F15" s="13" t="s">
        <v>6081</v>
      </c>
    </row>
    <row r="16" spans="1:6" x14ac:dyDescent="0.35">
      <c r="A16" s="6" t="s">
        <v>253</v>
      </c>
      <c r="B16" s="8" t="s">
        <v>6103</v>
      </c>
      <c r="C16" s="8" t="s">
        <v>6092</v>
      </c>
      <c r="D16" s="7">
        <v>45131</v>
      </c>
      <c r="E16" s="8" t="s">
        <v>6080</v>
      </c>
      <c r="F16" s="9" t="s">
        <v>6081</v>
      </c>
    </row>
    <row r="17" spans="1:6" x14ac:dyDescent="0.35">
      <c r="A17" s="10" t="s">
        <v>236</v>
      </c>
      <c r="B17" s="12" t="s">
        <v>6104</v>
      </c>
      <c r="C17" s="12" t="s">
        <v>6087</v>
      </c>
      <c r="D17" s="11">
        <v>44321</v>
      </c>
      <c r="E17" s="12" t="s">
        <v>6094</v>
      </c>
      <c r="F17" s="13" t="s">
        <v>6081</v>
      </c>
    </row>
    <row r="18" spans="1:6" x14ac:dyDescent="0.35">
      <c r="A18" s="6" t="s">
        <v>87</v>
      </c>
      <c r="B18" s="8" t="s">
        <v>6105</v>
      </c>
      <c r="C18" s="8" t="s">
        <v>6079</v>
      </c>
      <c r="D18" s="7">
        <v>45566</v>
      </c>
      <c r="E18" s="8" t="s">
        <v>6094</v>
      </c>
      <c r="F18" s="9" t="s">
        <v>6081</v>
      </c>
    </row>
    <row r="19" spans="1:6" x14ac:dyDescent="0.35">
      <c r="A19" s="10" t="s">
        <v>72</v>
      </c>
      <c r="B19" s="12" t="s">
        <v>6106</v>
      </c>
      <c r="C19" s="12" t="s">
        <v>6107</v>
      </c>
      <c r="D19" s="11">
        <v>45448</v>
      </c>
      <c r="E19" s="12" t="s">
        <v>6080</v>
      </c>
      <c r="F19" s="13" t="s">
        <v>6081</v>
      </c>
    </row>
    <row r="20" spans="1:6" x14ac:dyDescent="0.35">
      <c r="A20" s="6" t="s">
        <v>45</v>
      </c>
      <c r="B20" s="8" t="s">
        <v>6108</v>
      </c>
      <c r="C20" s="8" t="s">
        <v>6107</v>
      </c>
      <c r="D20" s="7">
        <v>44704</v>
      </c>
      <c r="E20" s="8" t="s">
        <v>6088</v>
      </c>
      <c r="F20" s="9" t="s">
        <v>6081</v>
      </c>
    </row>
    <row r="21" spans="1:6" x14ac:dyDescent="0.35">
      <c r="A21" s="10" t="s">
        <v>139</v>
      </c>
      <c r="B21" s="12" t="s">
        <v>6109</v>
      </c>
      <c r="C21" s="12" t="s">
        <v>6107</v>
      </c>
      <c r="D21" s="11">
        <v>45116</v>
      </c>
      <c r="E21" s="12" t="s">
        <v>6088</v>
      </c>
      <c r="F21" s="13" t="s">
        <v>6081</v>
      </c>
    </row>
    <row r="22" spans="1:6" x14ac:dyDescent="0.35">
      <c r="A22" s="6" t="s">
        <v>78</v>
      </c>
      <c r="B22" s="8" t="s">
        <v>6110</v>
      </c>
      <c r="C22" s="8" t="s">
        <v>6092</v>
      </c>
      <c r="D22" s="7">
        <v>44767</v>
      </c>
      <c r="E22" s="8" t="s">
        <v>6088</v>
      </c>
      <c r="F22" s="9" t="s">
        <v>6085</v>
      </c>
    </row>
    <row r="23" spans="1:6" x14ac:dyDescent="0.35">
      <c r="A23" s="10" t="s">
        <v>158</v>
      </c>
      <c r="B23" s="12" t="s">
        <v>6111</v>
      </c>
      <c r="C23" s="12" t="s">
        <v>6107</v>
      </c>
      <c r="D23" s="11">
        <v>44366</v>
      </c>
      <c r="E23" s="12" t="s">
        <v>6095</v>
      </c>
      <c r="F23" s="13" t="s">
        <v>6081</v>
      </c>
    </row>
    <row r="24" spans="1:6" x14ac:dyDescent="0.35">
      <c r="A24" s="6" t="s">
        <v>143</v>
      </c>
      <c r="B24" s="8" t="s">
        <v>6112</v>
      </c>
      <c r="C24" s="8" t="s">
        <v>6079</v>
      </c>
      <c r="D24" s="7">
        <v>45403</v>
      </c>
      <c r="E24" s="8" t="s">
        <v>6095</v>
      </c>
      <c r="F24" s="9" t="s">
        <v>6081</v>
      </c>
    </row>
    <row r="25" spans="1:6" x14ac:dyDescent="0.35">
      <c r="A25" s="10" t="s">
        <v>101</v>
      </c>
      <c r="B25" s="12" t="s">
        <v>6113</v>
      </c>
      <c r="C25" s="12" t="s">
        <v>6079</v>
      </c>
      <c r="D25" s="11">
        <v>45291</v>
      </c>
      <c r="E25" s="12" t="s">
        <v>6094</v>
      </c>
      <c r="F25" s="13" t="s">
        <v>6081</v>
      </c>
    </row>
    <row r="26" spans="1:6" x14ac:dyDescent="0.35">
      <c r="A26" s="6" t="s">
        <v>34</v>
      </c>
      <c r="B26" s="8" t="s">
        <v>6078</v>
      </c>
      <c r="C26" s="8" t="s">
        <v>6092</v>
      </c>
      <c r="D26" s="7">
        <v>45461</v>
      </c>
      <c r="E26" s="8" t="s">
        <v>6080</v>
      </c>
      <c r="F26" s="9" t="s">
        <v>6081</v>
      </c>
    </row>
    <row r="27" spans="1:6" x14ac:dyDescent="0.35">
      <c r="A27" s="10" t="s">
        <v>18</v>
      </c>
      <c r="B27" s="12" t="s">
        <v>6114</v>
      </c>
      <c r="C27" s="12" t="s">
        <v>6079</v>
      </c>
      <c r="D27" s="11">
        <v>45014</v>
      </c>
      <c r="E27" s="12" t="s">
        <v>6088</v>
      </c>
      <c r="F27" s="13" t="s">
        <v>6081</v>
      </c>
    </row>
    <row r="28" spans="1:6" x14ac:dyDescent="0.35">
      <c r="A28" s="6" t="s">
        <v>104</v>
      </c>
      <c r="B28" s="8" t="s">
        <v>6115</v>
      </c>
      <c r="C28" s="8" t="s">
        <v>6107</v>
      </c>
      <c r="D28" s="7">
        <v>44334</v>
      </c>
      <c r="E28" s="8" t="s">
        <v>6095</v>
      </c>
      <c r="F28" s="9" t="s">
        <v>6081</v>
      </c>
    </row>
    <row r="29" spans="1:6" x14ac:dyDescent="0.35">
      <c r="A29" s="10" t="s">
        <v>85</v>
      </c>
      <c r="B29" s="12" t="s">
        <v>6116</v>
      </c>
      <c r="C29" s="12" t="s">
        <v>6092</v>
      </c>
      <c r="D29" s="11">
        <v>44304</v>
      </c>
      <c r="E29" s="12" t="s">
        <v>6080</v>
      </c>
      <c r="F29" s="13" t="s">
        <v>6081</v>
      </c>
    </row>
    <row r="30" spans="1:6" x14ac:dyDescent="0.35">
      <c r="A30" s="6" t="s">
        <v>41</v>
      </c>
      <c r="B30" s="8" t="s">
        <v>6117</v>
      </c>
      <c r="C30" s="8" t="s">
        <v>6087</v>
      </c>
      <c r="D30" s="7">
        <v>44941</v>
      </c>
      <c r="E30" s="8" t="s">
        <v>6080</v>
      </c>
      <c r="F30" s="9" t="s">
        <v>6081</v>
      </c>
    </row>
    <row r="31" spans="1:6" x14ac:dyDescent="0.35">
      <c r="A31" s="10" t="s">
        <v>6118</v>
      </c>
      <c r="B31" s="12" t="s">
        <v>6119</v>
      </c>
      <c r="C31" s="12" t="s">
        <v>6079</v>
      </c>
      <c r="D31" s="11">
        <v>44501</v>
      </c>
      <c r="E31" s="12" t="s">
        <v>6094</v>
      </c>
      <c r="F31" s="13" t="s">
        <v>6085</v>
      </c>
    </row>
    <row r="32" spans="1:6" x14ac:dyDescent="0.35">
      <c r="A32" s="6" t="s">
        <v>181</v>
      </c>
      <c r="B32" s="8" t="s">
        <v>6120</v>
      </c>
      <c r="C32" s="8" t="s">
        <v>6079</v>
      </c>
      <c r="D32" s="7">
        <v>44448</v>
      </c>
      <c r="E32" s="8" t="s">
        <v>6080</v>
      </c>
      <c r="F32" s="9" t="s">
        <v>6081</v>
      </c>
    </row>
    <row r="33" spans="1:6" x14ac:dyDescent="0.35">
      <c r="A33" s="10" t="s">
        <v>81</v>
      </c>
      <c r="B33" s="12" t="s">
        <v>6121</v>
      </c>
      <c r="C33" s="12" t="s">
        <v>6079</v>
      </c>
      <c r="D33" s="11">
        <v>44835</v>
      </c>
      <c r="E33" s="12" t="s">
        <v>6080</v>
      </c>
      <c r="F33" s="13" t="s">
        <v>6081</v>
      </c>
    </row>
    <row r="34" spans="1:6" x14ac:dyDescent="0.35">
      <c r="A34" s="6" t="s">
        <v>51</v>
      </c>
      <c r="B34" s="8" t="s">
        <v>6122</v>
      </c>
      <c r="C34" s="8" t="s">
        <v>6079</v>
      </c>
      <c r="D34" s="7">
        <v>44527</v>
      </c>
      <c r="E34" s="8" t="s">
        <v>6080</v>
      </c>
      <c r="F34" s="9" t="s">
        <v>6081</v>
      </c>
    </row>
    <row r="35" spans="1:6" x14ac:dyDescent="0.35">
      <c r="A35" s="10" t="s">
        <v>39</v>
      </c>
      <c r="B35" s="12" t="s">
        <v>6123</v>
      </c>
      <c r="C35" s="12" t="s">
        <v>6107</v>
      </c>
      <c r="D35" s="11">
        <v>45309</v>
      </c>
      <c r="E35" s="12" t="s">
        <v>6080</v>
      </c>
      <c r="F35" s="13" t="s">
        <v>6081</v>
      </c>
    </row>
    <row r="36" spans="1:6" x14ac:dyDescent="0.35">
      <c r="A36" s="6" t="s">
        <v>49</v>
      </c>
      <c r="B36" s="8" t="s">
        <v>6124</v>
      </c>
      <c r="C36" s="8" t="s">
        <v>6084</v>
      </c>
      <c r="D36" s="7">
        <v>45258</v>
      </c>
      <c r="E36" s="8" t="s">
        <v>6094</v>
      </c>
      <c r="F36" s="9" t="s">
        <v>6085</v>
      </c>
    </row>
    <row r="37" spans="1:6" x14ac:dyDescent="0.35">
      <c r="A37" s="10" t="s">
        <v>92</v>
      </c>
      <c r="B37" s="12" t="s">
        <v>6125</v>
      </c>
      <c r="C37" s="12" t="s">
        <v>6092</v>
      </c>
      <c r="D37" s="11">
        <v>45306</v>
      </c>
      <c r="E37" s="12" t="s">
        <v>6094</v>
      </c>
      <c r="F37" s="13" t="s">
        <v>6081</v>
      </c>
    </row>
    <row r="38" spans="1:6" x14ac:dyDescent="0.35">
      <c r="A38" s="6" t="s">
        <v>47</v>
      </c>
      <c r="B38" s="8" t="s">
        <v>6098</v>
      </c>
      <c r="C38" s="8" t="s">
        <v>6107</v>
      </c>
      <c r="D38" s="7">
        <v>45017</v>
      </c>
      <c r="E38" s="8" t="s">
        <v>6095</v>
      </c>
      <c r="F38" s="9" t="s">
        <v>6081</v>
      </c>
    </row>
    <row r="39" spans="1:6" x14ac:dyDescent="0.35">
      <c r="A39" s="10" t="s">
        <v>57</v>
      </c>
      <c r="B39" s="12" t="s">
        <v>6126</v>
      </c>
      <c r="C39" s="12" t="s">
        <v>6087</v>
      </c>
      <c r="D39" s="11">
        <v>44254</v>
      </c>
      <c r="E39" s="12" t="s">
        <v>6094</v>
      </c>
      <c r="F39" s="13" t="s">
        <v>6081</v>
      </c>
    </row>
    <row r="40" spans="1:6" x14ac:dyDescent="0.35">
      <c r="A40" s="6" t="s">
        <v>69</v>
      </c>
      <c r="B40" s="8" t="s">
        <v>6119</v>
      </c>
      <c r="C40" s="8" t="s">
        <v>6084</v>
      </c>
      <c r="D40" s="7">
        <v>45112</v>
      </c>
      <c r="E40" s="8" t="s">
        <v>6094</v>
      </c>
      <c r="F40" s="9" t="s">
        <v>6085</v>
      </c>
    </row>
    <row r="41" spans="1:6" x14ac:dyDescent="0.35">
      <c r="A41" s="14" t="s">
        <v>23</v>
      </c>
      <c r="B41" s="1" t="s">
        <v>6127</v>
      </c>
      <c r="C41" s="1" t="s">
        <v>6107</v>
      </c>
      <c r="D41" s="15">
        <v>44406</v>
      </c>
      <c r="E41" s="1" t="s">
        <v>6095</v>
      </c>
      <c r="F41" s="2" t="s">
        <v>6081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F4EC-2B12-41BD-BF3F-E54413B7B5BF}">
  <dimension ref="A1:E5601"/>
  <sheetViews>
    <sheetView workbookViewId="0">
      <selection activeCell="A2" sqref="A2"/>
    </sheetView>
  </sheetViews>
  <sheetFormatPr baseColWidth="10" defaultRowHeight="14.5" x14ac:dyDescent="0.35"/>
  <cols>
    <col min="1" max="1" width="10.81640625" bestFit="1" customWidth="1"/>
    <col min="2" max="2" width="10.453125" bestFit="1" customWidth="1"/>
    <col min="3" max="3" width="18.90625" bestFit="1" customWidth="1"/>
    <col min="4" max="4" width="15.6328125" bestFit="1" customWidth="1"/>
    <col min="5" max="5" width="12" bestFit="1" customWidth="1"/>
  </cols>
  <sheetData>
    <row r="1" spans="1:5" x14ac:dyDescent="0.35">
      <c r="A1" t="s">
        <v>10</v>
      </c>
      <c r="B1" t="s">
        <v>6128</v>
      </c>
      <c r="C1" t="s">
        <v>6129</v>
      </c>
      <c r="D1" t="s">
        <v>6130</v>
      </c>
      <c r="E1" t="s">
        <v>6131</v>
      </c>
    </row>
    <row r="2" spans="1:5" x14ac:dyDescent="0.35">
      <c r="A2" t="s">
        <v>6077</v>
      </c>
      <c r="B2" s="16">
        <v>45660</v>
      </c>
      <c r="D2">
        <v>0</v>
      </c>
      <c r="E2" t="s">
        <v>6132</v>
      </c>
    </row>
    <row r="3" spans="1:5" x14ac:dyDescent="0.35">
      <c r="A3" t="s">
        <v>6077</v>
      </c>
      <c r="B3" s="16">
        <v>45671</v>
      </c>
      <c r="C3">
        <v>8</v>
      </c>
      <c r="D3">
        <v>0</v>
      </c>
      <c r="E3" t="s">
        <v>6132</v>
      </c>
    </row>
    <row r="4" spans="1:5" x14ac:dyDescent="0.35">
      <c r="A4" t="s">
        <v>6077</v>
      </c>
      <c r="B4" s="16">
        <v>45672</v>
      </c>
      <c r="C4">
        <v>4.9000000000000004</v>
      </c>
      <c r="D4">
        <v>0</v>
      </c>
      <c r="E4" t="s">
        <v>6132</v>
      </c>
    </row>
    <row r="5" spans="1:5" x14ac:dyDescent="0.35">
      <c r="A5" t="s">
        <v>6077</v>
      </c>
      <c r="B5" s="16">
        <v>45674</v>
      </c>
      <c r="C5">
        <v>5.9</v>
      </c>
      <c r="D5">
        <v>0</v>
      </c>
      <c r="E5" t="s">
        <v>6132</v>
      </c>
    </row>
    <row r="6" spans="1:5" x14ac:dyDescent="0.35">
      <c r="A6" t="s">
        <v>6077</v>
      </c>
      <c r="B6" s="16">
        <v>45680</v>
      </c>
      <c r="C6">
        <v>7.1</v>
      </c>
      <c r="D6">
        <v>0</v>
      </c>
      <c r="E6" t="s">
        <v>6132</v>
      </c>
    </row>
    <row r="7" spans="1:5" x14ac:dyDescent="0.35">
      <c r="A7" t="s">
        <v>6077</v>
      </c>
      <c r="B7" s="16">
        <v>45681</v>
      </c>
      <c r="C7">
        <v>6.8</v>
      </c>
      <c r="D7">
        <v>0</v>
      </c>
      <c r="E7" t="s">
        <v>6132</v>
      </c>
    </row>
    <row r="8" spans="1:5" x14ac:dyDescent="0.35">
      <c r="A8" t="s">
        <v>6077</v>
      </c>
      <c r="B8" s="16">
        <v>45686</v>
      </c>
      <c r="C8">
        <v>8.3000000000000007</v>
      </c>
      <c r="D8">
        <v>0</v>
      </c>
      <c r="E8" t="s">
        <v>6134</v>
      </c>
    </row>
    <row r="9" spans="1:5" x14ac:dyDescent="0.35">
      <c r="A9" t="s">
        <v>6077</v>
      </c>
      <c r="B9" s="16">
        <v>45693</v>
      </c>
      <c r="C9">
        <v>4.5999999999999996</v>
      </c>
      <c r="D9">
        <v>0</v>
      </c>
      <c r="E9" t="s">
        <v>6132</v>
      </c>
    </row>
    <row r="10" spans="1:5" x14ac:dyDescent="0.35">
      <c r="A10" t="s">
        <v>6077</v>
      </c>
      <c r="B10" s="16">
        <v>45698</v>
      </c>
      <c r="C10">
        <v>8.1</v>
      </c>
      <c r="D10">
        <v>0</v>
      </c>
      <c r="E10" t="s">
        <v>6132</v>
      </c>
    </row>
    <row r="11" spans="1:5" x14ac:dyDescent="0.35">
      <c r="A11" t="s">
        <v>6077</v>
      </c>
      <c r="B11" s="16">
        <v>45705</v>
      </c>
      <c r="C11">
        <v>8.5</v>
      </c>
      <c r="D11">
        <v>0</v>
      </c>
      <c r="E11" t="s">
        <v>6132</v>
      </c>
    </row>
    <row r="12" spans="1:5" x14ac:dyDescent="0.35">
      <c r="A12" t="s">
        <v>6077</v>
      </c>
      <c r="B12" s="16">
        <v>45707</v>
      </c>
      <c r="C12">
        <v>7.5</v>
      </c>
      <c r="D12">
        <v>0</v>
      </c>
      <c r="E12" t="s">
        <v>6132</v>
      </c>
    </row>
    <row r="13" spans="1:5" x14ac:dyDescent="0.35">
      <c r="A13" t="s">
        <v>6077</v>
      </c>
      <c r="B13" s="16">
        <v>45712</v>
      </c>
      <c r="D13">
        <v>0</v>
      </c>
      <c r="E13" t="s">
        <v>6132</v>
      </c>
    </row>
    <row r="14" spans="1:5" x14ac:dyDescent="0.35">
      <c r="A14" t="s">
        <v>6077</v>
      </c>
      <c r="B14" s="16">
        <v>45729</v>
      </c>
      <c r="C14">
        <v>5.5</v>
      </c>
      <c r="D14">
        <v>0</v>
      </c>
      <c r="E14" t="s">
        <v>6132</v>
      </c>
    </row>
    <row r="15" spans="1:5" x14ac:dyDescent="0.35">
      <c r="A15" t="s">
        <v>6077</v>
      </c>
      <c r="B15" s="16">
        <v>45733</v>
      </c>
      <c r="C15">
        <v>4.5</v>
      </c>
      <c r="D15">
        <v>0</v>
      </c>
      <c r="E15" t="s">
        <v>6132</v>
      </c>
    </row>
    <row r="16" spans="1:5" x14ac:dyDescent="0.35">
      <c r="A16" t="s">
        <v>6077</v>
      </c>
      <c r="B16" s="16">
        <v>45737</v>
      </c>
      <c r="C16">
        <v>5</v>
      </c>
      <c r="D16">
        <v>0</v>
      </c>
      <c r="E16" t="s">
        <v>6132</v>
      </c>
    </row>
    <row r="17" spans="1:5" x14ac:dyDescent="0.35">
      <c r="A17" t="s">
        <v>6077</v>
      </c>
      <c r="B17" s="16">
        <v>45741</v>
      </c>
      <c r="C17">
        <v>7.8</v>
      </c>
      <c r="D17">
        <v>0</v>
      </c>
      <c r="E17" t="s">
        <v>6132</v>
      </c>
    </row>
    <row r="18" spans="1:5" x14ac:dyDescent="0.35">
      <c r="A18" t="s">
        <v>6077</v>
      </c>
      <c r="B18" s="16">
        <v>45742</v>
      </c>
      <c r="C18">
        <v>6.3</v>
      </c>
      <c r="D18">
        <v>0</v>
      </c>
      <c r="E18" t="s">
        <v>6132</v>
      </c>
    </row>
    <row r="19" spans="1:5" x14ac:dyDescent="0.35">
      <c r="A19" t="s">
        <v>6077</v>
      </c>
      <c r="B19" s="16">
        <v>45748</v>
      </c>
      <c r="C19">
        <v>7.4</v>
      </c>
      <c r="D19">
        <v>0</v>
      </c>
      <c r="E19" t="s">
        <v>6132</v>
      </c>
    </row>
    <row r="20" spans="1:5" x14ac:dyDescent="0.35">
      <c r="A20" t="s">
        <v>6077</v>
      </c>
      <c r="B20" s="16">
        <v>45756</v>
      </c>
      <c r="D20">
        <v>0</v>
      </c>
      <c r="E20" t="s">
        <v>6132</v>
      </c>
    </row>
    <row r="21" spans="1:5" x14ac:dyDescent="0.35">
      <c r="A21" t="s">
        <v>6077</v>
      </c>
      <c r="B21" s="16">
        <v>45761</v>
      </c>
      <c r="D21">
        <v>0</v>
      </c>
      <c r="E21" t="s">
        <v>6132</v>
      </c>
    </row>
    <row r="22" spans="1:5" x14ac:dyDescent="0.35">
      <c r="A22" t="s">
        <v>6077</v>
      </c>
      <c r="B22" s="16">
        <v>45765</v>
      </c>
      <c r="C22">
        <v>5.3</v>
      </c>
      <c r="D22">
        <v>0</v>
      </c>
      <c r="E22" t="s">
        <v>6132</v>
      </c>
    </row>
    <row r="23" spans="1:5" x14ac:dyDescent="0.35">
      <c r="A23" t="s">
        <v>6077</v>
      </c>
      <c r="B23" s="16">
        <v>45770</v>
      </c>
      <c r="C23">
        <v>4.9000000000000004</v>
      </c>
      <c r="D23">
        <v>0</v>
      </c>
      <c r="E23" t="s">
        <v>6132</v>
      </c>
    </row>
    <row r="24" spans="1:5" x14ac:dyDescent="0.35">
      <c r="A24" t="s">
        <v>6077</v>
      </c>
      <c r="B24" s="16">
        <v>45771</v>
      </c>
      <c r="C24">
        <v>6.2</v>
      </c>
      <c r="D24">
        <v>0</v>
      </c>
      <c r="E24" t="s">
        <v>6132</v>
      </c>
    </row>
    <row r="25" spans="1:5" x14ac:dyDescent="0.35">
      <c r="A25" t="s">
        <v>6077</v>
      </c>
      <c r="B25" s="16">
        <v>45772</v>
      </c>
      <c r="C25">
        <v>4.5</v>
      </c>
      <c r="D25">
        <v>0</v>
      </c>
      <c r="E25" t="s">
        <v>6132</v>
      </c>
    </row>
    <row r="26" spans="1:5" x14ac:dyDescent="0.35">
      <c r="A26" t="s">
        <v>6077</v>
      </c>
      <c r="B26" s="16">
        <v>45777</v>
      </c>
      <c r="C26">
        <v>8.3000000000000007</v>
      </c>
      <c r="D26">
        <v>0</v>
      </c>
      <c r="E26" t="s">
        <v>6132</v>
      </c>
    </row>
    <row r="27" spans="1:5" x14ac:dyDescent="0.35">
      <c r="A27" t="s">
        <v>6077</v>
      </c>
      <c r="B27" s="16">
        <v>45779</v>
      </c>
      <c r="C27">
        <v>6.9</v>
      </c>
      <c r="D27">
        <v>0</v>
      </c>
      <c r="E27" t="s">
        <v>6132</v>
      </c>
    </row>
    <row r="28" spans="1:5" x14ac:dyDescent="0.35">
      <c r="A28" t="s">
        <v>6077</v>
      </c>
      <c r="B28" s="16">
        <v>45784</v>
      </c>
      <c r="C28">
        <v>6.9</v>
      </c>
      <c r="D28">
        <v>0</v>
      </c>
      <c r="E28" t="s">
        <v>6132</v>
      </c>
    </row>
    <row r="29" spans="1:5" x14ac:dyDescent="0.35">
      <c r="A29" t="s">
        <v>6077</v>
      </c>
      <c r="B29" s="16">
        <v>45790</v>
      </c>
      <c r="C29">
        <v>5.3</v>
      </c>
      <c r="D29">
        <v>0</v>
      </c>
      <c r="E29" t="s">
        <v>6132</v>
      </c>
    </row>
    <row r="30" spans="1:5" x14ac:dyDescent="0.35">
      <c r="A30" t="s">
        <v>6077</v>
      </c>
      <c r="B30" s="16">
        <v>45793</v>
      </c>
      <c r="C30">
        <v>4.4000000000000004</v>
      </c>
      <c r="D30">
        <v>0</v>
      </c>
      <c r="E30" t="s">
        <v>6132</v>
      </c>
    </row>
    <row r="31" spans="1:5" x14ac:dyDescent="0.35">
      <c r="A31" t="s">
        <v>6077</v>
      </c>
      <c r="B31" s="16">
        <v>45796</v>
      </c>
      <c r="D31">
        <v>0</v>
      </c>
      <c r="E31" t="s">
        <v>6132</v>
      </c>
    </row>
    <row r="32" spans="1:5" x14ac:dyDescent="0.35">
      <c r="A32" t="s">
        <v>6077</v>
      </c>
      <c r="B32" s="16">
        <v>45797</v>
      </c>
      <c r="C32">
        <v>7.3</v>
      </c>
      <c r="D32">
        <v>0</v>
      </c>
      <c r="E32" t="s">
        <v>6132</v>
      </c>
    </row>
    <row r="33" spans="1:5" x14ac:dyDescent="0.35">
      <c r="A33" t="s">
        <v>6077</v>
      </c>
      <c r="B33" s="16">
        <v>45803</v>
      </c>
      <c r="C33">
        <v>4.5999999999999996</v>
      </c>
      <c r="D33">
        <v>0</v>
      </c>
      <c r="E33" t="s">
        <v>6132</v>
      </c>
    </row>
    <row r="34" spans="1:5" x14ac:dyDescent="0.35">
      <c r="A34" t="s">
        <v>6077</v>
      </c>
      <c r="B34" s="16">
        <v>45807</v>
      </c>
      <c r="C34">
        <v>4.5999999999999996</v>
      </c>
      <c r="D34">
        <v>0</v>
      </c>
      <c r="E34" t="s">
        <v>6132</v>
      </c>
    </row>
    <row r="35" spans="1:5" x14ac:dyDescent="0.35">
      <c r="A35" t="s">
        <v>6077</v>
      </c>
      <c r="B35" s="16">
        <v>45811</v>
      </c>
      <c r="C35">
        <v>6.4</v>
      </c>
      <c r="D35">
        <v>0</v>
      </c>
      <c r="E35" t="s">
        <v>6132</v>
      </c>
    </row>
    <row r="36" spans="1:5" x14ac:dyDescent="0.35">
      <c r="A36" t="s">
        <v>6077</v>
      </c>
      <c r="B36" s="16">
        <v>45817</v>
      </c>
      <c r="C36">
        <v>4.7</v>
      </c>
      <c r="D36">
        <v>0</v>
      </c>
      <c r="E36" t="s">
        <v>6132</v>
      </c>
    </row>
    <row r="37" spans="1:5" x14ac:dyDescent="0.35">
      <c r="A37" t="s">
        <v>6077</v>
      </c>
      <c r="B37" s="16">
        <v>45818</v>
      </c>
      <c r="C37">
        <v>8.6999999999999993</v>
      </c>
      <c r="D37">
        <v>0</v>
      </c>
      <c r="E37" t="s">
        <v>6132</v>
      </c>
    </row>
    <row r="38" spans="1:5" x14ac:dyDescent="0.35">
      <c r="A38" t="s">
        <v>6077</v>
      </c>
      <c r="B38" s="16">
        <v>45819</v>
      </c>
      <c r="C38">
        <v>8</v>
      </c>
      <c r="D38">
        <v>0</v>
      </c>
      <c r="E38" t="s">
        <v>6132</v>
      </c>
    </row>
    <row r="39" spans="1:5" x14ac:dyDescent="0.35">
      <c r="A39" t="s">
        <v>6077</v>
      </c>
      <c r="B39" s="16">
        <v>45820</v>
      </c>
      <c r="C39">
        <v>8.5</v>
      </c>
      <c r="D39">
        <v>0</v>
      </c>
      <c r="E39" t="s">
        <v>6132</v>
      </c>
    </row>
    <row r="40" spans="1:5" x14ac:dyDescent="0.35">
      <c r="A40" t="s">
        <v>6077</v>
      </c>
      <c r="B40" s="16">
        <v>45821</v>
      </c>
      <c r="D40">
        <v>0</v>
      </c>
      <c r="E40" t="s">
        <v>6132</v>
      </c>
    </row>
    <row r="41" spans="1:5" x14ac:dyDescent="0.35">
      <c r="A41" t="s">
        <v>6077</v>
      </c>
      <c r="B41" s="16">
        <v>45832</v>
      </c>
      <c r="C41">
        <v>4.2</v>
      </c>
      <c r="D41">
        <v>0</v>
      </c>
      <c r="E41" t="s">
        <v>6132</v>
      </c>
    </row>
    <row r="42" spans="1:5" x14ac:dyDescent="0.35">
      <c r="A42" t="s">
        <v>6077</v>
      </c>
      <c r="B42" s="16">
        <v>45834</v>
      </c>
      <c r="C42">
        <v>6.2</v>
      </c>
      <c r="D42">
        <v>0</v>
      </c>
      <c r="E42" t="s">
        <v>6132</v>
      </c>
    </row>
    <row r="43" spans="1:5" x14ac:dyDescent="0.35">
      <c r="A43" t="s">
        <v>6077</v>
      </c>
      <c r="B43" s="16">
        <v>45835</v>
      </c>
      <c r="C43">
        <v>7</v>
      </c>
      <c r="D43">
        <v>0</v>
      </c>
      <c r="E43" t="s">
        <v>6132</v>
      </c>
    </row>
    <row r="44" spans="1:5" x14ac:dyDescent="0.35">
      <c r="A44" t="s">
        <v>6077</v>
      </c>
      <c r="B44" s="16">
        <v>45842</v>
      </c>
      <c r="D44">
        <v>0</v>
      </c>
      <c r="E44" t="s">
        <v>6132</v>
      </c>
    </row>
    <row r="45" spans="1:5" x14ac:dyDescent="0.35">
      <c r="A45" t="s">
        <v>6077</v>
      </c>
      <c r="B45" s="16">
        <v>45845</v>
      </c>
      <c r="C45">
        <v>6.8</v>
      </c>
      <c r="D45">
        <v>0</v>
      </c>
      <c r="E45" t="s">
        <v>6132</v>
      </c>
    </row>
    <row r="46" spans="1:5" x14ac:dyDescent="0.35">
      <c r="A46" t="s">
        <v>6077</v>
      </c>
      <c r="B46" s="16">
        <v>45848</v>
      </c>
      <c r="C46">
        <v>4.9000000000000004</v>
      </c>
      <c r="D46">
        <v>0</v>
      </c>
      <c r="E46" t="s">
        <v>6132</v>
      </c>
    </row>
    <row r="47" spans="1:5" x14ac:dyDescent="0.35">
      <c r="A47" t="s">
        <v>6077</v>
      </c>
      <c r="B47" s="16">
        <v>45853</v>
      </c>
      <c r="C47">
        <v>6.5</v>
      </c>
      <c r="D47">
        <v>0</v>
      </c>
      <c r="E47" t="s">
        <v>6132</v>
      </c>
    </row>
    <row r="48" spans="1:5" x14ac:dyDescent="0.35">
      <c r="A48" t="s">
        <v>6077</v>
      </c>
      <c r="B48" s="16">
        <v>45856</v>
      </c>
      <c r="C48">
        <v>7.7</v>
      </c>
      <c r="D48">
        <v>0</v>
      </c>
      <c r="E48" t="s">
        <v>6134</v>
      </c>
    </row>
    <row r="49" spans="1:5" x14ac:dyDescent="0.35">
      <c r="A49" t="s">
        <v>6077</v>
      </c>
      <c r="B49" s="16">
        <v>45863</v>
      </c>
      <c r="C49">
        <v>8.9</v>
      </c>
      <c r="D49">
        <v>0</v>
      </c>
      <c r="E49" t="s">
        <v>6132</v>
      </c>
    </row>
    <row r="50" spans="1:5" x14ac:dyDescent="0.35">
      <c r="A50" t="s">
        <v>6077</v>
      </c>
      <c r="B50" s="16">
        <v>45866</v>
      </c>
      <c r="C50">
        <v>4.0999999999999996</v>
      </c>
      <c r="D50">
        <v>0</v>
      </c>
      <c r="E50" t="s">
        <v>6132</v>
      </c>
    </row>
    <row r="51" spans="1:5" x14ac:dyDescent="0.35">
      <c r="A51" t="s">
        <v>6077</v>
      </c>
      <c r="B51" s="16">
        <v>45867</v>
      </c>
      <c r="C51">
        <v>4.8</v>
      </c>
      <c r="D51">
        <v>0</v>
      </c>
      <c r="E51" t="s">
        <v>6132</v>
      </c>
    </row>
    <row r="52" spans="1:5" x14ac:dyDescent="0.35">
      <c r="A52" t="s">
        <v>6077</v>
      </c>
      <c r="B52" s="16">
        <v>45873</v>
      </c>
      <c r="C52">
        <v>8.4</v>
      </c>
      <c r="D52">
        <v>0</v>
      </c>
      <c r="E52" t="s">
        <v>6132</v>
      </c>
    </row>
    <row r="53" spans="1:5" x14ac:dyDescent="0.35">
      <c r="A53" t="s">
        <v>6077</v>
      </c>
      <c r="B53" s="16">
        <v>45874</v>
      </c>
      <c r="C53">
        <v>7.9</v>
      </c>
      <c r="D53">
        <v>0</v>
      </c>
      <c r="E53" t="s">
        <v>6132</v>
      </c>
    </row>
    <row r="54" spans="1:5" x14ac:dyDescent="0.35">
      <c r="A54" t="s">
        <v>6077</v>
      </c>
      <c r="B54" s="16">
        <v>45877</v>
      </c>
      <c r="C54">
        <v>6.7</v>
      </c>
      <c r="D54">
        <v>0</v>
      </c>
      <c r="E54" t="s">
        <v>6132</v>
      </c>
    </row>
    <row r="55" spans="1:5" x14ac:dyDescent="0.35">
      <c r="A55" t="s">
        <v>6077</v>
      </c>
      <c r="B55" s="16">
        <v>45880</v>
      </c>
      <c r="C55">
        <v>5</v>
      </c>
      <c r="D55">
        <v>0</v>
      </c>
      <c r="E55" t="s">
        <v>6132</v>
      </c>
    </row>
    <row r="56" spans="1:5" x14ac:dyDescent="0.35">
      <c r="A56" t="s">
        <v>6077</v>
      </c>
      <c r="B56" s="16">
        <v>45881</v>
      </c>
      <c r="C56">
        <v>6.3</v>
      </c>
      <c r="D56">
        <v>0</v>
      </c>
      <c r="E56" t="s">
        <v>6132</v>
      </c>
    </row>
    <row r="57" spans="1:5" x14ac:dyDescent="0.35">
      <c r="A57" t="s">
        <v>6077</v>
      </c>
      <c r="B57" s="16">
        <v>45888</v>
      </c>
      <c r="C57">
        <v>5.0999999999999996</v>
      </c>
      <c r="D57">
        <v>0</v>
      </c>
      <c r="E57" t="s">
        <v>6132</v>
      </c>
    </row>
    <row r="58" spans="1:5" x14ac:dyDescent="0.35">
      <c r="A58" t="s">
        <v>6077</v>
      </c>
      <c r="B58" s="16">
        <v>45889</v>
      </c>
      <c r="C58">
        <v>8.1</v>
      </c>
      <c r="D58">
        <v>0</v>
      </c>
      <c r="E58" t="s">
        <v>6132</v>
      </c>
    </row>
    <row r="59" spans="1:5" x14ac:dyDescent="0.35">
      <c r="A59" t="s">
        <v>6077</v>
      </c>
      <c r="B59" s="16">
        <v>45890</v>
      </c>
      <c r="C59">
        <v>4.7</v>
      </c>
      <c r="D59">
        <v>0</v>
      </c>
      <c r="E59" t="s">
        <v>6132</v>
      </c>
    </row>
    <row r="60" spans="1:5" x14ac:dyDescent="0.35">
      <c r="A60" t="s">
        <v>6077</v>
      </c>
      <c r="B60" s="16">
        <v>45895</v>
      </c>
      <c r="C60">
        <v>6.7</v>
      </c>
      <c r="D60">
        <v>0</v>
      </c>
      <c r="E60" t="s">
        <v>6132</v>
      </c>
    </row>
    <row r="61" spans="1:5" x14ac:dyDescent="0.35">
      <c r="A61" t="s">
        <v>6077</v>
      </c>
      <c r="B61" s="16">
        <v>45901</v>
      </c>
      <c r="C61">
        <v>6.3</v>
      </c>
      <c r="D61">
        <v>0</v>
      </c>
      <c r="E61" t="s">
        <v>6132</v>
      </c>
    </row>
    <row r="62" spans="1:5" x14ac:dyDescent="0.35">
      <c r="A62" t="s">
        <v>6077</v>
      </c>
      <c r="B62" s="16">
        <v>45902</v>
      </c>
      <c r="C62">
        <v>8.1</v>
      </c>
      <c r="D62">
        <v>0</v>
      </c>
      <c r="E62" t="s">
        <v>6132</v>
      </c>
    </row>
    <row r="63" spans="1:5" x14ac:dyDescent="0.35">
      <c r="A63" t="s">
        <v>6077</v>
      </c>
      <c r="B63" s="16">
        <v>45919</v>
      </c>
      <c r="C63">
        <v>5.9</v>
      </c>
      <c r="D63">
        <v>0</v>
      </c>
      <c r="E63" t="s">
        <v>6134</v>
      </c>
    </row>
    <row r="64" spans="1:5" x14ac:dyDescent="0.35">
      <c r="A64" t="s">
        <v>6077</v>
      </c>
      <c r="B64" s="16">
        <v>45924</v>
      </c>
      <c r="C64">
        <v>4.7</v>
      </c>
      <c r="D64">
        <v>0</v>
      </c>
      <c r="E64" t="s">
        <v>6132</v>
      </c>
    </row>
    <row r="65" spans="1:5" x14ac:dyDescent="0.35">
      <c r="A65" t="s">
        <v>6077</v>
      </c>
      <c r="B65" s="16">
        <v>45925</v>
      </c>
      <c r="D65">
        <v>0</v>
      </c>
      <c r="E65" t="s">
        <v>6132</v>
      </c>
    </row>
    <row r="66" spans="1:5" x14ac:dyDescent="0.35">
      <c r="A66" t="s">
        <v>6077</v>
      </c>
      <c r="B66" s="16">
        <v>45931</v>
      </c>
      <c r="C66">
        <v>8.1999999999999993</v>
      </c>
      <c r="D66">
        <v>0</v>
      </c>
      <c r="E66" t="s">
        <v>6132</v>
      </c>
    </row>
    <row r="67" spans="1:5" x14ac:dyDescent="0.35">
      <c r="A67" t="s">
        <v>6077</v>
      </c>
      <c r="B67" s="16">
        <v>45932</v>
      </c>
      <c r="C67">
        <v>8.1999999999999993</v>
      </c>
      <c r="D67">
        <v>0</v>
      </c>
      <c r="E67" t="s">
        <v>6132</v>
      </c>
    </row>
    <row r="68" spans="1:5" x14ac:dyDescent="0.35">
      <c r="A68" t="s">
        <v>6077</v>
      </c>
      <c r="B68" s="16">
        <v>45937</v>
      </c>
      <c r="C68">
        <v>7</v>
      </c>
      <c r="D68">
        <v>0</v>
      </c>
      <c r="E68" t="s">
        <v>6132</v>
      </c>
    </row>
    <row r="69" spans="1:5" x14ac:dyDescent="0.35">
      <c r="A69" t="s">
        <v>6077</v>
      </c>
      <c r="B69" s="16">
        <v>45938</v>
      </c>
      <c r="C69">
        <v>4.2</v>
      </c>
      <c r="D69">
        <v>0</v>
      </c>
      <c r="E69" t="s">
        <v>6132</v>
      </c>
    </row>
    <row r="70" spans="1:5" x14ac:dyDescent="0.35">
      <c r="A70" t="s">
        <v>6077</v>
      </c>
      <c r="B70" s="16">
        <v>45939</v>
      </c>
      <c r="D70">
        <v>0</v>
      </c>
      <c r="E70" t="s">
        <v>6132</v>
      </c>
    </row>
    <row r="71" spans="1:5" x14ac:dyDescent="0.35">
      <c r="A71" t="s">
        <v>6077</v>
      </c>
      <c r="B71" s="16">
        <v>45944</v>
      </c>
      <c r="C71">
        <v>5.8</v>
      </c>
      <c r="D71">
        <v>0</v>
      </c>
      <c r="E71" t="s">
        <v>6132</v>
      </c>
    </row>
    <row r="72" spans="1:5" x14ac:dyDescent="0.35">
      <c r="A72" t="s">
        <v>6077</v>
      </c>
      <c r="B72" s="16">
        <v>45947</v>
      </c>
      <c r="C72">
        <v>7.9</v>
      </c>
      <c r="D72">
        <v>0</v>
      </c>
      <c r="E72" t="s">
        <v>6134</v>
      </c>
    </row>
    <row r="73" spans="1:5" x14ac:dyDescent="0.35">
      <c r="A73" t="s">
        <v>6077</v>
      </c>
      <c r="B73" s="16">
        <v>45954</v>
      </c>
      <c r="C73">
        <v>6.5</v>
      </c>
      <c r="D73">
        <v>0</v>
      </c>
      <c r="E73" t="s">
        <v>6132</v>
      </c>
    </row>
    <row r="74" spans="1:5" x14ac:dyDescent="0.35">
      <c r="A74" t="s">
        <v>6077</v>
      </c>
      <c r="B74" s="16">
        <v>45957</v>
      </c>
      <c r="C74">
        <v>5</v>
      </c>
      <c r="D74">
        <v>0</v>
      </c>
      <c r="E74" t="s">
        <v>6132</v>
      </c>
    </row>
    <row r="75" spans="1:5" x14ac:dyDescent="0.35">
      <c r="A75" t="s">
        <v>6077</v>
      </c>
      <c r="B75" s="16">
        <v>45964</v>
      </c>
      <c r="D75">
        <v>0</v>
      </c>
      <c r="E75" t="s">
        <v>6132</v>
      </c>
    </row>
    <row r="76" spans="1:5" x14ac:dyDescent="0.35">
      <c r="A76" t="s">
        <v>6077</v>
      </c>
      <c r="B76" s="16">
        <v>45971</v>
      </c>
      <c r="C76">
        <v>4.5999999999999996</v>
      </c>
      <c r="D76">
        <v>0</v>
      </c>
      <c r="E76" t="s">
        <v>6132</v>
      </c>
    </row>
    <row r="77" spans="1:5" x14ac:dyDescent="0.35">
      <c r="A77" t="s">
        <v>6077</v>
      </c>
      <c r="B77" s="16">
        <v>45972</v>
      </c>
      <c r="C77">
        <v>4</v>
      </c>
      <c r="D77">
        <v>0</v>
      </c>
      <c r="E77" t="s">
        <v>6132</v>
      </c>
    </row>
    <row r="78" spans="1:5" x14ac:dyDescent="0.35">
      <c r="A78" t="s">
        <v>6077</v>
      </c>
      <c r="B78" s="16">
        <v>45975</v>
      </c>
      <c r="C78">
        <v>4.4000000000000004</v>
      </c>
      <c r="D78">
        <v>0</v>
      </c>
      <c r="E78" t="s">
        <v>6132</v>
      </c>
    </row>
    <row r="79" spans="1:5" x14ac:dyDescent="0.35">
      <c r="A79" t="s">
        <v>6077</v>
      </c>
      <c r="B79" s="16">
        <v>45982</v>
      </c>
      <c r="C79">
        <v>5.6</v>
      </c>
      <c r="D79">
        <v>0</v>
      </c>
      <c r="E79" t="s">
        <v>6132</v>
      </c>
    </row>
    <row r="80" spans="1:5" x14ac:dyDescent="0.35">
      <c r="A80" t="s">
        <v>6077</v>
      </c>
      <c r="B80" s="16">
        <v>45985</v>
      </c>
      <c r="C80">
        <v>5</v>
      </c>
      <c r="D80">
        <v>0</v>
      </c>
      <c r="E80" t="s">
        <v>6132</v>
      </c>
    </row>
    <row r="81" spans="1:5" x14ac:dyDescent="0.35">
      <c r="A81" t="s">
        <v>6077</v>
      </c>
      <c r="B81" s="16">
        <v>45986</v>
      </c>
      <c r="C81">
        <v>6.4</v>
      </c>
      <c r="D81">
        <v>0</v>
      </c>
      <c r="E81" t="s">
        <v>6132</v>
      </c>
    </row>
    <row r="82" spans="1:5" x14ac:dyDescent="0.35">
      <c r="A82" t="s">
        <v>6077</v>
      </c>
      <c r="B82" s="16">
        <v>45987</v>
      </c>
      <c r="C82">
        <v>8.1</v>
      </c>
      <c r="D82">
        <v>0</v>
      </c>
      <c r="E82" t="s">
        <v>6132</v>
      </c>
    </row>
    <row r="83" spans="1:5" x14ac:dyDescent="0.35">
      <c r="A83" t="s">
        <v>6077</v>
      </c>
      <c r="B83" s="16">
        <v>45992</v>
      </c>
      <c r="C83">
        <v>8.6</v>
      </c>
      <c r="D83">
        <v>0</v>
      </c>
      <c r="E83" t="s">
        <v>6132</v>
      </c>
    </row>
    <row r="84" spans="1:5" x14ac:dyDescent="0.35">
      <c r="A84" t="s">
        <v>6077</v>
      </c>
      <c r="B84" s="16">
        <v>45993</v>
      </c>
      <c r="D84">
        <v>0</v>
      </c>
      <c r="E84" t="s">
        <v>6132</v>
      </c>
    </row>
    <row r="85" spans="1:5" x14ac:dyDescent="0.35">
      <c r="A85" t="s">
        <v>6077</v>
      </c>
      <c r="B85" s="16">
        <v>46003</v>
      </c>
      <c r="C85">
        <v>8.3000000000000007</v>
      </c>
      <c r="D85">
        <v>0</v>
      </c>
      <c r="E85" t="s">
        <v>6133</v>
      </c>
    </row>
    <row r="86" spans="1:5" x14ac:dyDescent="0.35">
      <c r="A86" t="s">
        <v>6077</v>
      </c>
      <c r="B86" s="16">
        <v>46007</v>
      </c>
      <c r="D86">
        <v>0</v>
      </c>
      <c r="E86" t="s">
        <v>6132</v>
      </c>
    </row>
    <row r="87" spans="1:5" x14ac:dyDescent="0.35">
      <c r="A87" t="s">
        <v>6077</v>
      </c>
      <c r="B87" s="16">
        <v>46008</v>
      </c>
      <c r="C87">
        <v>8</v>
      </c>
      <c r="D87">
        <v>0</v>
      </c>
      <c r="E87" t="s">
        <v>6132</v>
      </c>
    </row>
    <row r="88" spans="1:5" x14ac:dyDescent="0.35">
      <c r="A88" t="s">
        <v>6077</v>
      </c>
      <c r="B88" s="16">
        <v>46010</v>
      </c>
      <c r="C88">
        <v>5.2</v>
      </c>
      <c r="D88">
        <v>0</v>
      </c>
      <c r="E88" t="s">
        <v>6132</v>
      </c>
    </row>
    <row r="89" spans="1:5" x14ac:dyDescent="0.35">
      <c r="A89" t="s">
        <v>6077</v>
      </c>
      <c r="B89" s="16">
        <v>46013</v>
      </c>
      <c r="C89">
        <v>4.9000000000000004</v>
      </c>
      <c r="D89">
        <v>0</v>
      </c>
      <c r="E89" t="s">
        <v>6132</v>
      </c>
    </row>
    <row r="90" spans="1:5" x14ac:dyDescent="0.35">
      <c r="A90" t="s">
        <v>6077</v>
      </c>
      <c r="B90" s="16">
        <v>46014</v>
      </c>
      <c r="C90">
        <v>9</v>
      </c>
      <c r="D90">
        <v>0</v>
      </c>
      <c r="E90" t="s">
        <v>6132</v>
      </c>
    </row>
    <row r="91" spans="1:5" x14ac:dyDescent="0.35">
      <c r="A91" t="s">
        <v>6077</v>
      </c>
      <c r="B91" s="16">
        <v>46017</v>
      </c>
      <c r="C91">
        <v>8.1999999999999993</v>
      </c>
      <c r="D91">
        <v>0</v>
      </c>
      <c r="E91" t="s">
        <v>6132</v>
      </c>
    </row>
    <row r="92" spans="1:5" x14ac:dyDescent="0.35">
      <c r="A92" t="s">
        <v>6077</v>
      </c>
      <c r="B92" s="16">
        <v>46020</v>
      </c>
      <c r="C92">
        <v>8.8000000000000007</v>
      </c>
      <c r="D92">
        <v>0</v>
      </c>
      <c r="E92" t="s">
        <v>6132</v>
      </c>
    </row>
    <row r="93" spans="1:5" x14ac:dyDescent="0.35">
      <c r="A93" t="s">
        <v>6082</v>
      </c>
      <c r="B93" s="16">
        <v>45658</v>
      </c>
      <c r="C93">
        <v>8.6999999999999993</v>
      </c>
      <c r="D93">
        <v>0</v>
      </c>
      <c r="E93" t="s">
        <v>6132</v>
      </c>
    </row>
    <row r="94" spans="1:5" x14ac:dyDescent="0.35">
      <c r="A94" t="s">
        <v>6082</v>
      </c>
      <c r="B94" s="16">
        <v>45664</v>
      </c>
      <c r="C94">
        <v>8.9</v>
      </c>
      <c r="D94">
        <v>0</v>
      </c>
      <c r="E94" t="s">
        <v>6132</v>
      </c>
    </row>
    <row r="95" spans="1:5" x14ac:dyDescent="0.35">
      <c r="A95" t="s">
        <v>6082</v>
      </c>
      <c r="B95" s="16">
        <v>45672</v>
      </c>
      <c r="C95">
        <v>8.3000000000000007</v>
      </c>
      <c r="D95">
        <v>0</v>
      </c>
      <c r="E95" t="s">
        <v>6133</v>
      </c>
    </row>
    <row r="96" spans="1:5" x14ac:dyDescent="0.35">
      <c r="A96" t="s">
        <v>6082</v>
      </c>
      <c r="B96" s="16">
        <v>45681</v>
      </c>
      <c r="C96">
        <v>4.0999999999999996</v>
      </c>
      <c r="D96">
        <v>0</v>
      </c>
      <c r="E96" t="s">
        <v>6132</v>
      </c>
    </row>
    <row r="97" spans="1:5" x14ac:dyDescent="0.35">
      <c r="A97" t="s">
        <v>6082</v>
      </c>
      <c r="B97" s="16">
        <v>45684</v>
      </c>
      <c r="C97">
        <v>5.2</v>
      </c>
      <c r="D97">
        <v>0</v>
      </c>
      <c r="E97" t="s">
        <v>6132</v>
      </c>
    </row>
    <row r="98" spans="1:5" x14ac:dyDescent="0.35">
      <c r="A98" t="s">
        <v>6082</v>
      </c>
      <c r="B98" s="16">
        <v>45686</v>
      </c>
      <c r="C98">
        <v>5.5</v>
      </c>
      <c r="D98">
        <v>0</v>
      </c>
      <c r="E98" t="s">
        <v>6132</v>
      </c>
    </row>
    <row r="99" spans="1:5" x14ac:dyDescent="0.35">
      <c r="A99" t="s">
        <v>6082</v>
      </c>
      <c r="B99" s="16">
        <v>45687</v>
      </c>
      <c r="C99">
        <v>7.4</v>
      </c>
      <c r="D99">
        <v>0</v>
      </c>
      <c r="E99" t="s">
        <v>6132</v>
      </c>
    </row>
    <row r="100" spans="1:5" x14ac:dyDescent="0.35">
      <c r="A100" t="s">
        <v>6082</v>
      </c>
      <c r="B100" s="16">
        <v>45688</v>
      </c>
      <c r="C100">
        <v>5</v>
      </c>
      <c r="D100">
        <v>0</v>
      </c>
      <c r="E100" t="s">
        <v>6132</v>
      </c>
    </row>
    <row r="101" spans="1:5" x14ac:dyDescent="0.35">
      <c r="A101" t="s">
        <v>6082</v>
      </c>
      <c r="B101" s="16">
        <v>45692</v>
      </c>
      <c r="C101">
        <v>8.8000000000000007</v>
      </c>
      <c r="D101">
        <v>0</v>
      </c>
      <c r="E101" t="s">
        <v>6132</v>
      </c>
    </row>
    <row r="102" spans="1:5" x14ac:dyDescent="0.35">
      <c r="A102" t="s">
        <v>6082</v>
      </c>
      <c r="B102" s="16">
        <v>45693</v>
      </c>
      <c r="C102">
        <v>6.5</v>
      </c>
      <c r="D102">
        <v>0</v>
      </c>
      <c r="E102" t="s">
        <v>6132</v>
      </c>
    </row>
    <row r="103" spans="1:5" x14ac:dyDescent="0.35">
      <c r="A103" t="s">
        <v>6082</v>
      </c>
      <c r="B103" s="16">
        <v>45695</v>
      </c>
      <c r="C103">
        <v>7.2</v>
      </c>
      <c r="D103">
        <v>0</v>
      </c>
      <c r="E103" t="s">
        <v>6132</v>
      </c>
    </row>
    <row r="104" spans="1:5" x14ac:dyDescent="0.35">
      <c r="A104" t="s">
        <v>6082</v>
      </c>
      <c r="B104" s="16">
        <v>45698</v>
      </c>
      <c r="C104">
        <v>7</v>
      </c>
      <c r="D104">
        <v>0</v>
      </c>
      <c r="E104" t="s">
        <v>6132</v>
      </c>
    </row>
    <row r="105" spans="1:5" x14ac:dyDescent="0.35">
      <c r="A105" t="s">
        <v>6082</v>
      </c>
      <c r="B105" s="16">
        <v>45708</v>
      </c>
      <c r="C105">
        <v>5</v>
      </c>
      <c r="D105">
        <v>0</v>
      </c>
      <c r="E105" t="s">
        <v>6133</v>
      </c>
    </row>
    <row r="106" spans="1:5" x14ac:dyDescent="0.35">
      <c r="A106" t="s">
        <v>6082</v>
      </c>
      <c r="B106" s="16">
        <v>45709</v>
      </c>
      <c r="C106">
        <v>7.5</v>
      </c>
      <c r="D106">
        <v>0</v>
      </c>
      <c r="E106" t="s">
        <v>6132</v>
      </c>
    </row>
    <row r="107" spans="1:5" x14ac:dyDescent="0.35">
      <c r="A107" t="s">
        <v>6082</v>
      </c>
      <c r="B107" s="16">
        <v>45713</v>
      </c>
      <c r="C107">
        <v>6.5</v>
      </c>
      <c r="D107">
        <v>0</v>
      </c>
      <c r="E107" t="s">
        <v>6132</v>
      </c>
    </row>
    <row r="108" spans="1:5" x14ac:dyDescent="0.35">
      <c r="A108" t="s">
        <v>6082</v>
      </c>
      <c r="B108" s="16">
        <v>45714</v>
      </c>
      <c r="C108">
        <v>5.3</v>
      </c>
      <c r="D108">
        <v>0</v>
      </c>
      <c r="E108" t="s">
        <v>6132</v>
      </c>
    </row>
    <row r="109" spans="1:5" x14ac:dyDescent="0.35">
      <c r="A109" t="s">
        <v>6082</v>
      </c>
      <c r="B109" s="16">
        <v>45719</v>
      </c>
      <c r="C109">
        <v>7.3</v>
      </c>
      <c r="D109">
        <v>0</v>
      </c>
      <c r="E109" t="s">
        <v>6132</v>
      </c>
    </row>
    <row r="110" spans="1:5" x14ac:dyDescent="0.35">
      <c r="A110" t="s">
        <v>6082</v>
      </c>
      <c r="B110" s="16">
        <v>45722</v>
      </c>
      <c r="C110">
        <v>7.1</v>
      </c>
      <c r="D110">
        <v>0</v>
      </c>
      <c r="E110" t="s">
        <v>6132</v>
      </c>
    </row>
    <row r="111" spans="1:5" x14ac:dyDescent="0.35">
      <c r="A111" t="s">
        <v>6082</v>
      </c>
      <c r="B111" s="16">
        <v>45723</v>
      </c>
      <c r="C111">
        <v>6.7</v>
      </c>
      <c r="D111">
        <v>0</v>
      </c>
      <c r="E111" t="s">
        <v>6132</v>
      </c>
    </row>
    <row r="112" spans="1:5" x14ac:dyDescent="0.35">
      <c r="A112" t="s">
        <v>6082</v>
      </c>
      <c r="B112" s="16">
        <v>45727</v>
      </c>
      <c r="C112">
        <v>4.5999999999999996</v>
      </c>
      <c r="D112">
        <v>0</v>
      </c>
      <c r="E112" t="s">
        <v>6132</v>
      </c>
    </row>
    <row r="113" spans="1:5" x14ac:dyDescent="0.35">
      <c r="A113" t="s">
        <v>6082</v>
      </c>
      <c r="B113" s="16">
        <v>45729</v>
      </c>
      <c r="C113">
        <v>8.5</v>
      </c>
      <c r="D113">
        <v>0</v>
      </c>
      <c r="E113" t="s">
        <v>6132</v>
      </c>
    </row>
    <row r="114" spans="1:5" x14ac:dyDescent="0.35">
      <c r="A114" t="s">
        <v>6082</v>
      </c>
      <c r="B114" s="16">
        <v>45730</v>
      </c>
      <c r="C114">
        <v>4.7</v>
      </c>
      <c r="D114">
        <v>0</v>
      </c>
      <c r="E114" t="s">
        <v>6132</v>
      </c>
    </row>
    <row r="115" spans="1:5" x14ac:dyDescent="0.35">
      <c r="A115" t="s">
        <v>6082</v>
      </c>
      <c r="B115" s="16">
        <v>45733</v>
      </c>
      <c r="C115">
        <v>5.9</v>
      </c>
      <c r="D115">
        <v>0</v>
      </c>
      <c r="E115" t="s">
        <v>6132</v>
      </c>
    </row>
    <row r="116" spans="1:5" x14ac:dyDescent="0.35">
      <c r="A116" t="s">
        <v>6082</v>
      </c>
      <c r="B116" s="16">
        <v>45734</v>
      </c>
      <c r="C116">
        <v>6.8</v>
      </c>
      <c r="D116">
        <v>0</v>
      </c>
      <c r="E116" t="s">
        <v>6132</v>
      </c>
    </row>
    <row r="117" spans="1:5" x14ac:dyDescent="0.35">
      <c r="A117" t="s">
        <v>6082</v>
      </c>
      <c r="B117" s="16">
        <v>45736</v>
      </c>
      <c r="C117">
        <v>5.0999999999999996</v>
      </c>
      <c r="D117">
        <v>0</v>
      </c>
      <c r="E117" t="s">
        <v>6132</v>
      </c>
    </row>
    <row r="118" spans="1:5" x14ac:dyDescent="0.35">
      <c r="A118" t="s">
        <v>6082</v>
      </c>
      <c r="B118" s="16">
        <v>45737</v>
      </c>
      <c r="D118">
        <v>0</v>
      </c>
      <c r="E118" t="s">
        <v>6134</v>
      </c>
    </row>
    <row r="119" spans="1:5" x14ac:dyDescent="0.35">
      <c r="A119" t="s">
        <v>6082</v>
      </c>
      <c r="B119" s="16">
        <v>45747</v>
      </c>
      <c r="C119">
        <v>7.1</v>
      </c>
      <c r="D119">
        <v>0</v>
      </c>
      <c r="E119" t="s">
        <v>6132</v>
      </c>
    </row>
    <row r="120" spans="1:5" x14ac:dyDescent="0.35">
      <c r="A120" t="s">
        <v>6082</v>
      </c>
      <c r="B120" s="16">
        <v>45748</v>
      </c>
      <c r="C120">
        <v>8.1</v>
      </c>
      <c r="D120">
        <v>0</v>
      </c>
      <c r="E120" t="s">
        <v>6132</v>
      </c>
    </row>
    <row r="121" spans="1:5" x14ac:dyDescent="0.35">
      <c r="A121" t="s">
        <v>6082</v>
      </c>
      <c r="B121" s="16">
        <v>45751</v>
      </c>
      <c r="C121">
        <v>7.2</v>
      </c>
      <c r="D121">
        <v>0</v>
      </c>
      <c r="E121" t="s">
        <v>6132</v>
      </c>
    </row>
    <row r="122" spans="1:5" x14ac:dyDescent="0.35">
      <c r="A122" t="s">
        <v>6082</v>
      </c>
      <c r="B122" s="16">
        <v>45762</v>
      </c>
      <c r="C122">
        <v>9</v>
      </c>
      <c r="D122">
        <v>0</v>
      </c>
      <c r="E122" t="s">
        <v>6132</v>
      </c>
    </row>
    <row r="123" spans="1:5" x14ac:dyDescent="0.35">
      <c r="A123" t="s">
        <v>6082</v>
      </c>
      <c r="B123" s="16">
        <v>45769</v>
      </c>
      <c r="C123">
        <v>5.6</v>
      </c>
      <c r="D123">
        <v>0</v>
      </c>
      <c r="E123" t="s">
        <v>6132</v>
      </c>
    </row>
    <row r="124" spans="1:5" x14ac:dyDescent="0.35">
      <c r="A124" t="s">
        <v>6082</v>
      </c>
      <c r="B124" s="16">
        <v>45784</v>
      </c>
      <c r="C124">
        <v>6.5</v>
      </c>
      <c r="D124">
        <v>0</v>
      </c>
      <c r="E124" t="s">
        <v>6132</v>
      </c>
    </row>
    <row r="125" spans="1:5" x14ac:dyDescent="0.35">
      <c r="A125" t="s">
        <v>6082</v>
      </c>
      <c r="B125" s="16">
        <v>45792</v>
      </c>
      <c r="C125">
        <v>8.1999999999999993</v>
      </c>
      <c r="D125">
        <v>0</v>
      </c>
      <c r="E125" t="s">
        <v>6132</v>
      </c>
    </row>
    <row r="126" spans="1:5" x14ac:dyDescent="0.35">
      <c r="A126" t="s">
        <v>6082</v>
      </c>
      <c r="B126" s="16">
        <v>45793</v>
      </c>
      <c r="C126">
        <v>5.0999999999999996</v>
      </c>
      <c r="D126">
        <v>0</v>
      </c>
      <c r="E126" t="s">
        <v>6132</v>
      </c>
    </row>
    <row r="127" spans="1:5" x14ac:dyDescent="0.35">
      <c r="A127" t="s">
        <v>6082</v>
      </c>
      <c r="B127" s="16">
        <v>45796</v>
      </c>
      <c r="C127">
        <v>5.8</v>
      </c>
      <c r="D127">
        <v>0</v>
      </c>
      <c r="E127" t="s">
        <v>6134</v>
      </c>
    </row>
    <row r="128" spans="1:5" x14ac:dyDescent="0.35">
      <c r="A128" t="s">
        <v>6082</v>
      </c>
      <c r="B128" s="16">
        <v>45797</v>
      </c>
      <c r="C128">
        <v>5.5</v>
      </c>
      <c r="D128">
        <v>0</v>
      </c>
      <c r="E128" t="s">
        <v>6132</v>
      </c>
    </row>
    <row r="129" spans="1:5" x14ac:dyDescent="0.35">
      <c r="A129" t="s">
        <v>6082</v>
      </c>
      <c r="B129" s="16">
        <v>45798</v>
      </c>
      <c r="C129">
        <v>4.2</v>
      </c>
      <c r="D129">
        <v>0</v>
      </c>
      <c r="E129" t="s">
        <v>6132</v>
      </c>
    </row>
    <row r="130" spans="1:5" x14ac:dyDescent="0.35">
      <c r="A130" t="s">
        <v>6082</v>
      </c>
      <c r="B130" s="16">
        <v>45799</v>
      </c>
      <c r="C130">
        <v>8.1</v>
      </c>
      <c r="D130">
        <v>0</v>
      </c>
      <c r="E130" t="s">
        <v>6132</v>
      </c>
    </row>
    <row r="131" spans="1:5" x14ac:dyDescent="0.35">
      <c r="A131" t="s">
        <v>6082</v>
      </c>
      <c r="B131" s="16">
        <v>45804</v>
      </c>
      <c r="C131">
        <v>8.1999999999999993</v>
      </c>
      <c r="D131">
        <v>0</v>
      </c>
      <c r="E131" t="s">
        <v>6132</v>
      </c>
    </row>
    <row r="132" spans="1:5" x14ac:dyDescent="0.35">
      <c r="A132" t="s">
        <v>6082</v>
      </c>
      <c r="B132" s="16">
        <v>45805</v>
      </c>
      <c r="C132">
        <v>8.6</v>
      </c>
      <c r="D132">
        <v>0</v>
      </c>
      <c r="E132" t="s">
        <v>6134</v>
      </c>
    </row>
    <row r="133" spans="1:5" x14ac:dyDescent="0.35">
      <c r="A133" t="s">
        <v>6082</v>
      </c>
      <c r="B133" s="16">
        <v>45810</v>
      </c>
      <c r="C133">
        <v>6.5</v>
      </c>
      <c r="D133">
        <v>0</v>
      </c>
      <c r="E133" t="s">
        <v>6132</v>
      </c>
    </row>
    <row r="134" spans="1:5" x14ac:dyDescent="0.35">
      <c r="A134" t="s">
        <v>6082</v>
      </c>
      <c r="B134" s="16">
        <v>45813</v>
      </c>
      <c r="C134">
        <v>6.1</v>
      </c>
      <c r="D134">
        <v>0</v>
      </c>
      <c r="E134" t="s">
        <v>6132</v>
      </c>
    </row>
    <row r="135" spans="1:5" x14ac:dyDescent="0.35">
      <c r="A135" t="s">
        <v>6082</v>
      </c>
      <c r="B135" s="16">
        <v>45814</v>
      </c>
      <c r="C135">
        <v>4.0999999999999996</v>
      </c>
      <c r="D135">
        <v>0</v>
      </c>
      <c r="E135" t="s">
        <v>6132</v>
      </c>
    </row>
    <row r="136" spans="1:5" x14ac:dyDescent="0.35">
      <c r="A136" t="s">
        <v>6082</v>
      </c>
      <c r="B136" s="16">
        <v>45819</v>
      </c>
      <c r="C136">
        <v>7.9</v>
      </c>
      <c r="D136">
        <v>0</v>
      </c>
      <c r="E136" t="s">
        <v>6132</v>
      </c>
    </row>
    <row r="137" spans="1:5" x14ac:dyDescent="0.35">
      <c r="A137" t="s">
        <v>6082</v>
      </c>
      <c r="B137" s="16">
        <v>45824</v>
      </c>
      <c r="C137">
        <v>6</v>
      </c>
      <c r="D137">
        <v>0</v>
      </c>
      <c r="E137" t="s">
        <v>6132</v>
      </c>
    </row>
    <row r="138" spans="1:5" x14ac:dyDescent="0.35">
      <c r="A138" t="s">
        <v>6082</v>
      </c>
      <c r="B138" s="16">
        <v>45831</v>
      </c>
      <c r="C138">
        <v>6.8</v>
      </c>
      <c r="D138">
        <v>0</v>
      </c>
      <c r="E138" t="s">
        <v>6132</v>
      </c>
    </row>
    <row r="139" spans="1:5" x14ac:dyDescent="0.35">
      <c r="A139" t="s">
        <v>6082</v>
      </c>
      <c r="B139" s="16">
        <v>45833</v>
      </c>
      <c r="C139">
        <v>5.5</v>
      </c>
      <c r="D139">
        <v>0</v>
      </c>
      <c r="E139" t="s">
        <v>6133</v>
      </c>
    </row>
    <row r="140" spans="1:5" x14ac:dyDescent="0.35">
      <c r="A140" t="s">
        <v>6082</v>
      </c>
      <c r="B140" s="16">
        <v>45834</v>
      </c>
      <c r="C140">
        <v>6.4</v>
      </c>
      <c r="D140">
        <v>0</v>
      </c>
      <c r="E140" t="s">
        <v>6132</v>
      </c>
    </row>
    <row r="141" spans="1:5" x14ac:dyDescent="0.35">
      <c r="A141" t="s">
        <v>6082</v>
      </c>
      <c r="B141" s="16">
        <v>45838</v>
      </c>
      <c r="C141">
        <v>5.3</v>
      </c>
      <c r="D141">
        <v>0</v>
      </c>
      <c r="E141" t="s">
        <v>6133</v>
      </c>
    </row>
    <row r="142" spans="1:5" x14ac:dyDescent="0.35">
      <c r="A142" t="s">
        <v>6082</v>
      </c>
      <c r="B142" s="16">
        <v>45845</v>
      </c>
      <c r="C142">
        <v>7.1</v>
      </c>
      <c r="D142">
        <v>0</v>
      </c>
      <c r="E142" t="s">
        <v>6133</v>
      </c>
    </row>
    <row r="143" spans="1:5" x14ac:dyDescent="0.35">
      <c r="A143" t="s">
        <v>6082</v>
      </c>
      <c r="B143" s="16">
        <v>45849</v>
      </c>
      <c r="C143">
        <v>6.1</v>
      </c>
      <c r="D143">
        <v>0</v>
      </c>
      <c r="E143" t="s">
        <v>6132</v>
      </c>
    </row>
    <row r="144" spans="1:5" x14ac:dyDescent="0.35">
      <c r="A144" t="s">
        <v>6082</v>
      </c>
      <c r="B144" s="16">
        <v>45852</v>
      </c>
      <c r="C144">
        <v>5.2</v>
      </c>
      <c r="D144">
        <v>0</v>
      </c>
      <c r="E144" t="s">
        <v>6132</v>
      </c>
    </row>
    <row r="145" spans="1:5" x14ac:dyDescent="0.35">
      <c r="A145" t="s">
        <v>6082</v>
      </c>
      <c r="B145" s="16">
        <v>45863</v>
      </c>
      <c r="C145">
        <v>8.9</v>
      </c>
      <c r="D145">
        <v>0</v>
      </c>
      <c r="E145" t="s">
        <v>6132</v>
      </c>
    </row>
    <row r="146" spans="1:5" x14ac:dyDescent="0.35">
      <c r="A146" t="s">
        <v>6082</v>
      </c>
      <c r="B146" s="16">
        <v>45866</v>
      </c>
      <c r="C146">
        <v>6.1</v>
      </c>
      <c r="D146">
        <v>0</v>
      </c>
      <c r="E146" t="s">
        <v>6132</v>
      </c>
    </row>
    <row r="147" spans="1:5" x14ac:dyDescent="0.35">
      <c r="A147" t="s">
        <v>6082</v>
      </c>
      <c r="B147" s="16">
        <v>45867</v>
      </c>
      <c r="C147">
        <v>8.6</v>
      </c>
      <c r="D147">
        <v>0</v>
      </c>
      <c r="E147" t="s">
        <v>6132</v>
      </c>
    </row>
    <row r="148" spans="1:5" x14ac:dyDescent="0.35">
      <c r="A148" t="s">
        <v>6082</v>
      </c>
      <c r="B148" s="16">
        <v>45880</v>
      </c>
      <c r="C148">
        <v>7.7</v>
      </c>
      <c r="D148">
        <v>0</v>
      </c>
      <c r="E148" t="s">
        <v>6132</v>
      </c>
    </row>
    <row r="149" spans="1:5" x14ac:dyDescent="0.35">
      <c r="A149" t="s">
        <v>6082</v>
      </c>
      <c r="B149" s="16">
        <v>45882</v>
      </c>
      <c r="D149">
        <v>0</v>
      </c>
      <c r="E149" t="s">
        <v>6132</v>
      </c>
    </row>
    <row r="150" spans="1:5" x14ac:dyDescent="0.35">
      <c r="A150" t="s">
        <v>6082</v>
      </c>
      <c r="B150" s="16">
        <v>45887</v>
      </c>
      <c r="C150">
        <v>4.4000000000000004</v>
      </c>
      <c r="D150">
        <v>0</v>
      </c>
      <c r="E150" t="s">
        <v>6132</v>
      </c>
    </row>
    <row r="151" spans="1:5" x14ac:dyDescent="0.35">
      <c r="A151" t="s">
        <v>6082</v>
      </c>
      <c r="B151" s="16">
        <v>45889</v>
      </c>
      <c r="C151">
        <v>5.7</v>
      </c>
      <c r="D151">
        <v>0</v>
      </c>
      <c r="E151" t="s">
        <v>6132</v>
      </c>
    </row>
    <row r="152" spans="1:5" x14ac:dyDescent="0.35">
      <c r="A152" t="s">
        <v>6082</v>
      </c>
      <c r="B152" s="16">
        <v>45890</v>
      </c>
      <c r="C152">
        <v>4.2</v>
      </c>
      <c r="D152">
        <v>0</v>
      </c>
      <c r="E152" t="s">
        <v>6132</v>
      </c>
    </row>
    <row r="153" spans="1:5" x14ac:dyDescent="0.35">
      <c r="A153" t="s">
        <v>6082</v>
      </c>
      <c r="B153" s="16">
        <v>45894</v>
      </c>
      <c r="C153">
        <v>8.6999999999999993</v>
      </c>
      <c r="D153">
        <v>0</v>
      </c>
      <c r="E153" t="s">
        <v>6132</v>
      </c>
    </row>
    <row r="154" spans="1:5" x14ac:dyDescent="0.35">
      <c r="A154" t="s">
        <v>6082</v>
      </c>
      <c r="B154" s="16">
        <v>45903</v>
      </c>
      <c r="C154">
        <v>7.1</v>
      </c>
      <c r="D154">
        <v>0</v>
      </c>
      <c r="E154" t="s">
        <v>6132</v>
      </c>
    </row>
    <row r="155" spans="1:5" x14ac:dyDescent="0.35">
      <c r="A155" t="s">
        <v>6082</v>
      </c>
      <c r="B155" s="16">
        <v>45904</v>
      </c>
      <c r="C155">
        <v>6.6</v>
      </c>
      <c r="D155">
        <v>0</v>
      </c>
      <c r="E155" t="s">
        <v>6133</v>
      </c>
    </row>
    <row r="156" spans="1:5" x14ac:dyDescent="0.35">
      <c r="A156" t="s">
        <v>6082</v>
      </c>
      <c r="B156" s="16">
        <v>45905</v>
      </c>
      <c r="C156">
        <v>5.2</v>
      </c>
      <c r="D156">
        <v>0</v>
      </c>
      <c r="E156" t="s">
        <v>6132</v>
      </c>
    </row>
    <row r="157" spans="1:5" x14ac:dyDescent="0.35">
      <c r="A157" t="s">
        <v>6082</v>
      </c>
      <c r="B157" s="16">
        <v>45908</v>
      </c>
      <c r="C157">
        <v>6.9</v>
      </c>
      <c r="D157">
        <v>0</v>
      </c>
      <c r="E157" t="s">
        <v>6132</v>
      </c>
    </row>
    <row r="158" spans="1:5" x14ac:dyDescent="0.35">
      <c r="A158" t="s">
        <v>6082</v>
      </c>
      <c r="B158" s="16">
        <v>45909</v>
      </c>
      <c r="C158">
        <v>6.5</v>
      </c>
      <c r="D158">
        <v>0</v>
      </c>
      <c r="E158" t="s">
        <v>6132</v>
      </c>
    </row>
    <row r="159" spans="1:5" x14ac:dyDescent="0.35">
      <c r="A159" t="s">
        <v>6082</v>
      </c>
      <c r="B159" s="16">
        <v>45910</v>
      </c>
      <c r="C159">
        <v>5.2</v>
      </c>
      <c r="D159">
        <v>0</v>
      </c>
      <c r="E159" t="s">
        <v>6132</v>
      </c>
    </row>
    <row r="160" spans="1:5" x14ac:dyDescent="0.35">
      <c r="A160" t="s">
        <v>6082</v>
      </c>
      <c r="B160" s="16">
        <v>45912</v>
      </c>
      <c r="C160">
        <v>7</v>
      </c>
      <c r="D160">
        <v>0</v>
      </c>
      <c r="E160" t="s">
        <v>6132</v>
      </c>
    </row>
    <row r="161" spans="1:5" x14ac:dyDescent="0.35">
      <c r="A161" t="s">
        <v>6082</v>
      </c>
      <c r="B161" s="16">
        <v>45915</v>
      </c>
      <c r="C161">
        <v>6.3</v>
      </c>
      <c r="D161">
        <v>0</v>
      </c>
      <c r="E161" t="s">
        <v>6132</v>
      </c>
    </row>
    <row r="162" spans="1:5" x14ac:dyDescent="0.35">
      <c r="A162" t="s">
        <v>6082</v>
      </c>
      <c r="B162" s="16">
        <v>45922</v>
      </c>
      <c r="C162">
        <v>5.8</v>
      </c>
      <c r="D162">
        <v>0</v>
      </c>
      <c r="E162" t="s">
        <v>6132</v>
      </c>
    </row>
    <row r="163" spans="1:5" x14ac:dyDescent="0.35">
      <c r="A163" t="s">
        <v>6082</v>
      </c>
      <c r="B163" s="16">
        <v>45925</v>
      </c>
      <c r="C163">
        <v>6.7</v>
      </c>
      <c r="D163">
        <v>0</v>
      </c>
      <c r="E163" t="s">
        <v>6132</v>
      </c>
    </row>
    <row r="164" spans="1:5" x14ac:dyDescent="0.35">
      <c r="A164" t="s">
        <v>6082</v>
      </c>
      <c r="B164" s="16">
        <v>45929</v>
      </c>
      <c r="C164">
        <v>7</v>
      </c>
      <c r="D164">
        <v>0</v>
      </c>
      <c r="E164" t="s">
        <v>6132</v>
      </c>
    </row>
    <row r="165" spans="1:5" x14ac:dyDescent="0.35">
      <c r="A165" t="s">
        <v>6082</v>
      </c>
      <c r="B165" s="16">
        <v>45930</v>
      </c>
      <c r="D165">
        <v>0</v>
      </c>
      <c r="E165" t="s">
        <v>6132</v>
      </c>
    </row>
    <row r="166" spans="1:5" x14ac:dyDescent="0.35">
      <c r="A166" t="s">
        <v>6082</v>
      </c>
      <c r="B166" s="16">
        <v>45932</v>
      </c>
      <c r="C166">
        <v>6.4</v>
      </c>
      <c r="D166">
        <v>0</v>
      </c>
      <c r="E166" t="s">
        <v>6132</v>
      </c>
    </row>
    <row r="167" spans="1:5" x14ac:dyDescent="0.35">
      <c r="A167" t="s">
        <v>6082</v>
      </c>
      <c r="B167" s="16">
        <v>45933</v>
      </c>
      <c r="C167">
        <v>5.3</v>
      </c>
      <c r="D167">
        <v>0</v>
      </c>
      <c r="E167" t="s">
        <v>6132</v>
      </c>
    </row>
    <row r="168" spans="1:5" x14ac:dyDescent="0.35">
      <c r="A168" t="s">
        <v>6082</v>
      </c>
      <c r="B168" s="16">
        <v>45936</v>
      </c>
      <c r="C168">
        <v>5.9</v>
      </c>
      <c r="D168">
        <v>0</v>
      </c>
      <c r="E168" t="s">
        <v>6132</v>
      </c>
    </row>
    <row r="169" spans="1:5" x14ac:dyDescent="0.35">
      <c r="A169" t="s">
        <v>6082</v>
      </c>
      <c r="B169" s="16">
        <v>45937</v>
      </c>
      <c r="C169">
        <v>4.5</v>
      </c>
      <c r="D169">
        <v>0</v>
      </c>
      <c r="E169" t="s">
        <v>6132</v>
      </c>
    </row>
    <row r="170" spans="1:5" x14ac:dyDescent="0.35">
      <c r="A170" t="s">
        <v>6082</v>
      </c>
      <c r="B170" s="16">
        <v>45938</v>
      </c>
      <c r="C170">
        <v>4.8</v>
      </c>
      <c r="D170">
        <v>0</v>
      </c>
      <c r="E170" t="s">
        <v>6132</v>
      </c>
    </row>
    <row r="171" spans="1:5" x14ac:dyDescent="0.35">
      <c r="A171" t="s">
        <v>6082</v>
      </c>
      <c r="B171" s="16">
        <v>45943</v>
      </c>
      <c r="C171">
        <v>5.6</v>
      </c>
      <c r="D171">
        <v>0</v>
      </c>
      <c r="E171" t="s">
        <v>6132</v>
      </c>
    </row>
    <row r="172" spans="1:5" x14ac:dyDescent="0.35">
      <c r="A172" t="s">
        <v>6082</v>
      </c>
      <c r="B172" s="16">
        <v>45945</v>
      </c>
      <c r="C172">
        <v>7.8</v>
      </c>
      <c r="D172">
        <v>0</v>
      </c>
      <c r="E172" t="s">
        <v>6132</v>
      </c>
    </row>
    <row r="173" spans="1:5" x14ac:dyDescent="0.35">
      <c r="A173" t="s">
        <v>6082</v>
      </c>
      <c r="B173" s="16">
        <v>45946</v>
      </c>
      <c r="C173">
        <v>7.1</v>
      </c>
      <c r="D173">
        <v>0</v>
      </c>
      <c r="E173" t="s">
        <v>6132</v>
      </c>
    </row>
    <row r="174" spans="1:5" x14ac:dyDescent="0.35">
      <c r="A174" t="s">
        <v>6082</v>
      </c>
      <c r="B174" s="16">
        <v>45959</v>
      </c>
      <c r="C174">
        <v>4.7</v>
      </c>
      <c r="D174">
        <v>0</v>
      </c>
      <c r="E174" t="s">
        <v>6132</v>
      </c>
    </row>
    <row r="175" spans="1:5" x14ac:dyDescent="0.35">
      <c r="A175" t="s">
        <v>6082</v>
      </c>
      <c r="B175" s="16">
        <v>45966</v>
      </c>
      <c r="C175">
        <v>8</v>
      </c>
      <c r="D175">
        <v>0</v>
      </c>
      <c r="E175" t="s">
        <v>6132</v>
      </c>
    </row>
    <row r="176" spans="1:5" x14ac:dyDescent="0.35">
      <c r="A176" t="s">
        <v>6082</v>
      </c>
      <c r="B176" s="16">
        <v>45967</v>
      </c>
      <c r="D176">
        <v>0</v>
      </c>
      <c r="E176" t="s">
        <v>6132</v>
      </c>
    </row>
    <row r="177" spans="1:5" x14ac:dyDescent="0.35">
      <c r="A177" t="s">
        <v>6082</v>
      </c>
      <c r="B177" s="16">
        <v>45968</v>
      </c>
      <c r="C177">
        <v>8.6</v>
      </c>
      <c r="D177">
        <v>0</v>
      </c>
      <c r="E177" t="s">
        <v>6132</v>
      </c>
    </row>
    <row r="178" spans="1:5" x14ac:dyDescent="0.35">
      <c r="A178" t="s">
        <v>6082</v>
      </c>
      <c r="B178" s="16">
        <v>45971</v>
      </c>
      <c r="C178">
        <v>4.3</v>
      </c>
      <c r="D178">
        <v>0</v>
      </c>
      <c r="E178" t="s">
        <v>6132</v>
      </c>
    </row>
    <row r="179" spans="1:5" x14ac:dyDescent="0.35">
      <c r="A179" t="s">
        <v>6082</v>
      </c>
      <c r="B179" s="16">
        <v>45973</v>
      </c>
      <c r="C179">
        <v>7.4</v>
      </c>
      <c r="D179">
        <v>0</v>
      </c>
      <c r="E179" t="s">
        <v>6132</v>
      </c>
    </row>
    <row r="180" spans="1:5" x14ac:dyDescent="0.35">
      <c r="A180" t="s">
        <v>6082</v>
      </c>
      <c r="B180" s="16">
        <v>45974</v>
      </c>
      <c r="D180">
        <v>0</v>
      </c>
      <c r="E180" t="s">
        <v>6132</v>
      </c>
    </row>
    <row r="181" spans="1:5" x14ac:dyDescent="0.35">
      <c r="A181" t="s">
        <v>6082</v>
      </c>
      <c r="B181" s="16">
        <v>45980</v>
      </c>
      <c r="C181">
        <v>8.4</v>
      </c>
      <c r="D181">
        <v>0</v>
      </c>
      <c r="E181" t="s">
        <v>6132</v>
      </c>
    </row>
    <row r="182" spans="1:5" x14ac:dyDescent="0.35">
      <c r="A182" t="s">
        <v>6082</v>
      </c>
      <c r="B182" s="16">
        <v>45982</v>
      </c>
      <c r="C182">
        <v>6.7</v>
      </c>
      <c r="D182">
        <v>0</v>
      </c>
      <c r="E182" t="s">
        <v>6132</v>
      </c>
    </row>
    <row r="183" spans="1:5" x14ac:dyDescent="0.35">
      <c r="A183" t="s">
        <v>6082</v>
      </c>
      <c r="B183" s="16">
        <v>45985</v>
      </c>
      <c r="C183">
        <v>6.1</v>
      </c>
      <c r="D183">
        <v>0</v>
      </c>
      <c r="E183" t="s">
        <v>6132</v>
      </c>
    </row>
    <row r="184" spans="1:5" x14ac:dyDescent="0.35">
      <c r="A184" t="s">
        <v>6082</v>
      </c>
      <c r="B184" s="16">
        <v>45987</v>
      </c>
      <c r="C184">
        <v>7.5</v>
      </c>
      <c r="D184">
        <v>0</v>
      </c>
      <c r="E184" t="s">
        <v>6134</v>
      </c>
    </row>
    <row r="185" spans="1:5" x14ac:dyDescent="0.35">
      <c r="A185" t="s">
        <v>6082</v>
      </c>
      <c r="B185" s="16">
        <v>45988</v>
      </c>
      <c r="C185">
        <v>4.5</v>
      </c>
      <c r="D185">
        <v>0</v>
      </c>
      <c r="E185" t="s">
        <v>6132</v>
      </c>
    </row>
    <row r="186" spans="1:5" x14ac:dyDescent="0.35">
      <c r="A186" t="s">
        <v>6082</v>
      </c>
      <c r="B186" s="16">
        <v>45989</v>
      </c>
      <c r="C186">
        <v>7.7</v>
      </c>
      <c r="D186">
        <v>0</v>
      </c>
      <c r="E186" t="s">
        <v>6132</v>
      </c>
    </row>
    <row r="187" spans="1:5" x14ac:dyDescent="0.35">
      <c r="A187" t="s">
        <v>6082</v>
      </c>
      <c r="B187" s="16">
        <v>45993</v>
      </c>
      <c r="C187">
        <v>4.0999999999999996</v>
      </c>
      <c r="D187">
        <v>0</v>
      </c>
      <c r="E187" t="s">
        <v>6132</v>
      </c>
    </row>
    <row r="188" spans="1:5" x14ac:dyDescent="0.35">
      <c r="A188" t="s">
        <v>6082</v>
      </c>
      <c r="B188" s="16">
        <v>45999</v>
      </c>
      <c r="C188">
        <v>7.7</v>
      </c>
      <c r="D188">
        <v>0</v>
      </c>
      <c r="E188" t="s">
        <v>6132</v>
      </c>
    </row>
    <row r="189" spans="1:5" x14ac:dyDescent="0.35">
      <c r="A189" t="s">
        <v>6082</v>
      </c>
      <c r="B189" s="16">
        <v>46003</v>
      </c>
      <c r="C189">
        <v>7.5</v>
      </c>
      <c r="D189">
        <v>0</v>
      </c>
      <c r="E189" t="s">
        <v>6132</v>
      </c>
    </row>
    <row r="190" spans="1:5" x14ac:dyDescent="0.35">
      <c r="A190" t="s">
        <v>6082</v>
      </c>
      <c r="B190" s="16">
        <v>46006</v>
      </c>
      <c r="C190">
        <v>8.8000000000000007</v>
      </c>
      <c r="D190">
        <v>0</v>
      </c>
      <c r="E190" t="s">
        <v>6132</v>
      </c>
    </row>
    <row r="191" spans="1:5" x14ac:dyDescent="0.35">
      <c r="A191" t="s">
        <v>6082</v>
      </c>
      <c r="B191" s="16">
        <v>46008</v>
      </c>
      <c r="C191">
        <v>7.4</v>
      </c>
      <c r="D191">
        <v>0</v>
      </c>
      <c r="E191" t="s">
        <v>6132</v>
      </c>
    </row>
    <row r="192" spans="1:5" x14ac:dyDescent="0.35">
      <c r="A192" t="s">
        <v>6082</v>
      </c>
      <c r="B192" s="16">
        <v>46015</v>
      </c>
      <c r="C192">
        <v>5.9</v>
      </c>
      <c r="D192">
        <v>0</v>
      </c>
      <c r="E192" t="s">
        <v>6132</v>
      </c>
    </row>
    <row r="193" spans="1:5" x14ac:dyDescent="0.35">
      <c r="A193" t="s">
        <v>6082</v>
      </c>
      <c r="B193" s="16">
        <v>46022</v>
      </c>
      <c r="C193">
        <v>8.6</v>
      </c>
      <c r="D193">
        <v>0</v>
      </c>
      <c r="E193" t="s">
        <v>6132</v>
      </c>
    </row>
    <row r="194" spans="1:5" x14ac:dyDescent="0.35">
      <c r="A194" t="s">
        <v>99</v>
      </c>
      <c r="B194" s="16">
        <v>45658</v>
      </c>
      <c r="C194">
        <v>7.2</v>
      </c>
      <c r="D194">
        <v>0</v>
      </c>
      <c r="E194" t="s">
        <v>6132</v>
      </c>
    </row>
    <row r="195" spans="1:5" x14ac:dyDescent="0.35">
      <c r="A195" t="s">
        <v>99</v>
      </c>
      <c r="B195" s="16">
        <v>45664</v>
      </c>
      <c r="C195">
        <v>8.8000000000000007</v>
      </c>
      <c r="D195">
        <v>0</v>
      </c>
      <c r="E195" t="s">
        <v>6132</v>
      </c>
    </row>
    <row r="196" spans="1:5" x14ac:dyDescent="0.35">
      <c r="A196" t="s">
        <v>99</v>
      </c>
      <c r="B196" s="16">
        <v>45665</v>
      </c>
      <c r="C196">
        <v>5.7</v>
      </c>
      <c r="D196">
        <v>0</v>
      </c>
      <c r="E196" t="s">
        <v>6132</v>
      </c>
    </row>
    <row r="197" spans="1:5" x14ac:dyDescent="0.35">
      <c r="A197" t="s">
        <v>99</v>
      </c>
      <c r="B197" s="16">
        <v>45666</v>
      </c>
      <c r="C197">
        <v>7.5</v>
      </c>
      <c r="D197">
        <v>0</v>
      </c>
      <c r="E197" t="s">
        <v>6132</v>
      </c>
    </row>
    <row r="198" spans="1:5" x14ac:dyDescent="0.35">
      <c r="A198" t="s">
        <v>99</v>
      </c>
      <c r="B198" s="16">
        <v>45670</v>
      </c>
      <c r="C198">
        <v>5.3</v>
      </c>
      <c r="D198">
        <v>1</v>
      </c>
      <c r="E198" t="s">
        <v>6132</v>
      </c>
    </row>
    <row r="199" spans="1:5" x14ac:dyDescent="0.35">
      <c r="A199" t="s">
        <v>99</v>
      </c>
      <c r="B199" s="16">
        <v>45671</v>
      </c>
      <c r="C199">
        <v>8.8000000000000007</v>
      </c>
      <c r="D199">
        <v>0</v>
      </c>
      <c r="E199" t="s">
        <v>6132</v>
      </c>
    </row>
    <row r="200" spans="1:5" x14ac:dyDescent="0.35">
      <c r="A200" t="s">
        <v>99</v>
      </c>
      <c r="B200" s="16">
        <v>45677</v>
      </c>
      <c r="C200">
        <v>6.4</v>
      </c>
      <c r="D200">
        <v>4</v>
      </c>
      <c r="E200" t="s">
        <v>6132</v>
      </c>
    </row>
    <row r="201" spans="1:5" x14ac:dyDescent="0.35">
      <c r="A201" t="s">
        <v>99</v>
      </c>
      <c r="B201" s="16">
        <v>45678</v>
      </c>
      <c r="C201">
        <v>8.1</v>
      </c>
      <c r="D201">
        <v>1</v>
      </c>
      <c r="E201" t="s">
        <v>6132</v>
      </c>
    </row>
    <row r="202" spans="1:5" x14ac:dyDescent="0.35">
      <c r="A202" t="s">
        <v>99</v>
      </c>
      <c r="B202" s="16">
        <v>45679</v>
      </c>
      <c r="C202">
        <v>5</v>
      </c>
      <c r="D202">
        <v>1</v>
      </c>
      <c r="E202" t="s">
        <v>6132</v>
      </c>
    </row>
    <row r="203" spans="1:5" x14ac:dyDescent="0.35">
      <c r="A203" t="s">
        <v>99</v>
      </c>
      <c r="B203" s="16">
        <v>45681</v>
      </c>
      <c r="C203">
        <v>7.1</v>
      </c>
      <c r="D203">
        <v>2</v>
      </c>
      <c r="E203" t="s">
        <v>6132</v>
      </c>
    </row>
    <row r="204" spans="1:5" x14ac:dyDescent="0.35">
      <c r="A204" t="s">
        <v>99</v>
      </c>
      <c r="B204" s="16">
        <v>45685</v>
      </c>
      <c r="C204">
        <v>6.6</v>
      </c>
      <c r="D204">
        <v>0</v>
      </c>
      <c r="E204" t="s">
        <v>6132</v>
      </c>
    </row>
    <row r="205" spans="1:5" x14ac:dyDescent="0.35">
      <c r="A205" t="s">
        <v>99</v>
      </c>
      <c r="B205" s="16">
        <v>45686</v>
      </c>
      <c r="C205">
        <v>8.9</v>
      </c>
      <c r="D205">
        <v>1</v>
      </c>
      <c r="E205" t="s">
        <v>6132</v>
      </c>
    </row>
    <row r="206" spans="1:5" x14ac:dyDescent="0.35">
      <c r="A206" t="s">
        <v>99</v>
      </c>
      <c r="B206" s="16">
        <v>45687</v>
      </c>
      <c r="C206">
        <v>7.8</v>
      </c>
      <c r="D206">
        <v>3</v>
      </c>
      <c r="E206" t="s">
        <v>6132</v>
      </c>
    </row>
    <row r="207" spans="1:5" x14ac:dyDescent="0.35">
      <c r="A207" t="s">
        <v>99</v>
      </c>
      <c r="B207" s="16">
        <v>45688</v>
      </c>
      <c r="C207">
        <v>5.5</v>
      </c>
      <c r="D207">
        <v>0</v>
      </c>
      <c r="E207" t="s">
        <v>6132</v>
      </c>
    </row>
    <row r="208" spans="1:5" x14ac:dyDescent="0.35">
      <c r="A208" t="s">
        <v>99</v>
      </c>
      <c r="B208" s="16">
        <v>45691</v>
      </c>
      <c r="C208">
        <v>8.6</v>
      </c>
      <c r="D208">
        <v>1</v>
      </c>
      <c r="E208" t="s">
        <v>6132</v>
      </c>
    </row>
    <row r="209" spans="1:5" x14ac:dyDescent="0.35">
      <c r="A209" t="s">
        <v>99</v>
      </c>
      <c r="B209" s="16">
        <v>45692</v>
      </c>
      <c r="C209">
        <v>4.2</v>
      </c>
      <c r="D209">
        <v>0</v>
      </c>
      <c r="E209" t="s">
        <v>6132</v>
      </c>
    </row>
    <row r="210" spans="1:5" x14ac:dyDescent="0.35">
      <c r="A210" t="s">
        <v>99</v>
      </c>
      <c r="B210" s="16">
        <v>45694</v>
      </c>
      <c r="C210">
        <v>8.3000000000000007</v>
      </c>
      <c r="D210">
        <v>0</v>
      </c>
      <c r="E210" t="s">
        <v>6132</v>
      </c>
    </row>
    <row r="211" spans="1:5" x14ac:dyDescent="0.35">
      <c r="A211" t="s">
        <v>99</v>
      </c>
      <c r="B211" s="16">
        <v>45698</v>
      </c>
      <c r="C211">
        <v>4.0999999999999996</v>
      </c>
      <c r="D211">
        <v>1</v>
      </c>
      <c r="E211" t="s">
        <v>6132</v>
      </c>
    </row>
    <row r="212" spans="1:5" x14ac:dyDescent="0.35">
      <c r="A212" t="s">
        <v>99</v>
      </c>
      <c r="B212" s="16">
        <v>45699</v>
      </c>
      <c r="C212">
        <v>8.6</v>
      </c>
      <c r="D212">
        <v>1</v>
      </c>
      <c r="E212" t="s">
        <v>6132</v>
      </c>
    </row>
    <row r="213" spans="1:5" x14ac:dyDescent="0.35">
      <c r="A213" t="s">
        <v>99</v>
      </c>
      <c r="B213" s="16">
        <v>45701</v>
      </c>
      <c r="C213">
        <v>6.9</v>
      </c>
      <c r="D213">
        <v>0</v>
      </c>
      <c r="E213" t="s">
        <v>6132</v>
      </c>
    </row>
    <row r="214" spans="1:5" x14ac:dyDescent="0.35">
      <c r="A214" t="s">
        <v>99</v>
      </c>
      <c r="B214" s="16">
        <v>45702</v>
      </c>
      <c r="C214">
        <v>7.2</v>
      </c>
      <c r="D214">
        <v>0</v>
      </c>
      <c r="E214" t="s">
        <v>6132</v>
      </c>
    </row>
    <row r="215" spans="1:5" x14ac:dyDescent="0.35">
      <c r="A215" t="s">
        <v>99</v>
      </c>
      <c r="B215" s="16">
        <v>45705</v>
      </c>
      <c r="C215">
        <v>7.6</v>
      </c>
      <c r="D215">
        <v>1</v>
      </c>
      <c r="E215" t="s">
        <v>6132</v>
      </c>
    </row>
    <row r="216" spans="1:5" x14ac:dyDescent="0.35">
      <c r="A216" t="s">
        <v>99</v>
      </c>
      <c r="B216" s="16">
        <v>45706</v>
      </c>
      <c r="C216">
        <v>4.5999999999999996</v>
      </c>
      <c r="D216">
        <v>0</v>
      </c>
      <c r="E216" t="s">
        <v>6132</v>
      </c>
    </row>
    <row r="217" spans="1:5" x14ac:dyDescent="0.35">
      <c r="A217" t="s">
        <v>99</v>
      </c>
      <c r="B217" s="16">
        <v>45709</v>
      </c>
      <c r="C217">
        <v>6.9</v>
      </c>
      <c r="D217">
        <v>2</v>
      </c>
      <c r="E217" t="s">
        <v>6132</v>
      </c>
    </row>
    <row r="218" spans="1:5" x14ac:dyDescent="0.35">
      <c r="A218" t="s">
        <v>99</v>
      </c>
      <c r="B218" s="16">
        <v>45714</v>
      </c>
      <c r="C218">
        <v>4.4000000000000004</v>
      </c>
      <c r="D218">
        <v>0</v>
      </c>
      <c r="E218" t="s">
        <v>6132</v>
      </c>
    </row>
    <row r="219" spans="1:5" x14ac:dyDescent="0.35">
      <c r="A219" t="s">
        <v>99</v>
      </c>
      <c r="B219" s="16">
        <v>45719</v>
      </c>
      <c r="C219">
        <v>4.7</v>
      </c>
      <c r="D219">
        <v>0</v>
      </c>
      <c r="E219" t="s">
        <v>6133</v>
      </c>
    </row>
    <row r="220" spans="1:5" x14ac:dyDescent="0.35">
      <c r="A220" t="s">
        <v>99</v>
      </c>
      <c r="B220" s="16">
        <v>45723</v>
      </c>
      <c r="C220">
        <v>7.7</v>
      </c>
      <c r="D220">
        <v>0</v>
      </c>
      <c r="E220" t="s">
        <v>6132</v>
      </c>
    </row>
    <row r="221" spans="1:5" x14ac:dyDescent="0.35">
      <c r="A221" t="s">
        <v>99</v>
      </c>
      <c r="B221" s="16">
        <v>45726</v>
      </c>
      <c r="C221">
        <v>7.3</v>
      </c>
      <c r="D221">
        <v>4</v>
      </c>
      <c r="E221" t="s">
        <v>6132</v>
      </c>
    </row>
    <row r="222" spans="1:5" x14ac:dyDescent="0.35">
      <c r="A222" t="s">
        <v>99</v>
      </c>
      <c r="B222" s="16">
        <v>45729</v>
      </c>
      <c r="C222">
        <v>6.4</v>
      </c>
      <c r="D222">
        <v>2</v>
      </c>
      <c r="E222" t="s">
        <v>6132</v>
      </c>
    </row>
    <row r="223" spans="1:5" x14ac:dyDescent="0.35">
      <c r="A223" t="s">
        <v>99</v>
      </c>
      <c r="B223" s="16">
        <v>45730</v>
      </c>
      <c r="C223">
        <v>7.1</v>
      </c>
      <c r="D223">
        <v>2</v>
      </c>
      <c r="E223" t="s">
        <v>6132</v>
      </c>
    </row>
    <row r="224" spans="1:5" x14ac:dyDescent="0.35">
      <c r="A224" t="s">
        <v>99</v>
      </c>
      <c r="B224" s="16">
        <v>45733</v>
      </c>
      <c r="C224">
        <v>8.6999999999999993</v>
      </c>
      <c r="D224">
        <v>1</v>
      </c>
      <c r="E224" t="s">
        <v>6132</v>
      </c>
    </row>
    <row r="225" spans="1:5" x14ac:dyDescent="0.35">
      <c r="A225" t="s">
        <v>99</v>
      </c>
      <c r="B225" s="16">
        <v>45737</v>
      </c>
      <c r="C225">
        <v>7.6</v>
      </c>
      <c r="D225">
        <v>0</v>
      </c>
      <c r="E225" t="s">
        <v>6132</v>
      </c>
    </row>
    <row r="226" spans="1:5" x14ac:dyDescent="0.35">
      <c r="A226" t="s">
        <v>99</v>
      </c>
      <c r="B226" s="16">
        <v>45740</v>
      </c>
      <c r="C226">
        <v>6.6</v>
      </c>
      <c r="D226">
        <v>2</v>
      </c>
      <c r="E226" t="s">
        <v>6132</v>
      </c>
    </row>
    <row r="227" spans="1:5" x14ac:dyDescent="0.35">
      <c r="A227" t="s">
        <v>99</v>
      </c>
      <c r="B227" s="16">
        <v>45741</v>
      </c>
      <c r="C227">
        <v>6.2</v>
      </c>
      <c r="D227">
        <v>1</v>
      </c>
      <c r="E227" t="s">
        <v>6132</v>
      </c>
    </row>
    <row r="228" spans="1:5" x14ac:dyDescent="0.35">
      <c r="A228" t="s">
        <v>99</v>
      </c>
      <c r="B228" s="16">
        <v>45748</v>
      </c>
      <c r="D228">
        <v>0</v>
      </c>
      <c r="E228" t="s">
        <v>6132</v>
      </c>
    </row>
    <row r="229" spans="1:5" x14ac:dyDescent="0.35">
      <c r="A229" t="s">
        <v>99</v>
      </c>
      <c r="B229" s="16">
        <v>45750</v>
      </c>
      <c r="C229">
        <v>4.3</v>
      </c>
      <c r="D229">
        <v>3</v>
      </c>
      <c r="E229" t="s">
        <v>6132</v>
      </c>
    </row>
    <row r="230" spans="1:5" x14ac:dyDescent="0.35">
      <c r="A230" t="s">
        <v>99</v>
      </c>
      <c r="B230" s="16">
        <v>45751</v>
      </c>
      <c r="C230">
        <v>8.9</v>
      </c>
      <c r="D230">
        <v>0</v>
      </c>
      <c r="E230" t="s">
        <v>6132</v>
      </c>
    </row>
    <row r="231" spans="1:5" x14ac:dyDescent="0.35">
      <c r="A231" t="s">
        <v>99</v>
      </c>
      <c r="B231" s="16">
        <v>45754</v>
      </c>
      <c r="C231">
        <v>6.4</v>
      </c>
      <c r="D231">
        <v>2</v>
      </c>
      <c r="E231" t="s">
        <v>6132</v>
      </c>
    </row>
    <row r="232" spans="1:5" x14ac:dyDescent="0.35">
      <c r="A232" t="s">
        <v>99</v>
      </c>
      <c r="B232" s="16">
        <v>45755</v>
      </c>
      <c r="C232">
        <v>8.1999999999999993</v>
      </c>
      <c r="D232">
        <v>1</v>
      </c>
      <c r="E232" t="s">
        <v>6132</v>
      </c>
    </row>
    <row r="233" spans="1:5" x14ac:dyDescent="0.35">
      <c r="A233" t="s">
        <v>99</v>
      </c>
      <c r="B233" s="16">
        <v>45756</v>
      </c>
      <c r="C233">
        <v>6.8</v>
      </c>
      <c r="D233">
        <v>0</v>
      </c>
      <c r="E233" t="s">
        <v>6132</v>
      </c>
    </row>
    <row r="234" spans="1:5" x14ac:dyDescent="0.35">
      <c r="A234" t="s">
        <v>99</v>
      </c>
      <c r="B234" s="16">
        <v>45757</v>
      </c>
      <c r="C234">
        <v>6.7</v>
      </c>
      <c r="D234">
        <v>0</v>
      </c>
      <c r="E234" t="s">
        <v>6132</v>
      </c>
    </row>
    <row r="235" spans="1:5" x14ac:dyDescent="0.35">
      <c r="A235" t="s">
        <v>99</v>
      </c>
      <c r="B235" s="16">
        <v>45758</v>
      </c>
      <c r="C235">
        <v>5.5</v>
      </c>
      <c r="D235">
        <v>0</v>
      </c>
      <c r="E235" t="s">
        <v>6132</v>
      </c>
    </row>
    <row r="236" spans="1:5" x14ac:dyDescent="0.35">
      <c r="A236" t="s">
        <v>99</v>
      </c>
      <c r="B236" s="16">
        <v>45761</v>
      </c>
      <c r="C236">
        <v>6</v>
      </c>
      <c r="D236">
        <v>0</v>
      </c>
      <c r="E236" t="s">
        <v>6132</v>
      </c>
    </row>
    <row r="237" spans="1:5" x14ac:dyDescent="0.35">
      <c r="A237" t="s">
        <v>99</v>
      </c>
      <c r="B237" s="16">
        <v>45765</v>
      </c>
      <c r="C237">
        <v>5.6</v>
      </c>
      <c r="D237">
        <v>0</v>
      </c>
      <c r="E237" t="s">
        <v>6134</v>
      </c>
    </row>
    <row r="238" spans="1:5" x14ac:dyDescent="0.35">
      <c r="A238" t="s">
        <v>99</v>
      </c>
      <c r="B238" s="16">
        <v>45768</v>
      </c>
      <c r="C238">
        <v>4.0999999999999996</v>
      </c>
      <c r="D238">
        <v>0</v>
      </c>
      <c r="E238" t="s">
        <v>6132</v>
      </c>
    </row>
    <row r="239" spans="1:5" x14ac:dyDescent="0.35">
      <c r="A239" t="s">
        <v>99</v>
      </c>
      <c r="B239" s="16">
        <v>45770</v>
      </c>
      <c r="C239">
        <v>4.5999999999999996</v>
      </c>
      <c r="D239">
        <v>0</v>
      </c>
      <c r="E239" t="s">
        <v>6132</v>
      </c>
    </row>
    <row r="240" spans="1:5" x14ac:dyDescent="0.35">
      <c r="A240" t="s">
        <v>99</v>
      </c>
      <c r="B240" s="16">
        <v>45771</v>
      </c>
      <c r="C240">
        <v>8.9</v>
      </c>
      <c r="D240">
        <v>1</v>
      </c>
      <c r="E240" t="s">
        <v>6132</v>
      </c>
    </row>
    <row r="241" spans="1:5" x14ac:dyDescent="0.35">
      <c r="A241" t="s">
        <v>99</v>
      </c>
      <c r="B241" s="16">
        <v>45775</v>
      </c>
      <c r="C241">
        <v>8.1999999999999993</v>
      </c>
      <c r="D241">
        <v>0</v>
      </c>
      <c r="E241" t="s">
        <v>6133</v>
      </c>
    </row>
    <row r="242" spans="1:5" x14ac:dyDescent="0.35">
      <c r="A242" t="s">
        <v>99</v>
      </c>
      <c r="B242" s="16">
        <v>45777</v>
      </c>
      <c r="C242">
        <v>7.9</v>
      </c>
      <c r="D242">
        <v>0</v>
      </c>
      <c r="E242" t="s">
        <v>6132</v>
      </c>
    </row>
    <row r="243" spans="1:5" x14ac:dyDescent="0.35">
      <c r="A243" t="s">
        <v>99</v>
      </c>
      <c r="B243" s="16">
        <v>45779</v>
      </c>
      <c r="C243">
        <v>6.1</v>
      </c>
      <c r="D243">
        <v>1</v>
      </c>
      <c r="E243" t="s">
        <v>6132</v>
      </c>
    </row>
    <row r="244" spans="1:5" x14ac:dyDescent="0.35">
      <c r="A244" t="s">
        <v>99</v>
      </c>
      <c r="B244" s="16">
        <v>45782</v>
      </c>
      <c r="C244">
        <v>7.1</v>
      </c>
      <c r="D244">
        <v>0</v>
      </c>
      <c r="E244" t="s">
        <v>6134</v>
      </c>
    </row>
    <row r="245" spans="1:5" x14ac:dyDescent="0.35">
      <c r="A245" t="s">
        <v>99</v>
      </c>
      <c r="B245" s="16">
        <v>45785</v>
      </c>
      <c r="C245">
        <v>6.1</v>
      </c>
      <c r="D245">
        <v>0</v>
      </c>
      <c r="E245" t="s">
        <v>6132</v>
      </c>
    </row>
    <row r="246" spans="1:5" x14ac:dyDescent="0.35">
      <c r="A246" t="s">
        <v>99</v>
      </c>
      <c r="B246" s="16">
        <v>45790</v>
      </c>
      <c r="D246">
        <v>1</v>
      </c>
      <c r="E246" t="s">
        <v>6132</v>
      </c>
    </row>
    <row r="247" spans="1:5" x14ac:dyDescent="0.35">
      <c r="A247" t="s">
        <v>99</v>
      </c>
      <c r="B247" s="16">
        <v>45791</v>
      </c>
      <c r="C247">
        <v>8.1</v>
      </c>
      <c r="D247">
        <v>1</v>
      </c>
      <c r="E247" t="s">
        <v>6132</v>
      </c>
    </row>
    <row r="248" spans="1:5" x14ac:dyDescent="0.35">
      <c r="A248" t="s">
        <v>99</v>
      </c>
      <c r="B248" s="16">
        <v>45792</v>
      </c>
      <c r="C248">
        <v>5.6</v>
      </c>
      <c r="D248">
        <v>0</v>
      </c>
      <c r="E248" t="s">
        <v>6132</v>
      </c>
    </row>
    <row r="249" spans="1:5" x14ac:dyDescent="0.35">
      <c r="A249" t="s">
        <v>99</v>
      </c>
      <c r="B249" s="16">
        <v>45798</v>
      </c>
      <c r="C249">
        <v>5.3</v>
      </c>
      <c r="D249">
        <v>2</v>
      </c>
      <c r="E249" t="s">
        <v>6132</v>
      </c>
    </row>
    <row r="250" spans="1:5" x14ac:dyDescent="0.35">
      <c r="A250" t="s">
        <v>99</v>
      </c>
      <c r="B250" s="16">
        <v>45799</v>
      </c>
      <c r="C250">
        <v>4.5</v>
      </c>
      <c r="D250">
        <v>0</v>
      </c>
      <c r="E250" t="s">
        <v>6132</v>
      </c>
    </row>
    <row r="251" spans="1:5" x14ac:dyDescent="0.35">
      <c r="A251" t="s">
        <v>99</v>
      </c>
      <c r="B251" s="16">
        <v>45800</v>
      </c>
      <c r="C251">
        <v>5.4</v>
      </c>
      <c r="D251">
        <v>0</v>
      </c>
      <c r="E251" t="s">
        <v>6134</v>
      </c>
    </row>
    <row r="252" spans="1:5" x14ac:dyDescent="0.35">
      <c r="A252" t="s">
        <v>99</v>
      </c>
      <c r="B252" s="16">
        <v>45812</v>
      </c>
      <c r="C252">
        <v>6</v>
      </c>
      <c r="D252">
        <v>1</v>
      </c>
      <c r="E252" t="s">
        <v>6132</v>
      </c>
    </row>
    <row r="253" spans="1:5" x14ac:dyDescent="0.35">
      <c r="A253" t="s">
        <v>99</v>
      </c>
      <c r="B253" s="16">
        <v>45813</v>
      </c>
      <c r="C253">
        <v>7.5</v>
      </c>
      <c r="D253">
        <v>3</v>
      </c>
      <c r="E253" t="s">
        <v>6132</v>
      </c>
    </row>
    <row r="254" spans="1:5" x14ac:dyDescent="0.35">
      <c r="A254" t="s">
        <v>99</v>
      </c>
      <c r="B254" s="16">
        <v>45818</v>
      </c>
      <c r="C254">
        <v>7.8</v>
      </c>
      <c r="D254">
        <v>0</v>
      </c>
      <c r="E254" t="s">
        <v>6132</v>
      </c>
    </row>
    <row r="255" spans="1:5" x14ac:dyDescent="0.35">
      <c r="A255" t="s">
        <v>99</v>
      </c>
      <c r="B255" s="16">
        <v>45826</v>
      </c>
      <c r="C255">
        <v>5</v>
      </c>
      <c r="D255">
        <v>1</v>
      </c>
      <c r="E255" t="s">
        <v>6132</v>
      </c>
    </row>
    <row r="256" spans="1:5" x14ac:dyDescent="0.35">
      <c r="A256" t="s">
        <v>99</v>
      </c>
      <c r="B256" s="16">
        <v>45828</v>
      </c>
      <c r="C256">
        <v>5.3</v>
      </c>
      <c r="D256">
        <v>2</v>
      </c>
      <c r="E256" t="s">
        <v>6132</v>
      </c>
    </row>
    <row r="257" spans="1:5" x14ac:dyDescent="0.35">
      <c r="A257" t="s">
        <v>99</v>
      </c>
      <c r="B257" s="16">
        <v>45831</v>
      </c>
      <c r="C257">
        <v>8.6999999999999993</v>
      </c>
      <c r="D257">
        <v>5</v>
      </c>
      <c r="E257" t="s">
        <v>6132</v>
      </c>
    </row>
    <row r="258" spans="1:5" x14ac:dyDescent="0.35">
      <c r="A258" t="s">
        <v>99</v>
      </c>
      <c r="B258" s="16">
        <v>45834</v>
      </c>
      <c r="C258">
        <v>5</v>
      </c>
      <c r="D258">
        <v>0</v>
      </c>
      <c r="E258" t="s">
        <v>6132</v>
      </c>
    </row>
    <row r="259" spans="1:5" x14ac:dyDescent="0.35">
      <c r="A259" t="s">
        <v>99</v>
      </c>
      <c r="B259" s="16">
        <v>45839</v>
      </c>
      <c r="C259">
        <v>6.5</v>
      </c>
      <c r="D259">
        <v>0</v>
      </c>
      <c r="E259" t="s">
        <v>6132</v>
      </c>
    </row>
    <row r="260" spans="1:5" x14ac:dyDescent="0.35">
      <c r="A260" t="s">
        <v>99</v>
      </c>
      <c r="B260" s="16">
        <v>45842</v>
      </c>
      <c r="C260">
        <v>8.9</v>
      </c>
      <c r="D260">
        <v>2</v>
      </c>
      <c r="E260" t="s">
        <v>6132</v>
      </c>
    </row>
    <row r="261" spans="1:5" x14ac:dyDescent="0.35">
      <c r="A261" t="s">
        <v>99</v>
      </c>
      <c r="B261" s="16">
        <v>45846</v>
      </c>
      <c r="C261">
        <v>8.8000000000000007</v>
      </c>
      <c r="D261">
        <v>0</v>
      </c>
      <c r="E261" t="s">
        <v>6133</v>
      </c>
    </row>
    <row r="262" spans="1:5" x14ac:dyDescent="0.35">
      <c r="A262" t="s">
        <v>99</v>
      </c>
      <c r="B262" s="16">
        <v>45848</v>
      </c>
      <c r="C262">
        <v>7.8</v>
      </c>
      <c r="D262">
        <v>1</v>
      </c>
      <c r="E262" t="s">
        <v>6132</v>
      </c>
    </row>
    <row r="263" spans="1:5" x14ac:dyDescent="0.35">
      <c r="A263" t="s">
        <v>99</v>
      </c>
      <c r="B263" s="16">
        <v>45849</v>
      </c>
      <c r="C263">
        <v>4.8</v>
      </c>
      <c r="D263">
        <v>3</v>
      </c>
      <c r="E263" t="s">
        <v>6132</v>
      </c>
    </row>
    <row r="264" spans="1:5" x14ac:dyDescent="0.35">
      <c r="A264" t="s">
        <v>99</v>
      </c>
      <c r="B264" s="16">
        <v>45852</v>
      </c>
      <c r="C264">
        <v>8.9</v>
      </c>
      <c r="D264">
        <v>2</v>
      </c>
      <c r="E264" t="s">
        <v>6132</v>
      </c>
    </row>
    <row r="265" spans="1:5" x14ac:dyDescent="0.35">
      <c r="A265" t="s">
        <v>99</v>
      </c>
      <c r="B265" s="16">
        <v>45853</v>
      </c>
      <c r="C265">
        <v>7</v>
      </c>
      <c r="D265">
        <v>0</v>
      </c>
      <c r="E265" t="s">
        <v>6132</v>
      </c>
    </row>
    <row r="266" spans="1:5" x14ac:dyDescent="0.35">
      <c r="A266" t="s">
        <v>99</v>
      </c>
      <c r="B266" s="16">
        <v>45855</v>
      </c>
      <c r="C266">
        <v>6.7</v>
      </c>
      <c r="D266">
        <v>1</v>
      </c>
      <c r="E266" t="s">
        <v>6132</v>
      </c>
    </row>
    <row r="267" spans="1:5" x14ac:dyDescent="0.35">
      <c r="A267" t="s">
        <v>99</v>
      </c>
      <c r="B267" s="16">
        <v>45866</v>
      </c>
      <c r="C267">
        <v>8.1999999999999993</v>
      </c>
      <c r="D267">
        <v>1</v>
      </c>
      <c r="E267" t="s">
        <v>6132</v>
      </c>
    </row>
    <row r="268" spans="1:5" x14ac:dyDescent="0.35">
      <c r="A268" t="s">
        <v>99</v>
      </c>
      <c r="B268" s="16">
        <v>45867</v>
      </c>
      <c r="C268">
        <v>6.9</v>
      </c>
      <c r="D268">
        <v>1</v>
      </c>
      <c r="E268" t="s">
        <v>6132</v>
      </c>
    </row>
    <row r="269" spans="1:5" x14ac:dyDescent="0.35">
      <c r="A269" t="s">
        <v>99</v>
      </c>
      <c r="B269" s="16">
        <v>45869</v>
      </c>
      <c r="D269">
        <v>0</v>
      </c>
      <c r="E269" t="s">
        <v>6133</v>
      </c>
    </row>
    <row r="270" spans="1:5" x14ac:dyDescent="0.35">
      <c r="A270" t="s">
        <v>99</v>
      </c>
      <c r="B270" s="16">
        <v>45870</v>
      </c>
      <c r="C270">
        <v>4.4000000000000004</v>
      </c>
      <c r="D270">
        <v>0</v>
      </c>
      <c r="E270" t="s">
        <v>6132</v>
      </c>
    </row>
    <row r="271" spans="1:5" x14ac:dyDescent="0.35">
      <c r="A271" t="s">
        <v>99</v>
      </c>
      <c r="B271" s="16">
        <v>45876</v>
      </c>
      <c r="C271">
        <v>4.8</v>
      </c>
      <c r="D271">
        <v>0</v>
      </c>
      <c r="E271" t="s">
        <v>6132</v>
      </c>
    </row>
    <row r="272" spans="1:5" x14ac:dyDescent="0.35">
      <c r="A272" t="s">
        <v>99</v>
      </c>
      <c r="B272" s="16">
        <v>45880</v>
      </c>
      <c r="C272">
        <v>5.3</v>
      </c>
      <c r="D272">
        <v>0</v>
      </c>
      <c r="E272" t="s">
        <v>6132</v>
      </c>
    </row>
    <row r="273" spans="1:5" x14ac:dyDescent="0.35">
      <c r="A273" t="s">
        <v>99</v>
      </c>
      <c r="B273" s="16">
        <v>45881</v>
      </c>
      <c r="C273">
        <v>8.1999999999999993</v>
      </c>
      <c r="D273">
        <v>1</v>
      </c>
      <c r="E273" t="s">
        <v>6132</v>
      </c>
    </row>
    <row r="274" spans="1:5" x14ac:dyDescent="0.35">
      <c r="A274" t="s">
        <v>99</v>
      </c>
      <c r="B274" s="16">
        <v>45882</v>
      </c>
      <c r="C274">
        <v>7.9</v>
      </c>
      <c r="D274">
        <v>0</v>
      </c>
      <c r="E274" t="s">
        <v>6132</v>
      </c>
    </row>
    <row r="275" spans="1:5" x14ac:dyDescent="0.35">
      <c r="A275" t="s">
        <v>99</v>
      </c>
      <c r="B275" s="16">
        <v>45884</v>
      </c>
      <c r="C275">
        <v>8.5</v>
      </c>
      <c r="D275">
        <v>2</v>
      </c>
      <c r="E275" t="s">
        <v>6132</v>
      </c>
    </row>
    <row r="276" spans="1:5" x14ac:dyDescent="0.35">
      <c r="A276" t="s">
        <v>99</v>
      </c>
      <c r="B276" s="16">
        <v>45887</v>
      </c>
      <c r="C276">
        <v>8.4</v>
      </c>
      <c r="D276">
        <v>0</v>
      </c>
      <c r="E276" t="s">
        <v>6132</v>
      </c>
    </row>
    <row r="277" spans="1:5" x14ac:dyDescent="0.35">
      <c r="A277" t="s">
        <v>99</v>
      </c>
      <c r="B277" s="16">
        <v>45888</v>
      </c>
      <c r="C277">
        <v>4.7</v>
      </c>
      <c r="D277">
        <v>2</v>
      </c>
      <c r="E277" t="s">
        <v>6132</v>
      </c>
    </row>
    <row r="278" spans="1:5" x14ac:dyDescent="0.35">
      <c r="A278" t="s">
        <v>99</v>
      </c>
      <c r="B278" s="16">
        <v>45895</v>
      </c>
      <c r="C278">
        <v>8.6</v>
      </c>
      <c r="D278">
        <v>0</v>
      </c>
      <c r="E278" t="s">
        <v>6132</v>
      </c>
    </row>
    <row r="279" spans="1:5" x14ac:dyDescent="0.35">
      <c r="A279" t="s">
        <v>99</v>
      </c>
      <c r="B279" s="16">
        <v>45898</v>
      </c>
      <c r="C279">
        <v>8</v>
      </c>
      <c r="D279">
        <v>1</v>
      </c>
      <c r="E279" t="s">
        <v>6132</v>
      </c>
    </row>
    <row r="280" spans="1:5" x14ac:dyDescent="0.35">
      <c r="A280" t="s">
        <v>99</v>
      </c>
      <c r="B280" s="16">
        <v>45905</v>
      </c>
      <c r="C280">
        <v>7.1</v>
      </c>
      <c r="D280">
        <v>0</v>
      </c>
      <c r="E280" t="s">
        <v>6133</v>
      </c>
    </row>
    <row r="281" spans="1:5" x14ac:dyDescent="0.35">
      <c r="A281" t="s">
        <v>99</v>
      </c>
      <c r="B281" s="16">
        <v>45910</v>
      </c>
      <c r="C281">
        <v>6</v>
      </c>
      <c r="D281">
        <v>0</v>
      </c>
      <c r="E281" t="s">
        <v>6132</v>
      </c>
    </row>
    <row r="282" spans="1:5" x14ac:dyDescent="0.35">
      <c r="A282" t="s">
        <v>99</v>
      </c>
      <c r="B282" s="16">
        <v>45911</v>
      </c>
      <c r="C282">
        <v>4.5</v>
      </c>
      <c r="D282">
        <v>2</v>
      </c>
      <c r="E282" t="s">
        <v>6132</v>
      </c>
    </row>
    <row r="283" spans="1:5" x14ac:dyDescent="0.35">
      <c r="A283" t="s">
        <v>99</v>
      </c>
      <c r="B283" s="16">
        <v>45915</v>
      </c>
      <c r="C283">
        <v>6.5</v>
      </c>
      <c r="D283">
        <v>1</v>
      </c>
      <c r="E283" t="s">
        <v>6132</v>
      </c>
    </row>
    <row r="284" spans="1:5" x14ac:dyDescent="0.35">
      <c r="A284" t="s">
        <v>99</v>
      </c>
      <c r="B284" s="16">
        <v>45916</v>
      </c>
      <c r="C284">
        <v>8.3000000000000007</v>
      </c>
      <c r="D284">
        <v>1</v>
      </c>
      <c r="E284" t="s">
        <v>6132</v>
      </c>
    </row>
    <row r="285" spans="1:5" x14ac:dyDescent="0.35">
      <c r="A285" t="s">
        <v>99</v>
      </c>
      <c r="B285" s="16">
        <v>45917</v>
      </c>
      <c r="D285">
        <v>4</v>
      </c>
      <c r="E285" t="s">
        <v>6132</v>
      </c>
    </row>
    <row r="286" spans="1:5" x14ac:dyDescent="0.35">
      <c r="A286" t="s">
        <v>99</v>
      </c>
      <c r="B286" s="16">
        <v>45918</v>
      </c>
      <c r="C286">
        <v>5.9</v>
      </c>
      <c r="D286">
        <v>0</v>
      </c>
      <c r="E286" t="s">
        <v>6132</v>
      </c>
    </row>
    <row r="287" spans="1:5" x14ac:dyDescent="0.35">
      <c r="A287" t="s">
        <v>99</v>
      </c>
      <c r="B287" s="16">
        <v>45922</v>
      </c>
      <c r="C287">
        <v>7.7</v>
      </c>
      <c r="D287">
        <v>0</v>
      </c>
      <c r="E287" t="s">
        <v>6132</v>
      </c>
    </row>
    <row r="288" spans="1:5" x14ac:dyDescent="0.35">
      <c r="A288" t="s">
        <v>99</v>
      </c>
      <c r="B288" s="16">
        <v>45923</v>
      </c>
      <c r="C288">
        <v>7.6</v>
      </c>
      <c r="D288">
        <v>0</v>
      </c>
      <c r="E288" t="s">
        <v>6132</v>
      </c>
    </row>
    <row r="289" spans="1:5" x14ac:dyDescent="0.35">
      <c r="A289" t="s">
        <v>99</v>
      </c>
      <c r="B289" s="16">
        <v>45924</v>
      </c>
      <c r="C289">
        <v>4.8</v>
      </c>
      <c r="D289">
        <v>1</v>
      </c>
      <c r="E289" t="s">
        <v>6132</v>
      </c>
    </row>
    <row r="290" spans="1:5" x14ac:dyDescent="0.35">
      <c r="A290" t="s">
        <v>99</v>
      </c>
      <c r="B290" s="16">
        <v>45926</v>
      </c>
      <c r="C290">
        <v>5.3</v>
      </c>
      <c r="D290">
        <v>0</v>
      </c>
      <c r="E290" t="s">
        <v>6132</v>
      </c>
    </row>
    <row r="291" spans="1:5" x14ac:dyDescent="0.35">
      <c r="A291" t="s">
        <v>99</v>
      </c>
      <c r="B291" s="16">
        <v>45933</v>
      </c>
      <c r="C291">
        <v>8.1999999999999993</v>
      </c>
      <c r="D291">
        <v>1</v>
      </c>
      <c r="E291" t="s">
        <v>6132</v>
      </c>
    </row>
    <row r="292" spans="1:5" x14ac:dyDescent="0.35">
      <c r="A292" t="s">
        <v>99</v>
      </c>
      <c r="B292" s="16">
        <v>45936</v>
      </c>
      <c r="C292">
        <v>7.7</v>
      </c>
      <c r="D292">
        <v>1</v>
      </c>
      <c r="E292" t="s">
        <v>6132</v>
      </c>
    </row>
    <row r="293" spans="1:5" x14ac:dyDescent="0.35">
      <c r="A293" t="s">
        <v>99</v>
      </c>
      <c r="B293" s="16">
        <v>45938</v>
      </c>
      <c r="C293">
        <v>6.5</v>
      </c>
      <c r="D293">
        <v>0</v>
      </c>
      <c r="E293" t="s">
        <v>6132</v>
      </c>
    </row>
    <row r="294" spans="1:5" x14ac:dyDescent="0.35">
      <c r="A294" t="s">
        <v>99</v>
      </c>
      <c r="B294" s="16">
        <v>45939</v>
      </c>
      <c r="D294">
        <v>0</v>
      </c>
      <c r="E294" t="s">
        <v>6133</v>
      </c>
    </row>
    <row r="295" spans="1:5" x14ac:dyDescent="0.35">
      <c r="A295" t="s">
        <v>99</v>
      </c>
      <c r="B295" s="16">
        <v>45943</v>
      </c>
      <c r="C295">
        <v>8.6</v>
      </c>
      <c r="D295">
        <v>0</v>
      </c>
      <c r="E295" t="s">
        <v>6132</v>
      </c>
    </row>
    <row r="296" spans="1:5" x14ac:dyDescent="0.35">
      <c r="A296" t="s">
        <v>99</v>
      </c>
      <c r="B296" s="16">
        <v>45945</v>
      </c>
      <c r="C296">
        <v>7.8</v>
      </c>
      <c r="D296">
        <v>1</v>
      </c>
      <c r="E296" t="s">
        <v>6132</v>
      </c>
    </row>
    <row r="297" spans="1:5" x14ac:dyDescent="0.35">
      <c r="A297" t="s">
        <v>99</v>
      </c>
      <c r="B297" s="16">
        <v>45946</v>
      </c>
      <c r="C297">
        <v>5.6</v>
      </c>
      <c r="D297">
        <v>2</v>
      </c>
      <c r="E297" t="s">
        <v>6132</v>
      </c>
    </row>
    <row r="298" spans="1:5" x14ac:dyDescent="0.35">
      <c r="A298" t="s">
        <v>99</v>
      </c>
      <c r="B298" s="16">
        <v>45951</v>
      </c>
      <c r="C298">
        <v>7.5</v>
      </c>
      <c r="D298">
        <v>2</v>
      </c>
      <c r="E298" t="s">
        <v>6132</v>
      </c>
    </row>
    <row r="299" spans="1:5" x14ac:dyDescent="0.35">
      <c r="A299" t="s">
        <v>99</v>
      </c>
      <c r="B299" s="16">
        <v>45952</v>
      </c>
      <c r="C299">
        <v>8.3000000000000007</v>
      </c>
      <c r="D299">
        <v>1</v>
      </c>
      <c r="E299" t="s">
        <v>6132</v>
      </c>
    </row>
    <row r="300" spans="1:5" x14ac:dyDescent="0.35">
      <c r="A300" t="s">
        <v>99</v>
      </c>
      <c r="B300" s="16">
        <v>45953</v>
      </c>
      <c r="C300">
        <v>4.5999999999999996</v>
      </c>
      <c r="D300">
        <v>2</v>
      </c>
      <c r="E300" t="s">
        <v>6132</v>
      </c>
    </row>
    <row r="301" spans="1:5" x14ac:dyDescent="0.35">
      <c r="A301" t="s">
        <v>99</v>
      </c>
      <c r="B301" s="16">
        <v>45954</v>
      </c>
      <c r="C301">
        <v>7.2</v>
      </c>
      <c r="D301">
        <v>0</v>
      </c>
      <c r="E301" t="s">
        <v>6132</v>
      </c>
    </row>
    <row r="302" spans="1:5" x14ac:dyDescent="0.35">
      <c r="A302" t="s">
        <v>99</v>
      </c>
      <c r="B302" s="16">
        <v>45958</v>
      </c>
      <c r="C302">
        <v>8</v>
      </c>
      <c r="D302">
        <v>0</v>
      </c>
      <c r="E302" t="s">
        <v>6132</v>
      </c>
    </row>
    <row r="303" spans="1:5" x14ac:dyDescent="0.35">
      <c r="A303" t="s">
        <v>99</v>
      </c>
      <c r="B303" s="16">
        <v>45959</v>
      </c>
      <c r="C303">
        <v>4.3</v>
      </c>
      <c r="D303">
        <v>0</v>
      </c>
      <c r="E303" t="s">
        <v>6132</v>
      </c>
    </row>
    <row r="304" spans="1:5" x14ac:dyDescent="0.35">
      <c r="A304" t="s">
        <v>99</v>
      </c>
      <c r="B304" s="16">
        <v>45960</v>
      </c>
      <c r="C304">
        <v>8.5</v>
      </c>
      <c r="D304">
        <v>0</v>
      </c>
      <c r="E304" t="s">
        <v>6134</v>
      </c>
    </row>
    <row r="305" spans="1:5" x14ac:dyDescent="0.35">
      <c r="A305" t="s">
        <v>99</v>
      </c>
      <c r="B305" s="16">
        <v>45961</v>
      </c>
      <c r="C305">
        <v>5.3</v>
      </c>
      <c r="D305">
        <v>0</v>
      </c>
      <c r="E305" t="s">
        <v>6132</v>
      </c>
    </row>
    <row r="306" spans="1:5" x14ac:dyDescent="0.35">
      <c r="A306" t="s">
        <v>99</v>
      </c>
      <c r="B306" s="16">
        <v>45964</v>
      </c>
      <c r="C306">
        <v>4.2</v>
      </c>
      <c r="D306">
        <v>0</v>
      </c>
      <c r="E306" t="s">
        <v>6134</v>
      </c>
    </row>
    <row r="307" spans="1:5" x14ac:dyDescent="0.35">
      <c r="A307" t="s">
        <v>99</v>
      </c>
      <c r="B307" s="16">
        <v>45965</v>
      </c>
      <c r="C307">
        <v>4.5999999999999996</v>
      </c>
      <c r="D307">
        <v>0</v>
      </c>
      <c r="E307" t="s">
        <v>6132</v>
      </c>
    </row>
    <row r="308" spans="1:5" x14ac:dyDescent="0.35">
      <c r="A308" t="s">
        <v>99</v>
      </c>
      <c r="B308" s="16">
        <v>45966</v>
      </c>
      <c r="C308">
        <v>4.5</v>
      </c>
      <c r="D308">
        <v>2</v>
      </c>
      <c r="E308" t="s">
        <v>6132</v>
      </c>
    </row>
    <row r="309" spans="1:5" x14ac:dyDescent="0.35">
      <c r="A309" t="s">
        <v>99</v>
      </c>
      <c r="B309" s="16">
        <v>45968</v>
      </c>
      <c r="C309">
        <v>7.7</v>
      </c>
      <c r="D309">
        <v>3</v>
      </c>
      <c r="E309" t="s">
        <v>6132</v>
      </c>
    </row>
    <row r="310" spans="1:5" x14ac:dyDescent="0.35">
      <c r="A310" t="s">
        <v>99</v>
      </c>
      <c r="B310" s="16">
        <v>45972</v>
      </c>
      <c r="C310">
        <v>4.5999999999999996</v>
      </c>
      <c r="D310">
        <v>0</v>
      </c>
      <c r="E310" t="s">
        <v>6134</v>
      </c>
    </row>
    <row r="311" spans="1:5" x14ac:dyDescent="0.35">
      <c r="A311" t="s">
        <v>99</v>
      </c>
      <c r="B311" s="16">
        <v>45973</v>
      </c>
      <c r="C311">
        <v>6.6</v>
      </c>
      <c r="D311">
        <v>0</v>
      </c>
      <c r="E311" t="s">
        <v>6132</v>
      </c>
    </row>
    <row r="312" spans="1:5" x14ac:dyDescent="0.35">
      <c r="A312" t="s">
        <v>99</v>
      </c>
      <c r="B312" s="16">
        <v>45974</v>
      </c>
      <c r="C312">
        <v>7.5</v>
      </c>
      <c r="D312">
        <v>1</v>
      </c>
      <c r="E312" t="s">
        <v>6132</v>
      </c>
    </row>
    <row r="313" spans="1:5" x14ac:dyDescent="0.35">
      <c r="A313" t="s">
        <v>99</v>
      </c>
      <c r="B313" s="16">
        <v>45979</v>
      </c>
      <c r="C313">
        <v>7.1</v>
      </c>
      <c r="D313">
        <v>1</v>
      </c>
      <c r="E313" t="s">
        <v>6132</v>
      </c>
    </row>
    <row r="314" spans="1:5" x14ac:dyDescent="0.35">
      <c r="A314" t="s">
        <v>99</v>
      </c>
      <c r="B314" s="16">
        <v>45981</v>
      </c>
      <c r="C314">
        <v>8.6</v>
      </c>
      <c r="D314">
        <v>1</v>
      </c>
      <c r="E314" t="s">
        <v>6132</v>
      </c>
    </row>
    <row r="315" spans="1:5" x14ac:dyDescent="0.35">
      <c r="A315" t="s">
        <v>99</v>
      </c>
      <c r="B315" s="16">
        <v>45985</v>
      </c>
      <c r="C315">
        <v>5.4</v>
      </c>
      <c r="D315">
        <v>3</v>
      </c>
      <c r="E315" t="s">
        <v>6132</v>
      </c>
    </row>
    <row r="316" spans="1:5" x14ac:dyDescent="0.35">
      <c r="A316" t="s">
        <v>99</v>
      </c>
      <c r="B316" s="16">
        <v>45988</v>
      </c>
      <c r="C316">
        <v>8.6</v>
      </c>
      <c r="D316">
        <v>0</v>
      </c>
      <c r="E316" t="s">
        <v>6132</v>
      </c>
    </row>
    <row r="317" spans="1:5" x14ac:dyDescent="0.35">
      <c r="A317" t="s">
        <v>99</v>
      </c>
      <c r="B317" s="16">
        <v>45989</v>
      </c>
      <c r="C317">
        <v>7.4</v>
      </c>
      <c r="D317">
        <v>1</v>
      </c>
      <c r="E317" t="s">
        <v>6132</v>
      </c>
    </row>
    <row r="318" spans="1:5" x14ac:dyDescent="0.35">
      <c r="A318" t="s">
        <v>99</v>
      </c>
      <c r="B318" s="16">
        <v>45994</v>
      </c>
      <c r="C318">
        <v>9</v>
      </c>
      <c r="D318">
        <v>0</v>
      </c>
      <c r="E318" t="s">
        <v>6132</v>
      </c>
    </row>
    <row r="319" spans="1:5" x14ac:dyDescent="0.35">
      <c r="A319" t="s">
        <v>99</v>
      </c>
      <c r="B319" s="16">
        <v>45995</v>
      </c>
      <c r="C319">
        <v>7.7</v>
      </c>
      <c r="D319">
        <v>0</v>
      </c>
      <c r="E319" t="s">
        <v>6132</v>
      </c>
    </row>
    <row r="320" spans="1:5" x14ac:dyDescent="0.35">
      <c r="A320" t="s">
        <v>99</v>
      </c>
      <c r="B320" s="16">
        <v>45999</v>
      </c>
      <c r="C320">
        <v>4</v>
      </c>
      <c r="D320">
        <v>0</v>
      </c>
      <c r="E320" t="s">
        <v>6132</v>
      </c>
    </row>
    <row r="321" spans="1:5" x14ac:dyDescent="0.35">
      <c r="A321" t="s">
        <v>99</v>
      </c>
      <c r="B321" s="16">
        <v>46003</v>
      </c>
      <c r="C321">
        <v>6.9</v>
      </c>
      <c r="D321">
        <v>2</v>
      </c>
      <c r="E321" t="s">
        <v>6132</v>
      </c>
    </row>
    <row r="322" spans="1:5" x14ac:dyDescent="0.35">
      <c r="A322" t="s">
        <v>99</v>
      </c>
      <c r="B322" s="16">
        <v>46008</v>
      </c>
      <c r="C322">
        <v>6.1</v>
      </c>
      <c r="D322">
        <v>0</v>
      </c>
      <c r="E322" t="s">
        <v>6132</v>
      </c>
    </row>
    <row r="323" spans="1:5" x14ac:dyDescent="0.35">
      <c r="A323" t="s">
        <v>99</v>
      </c>
      <c r="B323" s="16">
        <v>46009</v>
      </c>
      <c r="C323">
        <v>7.6</v>
      </c>
      <c r="D323">
        <v>0</v>
      </c>
      <c r="E323" t="s">
        <v>6132</v>
      </c>
    </row>
    <row r="324" spans="1:5" x14ac:dyDescent="0.35">
      <c r="A324" t="s">
        <v>99</v>
      </c>
      <c r="B324" s="16">
        <v>46013</v>
      </c>
      <c r="C324">
        <v>8</v>
      </c>
      <c r="D324">
        <v>1</v>
      </c>
      <c r="E324" t="s">
        <v>6132</v>
      </c>
    </row>
    <row r="325" spans="1:5" x14ac:dyDescent="0.35">
      <c r="A325" t="s">
        <v>99</v>
      </c>
      <c r="B325" s="16">
        <v>46014</v>
      </c>
      <c r="C325">
        <v>8.3000000000000007</v>
      </c>
      <c r="D325">
        <v>3</v>
      </c>
      <c r="E325" t="s">
        <v>6132</v>
      </c>
    </row>
    <row r="326" spans="1:5" x14ac:dyDescent="0.35">
      <c r="A326" t="s">
        <v>99</v>
      </c>
      <c r="B326" s="16">
        <v>46015</v>
      </c>
      <c r="C326">
        <v>4.4000000000000004</v>
      </c>
      <c r="D326">
        <v>1</v>
      </c>
      <c r="E326" t="s">
        <v>6132</v>
      </c>
    </row>
    <row r="327" spans="1:5" x14ac:dyDescent="0.35">
      <c r="A327" t="s">
        <v>99</v>
      </c>
      <c r="B327" s="16">
        <v>46020</v>
      </c>
      <c r="C327">
        <v>5.8</v>
      </c>
      <c r="D327">
        <v>3</v>
      </c>
      <c r="E327" t="s">
        <v>6132</v>
      </c>
    </row>
    <row r="328" spans="1:5" x14ac:dyDescent="0.35">
      <c r="A328" t="s">
        <v>99</v>
      </c>
      <c r="B328" s="16">
        <v>46022</v>
      </c>
      <c r="C328">
        <v>6.7</v>
      </c>
      <c r="D328">
        <v>1</v>
      </c>
      <c r="E328" t="s">
        <v>6132</v>
      </c>
    </row>
    <row r="329" spans="1:5" x14ac:dyDescent="0.35">
      <c r="A329" t="s">
        <v>6089</v>
      </c>
      <c r="B329" s="16">
        <v>45660</v>
      </c>
      <c r="C329">
        <v>4.0999999999999996</v>
      </c>
      <c r="D329">
        <v>0</v>
      </c>
      <c r="E329" t="s">
        <v>6133</v>
      </c>
    </row>
    <row r="330" spans="1:5" x14ac:dyDescent="0.35">
      <c r="A330" t="s">
        <v>6089</v>
      </c>
      <c r="B330" s="16">
        <v>45664</v>
      </c>
      <c r="C330">
        <v>8.5</v>
      </c>
      <c r="D330">
        <v>0</v>
      </c>
      <c r="E330" t="s">
        <v>6132</v>
      </c>
    </row>
    <row r="331" spans="1:5" x14ac:dyDescent="0.35">
      <c r="A331" t="s">
        <v>6089</v>
      </c>
      <c r="B331" s="16">
        <v>45665</v>
      </c>
      <c r="C331">
        <v>4.4000000000000004</v>
      </c>
      <c r="D331">
        <v>0</v>
      </c>
      <c r="E331" t="s">
        <v>6132</v>
      </c>
    </row>
    <row r="332" spans="1:5" x14ac:dyDescent="0.35">
      <c r="A332" t="s">
        <v>6089</v>
      </c>
      <c r="B332" s="16">
        <v>45667</v>
      </c>
      <c r="C332">
        <v>8.5</v>
      </c>
      <c r="D332">
        <v>0</v>
      </c>
      <c r="E332" t="s">
        <v>6132</v>
      </c>
    </row>
    <row r="333" spans="1:5" x14ac:dyDescent="0.35">
      <c r="A333" t="s">
        <v>6089</v>
      </c>
      <c r="B333" s="16">
        <v>45670</v>
      </c>
      <c r="C333">
        <v>5.0999999999999996</v>
      </c>
      <c r="D333">
        <v>0</v>
      </c>
      <c r="E333" t="s">
        <v>6132</v>
      </c>
    </row>
    <row r="334" spans="1:5" x14ac:dyDescent="0.35">
      <c r="A334" t="s">
        <v>6089</v>
      </c>
      <c r="B334" s="16">
        <v>45674</v>
      </c>
      <c r="C334">
        <v>5.6</v>
      </c>
      <c r="D334">
        <v>0</v>
      </c>
      <c r="E334" t="s">
        <v>6132</v>
      </c>
    </row>
    <row r="335" spans="1:5" x14ac:dyDescent="0.35">
      <c r="A335" t="s">
        <v>6089</v>
      </c>
      <c r="B335" s="16">
        <v>45677</v>
      </c>
      <c r="C335">
        <v>4.0999999999999996</v>
      </c>
      <c r="D335">
        <v>0</v>
      </c>
      <c r="E335" t="s">
        <v>6132</v>
      </c>
    </row>
    <row r="336" spans="1:5" x14ac:dyDescent="0.35">
      <c r="A336" t="s">
        <v>6089</v>
      </c>
      <c r="B336" s="16">
        <v>45681</v>
      </c>
      <c r="C336">
        <v>6.4</v>
      </c>
      <c r="D336">
        <v>0</v>
      </c>
      <c r="E336" t="s">
        <v>6132</v>
      </c>
    </row>
    <row r="337" spans="1:5" x14ac:dyDescent="0.35">
      <c r="A337" t="s">
        <v>6089</v>
      </c>
      <c r="B337" s="16">
        <v>45687</v>
      </c>
      <c r="C337">
        <v>4.5999999999999996</v>
      </c>
      <c r="D337">
        <v>0</v>
      </c>
      <c r="E337" t="s">
        <v>6132</v>
      </c>
    </row>
    <row r="338" spans="1:5" x14ac:dyDescent="0.35">
      <c r="A338" t="s">
        <v>6089</v>
      </c>
      <c r="B338" s="16">
        <v>45688</v>
      </c>
      <c r="C338">
        <v>6.9</v>
      </c>
      <c r="D338">
        <v>0</v>
      </c>
      <c r="E338" t="s">
        <v>6132</v>
      </c>
    </row>
    <row r="339" spans="1:5" x14ac:dyDescent="0.35">
      <c r="A339" t="s">
        <v>6089</v>
      </c>
      <c r="B339" s="16">
        <v>45693</v>
      </c>
      <c r="C339">
        <v>6.4</v>
      </c>
      <c r="D339">
        <v>0</v>
      </c>
      <c r="E339" t="s">
        <v>6132</v>
      </c>
    </row>
    <row r="340" spans="1:5" x14ac:dyDescent="0.35">
      <c r="A340" t="s">
        <v>6089</v>
      </c>
      <c r="B340" s="16">
        <v>45702</v>
      </c>
      <c r="D340">
        <v>0</v>
      </c>
      <c r="E340" t="s">
        <v>6132</v>
      </c>
    </row>
    <row r="341" spans="1:5" x14ac:dyDescent="0.35">
      <c r="A341" t="s">
        <v>6089</v>
      </c>
      <c r="B341" s="16">
        <v>45707</v>
      </c>
      <c r="C341">
        <v>9</v>
      </c>
      <c r="D341">
        <v>0</v>
      </c>
      <c r="E341" t="s">
        <v>6132</v>
      </c>
    </row>
    <row r="342" spans="1:5" x14ac:dyDescent="0.35">
      <c r="A342" t="s">
        <v>6089</v>
      </c>
      <c r="B342" s="16">
        <v>45712</v>
      </c>
      <c r="C342">
        <v>6</v>
      </c>
      <c r="D342">
        <v>0</v>
      </c>
      <c r="E342" t="s">
        <v>6132</v>
      </c>
    </row>
    <row r="343" spans="1:5" x14ac:dyDescent="0.35">
      <c r="A343" t="s">
        <v>6089</v>
      </c>
      <c r="B343" s="16">
        <v>45716</v>
      </c>
      <c r="C343">
        <v>4.0999999999999996</v>
      </c>
      <c r="D343">
        <v>0</v>
      </c>
      <c r="E343" t="s">
        <v>6132</v>
      </c>
    </row>
    <row r="344" spans="1:5" x14ac:dyDescent="0.35">
      <c r="A344" t="s">
        <v>6089</v>
      </c>
      <c r="B344" s="16">
        <v>45719</v>
      </c>
      <c r="C344">
        <v>6.9</v>
      </c>
      <c r="D344">
        <v>0</v>
      </c>
      <c r="E344" t="s">
        <v>6132</v>
      </c>
    </row>
    <row r="345" spans="1:5" x14ac:dyDescent="0.35">
      <c r="A345" t="s">
        <v>6089</v>
      </c>
      <c r="B345" s="16">
        <v>45720</v>
      </c>
      <c r="C345">
        <v>5.5</v>
      </c>
      <c r="D345">
        <v>0</v>
      </c>
      <c r="E345" t="s">
        <v>6134</v>
      </c>
    </row>
    <row r="346" spans="1:5" x14ac:dyDescent="0.35">
      <c r="A346" t="s">
        <v>6089</v>
      </c>
      <c r="B346" s="16">
        <v>45723</v>
      </c>
      <c r="C346">
        <v>8.6</v>
      </c>
      <c r="D346">
        <v>0</v>
      </c>
      <c r="E346" t="s">
        <v>6132</v>
      </c>
    </row>
    <row r="347" spans="1:5" x14ac:dyDescent="0.35">
      <c r="A347" t="s">
        <v>6089</v>
      </c>
      <c r="B347" s="16">
        <v>45733</v>
      </c>
      <c r="D347">
        <v>0</v>
      </c>
      <c r="E347" t="s">
        <v>6133</v>
      </c>
    </row>
    <row r="348" spans="1:5" x14ac:dyDescent="0.35">
      <c r="A348" t="s">
        <v>6089</v>
      </c>
      <c r="B348" s="16">
        <v>45735</v>
      </c>
      <c r="C348">
        <v>5.4</v>
      </c>
      <c r="D348">
        <v>0</v>
      </c>
      <c r="E348" t="s">
        <v>6134</v>
      </c>
    </row>
    <row r="349" spans="1:5" x14ac:dyDescent="0.35">
      <c r="A349" t="s">
        <v>6089</v>
      </c>
      <c r="B349" s="16">
        <v>45736</v>
      </c>
      <c r="C349">
        <v>8.6</v>
      </c>
      <c r="D349">
        <v>0</v>
      </c>
      <c r="E349" t="s">
        <v>6132</v>
      </c>
    </row>
    <row r="350" spans="1:5" x14ac:dyDescent="0.35">
      <c r="A350" t="s">
        <v>6089</v>
      </c>
      <c r="B350" s="16">
        <v>45737</v>
      </c>
      <c r="C350">
        <v>8.3000000000000007</v>
      </c>
      <c r="D350">
        <v>0</v>
      </c>
      <c r="E350" t="s">
        <v>6132</v>
      </c>
    </row>
    <row r="351" spans="1:5" x14ac:dyDescent="0.35">
      <c r="A351" t="s">
        <v>6089</v>
      </c>
      <c r="B351" s="16">
        <v>45741</v>
      </c>
      <c r="C351">
        <v>6.4</v>
      </c>
      <c r="D351">
        <v>0</v>
      </c>
      <c r="E351" t="s">
        <v>6134</v>
      </c>
    </row>
    <row r="352" spans="1:5" x14ac:dyDescent="0.35">
      <c r="A352" t="s">
        <v>6089</v>
      </c>
      <c r="B352" s="16">
        <v>45744</v>
      </c>
      <c r="C352">
        <v>4.3</v>
      </c>
      <c r="D352">
        <v>0</v>
      </c>
      <c r="E352" t="s">
        <v>6132</v>
      </c>
    </row>
    <row r="353" spans="1:5" x14ac:dyDescent="0.35">
      <c r="A353" t="s">
        <v>6089</v>
      </c>
      <c r="B353" s="16">
        <v>45748</v>
      </c>
      <c r="C353">
        <v>6.9</v>
      </c>
      <c r="D353">
        <v>0</v>
      </c>
      <c r="E353" t="s">
        <v>6132</v>
      </c>
    </row>
    <row r="354" spans="1:5" x14ac:dyDescent="0.35">
      <c r="A354" t="s">
        <v>6089</v>
      </c>
      <c r="B354" s="16">
        <v>45749</v>
      </c>
      <c r="C354">
        <v>5.6</v>
      </c>
      <c r="D354">
        <v>0</v>
      </c>
      <c r="E354" t="s">
        <v>6132</v>
      </c>
    </row>
    <row r="355" spans="1:5" x14ac:dyDescent="0.35">
      <c r="A355" t="s">
        <v>6089</v>
      </c>
      <c r="B355" s="16">
        <v>45750</v>
      </c>
      <c r="C355">
        <v>4.7</v>
      </c>
      <c r="D355">
        <v>0</v>
      </c>
      <c r="E355" t="s">
        <v>6132</v>
      </c>
    </row>
    <row r="356" spans="1:5" x14ac:dyDescent="0.35">
      <c r="A356" t="s">
        <v>6089</v>
      </c>
      <c r="B356" s="16">
        <v>45754</v>
      </c>
      <c r="C356">
        <v>4.8</v>
      </c>
      <c r="D356">
        <v>0</v>
      </c>
      <c r="E356" t="s">
        <v>6132</v>
      </c>
    </row>
    <row r="357" spans="1:5" x14ac:dyDescent="0.35">
      <c r="A357" t="s">
        <v>6089</v>
      </c>
      <c r="B357" s="16">
        <v>45756</v>
      </c>
      <c r="C357">
        <v>4.7</v>
      </c>
      <c r="D357">
        <v>0</v>
      </c>
      <c r="E357" t="s">
        <v>6132</v>
      </c>
    </row>
    <row r="358" spans="1:5" x14ac:dyDescent="0.35">
      <c r="A358" t="s">
        <v>6089</v>
      </c>
      <c r="B358" s="16">
        <v>45758</v>
      </c>
      <c r="C358">
        <v>4.3</v>
      </c>
      <c r="D358">
        <v>0</v>
      </c>
      <c r="E358" t="s">
        <v>6132</v>
      </c>
    </row>
    <row r="359" spans="1:5" x14ac:dyDescent="0.35">
      <c r="A359" t="s">
        <v>6089</v>
      </c>
      <c r="B359" s="16">
        <v>45762</v>
      </c>
      <c r="C359">
        <v>7.3</v>
      </c>
      <c r="D359">
        <v>0</v>
      </c>
      <c r="E359" t="s">
        <v>6132</v>
      </c>
    </row>
    <row r="360" spans="1:5" x14ac:dyDescent="0.35">
      <c r="A360" t="s">
        <v>6089</v>
      </c>
      <c r="B360" s="16">
        <v>45763</v>
      </c>
      <c r="C360">
        <v>8.6</v>
      </c>
      <c r="D360">
        <v>0</v>
      </c>
      <c r="E360" t="s">
        <v>6132</v>
      </c>
    </row>
    <row r="361" spans="1:5" x14ac:dyDescent="0.35">
      <c r="A361" t="s">
        <v>6089</v>
      </c>
      <c r="B361" s="16">
        <v>45764</v>
      </c>
      <c r="C361">
        <v>7</v>
      </c>
      <c r="D361">
        <v>0</v>
      </c>
      <c r="E361" t="s">
        <v>6134</v>
      </c>
    </row>
    <row r="362" spans="1:5" x14ac:dyDescent="0.35">
      <c r="A362" t="s">
        <v>6089</v>
      </c>
      <c r="B362" s="16">
        <v>45769</v>
      </c>
      <c r="C362">
        <v>7.2</v>
      </c>
      <c r="D362">
        <v>0</v>
      </c>
      <c r="E362" t="s">
        <v>6132</v>
      </c>
    </row>
    <row r="363" spans="1:5" x14ac:dyDescent="0.35">
      <c r="A363" t="s">
        <v>6089</v>
      </c>
      <c r="B363" s="16">
        <v>45775</v>
      </c>
      <c r="C363">
        <v>6.7</v>
      </c>
      <c r="D363">
        <v>0</v>
      </c>
      <c r="E363" t="s">
        <v>6132</v>
      </c>
    </row>
    <row r="364" spans="1:5" x14ac:dyDescent="0.35">
      <c r="A364" t="s">
        <v>6089</v>
      </c>
      <c r="B364" s="16">
        <v>45776</v>
      </c>
      <c r="C364">
        <v>8.1</v>
      </c>
      <c r="D364">
        <v>0</v>
      </c>
      <c r="E364" t="s">
        <v>6132</v>
      </c>
    </row>
    <row r="365" spans="1:5" x14ac:dyDescent="0.35">
      <c r="A365" t="s">
        <v>6089</v>
      </c>
      <c r="B365" s="16">
        <v>45777</v>
      </c>
      <c r="C365">
        <v>5.5</v>
      </c>
      <c r="D365">
        <v>0</v>
      </c>
      <c r="E365" t="s">
        <v>6132</v>
      </c>
    </row>
    <row r="366" spans="1:5" x14ac:dyDescent="0.35">
      <c r="A366" t="s">
        <v>6089</v>
      </c>
      <c r="B366" s="16">
        <v>45778</v>
      </c>
      <c r="C366">
        <v>4.3</v>
      </c>
      <c r="D366">
        <v>0</v>
      </c>
      <c r="E366" t="s">
        <v>6132</v>
      </c>
    </row>
    <row r="367" spans="1:5" x14ac:dyDescent="0.35">
      <c r="A367" t="s">
        <v>6089</v>
      </c>
      <c r="B367" s="16">
        <v>45779</v>
      </c>
      <c r="C367">
        <v>8.5</v>
      </c>
      <c r="D367">
        <v>0</v>
      </c>
      <c r="E367" t="s">
        <v>6132</v>
      </c>
    </row>
    <row r="368" spans="1:5" x14ac:dyDescent="0.35">
      <c r="A368" t="s">
        <v>6089</v>
      </c>
      <c r="B368" s="16">
        <v>45782</v>
      </c>
      <c r="C368">
        <v>7.1</v>
      </c>
      <c r="D368">
        <v>0</v>
      </c>
      <c r="E368" t="s">
        <v>6132</v>
      </c>
    </row>
    <row r="369" spans="1:5" x14ac:dyDescent="0.35">
      <c r="A369" t="s">
        <v>6089</v>
      </c>
      <c r="B369" s="16">
        <v>45785</v>
      </c>
      <c r="C369">
        <v>8.8000000000000007</v>
      </c>
      <c r="D369">
        <v>0</v>
      </c>
      <c r="E369" t="s">
        <v>6132</v>
      </c>
    </row>
    <row r="370" spans="1:5" x14ac:dyDescent="0.35">
      <c r="A370" t="s">
        <v>6089</v>
      </c>
      <c r="B370" s="16">
        <v>45789</v>
      </c>
      <c r="C370">
        <v>7.1</v>
      </c>
      <c r="D370">
        <v>0</v>
      </c>
      <c r="E370" t="s">
        <v>6132</v>
      </c>
    </row>
    <row r="371" spans="1:5" x14ac:dyDescent="0.35">
      <c r="A371" t="s">
        <v>6089</v>
      </c>
      <c r="B371" s="16">
        <v>45790</v>
      </c>
      <c r="C371">
        <v>4.3</v>
      </c>
      <c r="D371">
        <v>0</v>
      </c>
      <c r="E371" t="s">
        <v>6132</v>
      </c>
    </row>
    <row r="372" spans="1:5" x14ac:dyDescent="0.35">
      <c r="A372" t="s">
        <v>6089</v>
      </c>
      <c r="B372" s="16">
        <v>45791</v>
      </c>
      <c r="C372">
        <v>8.6999999999999993</v>
      </c>
      <c r="D372">
        <v>0</v>
      </c>
      <c r="E372" t="s">
        <v>6132</v>
      </c>
    </row>
    <row r="373" spans="1:5" x14ac:dyDescent="0.35">
      <c r="A373" t="s">
        <v>6089</v>
      </c>
      <c r="B373" s="16">
        <v>45797</v>
      </c>
      <c r="C373">
        <v>4.0999999999999996</v>
      </c>
      <c r="D373">
        <v>0</v>
      </c>
      <c r="E373" t="s">
        <v>6132</v>
      </c>
    </row>
    <row r="374" spans="1:5" x14ac:dyDescent="0.35">
      <c r="A374" t="s">
        <v>6089</v>
      </c>
      <c r="B374" s="16">
        <v>45798</v>
      </c>
      <c r="C374">
        <v>5.0999999999999996</v>
      </c>
      <c r="D374">
        <v>0</v>
      </c>
      <c r="E374" t="s">
        <v>6132</v>
      </c>
    </row>
    <row r="375" spans="1:5" x14ac:dyDescent="0.35">
      <c r="A375" t="s">
        <v>6089</v>
      </c>
      <c r="B375" s="16">
        <v>45799</v>
      </c>
      <c r="C375">
        <v>8.9</v>
      </c>
      <c r="D375">
        <v>0</v>
      </c>
      <c r="E375" t="s">
        <v>6132</v>
      </c>
    </row>
    <row r="376" spans="1:5" x14ac:dyDescent="0.35">
      <c r="A376" t="s">
        <v>6089</v>
      </c>
      <c r="B376" s="16">
        <v>45807</v>
      </c>
      <c r="C376">
        <v>7.1</v>
      </c>
      <c r="D376">
        <v>0</v>
      </c>
      <c r="E376" t="s">
        <v>6132</v>
      </c>
    </row>
    <row r="377" spans="1:5" x14ac:dyDescent="0.35">
      <c r="A377" t="s">
        <v>6089</v>
      </c>
      <c r="B377" s="16">
        <v>45810</v>
      </c>
      <c r="C377">
        <v>7.8</v>
      </c>
      <c r="D377">
        <v>0</v>
      </c>
      <c r="E377" t="s">
        <v>6132</v>
      </c>
    </row>
    <row r="378" spans="1:5" x14ac:dyDescent="0.35">
      <c r="A378" t="s">
        <v>6089</v>
      </c>
      <c r="B378" s="16">
        <v>45814</v>
      </c>
      <c r="C378">
        <v>7.8</v>
      </c>
      <c r="D378">
        <v>0</v>
      </c>
      <c r="E378" t="s">
        <v>6132</v>
      </c>
    </row>
    <row r="379" spans="1:5" x14ac:dyDescent="0.35">
      <c r="A379" t="s">
        <v>6089</v>
      </c>
      <c r="B379" s="16">
        <v>45818</v>
      </c>
      <c r="C379">
        <v>4.9000000000000004</v>
      </c>
      <c r="D379">
        <v>0</v>
      </c>
      <c r="E379" t="s">
        <v>6132</v>
      </c>
    </row>
    <row r="380" spans="1:5" x14ac:dyDescent="0.35">
      <c r="A380" t="s">
        <v>6089</v>
      </c>
      <c r="B380" s="16">
        <v>45826</v>
      </c>
      <c r="C380">
        <v>4.7</v>
      </c>
      <c r="D380">
        <v>0</v>
      </c>
      <c r="E380" t="s">
        <v>6132</v>
      </c>
    </row>
    <row r="381" spans="1:5" x14ac:dyDescent="0.35">
      <c r="A381" t="s">
        <v>6089</v>
      </c>
      <c r="B381" s="16">
        <v>45831</v>
      </c>
      <c r="C381">
        <v>4.5999999999999996</v>
      </c>
      <c r="D381">
        <v>0</v>
      </c>
      <c r="E381" t="s">
        <v>6132</v>
      </c>
    </row>
    <row r="382" spans="1:5" x14ac:dyDescent="0.35">
      <c r="A382" t="s">
        <v>6089</v>
      </c>
      <c r="B382" s="16">
        <v>45832</v>
      </c>
      <c r="C382">
        <v>8.4</v>
      </c>
      <c r="D382">
        <v>0</v>
      </c>
      <c r="E382" t="s">
        <v>6133</v>
      </c>
    </row>
    <row r="383" spans="1:5" x14ac:dyDescent="0.35">
      <c r="A383" t="s">
        <v>6089</v>
      </c>
      <c r="B383" s="16">
        <v>45838</v>
      </c>
      <c r="C383">
        <v>6.5</v>
      </c>
      <c r="D383">
        <v>0</v>
      </c>
      <c r="E383" t="s">
        <v>6132</v>
      </c>
    </row>
    <row r="384" spans="1:5" x14ac:dyDescent="0.35">
      <c r="A384" t="s">
        <v>6089</v>
      </c>
      <c r="B384" s="16">
        <v>45840</v>
      </c>
      <c r="C384">
        <v>6.4</v>
      </c>
      <c r="D384">
        <v>0</v>
      </c>
      <c r="E384" t="s">
        <v>6132</v>
      </c>
    </row>
    <row r="385" spans="1:5" x14ac:dyDescent="0.35">
      <c r="A385" t="s">
        <v>6089</v>
      </c>
      <c r="B385" s="16">
        <v>45842</v>
      </c>
      <c r="C385">
        <v>4</v>
      </c>
      <c r="D385">
        <v>0</v>
      </c>
      <c r="E385" t="s">
        <v>6134</v>
      </c>
    </row>
    <row r="386" spans="1:5" x14ac:dyDescent="0.35">
      <c r="A386" t="s">
        <v>6089</v>
      </c>
      <c r="B386" s="16">
        <v>45846</v>
      </c>
      <c r="C386">
        <v>5.4</v>
      </c>
      <c r="D386">
        <v>0</v>
      </c>
      <c r="E386" t="s">
        <v>6132</v>
      </c>
    </row>
    <row r="387" spans="1:5" x14ac:dyDescent="0.35">
      <c r="A387" t="s">
        <v>6089</v>
      </c>
      <c r="B387" s="16">
        <v>45853</v>
      </c>
      <c r="C387">
        <v>8.9</v>
      </c>
      <c r="D387">
        <v>0</v>
      </c>
      <c r="E387" t="s">
        <v>6132</v>
      </c>
    </row>
    <row r="388" spans="1:5" x14ac:dyDescent="0.35">
      <c r="A388" t="s">
        <v>6089</v>
      </c>
      <c r="B388" s="16">
        <v>45856</v>
      </c>
      <c r="C388">
        <v>8.3000000000000007</v>
      </c>
      <c r="D388">
        <v>0</v>
      </c>
      <c r="E388" t="s">
        <v>6132</v>
      </c>
    </row>
    <row r="389" spans="1:5" x14ac:dyDescent="0.35">
      <c r="A389" t="s">
        <v>6089</v>
      </c>
      <c r="B389" s="16">
        <v>45861</v>
      </c>
      <c r="C389">
        <v>9</v>
      </c>
      <c r="D389">
        <v>0</v>
      </c>
      <c r="E389" t="s">
        <v>6132</v>
      </c>
    </row>
    <row r="390" spans="1:5" x14ac:dyDescent="0.35">
      <c r="A390" t="s">
        <v>6089</v>
      </c>
      <c r="B390" s="16">
        <v>45867</v>
      </c>
      <c r="C390">
        <v>7.1</v>
      </c>
      <c r="D390">
        <v>0</v>
      </c>
      <c r="E390" t="s">
        <v>6132</v>
      </c>
    </row>
    <row r="391" spans="1:5" x14ac:dyDescent="0.35">
      <c r="A391" t="s">
        <v>6089</v>
      </c>
      <c r="B391" s="16">
        <v>45869</v>
      </c>
      <c r="C391">
        <v>5.5</v>
      </c>
      <c r="D391">
        <v>0</v>
      </c>
      <c r="E391" t="s">
        <v>6132</v>
      </c>
    </row>
    <row r="392" spans="1:5" x14ac:dyDescent="0.35">
      <c r="A392" t="s">
        <v>6089</v>
      </c>
      <c r="B392" s="16">
        <v>45874</v>
      </c>
      <c r="C392">
        <v>4.7</v>
      </c>
      <c r="D392">
        <v>0</v>
      </c>
      <c r="E392" t="s">
        <v>6132</v>
      </c>
    </row>
    <row r="393" spans="1:5" x14ac:dyDescent="0.35">
      <c r="A393" t="s">
        <v>6089</v>
      </c>
      <c r="B393" s="16">
        <v>45875</v>
      </c>
      <c r="C393">
        <v>4.3</v>
      </c>
      <c r="D393">
        <v>0</v>
      </c>
      <c r="E393" t="s">
        <v>6132</v>
      </c>
    </row>
    <row r="394" spans="1:5" x14ac:dyDescent="0.35">
      <c r="A394" t="s">
        <v>6089</v>
      </c>
      <c r="B394" s="16">
        <v>45883</v>
      </c>
      <c r="C394">
        <v>4.7</v>
      </c>
      <c r="D394">
        <v>0</v>
      </c>
      <c r="E394" t="s">
        <v>6132</v>
      </c>
    </row>
    <row r="395" spans="1:5" x14ac:dyDescent="0.35">
      <c r="A395" t="s">
        <v>6089</v>
      </c>
      <c r="B395" s="16">
        <v>45897</v>
      </c>
      <c r="C395">
        <v>7.8</v>
      </c>
      <c r="D395">
        <v>0</v>
      </c>
      <c r="E395" t="s">
        <v>6134</v>
      </c>
    </row>
    <row r="396" spans="1:5" x14ac:dyDescent="0.35">
      <c r="A396" t="s">
        <v>6089</v>
      </c>
      <c r="B396" s="16">
        <v>45901</v>
      </c>
      <c r="C396">
        <v>6.5</v>
      </c>
      <c r="D396">
        <v>0</v>
      </c>
      <c r="E396" t="s">
        <v>6133</v>
      </c>
    </row>
    <row r="397" spans="1:5" x14ac:dyDescent="0.35">
      <c r="A397" t="s">
        <v>6089</v>
      </c>
      <c r="B397" s="16">
        <v>45902</v>
      </c>
      <c r="C397">
        <v>6.1</v>
      </c>
      <c r="D397">
        <v>0</v>
      </c>
      <c r="E397" t="s">
        <v>6132</v>
      </c>
    </row>
    <row r="398" spans="1:5" x14ac:dyDescent="0.35">
      <c r="A398" t="s">
        <v>6089</v>
      </c>
      <c r="B398" s="16">
        <v>45905</v>
      </c>
      <c r="C398">
        <v>8.1</v>
      </c>
      <c r="D398">
        <v>0</v>
      </c>
      <c r="E398" t="s">
        <v>6132</v>
      </c>
    </row>
    <row r="399" spans="1:5" x14ac:dyDescent="0.35">
      <c r="A399" t="s">
        <v>6089</v>
      </c>
      <c r="B399" s="16">
        <v>45909</v>
      </c>
      <c r="C399">
        <v>5.4</v>
      </c>
      <c r="D399">
        <v>0</v>
      </c>
      <c r="E399" t="s">
        <v>6132</v>
      </c>
    </row>
    <row r="400" spans="1:5" x14ac:dyDescent="0.35">
      <c r="A400" t="s">
        <v>6089</v>
      </c>
      <c r="B400" s="16">
        <v>45910</v>
      </c>
      <c r="C400">
        <v>4.8</v>
      </c>
      <c r="D400">
        <v>0</v>
      </c>
      <c r="E400" t="s">
        <v>6132</v>
      </c>
    </row>
    <row r="401" spans="1:5" x14ac:dyDescent="0.35">
      <c r="A401" t="s">
        <v>6089</v>
      </c>
      <c r="B401" s="16">
        <v>45911</v>
      </c>
      <c r="C401">
        <v>8.1999999999999993</v>
      </c>
      <c r="D401">
        <v>0</v>
      </c>
      <c r="E401" t="s">
        <v>6132</v>
      </c>
    </row>
    <row r="402" spans="1:5" x14ac:dyDescent="0.35">
      <c r="A402" t="s">
        <v>6089</v>
      </c>
      <c r="B402" s="16">
        <v>45912</v>
      </c>
      <c r="C402">
        <v>6.8</v>
      </c>
      <c r="D402">
        <v>0</v>
      </c>
      <c r="E402" t="s">
        <v>6132</v>
      </c>
    </row>
    <row r="403" spans="1:5" x14ac:dyDescent="0.35">
      <c r="A403" t="s">
        <v>6089</v>
      </c>
      <c r="B403" s="16">
        <v>45922</v>
      </c>
      <c r="C403">
        <v>6.3</v>
      </c>
      <c r="D403">
        <v>0</v>
      </c>
      <c r="E403" t="s">
        <v>6132</v>
      </c>
    </row>
    <row r="404" spans="1:5" x14ac:dyDescent="0.35">
      <c r="A404" t="s">
        <v>6089</v>
      </c>
      <c r="B404" s="16">
        <v>45926</v>
      </c>
      <c r="C404">
        <v>4.5999999999999996</v>
      </c>
      <c r="D404">
        <v>0</v>
      </c>
      <c r="E404" t="s">
        <v>6133</v>
      </c>
    </row>
    <row r="405" spans="1:5" x14ac:dyDescent="0.35">
      <c r="A405" t="s">
        <v>6089</v>
      </c>
      <c r="B405" s="16">
        <v>45930</v>
      </c>
      <c r="C405">
        <v>8.1999999999999993</v>
      </c>
      <c r="D405">
        <v>0</v>
      </c>
      <c r="E405" t="s">
        <v>6132</v>
      </c>
    </row>
    <row r="406" spans="1:5" x14ac:dyDescent="0.35">
      <c r="A406" t="s">
        <v>6089</v>
      </c>
      <c r="B406" s="16">
        <v>45933</v>
      </c>
      <c r="C406">
        <v>8.5</v>
      </c>
      <c r="D406">
        <v>0</v>
      </c>
      <c r="E406" t="s">
        <v>6132</v>
      </c>
    </row>
    <row r="407" spans="1:5" x14ac:dyDescent="0.35">
      <c r="A407" t="s">
        <v>6089</v>
      </c>
      <c r="B407" s="16">
        <v>45936</v>
      </c>
      <c r="C407">
        <v>5.3</v>
      </c>
      <c r="D407">
        <v>0</v>
      </c>
      <c r="E407" t="s">
        <v>6132</v>
      </c>
    </row>
    <row r="408" spans="1:5" x14ac:dyDescent="0.35">
      <c r="A408" t="s">
        <v>6089</v>
      </c>
      <c r="B408" s="16">
        <v>45937</v>
      </c>
      <c r="C408">
        <v>7.1</v>
      </c>
      <c r="D408">
        <v>0</v>
      </c>
      <c r="E408" t="s">
        <v>6132</v>
      </c>
    </row>
    <row r="409" spans="1:5" x14ac:dyDescent="0.35">
      <c r="A409" t="s">
        <v>6089</v>
      </c>
      <c r="B409" s="16">
        <v>45939</v>
      </c>
      <c r="C409">
        <v>4.2</v>
      </c>
      <c r="D409">
        <v>0</v>
      </c>
      <c r="E409" t="s">
        <v>6132</v>
      </c>
    </row>
    <row r="410" spans="1:5" x14ac:dyDescent="0.35">
      <c r="A410" t="s">
        <v>6089</v>
      </c>
      <c r="B410" s="16">
        <v>45943</v>
      </c>
      <c r="C410">
        <v>7.6</v>
      </c>
      <c r="D410">
        <v>0</v>
      </c>
      <c r="E410" t="s">
        <v>6132</v>
      </c>
    </row>
    <row r="411" spans="1:5" x14ac:dyDescent="0.35">
      <c r="A411" t="s">
        <v>6089</v>
      </c>
      <c r="B411" s="16">
        <v>45945</v>
      </c>
      <c r="C411">
        <v>4.9000000000000004</v>
      </c>
      <c r="D411">
        <v>0</v>
      </c>
      <c r="E411" t="s">
        <v>6132</v>
      </c>
    </row>
    <row r="412" spans="1:5" x14ac:dyDescent="0.35">
      <c r="A412" t="s">
        <v>6089</v>
      </c>
      <c r="B412" s="16">
        <v>45950</v>
      </c>
      <c r="C412">
        <v>7.2</v>
      </c>
      <c r="D412">
        <v>0</v>
      </c>
      <c r="E412" t="s">
        <v>6132</v>
      </c>
    </row>
    <row r="413" spans="1:5" x14ac:dyDescent="0.35">
      <c r="A413" t="s">
        <v>6089</v>
      </c>
      <c r="B413" s="16">
        <v>45951</v>
      </c>
      <c r="C413">
        <v>6.7</v>
      </c>
      <c r="D413">
        <v>0</v>
      </c>
      <c r="E413" t="s">
        <v>6133</v>
      </c>
    </row>
    <row r="414" spans="1:5" x14ac:dyDescent="0.35">
      <c r="A414" t="s">
        <v>6089</v>
      </c>
      <c r="B414" s="16">
        <v>45952</v>
      </c>
      <c r="C414">
        <v>4.3</v>
      </c>
      <c r="D414">
        <v>0</v>
      </c>
      <c r="E414" t="s">
        <v>6132</v>
      </c>
    </row>
    <row r="415" spans="1:5" x14ac:dyDescent="0.35">
      <c r="A415" t="s">
        <v>6089</v>
      </c>
      <c r="B415" s="16">
        <v>45954</v>
      </c>
      <c r="C415">
        <v>5.7</v>
      </c>
      <c r="D415">
        <v>0</v>
      </c>
      <c r="E415" t="s">
        <v>6133</v>
      </c>
    </row>
    <row r="416" spans="1:5" x14ac:dyDescent="0.35">
      <c r="A416" t="s">
        <v>6089</v>
      </c>
      <c r="B416" s="16">
        <v>45964</v>
      </c>
      <c r="C416">
        <v>7.6</v>
      </c>
      <c r="D416">
        <v>0</v>
      </c>
      <c r="E416" t="s">
        <v>6132</v>
      </c>
    </row>
    <row r="417" spans="1:5" x14ac:dyDescent="0.35">
      <c r="A417" t="s">
        <v>6089</v>
      </c>
      <c r="B417" s="16">
        <v>45965</v>
      </c>
      <c r="C417">
        <v>4.9000000000000004</v>
      </c>
      <c r="D417">
        <v>0</v>
      </c>
      <c r="E417" t="s">
        <v>6132</v>
      </c>
    </row>
    <row r="418" spans="1:5" x14ac:dyDescent="0.35">
      <c r="A418" t="s">
        <v>6089</v>
      </c>
      <c r="B418" s="16">
        <v>45967</v>
      </c>
      <c r="C418">
        <v>8.4</v>
      </c>
      <c r="D418">
        <v>0</v>
      </c>
      <c r="E418" t="s">
        <v>6132</v>
      </c>
    </row>
    <row r="419" spans="1:5" x14ac:dyDescent="0.35">
      <c r="A419" t="s">
        <v>6089</v>
      </c>
      <c r="B419" s="16">
        <v>45972</v>
      </c>
      <c r="C419">
        <v>7.4</v>
      </c>
      <c r="D419">
        <v>0</v>
      </c>
      <c r="E419" t="s">
        <v>6132</v>
      </c>
    </row>
    <row r="420" spans="1:5" x14ac:dyDescent="0.35">
      <c r="A420" t="s">
        <v>6089</v>
      </c>
      <c r="B420" s="16">
        <v>45975</v>
      </c>
      <c r="C420">
        <v>4.9000000000000004</v>
      </c>
      <c r="D420">
        <v>0</v>
      </c>
      <c r="E420" t="s">
        <v>6132</v>
      </c>
    </row>
    <row r="421" spans="1:5" x14ac:dyDescent="0.35">
      <c r="A421" t="s">
        <v>6089</v>
      </c>
      <c r="B421" s="16">
        <v>45978</v>
      </c>
      <c r="C421">
        <v>5.0999999999999996</v>
      </c>
      <c r="D421">
        <v>0</v>
      </c>
      <c r="E421" t="s">
        <v>6132</v>
      </c>
    </row>
    <row r="422" spans="1:5" x14ac:dyDescent="0.35">
      <c r="A422" t="s">
        <v>6089</v>
      </c>
      <c r="B422" s="16">
        <v>45982</v>
      </c>
      <c r="C422">
        <v>8.6999999999999993</v>
      </c>
      <c r="D422">
        <v>0</v>
      </c>
      <c r="E422" t="s">
        <v>6134</v>
      </c>
    </row>
    <row r="423" spans="1:5" x14ac:dyDescent="0.35">
      <c r="A423" t="s">
        <v>6089</v>
      </c>
      <c r="B423" s="16">
        <v>45986</v>
      </c>
      <c r="C423">
        <v>6.7</v>
      </c>
      <c r="D423">
        <v>0</v>
      </c>
      <c r="E423" t="s">
        <v>6132</v>
      </c>
    </row>
    <row r="424" spans="1:5" x14ac:dyDescent="0.35">
      <c r="A424" t="s">
        <v>6089</v>
      </c>
      <c r="B424" s="16">
        <v>45992</v>
      </c>
      <c r="C424">
        <v>5.4</v>
      </c>
      <c r="D424">
        <v>0</v>
      </c>
      <c r="E424" t="s">
        <v>6132</v>
      </c>
    </row>
    <row r="425" spans="1:5" x14ac:dyDescent="0.35">
      <c r="A425" t="s">
        <v>6089</v>
      </c>
      <c r="B425" s="16">
        <v>45994</v>
      </c>
      <c r="C425">
        <v>8.6999999999999993</v>
      </c>
      <c r="D425">
        <v>0</v>
      </c>
      <c r="E425" t="s">
        <v>6132</v>
      </c>
    </row>
    <row r="426" spans="1:5" x14ac:dyDescent="0.35">
      <c r="A426" t="s">
        <v>6089</v>
      </c>
      <c r="B426" s="16">
        <v>45995</v>
      </c>
      <c r="C426">
        <v>8.3000000000000007</v>
      </c>
      <c r="D426">
        <v>0</v>
      </c>
      <c r="E426" t="s">
        <v>6132</v>
      </c>
    </row>
    <row r="427" spans="1:5" x14ac:dyDescent="0.35">
      <c r="A427" t="s">
        <v>6089</v>
      </c>
      <c r="B427" s="16">
        <v>45999</v>
      </c>
      <c r="C427">
        <v>6.5</v>
      </c>
      <c r="D427">
        <v>0</v>
      </c>
      <c r="E427" t="s">
        <v>6133</v>
      </c>
    </row>
    <row r="428" spans="1:5" x14ac:dyDescent="0.35">
      <c r="A428" t="s">
        <v>6089</v>
      </c>
      <c r="B428" s="16">
        <v>46001</v>
      </c>
      <c r="C428">
        <v>7</v>
      </c>
      <c r="D428">
        <v>0</v>
      </c>
      <c r="E428" t="s">
        <v>6132</v>
      </c>
    </row>
    <row r="429" spans="1:5" x14ac:dyDescent="0.35">
      <c r="A429" t="s">
        <v>6089</v>
      </c>
      <c r="B429" s="16">
        <v>46007</v>
      </c>
      <c r="C429">
        <v>8</v>
      </c>
      <c r="D429">
        <v>0</v>
      </c>
      <c r="E429" t="s">
        <v>6133</v>
      </c>
    </row>
    <row r="430" spans="1:5" x14ac:dyDescent="0.35">
      <c r="A430" t="s">
        <v>6089</v>
      </c>
      <c r="B430" s="16">
        <v>46008</v>
      </c>
      <c r="C430">
        <v>7</v>
      </c>
      <c r="D430">
        <v>0</v>
      </c>
      <c r="E430" t="s">
        <v>6132</v>
      </c>
    </row>
    <row r="431" spans="1:5" x14ac:dyDescent="0.35">
      <c r="A431" t="s">
        <v>6089</v>
      </c>
      <c r="B431" s="16">
        <v>46010</v>
      </c>
      <c r="C431">
        <v>5.4</v>
      </c>
      <c r="D431">
        <v>0</v>
      </c>
      <c r="E431" t="s">
        <v>6132</v>
      </c>
    </row>
    <row r="432" spans="1:5" x14ac:dyDescent="0.35">
      <c r="A432" t="s">
        <v>6089</v>
      </c>
      <c r="B432" s="16">
        <v>46013</v>
      </c>
      <c r="C432">
        <v>5.2</v>
      </c>
      <c r="D432">
        <v>0</v>
      </c>
      <c r="E432" t="s">
        <v>6132</v>
      </c>
    </row>
    <row r="433" spans="1:5" x14ac:dyDescent="0.35">
      <c r="A433" t="s">
        <v>6089</v>
      </c>
      <c r="B433" s="16">
        <v>46016</v>
      </c>
      <c r="C433">
        <v>5.8</v>
      </c>
      <c r="D433">
        <v>0</v>
      </c>
      <c r="E433" t="s">
        <v>6132</v>
      </c>
    </row>
    <row r="434" spans="1:5" x14ac:dyDescent="0.35">
      <c r="A434" t="s">
        <v>6089</v>
      </c>
      <c r="B434" s="16">
        <v>46017</v>
      </c>
      <c r="C434">
        <v>7.2</v>
      </c>
      <c r="D434">
        <v>0</v>
      </c>
      <c r="E434" t="s">
        <v>6132</v>
      </c>
    </row>
    <row r="435" spans="1:5" x14ac:dyDescent="0.35">
      <c r="A435" t="s">
        <v>6089</v>
      </c>
      <c r="B435" s="16">
        <v>46021</v>
      </c>
      <c r="C435">
        <v>4.9000000000000004</v>
      </c>
      <c r="D435">
        <v>0</v>
      </c>
      <c r="E435" t="s">
        <v>6132</v>
      </c>
    </row>
    <row r="436" spans="1:5" x14ac:dyDescent="0.35">
      <c r="A436" t="s">
        <v>6089</v>
      </c>
      <c r="B436" s="16">
        <v>46022</v>
      </c>
      <c r="C436">
        <v>7.1</v>
      </c>
      <c r="D436">
        <v>0</v>
      </c>
      <c r="E436" t="s">
        <v>6133</v>
      </c>
    </row>
    <row r="437" spans="1:5" x14ac:dyDescent="0.35">
      <c r="A437" t="s">
        <v>130</v>
      </c>
      <c r="B437" s="16">
        <v>45658</v>
      </c>
      <c r="C437">
        <v>4.2</v>
      </c>
      <c r="D437">
        <v>0</v>
      </c>
      <c r="E437" t="s">
        <v>6133</v>
      </c>
    </row>
    <row r="438" spans="1:5" x14ac:dyDescent="0.35">
      <c r="A438" t="s">
        <v>130</v>
      </c>
      <c r="B438" s="16">
        <v>45659</v>
      </c>
      <c r="C438">
        <v>7.5</v>
      </c>
      <c r="D438">
        <v>1</v>
      </c>
      <c r="E438" t="s">
        <v>6132</v>
      </c>
    </row>
    <row r="439" spans="1:5" x14ac:dyDescent="0.35">
      <c r="A439" t="s">
        <v>130</v>
      </c>
      <c r="B439" s="16">
        <v>45663</v>
      </c>
      <c r="C439">
        <v>7.5</v>
      </c>
      <c r="D439">
        <v>2</v>
      </c>
      <c r="E439" t="s">
        <v>6132</v>
      </c>
    </row>
    <row r="440" spans="1:5" x14ac:dyDescent="0.35">
      <c r="A440" t="s">
        <v>130</v>
      </c>
      <c r="B440" s="16">
        <v>45665</v>
      </c>
      <c r="C440">
        <v>7.5</v>
      </c>
      <c r="D440">
        <v>0</v>
      </c>
      <c r="E440" t="s">
        <v>6132</v>
      </c>
    </row>
    <row r="441" spans="1:5" x14ac:dyDescent="0.35">
      <c r="A441" t="s">
        <v>130</v>
      </c>
      <c r="B441" s="16">
        <v>45666</v>
      </c>
      <c r="C441">
        <v>4.0999999999999996</v>
      </c>
      <c r="D441">
        <v>0</v>
      </c>
      <c r="E441" t="s">
        <v>6133</v>
      </c>
    </row>
    <row r="442" spans="1:5" x14ac:dyDescent="0.35">
      <c r="A442" t="s">
        <v>130</v>
      </c>
      <c r="B442" s="16">
        <v>45667</v>
      </c>
      <c r="C442">
        <v>5.8</v>
      </c>
      <c r="D442">
        <v>1</v>
      </c>
      <c r="E442" t="s">
        <v>6132</v>
      </c>
    </row>
    <row r="443" spans="1:5" x14ac:dyDescent="0.35">
      <c r="A443" t="s">
        <v>130</v>
      </c>
      <c r="B443" s="16">
        <v>45670</v>
      </c>
      <c r="C443">
        <v>6.4</v>
      </c>
      <c r="D443">
        <v>1</v>
      </c>
      <c r="E443" t="s">
        <v>6132</v>
      </c>
    </row>
    <row r="444" spans="1:5" x14ac:dyDescent="0.35">
      <c r="A444" t="s">
        <v>130</v>
      </c>
      <c r="B444" s="16">
        <v>45671</v>
      </c>
      <c r="D444">
        <v>0</v>
      </c>
      <c r="E444" t="s">
        <v>6132</v>
      </c>
    </row>
    <row r="445" spans="1:5" x14ac:dyDescent="0.35">
      <c r="A445" t="s">
        <v>130</v>
      </c>
      <c r="B445" s="16">
        <v>45672</v>
      </c>
      <c r="C445">
        <v>4.5999999999999996</v>
      </c>
      <c r="D445">
        <v>1</v>
      </c>
      <c r="E445" t="s">
        <v>6132</v>
      </c>
    </row>
    <row r="446" spans="1:5" x14ac:dyDescent="0.35">
      <c r="A446" t="s">
        <v>130</v>
      </c>
      <c r="B446" s="16">
        <v>45681</v>
      </c>
      <c r="C446">
        <v>4.9000000000000004</v>
      </c>
      <c r="D446">
        <v>1</v>
      </c>
      <c r="E446" t="s">
        <v>6132</v>
      </c>
    </row>
    <row r="447" spans="1:5" x14ac:dyDescent="0.35">
      <c r="A447" t="s">
        <v>130</v>
      </c>
      <c r="B447" s="16">
        <v>45687</v>
      </c>
      <c r="C447">
        <v>7.8</v>
      </c>
      <c r="D447">
        <v>1</v>
      </c>
      <c r="E447" t="s">
        <v>6132</v>
      </c>
    </row>
    <row r="448" spans="1:5" x14ac:dyDescent="0.35">
      <c r="A448" t="s">
        <v>130</v>
      </c>
      <c r="B448" s="16">
        <v>45688</v>
      </c>
      <c r="C448">
        <v>5.7</v>
      </c>
      <c r="D448">
        <v>0</v>
      </c>
      <c r="E448" t="s">
        <v>6133</v>
      </c>
    </row>
    <row r="449" spans="1:5" x14ac:dyDescent="0.35">
      <c r="A449" t="s">
        <v>130</v>
      </c>
      <c r="B449" s="16">
        <v>45694</v>
      </c>
      <c r="C449">
        <v>9</v>
      </c>
      <c r="D449">
        <v>0</v>
      </c>
      <c r="E449" t="s">
        <v>6132</v>
      </c>
    </row>
    <row r="450" spans="1:5" x14ac:dyDescent="0.35">
      <c r="A450" t="s">
        <v>130</v>
      </c>
      <c r="B450" s="16">
        <v>45698</v>
      </c>
      <c r="C450">
        <v>7.5</v>
      </c>
      <c r="D450">
        <v>0</v>
      </c>
      <c r="E450" t="s">
        <v>6132</v>
      </c>
    </row>
    <row r="451" spans="1:5" x14ac:dyDescent="0.35">
      <c r="A451" t="s">
        <v>130</v>
      </c>
      <c r="B451" s="16">
        <v>45701</v>
      </c>
      <c r="C451">
        <v>5.4</v>
      </c>
      <c r="D451">
        <v>1</v>
      </c>
      <c r="E451" t="s">
        <v>6132</v>
      </c>
    </row>
    <row r="452" spans="1:5" x14ac:dyDescent="0.35">
      <c r="A452" t="s">
        <v>130</v>
      </c>
      <c r="B452" s="16">
        <v>45707</v>
      </c>
      <c r="C452">
        <v>5.4</v>
      </c>
      <c r="D452">
        <v>2</v>
      </c>
      <c r="E452" t="s">
        <v>6132</v>
      </c>
    </row>
    <row r="453" spans="1:5" x14ac:dyDescent="0.35">
      <c r="A453" t="s">
        <v>130</v>
      </c>
      <c r="B453" s="16">
        <v>45713</v>
      </c>
      <c r="C453">
        <v>4.5999999999999996</v>
      </c>
      <c r="D453">
        <v>1</v>
      </c>
      <c r="E453" t="s">
        <v>6132</v>
      </c>
    </row>
    <row r="454" spans="1:5" x14ac:dyDescent="0.35">
      <c r="A454" t="s">
        <v>130</v>
      </c>
      <c r="B454" s="16">
        <v>45714</v>
      </c>
      <c r="C454">
        <v>7.6</v>
      </c>
      <c r="D454">
        <v>3</v>
      </c>
      <c r="E454" t="s">
        <v>6132</v>
      </c>
    </row>
    <row r="455" spans="1:5" x14ac:dyDescent="0.35">
      <c r="A455" t="s">
        <v>130</v>
      </c>
      <c r="B455" s="16">
        <v>45715</v>
      </c>
      <c r="C455">
        <v>6.9</v>
      </c>
      <c r="D455">
        <v>0</v>
      </c>
      <c r="E455" t="s">
        <v>6134</v>
      </c>
    </row>
    <row r="456" spans="1:5" x14ac:dyDescent="0.35">
      <c r="A456" t="s">
        <v>130</v>
      </c>
      <c r="B456" s="16">
        <v>45716</v>
      </c>
      <c r="C456">
        <v>5.3</v>
      </c>
      <c r="D456">
        <v>3</v>
      </c>
      <c r="E456" t="s">
        <v>6132</v>
      </c>
    </row>
    <row r="457" spans="1:5" x14ac:dyDescent="0.35">
      <c r="A457" t="s">
        <v>130</v>
      </c>
      <c r="B457" s="16">
        <v>45719</v>
      </c>
      <c r="C457">
        <v>7.7</v>
      </c>
      <c r="D457">
        <v>1</v>
      </c>
      <c r="E457" t="s">
        <v>6132</v>
      </c>
    </row>
    <row r="458" spans="1:5" x14ac:dyDescent="0.35">
      <c r="A458" t="s">
        <v>130</v>
      </c>
      <c r="B458" s="16">
        <v>45720</v>
      </c>
      <c r="C458">
        <v>4.5999999999999996</v>
      </c>
      <c r="D458">
        <v>2</v>
      </c>
      <c r="E458" t="s">
        <v>6132</v>
      </c>
    </row>
    <row r="459" spans="1:5" x14ac:dyDescent="0.35">
      <c r="A459" t="s">
        <v>130</v>
      </c>
      <c r="B459" s="16">
        <v>45721</v>
      </c>
      <c r="C459">
        <v>8.4</v>
      </c>
      <c r="D459">
        <v>1</v>
      </c>
      <c r="E459" t="s">
        <v>6132</v>
      </c>
    </row>
    <row r="460" spans="1:5" x14ac:dyDescent="0.35">
      <c r="A460" t="s">
        <v>130</v>
      </c>
      <c r="B460" s="16">
        <v>45730</v>
      </c>
      <c r="C460">
        <v>5.9</v>
      </c>
      <c r="D460">
        <v>0</v>
      </c>
      <c r="E460" t="s">
        <v>6132</v>
      </c>
    </row>
    <row r="461" spans="1:5" x14ac:dyDescent="0.35">
      <c r="A461" t="s">
        <v>130</v>
      </c>
      <c r="B461" s="16">
        <v>45736</v>
      </c>
      <c r="C461">
        <v>4.5</v>
      </c>
      <c r="D461">
        <v>0</v>
      </c>
      <c r="E461" t="s">
        <v>6132</v>
      </c>
    </row>
    <row r="462" spans="1:5" x14ac:dyDescent="0.35">
      <c r="A462" t="s">
        <v>130</v>
      </c>
      <c r="B462" s="16">
        <v>45742</v>
      </c>
      <c r="C462">
        <v>6.1</v>
      </c>
      <c r="D462">
        <v>0</v>
      </c>
      <c r="E462" t="s">
        <v>6132</v>
      </c>
    </row>
    <row r="463" spans="1:5" x14ac:dyDescent="0.35">
      <c r="A463" t="s">
        <v>130</v>
      </c>
      <c r="B463" s="16">
        <v>45743</v>
      </c>
      <c r="C463">
        <v>8.6</v>
      </c>
      <c r="D463">
        <v>3</v>
      </c>
      <c r="E463" t="s">
        <v>6132</v>
      </c>
    </row>
    <row r="464" spans="1:5" x14ac:dyDescent="0.35">
      <c r="A464" t="s">
        <v>130</v>
      </c>
      <c r="B464" s="16">
        <v>45749</v>
      </c>
      <c r="C464">
        <v>4</v>
      </c>
      <c r="D464">
        <v>0</v>
      </c>
      <c r="E464" t="s">
        <v>6134</v>
      </c>
    </row>
    <row r="465" spans="1:5" x14ac:dyDescent="0.35">
      <c r="A465" t="s">
        <v>130</v>
      </c>
      <c r="B465" s="16">
        <v>45750</v>
      </c>
      <c r="C465">
        <v>7.6</v>
      </c>
      <c r="D465">
        <v>2</v>
      </c>
      <c r="E465" t="s">
        <v>6132</v>
      </c>
    </row>
    <row r="466" spans="1:5" x14ac:dyDescent="0.35">
      <c r="A466" t="s">
        <v>130</v>
      </c>
      <c r="B466" s="16">
        <v>45751</v>
      </c>
      <c r="C466">
        <v>7.4</v>
      </c>
      <c r="D466">
        <v>1</v>
      </c>
      <c r="E466" t="s">
        <v>6132</v>
      </c>
    </row>
    <row r="467" spans="1:5" x14ac:dyDescent="0.35">
      <c r="A467" t="s">
        <v>130</v>
      </c>
      <c r="B467" s="16">
        <v>45754</v>
      </c>
      <c r="C467">
        <v>7.6</v>
      </c>
      <c r="D467">
        <v>0</v>
      </c>
      <c r="E467" t="s">
        <v>6132</v>
      </c>
    </row>
    <row r="468" spans="1:5" x14ac:dyDescent="0.35">
      <c r="A468" t="s">
        <v>130</v>
      </c>
      <c r="B468" s="16">
        <v>45756</v>
      </c>
      <c r="C468">
        <v>5.7</v>
      </c>
      <c r="D468">
        <v>2</v>
      </c>
      <c r="E468" t="s">
        <v>6132</v>
      </c>
    </row>
    <row r="469" spans="1:5" x14ac:dyDescent="0.35">
      <c r="A469" t="s">
        <v>130</v>
      </c>
      <c r="B469" s="16">
        <v>45757</v>
      </c>
      <c r="C469">
        <v>4.7</v>
      </c>
      <c r="D469">
        <v>1</v>
      </c>
      <c r="E469" t="s">
        <v>6132</v>
      </c>
    </row>
    <row r="470" spans="1:5" x14ac:dyDescent="0.35">
      <c r="A470" t="s">
        <v>130</v>
      </c>
      <c r="B470" s="16">
        <v>45758</v>
      </c>
      <c r="C470">
        <v>6.2</v>
      </c>
      <c r="D470">
        <v>1</v>
      </c>
      <c r="E470" t="s">
        <v>6132</v>
      </c>
    </row>
    <row r="471" spans="1:5" x14ac:dyDescent="0.35">
      <c r="A471" t="s">
        <v>130</v>
      </c>
      <c r="B471" s="16">
        <v>45761</v>
      </c>
      <c r="C471">
        <v>8.1999999999999993</v>
      </c>
      <c r="D471">
        <v>0</v>
      </c>
      <c r="E471" t="s">
        <v>6132</v>
      </c>
    </row>
    <row r="472" spans="1:5" x14ac:dyDescent="0.35">
      <c r="A472" t="s">
        <v>130</v>
      </c>
      <c r="B472" s="16">
        <v>45764</v>
      </c>
      <c r="C472">
        <v>6</v>
      </c>
      <c r="D472">
        <v>1</v>
      </c>
      <c r="E472" t="s">
        <v>6132</v>
      </c>
    </row>
    <row r="473" spans="1:5" x14ac:dyDescent="0.35">
      <c r="A473" t="s">
        <v>130</v>
      </c>
      <c r="B473" s="16">
        <v>45765</v>
      </c>
      <c r="C473">
        <v>6.7</v>
      </c>
      <c r="D473">
        <v>1</v>
      </c>
      <c r="E473" t="s">
        <v>6132</v>
      </c>
    </row>
    <row r="474" spans="1:5" x14ac:dyDescent="0.35">
      <c r="A474" t="s">
        <v>130</v>
      </c>
      <c r="B474" s="16">
        <v>45768</v>
      </c>
      <c r="C474">
        <v>4.8</v>
      </c>
      <c r="D474">
        <v>0</v>
      </c>
      <c r="E474" t="s">
        <v>6132</v>
      </c>
    </row>
    <row r="475" spans="1:5" x14ac:dyDescent="0.35">
      <c r="A475" t="s">
        <v>130</v>
      </c>
      <c r="B475" s="16">
        <v>45769</v>
      </c>
      <c r="C475">
        <v>7.1</v>
      </c>
      <c r="D475">
        <v>0</v>
      </c>
      <c r="E475" t="s">
        <v>6132</v>
      </c>
    </row>
    <row r="476" spans="1:5" x14ac:dyDescent="0.35">
      <c r="A476" t="s">
        <v>130</v>
      </c>
      <c r="B476" s="16">
        <v>45770</v>
      </c>
      <c r="C476">
        <v>4.8</v>
      </c>
      <c r="D476">
        <v>2</v>
      </c>
      <c r="E476" t="s">
        <v>6132</v>
      </c>
    </row>
    <row r="477" spans="1:5" x14ac:dyDescent="0.35">
      <c r="A477" t="s">
        <v>130</v>
      </c>
      <c r="B477" s="16">
        <v>45771</v>
      </c>
      <c r="C477">
        <v>8.4</v>
      </c>
      <c r="D477">
        <v>0</v>
      </c>
      <c r="E477" t="s">
        <v>6132</v>
      </c>
    </row>
    <row r="478" spans="1:5" x14ac:dyDescent="0.35">
      <c r="A478" t="s">
        <v>130</v>
      </c>
      <c r="B478" s="16">
        <v>45772</v>
      </c>
      <c r="C478">
        <v>8.1999999999999993</v>
      </c>
      <c r="D478">
        <v>0</v>
      </c>
      <c r="E478" t="s">
        <v>6132</v>
      </c>
    </row>
    <row r="479" spans="1:5" x14ac:dyDescent="0.35">
      <c r="A479" t="s">
        <v>130</v>
      </c>
      <c r="B479" s="16">
        <v>45775</v>
      </c>
      <c r="C479">
        <v>4.5999999999999996</v>
      </c>
      <c r="D479">
        <v>1</v>
      </c>
      <c r="E479" t="s">
        <v>6132</v>
      </c>
    </row>
    <row r="480" spans="1:5" x14ac:dyDescent="0.35">
      <c r="A480" t="s">
        <v>130</v>
      </c>
      <c r="B480" s="16">
        <v>45778</v>
      </c>
      <c r="C480">
        <v>6.2</v>
      </c>
      <c r="D480">
        <v>2</v>
      </c>
      <c r="E480" t="s">
        <v>6132</v>
      </c>
    </row>
    <row r="481" spans="1:5" x14ac:dyDescent="0.35">
      <c r="A481" t="s">
        <v>130</v>
      </c>
      <c r="B481" s="16">
        <v>45779</v>
      </c>
      <c r="C481">
        <v>8.3000000000000007</v>
      </c>
      <c r="D481">
        <v>0</v>
      </c>
      <c r="E481" t="s">
        <v>6134</v>
      </c>
    </row>
    <row r="482" spans="1:5" x14ac:dyDescent="0.35">
      <c r="A482" t="s">
        <v>130</v>
      </c>
      <c r="B482" s="16">
        <v>45783</v>
      </c>
      <c r="C482">
        <v>5.2</v>
      </c>
      <c r="D482">
        <v>2</v>
      </c>
      <c r="E482" t="s">
        <v>6132</v>
      </c>
    </row>
    <row r="483" spans="1:5" x14ac:dyDescent="0.35">
      <c r="A483" t="s">
        <v>130</v>
      </c>
      <c r="B483" s="16">
        <v>45785</v>
      </c>
      <c r="C483">
        <v>8.8000000000000007</v>
      </c>
      <c r="D483">
        <v>0</v>
      </c>
      <c r="E483" t="s">
        <v>6132</v>
      </c>
    </row>
    <row r="484" spans="1:5" x14ac:dyDescent="0.35">
      <c r="A484" t="s">
        <v>130</v>
      </c>
      <c r="B484" s="16">
        <v>45786</v>
      </c>
      <c r="C484">
        <v>5</v>
      </c>
      <c r="D484">
        <v>0</v>
      </c>
      <c r="E484" t="s">
        <v>6133</v>
      </c>
    </row>
    <row r="485" spans="1:5" x14ac:dyDescent="0.35">
      <c r="A485" t="s">
        <v>130</v>
      </c>
      <c r="B485" s="16">
        <v>45789</v>
      </c>
      <c r="C485">
        <v>6.9</v>
      </c>
      <c r="D485">
        <v>1</v>
      </c>
      <c r="E485" t="s">
        <v>6132</v>
      </c>
    </row>
    <row r="486" spans="1:5" x14ac:dyDescent="0.35">
      <c r="A486" t="s">
        <v>130</v>
      </c>
      <c r="B486" s="16">
        <v>45790</v>
      </c>
      <c r="C486">
        <v>4.2</v>
      </c>
      <c r="D486">
        <v>1</v>
      </c>
      <c r="E486" t="s">
        <v>6132</v>
      </c>
    </row>
    <row r="487" spans="1:5" x14ac:dyDescent="0.35">
      <c r="A487" t="s">
        <v>130</v>
      </c>
      <c r="B487" s="16">
        <v>45793</v>
      </c>
      <c r="C487">
        <v>8.8000000000000007</v>
      </c>
      <c r="D487">
        <v>0</v>
      </c>
      <c r="E487" t="s">
        <v>6132</v>
      </c>
    </row>
    <row r="488" spans="1:5" x14ac:dyDescent="0.35">
      <c r="A488" t="s">
        <v>130</v>
      </c>
      <c r="B488" s="16">
        <v>45798</v>
      </c>
      <c r="C488">
        <v>7.8</v>
      </c>
      <c r="D488">
        <v>1</v>
      </c>
      <c r="E488" t="s">
        <v>6132</v>
      </c>
    </row>
    <row r="489" spans="1:5" x14ac:dyDescent="0.35">
      <c r="A489" t="s">
        <v>130</v>
      </c>
      <c r="B489" s="16">
        <v>45799</v>
      </c>
      <c r="C489">
        <v>6.3</v>
      </c>
      <c r="D489">
        <v>0</v>
      </c>
      <c r="E489" t="s">
        <v>6132</v>
      </c>
    </row>
    <row r="490" spans="1:5" x14ac:dyDescent="0.35">
      <c r="A490" t="s">
        <v>130</v>
      </c>
      <c r="B490" s="16">
        <v>45804</v>
      </c>
      <c r="C490">
        <v>5.6</v>
      </c>
      <c r="D490">
        <v>0</v>
      </c>
      <c r="E490" t="s">
        <v>6132</v>
      </c>
    </row>
    <row r="491" spans="1:5" x14ac:dyDescent="0.35">
      <c r="A491" t="s">
        <v>130</v>
      </c>
      <c r="B491" s="16">
        <v>45805</v>
      </c>
      <c r="C491">
        <v>7.2</v>
      </c>
      <c r="D491">
        <v>0</v>
      </c>
      <c r="E491" t="s">
        <v>6132</v>
      </c>
    </row>
    <row r="492" spans="1:5" x14ac:dyDescent="0.35">
      <c r="A492" t="s">
        <v>130</v>
      </c>
      <c r="B492" s="16">
        <v>45806</v>
      </c>
      <c r="C492">
        <v>8.6999999999999993</v>
      </c>
      <c r="D492">
        <v>4</v>
      </c>
      <c r="E492" t="s">
        <v>6132</v>
      </c>
    </row>
    <row r="493" spans="1:5" x14ac:dyDescent="0.35">
      <c r="A493" t="s">
        <v>130</v>
      </c>
      <c r="B493" s="16">
        <v>45807</v>
      </c>
      <c r="C493">
        <v>5.7</v>
      </c>
      <c r="D493">
        <v>1</v>
      </c>
      <c r="E493" t="s">
        <v>6132</v>
      </c>
    </row>
    <row r="494" spans="1:5" x14ac:dyDescent="0.35">
      <c r="A494" t="s">
        <v>130</v>
      </c>
      <c r="B494" s="16">
        <v>45811</v>
      </c>
      <c r="C494">
        <v>4.5</v>
      </c>
      <c r="D494">
        <v>0</v>
      </c>
      <c r="E494" t="s">
        <v>6133</v>
      </c>
    </row>
    <row r="495" spans="1:5" x14ac:dyDescent="0.35">
      <c r="A495" t="s">
        <v>130</v>
      </c>
      <c r="B495" s="16">
        <v>45812</v>
      </c>
      <c r="C495">
        <v>8.1</v>
      </c>
      <c r="D495">
        <v>1</v>
      </c>
      <c r="E495" t="s">
        <v>6132</v>
      </c>
    </row>
    <row r="496" spans="1:5" x14ac:dyDescent="0.35">
      <c r="A496" t="s">
        <v>130</v>
      </c>
      <c r="B496" s="16">
        <v>45813</v>
      </c>
      <c r="C496">
        <v>4.7</v>
      </c>
      <c r="D496">
        <v>1</v>
      </c>
      <c r="E496" t="s">
        <v>6132</v>
      </c>
    </row>
    <row r="497" spans="1:5" x14ac:dyDescent="0.35">
      <c r="A497" t="s">
        <v>130</v>
      </c>
      <c r="B497" s="16">
        <v>45814</v>
      </c>
      <c r="C497">
        <v>7.4</v>
      </c>
      <c r="D497">
        <v>0</v>
      </c>
      <c r="E497" t="s">
        <v>6132</v>
      </c>
    </row>
    <row r="498" spans="1:5" x14ac:dyDescent="0.35">
      <c r="A498" t="s">
        <v>130</v>
      </c>
      <c r="B498" s="16">
        <v>45818</v>
      </c>
      <c r="C498">
        <v>7</v>
      </c>
      <c r="D498">
        <v>0</v>
      </c>
      <c r="E498" t="s">
        <v>6132</v>
      </c>
    </row>
    <row r="499" spans="1:5" x14ac:dyDescent="0.35">
      <c r="A499" t="s">
        <v>130</v>
      </c>
      <c r="B499" s="16">
        <v>45820</v>
      </c>
      <c r="C499">
        <v>7.7</v>
      </c>
      <c r="D499">
        <v>2</v>
      </c>
      <c r="E499" t="s">
        <v>6132</v>
      </c>
    </row>
    <row r="500" spans="1:5" x14ac:dyDescent="0.35">
      <c r="A500" t="s">
        <v>130</v>
      </c>
      <c r="B500" s="16">
        <v>45821</v>
      </c>
      <c r="C500">
        <v>8.9</v>
      </c>
      <c r="D500">
        <v>1</v>
      </c>
      <c r="E500" t="s">
        <v>6132</v>
      </c>
    </row>
    <row r="501" spans="1:5" x14ac:dyDescent="0.35">
      <c r="A501" t="s">
        <v>130</v>
      </c>
      <c r="B501" s="16">
        <v>45825</v>
      </c>
      <c r="C501">
        <v>4.5999999999999996</v>
      </c>
      <c r="D501">
        <v>0</v>
      </c>
      <c r="E501" t="s">
        <v>6132</v>
      </c>
    </row>
    <row r="502" spans="1:5" x14ac:dyDescent="0.35">
      <c r="A502" t="s">
        <v>130</v>
      </c>
      <c r="B502" s="16">
        <v>45828</v>
      </c>
      <c r="C502">
        <v>4.7</v>
      </c>
      <c r="D502">
        <v>0</v>
      </c>
      <c r="E502" t="s">
        <v>6132</v>
      </c>
    </row>
    <row r="503" spans="1:5" x14ac:dyDescent="0.35">
      <c r="A503" t="s">
        <v>130</v>
      </c>
      <c r="B503" s="16">
        <v>45834</v>
      </c>
      <c r="C503">
        <v>8.1999999999999993</v>
      </c>
      <c r="D503">
        <v>0</v>
      </c>
      <c r="E503" t="s">
        <v>6133</v>
      </c>
    </row>
    <row r="504" spans="1:5" x14ac:dyDescent="0.35">
      <c r="A504" t="s">
        <v>130</v>
      </c>
      <c r="B504" s="16">
        <v>45839</v>
      </c>
      <c r="C504">
        <v>8.6</v>
      </c>
      <c r="D504">
        <v>1</v>
      </c>
      <c r="E504" t="s">
        <v>6132</v>
      </c>
    </row>
    <row r="505" spans="1:5" x14ac:dyDescent="0.35">
      <c r="A505" t="s">
        <v>130</v>
      </c>
      <c r="B505" s="16">
        <v>45847</v>
      </c>
      <c r="C505">
        <v>5.5</v>
      </c>
      <c r="D505">
        <v>0</v>
      </c>
      <c r="E505" t="s">
        <v>6132</v>
      </c>
    </row>
    <row r="506" spans="1:5" x14ac:dyDescent="0.35">
      <c r="A506" t="s">
        <v>130</v>
      </c>
      <c r="B506" s="16">
        <v>45848</v>
      </c>
      <c r="C506">
        <v>8</v>
      </c>
      <c r="D506">
        <v>1</v>
      </c>
      <c r="E506" t="s">
        <v>6132</v>
      </c>
    </row>
    <row r="507" spans="1:5" x14ac:dyDescent="0.35">
      <c r="A507" t="s">
        <v>130</v>
      </c>
      <c r="B507" s="16">
        <v>45852</v>
      </c>
      <c r="C507">
        <v>4.0999999999999996</v>
      </c>
      <c r="D507">
        <v>0</v>
      </c>
      <c r="E507" t="s">
        <v>6132</v>
      </c>
    </row>
    <row r="508" spans="1:5" x14ac:dyDescent="0.35">
      <c r="A508" t="s">
        <v>130</v>
      </c>
      <c r="B508" s="16">
        <v>45853</v>
      </c>
      <c r="C508">
        <v>5.0999999999999996</v>
      </c>
      <c r="D508">
        <v>1</v>
      </c>
      <c r="E508" t="s">
        <v>6132</v>
      </c>
    </row>
    <row r="509" spans="1:5" x14ac:dyDescent="0.35">
      <c r="A509" t="s">
        <v>130</v>
      </c>
      <c r="B509" s="16">
        <v>45856</v>
      </c>
      <c r="C509">
        <v>4.8</v>
      </c>
      <c r="D509">
        <v>2</v>
      </c>
      <c r="E509" t="s">
        <v>6132</v>
      </c>
    </row>
    <row r="510" spans="1:5" x14ac:dyDescent="0.35">
      <c r="A510" t="s">
        <v>130</v>
      </c>
      <c r="B510" s="16">
        <v>45859</v>
      </c>
      <c r="C510">
        <v>7.1</v>
      </c>
      <c r="D510">
        <v>2</v>
      </c>
      <c r="E510" t="s">
        <v>6132</v>
      </c>
    </row>
    <row r="511" spans="1:5" x14ac:dyDescent="0.35">
      <c r="A511" t="s">
        <v>130</v>
      </c>
      <c r="B511" s="16">
        <v>45860</v>
      </c>
      <c r="C511">
        <v>8.1999999999999993</v>
      </c>
      <c r="D511">
        <v>0</v>
      </c>
      <c r="E511" t="s">
        <v>6132</v>
      </c>
    </row>
    <row r="512" spans="1:5" x14ac:dyDescent="0.35">
      <c r="A512" t="s">
        <v>130</v>
      </c>
      <c r="B512" s="16">
        <v>45863</v>
      </c>
      <c r="C512">
        <v>7.7</v>
      </c>
      <c r="D512">
        <v>0</v>
      </c>
      <c r="E512" t="s">
        <v>6133</v>
      </c>
    </row>
    <row r="513" spans="1:5" x14ac:dyDescent="0.35">
      <c r="A513" t="s">
        <v>130</v>
      </c>
      <c r="B513" s="16">
        <v>45870</v>
      </c>
      <c r="C513">
        <v>6.9</v>
      </c>
      <c r="D513">
        <v>0</v>
      </c>
      <c r="E513" t="s">
        <v>6133</v>
      </c>
    </row>
    <row r="514" spans="1:5" x14ac:dyDescent="0.35">
      <c r="A514" t="s">
        <v>130</v>
      </c>
      <c r="B514" s="16">
        <v>45873</v>
      </c>
      <c r="C514">
        <v>7.3</v>
      </c>
      <c r="D514">
        <v>1</v>
      </c>
      <c r="E514" t="s">
        <v>6132</v>
      </c>
    </row>
    <row r="515" spans="1:5" x14ac:dyDescent="0.35">
      <c r="A515" t="s">
        <v>130</v>
      </c>
      <c r="B515" s="16">
        <v>45874</v>
      </c>
      <c r="C515">
        <v>5.3</v>
      </c>
      <c r="D515">
        <v>0</v>
      </c>
      <c r="E515" t="s">
        <v>6132</v>
      </c>
    </row>
    <row r="516" spans="1:5" x14ac:dyDescent="0.35">
      <c r="A516" t="s">
        <v>130</v>
      </c>
      <c r="B516" s="16">
        <v>45876</v>
      </c>
      <c r="C516">
        <v>7.5</v>
      </c>
      <c r="D516">
        <v>0</v>
      </c>
      <c r="E516" t="s">
        <v>6132</v>
      </c>
    </row>
    <row r="517" spans="1:5" x14ac:dyDescent="0.35">
      <c r="A517" t="s">
        <v>130</v>
      </c>
      <c r="B517" s="16">
        <v>45881</v>
      </c>
      <c r="C517">
        <v>5.8</v>
      </c>
      <c r="D517">
        <v>1</v>
      </c>
      <c r="E517" t="s">
        <v>6132</v>
      </c>
    </row>
    <row r="518" spans="1:5" x14ac:dyDescent="0.35">
      <c r="A518" t="s">
        <v>130</v>
      </c>
      <c r="B518" s="16">
        <v>45883</v>
      </c>
      <c r="C518">
        <v>5.7</v>
      </c>
      <c r="D518">
        <v>0</v>
      </c>
      <c r="E518" t="s">
        <v>6132</v>
      </c>
    </row>
    <row r="519" spans="1:5" x14ac:dyDescent="0.35">
      <c r="A519" t="s">
        <v>130</v>
      </c>
      <c r="B519" s="16">
        <v>45884</v>
      </c>
      <c r="C519">
        <v>6.1</v>
      </c>
      <c r="D519">
        <v>0</v>
      </c>
      <c r="E519" t="s">
        <v>6132</v>
      </c>
    </row>
    <row r="520" spans="1:5" x14ac:dyDescent="0.35">
      <c r="A520" t="s">
        <v>130</v>
      </c>
      <c r="B520" s="16">
        <v>45887</v>
      </c>
      <c r="C520">
        <v>4.3</v>
      </c>
      <c r="D520">
        <v>0</v>
      </c>
      <c r="E520" t="s">
        <v>6132</v>
      </c>
    </row>
    <row r="521" spans="1:5" x14ac:dyDescent="0.35">
      <c r="A521" t="s">
        <v>130</v>
      </c>
      <c r="B521" s="16">
        <v>45889</v>
      </c>
      <c r="C521">
        <v>8.6999999999999993</v>
      </c>
      <c r="D521">
        <v>1</v>
      </c>
      <c r="E521" t="s">
        <v>6132</v>
      </c>
    </row>
    <row r="522" spans="1:5" x14ac:dyDescent="0.35">
      <c r="A522" t="s">
        <v>130</v>
      </c>
      <c r="B522" s="16">
        <v>45890</v>
      </c>
      <c r="C522">
        <v>4.8</v>
      </c>
      <c r="D522">
        <v>0</v>
      </c>
      <c r="E522" t="s">
        <v>6132</v>
      </c>
    </row>
    <row r="523" spans="1:5" x14ac:dyDescent="0.35">
      <c r="A523" t="s">
        <v>130</v>
      </c>
      <c r="B523" s="16">
        <v>45896</v>
      </c>
      <c r="C523">
        <v>7.8</v>
      </c>
      <c r="D523">
        <v>1</v>
      </c>
      <c r="E523" t="s">
        <v>6132</v>
      </c>
    </row>
    <row r="524" spans="1:5" x14ac:dyDescent="0.35">
      <c r="A524" t="s">
        <v>130</v>
      </c>
      <c r="B524" s="16">
        <v>45897</v>
      </c>
      <c r="C524">
        <v>5.0999999999999996</v>
      </c>
      <c r="D524">
        <v>0</v>
      </c>
      <c r="E524" t="s">
        <v>6132</v>
      </c>
    </row>
    <row r="525" spans="1:5" x14ac:dyDescent="0.35">
      <c r="A525" t="s">
        <v>130</v>
      </c>
      <c r="B525" s="16">
        <v>45898</v>
      </c>
      <c r="C525">
        <v>8.6</v>
      </c>
      <c r="D525">
        <v>2</v>
      </c>
      <c r="E525" t="s">
        <v>6132</v>
      </c>
    </row>
    <row r="526" spans="1:5" x14ac:dyDescent="0.35">
      <c r="A526" t="s">
        <v>130</v>
      </c>
      <c r="B526" s="16">
        <v>45902</v>
      </c>
      <c r="C526">
        <v>8.1999999999999993</v>
      </c>
      <c r="D526">
        <v>0</v>
      </c>
      <c r="E526" t="s">
        <v>6132</v>
      </c>
    </row>
    <row r="527" spans="1:5" x14ac:dyDescent="0.35">
      <c r="A527" t="s">
        <v>130</v>
      </c>
      <c r="B527" s="16">
        <v>45903</v>
      </c>
      <c r="D527">
        <v>3</v>
      </c>
      <c r="E527" t="s">
        <v>6132</v>
      </c>
    </row>
    <row r="528" spans="1:5" x14ac:dyDescent="0.35">
      <c r="A528" t="s">
        <v>130</v>
      </c>
      <c r="B528" s="16">
        <v>45905</v>
      </c>
      <c r="C528">
        <v>5.2</v>
      </c>
      <c r="D528">
        <v>0</v>
      </c>
      <c r="E528" t="s">
        <v>6132</v>
      </c>
    </row>
    <row r="529" spans="1:5" x14ac:dyDescent="0.35">
      <c r="A529" t="s">
        <v>130</v>
      </c>
      <c r="B529" s="16">
        <v>45908</v>
      </c>
      <c r="C529">
        <v>4.4000000000000004</v>
      </c>
      <c r="D529">
        <v>1</v>
      </c>
      <c r="E529" t="s">
        <v>6132</v>
      </c>
    </row>
    <row r="530" spans="1:5" x14ac:dyDescent="0.35">
      <c r="A530" t="s">
        <v>130</v>
      </c>
      <c r="B530" s="16">
        <v>45911</v>
      </c>
      <c r="C530">
        <v>8.8000000000000007</v>
      </c>
      <c r="D530">
        <v>1</v>
      </c>
      <c r="E530" t="s">
        <v>6132</v>
      </c>
    </row>
    <row r="531" spans="1:5" x14ac:dyDescent="0.35">
      <c r="A531" t="s">
        <v>130</v>
      </c>
      <c r="B531" s="16">
        <v>45915</v>
      </c>
      <c r="C531">
        <v>6.7</v>
      </c>
      <c r="D531">
        <v>1</v>
      </c>
      <c r="E531" t="s">
        <v>6132</v>
      </c>
    </row>
    <row r="532" spans="1:5" x14ac:dyDescent="0.35">
      <c r="A532" t="s">
        <v>130</v>
      </c>
      <c r="B532" s="16">
        <v>45916</v>
      </c>
      <c r="C532">
        <v>4.2</v>
      </c>
      <c r="D532">
        <v>1</v>
      </c>
      <c r="E532" t="s">
        <v>6132</v>
      </c>
    </row>
    <row r="533" spans="1:5" x14ac:dyDescent="0.35">
      <c r="A533" t="s">
        <v>130</v>
      </c>
      <c r="B533" s="16">
        <v>45917</v>
      </c>
      <c r="C533">
        <v>5.3</v>
      </c>
      <c r="D533">
        <v>0</v>
      </c>
      <c r="E533" t="s">
        <v>6132</v>
      </c>
    </row>
    <row r="534" spans="1:5" x14ac:dyDescent="0.35">
      <c r="A534" t="s">
        <v>130</v>
      </c>
      <c r="B534" s="16">
        <v>45919</v>
      </c>
      <c r="C534">
        <v>7.7</v>
      </c>
      <c r="D534">
        <v>0</v>
      </c>
      <c r="E534" t="s">
        <v>6132</v>
      </c>
    </row>
    <row r="535" spans="1:5" x14ac:dyDescent="0.35">
      <c r="A535" t="s">
        <v>130</v>
      </c>
      <c r="B535" s="16">
        <v>45924</v>
      </c>
      <c r="C535">
        <v>8.1</v>
      </c>
      <c r="D535">
        <v>3</v>
      </c>
      <c r="E535" t="s">
        <v>6132</v>
      </c>
    </row>
    <row r="536" spans="1:5" x14ac:dyDescent="0.35">
      <c r="A536" t="s">
        <v>130</v>
      </c>
      <c r="B536" s="16">
        <v>45925</v>
      </c>
      <c r="C536">
        <v>7.9</v>
      </c>
      <c r="D536">
        <v>1</v>
      </c>
      <c r="E536" t="s">
        <v>6132</v>
      </c>
    </row>
    <row r="537" spans="1:5" x14ac:dyDescent="0.35">
      <c r="A537" t="s">
        <v>130</v>
      </c>
      <c r="B537" s="16">
        <v>45931</v>
      </c>
      <c r="C537">
        <v>5.8</v>
      </c>
      <c r="D537">
        <v>0</v>
      </c>
      <c r="E537" t="s">
        <v>6132</v>
      </c>
    </row>
    <row r="538" spans="1:5" x14ac:dyDescent="0.35">
      <c r="A538" t="s">
        <v>130</v>
      </c>
      <c r="B538" s="16">
        <v>45936</v>
      </c>
      <c r="C538">
        <v>8</v>
      </c>
      <c r="D538">
        <v>0</v>
      </c>
      <c r="E538" t="s">
        <v>6132</v>
      </c>
    </row>
    <row r="539" spans="1:5" x14ac:dyDescent="0.35">
      <c r="A539" t="s">
        <v>130</v>
      </c>
      <c r="B539" s="16">
        <v>45938</v>
      </c>
      <c r="C539">
        <v>6.9</v>
      </c>
      <c r="D539">
        <v>1</v>
      </c>
      <c r="E539" t="s">
        <v>6132</v>
      </c>
    </row>
    <row r="540" spans="1:5" x14ac:dyDescent="0.35">
      <c r="A540" t="s">
        <v>130</v>
      </c>
      <c r="B540" s="16">
        <v>45939</v>
      </c>
      <c r="C540">
        <v>4.3</v>
      </c>
      <c r="D540">
        <v>0</v>
      </c>
      <c r="E540" t="s">
        <v>6132</v>
      </c>
    </row>
    <row r="541" spans="1:5" x14ac:dyDescent="0.35">
      <c r="A541" t="s">
        <v>130</v>
      </c>
      <c r="B541" s="16">
        <v>45940</v>
      </c>
      <c r="C541">
        <v>4.9000000000000004</v>
      </c>
      <c r="D541">
        <v>0</v>
      </c>
      <c r="E541" t="s">
        <v>6132</v>
      </c>
    </row>
    <row r="542" spans="1:5" x14ac:dyDescent="0.35">
      <c r="A542" t="s">
        <v>130</v>
      </c>
      <c r="B542" s="16">
        <v>45945</v>
      </c>
      <c r="C542">
        <v>6.7</v>
      </c>
      <c r="D542">
        <v>0</v>
      </c>
      <c r="E542" t="s">
        <v>6132</v>
      </c>
    </row>
    <row r="543" spans="1:5" x14ac:dyDescent="0.35">
      <c r="A543" t="s">
        <v>130</v>
      </c>
      <c r="B543" s="16">
        <v>45947</v>
      </c>
      <c r="C543">
        <v>8.6999999999999993</v>
      </c>
      <c r="D543">
        <v>1</v>
      </c>
      <c r="E543" t="s">
        <v>6132</v>
      </c>
    </row>
    <row r="544" spans="1:5" x14ac:dyDescent="0.35">
      <c r="A544" t="s">
        <v>130</v>
      </c>
      <c r="B544" s="16">
        <v>45950</v>
      </c>
      <c r="C544">
        <v>7.8</v>
      </c>
      <c r="D544">
        <v>0</v>
      </c>
      <c r="E544" t="s">
        <v>6132</v>
      </c>
    </row>
    <row r="545" spans="1:5" x14ac:dyDescent="0.35">
      <c r="A545" t="s">
        <v>130</v>
      </c>
      <c r="B545" s="16">
        <v>45951</v>
      </c>
      <c r="C545">
        <v>5.5</v>
      </c>
      <c r="D545">
        <v>1</v>
      </c>
      <c r="E545" t="s">
        <v>6132</v>
      </c>
    </row>
    <row r="546" spans="1:5" x14ac:dyDescent="0.35">
      <c r="A546" t="s">
        <v>130</v>
      </c>
      <c r="B546" s="16">
        <v>45952</v>
      </c>
      <c r="C546">
        <v>8.5</v>
      </c>
      <c r="D546">
        <v>3</v>
      </c>
      <c r="E546" t="s">
        <v>6132</v>
      </c>
    </row>
    <row r="547" spans="1:5" x14ac:dyDescent="0.35">
      <c r="A547" t="s">
        <v>130</v>
      </c>
      <c r="B547" s="16">
        <v>45957</v>
      </c>
      <c r="C547">
        <v>7.1</v>
      </c>
      <c r="D547">
        <v>2</v>
      </c>
      <c r="E547" t="s">
        <v>6132</v>
      </c>
    </row>
    <row r="548" spans="1:5" x14ac:dyDescent="0.35">
      <c r="A548" t="s">
        <v>130</v>
      </c>
      <c r="B548" s="16">
        <v>45967</v>
      </c>
      <c r="C548">
        <v>5</v>
      </c>
      <c r="D548">
        <v>3</v>
      </c>
      <c r="E548" t="s">
        <v>6132</v>
      </c>
    </row>
    <row r="549" spans="1:5" x14ac:dyDescent="0.35">
      <c r="A549" t="s">
        <v>130</v>
      </c>
      <c r="B549" s="16">
        <v>45968</v>
      </c>
      <c r="C549">
        <v>7.4</v>
      </c>
      <c r="D549">
        <v>1</v>
      </c>
      <c r="E549" t="s">
        <v>6132</v>
      </c>
    </row>
    <row r="550" spans="1:5" x14ac:dyDescent="0.35">
      <c r="A550" t="s">
        <v>130</v>
      </c>
      <c r="B550" s="16">
        <v>45973</v>
      </c>
      <c r="C550">
        <v>7.2</v>
      </c>
      <c r="D550">
        <v>3</v>
      </c>
      <c r="E550" t="s">
        <v>6132</v>
      </c>
    </row>
    <row r="551" spans="1:5" x14ac:dyDescent="0.35">
      <c r="A551" t="s">
        <v>130</v>
      </c>
      <c r="B551" s="16">
        <v>45978</v>
      </c>
      <c r="C551">
        <v>8.9</v>
      </c>
      <c r="D551">
        <v>0</v>
      </c>
      <c r="E551" t="s">
        <v>6133</v>
      </c>
    </row>
    <row r="552" spans="1:5" x14ac:dyDescent="0.35">
      <c r="A552" t="s">
        <v>130</v>
      </c>
      <c r="B552" s="16">
        <v>45982</v>
      </c>
      <c r="C552">
        <v>6.5</v>
      </c>
      <c r="D552">
        <v>0</v>
      </c>
      <c r="E552" t="s">
        <v>6132</v>
      </c>
    </row>
    <row r="553" spans="1:5" x14ac:dyDescent="0.35">
      <c r="A553" t="s">
        <v>130</v>
      </c>
      <c r="B553" s="16">
        <v>45986</v>
      </c>
      <c r="C553">
        <v>5.8</v>
      </c>
      <c r="D553">
        <v>0</v>
      </c>
      <c r="E553" t="s">
        <v>6132</v>
      </c>
    </row>
    <row r="554" spans="1:5" x14ac:dyDescent="0.35">
      <c r="A554" t="s">
        <v>130</v>
      </c>
      <c r="B554" s="16">
        <v>45987</v>
      </c>
      <c r="C554">
        <v>8.3000000000000007</v>
      </c>
      <c r="D554">
        <v>0</v>
      </c>
      <c r="E554" t="s">
        <v>6134</v>
      </c>
    </row>
    <row r="555" spans="1:5" x14ac:dyDescent="0.35">
      <c r="A555" t="s">
        <v>130</v>
      </c>
      <c r="B555" s="16">
        <v>45988</v>
      </c>
      <c r="C555">
        <v>7.2</v>
      </c>
      <c r="D555">
        <v>0</v>
      </c>
      <c r="E555" t="s">
        <v>6133</v>
      </c>
    </row>
    <row r="556" spans="1:5" x14ac:dyDescent="0.35">
      <c r="A556" t="s">
        <v>130</v>
      </c>
      <c r="B556" s="16">
        <v>45989</v>
      </c>
      <c r="C556">
        <v>5.3</v>
      </c>
      <c r="D556">
        <v>2</v>
      </c>
      <c r="E556" t="s">
        <v>6132</v>
      </c>
    </row>
    <row r="557" spans="1:5" x14ac:dyDescent="0.35">
      <c r="A557" t="s">
        <v>130</v>
      </c>
      <c r="B557" s="16">
        <v>45992</v>
      </c>
      <c r="C557">
        <v>8.5</v>
      </c>
      <c r="D557">
        <v>1</v>
      </c>
      <c r="E557" t="s">
        <v>6132</v>
      </c>
    </row>
    <row r="558" spans="1:5" x14ac:dyDescent="0.35">
      <c r="A558" t="s">
        <v>130</v>
      </c>
      <c r="B558" s="16">
        <v>45993</v>
      </c>
      <c r="C558">
        <v>5.5</v>
      </c>
      <c r="D558">
        <v>0</v>
      </c>
      <c r="E558" t="s">
        <v>6132</v>
      </c>
    </row>
    <row r="559" spans="1:5" x14ac:dyDescent="0.35">
      <c r="A559" t="s">
        <v>130</v>
      </c>
      <c r="B559" s="16">
        <v>45995</v>
      </c>
      <c r="C559">
        <v>4.0999999999999996</v>
      </c>
      <c r="D559">
        <v>2</v>
      </c>
      <c r="E559" t="s">
        <v>6132</v>
      </c>
    </row>
    <row r="560" spans="1:5" x14ac:dyDescent="0.35">
      <c r="A560" t="s">
        <v>130</v>
      </c>
      <c r="B560" s="16">
        <v>45996</v>
      </c>
      <c r="C560">
        <v>8.6999999999999993</v>
      </c>
      <c r="D560">
        <v>0</v>
      </c>
      <c r="E560" t="s">
        <v>6132</v>
      </c>
    </row>
    <row r="561" spans="1:5" x14ac:dyDescent="0.35">
      <c r="A561" t="s">
        <v>130</v>
      </c>
      <c r="B561" s="16">
        <v>45999</v>
      </c>
      <c r="C561">
        <v>5.8</v>
      </c>
      <c r="D561">
        <v>0</v>
      </c>
      <c r="E561" t="s">
        <v>6134</v>
      </c>
    </row>
    <row r="562" spans="1:5" x14ac:dyDescent="0.35">
      <c r="A562" t="s">
        <v>130</v>
      </c>
      <c r="B562" s="16">
        <v>46001</v>
      </c>
      <c r="C562">
        <v>8.1</v>
      </c>
      <c r="D562">
        <v>1</v>
      </c>
      <c r="E562" t="s">
        <v>6132</v>
      </c>
    </row>
    <row r="563" spans="1:5" x14ac:dyDescent="0.35">
      <c r="A563" t="s">
        <v>130</v>
      </c>
      <c r="B563" s="16">
        <v>46003</v>
      </c>
      <c r="C563">
        <v>8.1999999999999993</v>
      </c>
      <c r="D563">
        <v>0</v>
      </c>
      <c r="E563" t="s">
        <v>6132</v>
      </c>
    </row>
    <row r="564" spans="1:5" x14ac:dyDescent="0.35">
      <c r="A564" t="s">
        <v>130</v>
      </c>
      <c r="B564" s="16">
        <v>46006</v>
      </c>
      <c r="C564">
        <v>6.1</v>
      </c>
      <c r="D564">
        <v>1</v>
      </c>
      <c r="E564" t="s">
        <v>6132</v>
      </c>
    </row>
    <row r="565" spans="1:5" x14ac:dyDescent="0.35">
      <c r="A565" t="s">
        <v>130</v>
      </c>
      <c r="B565" s="16">
        <v>46007</v>
      </c>
      <c r="C565">
        <v>5.8</v>
      </c>
      <c r="D565">
        <v>1</v>
      </c>
      <c r="E565" t="s">
        <v>6132</v>
      </c>
    </row>
    <row r="566" spans="1:5" x14ac:dyDescent="0.35">
      <c r="A566" t="s">
        <v>130</v>
      </c>
      <c r="B566" s="16">
        <v>46008</v>
      </c>
      <c r="D566">
        <v>3</v>
      </c>
      <c r="E566" t="s">
        <v>6132</v>
      </c>
    </row>
    <row r="567" spans="1:5" x14ac:dyDescent="0.35">
      <c r="A567" t="s">
        <v>130</v>
      </c>
      <c r="B567" s="16">
        <v>46010</v>
      </c>
      <c r="C567">
        <v>8.5</v>
      </c>
      <c r="D567">
        <v>2</v>
      </c>
      <c r="E567" t="s">
        <v>6132</v>
      </c>
    </row>
    <row r="568" spans="1:5" x14ac:dyDescent="0.35">
      <c r="A568" t="s">
        <v>130</v>
      </c>
      <c r="B568" s="16">
        <v>46013</v>
      </c>
      <c r="C568">
        <v>7.7</v>
      </c>
      <c r="D568">
        <v>1</v>
      </c>
      <c r="E568" t="s">
        <v>6132</v>
      </c>
    </row>
    <row r="569" spans="1:5" x14ac:dyDescent="0.35">
      <c r="A569" t="s">
        <v>130</v>
      </c>
      <c r="B569" s="16">
        <v>46014</v>
      </c>
      <c r="C569">
        <v>8.6</v>
      </c>
      <c r="D569">
        <v>0</v>
      </c>
      <c r="E569" t="s">
        <v>6132</v>
      </c>
    </row>
    <row r="570" spans="1:5" x14ac:dyDescent="0.35">
      <c r="A570" t="s">
        <v>130</v>
      </c>
      <c r="B570" s="16">
        <v>46015</v>
      </c>
      <c r="C570">
        <v>6.2</v>
      </c>
      <c r="D570">
        <v>2</v>
      </c>
      <c r="E570" t="s">
        <v>6132</v>
      </c>
    </row>
    <row r="571" spans="1:5" x14ac:dyDescent="0.35">
      <c r="A571" t="s">
        <v>130</v>
      </c>
      <c r="B571" s="16">
        <v>46016</v>
      </c>
      <c r="C571">
        <v>6.5</v>
      </c>
      <c r="D571">
        <v>0</v>
      </c>
      <c r="E571" t="s">
        <v>6132</v>
      </c>
    </row>
    <row r="572" spans="1:5" x14ac:dyDescent="0.35">
      <c r="A572" t="s">
        <v>130</v>
      </c>
      <c r="B572" s="16">
        <v>46021</v>
      </c>
      <c r="C572">
        <v>8.1999999999999993</v>
      </c>
      <c r="D572">
        <v>0</v>
      </c>
      <c r="E572" t="s">
        <v>6134</v>
      </c>
    </row>
    <row r="573" spans="1:5" x14ac:dyDescent="0.35">
      <c r="A573" t="s">
        <v>130</v>
      </c>
      <c r="B573" s="16">
        <v>46022</v>
      </c>
      <c r="C573">
        <v>8.5</v>
      </c>
      <c r="D573">
        <v>0</v>
      </c>
      <c r="E573" t="s">
        <v>6132</v>
      </c>
    </row>
    <row r="574" spans="1:5" x14ac:dyDescent="0.35">
      <c r="A574" t="s">
        <v>29</v>
      </c>
      <c r="B574" s="16">
        <v>45658</v>
      </c>
      <c r="C574">
        <v>6.2</v>
      </c>
      <c r="D574">
        <v>0</v>
      </c>
      <c r="E574" t="s">
        <v>6133</v>
      </c>
    </row>
    <row r="575" spans="1:5" x14ac:dyDescent="0.35">
      <c r="A575" t="s">
        <v>29</v>
      </c>
      <c r="B575" s="16">
        <v>45660</v>
      </c>
      <c r="C575">
        <v>6.9</v>
      </c>
      <c r="D575">
        <v>1</v>
      </c>
      <c r="E575" t="s">
        <v>6132</v>
      </c>
    </row>
    <row r="576" spans="1:5" x14ac:dyDescent="0.35">
      <c r="A576" t="s">
        <v>29</v>
      </c>
      <c r="B576" s="16">
        <v>45664</v>
      </c>
      <c r="C576">
        <v>5.9</v>
      </c>
      <c r="D576">
        <v>0</v>
      </c>
      <c r="E576" t="s">
        <v>6132</v>
      </c>
    </row>
    <row r="577" spans="1:5" x14ac:dyDescent="0.35">
      <c r="A577" t="s">
        <v>29</v>
      </c>
      <c r="B577" s="16">
        <v>45666</v>
      </c>
      <c r="C577">
        <v>7.8</v>
      </c>
      <c r="D577">
        <v>1</v>
      </c>
      <c r="E577" t="s">
        <v>6132</v>
      </c>
    </row>
    <row r="578" spans="1:5" x14ac:dyDescent="0.35">
      <c r="A578" t="s">
        <v>29</v>
      </c>
      <c r="B578" s="16">
        <v>45667</v>
      </c>
      <c r="C578">
        <v>6.5</v>
      </c>
      <c r="D578">
        <v>1</v>
      </c>
      <c r="E578" t="s">
        <v>6132</v>
      </c>
    </row>
    <row r="579" spans="1:5" x14ac:dyDescent="0.35">
      <c r="A579" t="s">
        <v>29</v>
      </c>
      <c r="B579" s="16">
        <v>45670</v>
      </c>
      <c r="C579">
        <v>9</v>
      </c>
      <c r="D579">
        <v>0</v>
      </c>
      <c r="E579" t="s">
        <v>6132</v>
      </c>
    </row>
    <row r="580" spans="1:5" x14ac:dyDescent="0.35">
      <c r="A580" t="s">
        <v>29</v>
      </c>
      <c r="B580" s="16">
        <v>45671</v>
      </c>
      <c r="C580">
        <v>5.4</v>
      </c>
      <c r="D580">
        <v>1</v>
      </c>
      <c r="E580" t="s">
        <v>6132</v>
      </c>
    </row>
    <row r="581" spans="1:5" x14ac:dyDescent="0.35">
      <c r="A581" t="s">
        <v>29</v>
      </c>
      <c r="B581" s="16">
        <v>45672</v>
      </c>
      <c r="C581">
        <v>7.6</v>
      </c>
      <c r="D581">
        <v>0</v>
      </c>
      <c r="E581" t="s">
        <v>6133</v>
      </c>
    </row>
    <row r="582" spans="1:5" x14ac:dyDescent="0.35">
      <c r="A582" t="s">
        <v>29</v>
      </c>
      <c r="B582" s="16">
        <v>45674</v>
      </c>
      <c r="C582">
        <v>4.0999999999999996</v>
      </c>
      <c r="D582">
        <v>0</v>
      </c>
      <c r="E582" t="s">
        <v>6132</v>
      </c>
    </row>
    <row r="583" spans="1:5" x14ac:dyDescent="0.35">
      <c r="A583" t="s">
        <v>29</v>
      </c>
      <c r="B583" s="16">
        <v>45678</v>
      </c>
      <c r="C583">
        <v>6</v>
      </c>
      <c r="D583">
        <v>0</v>
      </c>
      <c r="E583" t="s">
        <v>6132</v>
      </c>
    </row>
    <row r="584" spans="1:5" x14ac:dyDescent="0.35">
      <c r="A584" t="s">
        <v>29</v>
      </c>
      <c r="B584" s="16">
        <v>45680</v>
      </c>
      <c r="C584">
        <v>4.4000000000000004</v>
      </c>
      <c r="D584">
        <v>2</v>
      </c>
      <c r="E584" t="s">
        <v>6132</v>
      </c>
    </row>
    <row r="585" spans="1:5" x14ac:dyDescent="0.35">
      <c r="A585" t="s">
        <v>29</v>
      </c>
      <c r="B585" s="16">
        <v>45681</v>
      </c>
      <c r="C585">
        <v>7.2</v>
      </c>
      <c r="D585">
        <v>0</v>
      </c>
      <c r="E585" t="s">
        <v>6132</v>
      </c>
    </row>
    <row r="586" spans="1:5" x14ac:dyDescent="0.35">
      <c r="A586" t="s">
        <v>29</v>
      </c>
      <c r="B586" s="16">
        <v>45684</v>
      </c>
      <c r="C586">
        <v>4.4000000000000004</v>
      </c>
      <c r="D586">
        <v>0</v>
      </c>
      <c r="E586" t="s">
        <v>6132</v>
      </c>
    </row>
    <row r="587" spans="1:5" x14ac:dyDescent="0.35">
      <c r="A587" t="s">
        <v>29</v>
      </c>
      <c r="B587" s="16">
        <v>45686</v>
      </c>
      <c r="C587">
        <v>8.1</v>
      </c>
      <c r="D587">
        <v>1</v>
      </c>
      <c r="E587" t="s">
        <v>6132</v>
      </c>
    </row>
    <row r="588" spans="1:5" x14ac:dyDescent="0.35">
      <c r="A588" t="s">
        <v>29</v>
      </c>
      <c r="B588" s="16">
        <v>45687</v>
      </c>
      <c r="C588">
        <v>5.7</v>
      </c>
      <c r="D588">
        <v>1</v>
      </c>
      <c r="E588" t="s">
        <v>6132</v>
      </c>
    </row>
    <row r="589" spans="1:5" x14ac:dyDescent="0.35">
      <c r="A589" t="s">
        <v>29</v>
      </c>
      <c r="B589" s="16">
        <v>45694</v>
      </c>
      <c r="C589">
        <v>5.2</v>
      </c>
      <c r="D589">
        <v>3</v>
      </c>
      <c r="E589" t="s">
        <v>6132</v>
      </c>
    </row>
    <row r="590" spans="1:5" x14ac:dyDescent="0.35">
      <c r="A590" t="s">
        <v>29</v>
      </c>
      <c r="B590" s="16">
        <v>45700</v>
      </c>
      <c r="C590">
        <v>5.3</v>
      </c>
      <c r="D590">
        <v>1</v>
      </c>
      <c r="E590" t="s">
        <v>6132</v>
      </c>
    </row>
    <row r="591" spans="1:5" x14ac:dyDescent="0.35">
      <c r="A591" t="s">
        <v>29</v>
      </c>
      <c r="B591" s="16">
        <v>45701</v>
      </c>
      <c r="C591">
        <v>8.3000000000000007</v>
      </c>
      <c r="D591">
        <v>0</v>
      </c>
      <c r="E591" t="s">
        <v>6132</v>
      </c>
    </row>
    <row r="592" spans="1:5" x14ac:dyDescent="0.35">
      <c r="A592" t="s">
        <v>29</v>
      </c>
      <c r="B592" s="16">
        <v>45702</v>
      </c>
      <c r="D592">
        <v>0</v>
      </c>
      <c r="E592" t="s">
        <v>6132</v>
      </c>
    </row>
    <row r="593" spans="1:5" x14ac:dyDescent="0.35">
      <c r="A593" t="s">
        <v>29</v>
      </c>
      <c r="B593" s="16">
        <v>45705</v>
      </c>
      <c r="C593">
        <v>7.7</v>
      </c>
      <c r="D593">
        <v>2</v>
      </c>
      <c r="E593" t="s">
        <v>6132</v>
      </c>
    </row>
    <row r="594" spans="1:5" x14ac:dyDescent="0.35">
      <c r="A594" t="s">
        <v>29</v>
      </c>
      <c r="B594" s="16">
        <v>45706</v>
      </c>
      <c r="C594">
        <v>6</v>
      </c>
      <c r="D594">
        <v>1</v>
      </c>
      <c r="E594" t="s">
        <v>6132</v>
      </c>
    </row>
    <row r="595" spans="1:5" x14ac:dyDescent="0.35">
      <c r="A595" t="s">
        <v>29</v>
      </c>
      <c r="B595" s="16">
        <v>45712</v>
      </c>
      <c r="C595">
        <v>8.8000000000000007</v>
      </c>
      <c r="D595">
        <v>2</v>
      </c>
      <c r="E595" t="s">
        <v>6132</v>
      </c>
    </row>
    <row r="596" spans="1:5" x14ac:dyDescent="0.35">
      <c r="A596" t="s">
        <v>29</v>
      </c>
      <c r="B596" s="16">
        <v>45714</v>
      </c>
      <c r="C596">
        <v>4.5999999999999996</v>
      </c>
      <c r="D596">
        <v>0</v>
      </c>
      <c r="E596" t="s">
        <v>6132</v>
      </c>
    </row>
    <row r="597" spans="1:5" x14ac:dyDescent="0.35">
      <c r="A597" t="s">
        <v>29</v>
      </c>
      <c r="B597" s="16">
        <v>45715</v>
      </c>
      <c r="D597">
        <v>0</v>
      </c>
      <c r="E597" t="s">
        <v>6133</v>
      </c>
    </row>
    <row r="598" spans="1:5" x14ac:dyDescent="0.35">
      <c r="A598" t="s">
        <v>29</v>
      </c>
      <c r="B598" s="16">
        <v>45716</v>
      </c>
      <c r="D598">
        <v>0</v>
      </c>
      <c r="E598" t="s">
        <v>6132</v>
      </c>
    </row>
    <row r="599" spans="1:5" x14ac:dyDescent="0.35">
      <c r="A599" t="s">
        <v>29</v>
      </c>
      <c r="B599" s="16">
        <v>45720</v>
      </c>
      <c r="C599">
        <v>8.9</v>
      </c>
      <c r="D599">
        <v>0</v>
      </c>
      <c r="E599" t="s">
        <v>6134</v>
      </c>
    </row>
    <row r="600" spans="1:5" x14ac:dyDescent="0.35">
      <c r="A600" t="s">
        <v>29</v>
      </c>
      <c r="B600" s="16">
        <v>45721</v>
      </c>
      <c r="C600">
        <v>5.2</v>
      </c>
      <c r="D600">
        <v>1</v>
      </c>
      <c r="E600" t="s">
        <v>6132</v>
      </c>
    </row>
    <row r="601" spans="1:5" x14ac:dyDescent="0.35">
      <c r="A601" t="s">
        <v>29</v>
      </c>
      <c r="B601" s="16">
        <v>45723</v>
      </c>
      <c r="C601">
        <v>7.4</v>
      </c>
      <c r="D601">
        <v>1</v>
      </c>
      <c r="E601" t="s">
        <v>6132</v>
      </c>
    </row>
    <row r="602" spans="1:5" x14ac:dyDescent="0.35">
      <c r="A602" t="s">
        <v>29</v>
      </c>
      <c r="B602" s="16">
        <v>45727</v>
      </c>
      <c r="C602">
        <v>4.0999999999999996</v>
      </c>
      <c r="D602">
        <v>0</v>
      </c>
      <c r="E602" t="s">
        <v>6132</v>
      </c>
    </row>
    <row r="603" spans="1:5" x14ac:dyDescent="0.35">
      <c r="A603" t="s">
        <v>29</v>
      </c>
      <c r="B603" s="16">
        <v>45729</v>
      </c>
      <c r="C603">
        <v>7.8</v>
      </c>
      <c r="D603">
        <v>0</v>
      </c>
      <c r="E603" t="s">
        <v>6132</v>
      </c>
    </row>
    <row r="604" spans="1:5" x14ac:dyDescent="0.35">
      <c r="A604" t="s">
        <v>29</v>
      </c>
      <c r="B604" s="16">
        <v>45736</v>
      </c>
      <c r="C604">
        <v>5</v>
      </c>
      <c r="D604">
        <v>0</v>
      </c>
      <c r="E604" t="s">
        <v>6133</v>
      </c>
    </row>
    <row r="605" spans="1:5" x14ac:dyDescent="0.35">
      <c r="A605" t="s">
        <v>29</v>
      </c>
      <c r="B605" s="16">
        <v>45740</v>
      </c>
      <c r="C605">
        <v>4.5999999999999996</v>
      </c>
      <c r="D605">
        <v>0</v>
      </c>
      <c r="E605" t="s">
        <v>6132</v>
      </c>
    </row>
    <row r="606" spans="1:5" x14ac:dyDescent="0.35">
      <c r="A606" t="s">
        <v>29</v>
      </c>
      <c r="B606" s="16">
        <v>45742</v>
      </c>
      <c r="C606">
        <v>5.2</v>
      </c>
      <c r="D606">
        <v>2</v>
      </c>
      <c r="E606" t="s">
        <v>6132</v>
      </c>
    </row>
    <row r="607" spans="1:5" x14ac:dyDescent="0.35">
      <c r="A607" t="s">
        <v>29</v>
      </c>
      <c r="B607" s="16">
        <v>45747</v>
      </c>
      <c r="C607">
        <v>8</v>
      </c>
      <c r="D607">
        <v>0</v>
      </c>
      <c r="E607" t="s">
        <v>6133</v>
      </c>
    </row>
    <row r="608" spans="1:5" x14ac:dyDescent="0.35">
      <c r="A608" t="s">
        <v>29</v>
      </c>
      <c r="B608" s="16">
        <v>45748</v>
      </c>
      <c r="C608">
        <v>6</v>
      </c>
      <c r="D608">
        <v>0</v>
      </c>
      <c r="E608" t="s">
        <v>6133</v>
      </c>
    </row>
    <row r="609" spans="1:5" x14ac:dyDescent="0.35">
      <c r="A609" t="s">
        <v>29</v>
      </c>
      <c r="B609" s="16">
        <v>45749</v>
      </c>
      <c r="C609">
        <v>4.5999999999999996</v>
      </c>
      <c r="D609">
        <v>1</v>
      </c>
      <c r="E609" t="s">
        <v>6132</v>
      </c>
    </row>
    <row r="610" spans="1:5" x14ac:dyDescent="0.35">
      <c r="A610" t="s">
        <v>29</v>
      </c>
      <c r="B610" s="16">
        <v>45754</v>
      </c>
      <c r="C610">
        <v>4.8</v>
      </c>
      <c r="D610">
        <v>1</v>
      </c>
      <c r="E610" t="s">
        <v>6132</v>
      </c>
    </row>
    <row r="611" spans="1:5" x14ac:dyDescent="0.35">
      <c r="A611" t="s">
        <v>29</v>
      </c>
      <c r="B611" s="16">
        <v>45756</v>
      </c>
      <c r="C611">
        <v>6.1</v>
      </c>
      <c r="D611">
        <v>0</v>
      </c>
      <c r="E611" t="s">
        <v>6132</v>
      </c>
    </row>
    <row r="612" spans="1:5" x14ac:dyDescent="0.35">
      <c r="A612" t="s">
        <v>29</v>
      </c>
      <c r="B612" s="16">
        <v>45757</v>
      </c>
      <c r="C612">
        <v>5.3</v>
      </c>
      <c r="D612">
        <v>4</v>
      </c>
      <c r="E612" t="s">
        <v>6132</v>
      </c>
    </row>
    <row r="613" spans="1:5" x14ac:dyDescent="0.35">
      <c r="A613" t="s">
        <v>29</v>
      </c>
      <c r="B613" s="16">
        <v>45758</v>
      </c>
      <c r="C613">
        <v>5</v>
      </c>
      <c r="D613">
        <v>0</v>
      </c>
      <c r="E613" t="s">
        <v>6132</v>
      </c>
    </row>
    <row r="614" spans="1:5" x14ac:dyDescent="0.35">
      <c r="A614" t="s">
        <v>29</v>
      </c>
      <c r="B614" s="16">
        <v>45761</v>
      </c>
      <c r="C614">
        <v>4.5</v>
      </c>
      <c r="D614">
        <v>0</v>
      </c>
      <c r="E614" t="s">
        <v>6132</v>
      </c>
    </row>
    <row r="615" spans="1:5" x14ac:dyDescent="0.35">
      <c r="A615" t="s">
        <v>29</v>
      </c>
      <c r="B615" s="16">
        <v>45762</v>
      </c>
      <c r="C615">
        <v>5</v>
      </c>
      <c r="D615">
        <v>1</v>
      </c>
      <c r="E615" t="s">
        <v>6132</v>
      </c>
    </row>
    <row r="616" spans="1:5" x14ac:dyDescent="0.35">
      <c r="A616" t="s">
        <v>29</v>
      </c>
      <c r="B616" s="16">
        <v>45763</v>
      </c>
      <c r="C616">
        <v>4.5</v>
      </c>
      <c r="D616">
        <v>2</v>
      </c>
      <c r="E616" t="s">
        <v>6132</v>
      </c>
    </row>
    <row r="617" spans="1:5" x14ac:dyDescent="0.35">
      <c r="A617" t="s">
        <v>29</v>
      </c>
      <c r="B617" s="16">
        <v>45764</v>
      </c>
      <c r="C617">
        <v>6.6</v>
      </c>
      <c r="D617">
        <v>1</v>
      </c>
      <c r="E617" t="s">
        <v>6132</v>
      </c>
    </row>
    <row r="618" spans="1:5" x14ac:dyDescent="0.35">
      <c r="A618" t="s">
        <v>29</v>
      </c>
      <c r="B618" s="16">
        <v>45765</v>
      </c>
      <c r="C618">
        <v>7.5</v>
      </c>
      <c r="D618">
        <v>3</v>
      </c>
      <c r="E618" t="s">
        <v>6132</v>
      </c>
    </row>
    <row r="619" spans="1:5" x14ac:dyDescent="0.35">
      <c r="A619" t="s">
        <v>29</v>
      </c>
      <c r="B619" s="16">
        <v>45768</v>
      </c>
      <c r="C619">
        <v>7.1</v>
      </c>
      <c r="D619">
        <v>2</v>
      </c>
      <c r="E619" t="s">
        <v>6132</v>
      </c>
    </row>
    <row r="620" spans="1:5" x14ac:dyDescent="0.35">
      <c r="A620" t="s">
        <v>29</v>
      </c>
      <c r="B620" s="16">
        <v>45769</v>
      </c>
      <c r="C620">
        <v>5.5</v>
      </c>
      <c r="D620">
        <v>0</v>
      </c>
      <c r="E620" t="s">
        <v>6132</v>
      </c>
    </row>
    <row r="621" spans="1:5" x14ac:dyDescent="0.35">
      <c r="A621" t="s">
        <v>29</v>
      </c>
      <c r="B621" s="16">
        <v>45770</v>
      </c>
      <c r="C621">
        <v>7.3</v>
      </c>
      <c r="D621">
        <v>2</v>
      </c>
      <c r="E621" t="s">
        <v>6132</v>
      </c>
    </row>
    <row r="622" spans="1:5" x14ac:dyDescent="0.35">
      <c r="A622" t="s">
        <v>29</v>
      </c>
      <c r="B622" s="16">
        <v>45775</v>
      </c>
      <c r="C622">
        <v>6.3</v>
      </c>
      <c r="D622">
        <v>0</v>
      </c>
      <c r="E622" t="s">
        <v>6132</v>
      </c>
    </row>
    <row r="623" spans="1:5" x14ac:dyDescent="0.35">
      <c r="A623" t="s">
        <v>29</v>
      </c>
      <c r="B623" s="16">
        <v>45778</v>
      </c>
      <c r="C623">
        <v>6.1</v>
      </c>
      <c r="D623">
        <v>4</v>
      </c>
      <c r="E623" t="s">
        <v>6132</v>
      </c>
    </row>
    <row r="624" spans="1:5" x14ac:dyDescent="0.35">
      <c r="A624" t="s">
        <v>29</v>
      </c>
      <c r="B624" s="16">
        <v>45779</v>
      </c>
      <c r="C624">
        <v>6.4</v>
      </c>
      <c r="D624">
        <v>1</v>
      </c>
      <c r="E624" t="s">
        <v>6132</v>
      </c>
    </row>
    <row r="625" spans="1:5" x14ac:dyDescent="0.35">
      <c r="A625" t="s">
        <v>29</v>
      </c>
      <c r="B625" s="16">
        <v>45783</v>
      </c>
      <c r="C625">
        <v>7.8</v>
      </c>
      <c r="D625">
        <v>1</v>
      </c>
      <c r="E625" t="s">
        <v>6132</v>
      </c>
    </row>
    <row r="626" spans="1:5" x14ac:dyDescent="0.35">
      <c r="A626" t="s">
        <v>29</v>
      </c>
      <c r="B626" s="16">
        <v>45784</v>
      </c>
      <c r="C626">
        <v>7.5</v>
      </c>
      <c r="D626">
        <v>1</v>
      </c>
      <c r="E626" t="s">
        <v>6132</v>
      </c>
    </row>
    <row r="627" spans="1:5" x14ac:dyDescent="0.35">
      <c r="A627" t="s">
        <v>29</v>
      </c>
      <c r="B627" s="16">
        <v>45785</v>
      </c>
      <c r="D627">
        <v>1</v>
      </c>
      <c r="E627" t="s">
        <v>6132</v>
      </c>
    </row>
    <row r="628" spans="1:5" x14ac:dyDescent="0.35">
      <c r="A628" t="s">
        <v>29</v>
      </c>
      <c r="B628" s="16">
        <v>45786</v>
      </c>
      <c r="C628">
        <v>6.3</v>
      </c>
      <c r="D628">
        <v>1</v>
      </c>
      <c r="E628" t="s">
        <v>6132</v>
      </c>
    </row>
    <row r="629" spans="1:5" x14ac:dyDescent="0.35">
      <c r="A629" t="s">
        <v>29</v>
      </c>
      <c r="B629" s="16">
        <v>45789</v>
      </c>
      <c r="C629">
        <v>6</v>
      </c>
      <c r="D629">
        <v>2</v>
      </c>
      <c r="E629" t="s">
        <v>6132</v>
      </c>
    </row>
    <row r="630" spans="1:5" x14ac:dyDescent="0.35">
      <c r="A630" t="s">
        <v>29</v>
      </c>
      <c r="B630" s="16">
        <v>45790</v>
      </c>
      <c r="C630">
        <v>8.1999999999999993</v>
      </c>
      <c r="D630">
        <v>0</v>
      </c>
      <c r="E630" t="s">
        <v>6132</v>
      </c>
    </row>
    <row r="631" spans="1:5" x14ac:dyDescent="0.35">
      <c r="A631" t="s">
        <v>29</v>
      </c>
      <c r="B631" s="16">
        <v>45791</v>
      </c>
      <c r="C631">
        <v>6.3</v>
      </c>
      <c r="D631">
        <v>0</v>
      </c>
      <c r="E631" t="s">
        <v>6132</v>
      </c>
    </row>
    <row r="632" spans="1:5" x14ac:dyDescent="0.35">
      <c r="A632" t="s">
        <v>29</v>
      </c>
      <c r="B632" s="16">
        <v>45793</v>
      </c>
      <c r="C632">
        <v>7.1</v>
      </c>
      <c r="D632">
        <v>0</v>
      </c>
      <c r="E632" t="s">
        <v>6134</v>
      </c>
    </row>
    <row r="633" spans="1:5" x14ac:dyDescent="0.35">
      <c r="A633" t="s">
        <v>29</v>
      </c>
      <c r="B633" s="16">
        <v>45796</v>
      </c>
      <c r="C633">
        <v>8.1</v>
      </c>
      <c r="D633">
        <v>0</v>
      </c>
      <c r="E633" t="s">
        <v>6132</v>
      </c>
    </row>
    <row r="634" spans="1:5" x14ac:dyDescent="0.35">
      <c r="A634" t="s">
        <v>29</v>
      </c>
      <c r="B634" s="16">
        <v>45797</v>
      </c>
      <c r="C634">
        <v>5.2</v>
      </c>
      <c r="D634">
        <v>0</v>
      </c>
      <c r="E634" t="s">
        <v>6133</v>
      </c>
    </row>
    <row r="635" spans="1:5" x14ac:dyDescent="0.35">
      <c r="A635" t="s">
        <v>29</v>
      </c>
      <c r="B635" s="16">
        <v>45798</v>
      </c>
      <c r="C635">
        <v>5</v>
      </c>
      <c r="D635">
        <v>2</v>
      </c>
      <c r="E635" t="s">
        <v>6132</v>
      </c>
    </row>
    <row r="636" spans="1:5" x14ac:dyDescent="0.35">
      <c r="A636" t="s">
        <v>29</v>
      </c>
      <c r="B636" s="16">
        <v>45803</v>
      </c>
      <c r="C636">
        <v>4.5</v>
      </c>
      <c r="D636">
        <v>1</v>
      </c>
      <c r="E636" t="s">
        <v>6132</v>
      </c>
    </row>
    <row r="637" spans="1:5" x14ac:dyDescent="0.35">
      <c r="A637" t="s">
        <v>29</v>
      </c>
      <c r="B637" s="16">
        <v>45810</v>
      </c>
      <c r="C637">
        <v>7.1</v>
      </c>
      <c r="D637">
        <v>1</v>
      </c>
      <c r="E637" t="s">
        <v>6132</v>
      </c>
    </row>
    <row r="638" spans="1:5" x14ac:dyDescent="0.35">
      <c r="A638" t="s">
        <v>29</v>
      </c>
      <c r="B638" s="16">
        <v>45811</v>
      </c>
      <c r="C638">
        <v>4.0999999999999996</v>
      </c>
      <c r="D638">
        <v>0</v>
      </c>
      <c r="E638" t="s">
        <v>6132</v>
      </c>
    </row>
    <row r="639" spans="1:5" x14ac:dyDescent="0.35">
      <c r="A639" t="s">
        <v>29</v>
      </c>
      <c r="B639" s="16">
        <v>45812</v>
      </c>
      <c r="C639">
        <v>5.5</v>
      </c>
      <c r="D639">
        <v>1</v>
      </c>
      <c r="E639" t="s">
        <v>6132</v>
      </c>
    </row>
    <row r="640" spans="1:5" x14ac:dyDescent="0.35">
      <c r="A640" t="s">
        <v>29</v>
      </c>
      <c r="B640" s="16">
        <v>45813</v>
      </c>
      <c r="C640">
        <v>7.6</v>
      </c>
      <c r="D640">
        <v>2</v>
      </c>
      <c r="E640" t="s">
        <v>6132</v>
      </c>
    </row>
    <row r="641" spans="1:5" x14ac:dyDescent="0.35">
      <c r="A641" t="s">
        <v>29</v>
      </c>
      <c r="B641" s="16">
        <v>45819</v>
      </c>
      <c r="C641">
        <v>8.6</v>
      </c>
      <c r="D641">
        <v>1</v>
      </c>
      <c r="E641" t="s">
        <v>6132</v>
      </c>
    </row>
    <row r="642" spans="1:5" x14ac:dyDescent="0.35">
      <c r="A642" t="s">
        <v>29</v>
      </c>
      <c r="B642" s="16">
        <v>45820</v>
      </c>
      <c r="C642">
        <v>5.9</v>
      </c>
      <c r="D642">
        <v>0</v>
      </c>
      <c r="E642" t="s">
        <v>6132</v>
      </c>
    </row>
    <row r="643" spans="1:5" x14ac:dyDescent="0.35">
      <c r="A643" t="s">
        <v>29</v>
      </c>
      <c r="B643" s="16">
        <v>45821</v>
      </c>
      <c r="C643">
        <v>7.9</v>
      </c>
      <c r="D643">
        <v>1</v>
      </c>
      <c r="E643" t="s">
        <v>6132</v>
      </c>
    </row>
    <row r="644" spans="1:5" x14ac:dyDescent="0.35">
      <c r="A644" t="s">
        <v>29</v>
      </c>
      <c r="B644" s="16">
        <v>45826</v>
      </c>
      <c r="D644">
        <v>0</v>
      </c>
      <c r="E644" t="s">
        <v>6132</v>
      </c>
    </row>
    <row r="645" spans="1:5" x14ac:dyDescent="0.35">
      <c r="A645" t="s">
        <v>29</v>
      </c>
      <c r="B645" s="16">
        <v>45831</v>
      </c>
      <c r="C645">
        <v>7.3</v>
      </c>
      <c r="D645">
        <v>1</v>
      </c>
      <c r="E645" t="s">
        <v>6132</v>
      </c>
    </row>
    <row r="646" spans="1:5" x14ac:dyDescent="0.35">
      <c r="A646" t="s">
        <v>29</v>
      </c>
      <c r="B646" s="16">
        <v>45832</v>
      </c>
      <c r="C646">
        <v>6.6</v>
      </c>
      <c r="D646">
        <v>0</v>
      </c>
      <c r="E646" t="s">
        <v>6132</v>
      </c>
    </row>
    <row r="647" spans="1:5" x14ac:dyDescent="0.35">
      <c r="A647" t="s">
        <v>29</v>
      </c>
      <c r="B647" s="16">
        <v>45833</v>
      </c>
      <c r="C647">
        <v>4.5</v>
      </c>
      <c r="D647">
        <v>1</v>
      </c>
      <c r="E647" t="s">
        <v>6132</v>
      </c>
    </row>
    <row r="648" spans="1:5" x14ac:dyDescent="0.35">
      <c r="A648" t="s">
        <v>29</v>
      </c>
      <c r="B648" s="16">
        <v>45835</v>
      </c>
      <c r="C648">
        <v>5.9</v>
      </c>
      <c r="D648">
        <v>0</v>
      </c>
      <c r="E648" t="s">
        <v>6133</v>
      </c>
    </row>
    <row r="649" spans="1:5" x14ac:dyDescent="0.35">
      <c r="A649" t="s">
        <v>29</v>
      </c>
      <c r="B649" s="16">
        <v>45840</v>
      </c>
      <c r="C649">
        <v>4.5</v>
      </c>
      <c r="D649">
        <v>0</v>
      </c>
      <c r="E649" t="s">
        <v>6132</v>
      </c>
    </row>
    <row r="650" spans="1:5" x14ac:dyDescent="0.35">
      <c r="A650" t="s">
        <v>29</v>
      </c>
      <c r="B650" s="16">
        <v>45841</v>
      </c>
      <c r="C650">
        <v>6</v>
      </c>
      <c r="D650">
        <v>2</v>
      </c>
      <c r="E650" t="s">
        <v>6132</v>
      </c>
    </row>
    <row r="651" spans="1:5" x14ac:dyDescent="0.35">
      <c r="A651" t="s">
        <v>29</v>
      </c>
      <c r="B651" s="16">
        <v>45845</v>
      </c>
      <c r="C651">
        <v>8.5</v>
      </c>
      <c r="D651">
        <v>2</v>
      </c>
      <c r="E651" t="s">
        <v>6132</v>
      </c>
    </row>
    <row r="652" spans="1:5" x14ac:dyDescent="0.35">
      <c r="A652" t="s">
        <v>29</v>
      </c>
      <c r="B652" s="16">
        <v>45846</v>
      </c>
      <c r="C652">
        <v>4</v>
      </c>
      <c r="D652">
        <v>0</v>
      </c>
      <c r="E652" t="s">
        <v>6132</v>
      </c>
    </row>
    <row r="653" spans="1:5" x14ac:dyDescent="0.35">
      <c r="A653" t="s">
        <v>29</v>
      </c>
      <c r="B653" s="16">
        <v>45848</v>
      </c>
      <c r="C653">
        <v>6.8</v>
      </c>
      <c r="D653">
        <v>0</v>
      </c>
      <c r="E653" t="s">
        <v>6133</v>
      </c>
    </row>
    <row r="654" spans="1:5" x14ac:dyDescent="0.35">
      <c r="A654" t="s">
        <v>29</v>
      </c>
      <c r="B654" s="16">
        <v>45853</v>
      </c>
      <c r="C654">
        <v>7.3</v>
      </c>
      <c r="D654">
        <v>2</v>
      </c>
      <c r="E654" t="s">
        <v>6132</v>
      </c>
    </row>
    <row r="655" spans="1:5" x14ac:dyDescent="0.35">
      <c r="A655" t="s">
        <v>29</v>
      </c>
      <c r="B655" s="16">
        <v>45855</v>
      </c>
      <c r="C655">
        <v>8.3000000000000007</v>
      </c>
      <c r="D655">
        <v>0</v>
      </c>
      <c r="E655" t="s">
        <v>6132</v>
      </c>
    </row>
    <row r="656" spans="1:5" x14ac:dyDescent="0.35">
      <c r="A656" t="s">
        <v>29</v>
      </c>
      <c r="B656" s="16">
        <v>45859</v>
      </c>
      <c r="C656">
        <v>7.8</v>
      </c>
      <c r="D656">
        <v>0</v>
      </c>
      <c r="E656" t="s">
        <v>6132</v>
      </c>
    </row>
    <row r="657" spans="1:5" x14ac:dyDescent="0.35">
      <c r="A657" t="s">
        <v>29</v>
      </c>
      <c r="B657" s="16">
        <v>45861</v>
      </c>
      <c r="C657">
        <v>5.8</v>
      </c>
      <c r="D657">
        <v>1</v>
      </c>
      <c r="E657" t="s">
        <v>6132</v>
      </c>
    </row>
    <row r="658" spans="1:5" x14ac:dyDescent="0.35">
      <c r="A658" t="s">
        <v>29</v>
      </c>
      <c r="B658" s="16">
        <v>45867</v>
      </c>
      <c r="C658">
        <v>5.7</v>
      </c>
      <c r="D658">
        <v>0</v>
      </c>
      <c r="E658" t="s">
        <v>6132</v>
      </c>
    </row>
    <row r="659" spans="1:5" x14ac:dyDescent="0.35">
      <c r="A659" t="s">
        <v>29</v>
      </c>
      <c r="B659" s="16">
        <v>45876</v>
      </c>
      <c r="C659">
        <v>6.4</v>
      </c>
      <c r="D659">
        <v>2</v>
      </c>
      <c r="E659" t="s">
        <v>6132</v>
      </c>
    </row>
    <row r="660" spans="1:5" x14ac:dyDescent="0.35">
      <c r="A660" t="s">
        <v>29</v>
      </c>
      <c r="B660" s="16">
        <v>45880</v>
      </c>
      <c r="C660">
        <v>6.2</v>
      </c>
      <c r="D660">
        <v>4</v>
      </c>
      <c r="E660" t="s">
        <v>6132</v>
      </c>
    </row>
    <row r="661" spans="1:5" x14ac:dyDescent="0.35">
      <c r="A661" t="s">
        <v>29</v>
      </c>
      <c r="B661" s="16">
        <v>45884</v>
      </c>
      <c r="C661">
        <v>8.1</v>
      </c>
      <c r="D661">
        <v>2</v>
      </c>
      <c r="E661" t="s">
        <v>6132</v>
      </c>
    </row>
    <row r="662" spans="1:5" x14ac:dyDescent="0.35">
      <c r="A662" t="s">
        <v>29</v>
      </c>
      <c r="B662" s="16">
        <v>45887</v>
      </c>
      <c r="C662">
        <v>8.5</v>
      </c>
      <c r="D662">
        <v>1</v>
      </c>
      <c r="E662" t="s">
        <v>6132</v>
      </c>
    </row>
    <row r="663" spans="1:5" x14ac:dyDescent="0.35">
      <c r="A663" t="s">
        <v>29</v>
      </c>
      <c r="B663" s="16">
        <v>45888</v>
      </c>
      <c r="C663">
        <v>7.2</v>
      </c>
      <c r="D663">
        <v>3</v>
      </c>
      <c r="E663" t="s">
        <v>6132</v>
      </c>
    </row>
    <row r="664" spans="1:5" x14ac:dyDescent="0.35">
      <c r="A664" t="s">
        <v>29</v>
      </c>
      <c r="B664" s="16">
        <v>45890</v>
      </c>
      <c r="C664">
        <v>6.6</v>
      </c>
      <c r="D664">
        <v>1</v>
      </c>
      <c r="E664" t="s">
        <v>6132</v>
      </c>
    </row>
    <row r="665" spans="1:5" x14ac:dyDescent="0.35">
      <c r="A665" t="s">
        <v>29</v>
      </c>
      <c r="B665" s="16">
        <v>45891</v>
      </c>
      <c r="C665">
        <v>5.2</v>
      </c>
      <c r="D665">
        <v>1</v>
      </c>
      <c r="E665" t="s">
        <v>6132</v>
      </c>
    </row>
    <row r="666" spans="1:5" x14ac:dyDescent="0.35">
      <c r="A666" t="s">
        <v>29</v>
      </c>
      <c r="B666" s="16">
        <v>45894</v>
      </c>
      <c r="C666">
        <v>6.3</v>
      </c>
      <c r="D666">
        <v>2</v>
      </c>
      <c r="E666" t="s">
        <v>6132</v>
      </c>
    </row>
    <row r="667" spans="1:5" x14ac:dyDescent="0.35">
      <c r="A667" t="s">
        <v>29</v>
      </c>
      <c r="B667" s="16">
        <v>45897</v>
      </c>
      <c r="C667">
        <v>8.1999999999999993</v>
      </c>
      <c r="D667">
        <v>2</v>
      </c>
      <c r="E667" t="s">
        <v>6132</v>
      </c>
    </row>
    <row r="668" spans="1:5" x14ac:dyDescent="0.35">
      <c r="A668" t="s">
        <v>29</v>
      </c>
      <c r="B668" s="16">
        <v>45898</v>
      </c>
      <c r="C668">
        <v>6.1</v>
      </c>
      <c r="D668">
        <v>0</v>
      </c>
      <c r="E668" t="s">
        <v>6132</v>
      </c>
    </row>
    <row r="669" spans="1:5" x14ac:dyDescent="0.35">
      <c r="A669" t="s">
        <v>29</v>
      </c>
      <c r="B669" s="16">
        <v>45901</v>
      </c>
      <c r="C669">
        <v>7.5</v>
      </c>
      <c r="D669">
        <v>1</v>
      </c>
      <c r="E669" t="s">
        <v>6132</v>
      </c>
    </row>
    <row r="670" spans="1:5" x14ac:dyDescent="0.35">
      <c r="A670" t="s">
        <v>29</v>
      </c>
      <c r="B670" s="16">
        <v>45904</v>
      </c>
      <c r="C670">
        <v>9</v>
      </c>
      <c r="D670">
        <v>1</v>
      </c>
      <c r="E670" t="s">
        <v>6132</v>
      </c>
    </row>
    <row r="671" spans="1:5" x14ac:dyDescent="0.35">
      <c r="A671" t="s">
        <v>29</v>
      </c>
      <c r="B671" s="16">
        <v>45905</v>
      </c>
      <c r="C671">
        <v>6.9</v>
      </c>
      <c r="D671">
        <v>2</v>
      </c>
      <c r="E671" t="s">
        <v>6132</v>
      </c>
    </row>
    <row r="672" spans="1:5" x14ac:dyDescent="0.35">
      <c r="A672" t="s">
        <v>29</v>
      </c>
      <c r="B672" s="16">
        <v>45908</v>
      </c>
      <c r="C672">
        <v>8.6</v>
      </c>
      <c r="D672">
        <v>0</v>
      </c>
      <c r="E672" t="s">
        <v>6132</v>
      </c>
    </row>
    <row r="673" spans="1:5" x14ac:dyDescent="0.35">
      <c r="A673" t="s">
        <v>29</v>
      </c>
      <c r="B673" s="16">
        <v>45910</v>
      </c>
      <c r="C673">
        <v>6.4</v>
      </c>
      <c r="D673">
        <v>1</v>
      </c>
      <c r="E673" t="s">
        <v>6132</v>
      </c>
    </row>
    <row r="674" spans="1:5" x14ac:dyDescent="0.35">
      <c r="A674" t="s">
        <v>29</v>
      </c>
      <c r="B674" s="16">
        <v>45911</v>
      </c>
      <c r="C674">
        <v>7.3</v>
      </c>
      <c r="D674">
        <v>1</v>
      </c>
      <c r="E674" t="s">
        <v>6132</v>
      </c>
    </row>
    <row r="675" spans="1:5" x14ac:dyDescent="0.35">
      <c r="A675" t="s">
        <v>29</v>
      </c>
      <c r="B675" s="16">
        <v>45919</v>
      </c>
      <c r="C675">
        <v>8.1</v>
      </c>
      <c r="D675">
        <v>0</v>
      </c>
      <c r="E675" t="s">
        <v>6132</v>
      </c>
    </row>
    <row r="676" spans="1:5" x14ac:dyDescent="0.35">
      <c r="A676" t="s">
        <v>29</v>
      </c>
      <c r="B676" s="16">
        <v>45923</v>
      </c>
      <c r="C676">
        <v>8.5</v>
      </c>
      <c r="D676">
        <v>3</v>
      </c>
      <c r="E676" t="s">
        <v>6132</v>
      </c>
    </row>
    <row r="677" spans="1:5" x14ac:dyDescent="0.35">
      <c r="A677" t="s">
        <v>29</v>
      </c>
      <c r="B677" s="16">
        <v>45925</v>
      </c>
      <c r="C677">
        <v>8.5</v>
      </c>
      <c r="D677">
        <v>0</v>
      </c>
      <c r="E677" t="s">
        <v>6132</v>
      </c>
    </row>
    <row r="678" spans="1:5" x14ac:dyDescent="0.35">
      <c r="A678" t="s">
        <v>29</v>
      </c>
      <c r="B678" s="16">
        <v>45929</v>
      </c>
      <c r="C678">
        <v>7.4</v>
      </c>
      <c r="D678">
        <v>0</v>
      </c>
      <c r="E678" t="s">
        <v>6134</v>
      </c>
    </row>
    <row r="679" spans="1:5" x14ac:dyDescent="0.35">
      <c r="A679" t="s">
        <v>29</v>
      </c>
      <c r="B679" s="16">
        <v>45930</v>
      </c>
      <c r="D679">
        <v>0</v>
      </c>
      <c r="E679" t="s">
        <v>6133</v>
      </c>
    </row>
    <row r="680" spans="1:5" x14ac:dyDescent="0.35">
      <c r="A680" t="s">
        <v>29</v>
      </c>
      <c r="B680" s="16">
        <v>45931</v>
      </c>
      <c r="C680">
        <v>7.4</v>
      </c>
      <c r="D680">
        <v>0</v>
      </c>
      <c r="E680" t="s">
        <v>6132</v>
      </c>
    </row>
    <row r="681" spans="1:5" x14ac:dyDescent="0.35">
      <c r="A681" t="s">
        <v>29</v>
      </c>
      <c r="B681" s="16">
        <v>45933</v>
      </c>
      <c r="C681">
        <v>7.8</v>
      </c>
      <c r="D681">
        <v>0</v>
      </c>
      <c r="E681" t="s">
        <v>6132</v>
      </c>
    </row>
    <row r="682" spans="1:5" x14ac:dyDescent="0.35">
      <c r="A682" t="s">
        <v>29</v>
      </c>
      <c r="B682" s="16">
        <v>45938</v>
      </c>
      <c r="C682">
        <v>7.4</v>
      </c>
      <c r="D682">
        <v>0</v>
      </c>
      <c r="E682" t="s">
        <v>6132</v>
      </c>
    </row>
    <row r="683" spans="1:5" x14ac:dyDescent="0.35">
      <c r="A683" t="s">
        <v>29</v>
      </c>
      <c r="B683" s="16">
        <v>45943</v>
      </c>
      <c r="C683">
        <v>6.9</v>
      </c>
      <c r="D683">
        <v>1</v>
      </c>
      <c r="E683" t="s">
        <v>6132</v>
      </c>
    </row>
    <row r="684" spans="1:5" x14ac:dyDescent="0.35">
      <c r="A684" t="s">
        <v>29</v>
      </c>
      <c r="B684" s="16">
        <v>45944</v>
      </c>
      <c r="C684">
        <v>5.0999999999999996</v>
      </c>
      <c r="D684">
        <v>0</v>
      </c>
      <c r="E684" t="s">
        <v>6132</v>
      </c>
    </row>
    <row r="685" spans="1:5" x14ac:dyDescent="0.35">
      <c r="A685" t="s">
        <v>29</v>
      </c>
      <c r="B685" s="16">
        <v>45947</v>
      </c>
      <c r="C685">
        <v>4.2</v>
      </c>
      <c r="D685">
        <v>2</v>
      </c>
      <c r="E685" t="s">
        <v>6132</v>
      </c>
    </row>
    <row r="686" spans="1:5" x14ac:dyDescent="0.35">
      <c r="A686" t="s">
        <v>29</v>
      </c>
      <c r="B686" s="16">
        <v>45951</v>
      </c>
      <c r="C686">
        <v>4.9000000000000004</v>
      </c>
      <c r="D686">
        <v>0</v>
      </c>
      <c r="E686" t="s">
        <v>6132</v>
      </c>
    </row>
    <row r="687" spans="1:5" x14ac:dyDescent="0.35">
      <c r="A687" t="s">
        <v>29</v>
      </c>
      <c r="B687" s="16">
        <v>45952</v>
      </c>
      <c r="C687">
        <v>6.3</v>
      </c>
      <c r="D687">
        <v>2</v>
      </c>
      <c r="E687" t="s">
        <v>6132</v>
      </c>
    </row>
    <row r="688" spans="1:5" x14ac:dyDescent="0.35">
      <c r="A688" t="s">
        <v>29</v>
      </c>
      <c r="B688" s="16">
        <v>45953</v>
      </c>
      <c r="C688">
        <v>6.3</v>
      </c>
      <c r="D688">
        <v>0</v>
      </c>
      <c r="E688" t="s">
        <v>6132</v>
      </c>
    </row>
    <row r="689" spans="1:5" x14ac:dyDescent="0.35">
      <c r="A689" t="s">
        <v>29</v>
      </c>
      <c r="B689" s="16">
        <v>45959</v>
      </c>
      <c r="C689">
        <v>5.3</v>
      </c>
      <c r="D689">
        <v>0</v>
      </c>
      <c r="E689" t="s">
        <v>6132</v>
      </c>
    </row>
    <row r="690" spans="1:5" x14ac:dyDescent="0.35">
      <c r="A690" t="s">
        <v>29</v>
      </c>
      <c r="B690" s="16">
        <v>45961</v>
      </c>
      <c r="C690">
        <v>8.1999999999999993</v>
      </c>
      <c r="D690">
        <v>1</v>
      </c>
      <c r="E690" t="s">
        <v>6132</v>
      </c>
    </row>
    <row r="691" spans="1:5" x14ac:dyDescent="0.35">
      <c r="A691" t="s">
        <v>29</v>
      </c>
      <c r="B691" s="16">
        <v>45965</v>
      </c>
      <c r="C691">
        <v>6.5</v>
      </c>
      <c r="D691">
        <v>0</v>
      </c>
      <c r="E691" t="s">
        <v>6132</v>
      </c>
    </row>
    <row r="692" spans="1:5" x14ac:dyDescent="0.35">
      <c r="A692" t="s">
        <v>29</v>
      </c>
      <c r="B692" s="16">
        <v>45966</v>
      </c>
      <c r="C692">
        <v>7.2</v>
      </c>
      <c r="D692">
        <v>0</v>
      </c>
      <c r="E692" t="s">
        <v>6132</v>
      </c>
    </row>
    <row r="693" spans="1:5" x14ac:dyDescent="0.35">
      <c r="A693" t="s">
        <v>29</v>
      </c>
      <c r="B693" s="16">
        <v>45967</v>
      </c>
      <c r="C693">
        <v>5.5</v>
      </c>
      <c r="D693">
        <v>0</v>
      </c>
      <c r="E693" t="s">
        <v>6132</v>
      </c>
    </row>
    <row r="694" spans="1:5" x14ac:dyDescent="0.35">
      <c r="A694" t="s">
        <v>29</v>
      </c>
      <c r="B694" s="16">
        <v>45968</v>
      </c>
      <c r="C694">
        <v>7.6</v>
      </c>
      <c r="D694">
        <v>0</v>
      </c>
      <c r="E694" t="s">
        <v>6132</v>
      </c>
    </row>
    <row r="695" spans="1:5" x14ac:dyDescent="0.35">
      <c r="A695" t="s">
        <v>29</v>
      </c>
      <c r="B695" s="16">
        <v>45974</v>
      </c>
      <c r="C695">
        <v>8.6</v>
      </c>
      <c r="D695">
        <v>0</v>
      </c>
      <c r="E695" t="s">
        <v>6132</v>
      </c>
    </row>
    <row r="696" spans="1:5" x14ac:dyDescent="0.35">
      <c r="A696" t="s">
        <v>29</v>
      </c>
      <c r="B696" s="16">
        <v>45975</v>
      </c>
      <c r="C696">
        <v>5.4</v>
      </c>
      <c r="D696">
        <v>0</v>
      </c>
      <c r="E696" t="s">
        <v>6132</v>
      </c>
    </row>
    <row r="697" spans="1:5" x14ac:dyDescent="0.35">
      <c r="A697" t="s">
        <v>29</v>
      </c>
      <c r="B697" s="16">
        <v>45988</v>
      </c>
      <c r="C697">
        <v>8.4</v>
      </c>
      <c r="D697">
        <v>0</v>
      </c>
      <c r="E697" t="s">
        <v>6132</v>
      </c>
    </row>
    <row r="698" spans="1:5" x14ac:dyDescent="0.35">
      <c r="A698" t="s">
        <v>29</v>
      </c>
      <c r="B698" s="16">
        <v>45989</v>
      </c>
      <c r="C698">
        <v>6.3</v>
      </c>
      <c r="D698">
        <v>4</v>
      </c>
      <c r="E698" t="s">
        <v>6132</v>
      </c>
    </row>
    <row r="699" spans="1:5" x14ac:dyDescent="0.35">
      <c r="A699" t="s">
        <v>29</v>
      </c>
      <c r="B699" s="16">
        <v>45993</v>
      </c>
      <c r="C699">
        <v>7</v>
      </c>
      <c r="D699">
        <v>0</v>
      </c>
      <c r="E699" t="s">
        <v>6134</v>
      </c>
    </row>
    <row r="700" spans="1:5" x14ac:dyDescent="0.35">
      <c r="A700" t="s">
        <v>29</v>
      </c>
      <c r="B700" s="16">
        <v>45996</v>
      </c>
      <c r="C700">
        <v>8.1</v>
      </c>
      <c r="D700">
        <v>1</v>
      </c>
      <c r="E700" t="s">
        <v>6132</v>
      </c>
    </row>
    <row r="701" spans="1:5" x14ac:dyDescent="0.35">
      <c r="A701" t="s">
        <v>29</v>
      </c>
      <c r="B701" s="16">
        <v>46002</v>
      </c>
      <c r="C701">
        <v>6.4</v>
      </c>
      <c r="D701">
        <v>1</v>
      </c>
      <c r="E701" t="s">
        <v>6132</v>
      </c>
    </row>
    <row r="702" spans="1:5" x14ac:dyDescent="0.35">
      <c r="A702" t="s">
        <v>29</v>
      </c>
      <c r="B702" s="16">
        <v>46003</v>
      </c>
      <c r="C702">
        <v>7.8</v>
      </c>
      <c r="D702">
        <v>0</v>
      </c>
      <c r="E702" t="s">
        <v>6132</v>
      </c>
    </row>
    <row r="703" spans="1:5" x14ac:dyDescent="0.35">
      <c r="A703" t="s">
        <v>29</v>
      </c>
      <c r="B703" s="16">
        <v>46007</v>
      </c>
      <c r="C703">
        <v>6.7</v>
      </c>
      <c r="D703">
        <v>1</v>
      </c>
      <c r="E703" t="s">
        <v>6132</v>
      </c>
    </row>
    <row r="704" spans="1:5" x14ac:dyDescent="0.35">
      <c r="A704" t="s">
        <v>29</v>
      </c>
      <c r="B704" s="16">
        <v>46010</v>
      </c>
      <c r="C704">
        <v>4.7</v>
      </c>
      <c r="D704">
        <v>2</v>
      </c>
      <c r="E704" t="s">
        <v>6132</v>
      </c>
    </row>
    <row r="705" spans="1:5" x14ac:dyDescent="0.35">
      <c r="A705" t="s">
        <v>29</v>
      </c>
      <c r="B705" s="16">
        <v>46013</v>
      </c>
      <c r="C705">
        <v>7.9</v>
      </c>
      <c r="D705">
        <v>0</v>
      </c>
      <c r="E705" t="s">
        <v>6132</v>
      </c>
    </row>
    <row r="706" spans="1:5" x14ac:dyDescent="0.35">
      <c r="A706" t="s">
        <v>29</v>
      </c>
      <c r="B706" s="16">
        <v>46017</v>
      </c>
      <c r="C706">
        <v>4.5999999999999996</v>
      </c>
      <c r="D706">
        <v>0</v>
      </c>
      <c r="E706" t="s">
        <v>6132</v>
      </c>
    </row>
    <row r="707" spans="1:5" x14ac:dyDescent="0.35">
      <c r="A707" t="s">
        <v>29</v>
      </c>
      <c r="B707" s="16">
        <v>46020</v>
      </c>
      <c r="C707">
        <v>6.5</v>
      </c>
      <c r="D707">
        <v>0</v>
      </c>
      <c r="E707" t="s">
        <v>6133</v>
      </c>
    </row>
    <row r="708" spans="1:5" x14ac:dyDescent="0.35">
      <c r="A708" t="s">
        <v>29</v>
      </c>
      <c r="B708" s="16">
        <v>46021</v>
      </c>
      <c r="C708">
        <v>7</v>
      </c>
      <c r="D708">
        <v>2</v>
      </c>
      <c r="E708" t="s">
        <v>6132</v>
      </c>
    </row>
    <row r="709" spans="1:5" x14ac:dyDescent="0.35">
      <c r="A709" t="s">
        <v>29</v>
      </c>
      <c r="B709" s="16">
        <v>46022</v>
      </c>
      <c r="C709">
        <v>4.5</v>
      </c>
      <c r="D709">
        <v>2</v>
      </c>
      <c r="E709" t="s">
        <v>6132</v>
      </c>
    </row>
    <row r="710" spans="1:5" x14ac:dyDescent="0.35">
      <c r="A710" t="s">
        <v>65</v>
      </c>
      <c r="B710" s="16">
        <v>45659</v>
      </c>
      <c r="C710">
        <v>4.8</v>
      </c>
      <c r="D710">
        <v>0</v>
      </c>
      <c r="E710" t="s">
        <v>6132</v>
      </c>
    </row>
    <row r="711" spans="1:5" x14ac:dyDescent="0.35">
      <c r="A711" t="s">
        <v>65</v>
      </c>
      <c r="B711" s="16">
        <v>45660</v>
      </c>
      <c r="C711">
        <v>7</v>
      </c>
      <c r="D711">
        <v>0</v>
      </c>
      <c r="E711" t="s">
        <v>6132</v>
      </c>
    </row>
    <row r="712" spans="1:5" x14ac:dyDescent="0.35">
      <c r="A712" t="s">
        <v>65</v>
      </c>
      <c r="B712" s="16">
        <v>45667</v>
      </c>
      <c r="C712">
        <v>4.0999999999999996</v>
      </c>
      <c r="D712">
        <v>1</v>
      </c>
      <c r="E712" t="s">
        <v>6132</v>
      </c>
    </row>
    <row r="713" spans="1:5" x14ac:dyDescent="0.35">
      <c r="A713" t="s">
        <v>65</v>
      </c>
      <c r="B713" s="16">
        <v>45670</v>
      </c>
      <c r="C713">
        <v>4.2</v>
      </c>
      <c r="D713">
        <v>0</v>
      </c>
      <c r="E713" t="s">
        <v>6132</v>
      </c>
    </row>
    <row r="714" spans="1:5" x14ac:dyDescent="0.35">
      <c r="A714" t="s">
        <v>65</v>
      </c>
      <c r="B714" s="16">
        <v>45671</v>
      </c>
      <c r="C714">
        <v>8.6</v>
      </c>
      <c r="D714">
        <v>0</v>
      </c>
      <c r="E714" t="s">
        <v>6133</v>
      </c>
    </row>
    <row r="715" spans="1:5" x14ac:dyDescent="0.35">
      <c r="A715" t="s">
        <v>65</v>
      </c>
      <c r="B715" s="16">
        <v>45672</v>
      </c>
      <c r="D715">
        <v>3</v>
      </c>
      <c r="E715" t="s">
        <v>6132</v>
      </c>
    </row>
    <row r="716" spans="1:5" x14ac:dyDescent="0.35">
      <c r="A716" t="s">
        <v>65</v>
      </c>
      <c r="B716" s="16">
        <v>45673</v>
      </c>
      <c r="C716">
        <v>7.2</v>
      </c>
      <c r="D716">
        <v>0</v>
      </c>
      <c r="E716" t="s">
        <v>6133</v>
      </c>
    </row>
    <row r="717" spans="1:5" x14ac:dyDescent="0.35">
      <c r="A717" t="s">
        <v>65</v>
      </c>
      <c r="B717" s="16">
        <v>45677</v>
      </c>
      <c r="C717">
        <v>4.5</v>
      </c>
      <c r="D717">
        <v>3</v>
      </c>
      <c r="E717" t="s">
        <v>6132</v>
      </c>
    </row>
    <row r="718" spans="1:5" x14ac:dyDescent="0.35">
      <c r="A718" t="s">
        <v>65</v>
      </c>
      <c r="B718" s="16">
        <v>45678</v>
      </c>
      <c r="C718">
        <v>5.3</v>
      </c>
      <c r="D718">
        <v>1</v>
      </c>
      <c r="E718" t="s">
        <v>6132</v>
      </c>
    </row>
    <row r="719" spans="1:5" x14ac:dyDescent="0.35">
      <c r="A719" t="s">
        <v>65</v>
      </c>
      <c r="B719" s="16">
        <v>45679</v>
      </c>
      <c r="C719">
        <v>5.0999999999999996</v>
      </c>
      <c r="D719">
        <v>2</v>
      </c>
      <c r="E719" t="s">
        <v>6132</v>
      </c>
    </row>
    <row r="720" spans="1:5" x14ac:dyDescent="0.35">
      <c r="A720" t="s">
        <v>65</v>
      </c>
      <c r="B720" s="16">
        <v>45680</v>
      </c>
      <c r="C720">
        <v>7.8</v>
      </c>
      <c r="D720">
        <v>4</v>
      </c>
      <c r="E720" t="s">
        <v>6132</v>
      </c>
    </row>
    <row r="721" spans="1:5" x14ac:dyDescent="0.35">
      <c r="A721" t="s">
        <v>65</v>
      </c>
      <c r="B721" s="16">
        <v>45681</v>
      </c>
      <c r="C721">
        <v>7.5</v>
      </c>
      <c r="D721">
        <v>0</v>
      </c>
      <c r="E721" t="s">
        <v>6132</v>
      </c>
    </row>
    <row r="722" spans="1:5" x14ac:dyDescent="0.35">
      <c r="A722" t="s">
        <v>65</v>
      </c>
      <c r="B722" s="16">
        <v>45684</v>
      </c>
      <c r="C722">
        <v>6.4</v>
      </c>
      <c r="D722">
        <v>0</v>
      </c>
      <c r="E722" t="s">
        <v>6134</v>
      </c>
    </row>
    <row r="723" spans="1:5" x14ac:dyDescent="0.35">
      <c r="A723" t="s">
        <v>65</v>
      </c>
      <c r="B723" s="16">
        <v>45685</v>
      </c>
      <c r="C723">
        <v>8.1</v>
      </c>
      <c r="D723">
        <v>2</v>
      </c>
      <c r="E723" t="s">
        <v>6132</v>
      </c>
    </row>
    <row r="724" spans="1:5" x14ac:dyDescent="0.35">
      <c r="A724" t="s">
        <v>65</v>
      </c>
      <c r="B724" s="16">
        <v>45686</v>
      </c>
      <c r="C724">
        <v>7.6</v>
      </c>
      <c r="D724">
        <v>0</v>
      </c>
      <c r="E724" t="s">
        <v>6132</v>
      </c>
    </row>
    <row r="725" spans="1:5" x14ac:dyDescent="0.35">
      <c r="A725" t="s">
        <v>65</v>
      </c>
      <c r="B725" s="16">
        <v>45691</v>
      </c>
      <c r="C725">
        <v>8.4</v>
      </c>
      <c r="D725">
        <v>4</v>
      </c>
      <c r="E725" t="s">
        <v>6132</v>
      </c>
    </row>
    <row r="726" spans="1:5" x14ac:dyDescent="0.35">
      <c r="A726" t="s">
        <v>65</v>
      </c>
      <c r="B726" s="16">
        <v>45694</v>
      </c>
      <c r="C726">
        <v>6.4</v>
      </c>
      <c r="D726">
        <v>0</v>
      </c>
      <c r="E726" t="s">
        <v>6132</v>
      </c>
    </row>
    <row r="727" spans="1:5" x14ac:dyDescent="0.35">
      <c r="A727" t="s">
        <v>65</v>
      </c>
      <c r="B727" s="16">
        <v>45700</v>
      </c>
      <c r="C727">
        <v>6.6</v>
      </c>
      <c r="D727">
        <v>1</v>
      </c>
      <c r="E727" t="s">
        <v>6132</v>
      </c>
    </row>
    <row r="728" spans="1:5" x14ac:dyDescent="0.35">
      <c r="A728" t="s">
        <v>65</v>
      </c>
      <c r="B728" s="16">
        <v>45700</v>
      </c>
      <c r="C728">
        <v>6.7</v>
      </c>
      <c r="D728">
        <v>0</v>
      </c>
      <c r="E728" t="s">
        <v>6134</v>
      </c>
    </row>
    <row r="729" spans="1:5" x14ac:dyDescent="0.35">
      <c r="A729" t="s">
        <v>65</v>
      </c>
      <c r="B729" s="16">
        <v>45705</v>
      </c>
      <c r="C729">
        <v>4.4000000000000004</v>
      </c>
      <c r="D729">
        <v>1</v>
      </c>
      <c r="E729" t="s">
        <v>6132</v>
      </c>
    </row>
    <row r="730" spans="1:5" x14ac:dyDescent="0.35">
      <c r="A730" t="s">
        <v>65</v>
      </c>
      <c r="B730" s="16">
        <v>45706</v>
      </c>
      <c r="C730">
        <v>4.0999999999999996</v>
      </c>
      <c r="D730">
        <v>0</v>
      </c>
      <c r="E730" t="s">
        <v>6132</v>
      </c>
    </row>
    <row r="731" spans="1:5" x14ac:dyDescent="0.35">
      <c r="A731" t="s">
        <v>65</v>
      </c>
      <c r="B731" s="16">
        <v>45707</v>
      </c>
      <c r="C731">
        <v>8.6</v>
      </c>
      <c r="D731">
        <v>0</v>
      </c>
      <c r="E731" t="s">
        <v>6132</v>
      </c>
    </row>
    <row r="732" spans="1:5" x14ac:dyDescent="0.35">
      <c r="A732" t="s">
        <v>65</v>
      </c>
      <c r="B732" s="16">
        <v>45708</v>
      </c>
      <c r="C732">
        <v>6.3</v>
      </c>
      <c r="D732">
        <v>5</v>
      </c>
      <c r="E732" t="s">
        <v>6132</v>
      </c>
    </row>
    <row r="733" spans="1:5" x14ac:dyDescent="0.35">
      <c r="A733" t="s">
        <v>65</v>
      </c>
      <c r="B733" s="16">
        <v>45709</v>
      </c>
      <c r="C733">
        <v>5.0999999999999996</v>
      </c>
      <c r="D733">
        <v>0</v>
      </c>
      <c r="E733" t="s">
        <v>6133</v>
      </c>
    </row>
    <row r="734" spans="1:5" x14ac:dyDescent="0.35">
      <c r="A734" t="s">
        <v>65</v>
      </c>
      <c r="B734" s="16">
        <v>45712</v>
      </c>
      <c r="C734">
        <v>5.7</v>
      </c>
      <c r="D734">
        <v>3</v>
      </c>
      <c r="E734" t="s">
        <v>6132</v>
      </c>
    </row>
    <row r="735" spans="1:5" x14ac:dyDescent="0.35">
      <c r="A735" t="s">
        <v>65</v>
      </c>
      <c r="B735" s="16">
        <v>45713</v>
      </c>
      <c r="C735">
        <v>7.2</v>
      </c>
      <c r="D735">
        <v>1</v>
      </c>
      <c r="E735" t="s">
        <v>6132</v>
      </c>
    </row>
    <row r="736" spans="1:5" x14ac:dyDescent="0.35">
      <c r="A736" t="s">
        <v>65</v>
      </c>
      <c r="B736" s="16">
        <v>45715</v>
      </c>
      <c r="C736">
        <v>5.5</v>
      </c>
      <c r="D736">
        <v>1</v>
      </c>
      <c r="E736" t="s">
        <v>6132</v>
      </c>
    </row>
    <row r="737" spans="1:5" x14ac:dyDescent="0.35">
      <c r="A737" t="s">
        <v>65</v>
      </c>
      <c r="B737" s="16">
        <v>45716</v>
      </c>
      <c r="C737">
        <v>7.9</v>
      </c>
      <c r="D737">
        <v>1</v>
      </c>
      <c r="E737" t="s">
        <v>6132</v>
      </c>
    </row>
    <row r="738" spans="1:5" x14ac:dyDescent="0.35">
      <c r="A738" t="s">
        <v>65</v>
      </c>
      <c r="B738" s="16">
        <v>45719</v>
      </c>
      <c r="C738">
        <v>6.4</v>
      </c>
      <c r="D738">
        <v>1</v>
      </c>
      <c r="E738" t="s">
        <v>6132</v>
      </c>
    </row>
    <row r="739" spans="1:5" x14ac:dyDescent="0.35">
      <c r="A739" t="s">
        <v>65</v>
      </c>
      <c r="B739" s="16">
        <v>45720</v>
      </c>
      <c r="C739">
        <v>8.4</v>
      </c>
      <c r="D739">
        <v>2</v>
      </c>
      <c r="E739" t="s">
        <v>6132</v>
      </c>
    </row>
    <row r="740" spans="1:5" x14ac:dyDescent="0.35">
      <c r="A740" t="s">
        <v>65</v>
      </c>
      <c r="B740" s="16">
        <v>45721</v>
      </c>
      <c r="C740">
        <v>5.6</v>
      </c>
      <c r="D740">
        <v>0</v>
      </c>
      <c r="E740" t="s">
        <v>6132</v>
      </c>
    </row>
    <row r="741" spans="1:5" x14ac:dyDescent="0.35">
      <c r="A741" t="s">
        <v>65</v>
      </c>
      <c r="B741" s="16">
        <v>45723</v>
      </c>
      <c r="C741">
        <v>8</v>
      </c>
      <c r="D741">
        <v>1</v>
      </c>
      <c r="E741" t="s">
        <v>6132</v>
      </c>
    </row>
    <row r="742" spans="1:5" x14ac:dyDescent="0.35">
      <c r="A742" t="s">
        <v>65</v>
      </c>
      <c r="B742" s="16">
        <v>45730</v>
      </c>
      <c r="C742">
        <v>6.8</v>
      </c>
      <c r="D742">
        <v>0</v>
      </c>
      <c r="E742" t="s">
        <v>6132</v>
      </c>
    </row>
    <row r="743" spans="1:5" x14ac:dyDescent="0.35">
      <c r="A743" t="s">
        <v>65</v>
      </c>
      <c r="B743" s="16">
        <v>45733</v>
      </c>
      <c r="C743">
        <v>4.5</v>
      </c>
      <c r="D743">
        <v>5</v>
      </c>
      <c r="E743" t="s">
        <v>6132</v>
      </c>
    </row>
    <row r="744" spans="1:5" x14ac:dyDescent="0.35">
      <c r="A744" t="s">
        <v>65</v>
      </c>
      <c r="B744" s="16">
        <v>45735</v>
      </c>
      <c r="C744">
        <v>4</v>
      </c>
      <c r="D744">
        <v>0</v>
      </c>
      <c r="E744" t="s">
        <v>6134</v>
      </c>
    </row>
    <row r="745" spans="1:5" x14ac:dyDescent="0.35">
      <c r="A745" t="s">
        <v>65</v>
      </c>
      <c r="B745" s="16">
        <v>45740</v>
      </c>
      <c r="C745">
        <v>6.2</v>
      </c>
      <c r="D745">
        <v>1</v>
      </c>
      <c r="E745" t="s">
        <v>6132</v>
      </c>
    </row>
    <row r="746" spans="1:5" x14ac:dyDescent="0.35">
      <c r="A746" t="s">
        <v>65</v>
      </c>
      <c r="B746" s="16">
        <v>45741</v>
      </c>
      <c r="C746">
        <v>4.9000000000000004</v>
      </c>
      <c r="D746">
        <v>7</v>
      </c>
      <c r="E746" t="s">
        <v>6132</v>
      </c>
    </row>
    <row r="747" spans="1:5" x14ac:dyDescent="0.35">
      <c r="A747" t="s">
        <v>65</v>
      </c>
      <c r="B747" s="16">
        <v>45742</v>
      </c>
      <c r="C747">
        <v>4.5999999999999996</v>
      </c>
      <c r="D747">
        <v>2</v>
      </c>
      <c r="E747" t="s">
        <v>6132</v>
      </c>
    </row>
    <row r="748" spans="1:5" x14ac:dyDescent="0.35">
      <c r="A748" t="s">
        <v>65</v>
      </c>
      <c r="B748" s="16">
        <v>45743</v>
      </c>
      <c r="C748">
        <v>6.8</v>
      </c>
      <c r="D748">
        <v>0</v>
      </c>
      <c r="E748" t="s">
        <v>6132</v>
      </c>
    </row>
    <row r="749" spans="1:5" x14ac:dyDescent="0.35">
      <c r="A749" t="s">
        <v>65</v>
      </c>
      <c r="B749" s="16">
        <v>45748</v>
      </c>
      <c r="C749">
        <v>8.1999999999999993</v>
      </c>
      <c r="D749">
        <v>1</v>
      </c>
      <c r="E749" t="s">
        <v>6132</v>
      </c>
    </row>
    <row r="750" spans="1:5" x14ac:dyDescent="0.35">
      <c r="A750" t="s">
        <v>65</v>
      </c>
      <c r="B750" s="16">
        <v>45749</v>
      </c>
      <c r="C750">
        <v>7.8</v>
      </c>
      <c r="D750">
        <v>2</v>
      </c>
      <c r="E750" t="s">
        <v>6132</v>
      </c>
    </row>
    <row r="751" spans="1:5" x14ac:dyDescent="0.35">
      <c r="A751" t="s">
        <v>65</v>
      </c>
      <c r="B751" s="16">
        <v>45755</v>
      </c>
      <c r="C751">
        <v>8.6999999999999993</v>
      </c>
      <c r="D751">
        <v>3</v>
      </c>
      <c r="E751" t="s">
        <v>6132</v>
      </c>
    </row>
    <row r="752" spans="1:5" x14ac:dyDescent="0.35">
      <c r="A752" t="s">
        <v>65</v>
      </c>
      <c r="B752" s="16">
        <v>45757</v>
      </c>
      <c r="C752">
        <v>4</v>
      </c>
      <c r="D752">
        <v>3</v>
      </c>
      <c r="E752" t="s">
        <v>6132</v>
      </c>
    </row>
    <row r="753" spans="1:5" x14ac:dyDescent="0.35">
      <c r="A753" t="s">
        <v>65</v>
      </c>
      <c r="B753" s="16">
        <v>45761</v>
      </c>
      <c r="C753">
        <v>6.2</v>
      </c>
      <c r="D753">
        <v>1</v>
      </c>
      <c r="E753" t="s">
        <v>6132</v>
      </c>
    </row>
    <row r="754" spans="1:5" x14ac:dyDescent="0.35">
      <c r="A754" t="s">
        <v>65</v>
      </c>
      <c r="B754" s="16">
        <v>45764</v>
      </c>
      <c r="C754">
        <v>7.9</v>
      </c>
      <c r="D754">
        <v>0</v>
      </c>
      <c r="E754" t="s">
        <v>6132</v>
      </c>
    </row>
    <row r="755" spans="1:5" x14ac:dyDescent="0.35">
      <c r="A755" t="s">
        <v>65</v>
      </c>
      <c r="B755" s="16">
        <v>45768</v>
      </c>
      <c r="C755">
        <v>8.5</v>
      </c>
      <c r="D755">
        <v>2</v>
      </c>
      <c r="E755" t="s">
        <v>6132</v>
      </c>
    </row>
    <row r="756" spans="1:5" x14ac:dyDescent="0.35">
      <c r="A756" t="s">
        <v>65</v>
      </c>
      <c r="B756" s="16">
        <v>45770</v>
      </c>
      <c r="C756">
        <v>6.5</v>
      </c>
      <c r="D756">
        <v>3</v>
      </c>
      <c r="E756" t="s">
        <v>6132</v>
      </c>
    </row>
    <row r="757" spans="1:5" x14ac:dyDescent="0.35">
      <c r="A757" t="s">
        <v>65</v>
      </c>
      <c r="B757" s="16">
        <v>45771</v>
      </c>
      <c r="C757">
        <v>7.3</v>
      </c>
      <c r="D757">
        <v>5</v>
      </c>
      <c r="E757" t="s">
        <v>6132</v>
      </c>
    </row>
    <row r="758" spans="1:5" x14ac:dyDescent="0.35">
      <c r="A758" t="s">
        <v>65</v>
      </c>
      <c r="B758" s="16">
        <v>45772</v>
      </c>
      <c r="C758">
        <v>6.7</v>
      </c>
      <c r="D758">
        <v>0</v>
      </c>
      <c r="E758" t="s">
        <v>6132</v>
      </c>
    </row>
    <row r="759" spans="1:5" x14ac:dyDescent="0.35">
      <c r="A759" t="s">
        <v>65</v>
      </c>
      <c r="B759" s="16">
        <v>45775</v>
      </c>
      <c r="C759">
        <v>4.4000000000000004</v>
      </c>
      <c r="D759">
        <v>1</v>
      </c>
      <c r="E759" t="s">
        <v>6132</v>
      </c>
    </row>
    <row r="760" spans="1:5" x14ac:dyDescent="0.35">
      <c r="A760" t="s">
        <v>65</v>
      </c>
      <c r="B760" s="16">
        <v>45775</v>
      </c>
      <c r="C760">
        <v>6.2</v>
      </c>
      <c r="D760">
        <v>0</v>
      </c>
      <c r="E760" t="s">
        <v>6134</v>
      </c>
    </row>
    <row r="761" spans="1:5" x14ac:dyDescent="0.35">
      <c r="A761" t="s">
        <v>65</v>
      </c>
      <c r="B761" s="16">
        <v>45776</v>
      </c>
      <c r="C761">
        <v>5.0999999999999996</v>
      </c>
      <c r="D761">
        <v>2</v>
      </c>
      <c r="E761" t="s">
        <v>6132</v>
      </c>
    </row>
    <row r="762" spans="1:5" x14ac:dyDescent="0.35">
      <c r="A762" t="s">
        <v>65</v>
      </c>
      <c r="B762" s="16">
        <v>45778</v>
      </c>
      <c r="C762">
        <v>7.7</v>
      </c>
      <c r="D762">
        <v>2</v>
      </c>
      <c r="E762" t="s">
        <v>6132</v>
      </c>
    </row>
    <row r="763" spans="1:5" x14ac:dyDescent="0.35">
      <c r="A763" t="s">
        <v>65</v>
      </c>
      <c r="B763" s="16">
        <v>45779</v>
      </c>
      <c r="C763">
        <v>7.2</v>
      </c>
      <c r="D763">
        <v>1</v>
      </c>
      <c r="E763" t="s">
        <v>6132</v>
      </c>
    </row>
    <row r="764" spans="1:5" x14ac:dyDescent="0.35">
      <c r="A764" t="s">
        <v>65</v>
      </c>
      <c r="B764" s="16">
        <v>45783</v>
      </c>
      <c r="C764">
        <v>4.0999999999999996</v>
      </c>
      <c r="D764">
        <v>2</v>
      </c>
      <c r="E764" t="s">
        <v>6132</v>
      </c>
    </row>
    <row r="765" spans="1:5" x14ac:dyDescent="0.35">
      <c r="A765" t="s">
        <v>65</v>
      </c>
      <c r="B765" s="16">
        <v>45784</v>
      </c>
      <c r="C765">
        <v>6.7</v>
      </c>
      <c r="D765">
        <v>5</v>
      </c>
      <c r="E765" t="s">
        <v>6132</v>
      </c>
    </row>
    <row r="766" spans="1:5" x14ac:dyDescent="0.35">
      <c r="A766" t="s">
        <v>65</v>
      </c>
      <c r="B766" s="16">
        <v>45785</v>
      </c>
      <c r="C766">
        <v>5</v>
      </c>
      <c r="D766">
        <v>1</v>
      </c>
      <c r="E766" t="s">
        <v>6132</v>
      </c>
    </row>
    <row r="767" spans="1:5" x14ac:dyDescent="0.35">
      <c r="A767" t="s">
        <v>65</v>
      </c>
      <c r="B767" s="16">
        <v>45786</v>
      </c>
      <c r="C767">
        <v>8.1999999999999993</v>
      </c>
      <c r="D767">
        <v>0</v>
      </c>
      <c r="E767" t="s">
        <v>6133</v>
      </c>
    </row>
    <row r="768" spans="1:5" x14ac:dyDescent="0.35">
      <c r="A768" t="s">
        <v>65</v>
      </c>
      <c r="B768" s="16">
        <v>45791</v>
      </c>
      <c r="C768">
        <v>6.6</v>
      </c>
      <c r="D768">
        <v>2</v>
      </c>
      <c r="E768" t="s">
        <v>6132</v>
      </c>
    </row>
    <row r="769" spans="1:5" x14ac:dyDescent="0.35">
      <c r="A769" t="s">
        <v>65</v>
      </c>
      <c r="B769" s="16">
        <v>45792</v>
      </c>
      <c r="C769">
        <v>7.1</v>
      </c>
      <c r="D769">
        <v>2</v>
      </c>
      <c r="E769" t="s">
        <v>6132</v>
      </c>
    </row>
    <row r="770" spans="1:5" x14ac:dyDescent="0.35">
      <c r="A770" t="s">
        <v>65</v>
      </c>
      <c r="B770" s="16">
        <v>45796</v>
      </c>
      <c r="C770">
        <v>5.5</v>
      </c>
      <c r="D770">
        <v>4</v>
      </c>
      <c r="E770" t="s">
        <v>6132</v>
      </c>
    </row>
    <row r="771" spans="1:5" x14ac:dyDescent="0.35">
      <c r="A771" t="s">
        <v>65</v>
      </c>
      <c r="B771" s="16">
        <v>45797</v>
      </c>
      <c r="C771">
        <v>7.6</v>
      </c>
      <c r="D771">
        <v>0</v>
      </c>
      <c r="E771" t="s">
        <v>6132</v>
      </c>
    </row>
    <row r="772" spans="1:5" x14ac:dyDescent="0.35">
      <c r="A772" t="s">
        <v>65</v>
      </c>
      <c r="B772" s="16">
        <v>45798</v>
      </c>
      <c r="C772">
        <v>5.0999999999999996</v>
      </c>
      <c r="D772">
        <v>4</v>
      </c>
      <c r="E772" t="s">
        <v>6132</v>
      </c>
    </row>
    <row r="773" spans="1:5" x14ac:dyDescent="0.35">
      <c r="A773" t="s">
        <v>65</v>
      </c>
      <c r="B773" s="16">
        <v>45799</v>
      </c>
      <c r="C773">
        <v>8.1999999999999993</v>
      </c>
      <c r="D773">
        <v>0</v>
      </c>
      <c r="E773" t="s">
        <v>6132</v>
      </c>
    </row>
    <row r="774" spans="1:5" x14ac:dyDescent="0.35">
      <c r="A774" t="s">
        <v>65</v>
      </c>
      <c r="B774" s="16">
        <v>45800</v>
      </c>
      <c r="C774">
        <v>4.3</v>
      </c>
      <c r="D774">
        <v>0</v>
      </c>
      <c r="E774" t="s">
        <v>6132</v>
      </c>
    </row>
    <row r="775" spans="1:5" x14ac:dyDescent="0.35">
      <c r="A775" t="s">
        <v>65</v>
      </c>
      <c r="B775" s="16">
        <v>45803</v>
      </c>
      <c r="C775">
        <v>5.8</v>
      </c>
      <c r="D775">
        <v>0</v>
      </c>
      <c r="E775" t="s">
        <v>6132</v>
      </c>
    </row>
    <row r="776" spans="1:5" x14ac:dyDescent="0.35">
      <c r="A776" t="s">
        <v>65</v>
      </c>
      <c r="B776" s="16">
        <v>45807</v>
      </c>
      <c r="C776">
        <v>6.8</v>
      </c>
      <c r="D776">
        <v>1</v>
      </c>
      <c r="E776" t="s">
        <v>6132</v>
      </c>
    </row>
    <row r="777" spans="1:5" x14ac:dyDescent="0.35">
      <c r="A777" t="s">
        <v>65</v>
      </c>
      <c r="B777" s="16">
        <v>45810</v>
      </c>
      <c r="C777">
        <v>5.3</v>
      </c>
      <c r="D777">
        <v>0</v>
      </c>
      <c r="E777" t="s">
        <v>6132</v>
      </c>
    </row>
    <row r="778" spans="1:5" x14ac:dyDescent="0.35">
      <c r="A778" t="s">
        <v>65</v>
      </c>
      <c r="B778" s="16">
        <v>45811</v>
      </c>
      <c r="C778">
        <v>5.0999999999999996</v>
      </c>
      <c r="D778">
        <v>6</v>
      </c>
      <c r="E778" t="s">
        <v>6132</v>
      </c>
    </row>
    <row r="779" spans="1:5" x14ac:dyDescent="0.35">
      <c r="A779" t="s">
        <v>65</v>
      </c>
      <c r="B779" s="16">
        <v>45811</v>
      </c>
      <c r="C779">
        <v>7</v>
      </c>
      <c r="D779">
        <v>5</v>
      </c>
      <c r="E779" t="s">
        <v>6132</v>
      </c>
    </row>
    <row r="780" spans="1:5" x14ac:dyDescent="0.35">
      <c r="A780" t="s">
        <v>65</v>
      </c>
      <c r="B780" s="16">
        <v>45812</v>
      </c>
      <c r="C780">
        <v>4.8</v>
      </c>
      <c r="D780">
        <v>0</v>
      </c>
      <c r="E780" t="s">
        <v>6132</v>
      </c>
    </row>
    <row r="781" spans="1:5" x14ac:dyDescent="0.35">
      <c r="A781" t="s">
        <v>65</v>
      </c>
      <c r="B781" s="16">
        <v>45818</v>
      </c>
      <c r="C781">
        <v>7.1</v>
      </c>
      <c r="D781">
        <v>0</v>
      </c>
      <c r="E781" t="s">
        <v>6132</v>
      </c>
    </row>
    <row r="782" spans="1:5" x14ac:dyDescent="0.35">
      <c r="A782" t="s">
        <v>65</v>
      </c>
      <c r="B782" s="16">
        <v>45819</v>
      </c>
      <c r="C782">
        <v>6.2</v>
      </c>
      <c r="D782">
        <v>2</v>
      </c>
      <c r="E782" t="s">
        <v>6132</v>
      </c>
    </row>
    <row r="783" spans="1:5" x14ac:dyDescent="0.35">
      <c r="A783" t="s">
        <v>65</v>
      </c>
      <c r="B783" s="16">
        <v>45820</v>
      </c>
      <c r="C783">
        <v>4.4000000000000004</v>
      </c>
      <c r="D783">
        <v>2</v>
      </c>
      <c r="E783" t="s">
        <v>6132</v>
      </c>
    </row>
    <row r="784" spans="1:5" x14ac:dyDescent="0.35">
      <c r="A784" t="s">
        <v>65</v>
      </c>
      <c r="B784" s="16">
        <v>45821</v>
      </c>
      <c r="C784">
        <v>4.4000000000000004</v>
      </c>
      <c r="D784">
        <v>1</v>
      </c>
      <c r="E784" t="s">
        <v>6132</v>
      </c>
    </row>
    <row r="785" spans="1:5" x14ac:dyDescent="0.35">
      <c r="A785" t="s">
        <v>65</v>
      </c>
      <c r="B785" s="16">
        <v>45825</v>
      </c>
      <c r="C785">
        <v>5.6</v>
      </c>
      <c r="D785">
        <v>0</v>
      </c>
      <c r="E785" t="s">
        <v>6132</v>
      </c>
    </row>
    <row r="786" spans="1:5" x14ac:dyDescent="0.35">
      <c r="A786" t="s">
        <v>65</v>
      </c>
      <c r="B786" s="16">
        <v>45827</v>
      </c>
      <c r="C786">
        <v>8</v>
      </c>
      <c r="D786">
        <v>0</v>
      </c>
      <c r="E786" t="s">
        <v>6132</v>
      </c>
    </row>
    <row r="787" spans="1:5" x14ac:dyDescent="0.35">
      <c r="A787" t="s">
        <v>65</v>
      </c>
      <c r="B787" s="16">
        <v>45831</v>
      </c>
      <c r="D787">
        <v>2</v>
      </c>
      <c r="E787" t="s">
        <v>6132</v>
      </c>
    </row>
    <row r="788" spans="1:5" x14ac:dyDescent="0.35">
      <c r="A788" t="s">
        <v>65</v>
      </c>
      <c r="B788" s="16">
        <v>45835</v>
      </c>
      <c r="C788">
        <v>8.1</v>
      </c>
      <c r="D788">
        <v>0</v>
      </c>
      <c r="E788" t="s">
        <v>6132</v>
      </c>
    </row>
    <row r="789" spans="1:5" x14ac:dyDescent="0.35">
      <c r="A789" t="s">
        <v>65</v>
      </c>
      <c r="B789" s="16">
        <v>45839</v>
      </c>
      <c r="C789">
        <v>4.9000000000000004</v>
      </c>
      <c r="D789">
        <v>0</v>
      </c>
      <c r="E789" t="s">
        <v>6132</v>
      </c>
    </row>
    <row r="790" spans="1:5" x14ac:dyDescent="0.35">
      <c r="A790" t="s">
        <v>65</v>
      </c>
      <c r="B790" s="16">
        <v>45840</v>
      </c>
      <c r="C790">
        <v>8.5</v>
      </c>
      <c r="D790">
        <v>3</v>
      </c>
      <c r="E790" t="s">
        <v>6132</v>
      </c>
    </row>
    <row r="791" spans="1:5" x14ac:dyDescent="0.35">
      <c r="A791" t="s">
        <v>65</v>
      </c>
      <c r="B791" s="16">
        <v>45841</v>
      </c>
      <c r="C791">
        <v>8.9</v>
      </c>
      <c r="D791">
        <v>0</v>
      </c>
      <c r="E791" t="s">
        <v>6132</v>
      </c>
    </row>
    <row r="792" spans="1:5" x14ac:dyDescent="0.35">
      <c r="A792" t="s">
        <v>65</v>
      </c>
      <c r="B792" s="16">
        <v>45842</v>
      </c>
      <c r="C792">
        <v>4.3</v>
      </c>
      <c r="D792">
        <v>0</v>
      </c>
      <c r="E792" t="s">
        <v>6132</v>
      </c>
    </row>
    <row r="793" spans="1:5" x14ac:dyDescent="0.35">
      <c r="A793" t="s">
        <v>65</v>
      </c>
      <c r="B793" s="16">
        <v>45845</v>
      </c>
      <c r="C793">
        <v>7.4</v>
      </c>
      <c r="D793">
        <v>2</v>
      </c>
      <c r="E793" t="s">
        <v>6132</v>
      </c>
    </row>
    <row r="794" spans="1:5" x14ac:dyDescent="0.35">
      <c r="A794" t="s">
        <v>65</v>
      </c>
      <c r="B794" s="16">
        <v>45846</v>
      </c>
      <c r="C794">
        <v>6.3</v>
      </c>
      <c r="D794">
        <v>1</v>
      </c>
      <c r="E794" t="s">
        <v>6132</v>
      </c>
    </row>
    <row r="795" spans="1:5" x14ac:dyDescent="0.35">
      <c r="A795" t="s">
        <v>65</v>
      </c>
      <c r="B795" s="16">
        <v>45852</v>
      </c>
      <c r="C795">
        <v>6.4</v>
      </c>
      <c r="D795">
        <v>1</v>
      </c>
      <c r="E795" t="s">
        <v>6132</v>
      </c>
    </row>
    <row r="796" spans="1:5" x14ac:dyDescent="0.35">
      <c r="A796" t="s">
        <v>65</v>
      </c>
      <c r="B796" s="16">
        <v>45853</v>
      </c>
      <c r="C796">
        <v>7.9</v>
      </c>
      <c r="D796">
        <v>0</v>
      </c>
      <c r="E796" t="s">
        <v>6132</v>
      </c>
    </row>
    <row r="797" spans="1:5" x14ac:dyDescent="0.35">
      <c r="A797" t="s">
        <v>65</v>
      </c>
      <c r="B797" s="16">
        <v>45854</v>
      </c>
      <c r="C797">
        <v>8.3000000000000007</v>
      </c>
      <c r="D797">
        <v>1</v>
      </c>
      <c r="E797" t="s">
        <v>6132</v>
      </c>
    </row>
    <row r="798" spans="1:5" x14ac:dyDescent="0.35">
      <c r="A798" t="s">
        <v>65</v>
      </c>
      <c r="B798" s="16">
        <v>45854</v>
      </c>
      <c r="C798">
        <v>8.6</v>
      </c>
      <c r="D798">
        <v>2</v>
      </c>
      <c r="E798" t="s">
        <v>6132</v>
      </c>
    </row>
    <row r="799" spans="1:5" x14ac:dyDescent="0.35">
      <c r="A799" t="s">
        <v>65</v>
      </c>
      <c r="B799" s="16">
        <v>45855</v>
      </c>
      <c r="D799">
        <v>0</v>
      </c>
      <c r="E799" t="s">
        <v>6133</v>
      </c>
    </row>
    <row r="800" spans="1:5" x14ac:dyDescent="0.35">
      <c r="A800" t="s">
        <v>65</v>
      </c>
      <c r="B800" s="16">
        <v>45856</v>
      </c>
      <c r="C800">
        <v>4.5999999999999996</v>
      </c>
      <c r="D800">
        <v>2</v>
      </c>
      <c r="E800" t="s">
        <v>6132</v>
      </c>
    </row>
    <row r="801" spans="1:5" x14ac:dyDescent="0.35">
      <c r="A801" t="s">
        <v>65</v>
      </c>
      <c r="B801" s="16">
        <v>45856</v>
      </c>
      <c r="C801">
        <v>7.8</v>
      </c>
      <c r="D801">
        <v>4</v>
      </c>
      <c r="E801" t="s">
        <v>6132</v>
      </c>
    </row>
    <row r="802" spans="1:5" x14ac:dyDescent="0.35">
      <c r="A802" t="s">
        <v>65</v>
      </c>
      <c r="B802" s="16">
        <v>45859</v>
      </c>
      <c r="C802">
        <v>6.3</v>
      </c>
      <c r="D802">
        <v>2</v>
      </c>
      <c r="E802" t="s">
        <v>6132</v>
      </c>
    </row>
    <row r="803" spans="1:5" x14ac:dyDescent="0.35">
      <c r="A803" t="s">
        <v>65</v>
      </c>
      <c r="B803" s="16">
        <v>45861</v>
      </c>
      <c r="C803">
        <v>7.8</v>
      </c>
      <c r="D803">
        <v>2</v>
      </c>
      <c r="E803" t="s">
        <v>6132</v>
      </c>
    </row>
    <row r="804" spans="1:5" x14ac:dyDescent="0.35">
      <c r="A804" t="s">
        <v>65</v>
      </c>
      <c r="B804" s="16">
        <v>45863</v>
      </c>
      <c r="C804">
        <v>4.4000000000000004</v>
      </c>
      <c r="D804">
        <v>3</v>
      </c>
      <c r="E804" t="s">
        <v>6132</v>
      </c>
    </row>
    <row r="805" spans="1:5" x14ac:dyDescent="0.35">
      <c r="A805" t="s">
        <v>65</v>
      </c>
      <c r="B805" s="16">
        <v>45867</v>
      </c>
      <c r="C805">
        <v>4.3</v>
      </c>
      <c r="D805">
        <v>0</v>
      </c>
      <c r="E805" t="s">
        <v>6132</v>
      </c>
    </row>
    <row r="806" spans="1:5" x14ac:dyDescent="0.35">
      <c r="A806" t="s">
        <v>65</v>
      </c>
      <c r="B806" s="16">
        <v>45868</v>
      </c>
      <c r="C806">
        <v>8.3000000000000007</v>
      </c>
      <c r="D806">
        <v>4</v>
      </c>
      <c r="E806" t="s">
        <v>6132</v>
      </c>
    </row>
    <row r="807" spans="1:5" x14ac:dyDescent="0.35">
      <c r="A807" t="s">
        <v>65</v>
      </c>
      <c r="B807" s="16">
        <v>45868</v>
      </c>
      <c r="C807">
        <v>6.7</v>
      </c>
      <c r="D807">
        <v>0</v>
      </c>
      <c r="E807" t="s">
        <v>6132</v>
      </c>
    </row>
    <row r="808" spans="1:5" x14ac:dyDescent="0.35">
      <c r="A808" t="s">
        <v>65</v>
      </c>
      <c r="B808" s="16">
        <v>45874</v>
      </c>
      <c r="C808">
        <v>4.4000000000000004</v>
      </c>
      <c r="D808">
        <v>3</v>
      </c>
      <c r="E808" t="s">
        <v>6132</v>
      </c>
    </row>
    <row r="809" spans="1:5" x14ac:dyDescent="0.35">
      <c r="A809" t="s">
        <v>65</v>
      </c>
      <c r="B809" s="16">
        <v>45875</v>
      </c>
      <c r="C809">
        <v>5.7</v>
      </c>
      <c r="D809">
        <v>1</v>
      </c>
      <c r="E809" t="s">
        <v>6132</v>
      </c>
    </row>
    <row r="810" spans="1:5" x14ac:dyDescent="0.35">
      <c r="A810" t="s">
        <v>65</v>
      </c>
      <c r="B810" s="16">
        <v>45876</v>
      </c>
      <c r="C810">
        <v>8.1</v>
      </c>
      <c r="D810">
        <v>0</v>
      </c>
      <c r="E810" t="s">
        <v>6134</v>
      </c>
    </row>
    <row r="811" spans="1:5" x14ac:dyDescent="0.35">
      <c r="A811" t="s">
        <v>65</v>
      </c>
      <c r="B811" s="16">
        <v>45877</v>
      </c>
      <c r="C811">
        <v>6.4</v>
      </c>
      <c r="D811">
        <v>1</v>
      </c>
      <c r="E811" t="s">
        <v>6132</v>
      </c>
    </row>
    <row r="812" spans="1:5" x14ac:dyDescent="0.35">
      <c r="A812" t="s">
        <v>65</v>
      </c>
      <c r="B812" s="16">
        <v>45877</v>
      </c>
      <c r="C812">
        <v>5.2</v>
      </c>
      <c r="D812">
        <v>3</v>
      </c>
      <c r="E812" t="s">
        <v>6132</v>
      </c>
    </row>
    <row r="813" spans="1:5" x14ac:dyDescent="0.35">
      <c r="A813" t="s">
        <v>65</v>
      </c>
      <c r="B813" s="16">
        <v>45880</v>
      </c>
      <c r="C813">
        <v>4</v>
      </c>
      <c r="D813">
        <v>0</v>
      </c>
      <c r="E813" t="s">
        <v>6132</v>
      </c>
    </row>
    <row r="814" spans="1:5" x14ac:dyDescent="0.35">
      <c r="A814" t="s">
        <v>65</v>
      </c>
      <c r="B814" s="16">
        <v>45883</v>
      </c>
      <c r="C814">
        <v>7.2</v>
      </c>
      <c r="D814">
        <v>1</v>
      </c>
      <c r="E814" t="s">
        <v>6132</v>
      </c>
    </row>
    <row r="815" spans="1:5" x14ac:dyDescent="0.35">
      <c r="A815" t="s">
        <v>65</v>
      </c>
      <c r="B815" s="16">
        <v>45884</v>
      </c>
      <c r="C815">
        <v>4.5999999999999996</v>
      </c>
      <c r="D815">
        <v>1</v>
      </c>
      <c r="E815" t="s">
        <v>6132</v>
      </c>
    </row>
    <row r="816" spans="1:5" x14ac:dyDescent="0.35">
      <c r="A816" t="s">
        <v>65</v>
      </c>
      <c r="B816" s="16">
        <v>45887</v>
      </c>
      <c r="C816">
        <v>6</v>
      </c>
      <c r="D816">
        <v>0</v>
      </c>
      <c r="E816" t="s">
        <v>6134</v>
      </c>
    </row>
    <row r="817" spans="1:5" x14ac:dyDescent="0.35">
      <c r="A817" t="s">
        <v>65</v>
      </c>
      <c r="B817" s="16">
        <v>45889</v>
      </c>
      <c r="C817">
        <v>8.5</v>
      </c>
      <c r="D817">
        <v>1</v>
      </c>
      <c r="E817" t="s">
        <v>6132</v>
      </c>
    </row>
    <row r="818" spans="1:5" x14ac:dyDescent="0.35">
      <c r="A818" t="s">
        <v>65</v>
      </c>
      <c r="B818" s="16">
        <v>45890</v>
      </c>
      <c r="C818">
        <v>4.8</v>
      </c>
      <c r="D818">
        <v>4</v>
      </c>
      <c r="E818" t="s">
        <v>6132</v>
      </c>
    </row>
    <row r="819" spans="1:5" x14ac:dyDescent="0.35">
      <c r="A819" t="s">
        <v>65</v>
      </c>
      <c r="B819" s="16">
        <v>45895</v>
      </c>
      <c r="C819">
        <v>7</v>
      </c>
      <c r="D819">
        <v>0</v>
      </c>
      <c r="E819" t="s">
        <v>6132</v>
      </c>
    </row>
    <row r="820" spans="1:5" x14ac:dyDescent="0.35">
      <c r="A820" t="s">
        <v>65</v>
      </c>
      <c r="B820" s="16">
        <v>45896</v>
      </c>
      <c r="C820">
        <v>8.8000000000000007</v>
      </c>
      <c r="D820">
        <v>0</v>
      </c>
      <c r="E820" t="s">
        <v>6132</v>
      </c>
    </row>
    <row r="821" spans="1:5" x14ac:dyDescent="0.35">
      <c r="A821" t="s">
        <v>65</v>
      </c>
      <c r="B821" s="16">
        <v>45901</v>
      </c>
      <c r="C821">
        <v>6</v>
      </c>
      <c r="D821">
        <v>1</v>
      </c>
      <c r="E821" t="s">
        <v>6132</v>
      </c>
    </row>
    <row r="822" spans="1:5" x14ac:dyDescent="0.35">
      <c r="A822" t="s">
        <v>65</v>
      </c>
      <c r="B822" s="16">
        <v>45903</v>
      </c>
      <c r="C822">
        <v>5.4</v>
      </c>
      <c r="D822">
        <v>1</v>
      </c>
      <c r="E822" t="s">
        <v>6132</v>
      </c>
    </row>
    <row r="823" spans="1:5" x14ac:dyDescent="0.35">
      <c r="A823" t="s">
        <v>65</v>
      </c>
      <c r="B823" s="16">
        <v>45910</v>
      </c>
      <c r="C823">
        <v>6.3</v>
      </c>
      <c r="D823">
        <v>2</v>
      </c>
      <c r="E823" t="s">
        <v>6132</v>
      </c>
    </row>
    <row r="824" spans="1:5" x14ac:dyDescent="0.35">
      <c r="A824" t="s">
        <v>65</v>
      </c>
      <c r="B824" s="16">
        <v>45911</v>
      </c>
      <c r="C824">
        <v>7.1</v>
      </c>
      <c r="D824">
        <v>2</v>
      </c>
      <c r="E824" t="s">
        <v>6132</v>
      </c>
    </row>
    <row r="825" spans="1:5" x14ac:dyDescent="0.35">
      <c r="A825" t="s">
        <v>65</v>
      </c>
      <c r="B825" s="16">
        <v>45916</v>
      </c>
      <c r="C825">
        <v>4.0999999999999996</v>
      </c>
      <c r="D825">
        <v>0</v>
      </c>
      <c r="E825" t="s">
        <v>6132</v>
      </c>
    </row>
    <row r="826" spans="1:5" x14ac:dyDescent="0.35">
      <c r="A826" t="s">
        <v>65</v>
      </c>
      <c r="B826" s="16">
        <v>45922</v>
      </c>
      <c r="C826">
        <v>5.0999999999999996</v>
      </c>
      <c r="D826">
        <v>4</v>
      </c>
      <c r="E826" t="s">
        <v>6132</v>
      </c>
    </row>
    <row r="827" spans="1:5" x14ac:dyDescent="0.35">
      <c r="A827" t="s">
        <v>65</v>
      </c>
      <c r="B827" s="16">
        <v>45923</v>
      </c>
      <c r="C827">
        <v>6.3</v>
      </c>
      <c r="D827">
        <v>2</v>
      </c>
      <c r="E827" t="s">
        <v>6132</v>
      </c>
    </row>
    <row r="828" spans="1:5" x14ac:dyDescent="0.35">
      <c r="A828" t="s">
        <v>65</v>
      </c>
      <c r="B828" s="16">
        <v>45926</v>
      </c>
      <c r="C828">
        <v>4.7</v>
      </c>
      <c r="D828">
        <v>2</v>
      </c>
      <c r="E828" t="s">
        <v>6132</v>
      </c>
    </row>
    <row r="829" spans="1:5" x14ac:dyDescent="0.35">
      <c r="A829" t="s">
        <v>65</v>
      </c>
      <c r="B829" s="16">
        <v>45930</v>
      </c>
      <c r="C829">
        <v>6</v>
      </c>
      <c r="D829">
        <v>4</v>
      </c>
      <c r="E829" t="s">
        <v>6132</v>
      </c>
    </row>
    <row r="830" spans="1:5" x14ac:dyDescent="0.35">
      <c r="A830" t="s">
        <v>65</v>
      </c>
      <c r="B830" s="16">
        <v>45931</v>
      </c>
      <c r="C830">
        <v>7</v>
      </c>
      <c r="D830">
        <v>0</v>
      </c>
      <c r="E830" t="s">
        <v>6132</v>
      </c>
    </row>
    <row r="831" spans="1:5" x14ac:dyDescent="0.35">
      <c r="A831" t="s">
        <v>65</v>
      </c>
      <c r="B831" s="16">
        <v>45932</v>
      </c>
      <c r="C831">
        <v>6</v>
      </c>
      <c r="D831">
        <v>0</v>
      </c>
      <c r="E831" t="s">
        <v>6133</v>
      </c>
    </row>
    <row r="832" spans="1:5" x14ac:dyDescent="0.35">
      <c r="A832" t="s">
        <v>65</v>
      </c>
      <c r="B832" s="16">
        <v>45933</v>
      </c>
      <c r="C832">
        <v>7.6</v>
      </c>
      <c r="D832">
        <v>0</v>
      </c>
      <c r="E832" t="s">
        <v>6132</v>
      </c>
    </row>
    <row r="833" spans="1:5" x14ac:dyDescent="0.35">
      <c r="A833" t="s">
        <v>65</v>
      </c>
      <c r="B833" s="16">
        <v>45939</v>
      </c>
      <c r="C833">
        <v>7.1</v>
      </c>
      <c r="D833">
        <v>4</v>
      </c>
      <c r="E833" t="s">
        <v>6132</v>
      </c>
    </row>
    <row r="834" spans="1:5" x14ac:dyDescent="0.35">
      <c r="A834" t="s">
        <v>65</v>
      </c>
      <c r="B834" s="16">
        <v>45940</v>
      </c>
      <c r="C834">
        <v>4.0999999999999996</v>
      </c>
      <c r="D834">
        <v>4</v>
      </c>
      <c r="E834" t="s">
        <v>6132</v>
      </c>
    </row>
    <row r="835" spans="1:5" x14ac:dyDescent="0.35">
      <c r="A835" t="s">
        <v>65</v>
      </c>
      <c r="B835" s="16">
        <v>45943</v>
      </c>
      <c r="C835">
        <v>6.2</v>
      </c>
      <c r="D835">
        <v>1</v>
      </c>
      <c r="E835" t="s">
        <v>6132</v>
      </c>
    </row>
    <row r="836" spans="1:5" x14ac:dyDescent="0.35">
      <c r="A836" t="s">
        <v>65</v>
      </c>
      <c r="B836" s="16">
        <v>45947</v>
      </c>
      <c r="C836">
        <v>8.9</v>
      </c>
      <c r="D836">
        <v>3</v>
      </c>
      <c r="E836" t="s">
        <v>6132</v>
      </c>
    </row>
    <row r="837" spans="1:5" x14ac:dyDescent="0.35">
      <c r="A837" t="s">
        <v>65</v>
      </c>
      <c r="B837" s="16">
        <v>45950</v>
      </c>
      <c r="C837">
        <v>8.9</v>
      </c>
      <c r="D837">
        <v>0</v>
      </c>
      <c r="E837" t="s">
        <v>6134</v>
      </c>
    </row>
    <row r="838" spans="1:5" x14ac:dyDescent="0.35">
      <c r="A838" t="s">
        <v>65</v>
      </c>
      <c r="B838" s="16">
        <v>45954</v>
      </c>
      <c r="C838">
        <v>6.4</v>
      </c>
      <c r="D838">
        <v>1</v>
      </c>
      <c r="E838" t="s">
        <v>6132</v>
      </c>
    </row>
    <row r="839" spans="1:5" x14ac:dyDescent="0.35">
      <c r="A839" t="s">
        <v>65</v>
      </c>
      <c r="B839" s="16">
        <v>45957</v>
      </c>
      <c r="C839">
        <v>6.6</v>
      </c>
      <c r="D839">
        <v>0</v>
      </c>
      <c r="E839" t="s">
        <v>6132</v>
      </c>
    </row>
    <row r="840" spans="1:5" x14ac:dyDescent="0.35">
      <c r="A840" t="s">
        <v>65</v>
      </c>
      <c r="B840" s="16">
        <v>45960</v>
      </c>
      <c r="C840">
        <v>9</v>
      </c>
      <c r="D840">
        <v>1</v>
      </c>
      <c r="E840" t="s">
        <v>6132</v>
      </c>
    </row>
    <row r="841" spans="1:5" x14ac:dyDescent="0.35">
      <c r="A841" t="s">
        <v>65</v>
      </c>
      <c r="B841" s="16">
        <v>45964</v>
      </c>
      <c r="C841">
        <v>4.3</v>
      </c>
      <c r="D841">
        <v>1</v>
      </c>
      <c r="E841" t="s">
        <v>6132</v>
      </c>
    </row>
    <row r="842" spans="1:5" x14ac:dyDescent="0.35">
      <c r="A842" t="s">
        <v>65</v>
      </c>
      <c r="B842" s="16">
        <v>45965</v>
      </c>
      <c r="C842">
        <v>4.2</v>
      </c>
      <c r="D842">
        <v>0</v>
      </c>
      <c r="E842" t="s">
        <v>6132</v>
      </c>
    </row>
    <row r="843" spans="1:5" x14ac:dyDescent="0.35">
      <c r="A843" t="s">
        <v>65</v>
      </c>
      <c r="B843" s="16">
        <v>45966</v>
      </c>
      <c r="C843">
        <v>8.1</v>
      </c>
      <c r="D843">
        <v>1</v>
      </c>
      <c r="E843" t="s">
        <v>6132</v>
      </c>
    </row>
    <row r="844" spans="1:5" x14ac:dyDescent="0.35">
      <c r="A844" t="s">
        <v>65</v>
      </c>
      <c r="B844" s="16">
        <v>45967</v>
      </c>
      <c r="C844">
        <v>7.2</v>
      </c>
      <c r="D844">
        <v>2</v>
      </c>
      <c r="E844" t="s">
        <v>6132</v>
      </c>
    </row>
    <row r="845" spans="1:5" x14ac:dyDescent="0.35">
      <c r="A845" t="s">
        <v>65</v>
      </c>
      <c r="B845" s="16">
        <v>45968</v>
      </c>
      <c r="C845">
        <v>5.6</v>
      </c>
      <c r="D845">
        <v>0</v>
      </c>
      <c r="E845" t="s">
        <v>6132</v>
      </c>
    </row>
    <row r="846" spans="1:5" x14ac:dyDescent="0.35">
      <c r="A846" t="s">
        <v>65</v>
      </c>
      <c r="B846" s="16">
        <v>45972</v>
      </c>
      <c r="C846">
        <v>4.2</v>
      </c>
      <c r="D846">
        <v>0</v>
      </c>
      <c r="E846" t="s">
        <v>6132</v>
      </c>
    </row>
    <row r="847" spans="1:5" x14ac:dyDescent="0.35">
      <c r="A847" t="s">
        <v>65</v>
      </c>
      <c r="B847" s="16">
        <v>45972</v>
      </c>
      <c r="C847">
        <v>7.7</v>
      </c>
      <c r="D847">
        <v>1</v>
      </c>
      <c r="E847" t="s">
        <v>6132</v>
      </c>
    </row>
    <row r="848" spans="1:5" x14ac:dyDescent="0.35">
      <c r="A848" t="s">
        <v>65</v>
      </c>
      <c r="B848" s="16">
        <v>45973</v>
      </c>
      <c r="C848">
        <v>5.5</v>
      </c>
      <c r="D848">
        <v>0</v>
      </c>
      <c r="E848" t="s">
        <v>6132</v>
      </c>
    </row>
    <row r="849" spans="1:5" x14ac:dyDescent="0.35">
      <c r="A849" t="s">
        <v>65</v>
      </c>
      <c r="B849" s="16">
        <v>45974</v>
      </c>
      <c r="C849">
        <v>4.5</v>
      </c>
      <c r="D849">
        <v>1</v>
      </c>
      <c r="E849" t="s">
        <v>6132</v>
      </c>
    </row>
    <row r="850" spans="1:5" x14ac:dyDescent="0.35">
      <c r="A850" t="s">
        <v>65</v>
      </c>
      <c r="B850" s="16">
        <v>45975</v>
      </c>
      <c r="C850">
        <v>4.3</v>
      </c>
      <c r="D850">
        <v>5</v>
      </c>
      <c r="E850" t="s">
        <v>6132</v>
      </c>
    </row>
    <row r="851" spans="1:5" x14ac:dyDescent="0.35">
      <c r="A851" t="s">
        <v>65</v>
      </c>
      <c r="B851" s="16">
        <v>45978</v>
      </c>
      <c r="C851">
        <v>4.0999999999999996</v>
      </c>
      <c r="D851">
        <v>4</v>
      </c>
      <c r="E851" t="s">
        <v>6132</v>
      </c>
    </row>
    <row r="852" spans="1:5" x14ac:dyDescent="0.35">
      <c r="A852" t="s">
        <v>65</v>
      </c>
      <c r="B852" s="16">
        <v>45979</v>
      </c>
      <c r="C852">
        <v>5.9</v>
      </c>
      <c r="D852">
        <v>1</v>
      </c>
      <c r="E852" t="s">
        <v>6132</v>
      </c>
    </row>
    <row r="853" spans="1:5" x14ac:dyDescent="0.35">
      <c r="A853" t="s">
        <v>65</v>
      </c>
      <c r="B853" s="16">
        <v>45979</v>
      </c>
      <c r="C853">
        <v>5.3</v>
      </c>
      <c r="D853">
        <v>4</v>
      </c>
      <c r="E853" t="s">
        <v>6132</v>
      </c>
    </row>
    <row r="854" spans="1:5" x14ac:dyDescent="0.35">
      <c r="A854" t="s">
        <v>65</v>
      </c>
      <c r="B854" s="16">
        <v>45980</v>
      </c>
      <c r="C854">
        <v>7.8</v>
      </c>
      <c r="D854">
        <v>0</v>
      </c>
      <c r="E854" t="s">
        <v>6132</v>
      </c>
    </row>
    <row r="855" spans="1:5" x14ac:dyDescent="0.35">
      <c r="A855" t="s">
        <v>65</v>
      </c>
      <c r="B855" s="16">
        <v>45981</v>
      </c>
      <c r="C855">
        <v>4.5999999999999996</v>
      </c>
      <c r="D855">
        <v>0</v>
      </c>
      <c r="E855" t="s">
        <v>6132</v>
      </c>
    </row>
    <row r="856" spans="1:5" x14ac:dyDescent="0.35">
      <c r="A856" t="s">
        <v>65</v>
      </c>
      <c r="B856" s="16">
        <v>45982</v>
      </c>
      <c r="D856">
        <v>0</v>
      </c>
      <c r="E856" t="s">
        <v>6133</v>
      </c>
    </row>
    <row r="857" spans="1:5" x14ac:dyDescent="0.35">
      <c r="A857" t="s">
        <v>65</v>
      </c>
      <c r="B857" s="16">
        <v>45985</v>
      </c>
      <c r="C857">
        <v>8.1999999999999993</v>
      </c>
      <c r="D857">
        <v>4</v>
      </c>
      <c r="E857" t="s">
        <v>6132</v>
      </c>
    </row>
    <row r="858" spans="1:5" x14ac:dyDescent="0.35">
      <c r="A858" t="s">
        <v>65</v>
      </c>
      <c r="B858" s="16">
        <v>45986</v>
      </c>
      <c r="C858">
        <v>4.4000000000000004</v>
      </c>
      <c r="D858">
        <v>0</v>
      </c>
      <c r="E858" t="s">
        <v>6132</v>
      </c>
    </row>
    <row r="859" spans="1:5" x14ac:dyDescent="0.35">
      <c r="A859" t="s">
        <v>65</v>
      </c>
      <c r="B859" s="16">
        <v>45988</v>
      </c>
      <c r="C859">
        <v>6.1</v>
      </c>
      <c r="D859">
        <v>0</v>
      </c>
      <c r="E859" t="s">
        <v>6132</v>
      </c>
    </row>
    <row r="860" spans="1:5" x14ac:dyDescent="0.35">
      <c r="A860" t="s">
        <v>65</v>
      </c>
      <c r="B860" s="16">
        <v>45994</v>
      </c>
      <c r="C860">
        <v>8.6999999999999993</v>
      </c>
      <c r="D860">
        <v>1</v>
      </c>
      <c r="E860" t="s">
        <v>6132</v>
      </c>
    </row>
    <row r="861" spans="1:5" x14ac:dyDescent="0.35">
      <c r="A861" t="s">
        <v>65</v>
      </c>
      <c r="B861" s="16">
        <v>45996</v>
      </c>
      <c r="C861">
        <v>4.2</v>
      </c>
      <c r="D861">
        <v>3</v>
      </c>
      <c r="E861" t="s">
        <v>6132</v>
      </c>
    </row>
    <row r="862" spans="1:5" x14ac:dyDescent="0.35">
      <c r="A862" t="s">
        <v>65</v>
      </c>
      <c r="B862" s="16">
        <v>45999</v>
      </c>
      <c r="D862">
        <v>0</v>
      </c>
      <c r="E862" t="s">
        <v>6132</v>
      </c>
    </row>
    <row r="863" spans="1:5" x14ac:dyDescent="0.35">
      <c r="A863" t="s">
        <v>65</v>
      </c>
      <c r="B863" s="16">
        <v>46000</v>
      </c>
      <c r="C863">
        <v>6.5</v>
      </c>
      <c r="D863">
        <v>1</v>
      </c>
      <c r="E863" t="s">
        <v>6132</v>
      </c>
    </row>
    <row r="864" spans="1:5" x14ac:dyDescent="0.35">
      <c r="A864" t="s">
        <v>65</v>
      </c>
      <c r="B864" s="16">
        <v>46007</v>
      </c>
      <c r="C864">
        <v>4</v>
      </c>
      <c r="D864">
        <v>1</v>
      </c>
      <c r="E864" t="s">
        <v>6132</v>
      </c>
    </row>
    <row r="865" spans="1:5" x14ac:dyDescent="0.35">
      <c r="A865" t="s">
        <v>65</v>
      </c>
      <c r="B865" s="16">
        <v>46008</v>
      </c>
      <c r="C865">
        <v>8.6999999999999993</v>
      </c>
      <c r="D865">
        <v>0</v>
      </c>
      <c r="E865" t="s">
        <v>6132</v>
      </c>
    </row>
    <row r="866" spans="1:5" x14ac:dyDescent="0.35">
      <c r="A866" t="s">
        <v>65</v>
      </c>
      <c r="B866" s="16">
        <v>46009</v>
      </c>
      <c r="C866">
        <v>4.4000000000000004</v>
      </c>
      <c r="D866">
        <v>1</v>
      </c>
      <c r="E866" t="s">
        <v>6132</v>
      </c>
    </row>
    <row r="867" spans="1:5" x14ac:dyDescent="0.35">
      <c r="A867" t="s">
        <v>65</v>
      </c>
      <c r="B867" s="16">
        <v>46015</v>
      </c>
      <c r="D867">
        <v>0</v>
      </c>
      <c r="E867" t="s">
        <v>6132</v>
      </c>
    </row>
    <row r="868" spans="1:5" x14ac:dyDescent="0.35">
      <c r="A868" t="s">
        <v>65</v>
      </c>
      <c r="B868" s="16">
        <v>46016</v>
      </c>
      <c r="C868">
        <v>5.2</v>
      </c>
      <c r="D868">
        <v>0</v>
      </c>
      <c r="E868" t="s">
        <v>6132</v>
      </c>
    </row>
    <row r="869" spans="1:5" x14ac:dyDescent="0.35">
      <c r="A869" t="s">
        <v>65</v>
      </c>
      <c r="B869" s="16">
        <v>46017</v>
      </c>
      <c r="C869">
        <v>5.3</v>
      </c>
      <c r="D869">
        <v>0</v>
      </c>
      <c r="E869" t="s">
        <v>6133</v>
      </c>
    </row>
    <row r="870" spans="1:5" x14ac:dyDescent="0.35">
      <c r="A870" t="s">
        <v>65</v>
      </c>
      <c r="B870" s="16">
        <v>46021</v>
      </c>
      <c r="C870">
        <v>4.2</v>
      </c>
      <c r="D870">
        <v>1</v>
      </c>
      <c r="E870" t="s">
        <v>6132</v>
      </c>
    </row>
    <row r="871" spans="1:5" x14ac:dyDescent="0.35">
      <c r="A871" t="s">
        <v>65</v>
      </c>
      <c r="B871" s="16">
        <v>46021</v>
      </c>
      <c r="C871">
        <v>8.9</v>
      </c>
      <c r="D871">
        <v>1</v>
      </c>
      <c r="E871" t="s">
        <v>6132</v>
      </c>
    </row>
    <row r="872" spans="1:5" x14ac:dyDescent="0.35">
      <c r="A872" t="s">
        <v>65</v>
      </c>
      <c r="B872" s="16">
        <v>46022</v>
      </c>
      <c r="C872">
        <v>6</v>
      </c>
      <c r="D872">
        <v>2</v>
      </c>
      <c r="E872" t="s">
        <v>6132</v>
      </c>
    </row>
    <row r="873" spans="1:5" x14ac:dyDescent="0.35">
      <c r="A873" t="s">
        <v>53</v>
      </c>
      <c r="B873" s="16">
        <v>45658</v>
      </c>
      <c r="C873">
        <v>4.3</v>
      </c>
      <c r="D873">
        <v>1</v>
      </c>
      <c r="E873" t="s">
        <v>6132</v>
      </c>
    </row>
    <row r="874" spans="1:5" x14ac:dyDescent="0.35">
      <c r="A874" t="s">
        <v>53</v>
      </c>
      <c r="B874" s="16">
        <v>45659</v>
      </c>
      <c r="C874">
        <v>4.5</v>
      </c>
      <c r="D874">
        <v>2</v>
      </c>
      <c r="E874" t="s">
        <v>6132</v>
      </c>
    </row>
    <row r="875" spans="1:5" x14ac:dyDescent="0.35">
      <c r="A875" t="s">
        <v>53</v>
      </c>
      <c r="B875" s="16">
        <v>45663</v>
      </c>
      <c r="C875">
        <v>7</v>
      </c>
      <c r="D875">
        <v>3</v>
      </c>
      <c r="E875" t="s">
        <v>6132</v>
      </c>
    </row>
    <row r="876" spans="1:5" x14ac:dyDescent="0.35">
      <c r="A876" t="s">
        <v>53</v>
      </c>
      <c r="B876" s="16">
        <v>45666</v>
      </c>
      <c r="C876">
        <v>6.7</v>
      </c>
      <c r="D876">
        <v>2</v>
      </c>
      <c r="E876" t="s">
        <v>6132</v>
      </c>
    </row>
    <row r="877" spans="1:5" x14ac:dyDescent="0.35">
      <c r="A877" t="s">
        <v>53</v>
      </c>
      <c r="B877" s="16">
        <v>45670</v>
      </c>
      <c r="C877">
        <v>5.2</v>
      </c>
      <c r="D877">
        <v>0</v>
      </c>
      <c r="E877" t="s">
        <v>6132</v>
      </c>
    </row>
    <row r="878" spans="1:5" x14ac:dyDescent="0.35">
      <c r="A878" t="s">
        <v>53</v>
      </c>
      <c r="B878" s="16">
        <v>45677</v>
      </c>
      <c r="C878">
        <v>8</v>
      </c>
      <c r="D878">
        <v>5</v>
      </c>
      <c r="E878" t="s">
        <v>6132</v>
      </c>
    </row>
    <row r="879" spans="1:5" x14ac:dyDescent="0.35">
      <c r="A879" t="s">
        <v>53</v>
      </c>
      <c r="B879" s="16">
        <v>45678</v>
      </c>
      <c r="C879">
        <v>6.2</v>
      </c>
      <c r="D879">
        <v>3</v>
      </c>
      <c r="E879" t="s">
        <v>6132</v>
      </c>
    </row>
    <row r="880" spans="1:5" x14ac:dyDescent="0.35">
      <c r="A880" t="s">
        <v>53</v>
      </c>
      <c r="B880" s="16">
        <v>45679</v>
      </c>
      <c r="C880">
        <v>4.5</v>
      </c>
      <c r="D880">
        <v>0</v>
      </c>
      <c r="E880" t="s">
        <v>6132</v>
      </c>
    </row>
    <row r="881" spans="1:5" x14ac:dyDescent="0.35">
      <c r="A881" t="s">
        <v>53</v>
      </c>
      <c r="B881" s="16">
        <v>45686</v>
      </c>
      <c r="C881">
        <v>8.8000000000000007</v>
      </c>
      <c r="D881">
        <v>2</v>
      </c>
      <c r="E881" t="s">
        <v>6132</v>
      </c>
    </row>
    <row r="882" spans="1:5" x14ac:dyDescent="0.35">
      <c r="A882" t="s">
        <v>53</v>
      </c>
      <c r="B882" s="16">
        <v>45688</v>
      </c>
      <c r="C882">
        <v>5.4</v>
      </c>
      <c r="D882">
        <v>2</v>
      </c>
      <c r="E882" t="s">
        <v>6132</v>
      </c>
    </row>
    <row r="883" spans="1:5" x14ac:dyDescent="0.35">
      <c r="A883" t="s">
        <v>53</v>
      </c>
      <c r="B883" s="16">
        <v>45691</v>
      </c>
      <c r="C883">
        <v>5.6</v>
      </c>
      <c r="D883">
        <v>1</v>
      </c>
      <c r="E883" t="s">
        <v>6132</v>
      </c>
    </row>
    <row r="884" spans="1:5" x14ac:dyDescent="0.35">
      <c r="A884" t="s">
        <v>53</v>
      </c>
      <c r="B884" s="16">
        <v>45692</v>
      </c>
      <c r="C884">
        <v>4.3</v>
      </c>
      <c r="D884">
        <v>1</v>
      </c>
      <c r="E884" t="s">
        <v>6132</v>
      </c>
    </row>
    <row r="885" spans="1:5" x14ac:dyDescent="0.35">
      <c r="A885" t="s">
        <v>53</v>
      </c>
      <c r="B885" s="16">
        <v>45693</v>
      </c>
      <c r="C885">
        <v>5.9</v>
      </c>
      <c r="D885">
        <v>4</v>
      </c>
      <c r="E885" t="s">
        <v>6132</v>
      </c>
    </row>
    <row r="886" spans="1:5" x14ac:dyDescent="0.35">
      <c r="A886" t="s">
        <v>53</v>
      </c>
      <c r="B886" s="16">
        <v>45695</v>
      </c>
      <c r="C886">
        <v>4.4000000000000004</v>
      </c>
      <c r="D886">
        <v>0</v>
      </c>
      <c r="E886" t="s">
        <v>6132</v>
      </c>
    </row>
    <row r="887" spans="1:5" x14ac:dyDescent="0.35">
      <c r="A887" t="s">
        <v>53</v>
      </c>
      <c r="B887" s="16">
        <v>45698</v>
      </c>
      <c r="C887">
        <v>4.5</v>
      </c>
      <c r="D887">
        <v>1</v>
      </c>
      <c r="E887" t="s">
        <v>6132</v>
      </c>
    </row>
    <row r="888" spans="1:5" x14ac:dyDescent="0.35">
      <c r="A888" t="s">
        <v>53</v>
      </c>
      <c r="B888" s="16">
        <v>45701</v>
      </c>
      <c r="C888">
        <v>7.8</v>
      </c>
      <c r="D888">
        <v>0</v>
      </c>
      <c r="E888" t="s">
        <v>6132</v>
      </c>
    </row>
    <row r="889" spans="1:5" x14ac:dyDescent="0.35">
      <c r="A889" t="s">
        <v>53</v>
      </c>
      <c r="B889" s="16">
        <v>45705</v>
      </c>
      <c r="C889">
        <v>8.9</v>
      </c>
      <c r="D889">
        <v>0</v>
      </c>
      <c r="E889" t="s">
        <v>6132</v>
      </c>
    </row>
    <row r="890" spans="1:5" x14ac:dyDescent="0.35">
      <c r="A890" t="s">
        <v>53</v>
      </c>
      <c r="B890" s="16">
        <v>45706</v>
      </c>
      <c r="C890">
        <v>4.5</v>
      </c>
      <c r="D890">
        <v>0</v>
      </c>
      <c r="E890" t="s">
        <v>6132</v>
      </c>
    </row>
    <row r="891" spans="1:5" x14ac:dyDescent="0.35">
      <c r="A891" t="s">
        <v>53</v>
      </c>
      <c r="B891" s="16">
        <v>45707</v>
      </c>
      <c r="C891">
        <v>8.8000000000000007</v>
      </c>
      <c r="D891">
        <v>0</v>
      </c>
      <c r="E891" t="s">
        <v>6134</v>
      </c>
    </row>
    <row r="892" spans="1:5" x14ac:dyDescent="0.35">
      <c r="A892" t="s">
        <v>53</v>
      </c>
      <c r="B892" s="16">
        <v>45708</v>
      </c>
      <c r="C892">
        <v>7.6</v>
      </c>
      <c r="D892">
        <v>1</v>
      </c>
      <c r="E892" t="s">
        <v>6132</v>
      </c>
    </row>
    <row r="893" spans="1:5" x14ac:dyDescent="0.35">
      <c r="A893" t="s">
        <v>53</v>
      </c>
      <c r="B893" s="16">
        <v>45709</v>
      </c>
      <c r="C893">
        <v>4.2</v>
      </c>
      <c r="D893">
        <v>2</v>
      </c>
      <c r="E893" t="s">
        <v>6132</v>
      </c>
    </row>
    <row r="894" spans="1:5" x14ac:dyDescent="0.35">
      <c r="A894" t="s">
        <v>53</v>
      </c>
      <c r="B894" s="16">
        <v>45713</v>
      </c>
      <c r="C894">
        <v>7.4</v>
      </c>
      <c r="D894">
        <v>0</v>
      </c>
      <c r="E894" t="s">
        <v>6132</v>
      </c>
    </row>
    <row r="895" spans="1:5" x14ac:dyDescent="0.35">
      <c r="A895" t="s">
        <v>53</v>
      </c>
      <c r="B895" s="16">
        <v>45715</v>
      </c>
      <c r="C895">
        <v>7</v>
      </c>
      <c r="D895">
        <v>1</v>
      </c>
      <c r="E895" t="s">
        <v>6132</v>
      </c>
    </row>
    <row r="896" spans="1:5" x14ac:dyDescent="0.35">
      <c r="A896" t="s">
        <v>53</v>
      </c>
      <c r="B896" s="16">
        <v>45716</v>
      </c>
      <c r="C896">
        <v>8</v>
      </c>
      <c r="D896">
        <v>0</v>
      </c>
      <c r="E896" t="s">
        <v>6132</v>
      </c>
    </row>
    <row r="897" spans="1:5" x14ac:dyDescent="0.35">
      <c r="A897" t="s">
        <v>53</v>
      </c>
      <c r="B897" s="16">
        <v>45719</v>
      </c>
      <c r="C897">
        <v>8.9</v>
      </c>
      <c r="D897">
        <v>3</v>
      </c>
      <c r="E897" t="s">
        <v>6132</v>
      </c>
    </row>
    <row r="898" spans="1:5" x14ac:dyDescent="0.35">
      <c r="A898" t="s">
        <v>53</v>
      </c>
      <c r="B898" s="16">
        <v>45720</v>
      </c>
      <c r="C898">
        <v>8.8000000000000007</v>
      </c>
      <c r="D898">
        <v>2</v>
      </c>
      <c r="E898" t="s">
        <v>6132</v>
      </c>
    </row>
    <row r="899" spans="1:5" x14ac:dyDescent="0.35">
      <c r="A899" t="s">
        <v>53</v>
      </c>
      <c r="B899" s="16">
        <v>45721</v>
      </c>
      <c r="C899">
        <v>4.3</v>
      </c>
      <c r="D899">
        <v>2</v>
      </c>
      <c r="E899" t="s">
        <v>6132</v>
      </c>
    </row>
    <row r="900" spans="1:5" x14ac:dyDescent="0.35">
      <c r="A900" t="s">
        <v>53</v>
      </c>
      <c r="B900" s="16">
        <v>45722</v>
      </c>
      <c r="C900">
        <v>5.8</v>
      </c>
      <c r="D900">
        <v>1</v>
      </c>
      <c r="E900" t="s">
        <v>6132</v>
      </c>
    </row>
    <row r="901" spans="1:5" x14ac:dyDescent="0.35">
      <c r="A901" t="s">
        <v>53</v>
      </c>
      <c r="B901" s="16">
        <v>45727</v>
      </c>
      <c r="C901">
        <v>6.7</v>
      </c>
      <c r="D901">
        <v>2</v>
      </c>
      <c r="E901" t="s">
        <v>6132</v>
      </c>
    </row>
    <row r="902" spans="1:5" x14ac:dyDescent="0.35">
      <c r="A902" t="s">
        <v>53</v>
      </c>
      <c r="B902" s="16">
        <v>45730</v>
      </c>
      <c r="C902">
        <v>8.4</v>
      </c>
      <c r="D902">
        <v>0</v>
      </c>
      <c r="E902" t="s">
        <v>6132</v>
      </c>
    </row>
    <row r="903" spans="1:5" x14ac:dyDescent="0.35">
      <c r="A903" t="s">
        <v>53</v>
      </c>
      <c r="B903" s="16">
        <v>45735</v>
      </c>
      <c r="C903">
        <v>7.8</v>
      </c>
      <c r="D903">
        <v>0</v>
      </c>
      <c r="E903" t="s">
        <v>6132</v>
      </c>
    </row>
    <row r="904" spans="1:5" x14ac:dyDescent="0.35">
      <c r="A904" t="s">
        <v>53</v>
      </c>
      <c r="B904" s="16">
        <v>45736</v>
      </c>
      <c r="C904">
        <v>8.1999999999999993</v>
      </c>
      <c r="D904">
        <v>0</v>
      </c>
      <c r="E904" t="s">
        <v>6132</v>
      </c>
    </row>
    <row r="905" spans="1:5" x14ac:dyDescent="0.35">
      <c r="A905" t="s">
        <v>53</v>
      </c>
      <c r="B905" s="16">
        <v>45740</v>
      </c>
      <c r="D905">
        <v>1</v>
      </c>
      <c r="E905" t="s">
        <v>6132</v>
      </c>
    </row>
    <row r="906" spans="1:5" x14ac:dyDescent="0.35">
      <c r="A906" t="s">
        <v>53</v>
      </c>
      <c r="B906" s="16">
        <v>45749</v>
      </c>
      <c r="C906">
        <v>5.4</v>
      </c>
      <c r="D906">
        <v>0</v>
      </c>
      <c r="E906" t="s">
        <v>6132</v>
      </c>
    </row>
    <row r="907" spans="1:5" x14ac:dyDescent="0.35">
      <c r="A907" t="s">
        <v>53</v>
      </c>
      <c r="B907" s="16">
        <v>45750</v>
      </c>
      <c r="C907">
        <v>5.2</v>
      </c>
      <c r="D907">
        <v>0</v>
      </c>
      <c r="E907" t="s">
        <v>6133</v>
      </c>
    </row>
    <row r="908" spans="1:5" x14ac:dyDescent="0.35">
      <c r="A908" t="s">
        <v>53</v>
      </c>
      <c r="B908" s="16">
        <v>45754</v>
      </c>
      <c r="C908">
        <v>8.8000000000000007</v>
      </c>
      <c r="D908">
        <v>0</v>
      </c>
      <c r="E908" t="s">
        <v>6132</v>
      </c>
    </row>
    <row r="909" spans="1:5" x14ac:dyDescent="0.35">
      <c r="A909" t="s">
        <v>53</v>
      </c>
      <c r="B909" s="16">
        <v>45755</v>
      </c>
      <c r="C909">
        <v>8</v>
      </c>
      <c r="D909">
        <v>2</v>
      </c>
      <c r="E909" t="s">
        <v>6132</v>
      </c>
    </row>
    <row r="910" spans="1:5" x14ac:dyDescent="0.35">
      <c r="A910" t="s">
        <v>53</v>
      </c>
      <c r="B910" s="16">
        <v>45756</v>
      </c>
      <c r="C910">
        <v>4.9000000000000004</v>
      </c>
      <c r="D910">
        <v>0</v>
      </c>
      <c r="E910" t="s">
        <v>6132</v>
      </c>
    </row>
    <row r="911" spans="1:5" x14ac:dyDescent="0.35">
      <c r="A911" t="s">
        <v>53</v>
      </c>
      <c r="B911" s="16">
        <v>45758</v>
      </c>
      <c r="C911">
        <v>5.3</v>
      </c>
      <c r="D911">
        <v>5</v>
      </c>
      <c r="E911" t="s">
        <v>6132</v>
      </c>
    </row>
    <row r="912" spans="1:5" x14ac:dyDescent="0.35">
      <c r="A912" t="s">
        <v>53</v>
      </c>
      <c r="B912" s="16">
        <v>45761</v>
      </c>
      <c r="C912">
        <v>5</v>
      </c>
      <c r="D912">
        <v>3</v>
      </c>
      <c r="E912" t="s">
        <v>6132</v>
      </c>
    </row>
    <row r="913" spans="1:5" x14ac:dyDescent="0.35">
      <c r="A913" t="s">
        <v>53</v>
      </c>
      <c r="B913" s="16">
        <v>45768</v>
      </c>
      <c r="C913">
        <v>6</v>
      </c>
      <c r="D913">
        <v>0</v>
      </c>
      <c r="E913" t="s">
        <v>6132</v>
      </c>
    </row>
    <row r="914" spans="1:5" x14ac:dyDescent="0.35">
      <c r="A914" t="s">
        <v>53</v>
      </c>
      <c r="B914" s="16">
        <v>45769</v>
      </c>
      <c r="C914">
        <v>8.6999999999999993</v>
      </c>
      <c r="D914">
        <v>1</v>
      </c>
      <c r="E914" t="s">
        <v>6132</v>
      </c>
    </row>
    <row r="915" spans="1:5" x14ac:dyDescent="0.35">
      <c r="A915" t="s">
        <v>53</v>
      </c>
      <c r="B915" s="16">
        <v>45771</v>
      </c>
      <c r="C915">
        <v>7</v>
      </c>
      <c r="D915">
        <v>0</v>
      </c>
      <c r="E915" t="s">
        <v>6132</v>
      </c>
    </row>
    <row r="916" spans="1:5" x14ac:dyDescent="0.35">
      <c r="A916" t="s">
        <v>53</v>
      </c>
      <c r="B916" s="16">
        <v>45772</v>
      </c>
      <c r="C916">
        <v>5</v>
      </c>
      <c r="D916">
        <v>0</v>
      </c>
      <c r="E916" t="s">
        <v>6133</v>
      </c>
    </row>
    <row r="917" spans="1:5" x14ac:dyDescent="0.35">
      <c r="A917" t="s">
        <v>53</v>
      </c>
      <c r="B917" s="16">
        <v>45779</v>
      </c>
      <c r="C917">
        <v>4.3</v>
      </c>
      <c r="D917">
        <v>2</v>
      </c>
      <c r="E917" t="s">
        <v>6132</v>
      </c>
    </row>
    <row r="918" spans="1:5" x14ac:dyDescent="0.35">
      <c r="A918" t="s">
        <v>53</v>
      </c>
      <c r="B918" s="16">
        <v>45784</v>
      </c>
      <c r="C918">
        <v>6.1</v>
      </c>
      <c r="D918">
        <v>0</v>
      </c>
      <c r="E918" t="s">
        <v>6132</v>
      </c>
    </row>
    <row r="919" spans="1:5" x14ac:dyDescent="0.35">
      <c r="A919" t="s">
        <v>53</v>
      </c>
      <c r="B919" s="16">
        <v>45785</v>
      </c>
      <c r="D919">
        <v>1</v>
      </c>
      <c r="E919" t="s">
        <v>6132</v>
      </c>
    </row>
    <row r="920" spans="1:5" x14ac:dyDescent="0.35">
      <c r="A920" t="s">
        <v>53</v>
      </c>
      <c r="B920" s="16">
        <v>45789</v>
      </c>
      <c r="C920">
        <v>8</v>
      </c>
      <c r="D920">
        <v>0</v>
      </c>
      <c r="E920" t="s">
        <v>6134</v>
      </c>
    </row>
    <row r="921" spans="1:5" x14ac:dyDescent="0.35">
      <c r="A921" t="s">
        <v>53</v>
      </c>
      <c r="B921" s="16">
        <v>45790</v>
      </c>
      <c r="C921">
        <v>8.6999999999999993</v>
      </c>
      <c r="D921">
        <v>2</v>
      </c>
      <c r="E921" t="s">
        <v>6132</v>
      </c>
    </row>
    <row r="922" spans="1:5" x14ac:dyDescent="0.35">
      <c r="A922" t="s">
        <v>53</v>
      </c>
      <c r="B922" s="16">
        <v>45791</v>
      </c>
      <c r="C922">
        <v>6.8</v>
      </c>
      <c r="D922">
        <v>1</v>
      </c>
      <c r="E922" t="s">
        <v>6132</v>
      </c>
    </row>
    <row r="923" spans="1:5" x14ac:dyDescent="0.35">
      <c r="A923" t="s">
        <v>53</v>
      </c>
      <c r="B923" s="16">
        <v>45793</v>
      </c>
      <c r="C923">
        <v>4.5</v>
      </c>
      <c r="D923">
        <v>1</v>
      </c>
      <c r="E923" t="s">
        <v>6132</v>
      </c>
    </row>
    <row r="924" spans="1:5" x14ac:dyDescent="0.35">
      <c r="A924" t="s">
        <v>53</v>
      </c>
      <c r="B924" s="16">
        <v>45796</v>
      </c>
      <c r="C924">
        <v>6</v>
      </c>
      <c r="D924">
        <v>0</v>
      </c>
      <c r="E924" t="s">
        <v>6132</v>
      </c>
    </row>
    <row r="925" spans="1:5" x14ac:dyDescent="0.35">
      <c r="A925" t="s">
        <v>53</v>
      </c>
      <c r="B925" s="16">
        <v>45798</v>
      </c>
      <c r="C925">
        <v>8.1</v>
      </c>
      <c r="D925">
        <v>1</v>
      </c>
      <c r="E925" t="s">
        <v>6132</v>
      </c>
    </row>
    <row r="926" spans="1:5" x14ac:dyDescent="0.35">
      <c r="A926" t="s">
        <v>53</v>
      </c>
      <c r="B926" s="16">
        <v>45800</v>
      </c>
      <c r="C926">
        <v>6.4</v>
      </c>
      <c r="D926">
        <v>3</v>
      </c>
      <c r="E926" t="s">
        <v>6132</v>
      </c>
    </row>
    <row r="927" spans="1:5" x14ac:dyDescent="0.35">
      <c r="A927" t="s">
        <v>53</v>
      </c>
      <c r="B927" s="16">
        <v>45805</v>
      </c>
      <c r="C927">
        <v>5.7</v>
      </c>
      <c r="D927">
        <v>0</v>
      </c>
      <c r="E927" t="s">
        <v>6132</v>
      </c>
    </row>
    <row r="928" spans="1:5" x14ac:dyDescent="0.35">
      <c r="A928" t="s">
        <v>53</v>
      </c>
      <c r="B928" s="16">
        <v>45806</v>
      </c>
      <c r="C928">
        <v>8.4</v>
      </c>
      <c r="D928">
        <v>1</v>
      </c>
      <c r="E928" t="s">
        <v>6132</v>
      </c>
    </row>
    <row r="929" spans="1:5" x14ac:dyDescent="0.35">
      <c r="A929" t="s">
        <v>53</v>
      </c>
      <c r="B929" s="16">
        <v>45810</v>
      </c>
      <c r="C929">
        <v>5.9</v>
      </c>
      <c r="D929">
        <v>5</v>
      </c>
      <c r="E929" t="s">
        <v>6132</v>
      </c>
    </row>
    <row r="930" spans="1:5" x14ac:dyDescent="0.35">
      <c r="A930" t="s">
        <v>53</v>
      </c>
      <c r="B930" s="16">
        <v>45811</v>
      </c>
      <c r="C930">
        <v>7</v>
      </c>
      <c r="D930">
        <v>0</v>
      </c>
      <c r="E930" t="s">
        <v>6132</v>
      </c>
    </row>
    <row r="931" spans="1:5" x14ac:dyDescent="0.35">
      <c r="A931" t="s">
        <v>53</v>
      </c>
      <c r="B931" s="16">
        <v>45812</v>
      </c>
      <c r="D931">
        <v>0</v>
      </c>
      <c r="E931" t="s">
        <v>6132</v>
      </c>
    </row>
    <row r="932" spans="1:5" x14ac:dyDescent="0.35">
      <c r="A932" t="s">
        <v>53</v>
      </c>
      <c r="B932" s="16">
        <v>45814</v>
      </c>
      <c r="C932">
        <v>4.8</v>
      </c>
      <c r="D932">
        <v>1</v>
      </c>
      <c r="E932" t="s">
        <v>6132</v>
      </c>
    </row>
    <row r="933" spans="1:5" x14ac:dyDescent="0.35">
      <c r="A933" t="s">
        <v>53</v>
      </c>
      <c r="B933" s="16">
        <v>45818</v>
      </c>
      <c r="C933">
        <v>5.7</v>
      </c>
      <c r="D933">
        <v>0</v>
      </c>
      <c r="E933" t="s">
        <v>6133</v>
      </c>
    </row>
    <row r="934" spans="1:5" x14ac:dyDescent="0.35">
      <c r="A934" t="s">
        <v>53</v>
      </c>
      <c r="B934" s="16">
        <v>45819</v>
      </c>
      <c r="C934">
        <v>5.3</v>
      </c>
      <c r="D934">
        <v>0</v>
      </c>
      <c r="E934" t="s">
        <v>6132</v>
      </c>
    </row>
    <row r="935" spans="1:5" x14ac:dyDescent="0.35">
      <c r="A935" t="s">
        <v>53</v>
      </c>
      <c r="B935" s="16">
        <v>45821</v>
      </c>
      <c r="C935">
        <v>6.7</v>
      </c>
      <c r="D935">
        <v>4</v>
      </c>
      <c r="E935" t="s">
        <v>6132</v>
      </c>
    </row>
    <row r="936" spans="1:5" x14ac:dyDescent="0.35">
      <c r="A936" t="s">
        <v>53</v>
      </c>
      <c r="B936" s="16">
        <v>45825</v>
      </c>
      <c r="C936">
        <v>4.8</v>
      </c>
      <c r="D936">
        <v>3</v>
      </c>
      <c r="E936" t="s">
        <v>6132</v>
      </c>
    </row>
    <row r="937" spans="1:5" x14ac:dyDescent="0.35">
      <c r="A937" t="s">
        <v>53</v>
      </c>
      <c r="B937" s="16">
        <v>45826</v>
      </c>
      <c r="C937">
        <v>7.9</v>
      </c>
      <c r="D937">
        <v>3</v>
      </c>
      <c r="E937" t="s">
        <v>6132</v>
      </c>
    </row>
    <row r="938" spans="1:5" x14ac:dyDescent="0.35">
      <c r="A938" t="s">
        <v>53</v>
      </c>
      <c r="B938" s="16">
        <v>45828</v>
      </c>
      <c r="C938">
        <v>5.6</v>
      </c>
      <c r="D938">
        <v>0</v>
      </c>
      <c r="E938" t="s">
        <v>6132</v>
      </c>
    </row>
    <row r="939" spans="1:5" x14ac:dyDescent="0.35">
      <c r="A939" t="s">
        <v>53</v>
      </c>
      <c r="B939" s="16">
        <v>45831</v>
      </c>
      <c r="C939">
        <v>5.7</v>
      </c>
      <c r="D939">
        <v>2</v>
      </c>
      <c r="E939" t="s">
        <v>6132</v>
      </c>
    </row>
    <row r="940" spans="1:5" x14ac:dyDescent="0.35">
      <c r="A940" t="s">
        <v>53</v>
      </c>
      <c r="B940" s="16">
        <v>45832</v>
      </c>
      <c r="C940">
        <v>8.8000000000000007</v>
      </c>
      <c r="D940">
        <v>1</v>
      </c>
      <c r="E940" t="s">
        <v>6132</v>
      </c>
    </row>
    <row r="941" spans="1:5" x14ac:dyDescent="0.35">
      <c r="A941" t="s">
        <v>53</v>
      </c>
      <c r="B941" s="16">
        <v>45834</v>
      </c>
      <c r="C941">
        <v>7.8</v>
      </c>
      <c r="D941">
        <v>0</v>
      </c>
      <c r="E941" t="s">
        <v>6132</v>
      </c>
    </row>
    <row r="942" spans="1:5" x14ac:dyDescent="0.35">
      <c r="A942" t="s">
        <v>53</v>
      </c>
      <c r="B942" s="16">
        <v>45838</v>
      </c>
      <c r="C942">
        <v>4.5</v>
      </c>
      <c r="D942">
        <v>1</v>
      </c>
      <c r="E942" t="s">
        <v>6132</v>
      </c>
    </row>
    <row r="943" spans="1:5" x14ac:dyDescent="0.35">
      <c r="A943" t="s">
        <v>53</v>
      </c>
      <c r="B943" s="16">
        <v>45840</v>
      </c>
      <c r="C943">
        <v>6.8</v>
      </c>
      <c r="D943">
        <v>1</v>
      </c>
      <c r="E943" t="s">
        <v>6132</v>
      </c>
    </row>
    <row r="944" spans="1:5" x14ac:dyDescent="0.35">
      <c r="A944" t="s">
        <v>53</v>
      </c>
      <c r="B944" s="16">
        <v>45842</v>
      </c>
      <c r="C944">
        <v>5.4</v>
      </c>
      <c r="D944">
        <v>2</v>
      </c>
      <c r="E944" t="s">
        <v>6132</v>
      </c>
    </row>
    <row r="945" spans="1:5" x14ac:dyDescent="0.35">
      <c r="A945" t="s">
        <v>53</v>
      </c>
      <c r="B945" s="16">
        <v>45847</v>
      </c>
      <c r="C945">
        <v>4.7</v>
      </c>
      <c r="D945">
        <v>0</v>
      </c>
      <c r="E945" t="s">
        <v>6132</v>
      </c>
    </row>
    <row r="946" spans="1:5" x14ac:dyDescent="0.35">
      <c r="A946" t="s">
        <v>53</v>
      </c>
      <c r="B946" s="16">
        <v>45852</v>
      </c>
      <c r="C946">
        <v>5.7</v>
      </c>
      <c r="D946">
        <v>1</v>
      </c>
      <c r="E946" t="s">
        <v>6132</v>
      </c>
    </row>
    <row r="947" spans="1:5" x14ac:dyDescent="0.35">
      <c r="A947" t="s">
        <v>53</v>
      </c>
      <c r="B947" s="16">
        <v>45853</v>
      </c>
      <c r="C947">
        <v>6.9</v>
      </c>
      <c r="D947">
        <v>0</v>
      </c>
      <c r="E947" t="s">
        <v>6132</v>
      </c>
    </row>
    <row r="948" spans="1:5" x14ac:dyDescent="0.35">
      <c r="A948" t="s">
        <v>53</v>
      </c>
      <c r="B948" s="16">
        <v>45863</v>
      </c>
      <c r="C948">
        <v>8.5</v>
      </c>
      <c r="D948">
        <v>3</v>
      </c>
      <c r="E948" t="s">
        <v>6132</v>
      </c>
    </row>
    <row r="949" spans="1:5" x14ac:dyDescent="0.35">
      <c r="A949" t="s">
        <v>53</v>
      </c>
      <c r="B949" s="16">
        <v>45868</v>
      </c>
      <c r="C949">
        <v>8.1999999999999993</v>
      </c>
      <c r="D949">
        <v>0</v>
      </c>
      <c r="E949" t="s">
        <v>6133</v>
      </c>
    </row>
    <row r="950" spans="1:5" x14ac:dyDescent="0.35">
      <c r="A950" t="s">
        <v>53</v>
      </c>
      <c r="B950" s="16">
        <v>45870</v>
      </c>
      <c r="C950">
        <v>6.3</v>
      </c>
      <c r="D950">
        <v>2</v>
      </c>
      <c r="E950" t="s">
        <v>6132</v>
      </c>
    </row>
    <row r="951" spans="1:5" x14ac:dyDescent="0.35">
      <c r="A951" t="s">
        <v>53</v>
      </c>
      <c r="B951" s="16">
        <v>45873</v>
      </c>
      <c r="C951">
        <v>8.6999999999999993</v>
      </c>
      <c r="D951">
        <v>2</v>
      </c>
      <c r="E951" t="s">
        <v>6132</v>
      </c>
    </row>
    <row r="952" spans="1:5" x14ac:dyDescent="0.35">
      <c r="A952" t="s">
        <v>53</v>
      </c>
      <c r="B952" s="16">
        <v>45874</v>
      </c>
      <c r="C952">
        <v>7.4</v>
      </c>
      <c r="D952">
        <v>1</v>
      </c>
      <c r="E952" t="s">
        <v>6132</v>
      </c>
    </row>
    <row r="953" spans="1:5" x14ac:dyDescent="0.35">
      <c r="A953" t="s">
        <v>53</v>
      </c>
      <c r="B953" s="16">
        <v>45875</v>
      </c>
      <c r="C953">
        <v>7.1</v>
      </c>
      <c r="D953">
        <v>1</v>
      </c>
      <c r="E953" t="s">
        <v>6132</v>
      </c>
    </row>
    <row r="954" spans="1:5" x14ac:dyDescent="0.35">
      <c r="A954" t="s">
        <v>53</v>
      </c>
      <c r="B954" s="16">
        <v>45877</v>
      </c>
      <c r="C954">
        <v>4.3</v>
      </c>
      <c r="D954">
        <v>0</v>
      </c>
      <c r="E954" t="s">
        <v>6132</v>
      </c>
    </row>
    <row r="955" spans="1:5" x14ac:dyDescent="0.35">
      <c r="A955" t="s">
        <v>53</v>
      </c>
      <c r="B955" s="16">
        <v>45880</v>
      </c>
      <c r="D955">
        <v>1</v>
      </c>
      <c r="E955" t="s">
        <v>6132</v>
      </c>
    </row>
    <row r="956" spans="1:5" x14ac:dyDescent="0.35">
      <c r="A956" t="s">
        <v>53</v>
      </c>
      <c r="B956" s="16">
        <v>45881</v>
      </c>
      <c r="C956">
        <v>5.0999999999999996</v>
      </c>
      <c r="D956">
        <v>0</v>
      </c>
      <c r="E956" t="s">
        <v>6132</v>
      </c>
    </row>
    <row r="957" spans="1:5" x14ac:dyDescent="0.35">
      <c r="A957" t="s">
        <v>53</v>
      </c>
      <c r="B957" s="16">
        <v>45882</v>
      </c>
      <c r="C957">
        <v>4.3</v>
      </c>
      <c r="D957">
        <v>0</v>
      </c>
      <c r="E957" t="s">
        <v>6132</v>
      </c>
    </row>
    <row r="958" spans="1:5" x14ac:dyDescent="0.35">
      <c r="A958" t="s">
        <v>53</v>
      </c>
      <c r="B958" s="16">
        <v>45884</v>
      </c>
      <c r="C958">
        <v>5</v>
      </c>
      <c r="D958">
        <v>2</v>
      </c>
      <c r="E958" t="s">
        <v>6132</v>
      </c>
    </row>
    <row r="959" spans="1:5" x14ac:dyDescent="0.35">
      <c r="A959" t="s">
        <v>53</v>
      </c>
      <c r="B959" s="16">
        <v>45888</v>
      </c>
      <c r="C959">
        <v>9</v>
      </c>
      <c r="D959">
        <v>2</v>
      </c>
      <c r="E959" t="s">
        <v>6132</v>
      </c>
    </row>
    <row r="960" spans="1:5" x14ac:dyDescent="0.35">
      <c r="A960" t="s">
        <v>53</v>
      </c>
      <c r="B960" s="16">
        <v>45890</v>
      </c>
      <c r="D960">
        <v>0</v>
      </c>
      <c r="E960" t="s">
        <v>6132</v>
      </c>
    </row>
    <row r="961" spans="1:5" x14ac:dyDescent="0.35">
      <c r="A961" t="s">
        <v>53</v>
      </c>
      <c r="B961" s="16">
        <v>45891</v>
      </c>
      <c r="C961">
        <v>7</v>
      </c>
      <c r="D961">
        <v>0</v>
      </c>
      <c r="E961" t="s">
        <v>6132</v>
      </c>
    </row>
    <row r="962" spans="1:5" x14ac:dyDescent="0.35">
      <c r="A962" t="s">
        <v>53</v>
      </c>
      <c r="B962" s="16">
        <v>45895</v>
      </c>
      <c r="C962">
        <v>6.1</v>
      </c>
      <c r="D962">
        <v>0</v>
      </c>
      <c r="E962" t="s">
        <v>6132</v>
      </c>
    </row>
    <row r="963" spans="1:5" x14ac:dyDescent="0.35">
      <c r="A963" t="s">
        <v>53</v>
      </c>
      <c r="B963" s="16">
        <v>45901</v>
      </c>
      <c r="D963">
        <v>1</v>
      </c>
      <c r="E963" t="s">
        <v>6132</v>
      </c>
    </row>
    <row r="964" spans="1:5" x14ac:dyDescent="0.35">
      <c r="A964" t="s">
        <v>53</v>
      </c>
      <c r="B964" s="16">
        <v>45902</v>
      </c>
      <c r="C964">
        <v>7.6</v>
      </c>
      <c r="D964">
        <v>2</v>
      </c>
      <c r="E964" t="s">
        <v>6132</v>
      </c>
    </row>
    <row r="965" spans="1:5" x14ac:dyDescent="0.35">
      <c r="A965" t="s">
        <v>53</v>
      </c>
      <c r="B965" s="16">
        <v>45903</v>
      </c>
      <c r="C965">
        <v>8.6</v>
      </c>
      <c r="D965">
        <v>2</v>
      </c>
      <c r="E965" t="s">
        <v>6132</v>
      </c>
    </row>
    <row r="966" spans="1:5" x14ac:dyDescent="0.35">
      <c r="A966" t="s">
        <v>53</v>
      </c>
      <c r="B966" s="16">
        <v>45904</v>
      </c>
      <c r="C966">
        <v>6.9</v>
      </c>
      <c r="D966">
        <v>1</v>
      </c>
      <c r="E966" t="s">
        <v>6132</v>
      </c>
    </row>
    <row r="967" spans="1:5" x14ac:dyDescent="0.35">
      <c r="A967" t="s">
        <v>53</v>
      </c>
      <c r="B967" s="16">
        <v>45905</v>
      </c>
      <c r="C967">
        <v>8.6</v>
      </c>
      <c r="D967">
        <v>0</v>
      </c>
      <c r="E967" t="s">
        <v>6132</v>
      </c>
    </row>
    <row r="968" spans="1:5" x14ac:dyDescent="0.35">
      <c r="A968" t="s">
        <v>53</v>
      </c>
      <c r="B968" s="16">
        <v>45909</v>
      </c>
      <c r="C968">
        <v>5.5</v>
      </c>
      <c r="D968">
        <v>1</v>
      </c>
      <c r="E968" t="s">
        <v>6132</v>
      </c>
    </row>
    <row r="969" spans="1:5" x14ac:dyDescent="0.35">
      <c r="A969" t="s">
        <v>53</v>
      </c>
      <c r="B969" s="16">
        <v>45910</v>
      </c>
      <c r="C969">
        <v>7.3</v>
      </c>
      <c r="D969">
        <v>0</v>
      </c>
      <c r="E969" t="s">
        <v>6132</v>
      </c>
    </row>
    <row r="970" spans="1:5" x14ac:dyDescent="0.35">
      <c r="A970" t="s">
        <v>53</v>
      </c>
      <c r="B970" s="16">
        <v>45911</v>
      </c>
      <c r="C970">
        <v>7.3</v>
      </c>
      <c r="D970">
        <v>0</v>
      </c>
      <c r="E970" t="s">
        <v>6132</v>
      </c>
    </row>
    <row r="971" spans="1:5" x14ac:dyDescent="0.35">
      <c r="A971" t="s">
        <v>53</v>
      </c>
      <c r="B971" s="16">
        <v>45917</v>
      </c>
      <c r="D971">
        <v>0</v>
      </c>
      <c r="E971" t="s">
        <v>6132</v>
      </c>
    </row>
    <row r="972" spans="1:5" x14ac:dyDescent="0.35">
      <c r="A972" t="s">
        <v>53</v>
      </c>
      <c r="B972" s="16">
        <v>45918</v>
      </c>
      <c r="C972">
        <v>4.3</v>
      </c>
      <c r="D972">
        <v>2</v>
      </c>
      <c r="E972" t="s">
        <v>6132</v>
      </c>
    </row>
    <row r="973" spans="1:5" x14ac:dyDescent="0.35">
      <c r="A973" t="s">
        <v>53</v>
      </c>
      <c r="B973" s="16">
        <v>45922</v>
      </c>
      <c r="C973">
        <v>4.5</v>
      </c>
      <c r="D973">
        <v>0</v>
      </c>
      <c r="E973" t="s">
        <v>6133</v>
      </c>
    </row>
    <row r="974" spans="1:5" x14ac:dyDescent="0.35">
      <c r="A974" t="s">
        <v>53</v>
      </c>
      <c r="B974" s="16">
        <v>45923</v>
      </c>
      <c r="C974">
        <v>8.4</v>
      </c>
      <c r="D974">
        <v>0</v>
      </c>
      <c r="E974" t="s">
        <v>6132</v>
      </c>
    </row>
    <row r="975" spans="1:5" x14ac:dyDescent="0.35">
      <c r="A975" t="s">
        <v>53</v>
      </c>
      <c r="B975" s="16">
        <v>45924</v>
      </c>
      <c r="C975">
        <v>5.7</v>
      </c>
      <c r="D975">
        <v>0</v>
      </c>
      <c r="E975" t="s">
        <v>6132</v>
      </c>
    </row>
    <row r="976" spans="1:5" x14ac:dyDescent="0.35">
      <c r="A976" t="s">
        <v>53</v>
      </c>
      <c r="B976" s="16">
        <v>45926</v>
      </c>
      <c r="C976">
        <v>5.3</v>
      </c>
      <c r="D976">
        <v>2</v>
      </c>
      <c r="E976" t="s">
        <v>6132</v>
      </c>
    </row>
    <row r="977" spans="1:5" x14ac:dyDescent="0.35">
      <c r="A977" t="s">
        <v>53</v>
      </c>
      <c r="B977" s="16">
        <v>45929</v>
      </c>
      <c r="C977">
        <v>6.7</v>
      </c>
      <c r="D977">
        <v>1</v>
      </c>
      <c r="E977" t="s">
        <v>6132</v>
      </c>
    </row>
    <row r="978" spans="1:5" x14ac:dyDescent="0.35">
      <c r="A978" t="s">
        <v>53</v>
      </c>
      <c r="B978" s="16">
        <v>45930</v>
      </c>
      <c r="C978">
        <v>8.4</v>
      </c>
      <c r="D978">
        <v>1</v>
      </c>
      <c r="E978" t="s">
        <v>6132</v>
      </c>
    </row>
    <row r="979" spans="1:5" x14ac:dyDescent="0.35">
      <c r="A979" t="s">
        <v>53</v>
      </c>
      <c r="B979" s="16">
        <v>45933</v>
      </c>
      <c r="C979">
        <v>7.3</v>
      </c>
      <c r="D979">
        <v>1</v>
      </c>
      <c r="E979" t="s">
        <v>6132</v>
      </c>
    </row>
    <row r="980" spans="1:5" x14ac:dyDescent="0.35">
      <c r="A980" t="s">
        <v>53</v>
      </c>
      <c r="B980" s="16">
        <v>45936</v>
      </c>
      <c r="C980">
        <v>7.1</v>
      </c>
      <c r="D980">
        <v>3</v>
      </c>
      <c r="E980" t="s">
        <v>6132</v>
      </c>
    </row>
    <row r="981" spans="1:5" x14ac:dyDescent="0.35">
      <c r="A981" t="s">
        <v>53</v>
      </c>
      <c r="B981" s="16">
        <v>45947</v>
      </c>
      <c r="C981">
        <v>5.3</v>
      </c>
      <c r="D981">
        <v>1</v>
      </c>
      <c r="E981" t="s">
        <v>6132</v>
      </c>
    </row>
    <row r="982" spans="1:5" x14ac:dyDescent="0.35">
      <c r="A982" t="s">
        <v>53</v>
      </c>
      <c r="B982" s="16">
        <v>45951</v>
      </c>
      <c r="C982">
        <v>5.9</v>
      </c>
      <c r="D982">
        <v>0</v>
      </c>
      <c r="E982" t="s">
        <v>6132</v>
      </c>
    </row>
    <row r="983" spans="1:5" x14ac:dyDescent="0.35">
      <c r="A983" t="s">
        <v>53</v>
      </c>
      <c r="B983" s="16">
        <v>45958</v>
      </c>
      <c r="C983">
        <v>6.9</v>
      </c>
      <c r="D983">
        <v>0</v>
      </c>
      <c r="E983" t="s">
        <v>6132</v>
      </c>
    </row>
    <row r="984" spans="1:5" x14ac:dyDescent="0.35">
      <c r="A984" t="s">
        <v>53</v>
      </c>
      <c r="B984" s="16">
        <v>45959</v>
      </c>
      <c r="C984">
        <v>6.1</v>
      </c>
      <c r="D984">
        <v>1</v>
      </c>
      <c r="E984" t="s">
        <v>6132</v>
      </c>
    </row>
    <row r="985" spans="1:5" x14ac:dyDescent="0.35">
      <c r="A985" t="s">
        <v>53</v>
      </c>
      <c r="B985" s="16">
        <v>45960</v>
      </c>
      <c r="C985">
        <v>4.3</v>
      </c>
      <c r="D985">
        <v>0</v>
      </c>
      <c r="E985" t="s">
        <v>6134</v>
      </c>
    </row>
    <row r="986" spans="1:5" x14ac:dyDescent="0.35">
      <c r="A986" t="s">
        <v>53</v>
      </c>
      <c r="B986" s="16">
        <v>45961</v>
      </c>
      <c r="C986">
        <v>7.3</v>
      </c>
      <c r="D986">
        <v>2</v>
      </c>
      <c r="E986" t="s">
        <v>6132</v>
      </c>
    </row>
    <row r="987" spans="1:5" x14ac:dyDescent="0.35">
      <c r="A987" t="s">
        <v>53</v>
      </c>
      <c r="B987" s="16">
        <v>45964</v>
      </c>
      <c r="C987">
        <v>7.1</v>
      </c>
      <c r="D987">
        <v>2</v>
      </c>
      <c r="E987" t="s">
        <v>6132</v>
      </c>
    </row>
    <row r="988" spans="1:5" x14ac:dyDescent="0.35">
      <c r="A988" t="s">
        <v>53</v>
      </c>
      <c r="B988" s="16">
        <v>45965</v>
      </c>
      <c r="C988">
        <v>7.5</v>
      </c>
      <c r="D988">
        <v>2</v>
      </c>
      <c r="E988" t="s">
        <v>6132</v>
      </c>
    </row>
    <row r="989" spans="1:5" x14ac:dyDescent="0.35">
      <c r="A989" t="s">
        <v>53</v>
      </c>
      <c r="B989" s="16">
        <v>45973</v>
      </c>
      <c r="C989">
        <v>4.5999999999999996</v>
      </c>
      <c r="D989">
        <v>1</v>
      </c>
      <c r="E989" t="s">
        <v>6132</v>
      </c>
    </row>
    <row r="990" spans="1:5" x14ac:dyDescent="0.35">
      <c r="A990" t="s">
        <v>53</v>
      </c>
      <c r="B990" s="16">
        <v>45974</v>
      </c>
      <c r="C990">
        <v>7.1</v>
      </c>
      <c r="D990">
        <v>0</v>
      </c>
      <c r="E990" t="s">
        <v>6132</v>
      </c>
    </row>
    <row r="991" spans="1:5" x14ac:dyDescent="0.35">
      <c r="A991" t="s">
        <v>53</v>
      </c>
      <c r="B991" s="16">
        <v>45975</v>
      </c>
      <c r="C991">
        <v>4.2</v>
      </c>
      <c r="D991">
        <v>0</v>
      </c>
      <c r="E991" t="s">
        <v>6134</v>
      </c>
    </row>
    <row r="992" spans="1:5" x14ac:dyDescent="0.35">
      <c r="A992" t="s">
        <v>53</v>
      </c>
      <c r="B992" s="16">
        <v>45978</v>
      </c>
      <c r="C992">
        <v>8.3000000000000007</v>
      </c>
      <c r="D992">
        <v>5</v>
      </c>
      <c r="E992" t="s">
        <v>6132</v>
      </c>
    </row>
    <row r="993" spans="1:5" x14ac:dyDescent="0.35">
      <c r="A993" t="s">
        <v>53</v>
      </c>
      <c r="B993" s="16">
        <v>45979</v>
      </c>
      <c r="C993">
        <v>8.6999999999999993</v>
      </c>
      <c r="D993">
        <v>3</v>
      </c>
      <c r="E993" t="s">
        <v>6132</v>
      </c>
    </row>
    <row r="994" spans="1:5" x14ac:dyDescent="0.35">
      <c r="A994" t="s">
        <v>53</v>
      </c>
      <c r="B994" s="16">
        <v>45980</v>
      </c>
      <c r="C994">
        <v>7.1</v>
      </c>
      <c r="D994">
        <v>2</v>
      </c>
      <c r="E994" t="s">
        <v>6132</v>
      </c>
    </row>
    <row r="995" spans="1:5" x14ac:dyDescent="0.35">
      <c r="A995" t="s">
        <v>53</v>
      </c>
      <c r="B995" s="16">
        <v>45982</v>
      </c>
      <c r="C995">
        <v>7.1</v>
      </c>
      <c r="D995">
        <v>3</v>
      </c>
      <c r="E995" t="s">
        <v>6132</v>
      </c>
    </row>
    <row r="996" spans="1:5" x14ac:dyDescent="0.35">
      <c r="A996" t="s">
        <v>53</v>
      </c>
      <c r="B996" s="16">
        <v>45986</v>
      </c>
      <c r="C996">
        <v>5</v>
      </c>
      <c r="D996">
        <v>1</v>
      </c>
      <c r="E996" t="s">
        <v>6132</v>
      </c>
    </row>
    <row r="997" spans="1:5" x14ac:dyDescent="0.35">
      <c r="A997" t="s">
        <v>53</v>
      </c>
      <c r="B997" s="16">
        <v>45987</v>
      </c>
      <c r="C997">
        <v>6.9</v>
      </c>
      <c r="D997">
        <v>2</v>
      </c>
      <c r="E997" t="s">
        <v>6132</v>
      </c>
    </row>
    <row r="998" spans="1:5" x14ac:dyDescent="0.35">
      <c r="A998" t="s">
        <v>53</v>
      </c>
      <c r="B998" s="16">
        <v>45988</v>
      </c>
      <c r="C998">
        <v>8.6</v>
      </c>
      <c r="D998">
        <v>4</v>
      </c>
      <c r="E998" t="s">
        <v>6132</v>
      </c>
    </row>
    <row r="999" spans="1:5" x14ac:dyDescent="0.35">
      <c r="A999" t="s">
        <v>53</v>
      </c>
      <c r="B999" s="16">
        <v>45989</v>
      </c>
      <c r="C999">
        <v>6.2</v>
      </c>
      <c r="D999">
        <v>2</v>
      </c>
      <c r="E999" t="s">
        <v>6132</v>
      </c>
    </row>
    <row r="1000" spans="1:5" x14ac:dyDescent="0.35">
      <c r="A1000" t="s">
        <v>53</v>
      </c>
      <c r="B1000" s="16">
        <v>45992</v>
      </c>
      <c r="C1000">
        <v>7.3</v>
      </c>
      <c r="D1000">
        <v>3</v>
      </c>
      <c r="E1000" t="s">
        <v>6132</v>
      </c>
    </row>
    <row r="1001" spans="1:5" x14ac:dyDescent="0.35">
      <c r="A1001" t="s">
        <v>53</v>
      </c>
      <c r="B1001" s="16">
        <v>45993</v>
      </c>
      <c r="C1001">
        <v>8.6999999999999993</v>
      </c>
      <c r="D1001">
        <v>1</v>
      </c>
      <c r="E1001" t="s">
        <v>6132</v>
      </c>
    </row>
    <row r="1002" spans="1:5" x14ac:dyDescent="0.35">
      <c r="A1002" t="s">
        <v>53</v>
      </c>
      <c r="B1002" s="16">
        <v>45995</v>
      </c>
      <c r="C1002">
        <v>4.2</v>
      </c>
      <c r="D1002">
        <v>1</v>
      </c>
      <c r="E1002" t="s">
        <v>6132</v>
      </c>
    </row>
    <row r="1003" spans="1:5" x14ac:dyDescent="0.35">
      <c r="A1003" t="s">
        <v>53</v>
      </c>
      <c r="B1003" s="16">
        <v>46002</v>
      </c>
      <c r="C1003">
        <v>5.5</v>
      </c>
      <c r="D1003">
        <v>2</v>
      </c>
      <c r="E1003" t="s">
        <v>6132</v>
      </c>
    </row>
    <row r="1004" spans="1:5" x14ac:dyDescent="0.35">
      <c r="A1004" t="s">
        <v>53</v>
      </c>
      <c r="B1004" s="16">
        <v>46003</v>
      </c>
      <c r="C1004">
        <v>8.5</v>
      </c>
      <c r="D1004">
        <v>0</v>
      </c>
      <c r="E1004" t="s">
        <v>6132</v>
      </c>
    </row>
    <row r="1005" spans="1:5" x14ac:dyDescent="0.35">
      <c r="A1005" t="s">
        <v>53</v>
      </c>
      <c r="B1005" s="16">
        <v>46007</v>
      </c>
      <c r="C1005">
        <v>9</v>
      </c>
      <c r="D1005">
        <v>0</v>
      </c>
      <c r="E1005" t="s">
        <v>6132</v>
      </c>
    </row>
    <row r="1006" spans="1:5" x14ac:dyDescent="0.35">
      <c r="A1006" t="s">
        <v>53</v>
      </c>
      <c r="B1006" s="16">
        <v>46008</v>
      </c>
      <c r="C1006">
        <v>5.4</v>
      </c>
      <c r="D1006">
        <v>0</v>
      </c>
      <c r="E1006" t="s">
        <v>6132</v>
      </c>
    </row>
    <row r="1007" spans="1:5" x14ac:dyDescent="0.35">
      <c r="A1007" t="s">
        <v>53</v>
      </c>
      <c r="B1007" s="16">
        <v>46009</v>
      </c>
      <c r="C1007">
        <v>5.8</v>
      </c>
      <c r="D1007">
        <v>0</v>
      </c>
      <c r="E1007" t="s">
        <v>6132</v>
      </c>
    </row>
    <row r="1008" spans="1:5" x14ac:dyDescent="0.35">
      <c r="A1008" t="s">
        <v>53</v>
      </c>
      <c r="B1008" s="16">
        <v>46010</v>
      </c>
      <c r="C1008">
        <v>8.9</v>
      </c>
      <c r="D1008">
        <v>0</v>
      </c>
      <c r="E1008" t="s">
        <v>6132</v>
      </c>
    </row>
    <row r="1009" spans="1:5" x14ac:dyDescent="0.35">
      <c r="A1009" t="s">
        <v>53</v>
      </c>
      <c r="B1009" s="16">
        <v>46013</v>
      </c>
      <c r="C1009">
        <v>6.8</v>
      </c>
      <c r="D1009">
        <v>1</v>
      </c>
      <c r="E1009" t="s">
        <v>6132</v>
      </c>
    </row>
    <row r="1010" spans="1:5" x14ac:dyDescent="0.35">
      <c r="A1010" t="s">
        <v>53</v>
      </c>
      <c r="B1010" s="16">
        <v>46020</v>
      </c>
      <c r="C1010">
        <v>7.9</v>
      </c>
      <c r="D1010">
        <v>0</v>
      </c>
      <c r="E1010" t="s">
        <v>6132</v>
      </c>
    </row>
    <row r="1011" spans="1:5" x14ac:dyDescent="0.35">
      <c r="A1011" t="s">
        <v>53</v>
      </c>
      <c r="B1011" s="16">
        <v>46022</v>
      </c>
      <c r="C1011">
        <v>4.0999999999999996</v>
      </c>
      <c r="D1011">
        <v>1</v>
      </c>
      <c r="E1011" t="s">
        <v>6132</v>
      </c>
    </row>
    <row r="1012" spans="1:5" x14ac:dyDescent="0.35">
      <c r="A1012" t="s">
        <v>6097</v>
      </c>
      <c r="B1012" s="16">
        <v>45658</v>
      </c>
      <c r="C1012">
        <v>8.4</v>
      </c>
      <c r="D1012">
        <v>0</v>
      </c>
      <c r="E1012" t="s">
        <v>6132</v>
      </c>
    </row>
    <row r="1013" spans="1:5" x14ac:dyDescent="0.35">
      <c r="A1013" t="s">
        <v>6097</v>
      </c>
      <c r="B1013" s="16">
        <v>45660</v>
      </c>
      <c r="C1013">
        <v>7.5</v>
      </c>
      <c r="D1013">
        <v>0</v>
      </c>
      <c r="E1013" t="s">
        <v>6132</v>
      </c>
    </row>
    <row r="1014" spans="1:5" x14ac:dyDescent="0.35">
      <c r="A1014" t="s">
        <v>6097</v>
      </c>
      <c r="B1014" s="16">
        <v>45663</v>
      </c>
      <c r="C1014">
        <v>4.7</v>
      </c>
      <c r="D1014">
        <v>0</v>
      </c>
      <c r="E1014" t="s">
        <v>6132</v>
      </c>
    </row>
    <row r="1015" spans="1:5" x14ac:dyDescent="0.35">
      <c r="A1015" t="s">
        <v>6097</v>
      </c>
      <c r="B1015" s="16">
        <v>45664</v>
      </c>
      <c r="C1015">
        <v>6.8</v>
      </c>
      <c r="D1015">
        <v>0</v>
      </c>
      <c r="E1015" t="s">
        <v>6132</v>
      </c>
    </row>
    <row r="1016" spans="1:5" x14ac:dyDescent="0.35">
      <c r="A1016" t="s">
        <v>6097</v>
      </c>
      <c r="B1016" s="16">
        <v>45665</v>
      </c>
      <c r="C1016">
        <v>5.0999999999999996</v>
      </c>
      <c r="D1016">
        <v>0</v>
      </c>
      <c r="E1016" t="s">
        <v>6132</v>
      </c>
    </row>
    <row r="1017" spans="1:5" x14ac:dyDescent="0.35">
      <c r="A1017" t="s">
        <v>6097</v>
      </c>
      <c r="B1017" s="16">
        <v>45666</v>
      </c>
      <c r="C1017">
        <v>8.8000000000000007</v>
      </c>
      <c r="D1017">
        <v>0</v>
      </c>
      <c r="E1017" t="s">
        <v>6132</v>
      </c>
    </row>
    <row r="1018" spans="1:5" x14ac:dyDescent="0.35">
      <c r="A1018" t="s">
        <v>6097</v>
      </c>
      <c r="B1018" s="16">
        <v>45677</v>
      </c>
      <c r="C1018">
        <v>6.6</v>
      </c>
      <c r="D1018">
        <v>0</v>
      </c>
      <c r="E1018" t="s">
        <v>6132</v>
      </c>
    </row>
    <row r="1019" spans="1:5" x14ac:dyDescent="0.35">
      <c r="A1019" t="s">
        <v>6097</v>
      </c>
      <c r="B1019" s="16">
        <v>45685</v>
      </c>
      <c r="C1019">
        <v>8.9</v>
      </c>
      <c r="D1019">
        <v>0</v>
      </c>
      <c r="E1019" t="s">
        <v>6132</v>
      </c>
    </row>
    <row r="1020" spans="1:5" x14ac:dyDescent="0.35">
      <c r="A1020" t="s">
        <v>6097</v>
      </c>
      <c r="B1020" s="16">
        <v>45686</v>
      </c>
      <c r="C1020">
        <v>7.5</v>
      </c>
      <c r="D1020">
        <v>0</v>
      </c>
      <c r="E1020" t="s">
        <v>6132</v>
      </c>
    </row>
    <row r="1021" spans="1:5" x14ac:dyDescent="0.35">
      <c r="A1021" t="s">
        <v>6097</v>
      </c>
      <c r="B1021" s="16">
        <v>45691</v>
      </c>
      <c r="C1021">
        <v>9</v>
      </c>
      <c r="D1021">
        <v>0</v>
      </c>
      <c r="E1021" t="s">
        <v>6132</v>
      </c>
    </row>
    <row r="1022" spans="1:5" x14ac:dyDescent="0.35">
      <c r="A1022" t="s">
        <v>6097</v>
      </c>
      <c r="B1022" s="16">
        <v>45692</v>
      </c>
      <c r="C1022">
        <v>4.9000000000000004</v>
      </c>
      <c r="D1022">
        <v>0</v>
      </c>
      <c r="E1022" t="s">
        <v>6132</v>
      </c>
    </row>
    <row r="1023" spans="1:5" x14ac:dyDescent="0.35">
      <c r="A1023" t="s">
        <v>6097</v>
      </c>
      <c r="B1023" s="16">
        <v>45700</v>
      </c>
      <c r="C1023">
        <v>8.1</v>
      </c>
      <c r="D1023">
        <v>0</v>
      </c>
      <c r="E1023" t="s">
        <v>6132</v>
      </c>
    </row>
    <row r="1024" spans="1:5" x14ac:dyDescent="0.35">
      <c r="A1024" t="s">
        <v>6097</v>
      </c>
      <c r="B1024" s="16">
        <v>45708</v>
      </c>
      <c r="C1024">
        <v>7.9</v>
      </c>
      <c r="D1024">
        <v>0</v>
      </c>
      <c r="E1024" t="s">
        <v>6132</v>
      </c>
    </row>
    <row r="1025" spans="1:5" x14ac:dyDescent="0.35">
      <c r="A1025" t="s">
        <v>6097</v>
      </c>
      <c r="B1025" s="16">
        <v>45709</v>
      </c>
      <c r="C1025">
        <v>5.3</v>
      </c>
      <c r="D1025">
        <v>0</v>
      </c>
      <c r="E1025" t="s">
        <v>6132</v>
      </c>
    </row>
    <row r="1026" spans="1:5" x14ac:dyDescent="0.35">
      <c r="A1026" t="s">
        <v>6097</v>
      </c>
      <c r="B1026" s="16">
        <v>45712</v>
      </c>
      <c r="C1026">
        <v>5.4</v>
      </c>
      <c r="D1026">
        <v>0</v>
      </c>
      <c r="E1026" t="s">
        <v>6134</v>
      </c>
    </row>
    <row r="1027" spans="1:5" x14ac:dyDescent="0.35">
      <c r="A1027" t="s">
        <v>6097</v>
      </c>
      <c r="B1027" s="16">
        <v>45719</v>
      </c>
      <c r="C1027">
        <v>6.8</v>
      </c>
      <c r="D1027">
        <v>0</v>
      </c>
      <c r="E1027" t="s">
        <v>6132</v>
      </c>
    </row>
    <row r="1028" spans="1:5" x14ac:dyDescent="0.35">
      <c r="A1028" t="s">
        <v>6097</v>
      </c>
      <c r="B1028" s="16">
        <v>45723</v>
      </c>
      <c r="C1028">
        <v>4.7</v>
      </c>
      <c r="D1028">
        <v>0</v>
      </c>
      <c r="E1028" t="s">
        <v>6134</v>
      </c>
    </row>
    <row r="1029" spans="1:5" x14ac:dyDescent="0.35">
      <c r="A1029" t="s">
        <v>6097</v>
      </c>
      <c r="B1029" s="16">
        <v>45728</v>
      </c>
      <c r="C1029">
        <v>7.9</v>
      </c>
      <c r="D1029">
        <v>0</v>
      </c>
      <c r="E1029" t="s">
        <v>6132</v>
      </c>
    </row>
    <row r="1030" spans="1:5" x14ac:dyDescent="0.35">
      <c r="A1030" t="s">
        <v>6097</v>
      </c>
      <c r="B1030" s="16">
        <v>45730</v>
      </c>
      <c r="C1030">
        <v>4</v>
      </c>
      <c r="D1030">
        <v>0</v>
      </c>
      <c r="E1030" t="s">
        <v>6134</v>
      </c>
    </row>
    <row r="1031" spans="1:5" x14ac:dyDescent="0.35">
      <c r="A1031" t="s">
        <v>6097</v>
      </c>
      <c r="B1031" s="16">
        <v>45733</v>
      </c>
      <c r="C1031">
        <v>7.6</v>
      </c>
      <c r="D1031">
        <v>0</v>
      </c>
      <c r="E1031" t="s">
        <v>6132</v>
      </c>
    </row>
    <row r="1032" spans="1:5" x14ac:dyDescent="0.35">
      <c r="A1032" t="s">
        <v>6097</v>
      </c>
      <c r="B1032" s="16">
        <v>45736</v>
      </c>
      <c r="C1032">
        <v>4.7</v>
      </c>
      <c r="D1032">
        <v>0</v>
      </c>
      <c r="E1032" t="s">
        <v>6134</v>
      </c>
    </row>
    <row r="1033" spans="1:5" x14ac:dyDescent="0.35">
      <c r="A1033" t="s">
        <v>6097</v>
      </c>
      <c r="B1033" s="16">
        <v>45740</v>
      </c>
      <c r="C1033">
        <v>7</v>
      </c>
      <c r="D1033">
        <v>0</v>
      </c>
      <c r="E1033" t="s">
        <v>6132</v>
      </c>
    </row>
    <row r="1034" spans="1:5" x14ac:dyDescent="0.35">
      <c r="A1034" t="s">
        <v>6097</v>
      </c>
      <c r="B1034" s="16">
        <v>45749</v>
      </c>
      <c r="C1034">
        <v>7.1</v>
      </c>
      <c r="D1034">
        <v>0</v>
      </c>
      <c r="E1034" t="s">
        <v>6132</v>
      </c>
    </row>
    <row r="1035" spans="1:5" x14ac:dyDescent="0.35">
      <c r="A1035" t="s">
        <v>6097</v>
      </c>
      <c r="B1035" s="16">
        <v>45750</v>
      </c>
      <c r="C1035">
        <v>5.5</v>
      </c>
      <c r="D1035">
        <v>0</v>
      </c>
      <c r="E1035" t="s">
        <v>6132</v>
      </c>
    </row>
    <row r="1036" spans="1:5" x14ac:dyDescent="0.35">
      <c r="A1036" t="s">
        <v>6097</v>
      </c>
      <c r="B1036" s="16">
        <v>45754</v>
      </c>
      <c r="C1036">
        <v>7.5</v>
      </c>
      <c r="D1036">
        <v>0</v>
      </c>
      <c r="E1036" t="s">
        <v>6132</v>
      </c>
    </row>
    <row r="1037" spans="1:5" x14ac:dyDescent="0.35">
      <c r="A1037" t="s">
        <v>6097</v>
      </c>
      <c r="B1037" s="16">
        <v>45756</v>
      </c>
      <c r="C1037">
        <v>4.0999999999999996</v>
      </c>
      <c r="D1037">
        <v>0</v>
      </c>
      <c r="E1037" t="s">
        <v>6132</v>
      </c>
    </row>
    <row r="1038" spans="1:5" x14ac:dyDescent="0.35">
      <c r="A1038" t="s">
        <v>6097</v>
      </c>
      <c r="B1038" s="16">
        <v>45763</v>
      </c>
      <c r="C1038">
        <v>4.9000000000000004</v>
      </c>
      <c r="D1038">
        <v>0</v>
      </c>
      <c r="E1038" t="s">
        <v>6134</v>
      </c>
    </row>
    <row r="1039" spans="1:5" x14ac:dyDescent="0.35">
      <c r="A1039" t="s">
        <v>6097</v>
      </c>
      <c r="B1039" s="16">
        <v>45764</v>
      </c>
      <c r="C1039">
        <v>5.3</v>
      </c>
      <c r="D1039">
        <v>0</v>
      </c>
      <c r="E1039" t="s">
        <v>6132</v>
      </c>
    </row>
    <row r="1040" spans="1:5" x14ac:dyDescent="0.35">
      <c r="A1040" t="s">
        <v>6097</v>
      </c>
      <c r="B1040" s="16">
        <v>45765</v>
      </c>
      <c r="C1040">
        <v>7.9</v>
      </c>
      <c r="D1040">
        <v>0</v>
      </c>
      <c r="E1040" t="s">
        <v>6132</v>
      </c>
    </row>
    <row r="1041" spans="1:5" x14ac:dyDescent="0.35">
      <c r="A1041" t="s">
        <v>6097</v>
      </c>
      <c r="B1041" s="16">
        <v>45776</v>
      </c>
      <c r="C1041">
        <v>7.6</v>
      </c>
      <c r="D1041">
        <v>0</v>
      </c>
      <c r="E1041" t="s">
        <v>6132</v>
      </c>
    </row>
    <row r="1042" spans="1:5" x14ac:dyDescent="0.35">
      <c r="A1042" t="s">
        <v>6097</v>
      </c>
      <c r="B1042" s="16">
        <v>45777</v>
      </c>
      <c r="C1042">
        <v>7.6</v>
      </c>
      <c r="D1042">
        <v>0</v>
      </c>
      <c r="E1042" t="s">
        <v>6132</v>
      </c>
    </row>
    <row r="1043" spans="1:5" x14ac:dyDescent="0.35">
      <c r="A1043" t="s">
        <v>6097</v>
      </c>
      <c r="B1043" s="16">
        <v>45779</v>
      </c>
      <c r="C1043">
        <v>6.2</v>
      </c>
      <c r="D1043">
        <v>0</v>
      </c>
      <c r="E1043" t="s">
        <v>6132</v>
      </c>
    </row>
    <row r="1044" spans="1:5" x14ac:dyDescent="0.35">
      <c r="A1044" t="s">
        <v>6097</v>
      </c>
      <c r="B1044" s="16">
        <v>45789</v>
      </c>
      <c r="C1044">
        <v>6.2</v>
      </c>
      <c r="D1044">
        <v>0</v>
      </c>
      <c r="E1044" t="s">
        <v>6132</v>
      </c>
    </row>
    <row r="1045" spans="1:5" x14ac:dyDescent="0.35">
      <c r="A1045" t="s">
        <v>6097</v>
      </c>
      <c r="B1045" s="16">
        <v>45790</v>
      </c>
      <c r="C1045">
        <v>7.6</v>
      </c>
      <c r="D1045">
        <v>0</v>
      </c>
      <c r="E1045" t="s">
        <v>6134</v>
      </c>
    </row>
    <row r="1046" spans="1:5" x14ac:dyDescent="0.35">
      <c r="A1046" t="s">
        <v>6097</v>
      </c>
      <c r="B1046" s="16">
        <v>45791</v>
      </c>
      <c r="C1046">
        <v>4.3</v>
      </c>
      <c r="D1046">
        <v>0</v>
      </c>
      <c r="E1046" t="s">
        <v>6132</v>
      </c>
    </row>
    <row r="1047" spans="1:5" x14ac:dyDescent="0.35">
      <c r="A1047" t="s">
        <v>6097</v>
      </c>
      <c r="B1047" s="16">
        <v>45803</v>
      </c>
      <c r="C1047">
        <v>6.1</v>
      </c>
      <c r="D1047">
        <v>0</v>
      </c>
      <c r="E1047" t="s">
        <v>6133</v>
      </c>
    </row>
    <row r="1048" spans="1:5" x14ac:dyDescent="0.35">
      <c r="A1048" t="s">
        <v>6097</v>
      </c>
      <c r="B1048" s="16">
        <v>45806</v>
      </c>
      <c r="C1048">
        <v>6.1</v>
      </c>
      <c r="D1048">
        <v>0</v>
      </c>
      <c r="E1048" t="s">
        <v>6132</v>
      </c>
    </row>
    <row r="1049" spans="1:5" x14ac:dyDescent="0.35">
      <c r="A1049" t="s">
        <v>6097</v>
      </c>
      <c r="B1049" s="16">
        <v>45807</v>
      </c>
      <c r="C1049">
        <v>5.4</v>
      </c>
      <c r="D1049">
        <v>0</v>
      </c>
      <c r="E1049" t="s">
        <v>6132</v>
      </c>
    </row>
    <row r="1050" spans="1:5" x14ac:dyDescent="0.35">
      <c r="A1050" t="s">
        <v>6097</v>
      </c>
      <c r="B1050" s="16">
        <v>45817</v>
      </c>
      <c r="D1050">
        <v>0</v>
      </c>
      <c r="E1050" t="s">
        <v>6132</v>
      </c>
    </row>
    <row r="1051" spans="1:5" x14ac:dyDescent="0.35">
      <c r="A1051" t="s">
        <v>6097</v>
      </c>
      <c r="B1051" s="16">
        <v>45819</v>
      </c>
      <c r="C1051">
        <v>5.7</v>
      </c>
      <c r="D1051">
        <v>0</v>
      </c>
      <c r="E1051" t="s">
        <v>6132</v>
      </c>
    </row>
    <row r="1052" spans="1:5" x14ac:dyDescent="0.35">
      <c r="A1052" t="s">
        <v>6097</v>
      </c>
      <c r="B1052" s="16">
        <v>45821</v>
      </c>
      <c r="C1052">
        <v>6.7</v>
      </c>
      <c r="D1052">
        <v>0</v>
      </c>
      <c r="E1052" t="s">
        <v>6132</v>
      </c>
    </row>
    <row r="1053" spans="1:5" x14ac:dyDescent="0.35">
      <c r="A1053" t="s">
        <v>6097</v>
      </c>
      <c r="B1053" s="16">
        <v>45825</v>
      </c>
      <c r="C1053">
        <v>7.7</v>
      </c>
      <c r="D1053">
        <v>0</v>
      </c>
      <c r="E1053" t="s">
        <v>6132</v>
      </c>
    </row>
    <row r="1054" spans="1:5" x14ac:dyDescent="0.35">
      <c r="A1054" t="s">
        <v>6097</v>
      </c>
      <c r="B1054" s="16">
        <v>45826</v>
      </c>
      <c r="C1054">
        <v>7.9</v>
      </c>
      <c r="D1054">
        <v>0</v>
      </c>
      <c r="E1054" t="s">
        <v>6132</v>
      </c>
    </row>
    <row r="1055" spans="1:5" x14ac:dyDescent="0.35">
      <c r="A1055" t="s">
        <v>6097</v>
      </c>
      <c r="B1055" s="16">
        <v>45828</v>
      </c>
      <c r="C1055">
        <v>8.1999999999999993</v>
      </c>
      <c r="D1055">
        <v>0</v>
      </c>
      <c r="E1055" t="s">
        <v>6132</v>
      </c>
    </row>
    <row r="1056" spans="1:5" x14ac:dyDescent="0.35">
      <c r="A1056" t="s">
        <v>6097</v>
      </c>
      <c r="B1056" s="16">
        <v>45833</v>
      </c>
      <c r="C1056">
        <v>6.7</v>
      </c>
      <c r="D1056">
        <v>0</v>
      </c>
      <c r="E1056" t="s">
        <v>6132</v>
      </c>
    </row>
    <row r="1057" spans="1:5" x14ac:dyDescent="0.35">
      <c r="A1057" t="s">
        <v>6097</v>
      </c>
      <c r="B1057" s="16">
        <v>45840</v>
      </c>
      <c r="C1057">
        <v>7.1</v>
      </c>
      <c r="D1057">
        <v>0</v>
      </c>
      <c r="E1057" t="s">
        <v>6132</v>
      </c>
    </row>
    <row r="1058" spans="1:5" x14ac:dyDescent="0.35">
      <c r="A1058" t="s">
        <v>6097</v>
      </c>
      <c r="B1058" s="16">
        <v>45846</v>
      </c>
      <c r="C1058">
        <v>5.2</v>
      </c>
      <c r="D1058">
        <v>0</v>
      </c>
      <c r="E1058" t="s">
        <v>6132</v>
      </c>
    </row>
    <row r="1059" spans="1:5" x14ac:dyDescent="0.35">
      <c r="A1059" t="s">
        <v>6097</v>
      </c>
      <c r="B1059" s="16">
        <v>45848</v>
      </c>
      <c r="C1059">
        <v>8.5</v>
      </c>
      <c r="D1059">
        <v>0</v>
      </c>
      <c r="E1059" t="s">
        <v>6132</v>
      </c>
    </row>
    <row r="1060" spans="1:5" x14ac:dyDescent="0.35">
      <c r="A1060" t="s">
        <v>6097</v>
      </c>
      <c r="B1060" s="16">
        <v>45854</v>
      </c>
      <c r="C1060">
        <v>6</v>
      </c>
      <c r="D1060">
        <v>0</v>
      </c>
      <c r="E1060" t="s">
        <v>6132</v>
      </c>
    </row>
    <row r="1061" spans="1:5" x14ac:dyDescent="0.35">
      <c r="A1061" t="s">
        <v>6097</v>
      </c>
      <c r="B1061" s="16">
        <v>45868</v>
      </c>
      <c r="C1061">
        <v>7</v>
      </c>
      <c r="D1061">
        <v>0</v>
      </c>
      <c r="E1061" t="s">
        <v>6133</v>
      </c>
    </row>
    <row r="1062" spans="1:5" x14ac:dyDescent="0.35">
      <c r="A1062" t="s">
        <v>6097</v>
      </c>
      <c r="B1062" s="16">
        <v>45869</v>
      </c>
      <c r="C1062">
        <v>6.5</v>
      </c>
      <c r="D1062">
        <v>0</v>
      </c>
      <c r="E1062" t="s">
        <v>6134</v>
      </c>
    </row>
    <row r="1063" spans="1:5" x14ac:dyDescent="0.35">
      <c r="A1063" t="s">
        <v>6097</v>
      </c>
      <c r="B1063" s="16">
        <v>45875</v>
      </c>
      <c r="D1063">
        <v>0</v>
      </c>
      <c r="E1063" t="s">
        <v>6132</v>
      </c>
    </row>
    <row r="1064" spans="1:5" x14ac:dyDescent="0.35">
      <c r="A1064" t="s">
        <v>6097</v>
      </c>
      <c r="B1064" s="16">
        <v>45877</v>
      </c>
      <c r="C1064">
        <v>5.8</v>
      </c>
      <c r="D1064">
        <v>0</v>
      </c>
      <c r="E1064" t="s">
        <v>6132</v>
      </c>
    </row>
    <row r="1065" spans="1:5" x14ac:dyDescent="0.35">
      <c r="A1065" t="s">
        <v>6097</v>
      </c>
      <c r="B1065" s="16">
        <v>45880</v>
      </c>
      <c r="D1065">
        <v>0</v>
      </c>
      <c r="E1065" t="s">
        <v>6132</v>
      </c>
    </row>
    <row r="1066" spans="1:5" x14ac:dyDescent="0.35">
      <c r="A1066" t="s">
        <v>6097</v>
      </c>
      <c r="B1066" s="16">
        <v>45882</v>
      </c>
      <c r="C1066">
        <v>5.3</v>
      </c>
      <c r="D1066">
        <v>0</v>
      </c>
      <c r="E1066" t="s">
        <v>6132</v>
      </c>
    </row>
    <row r="1067" spans="1:5" x14ac:dyDescent="0.35">
      <c r="A1067" t="s">
        <v>6097</v>
      </c>
      <c r="B1067" s="16">
        <v>45883</v>
      </c>
      <c r="C1067">
        <v>7.7</v>
      </c>
      <c r="D1067">
        <v>0</v>
      </c>
      <c r="E1067" t="s">
        <v>6132</v>
      </c>
    </row>
    <row r="1068" spans="1:5" x14ac:dyDescent="0.35">
      <c r="A1068" t="s">
        <v>6097</v>
      </c>
      <c r="B1068" s="16">
        <v>45884</v>
      </c>
      <c r="C1068">
        <v>8.6999999999999993</v>
      </c>
      <c r="D1068">
        <v>0</v>
      </c>
      <c r="E1068" t="s">
        <v>6132</v>
      </c>
    </row>
    <row r="1069" spans="1:5" x14ac:dyDescent="0.35">
      <c r="A1069" t="s">
        <v>6097</v>
      </c>
      <c r="B1069" s="16">
        <v>45888</v>
      </c>
      <c r="D1069">
        <v>0</v>
      </c>
      <c r="E1069" t="s">
        <v>6132</v>
      </c>
    </row>
    <row r="1070" spans="1:5" x14ac:dyDescent="0.35">
      <c r="A1070" t="s">
        <v>6097</v>
      </c>
      <c r="B1070" s="16">
        <v>45889</v>
      </c>
      <c r="C1070">
        <v>8.6</v>
      </c>
      <c r="D1070">
        <v>0</v>
      </c>
      <c r="E1070" t="s">
        <v>6132</v>
      </c>
    </row>
    <row r="1071" spans="1:5" x14ac:dyDescent="0.35">
      <c r="A1071" t="s">
        <v>6097</v>
      </c>
      <c r="B1071" s="16">
        <v>45891</v>
      </c>
      <c r="C1071">
        <v>7.5</v>
      </c>
      <c r="D1071">
        <v>0</v>
      </c>
      <c r="E1071" t="s">
        <v>6132</v>
      </c>
    </row>
    <row r="1072" spans="1:5" x14ac:dyDescent="0.35">
      <c r="A1072" t="s">
        <v>6097</v>
      </c>
      <c r="B1072" s="16">
        <v>45896</v>
      </c>
      <c r="C1072">
        <v>5.9</v>
      </c>
      <c r="D1072">
        <v>0</v>
      </c>
      <c r="E1072" t="s">
        <v>6132</v>
      </c>
    </row>
    <row r="1073" spans="1:5" x14ac:dyDescent="0.35">
      <c r="A1073" t="s">
        <v>6097</v>
      </c>
      <c r="B1073" s="16">
        <v>45901</v>
      </c>
      <c r="C1073">
        <v>7.5</v>
      </c>
      <c r="D1073">
        <v>0</v>
      </c>
      <c r="E1073" t="s">
        <v>6132</v>
      </c>
    </row>
    <row r="1074" spans="1:5" x14ac:dyDescent="0.35">
      <c r="A1074" t="s">
        <v>6097</v>
      </c>
      <c r="B1074" s="16">
        <v>45902</v>
      </c>
      <c r="C1074">
        <v>8.8000000000000007</v>
      </c>
      <c r="D1074">
        <v>0</v>
      </c>
      <c r="E1074" t="s">
        <v>6132</v>
      </c>
    </row>
    <row r="1075" spans="1:5" x14ac:dyDescent="0.35">
      <c r="A1075" t="s">
        <v>6097</v>
      </c>
      <c r="B1075" s="16">
        <v>45903</v>
      </c>
      <c r="D1075">
        <v>0</v>
      </c>
      <c r="E1075" t="s">
        <v>6132</v>
      </c>
    </row>
    <row r="1076" spans="1:5" x14ac:dyDescent="0.35">
      <c r="A1076" t="s">
        <v>6097</v>
      </c>
      <c r="B1076" s="16">
        <v>45904</v>
      </c>
      <c r="C1076">
        <v>8</v>
      </c>
      <c r="D1076">
        <v>0</v>
      </c>
      <c r="E1076" t="s">
        <v>6132</v>
      </c>
    </row>
    <row r="1077" spans="1:5" x14ac:dyDescent="0.35">
      <c r="A1077" t="s">
        <v>6097</v>
      </c>
      <c r="B1077" s="16">
        <v>45909</v>
      </c>
      <c r="C1077">
        <v>8.6</v>
      </c>
      <c r="D1077">
        <v>0</v>
      </c>
      <c r="E1077" t="s">
        <v>6132</v>
      </c>
    </row>
    <row r="1078" spans="1:5" x14ac:dyDescent="0.35">
      <c r="A1078" t="s">
        <v>6097</v>
      </c>
      <c r="B1078" s="16">
        <v>45911</v>
      </c>
      <c r="C1078">
        <v>7.8</v>
      </c>
      <c r="D1078">
        <v>0</v>
      </c>
      <c r="E1078" t="s">
        <v>6132</v>
      </c>
    </row>
    <row r="1079" spans="1:5" x14ac:dyDescent="0.35">
      <c r="A1079" t="s">
        <v>6097</v>
      </c>
      <c r="B1079" s="16">
        <v>45912</v>
      </c>
      <c r="C1079">
        <v>8.6999999999999993</v>
      </c>
      <c r="D1079">
        <v>0</v>
      </c>
      <c r="E1079" t="s">
        <v>6132</v>
      </c>
    </row>
    <row r="1080" spans="1:5" x14ac:dyDescent="0.35">
      <c r="A1080" t="s">
        <v>6097</v>
      </c>
      <c r="B1080" s="16">
        <v>45922</v>
      </c>
      <c r="C1080">
        <v>5.8</v>
      </c>
      <c r="D1080">
        <v>0</v>
      </c>
      <c r="E1080" t="s">
        <v>6132</v>
      </c>
    </row>
    <row r="1081" spans="1:5" x14ac:dyDescent="0.35">
      <c r="A1081" t="s">
        <v>6097</v>
      </c>
      <c r="B1081" s="16">
        <v>45923</v>
      </c>
      <c r="C1081">
        <v>5.8</v>
      </c>
      <c r="D1081">
        <v>0</v>
      </c>
      <c r="E1081" t="s">
        <v>6132</v>
      </c>
    </row>
    <row r="1082" spans="1:5" x14ac:dyDescent="0.35">
      <c r="A1082" t="s">
        <v>6097</v>
      </c>
      <c r="B1082" s="16">
        <v>45924</v>
      </c>
      <c r="C1082">
        <v>6.4</v>
      </c>
      <c r="D1082">
        <v>0</v>
      </c>
      <c r="E1082" t="s">
        <v>6132</v>
      </c>
    </row>
    <row r="1083" spans="1:5" x14ac:dyDescent="0.35">
      <c r="A1083" t="s">
        <v>6097</v>
      </c>
      <c r="B1083" s="16">
        <v>45925</v>
      </c>
      <c r="C1083">
        <v>7.1</v>
      </c>
      <c r="D1083">
        <v>0</v>
      </c>
      <c r="E1083" t="s">
        <v>6132</v>
      </c>
    </row>
    <row r="1084" spans="1:5" x14ac:dyDescent="0.35">
      <c r="A1084" t="s">
        <v>6097</v>
      </c>
      <c r="B1084" s="16">
        <v>45930</v>
      </c>
      <c r="C1084">
        <v>6.9</v>
      </c>
      <c r="D1084">
        <v>0</v>
      </c>
      <c r="E1084" t="s">
        <v>6132</v>
      </c>
    </row>
    <row r="1085" spans="1:5" x14ac:dyDescent="0.35">
      <c r="A1085" t="s">
        <v>6097</v>
      </c>
      <c r="B1085" s="16">
        <v>45933</v>
      </c>
      <c r="C1085">
        <v>9</v>
      </c>
      <c r="D1085">
        <v>0</v>
      </c>
      <c r="E1085" t="s">
        <v>6132</v>
      </c>
    </row>
    <row r="1086" spans="1:5" x14ac:dyDescent="0.35">
      <c r="A1086" t="s">
        <v>6097</v>
      </c>
      <c r="B1086" s="16">
        <v>45936</v>
      </c>
      <c r="C1086">
        <v>4.4000000000000004</v>
      </c>
      <c r="D1086">
        <v>0</v>
      </c>
      <c r="E1086" t="s">
        <v>6132</v>
      </c>
    </row>
    <row r="1087" spans="1:5" x14ac:dyDescent="0.35">
      <c r="A1087" t="s">
        <v>6097</v>
      </c>
      <c r="B1087" s="16">
        <v>45945</v>
      </c>
      <c r="C1087">
        <v>6.1</v>
      </c>
      <c r="D1087">
        <v>0</v>
      </c>
      <c r="E1087" t="s">
        <v>6132</v>
      </c>
    </row>
    <row r="1088" spans="1:5" x14ac:dyDescent="0.35">
      <c r="A1088" t="s">
        <v>6097</v>
      </c>
      <c r="B1088" s="16">
        <v>45947</v>
      </c>
      <c r="C1088">
        <v>7.8</v>
      </c>
      <c r="D1088">
        <v>0</v>
      </c>
      <c r="E1088" t="s">
        <v>6133</v>
      </c>
    </row>
    <row r="1089" spans="1:5" x14ac:dyDescent="0.35">
      <c r="A1089" t="s">
        <v>6097</v>
      </c>
      <c r="B1089" s="16">
        <v>45954</v>
      </c>
      <c r="C1089">
        <v>4.3</v>
      </c>
      <c r="D1089">
        <v>0</v>
      </c>
      <c r="E1089" t="s">
        <v>6132</v>
      </c>
    </row>
    <row r="1090" spans="1:5" x14ac:dyDescent="0.35">
      <c r="A1090" t="s">
        <v>6097</v>
      </c>
      <c r="B1090" s="16">
        <v>45959</v>
      </c>
      <c r="C1090">
        <v>5.3</v>
      </c>
      <c r="D1090">
        <v>0</v>
      </c>
      <c r="E1090" t="s">
        <v>6132</v>
      </c>
    </row>
    <row r="1091" spans="1:5" x14ac:dyDescent="0.35">
      <c r="A1091" t="s">
        <v>6097</v>
      </c>
      <c r="B1091" s="16">
        <v>45961</v>
      </c>
      <c r="C1091">
        <v>9</v>
      </c>
      <c r="D1091">
        <v>0</v>
      </c>
      <c r="E1091" t="s">
        <v>6132</v>
      </c>
    </row>
    <row r="1092" spans="1:5" x14ac:dyDescent="0.35">
      <c r="A1092" t="s">
        <v>6097</v>
      </c>
      <c r="B1092" s="16">
        <v>45965</v>
      </c>
      <c r="C1092">
        <v>6.7</v>
      </c>
      <c r="D1092">
        <v>0</v>
      </c>
      <c r="E1092" t="s">
        <v>6132</v>
      </c>
    </row>
    <row r="1093" spans="1:5" x14ac:dyDescent="0.35">
      <c r="A1093" t="s">
        <v>6097</v>
      </c>
      <c r="B1093" s="16">
        <v>45966</v>
      </c>
      <c r="C1093">
        <v>8.5</v>
      </c>
      <c r="D1093">
        <v>0</v>
      </c>
      <c r="E1093" t="s">
        <v>6132</v>
      </c>
    </row>
    <row r="1094" spans="1:5" x14ac:dyDescent="0.35">
      <c r="A1094" t="s">
        <v>6097</v>
      </c>
      <c r="B1094" s="16">
        <v>45972</v>
      </c>
      <c r="C1094">
        <v>6.5</v>
      </c>
      <c r="D1094">
        <v>0</v>
      </c>
      <c r="E1094" t="s">
        <v>6132</v>
      </c>
    </row>
    <row r="1095" spans="1:5" x14ac:dyDescent="0.35">
      <c r="A1095" t="s">
        <v>6097</v>
      </c>
      <c r="B1095" s="16">
        <v>45973</v>
      </c>
      <c r="D1095">
        <v>0</v>
      </c>
      <c r="E1095" t="s">
        <v>6132</v>
      </c>
    </row>
    <row r="1096" spans="1:5" x14ac:dyDescent="0.35">
      <c r="A1096" t="s">
        <v>6097</v>
      </c>
      <c r="B1096" s="16">
        <v>45975</v>
      </c>
      <c r="C1096">
        <v>5.4</v>
      </c>
      <c r="D1096">
        <v>0</v>
      </c>
      <c r="E1096" t="s">
        <v>6132</v>
      </c>
    </row>
    <row r="1097" spans="1:5" x14ac:dyDescent="0.35">
      <c r="A1097" t="s">
        <v>6097</v>
      </c>
      <c r="B1097" s="16">
        <v>45979</v>
      </c>
      <c r="C1097">
        <v>8.6999999999999993</v>
      </c>
      <c r="D1097">
        <v>0</v>
      </c>
      <c r="E1097" t="s">
        <v>6132</v>
      </c>
    </row>
    <row r="1098" spans="1:5" x14ac:dyDescent="0.35">
      <c r="A1098" t="s">
        <v>6097</v>
      </c>
      <c r="B1098" s="16">
        <v>45980</v>
      </c>
      <c r="C1098">
        <v>6.1</v>
      </c>
      <c r="D1098">
        <v>0</v>
      </c>
      <c r="E1098" t="s">
        <v>6132</v>
      </c>
    </row>
    <row r="1099" spans="1:5" x14ac:dyDescent="0.35">
      <c r="A1099" t="s">
        <v>6097</v>
      </c>
      <c r="B1099" s="16">
        <v>45981</v>
      </c>
      <c r="D1099">
        <v>0</v>
      </c>
      <c r="E1099" t="s">
        <v>6134</v>
      </c>
    </row>
    <row r="1100" spans="1:5" x14ac:dyDescent="0.35">
      <c r="A1100" t="s">
        <v>6097</v>
      </c>
      <c r="B1100" s="16">
        <v>45986</v>
      </c>
      <c r="C1100">
        <v>7.6</v>
      </c>
      <c r="D1100">
        <v>0</v>
      </c>
      <c r="E1100" t="s">
        <v>6132</v>
      </c>
    </row>
    <row r="1101" spans="1:5" x14ac:dyDescent="0.35">
      <c r="A1101" t="s">
        <v>6097</v>
      </c>
      <c r="B1101" s="16">
        <v>45987</v>
      </c>
      <c r="C1101">
        <v>5.4</v>
      </c>
      <c r="D1101">
        <v>0</v>
      </c>
      <c r="E1101" t="s">
        <v>6132</v>
      </c>
    </row>
    <row r="1102" spans="1:5" x14ac:dyDescent="0.35">
      <c r="A1102" t="s">
        <v>6097</v>
      </c>
      <c r="B1102" s="16">
        <v>45989</v>
      </c>
      <c r="D1102">
        <v>0</v>
      </c>
      <c r="E1102" t="s">
        <v>6132</v>
      </c>
    </row>
    <row r="1103" spans="1:5" x14ac:dyDescent="0.35">
      <c r="A1103" t="s">
        <v>6097</v>
      </c>
      <c r="B1103" s="16">
        <v>45993</v>
      </c>
      <c r="C1103">
        <v>4.5</v>
      </c>
      <c r="D1103">
        <v>0</v>
      </c>
      <c r="E1103" t="s">
        <v>6132</v>
      </c>
    </row>
    <row r="1104" spans="1:5" x14ac:dyDescent="0.35">
      <c r="A1104" t="s">
        <v>6097</v>
      </c>
      <c r="B1104" s="16">
        <v>45999</v>
      </c>
      <c r="C1104">
        <v>9</v>
      </c>
      <c r="D1104">
        <v>0</v>
      </c>
      <c r="E1104" t="s">
        <v>6132</v>
      </c>
    </row>
    <row r="1105" spans="1:5" x14ac:dyDescent="0.35">
      <c r="A1105" t="s">
        <v>6097</v>
      </c>
      <c r="B1105" s="16">
        <v>46000</v>
      </c>
      <c r="C1105">
        <v>8.3000000000000007</v>
      </c>
      <c r="D1105">
        <v>0</v>
      </c>
      <c r="E1105" t="s">
        <v>6132</v>
      </c>
    </row>
    <row r="1106" spans="1:5" x14ac:dyDescent="0.35">
      <c r="A1106" t="s">
        <v>6097</v>
      </c>
      <c r="B1106" s="16">
        <v>46001</v>
      </c>
      <c r="C1106">
        <v>8.8000000000000007</v>
      </c>
      <c r="D1106">
        <v>0</v>
      </c>
      <c r="E1106" t="s">
        <v>6132</v>
      </c>
    </row>
    <row r="1107" spans="1:5" x14ac:dyDescent="0.35">
      <c r="A1107" t="s">
        <v>6097</v>
      </c>
      <c r="B1107" s="16">
        <v>46006</v>
      </c>
      <c r="C1107">
        <v>7.5</v>
      </c>
      <c r="D1107">
        <v>0</v>
      </c>
      <c r="E1107" t="s">
        <v>6132</v>
      </c>
    </row>
    <row r="1108" spans="1:5" x14ac:dyDescent="0.35">
      <c r="A1108" t="s">
        <v>6097</v>
      </c>
      <c r="B1108" s="16">
        <v>46007</v>
      </c>
      <c r="C1108">
        <v>6.1</v>
      </c>
      <c r="D1108">
        <v>0</v>
      </c>
      <c r="E1108" t="s">
        <v>6132</v>
      </c>
    </row>
    <row r="1109" spans="1:5" x14ac:dyDescent="0.35">
      <c r="A1109" t="s">
        <v>6097</v>
      </c>
      <c r="B1109" s="16">
        <v>46009</v>
      </c>
      <c r="C1109">
        <v>4.0999999999999996</v>
      </c>
      <c r="D1109">
        <v>0</v>
      </c>
      <c r="E1109" t="s">
        <v>6132</v>
      </c>
    </row>
    <row r="1110" spans="1:5" x14ac:dyDescent="0.35">
      <c r="A1110" t="s">
        <v>6097</v>
      </c>
      <c r="B1110" s="16">
        <v>46013</v>
      </c>
      <c r="D1110">
        <v>0</v>
      </c>
      <c r="E1110" t="s">
        <v>6132</v>
      </c>
    </row>
    <row r="1111" spans="1:5" x14ac:dyDescent="0.35">
      <c r="A1111" t="s">
        <v>6097</v>
      </c>
      <c r="B1111" s="16">
        <v>46015</v>
      </c>
      <c r="C1111">
        <v>5.9</v>
      </c>
      <c r="D1111">
        <v>0</v>
      </c>
      <c r="E1111" t="s">
        <v>6133</v>
      </c>
    </row>
    <row r="1112" spans="1:5" x14ac:dyDescent="0.35">
      <c r="A1112" t="s">
        <v>97</v>
      </c>
      <c r="B1112" s="16">
        <v>45658</v>
      </c>
      <c r="C1112">
        <v>7.1</v>
      </c>
      <c r="D1112">
        <v>1</v>
      </c>
      <c r="E1112" t="s">
        <v>6132</v>
      </c>
    </row>
    <row r="1113" spans="1:5" x14ac:dyDescent="0.35">
      <c r="A1113" t="s">
        <v>97</v>
      </c>
      <c r="B1113" s="16">
        <v>45659</v>
      </c>
      <c r="C1113">
        <v>6</v>
      </c>
      <c r="D1113">
        <v>0</v>
      </c>
      <c r="E1113" t="s">
        <v>6132</v>
      </c>
    </row>
    <row r="1114" spans="1:5" x14ac:dyDescent="0.35">
      <c r="A1114" t="s">
        <v>97</v>
      </c>
      <c r="B1114" s="16">
        <v>45664</v>
      </c>
      <c r="C1114">
        <v>7.1</v>
      </c>
      <c r="D1114">
        <v>1</v>
      </c>
      <c r="E1114" t="s">
        <v>6132</v>
      </c>
    </row>
    <row r="1115" spans="1:5" x14ac:dyDescent="0.35">
      <c r="A1115" t="s">
        <v>97</v>
      </c>
      <c r="B1115" s="16">
        <v>45665</v>
      </c>
      <c r="C1115">
        <v>6.7</v>
      </c>
      <c r="D1115">
        <v>0</v>
      </c>
      <c r="E1115" t="s">
        <v>6132</v>
      </c>
    </row>
    <row r="1116" spans="1:5" x14ac:dyDescent="0.35">
      <c r="A1116" t="s">
        <v>97</v>
      </c>
      <c r="B1116" s="16">
        <v>45671</v>
      </c>
      <c r="C1116">
        <v>6.9</v>
      </c>
      <c r="D1116">
        <v>2</v>
      </c>
      <c r="E1116" t="s">
        <v>6132</v>
      </c>
    </row>
    <row r="1117" spans="1:5" x14ac:dyDescent="0.35">
      <c r="A1117" t="s">
        <v>97</v>
      </c>
      <c r="B1117" s="16">
        <v>45672</v>
      </c>
      <c r="C1117">
        <v>7</v>
      </c>
      <c r="D1117">
        <v>0</v>
      </c>
      <c r="E1117" t="s">
        <v>6132</v>
      </c>
    </row>
    <row r="1118" spans="1:5" x14ac:dyDescent="0.35">
      <c r="A1118" t="s">
        <v>97</v>
      </c>
      <c r="B1118" s="16">
        <v>45677</v>
      </c>
      <c r="C1118">
        <v>4.7</v>
      </c>
      <c r="D1118">
        <v>5</v>
      </c>
      <c r="E1118" t="s">
        <v>6132</v>
      </c>
    </row>
    <row r="1119" spans="1:5" x14ac:dyDescent="0.35">
      <c r="A1119" t="s">
        <v>97</v>
      </c>
      <c r="B1119" s="16">
        <v>45679</v>
      </c>
      <c r="D1119">
        <v>3</v>
      </c>
      <c r="E1119" t="s">
        <v>6132</v>
      </c>
    </row>
    <row r="1120" spans="1:5" x14ac:dyDescent="0.35">
      <c r="A1120" t="s">
        <v>97</v>
      </c>
      <c r="B1120" s="16">
        <v>45681</v>
      </c>
      <c r="C1120">
        <v>5.0999999999999996</v>
      </c>
      <c r="D1120">
        <v>2</v>
      </c>
      <c r="E1120" t="s">
        <v>6132</v>
      </c>
    </row>
    <row r="1121" spans="1:5" x14ac:dyDescent="0.35">
      <c r="A1121" t="s">
        <v>97</v>
      </c>
      <c r="B1121" s="16">
        <v>45685</v>
      </c>
      <c r="C1121">
        <v>7.8</v>
      </c>
      <c r="D1121">
        <v>2</v>
      </c>
      <c r="E1121" t="s">
        <v>6132</v>
      </c>
    </row>
    <row r="1122" spans="1:5" x14ac:dyDescent="0.35">
      <c r="A1122" t="s">
        <v>97</v>
      </c>
      <c r="B1122" s="16">
        <v>45688</v>
      </c>
      <c r="C1122">
        <v>4.2</v>
      </c>
      <c r="D1122">
        <v>0</v>
      </c>
      <c r="E1122" t="s">
        <v>6132</v>
      </c>
    </row>
    <row r="1123" spans="1:5" x14ac:dyDescent="0.35">
      <c r="A1123" t="s">
        <v>97</v>
      </c>
      <c r="B1123" s="16">
        <v>45691</v>
      </c>
      <c r="C1123">
        <v>6.4</v>
      </c>
      <c r="D1123">
        <v>1</v>
      </c>
      <c r="E1123" t="s">
        <v>6132</v>
      </c>
    </row>
    <row r="1124" spans="1:5" x14ac:dyDescent="0.35">
      <c r="A1124" t="s">
        <v>97</v>
      </c>
      <c r="B1124" s="16">
        <v>45694</v>
      </c>
      <c r="C1124">
        <v>7.8</v>
      </c>
      <c r="D1124">
        <v>1</v>
      </c>
      <c r="E1124" t="s">
        <v>6132</v>
      </c>
    </row>
    <row r="1125" spans="1:5" x14ac:dyDescent="0.35">
      <c r="A1125" t="s">
        <v>97</v>
      </c>
      <c r="B1125" s="16">
        <v>45695</v>
      </c>
      <c r="C1125">
        <v>7.6</v>
      </c>
      <c r="D1125">
        <v>3</v>
      </c>
      <c r="E1125" t="s">
        <v>6132</v>
      </c>
    </row>
    <row r="1126" spans="1:5" x14ac:dyDescent="0.35">
      <c r="A1126" t="s">
        <v>97</v>
      </c>
      <c r="B1126" s="16">
        <v>45698</v>
      </c>
      <c r="C1126">
        <v>8.1</v>
      </c>
      <c r="D1126">
        <v>1</v>
      </c>
      <c r="E1126" t="s">
        <v>6132</v>
      </c>
    </row>
    <row r="1127" spans="1:5" x14ac:dyDescent="0.35">
      <c r="A1127" t="s">
        <v>97</v>
      </c>
      <c r="B1127" s="16">
        <v>45699</v>
      </c>
      <c r="C1127">
        <v>7.8</v>
      </c>
      <c r="D1127">
        <v>0</v>
      </c>
      <c r="E1127" t="s">
        <v>6132</v>
      </c>
    </row>
    <row r="1128" spans="1:5" x14ac:dyDescent="0.35">
      <c r="A1128" t="s">
        <v>97</v>
      </c>
      <c r="B1128" s="16">
        <v>45706</v>
      </c>
      <c r="C1128">
        <v>5.9</v>
      </c>
      <c r="D1128">
        <v>0</v>
      </c>
      <c r="E1128" t="s">
        <v>6132</v>
      </c>
    </row>
    <row r="1129" spans="1:5" x14ac:dyDescent="0.35">
      <c r="A1129" t="s">
        <v>97</v>
      </c>
      <c r="B1129" s="16">
        <v>45712</v>
      </c>
      <c r="C1129">
        <v>6.6</v>
      </c>
      <c r="D1129">
        <v>0</v>
      </c>
      <c r="E1129" t="s">
        <v>6132</v>
      </c>
    </row>
    <row r="1130" spans="1:5" x14ac:dyDescent="0.35">
      <c r="A1130" t="s">
        <v>97</v>
      </c>
      <c r="B1130" s="16">
        <v>45714</v>
      </c>
      <c r="C1130">
        <v>6.8</v>
      </c>
      <c r="D1130">
        <v>1</v>
      </c>
      <c r="E1130" t="s">
        <v>6132</v>
      </c>
    </row>
    <row r="1131" spans="1:5" x14ac:dyDescent="0.35">
      <c r="A1131" t="s">
        <v>97</v>
      </c>
      <c r="B1131" s="16">
        <v>45715</v>
      </c>
      <c r="C1131">
        <v>7.8</v>
      </c>
      <c r="D1131">
        <v>1</v>
      </c>
      <c r="E1131" t="s">
        <v>6132</v>
      </c>
    </row>
    <row r="1132" spans="1:5" x14ac:dyDescent="0.35">
      <c r="A1132" t="s">
        <v>97</v>
      </c>
      <c r="B1132" s="16">
        <v>45716</v>
      </c>
      <c r="C1132">
        <v>6.4</v>
      </c>
      <c r="D1132">
        <v>0</v>
      </c>
      <c r="E1132" t="s">
        <v>6132</v>
      </c>
    </row>
    <row r="1133" spans="1:5" x14ac:dyDescent="0.35">
      <c r="A1133" t="s">
        <v>97</v>
      </c>
      <c r="B1133" s="16">
        <v>45720</v>
      </c>
      <c r="C1133">
        <v>6</v>
      </c>
      <c r="D1133">
        <v>0</v>
      </c>
      <c r="E1133" t="s">
        <v>6132</v>
      </c>
    </row>
    <row r="1134" spans="1:5" x14ac:dyDescent="0.35">
      <c r="A1134" t="s">
        <v>97</v>
      </c>
      <c r="B1134" s="16">
        <v>45721</v>
      </c>
      <c r="C1134">
        <v>8.5</v>
      </c>
      <c r="D1134">
        <v>0</v>
      </c>
      <c r="E1134" t="s">
        <v>6132</v>
      </c>
    </row>
    <row r="1135" spans="1:5" x14ac:dyDescent="0.35">
      <c r="A1135" t="s">
        <v>97</v>
      </c>
      <c r="B1135" s="16">
        <v>45723</v>
      </c>
      <c r="C1135">
        <v>7.8</v>
      </c>
      <c r="D1135">
        <v>0</v>
      </c>
      <c r="E1135" t="s">
        <v>6132</v>
      </c>
    </row>
    <row r="1136" spans="1:5" x14ac:dyDescent="0.35">
      <c r="A1136" t="s">
        <v>97</v>
      </c>
      <c r="B1136" s="16">
        <v>45727</v>
      </c>
      <c r="C1136">
        <v>6.4</v>
      </c>
      <c r="D1136">
        <v>1</v>
      </c>
      <c r="E1136" t="s">
        <v>6132</v>
      </c>
    </row>
    <row r="1137" spans="1:5" x14ac:dyDescent="0.35">
      <c r="A1137" t="s">
        <v>97</v>
      </c>
      <c r="B1137" s="16">
        <v>45729</v>
      </c>
      <c r="C1137">
        <v>4.5999999999999996</v>
      </c>
      <c r="D1137">
        <v>0</v>
      </c>
      <c r="E1137" t="s">
        <v>6132</v>
      </c>
    </row>
    <row r="1138" spans="1:5" x14ac:dyDescent="0.35">
      <c r="A1138" t="s">
        <v>97</v>
      </c>
      <c r="B1138" s="16">
        <v>45730</v>
      </c>
      <c r="C1138">
        <v>5.7</v>
      </c>
      <c r="D1138">
        <v>1</v>
      </c>
      <c r="E1138" t="s">
        <v>6132</v>
      </c>
    </row>
    <row r="1139" spans="1:5" x14ac:dyDescent="0.35">
      <c r="A1139" t="s">
        <v>97</v>
      </c>
      <c r="B1139" s="16">
        <v>45733</v>
      </c>
      <c r="C1139">
        <v>5.2</v>
      </c>
      <c r="D1139">
        <v>1</v>
      </c>
      <c r="E1139" t="s">
        <v>6132</v>
      </c>
    </row>
    <row r="1140" spans="1:5" x14ac:dyDescent="0.35">
      <c r="A1140" t="s">
        <v>97</v>
      </c>
      <c r="B1140" s="16">
        <v>45734</v>
      </c>
      <c r="C1140">
        <v>4.4000000000000004</v>
      </c>
      <c r="D1140">
        <v>3</v>
      </c>
      <c r="E1140" t="s">
        <v>6132</v>
      </c>
    </row>
    <row r="1141" spans="1:5" x14ac:dyDescent="0.35">
      <c r="A1141" t="s">
        <v>97</v>
      </c>
      <c r="B1141" s="16">
        <v>45736</v>
      </c>
      <c r="C1141">
        <v>8.4</v>
      </c>
      <c r="D1141">
        <v>1</v>
      </c>
      <c r="E1141" t="s">
        <v>6132</v>
      </c>
    </row>
    <row r="1142" spans="1:5" x14ac:dyDescent="0.35">
      <c r="A1142" t="s">
        <v>97</v>
      </c>
      <c r="B1142" s="16">
        <v>45737</v>
      </c>
      <c r="C1142">
        <v>8.8000000000000007</v>
      </c>
      <c r="D1142">
        <v>0</v>
      </c>
      <c r="E1142" t="s">
        <v>6132</v>
      </c>
    </row>
    <row r="1143" spans="1:5" x14ac:dyDescent="0.35">
      <c r="A1143" t="s">
        <v>97</v>
      </c>
      <c r="B1143" s="16">
        <v>45741</v>
      </c>
      <c r="D1143">
        <v>0</v>
      </c>
      <c r="E1143" t="s">
        <v>6132</v>
      </c>
    </row>
    <row r="1144" spans="1:5" x14ac:dyDescent="0.35">
      <c r="A1144" t="s">
        <v>97</v>
      </c>
      <c r="B1144" s="16">
        <v>45751</v>
      </c>
      <c r="C1144">
        <v>8.1</v>
      </c>
      <c r="D1144">
        <v>2</v>
      </c>
      <c r="E1144" t="s">
        <v>6132</v>
      </c>
    </row>
    <row r="1145" spans="1:5" x14ac:dyDescent="0.35">
      <c r="A1145" t="s">
        <v>97</v>
      </c>
      <c r="B1145" s="16">
        <v>45755</v>
      </c>
      <c r="C1145">
        <v>8.3000000000000007</v>
      </c>
      <c r="D1145">
        <v>1</v>
      </c>
      <c r="E1145" t="s">
        <v>6132</v>
      </c>
    </row>
    <row r="1146" spans="1:5" x14ac:dyDescent="0.35">
      <c r="A1146" t="s">
        <v>97</v>
      </c>
      <c r="B1146" s="16">
        <v>45757</v>
      </c>
      <c r="C1146">
        <v>8.6999999999999993</v>
      </c>
      <c r="D1146">
        <v>1</v>
      </c>
      <c r="E1146" t="s">
        <v>6132</v>
      </c>
    </row>
    <row r="1147" spans="1:5" x14ac:dyDescent="0.35">
      <c r="A1147" t="s">
        <v>97</v>
      </c>
      <c r="B1147" s="16">
        <v>45761</v>
      </c>
      <c r="C1147">
        <v>6.2</v>
      </c>
      <c r="D1147">
        <v>1</v>
      </c>
      <c r="E1147" t="s">
        <v>6132</v>
      </c>
    </row>
    <row r="1148" spans="1:5" x14ac:dyDescent="0.35">
      <c r="A1148" t="s">
        <v>97</v>
      </c>
      <c r="B1148" s="16">
        <v>45762</v>
      </c>
      <c r="C1148">
        <v>8.6999999999999993</v>
      </c>
      <c r="D1148">
        <v>4</v>
      </c>
      <c r="E1148" t="s">
        <v>6132</v>
      </c>
    </row>
    <row r="1149" spans="1:5" x14ac:dyDescent="0.35">
      <c r="A1149" t="s">
        <v>97</v>
      </c>
      <c r="B1149" s="16">
        <v>45763</v>
      </c>
      <c r="C1149">
        <v>8</v>
      </c>
      <c r="D1149">
        <v>0</v>
      </c>
      <c r="E1149" t="s">
        <v>6132</v>
      </c>
    </row>
    <row r="1150" spans="1:5" x14ac:dyDescent="0.35">
      <c r="A1150" t="s">
        <v>97</v>
      </c>
      <c r="B1150" s="16">
        <v>45768</v>
      </c>
      <c r="C1150">
        <v>7.4</v>
      </c>
      <c r="D1150">
        <v>1</v>
      </c>
      <c r="E1150" t="s">
        <v>6132</v>
      </c>
    </row>
    <row r="1151" spans="1:5" x14ac:dyDescent="0.35">
      <c r="A1151" t="s">
        <v>97</v>
      </c>
      <c r="B1151" s="16">
        <v>45769</v>
      </c>
      <c r="D1151">
        <v>1</v>
      </c>
      <c r="E1151" t="s">
        <v>6132</v>
      </c>
    </row>
    <row r="1152" spans="1:5" x14ac:dyDescent="0.35">
      <c r="A1152" t="s">
        <v>97</v>
      </c>
      <c r="B1152" s="16">
        <v>45771</v>
      </c>
      <c r="C1152">
        <v>5.3</v>
      </c>
      <c r="D1152">
        <v>1</v>
      </c>
      <c r="E1152" t="s">
        <v>6132</v>
      </c>
    </row>
    <row r="1153" spans="1:5" x14ac:dyDescent="0.35">
      <c r="A1153" t="s">
        <v>97</v>
      </c>
      <c r="B1153" s="16">
        <v>45776</v>
      </c>
      <c r="D1153">
        <v>1</v>
      </c>
      <c r="E1153" t="s">
        <v>6132</v>
      </c>
    </row>
    <row r="1154" spans="1:5" x14ac:dyDescent="0.35">
      <c r="A1154" t="s">
        <v>97</v>
      </c>
      <c r="B1154" s="16">
        <v>45777</v>
      </c>
      <c r="C1154">
        <v>4.9000000000000004</v>
      </c>
      <c r="D1154">
        <v>1</v>
      </c>
      <c r="E1154" t="s">
        <v>6132</v>
      </c>
    </row>
    <row r="1155" spans="1:5" x14ac:dyDescent="0.35">
      <c r="A1155" t="s">
        <v>97</v>
      </c>
      <c r="B1155" s="16">
        <v>45778</v>
      </c>
      <c r="C1155">
        <v>4.8</v>
      </c>
      <c r="D1155">
        <v>0</v>
      </c>
      <c r="E1155" t="s">
        <v>6132</v>
      </c>
    </row>
    <row r="1156" spans="1:5" x14ac:dyDescent="0.35">
      <c r="A1156" t="s">
        <v>97</v>
      </c>
      <c r="B1156" s="16">
        <v>45783</v>
      </c>
      <c r="C1156">
        <v>8.6</v>
      </c>
      <c r="D1156">
        <v>1</v>
      </c>
      <c r="E1156" t="s">
        <v>6132</v>
      </c>
    </row>
    <row r="1157" spans="1:5" x14ac:dyDescent="0.35">
      <c r="A1157" t="s">
        <v>97</v>
      </c>
      <c r="B1157" s="16">
        <v>45789</v>
      </c>
      <c r="C1157">
        <v>8.6999999999999993</v>
      </c>
      <c r="D1157">
        <v>1</v>
      </c>
      <c r="E1157" t="s">
        <v>6132</v>
      </c>
    </row>
    <row r="1158" spans="1:5" x14ac:dyDescent="0.35">
      <c r="A1158" t="s">
        <v>97</v>
      </c>
      <c r="B1158" s="16">
        <v>45791</v>
      </c>
      <c r="C1158">
        <v>8.6999999999999993</v>
      </c>
      <c r="D1158">
        <v>2</v>
      </c>
      <c r="E1158" t="s">
        <v>6132</v>
      </c>
    </row>
    <row r="1159" spans="1:5" x14ac:dyDescent="0.35">
      <c r="A1159" t="s">
        <v>97</v>
      </c>
      <c r="B1159" s="16">
        <v>45793</v>
      </c>
      <c r="C1159">
        <v>6.5</v>
      </c>
      <c r="D1159">
        <v>0</v>
      </c>
      <c r="E1159" t="s">
        <v>6132</v>
      </c>
    </row>
    <row r="1160" spans="1:5" x14ac:dyDescent="0.35">
      <c r="A1160" t="s">
        <v>97</v>
      </c>
      <c r="B1160" s="16">
        <v>45800</v>
      </c>
      <c r="C1160">
        <v>4.0999999999999996</v>
      </c>
      <c r="D1160">
        <v>0</v>
      </c>
      <c r="E1160" t="s">
        <v>6132</v>
      </c>
    </row>
    <row r="1161" spans="1:5" x14ac:dyDescent="0.35">
      <c r="A1161" t="s">
        <v>97</v>
      </c>
      <c r="B1161" s="16">
        <v>45803</v>
      </c>
      <c r="C1161">
        <v>5</v>
      </c>
      <c r="D1161">
        <v>1</v>
      </c>
      <c r="E1161" t="s">
        <v>6132</v>
      </c>
    </row>
    <row r="1162" spans="1:5" x14ac:dyDescent="0.35">
      <c r="A1162" t="s">
        <v>97</v>
      </c>
      <c r="B1162" s="16">
        <v>45805</v>
      </c>
      <c r="C1162">
        <v>8.4</v>
      </c>
      <c r="D1162">
        <v>0</v>
      </c>
      <c r="E1162" t="s">
        <v>6132</v>
      </c>
    </row>
    <row r="1163" spans="1:5" x14ac:dyDescent="0.35">
      <c r="A1163" t="s">
        <v>97</v>
      </c>
      <c r="B1163" s="16">
        <v>45806</v>
      </c>
      <c r="C1163">
        <v>4.5</v>
      </c>
      <c r="D1163">
        <v>0</v>
      </c>
      <c r="E1163" t="s">
        <v>6132</v>
      </c>
    </row>
    <row r="1164" spans="1:5" x14ac:dyDescent="0.35">
      <c r="A1164" t="s">
        <v>97</v>
      </c>
      <c r="B1164" s="16">
        <v>45813</v>
      </c>
      <c r="C1164">
        <v>8.6999999999999993</v>
      </c>
      <c r="D1164">
        <v>0</v>
      </c>
      <c r="E1164" t="s">
        <v>6132</v>
      </c>
    </row>
    <row r="1165" spans="1:5" x14ac:dyDescent="0.35">
      <c r="A1165" t="s">
        <v>97</v>
      </c>
      <c r="B1165" s="16">
        <v>45814</v>
      </c>
      <c r="C1165">
        <v>6.9</v>
      </c>
      <c r="D1165">
        <v>0</v>
      </c>
      <c r="E1165" t="s">
        <v>6132</v>
      </c>
    </row>
    <row r="1166" spans="1:5" x14ac:dyDescent="0.35">
      <c r="A1166" t="s">
        <v>97</v>
      </c>
      <c r="B1166" s="16">
        <v>45817</v>
      </c>
      <c r="C1166">
        <v>6.6</v>
      </c>
      <c r="D1166">
        <v>1</v>
      </c>
      <c r="E1166" t="s">
        <v>6132</v>
      </c>
    </row>
    <row r="1167" spans="1:5" x14ac:dyDescent="0.35">
      <c r="A1167" t="s">
        <v>97</v>
      </c>
      <c r="B1167" s="16">
        <v>45820</v>
      </c>
      <c r="C1167">
        <v>8.1</v>
      </c>
      <c r="D1167">
        <v>0</v>
      </c>
      <c r="E1167" t="s">
        <v>6132</v>
      </c>
    </row>
    <row r="1168" spans="1:5" x14ac:dyDescent="0.35">
      <c r="A1168" t="s">
        <v>97</v>
      </c>
      <c r="B1168" s="16">
        <v>45826</v>
      </c>
      <c r="C1168">
        <v>6.2</v>
      </c>
      <c r="D1168">
        <v>0</v>
      </c>
      <c r="E1168" t="s">
        <v>6132</v>
      </c>
    </row>
    <row r="1169" spans="1:5" x14ac:dyDescent="0.35">
      <c r="A1169" t="s">
        <v>97</v>
      </c>
      <c r="B1169" s="16">
        <v>45828</v>
      </c>
      <c r="C1169">
        <v>6.6</v>
      </c>
      <c r="D1169">
        <v>0</v>
      </c>
      <c r="E1169" t="s">
        <v>6132</v>
      </c>
    </row>
    <row r="1170" spans="1:5" x14ac:dyDescent="0.35">
      <c r="A1170" t="s">
        <v>97</v>
      </c>
      <c r="B1170" s="16">
        <v>45832</v>
      </c>
      <c r="C1170">
        <v>4.9000000000000004</v>
      </c>
      <c r="D1170">
        <v>2</v>
      </c>
      <c r="E1170" t="s">
        <v>6132</v>
      </c>
    </row>
    <row r="1171" spans="1:5" x14ac:dyDescent="0.35">
      <c r="A1171" t="s">
        <v>97</v>
      </c>
      <c r="B1171" s="16">
        <v>45833</v>
      </c>
      <c r="C1171">
        <v>5.9</v>
      </c>
      <c r="D1171">
        <v>3</v>
      </c>
      <c r="E1171" t="s">
        <v>6132</v>
      </c>
    </row>
    <row r="1172" spans="1:5" x14ac:dyDescent="0.35">
      <c r="A1172" t="s">
        <v>97</v>
      </c>
      <c r="B1172" s="16">
        <v>45834</v>
      </c>
      <c r="C1172">
        <v>8.8000000000000007</v>
      </c>
      <c r="D1172">
        <v>1</v>
      </c>
      <c r="E1172" t="s">
        <v>6132</v>
      </c>
    </row>
    <row r="1173" spans="1:5" x14ac:dyDescent="0.35">
      <c r="A1173" t="s">
        <v>97</v>
      </c>
      <c r="B1173" s="16">
        <v>45835</v>
      </c>
      <c r="C1173">
        <v>7.3</v>
      </c>
      <c r="D1173">
        <v>0</v>
      </c>
      <c r="E1173" t="s">
        <v>6132</v>
      </c>
    </row>
    <row r="1174" spans="1:5" x14ac:dyDescent="0.35">
      <c r="A1174" t="s">
        <v>97</v>
      </c>
      <c r="B1174" s="16">
        <v>45845</v>
      </c>
      <c r="C1174">
        <v>4.4000000000000004</v>
      </c>
      <c r="D1174">
        <v>2</v>
      </c>
      <c r="E1174" t="s">
        <v>6132</v>
      </c>
    </row>
    <row r="1175" spans="1:5" x14ac:dyDescent="0.35">
      <c r="A1175" t="s">
        <v>97</v>
      </c>
      <c r="B1175" s="16">
        <v>45846</v>
      </c>
      <c r="C1175">
        <v>4.7</v>
      </c>
      <c r="D1175">
        <v>0</v>
      </c>
      <c r="E1175" t="s">
        <v>6134</v>
      </c>
    </row>
    <row r="1176" spans="1:5" x14ac:dyDescent="0.35">
      <c r="A1176" t="s">
        <v>97</v>
      </c>
      <c r="B1176" s="16">
        <v>45847</v>
      </c>
      <c r="C1176">
        <v>9</v>
      </c>
      <c r="D1176">
        <v>0</v>
      </c>
      <c r="E1176" t="s">
        <v>6132</v>
      </c>
    </row>
    <row r="1177" spans="1:5" x14ac:dyDescent="0.35">
      <c r="A1177" t="s">
        <v>97</v>
      </c>
      <c r="B1177" s="16">
        <v>45848</v>
      </c>
      <c r="C1177">
        <v>4.5</v>
      </c>
      <c r="D1177">
        <v>1</v>
      </c>
      <c r="E1177" t="s">
        <v>6132</v>
      </c>
    </row>
    <row r="1178" spans="1:5" x14ac:dyDescent="0.35">
      <c r="A1178" t="s">
        <v>97</v>
      </c>
      <c r="B1178" s="16">
        <v>45849</v>
      </c>
      <c r="C1178">
        <v>4.2</v>
      </c>
      <c r="D1178">
        <v>0</v>
      </c>
      <c r="E1178" t="s">
        <v>6132</v>
      </c>
    </row>
    <row r="1179" spans="1:5" x14ac:dyDescent="0.35">
      <c r="A1179" t="s">
        <v>97</v>
      </c>
      <c r="B1179" s="16">
        <v>45852</v>
      </c>
      <c r="C1179">
        <v>9</v>
      </c>
      <c r="D1179">
        <v>0</v>
      </c>
      <c r="E1179" t="s">
        <v>6132</v>
      </c>
    </row>
    <row r="1180" spans="1:5" x14ac:dyDescent="0.35">
      <c r="A1180" t="s">
        <v>97</v>
      </c>
      <c r="B1180" s="16">
        <v>45853</v>
      </c>
      <c r="C1180">
        <v>4.4000000000000004</v>
      </c>
      <c r="D1180">
        <v>1</v>
      </c>
      <c r="E1180" t="s">
        <v>6132</v>
      </c>
    </row>
    <row r="1181" spans="1:5" x14ac:dyDescent="0.35">
      <c r="A1181" t="s">
        <v>97</v>
      </c>
      <c r="B1181" s="16">
        <v>45854</v>
      </c>
      <c r="C1181">
        <v>6.2</v>
      </c>
      <c r="D1181">
        <v>1</v>
      </c>
      <c r="E1181" t="s">
        <v>6132</v>
      </c>
    </row>
    <row r="1182" spans="1:5" x14ac:dyDescent="0.35">
      <c r="A1182" t="s">
        <v>97</v>
      </c>
      <c r="B1182" s="16">
        <v>45855</v>
      </c>
      <c r="C1182">
        <v>6.8</v>
      </c>
      <c r="D1182">
        <v>0</v>
      </c>
      <c r="E1182" t="s">
        <v>6132</v>
      </c>
    </row>
    <row r="1183" spans="1:5" x14ac:dyDescent="0.35">
      <c r="A1183" t="s">
        <v>97</v>
      </c>
      <c r="B1183" s="16">
        <v>45860</v>
      </c>
      <c r="C1183">
        <v>5.4</v>
      </c>
      <c r="D1183">
        <v>2</v>
      </c>
      <c r="E1183" t="s">
        <v>6132</v>
      </c>
    </row>
    <row r="1184" spans="1:5" x14ac:dyDescent="0.35">
      <c r="A1184" t="s">
        <v>97</v>
      </c>
      <c r="B1184" s="16">
        <v>45862</v>
      </c>
      <c r="C1184">
        <v>7.5</v>
      </c>
      <c r="D1184">
        <v>0</v>
      </c>
      <c r="E1184" t="s">
        <v>6132</v>
      </c>
    </row>
    <row r="1185" spans="1:5" x14ac:dyDescent="0.35">
      <c r="A1185" t="s">
        <v>97</v>
      </c>
      <c r="B1185" s="16">
        <v>45867</v>
      </c>
      <c r="C1185">
        <v>8.1999999999999993</v>
      </c>
      <c r="D1185">
        <v>0</v>
      </c>
      <c r="E1185" t="s">
        <v>6132</v>
      </c>
    </row>
    <row r="1186" spans="1:5" x14ac:dyDescent="0.35">
      <c r="A1186" t="s">
        <v>97</v>
      </c>
      <c r="B1186" s="16">
        <v>45868</v>
      </c>
      <c r="C1186">
        <v>7.3</v>
      </c>
      <c r="D1186">
        <v>0</v>
      </c>
      <c r="E1186" t="s">
        <v>6132</v>
      </c>
    </row>
    <row r="1187" spans="1:5" x14ac:dyDescent="0.35">
      <c r="A1187" t="s">
        <v>97</v>
      </c>
      <c r="B1187" s="16">
        <v>45869</v>
      </c>
      <c r="C1187">
        <v>4.5999999999999996</v>
      </c>
      <c r="D1187">
        <v>0</v>
      </c>
      <c r="E1187" t="s">
        <v>6132</v>
      </c>
    </row>
    <row r="1188" spans="1:5" x14ac:dyDescent="0.35">
      <c r="A1188" t="s">
        <v>97</v>
      </c>
      <c r="B1188" s="16">
        <v>45875</v>
      </c>
      <c r="C1188">
        <v>4.2</v>
      </c>
      <c r="D1188">
        <v>0</v>
      </c>
      <c r="E1188" t="s">
        <v>6132</v>
      </c>
    </row>
    <row r="1189" spans="1:5" x14ac:dyDescent="0.35">
      <c r="A1189" t="s">
        <v>97</v>
      </c>
      <c r="B1189" s="16">
        <v>45880</v>
      </c>
      <c r="C1189">
        <v>4.0999999999999996</v>
      </c>
      <c r="D1189">
        <v>1</v>
      </c>
      <c r="E1189" t="s">
        <v>6132</v>
      </c>
    </row>
    <row r="1190" spans="1:5" x14ac:dyDescent="0.35">
      <c r="A1190" t="s">
        <v>97</v>
      </c>
      <c r="B1190" s="16">
        <v>45883</v>
      </c>
      <c r="C1190">
        <v>4.8</v>
      </c>
      <c r="D1190">
        <v>0</v>
      </c>
      <c r="E1190" t="s">
        <v>6132</v>
      </c>
    </row>
    <row r="1191" spans="1:5" x14ac:dyDescent="0.35">
      <c r="A1191" t="s">
        <v>97</v>
      </c>
      <c r="B1191" s="16">
        <v>45884</v>
      </c>
      <c r="C1191">
        <v>6.9</v>
      </c>
      <c r="D1191">
        <v>0</v>
      </c>
      <c r="E1191" t="s">
        <v>6132</v>
      </c>
    </row>
    <row r="1192" spans="1:5" x14ac:dyDescent="0.35">
      <c r="A1192" t="s">
        <v>97</v>
      </c>
      <c r="B1192" s="16">
        <v>45887</v>
      </c>
      <c r="C1192">
        <v>7.6</v>
      </c>
      <c r="D1192">
        <v>3</v>
      </c>
      <c r="E1192" t="s">
        <v>6132</v>
      </c>
    </row>
    <row r="1193" spans="1:5" x14ac:dyDescent="0.35">
      <c r="A1193" t="s">
        <v>97</v>
      </c>
      <c r="B1193" s="16">
        <v>45888</v>
      </c>
      <c r="C1193">
        <v>4.5999999999999996</v>
      </c>
      <c r="D1193">
        <v>0</v>
      </c>
      <c r="E1193" t="s">
        <v>6132</v>
      </c>
    </row>
    <row r="1194" spans="1:5" x14ac:dyDescent="0.35">
      <c r="A1194" t="s">
        <v>97</v>
      </c>
      <c r="B1194" s="16">
        <v>45889</v>
      </c>
      <c r="C1194">
        <v>5.7</v>
      </c>
      <c r="D1194">
        <v>0</v>
      </c>
      <c r="E1194" t="s">
        <v>6132</v>
      </c>
    </row>
    <row r="1195" spans="1:5" x14ac:dyDescent="0.35">
      <c r="A1195" t="s">
        <v>97</v>
      </c>
      <c r="B1195" s="16">
        <v>45890</v>
      </c>
      <c r="C1195">
        <v>8.5</v>
      </c>
      <c r="D1195">
        <v>1</v>
      </c>
      <c r="E1195" t="s">
        <v>6132</v>
      </c>
    </row>
    <row r="1196" spans="1:5" x14ac:dyDescent="0.35">
      <c r="A1196" t="s">
        <v>97</v>
      </c>
      <c r="B1196" s="16">
        <v>45896</v>
      </c>
      <c r="C1196">
        <v>8.4</v>
      </c>
      <c r="D1196">
        <v>1</v>
      </c>
      <c r="E1196" t="s">
        <v>6132</v>
      </c>
    </row>
    <row r="1197" spans="1:5" x14ac:dyDescent="0.35">
      <c r="A1197" t="s">
        <v>97</v>
      </c>
      <c r="B1197" s="16">
        <v>45897</v>
      </c>
      <c r="C1197">
        <v>6.1</v>
      </c>
      <c r="D1197">
        <v>0</v>
      </c>
      <c r="E1197" t="s">
        <v>6132</v>
      </c>
    </row>
    <row r="1198" spans="1:5" x14ac:dyDescent="0.35">
      <c r="A1198" t="s">
        <v>97</v>
      </c>
      <c r="B1198" s="16">
        <v>45902</v>
      </c>
      <c r="C1198">
        <v>8.4</v>
      </c>
      <c r="D1198">
        <v>1</v>
      </c>
      <c r="E1198" t="s">
        <v>6132</v>
      </c>
    </row>
    <row r="1199" spans="1:5" x14ac:dyDescent="0.35">
      <c r="A1199" t="s">
        <v>97</v>
      </c>
      <c r="B1199" s="16">
        <v>45903</v>
      </c>
      <c r="C1199">
        <v>8.4</v>
      </c>
      <c r="D1199">
        <v>2</v>
      </c>
      <c r="E1199" t="s">
        <v>6132</v>
      </c>
    </row>
    <row r="1200" spans="1:5" x14ac:dyDescent="0.35">
      <c r="A1200" t="s">
        <v>97</v>
      </c>
      <c r="B1200" s="16">
        <v>45908</v>
      </c>
      <c r="C1200">
        <v>7.3</v>
      </c>
      <c r="D1200">
        <v>0</v>
      </c>
      <c r="E1200" t="s">
        <v>6132</v>
      </c>
    </row>
    <row r="1201" spans="1:5" x14ac:dyDescent="0.35">
      <c r="A1201" t="s">
        <v>97</v>
      </c>
      <c r="B1201" s="16">
        <v>45909</v>
      </c>
      <c r="C1201">
        <v>5.2</v>
      </c>
      <c r="D1201">
        <v>5</v>
      </c>
      <c r="E1201" t="s">
        <v>6132</v>
      </c>
    </row>
    <row r="1202" spans="1:5" x14ac:dyDescent="0.35">
      <c r="A1202" t="s">
        <v>97</v>
      </c>
      <c r="B1202" s="16">
        <v>45915</v>
      </c>
      <c r="C1202">
        <v>4.0999999999999996</v>
      </c>
      <c r="D1202">
        <v>0</v>
      </c>
      <c r="E1202" t="s">
        <v>6132</v>
      </c>
    </row>
    <row r="1203" spans="1:5" x14ac:dyDescent="0.35">
      <c r="A1203" t="s">
        <v>97</v>
      </c>
      <c r="B1203" s="16">
        <v>45917</v>
      </c>
      <c r="C1203">
        <v>8.6</v>
      </c>
      <c r="D1203">
        <v>2</v>
      </c>
      <c r="E1203" t="s">
        <v>6132</v>
      </c>
    </row>
    <row r="1204" spans="1:5" x14ac:dyDescent="0.35">
      <c r="A1204" t="s">
        <v>97</v>
      </c>
      <c r="B1204" s="16">
        <v>45918</v>
      </c>
      <c r="C1204">
        <v>5.0999999999999996</v>
      </c>
      <c r="D1204">
        <v>1</v>
      </c>
      <c r="E1204" t="s">
        <v>6132</v>
      </c>
    </row>
    <row r="1205" spans="1:5" x14ac:dyDescent="0.35">
      <c r="A1205" t="s">
        <v>97</v>
      </c>
      <c r="B1205" s="16">
        <v>45919</v>
      </c>
      <c r="C1205">
        <v>7.8</v>
      </c>
      <c r="D1205">
        <v>1</v>
      </c>
      <c r="E1205" t="s">
        <v>6132</v>
      </c>
    </row>
    <row r="1206" spans="1:5" x14ac:dyDescent="0.35">
      <c r="A1206" t="s">
        <v>97</v>
      </c>
      <c r="B1206" s="16">
        <v>45923</v>
      </c>
      <c r="C1206">
        <v>4.9000000000000004</v>
      </c>
      <c r="D1206">
        <v>0</v>
      </c>
      <c r="E1206" t="s">
        <v>6133</v>
      </c>
    </row>
    <row r="1207" spans="1:5" x14ac:dyDescent="0.35">
      <c r="A1207" t="s">
        <v>97</v>
      </c>
      <c r="B1207" s="16">
        <v>45924</v>
      </c>
      <c r="C1207">
        <v>7.9</v>
      </c>
      <c r="D1207">
        <v>1</v>
      </c>
      <c r="E1207" t="s">
        <v>6132</v>
      </c>
    </row>
    <row r="1208" spans="1:5" x14ac:dyDescent="0.35">
      <c r="A1208" t="s">
        <v>97</v>
      </c>
      <c r="B1208" s="16">
        <v>45925</v>
      </c>
      <c r="C1208">
        <v>5.7</v>
      </c>
      <c r="D1208">
        <v>1</v>
      </c>
      <c r="E1208" t="s">
        <v>6132</v>
      </c>
    </row>
    <row r="1209" spans="1:5" x14ac:dyDescent="0.35">
      <c r="A1209" t="s">
        <v>97</v>
      </c>
      <c r="B1209" s="16">
        <v>45929</v>
      </c>
      <c r="C1209">
        <v>6</v>
      </c>
      <c r="D1209">
        <v>0</v>
      </c>
      <c r="E1209" t="s">
        <v>6132</v>
      </c>
    </row>
    <row r="1210" spans="1:5" x14ac:dyDescent="0.35">
      <c r="A1210" t="s">
        <v>97</v>
      </c>
      <c r="B1210" s="16">
        <v>45930</v>
      </c>
      <c r="C1210">
        <v>7.6</v>
      </c>
      <c r="D1210">
        <v>0</v>
      </c>
      <c r="E1210" t="s">
        <v>6132</v>
      </c>
    </row>
    <row r="1211" spans="1:5" x14ac:dyDescent="0.35">
      <c r="A1211" t="s">
        <v>97</v>
      </c>
      <c r="B1211" s="16">
        <v>45931</v>
      </c>
      <c r="C1211">
        <v>7.8</v>
      </c>
      <c r="D1211">
        <v>0</v>
      </c>
      <c r="E1211" t="s">
        <v>6132</v>
      </c>
    </row>
    <row r="1212" spans="1:5" x14ac:dyDescent="0.35">
      <c r="A1212" t="s">
        <v>97</v>
      </c>
      <c r="B1212" s="16">
        <v>45936</v>
      </c>
      <c r="C1212">
        <v>6.1</v>
      </c>
      <c r="D1212">
        <v>2</v>
      </c>
      <c r="E1212" t="s">
        <v>6132</v>
      </c>
    </row>
    <row r="1213" spans="1:5" x14ac:dyDescent="0.35">
      <c r="A1213" t="s">
        <v>97</v>
      </c>
      <c r="B1213" s="16">
        <v>45937</v>
      </c>
      <c r="C1213">
        <v>8.6999999999999993</v>
      </c>
      <c r="D1213">
        <v>4</v>
      </c>
      <c r="E1213" t="s">
        <v>6132</v>
      </c>
    </row>
    <row r="1214" spans="1:5" x14ac:dyDescent="0.35">
      <c r="A1214" t="s">
        <v>97</v>
      </c>
      <c r="B1214" s="16">
        <v>45938</v>
      </c>
      <c r="C1214">
        <v>4.2</v>
      </c>
      <c r="D1214">
        <v>1</v>
      </c>
      <c r="E1214" t="s">
        <v>6132</v>
      </c>
    </row>
    <row r="1215" spans="1:5" x14ac:dyDescent="0.35">
      <c r="A1215" t="s">
        <v>97</v>
      </c>
      <c r="B1215" s="16">
        <v>45940</v>
      </c>
      <c r="C1215">
        <v>7.9</v>
      </c>
      <c r="D1215">
        <v>1</v>
      </c>
      <c r="E1215" t="s">
        <v>6132</v>
      </c>
    </row>
    <row r="1216" spans="1:5" x14ac:dyDescent="0.35">
      <c r="A1216" t="s">
        <v>97</v>
      </c>
      <c r="B1216" s="16">
        <v>45943</v>
      </c>
      <c r="C1216">
        <v>8.9</v>
      </c>
      <c r="D1216">
        <v>1</v>
      </c>
      <c r="E1216" t="s">
        <v>6132</v>
      </c>
    </row>
    <row r="1217" spans="1:5" x14ac:dyDescent="0.35">
      <c r="A1217" t="s">
        <v>97</v>
      </c>
      <c r="B1217" s="16">
        <v>45944</v>
      </c>
      <c r="C1217">
        <v>5.4</v>
      </c>
      <c r="D1217">
        <v>2</v>
      </c>
      <c r="E1217" t="s">
        <v>6132</v>
      </c>
    </row>
    <row r="1218" spans="1:5" x14ac:dyDescent="0.35">
      <c r="A1218" t="s">
        <v>97</v>
      </c>
      <c r="B1218" s="16">
        <v>45945</v>
      </c>
      <c r="C1218">
        <v>6.7</v>
      </c>
      <c r="D1218">
        <v>1</v>
      </c>
      <c r="E1218" t="s">
        <v>6132</v>
      </c>
    </row>
    <row r="1219" spans="1:5" x14ac:dyDescent="0.35">
      <c r="A1219" t="s">
        <v>97</v>
      </c>
      <c r="B1219" s="16">
        <v>45951</v>
      </c>
      <c r="C1219">
        <v>8.1999999999999993</v>
      </c>
      <c r="D1219">
        <v>0</v>
      </c>
      <c r="E1219" t="s">
        <v>6132</v>
      </c>
    </row>
    <row r="1220" spans="1:5" x14ac:dyDescent="0.35">
      <c r="A1220" t="s">
        <v>97</v>
      </c>
      <c r="B1220" s="16">
        <v>45958</v>
      </c>
      <c r="C1220">
        <v>8.9</v>
      </c>
      <c r="D1220">
        <v>0</v>
      </c>
      <c r="E1220" t="s">
        <v>6132</v>
      </c>
    </row>
    <row r="1221" spans="1:5" x14ac:dyDescent="0.35">
      <c r="A1221" t="s">
        <v>97</v>
      </c>
      <c r="B1221" s="16">
        <v>45960</v>
      </c>
      <c r="C1221">
        <v>7.9</v>
      </c>
      <c r="D1221">
        <v>0</v>
      </c>
      <c r="E1221" t="s">
        <v>6132</v>
      </c>
    </row>
    <row r="1222" spans="1:5" x14ac:dyDescent="0.35">
      <c r="A1222" t="s">
        <v>97</v>
      </c>
      <c r="B1222" s="16">
        <v>45965</v>
      </c>
      <c r="C1222">
        <v>5.8</v>
      </c>
      <c r="D1222">
        <v>1</v>
      </c>
      <c r="E1222" t="s">
        <v>6132</v>
      </c>
    </row>
    <row r="1223" spans="1:5" x14ac:dyDescent="0.35">
      <c r="A1223" t="s">
        <v>97</v>
      </c>
      <c r="B1223" s="16">
        <v>45966</v>
      </c>
      <c r="C1223">
        <v>6.4</v>
      </c>
      <c r="D1223">
        <v>1</v>
      </c>
      <c r="E1223" t="s">
        <v>6132</v>
      </c>
    </row>
    <row r="1224" spans="1:5" x14ac:dyDescent="0.35">
      <c r="A1224" t="s">
        <v>97</v>
      </c>
      <c r="B1224" s="16">
        <v>45967</v>
      </c>
      <c r="C1224">
        <v>6.5</v>
      </c>
      <c r="D1224">
        <v>0</v>
      </c>
      <c r="E1224" t="s">
        <v>6132</v>
      </c>
    </row>
    <row r="1225" spans="1:5" x14ac:dyDescent="0.35">
      <c r="A1225" t="s">
        <v>97</v>
      </c>
      <c r="B1225" s="16">
        <v>45968</v>
      </c>
      <c r="C1225">
        <v>6.8</v>
      </c>
      <c r="D1225">
        <v>1</v>
      </c>
      <c r="E1225" t="s">
        <v>6132</v>
      </c>
    </row>
    <row r="1226" spans="1:5" x14ac:dyDescent="0.35">
      <c r="A1226" t="s">
        <v>97</v>
      </c>
      <c r="B1226" s="16">
        <v>45971</v>
      </c>
      <c r="C1226">
        <v>6.5</v>
      </c>
      <c r="D1226">
        <v>1</v>
      </c>
      <c r="E1226" t="s">
        <v>6132</v>
      </c>
    </row>
    <row r="1227" spans="1:5" x14ac:dyDescent="0.35">
      <c r="A1227" t="s">
        <v>97</v>
      </c>
      <c r="B1227" s="16">
        <v>45972</v>
      </c>
      <c r="D1227">
        <v>0</v>
      </c>
      <c r="E1227" t="s">
        <v>6132</v>
      </c>
    </row>
    <row r="1228" spans="1:5" x14ac:dyDescent="0.35">
      <c r="A1228" t="s">
        <v>97</v>
      </c>
      <c r="B1228" s="16">
        <v>45975</v>
      </c>
      <c r="C1228">
        <v>5</v>
      </c>
      <c r="D1228">
        <v>0</v>
      </c>
      <c r="E1228" t="s">
        <v>6132</v>
      </c>
    </row>
    <row r="1229" spans="1:5" x14ac:dyDescent="0.35">
      <c r="A1229" t="s">
        <v>97</v>
      </c>
      <c r="B1229" s="16">
        <v>45978</v>
      </c>
      <c r="C1229">
        <v>7.3</v>
      </c>
      <c r="D1229">
        <v>0</v>
      </c>
      <c r="E1229" t="s">
        <v>6132</v>
      </c>
    </row>
    <row r="1230" spans="1:5" x14ac:dyDescent="0.35">
      <c r="A1230" t="s">
        <v>97</v>
      </c>
      <c r="B1230" s="16">
        <v>45979</v>
      </c>
      <c r="C1230">
        <v>8.5</v>
      </c>
      <c r="D1230">
        <v>1</v>
      </c>
      <c r="E1230" t="s">
        <v>6132</v>
      </c>
    </row>
    <row r="1231" spans="1:5" x14ac:dyDescent="0.35">
      <c r="A1231" t="s">
        <v>97</v>
      </c>
      <c r="B1231" s="16">
        <v>45980</v>
      </c>
      <c r="C1231">
        <v>7.6</v>
      </c>
      <c r="D1231">
        <v>1</v>
      </c>
      <c r="E1231" t="s">
        <v>6132</v>
      </c>
    </row>
    <row r="1232" spans="1:5" x14ac:dyDescent="0.35">
      <c r="A1232" t="s">
        <v>97</v>
      </c>
      <c r="B1232" s="16">
        <v>45982</v>
      </c>
      <c r="C1232">
        <v>6.5</v>
      </c>
      <c r="D1232">
        <v>1</v>
      </c>
      <c r="E1232" t="s">
        <v>6132</v>
      </c>
    </row>
    <row r="1233" spans="1:5" x14ac:dyDescent="0.35">
      <c r="A1233" t="s">
        <v>97</v>
      </c>
      <c r="B1233" s="16">
        <v>45985</v>
      </c>
      <c r="C1233">
        <v>5.0999999999999996</v>
      </c>
      <c r="D1233">
        <v>0</v>
      </c>
      <c r="E1233" t="s">
        <v>6132</v>
      </c>
    </row>
    <row r="1234" spans="1:5" x14ac:dyDescent="0.35">
      <c r="A1234" t="s">
        <v>97</v>
      </c>
      <c r="B1234" s="16">
        <v>45986</v>
      </c>
      <c r="C1234">
        <v>5.3</v>
      </c>
      <c r="D1234">
        <v>1</v>
      </c>
      <c r="E1234" t="s">
        <v>6132</v>
      </c>
    </row>
    <row r="1235" spans="1:5" x14ac:dyDescent="0.35">
      <c r="A1235" t="s">
        <v>97</v>
      </c>
      <c r="B1235" s="16">
        <v>45987</v>
      </c>
      <c r="C1235">
        <v>8.1999999999999993</v>
      </c>
      <c r="D1235">
        <v>1</v>
      </c>
      <c r="E1235" t="s">
        <v>6132</v>
      </c>
    </row>
    <row r="1236" spans="1:5" x14ac:dyDescent="0.35">
      <c r="A1236" t="s">
        <v>97</v>
      </c>
      <c r="B1236" s="16">
        <v>45993</v>
      </c>
      <c r="C1236">
        <v>5.5</v>
      </c>
      <c r="D1236">
        <v>1</v>
      </c>
      <c r="E1236" t="s">
        <v>6132</v>
      </c>
    </row>
    <row r="1237" spans="1:5" x14ac:dyDescent="0.35">
      <c r="A1237" t="s">
        <v>97</v>
      </c>
      <c r="B1237" s="16">
        <v>45994</v>
      </c>
      <c r="C1237">
        <v>5.0999999999999996</v>
      </c>
      <c r="D1237">
        <v>0</v>
      </c>
      <c r="E1237" t="s">
        <v>6132</v>
      </c>
    </row>
    <row r="1238" spans="1:5" x14ac:dyDescent="0.35">
      <c r="A1238" t="s">
        <v>97</v>
      </c>
      <c r="B1238" s="16">
        <v>45996</v>
      </c>
      <c r="C1238">
        <v>4.8</v>
      </c>
      <c r="D1238">
        <v>0</v>
      </c>
      <c r="E1238" t="s">
        <v>6132</v>
      </c>
    </row>
    <row r="1239" spans="1:5" x14ac:dyDescent="0.35">
      <c r="A1239" t="s">
        <v>97</v>
      </c>
      <c r="B1239" s="16">
        <v>46000</v>
      </c>
      <c r="C1239">
        <v>4.9000000000000004</v>
      </c>
      <c r="D1239">
        <v>4</v>
      </c>
      <c r="E1239" t="s">
        <v>6132</v>
      </c>
    </row>
    <row r="1240" spans="1:5" x14ac:dyDescent="0.35">
      <c r="A1240" t="s">
        <v>97</v>
      </c>
      <c r="B1240" s="16">
        <v>46003</v>
      </c>
      <c r="C1240">
        <v>5.2</v>
      </c>
      <c r="D1240">
        <v>0</v>
      </c>
      <c r="E1240" t="s">
        <v>6132</v>
      </c>
    </row>
    <row r="1241" spans="1:5" x14ac:dyDescent="0.35">
      <c r="A1241" t="s">
        <v>97</v>
      </c>
      <c r="B1241" s="16">
        <v>46006</v>
      </c>
      <c r="C1241">
        <v>5.8</v>
      </c>
      <c r="D1241">
        <v>0</v>
      </c>
      <c r="E1241" t="s">
        <v>6132</v>
      </c>
    </row>
    <row r="1242" spans="1:5" x14ac:dyDescent="0.35">
      <c r="A1242" t="s">
        <v>97</v>
      </c>
      <c r="B1242" s="16">
        <v>46008</v>
      </c>
      <c r="C1242">
        <v>5</v>
      </c>
      <c r="D1242">
        <v>0</v>
      </c>
      <c r="E1242" t="s">
        <v>6133</v>
      </c>
    </row>
    <row r="1243" spans="1:5" x14ac:dyDescent="0.35">
      <c r="A1243" t="s">
        <v>97</v>
      </c>
      <c r="B1243" s="16">
        <v>46009</v>
      </c>
      <c r="C1243">
        <v>8</v>
      </c>
      <c r="D1243">
        <v>0</v>
      </c>
      <c r="E1243" t="s">
        <v>6132</v>
      </c>
    </row>
    <row r="1244" spans="1:5" x14ac:dyDescent="0.35">
      <c r="A1244" t="s">
        <v>97</v>
      </c>
      <c r="B1244" s="16">
        <v>46017</v>
      </c>
      <c r="C1244">
        <v>7.1</v>
      </c>
      <c r="D1244">
        <v>0</v>
      </c>
      <c r="E1244" t="s">
        <v>6132</v>
      </c>
    </row>
    <row r="1245" spans="1:5" x14ac:dyDescent="0.35">
      <c r="A1245" t="s">
        <v>97</v>
      </c>
      <c r="B1245" s="16">
        <v>46022</v>
      </c>
      <c r="C1245">
        <v>5.6</v>
      </c>
      <c r="D1245">
        <v>3</v>
      </c>
      <c r="E1245" t="s">
        <v>6132</v>
      </c>
    </row>
    <row r="1246" spans="1:5" x14ac:dyDescent="0.35">
      <c r="A1246" t="s">
        <v>108</v>
      </c>
      <c r="B1246" s="16">
        <v>45658</v>
      </c>
      <c r="C1246">
        <v>5.0999999999999996</v>
      </c>
      <c r="D1246">
        <v>0</v>
      </c>
      <c r="E1246" t="s">
        <v>6132</v>
      </c>
    </row>
    <row r="1247" spans="1:5" x14ac:dyDescent="0.35">
      <c r="A1247" t="s">
        <v>108</v>
      </c>
      <c r="B1247" s="16">
        <v>45664</v>
      </c>
      <c r="C1247">
        <v>5</v>
      </c>
      <c r="D1247">
        <v>0</v>
      </c>
      <c r="E1247" t="s">
        <v>6133</v>
      </c>
    </row>
    <row r="1248" spans="1:5" x14ac:dyDescent="0.35">
      <c r="A1248" t="s">
        <v>108</v>
      </c>
      <c r="B1248" s="16">
        <v>45666</v>
      </c>
      <c r="C1248">
        <v>4</v>
      </c>
      <c r="D1248">
        <v>0</v>
      </c>
      <c r="E1248" t="s">
        <v>6132</v>
      </c>
    </row>
    <row r="1249" spans="1:5" x14ac:dyDescent="0.35">
      <c r="A1249" t="s">
        <v>108</v>
      </c>
      <c r="B1249" s="16">
        <v>45672</v>
      </c>
      <c r="C1249">
        <v>4.0999999999999996</v>
      </c>
      <c r="D1249">
        <v>0</v>
      </c>
      <c r="E1249" t="s">
        <v>6132</v>
      </c>
    </row>
    <row r="1250" spans="1:5" x14ac:dyDescent="0.35">
      <c r="A1250" t="s">
        <v>108</v>
      </c>
      <c r="B1250" s="16">
        <v>45681</v>
      </c>
      <c r="C1250">
        <v>7.1</v>
      </c>
      <c r="D1250">
        <v>0</v>
      </c>
      <c r="E1250" t="s">
        <v>6133</v>
      </c>
    </row>
    <row r="1251" spans="1:5" x14ac:dyDescent="0.35">
      <c r="A1251" t="s">
        <v>108</v>
      </c>
      <c r="B1251" s="16">
        <v>45684</v>
      </c>
      <c r="C1251">
        <v>4</v>
      </c>
      <c r="D1251">
        <v>0</v>
      </c>
      <c r="E1251" t="s">
        <v>6132</v>
      </c>
    </row>
    <row r="1252" spans="1:5" x14ac:dyDescent="0.35">
      <c r="A1252" t="s">
        <v>108</v>
      </c>
      <c r="B1252" s="16">
        <v>45685</v>
      </c>
      <c r="C1252">
        <v>5.2</v>
      </c>
      <c r="D1252">
        <v>0</v>
      </c>
      <c r="E1252" t="s">
        <v>6132</v>
      </c>
    </row>
    <row r="1253" spans="1:5" x14ac:dyDescent="0.35">
      <c r="A1253" t="s">
        <v>108</v>
      </c>
      <c r="B1253" s="16">
        <v>45686</v>
      </c>
      <c r="C1253">
        <v>6.7</v>
      </c>
      <c r="D1253">
        <v>4</v>
      </c>
      <c r="E1253" t="s">
        <v>6132</v>
      </c>
    </row>
    <row r="1254" spans="1:5" x14ac:dyDescent="0.35">
      <c r="A1254" t="s">
        <v>108</v>
      </c>
      <c r="B1254" s="16">
        <v>45688</v>
      </c>
      <c r="C1254">
        <v>6.3</v>
      </c>
      <c r="D1254">
        <v>3</v>
      </c>
      <c r="E1254" t="s">
        <v>6132</v>
      </c>
    </row>
    <row r="1255" spans="1:5" x14ac:dyDescent="0.35">
      <c r="A1255" t="s">
        <v>108</v>
      </c>
      <c r="B1255" s="16">
        <v>45691</v>
      </c>
      <c r="C1255">
        <v>4.3</v>
      </c>
      <c r="D1255">
        <v>3</v>
      </c>
      <c r="E1255" t="s">
        <v>6132</v>
      </c>
    </row>
    <row r="1256" spans="1:5" x14ac:dyDescent="0.35">
      <c r="A1256" t="s">
        <v>108</v>
      </c>
      <c r="B1256" s="16">
        <v>45692</v>
      </c>
      <c r="C1256">
        <v>7.7</v>
      </c>
      <c r="D1256">
        <v>0</v>
      </c>
      <c r="E1256" t="s">
        <v>6132</v>
      </c>
    </row>
    <row r="1257" spans="1:5" x14ac:dyDescent="0.35">
      <c r="A1257" t="s">
        <v>108</v>
      </c>
      <c r="B1257" s="16">
        <v>45695</v>
      </c>
      <c r="C1257">
        <v>5.6</v>
      </c>
      <c r="D1257">
        <v>2</v>
      </c>
      <c r="E1257" t="s">
        <v>6132</v>
      </c>
    </row>
    <row r="1258" spans="1:5" x14ac:dyDescent="0.35">
      <c r="A1258" t="s">
        <v>108</v>
      </c>
      <c r="B1258" s="16">
        <v>45698</v>
      </c>
      <c r="C1258">
        <v>4.3</v>
      </c>
      <c r="D1258">
        <v>1</v>
      </c>
      <c r="E1258" t="s">
        <v>6132</v>
      </c>
    </row>
    <row r="1259" spans="1:5" x14ac:dyDescent="0.35">
      <c r="A1259" t="s">
        <v>108</v>
      </c>
      <c r="B1259" s="16">
        <v>45699</v>
      </c>
      <c r="C1259">
        <v>6</v>
      </c>
      <c r="D1259">
        <v>0</v>
      </c>
      <c r="E1259" t="s">
        <v>6132</v>
      </c>
    </row>
    <row r="1260" spans="1:5" x14ac:dyDescent="0.35">
      <c r="A1260" t="s">
        <v>108</v>
      </c>
      <c r="B1260" s="16">
        <v>45700</v>
      </c>
      <c r="C1260">
        <v>5.7</v>
      </c>
      <c r="D1260">
        <v>1</v>
      </c>
      <c r="E1260" t="s">
        <v>6132</v>
      </c>
    </row>
    <row r="1261" spans="1:5" x14ac:dyDescent="0.35">
      <c r="A1261" t="s">
        <v>108</v>
      </c>
      <c r="B1261" s="16">
        <v>45701</v>
      </c>
      <c r="C1261">
        <v>8</v>
      </c>
      <c r="D1261">
        <v>0</v>
      </c>
      <c r="E1261" t="s">
        <v>6132</v>
      </c>
    </row>
    <row r="1262" spans="1:5" x14ac:dyDescent="0.35">
      <c r="A1262" t="s">
        <v>108</v>
      </c>
      <c r="B1262" s="16">
        <v>45705</v>
      </c>
      <c r="C1262">
        <v>8.6999999999999993</v>
      </c>
      <c r="D1262">
        <v>0</v>
      </c>
      <c r="E1262" t="s">
        <v>6132</v>
      </c>
    </row>
    <row r="1263" spans="1:5" x14ac:dyDescent="0.35">
      <c r="A1263" t="s">
        <v>108</v>
      </c>
      <c r="B1263" s="16">
        <v>45708</v>
      </c>
      <c r="C1263">
        <v>5.0999999999999996</v>
      </c>
      <c r="D1263">
        <v>0</v>
      </c>
      <c r="E1263" t="s">
        <v>6132</v>
      </c>
    </row>
    <row r="1264" spans="1:5" x14ac:dyDescent="0.35">
      <c r="A1264" t="s">
        <v>108</v>
      </c>
      <c r="B1264" s="16">
        <v>45712</v>
      </c>
      <c r="C1264">
        <v>6</v>
      </c>
      <c r="D1264">
        <v>0</v>
      </c>
      <c r="E1264" t="s">
        <v>6132</v>
      </c>
    </row>
    <row r="1265" spans="1:5" x14ac:dyDescent="0.35">
      <c r="A1265" t="s">
        <v>108</v>
      </c>
      <c r="B1265" s="16">
        <v>45713</v>
      </c>
      <c r="C1265">
        <v>6.8</v>
      </c>
      <c r="D1265">
        <v>3</v>
      </c>
      <c r="E1265" t="s">
        <v>6132</v>
      </c>
    </row>
    <row r="1266" spans="1:5" x14ac:dyDescent="0.35">
      <c r="A1266" t="s">
        <v>108</v>
      </c>
      <c r="B1266" s="16">
        <v>45714</v>
      </c>
      <c r="C1266">
        <v>4.5999999999999996</v>
      </c>
      <c r="D1266">
        <v>0</v>
      </c>
      <c r="E1266" t="s">
        <v>6132</v>
      </c>
    </row>
    <row r="1267" spans="1:5" x14ac:dyDescent="0.35">
      <c r="A1267" t="s">
        <v>108</v>
      </c>
      <c r="B1267" s="16">
        <v>45719</v>
      </c>
      <c r="C1267">
        <v>5.5</v>
      </c>
      <c r="D1267">
        <v>0</v>
      </c>
      <c r="E1267" t="s">
        <v>6132</v>
      </c>
    </row>
    <row r="1268" spans="1:5" x14ac:dyDescent="0.35">
      <c r="A1268" t="s">
        <v>108</v>
      </c>
      <c r="B1268" s="16">
        <v>45720</v>
      </c>
      <c r="D1268">
        <v>1</v>
      </c>
      <c r="E1268" t="s">
        <v>6132</v>
      </c>
    </row>
    <row r="1269" spans="1:5" x14ac:dyDescent="0.35">
      <c r="A1269" t="s">
        <v>108</v>
      </c>
      <c r="B1269" s="16">
        <v>45721</v>
      </c>
      <c r="D1269">
        <v>4</v>
      </c>
      <c r="E1269" t="s">
        <v>6132</v>
      </c>
    </row>
    <row r="1270" spans="1:5" x14ac:dyDescent="0.35">
      <c r="A1270" t="s">
        <v>108</v>
      </c>
      <c r="B1270" s="16">
        <v>45722</v>
      </c>
      <c r="C1270">
        <v>4.4000000000000004</v>
      </c>
      <c r="D1270">
        <v>1</v>
      </c>
      <c r="E1270" t="s">
        <v>6132</v>
      </c>
    </row>
    <row r="1271" spans="1:5" x14ac:dyDescent="0.35">
      <c r="A1271" t="s">
        <v>108</v>
      </c>
      <c r="B1271" s="16">
        <v>45726</v>
      </c>
      <c r="D1271">
        <v>3</v>
      </c>
      <c r="E1271" t="s">
        <v>6132</v>
      </c>
    </row>
    <row r="1272" spans="1:5" x14ac:dyDescent="0.35">
      <c r="A1272" t="s">
        <v>108</v>
      </c>
      <c r="B1272" s="16">
        <v>45728</v>
      </c>
      <c r="C1272">
        <v>5</v>
      </c>
      <c r="D1272">
        <v>2</v>
      </c>
      <c r="E1272" t="s">
        <v>6132</v>
      </c>
    </row>
    <row r="1273" spans="1:5" x14ac:dyDescent="0.35">
      <c r="A1273" t="s">
        <v>108</v>
      </c>
      <c r="B1273" s="16">
        <v>45730</v>
      </c>
      <c r="C1273">
        <v>4.3</v>
      </c>
      <c r="D1273">
        <v>1</v>
      </c>
      <c r="E1273" t="s">
        <v>6132</v>
      </c>
    </row>
    <row r="1274" spans="1:5" x14ac:dyDescent="0.35">
      <c r="A1274" t="s">
        <v>108</v>
      </c>
      <c r="B1274" s="16">
        <v>45734</v>
      </c>
      <c r="C1274">
        <v>7.1</v>
      </c>
      <c r="D1274">
        <v>1</v>
      </c>
      <c r="E1274" t="s">
        <v>6132</v>
      </c>
    </row>
    <row r="1275" spans="1:5" x14ac:dyDescent="0.35">
      <c r="A1275" t="s">
        <v>108</v>
      </c>
      <c r="B1275" s="16">
        <v>45736</v>
      </c>
      <c r="C1275">
        <v>8.1</v>
      </c>
      <c r="D1275">
        <v>0</v>
      </c>
      <c r="E1275" t="s">
        <v>6132</v>
      </c>
    </row>
    <row r="1276" spans="1:5" x14ac:dyDescent="0.35">
      <c r="A1276" t="s">
        <v>108</v>
      </c>
      <c r="B1276" s="16">
        <v>45737</v>
      </c>
      <c r="C1276">
        <v>5.3</v>
      </c>
      <c r="D1276">
        <v>0</v>
      </c>
      <c r="E1276" t="s">
        <v>6132</v>
      </c>
    </row>
    <row r="1277" spans="1:5" x14ac:dyDescent="0.35">
      <c r="A1277" t="s">
        <v>108</v>
      </c>
      <c r="B1277" s="16">
        <v>45742</v>
      </c>
      <c r="C1277">
        <v>5.4</v>
      </c>
      <c r="D1277">
        <v>2</v>
      </c>
      <c r="E1277" t="s">
        <v>6132</v>
      </c>
    </row>
    <row r="1278" spans="1:5" x14ac:dyDescent="0.35">
      <c r="A1278" t="s">
        <v>108</v>
      </c>
      <c r="B1278" s="16">
        <v>45744</v>
      </c>
      <c r="C1278">
        <v>6.7</v>
      </c>
      <c r="D1278">
        <v>0</v>
      </c>
      <c r="E1278" t="s">
        <v>6132</v>
      </c>
    </row>
    <row r="1279" spans="1:5" x14ac:dyDescent="0.35">
      <c r="A1279" t="s">
        <v>108</v>
      </c>
      <c r="B1279" s="16">
        <v>45748</v>
      </c>
      <c r="C1279">
        <v>8.8000000000000007</v>
      </c>
      <c r="D1279">
        <v>1</v>
      </c>
      <c r="E1279" t="s">
        <v>6132</v>
      </c>
    </row>
    <row r="1280" spans="1:5" x14ac:dyDescent="0.35">
      <c r="A1280" t="s">
        <v>108</v>
      </c>
      <c r="B1280" s="16">
        <v>45751</v>
      </c>
      <c r="C1280">
        <v>5.3</v>
      </c>
      <c r="D1280">
        <v>0</v>
      </c>
      <c r="E1280" t="s">
        <v>6132</v>
      </c>
    </row>
    <row r="1281" spans="1:5" x14ac:dyDescent="0.35">
      <c r="A1281" t="s">
        <v>108</v>
      </c>
      <c r="B1281" s="16">
        <v>45754</v>
      </c>
      <c r="C1281">
        <v>9</v>
      </c>
      <c r="D1281">
        <v>0</v>
      </c>
      <c r="E1281" t="s">
        <v>6132</v>
      </c>
    </row>
    <row r="1282" spans="1:5" x14ac:dyDescent="0.35">
      <c r="A1282" t="s">
        <v>108</v>
      </c>
      <c r="B1282" s="16">
        <v>45757</v>
      </c>
      <c r="C1282">
        <v>6.7</v>
      </c>
      <c r="D1282">
        <v>2</v>
      </c>
      <c r="E1282" t="s">
        <v>6132</v>
      </c>
    </row>
    <row r="1283" spans="1:5" x14ac:dyDescent="0.35">
      <c r="A1283" t="s">
        <v>108</v>
      </c>
      <c r="B1283" s="16">
        <v>45761</v>
      </c>
      <c r="C1283">
        <v>4.3</v>
      </c>
      <c r="D1283">
        <v>2</v>
      </c>
      <c r="E1283" t="s">
        <v>6132</v>
      </c>
    </row>
    <row r="1284" spans="1:5" x14ac:dyDescent="0.35">
      <c r="A1284" t="s">
        <v>108</v>
      </c>
      <c r="B1284" s="16">
        <v>45763</v>
      </c>
      <c r="D1284">
        <v>1</v>
      </c>
      <c r="E1284" t="s">
        <v>6132</v>
      </c>
    </row>
    <row r="1285" spans="1:5" x14ac:dyDescent="0.35">
      <c r="A1285" t="s">
        <v>108</v>
      </c>
      <c r="B1285" s="16">
        <v>45764</v>
      </c>
      <c r="C1285">
        <v>6.2</v>
      </c>
      <c r="D1285">
        <v>0</v>
      </c>
      <c r="E1285" t="s">
        <v>6132</v>
      </c>
    </row>
    <row r="1286" spans="1:5" x14ac:dyDescent="0.35">
      <c r="A1286" t="s">
        <v>108</v>
      </c>
      <c r="B1286" s="16">
        <v>45765</v>
      </c>
      <c r="C1286">
        <v>5.8</v>
      </c>
      <c r="D1286">
        <v>0</v>
      </c>
      <c r="E1286" t="s">
        <v>6132</v>
      </c>
    </row>
    <row r="1287" spans="1:5" x14ac:dyDescent="0.35">
      <c r="A1287" t="s">
        <v>108</v>
      </c>
      <c r="B1287" s="16">
        <v>45768</v>
      </c>
      <c r="C1287">
        <v>8.4</v>
      </c>
      <c r="D1287">
        <v>0</v>
      </c>
      <c r="E1287" t="s">
        <v>6132</v>
      </c>
    </row>
    <row r="1288" spans="1:5" x14ac:dyDescent="0.35">
      <c r="A1288" t="s">
        <v>108</v>
      </c>
      <c r="B1288" s="16">
        <v>45770</v>
      </c>
      <c r="C1288">
        <v>4.3</v>
      </c>
      <c r="D1288">
        <v>0</v>
      </c>
      <c r="E1288" t="s">
        <v>6132</v>
      </c>
    </row>
    <row r="1289" spans="1:5" x14ac:dyDescent="0.35">
      <c r="A1289" t="s">
        <v>108</v>
      </c>
      <c r="B1289" s="16">
        <v>45771</v>
      </c>
      <c r="C1289">
        <v>6.9</v>
      </c>
      <c r="D1289">
        <v>0</v>
      </c>
      <c r="E1289" t="s">
        <v>6132</v>
      </c>
    </row>
    <row r="1290" spans="1:5" x14ac:dyDescent="0.35">
      <c r="A1290" t="s">
        <v>108</v>
      </c>
      <c r="B1290" s="16">
        <v>45772</v>
      </c>
      <c r="C1290">
        <v>6.5</v>
      </c>
      <c r="D1290">
        <v>0</v>
      </c>
      <c r="E1290" t="s">
        <v>6132</v>
      </c>
    </row>
    <row r="1291" spans="1:5" x14ac:dyDescent="0.35">
      <c r="A1291" t="s">
        <v>108</v>
      </c>
      <c r="B1291" s="16">
        <v>45782</v>
      </c>
      <c r="C1291">
        <v>6.1</v>
      </c>
      <c r="D1291">
        <v>1</v>
      </c>
      <c r="E1291" t="s">
        <v>6132</v>
      </c>
    </row>
    <row r="1292" spans="1:5" x14ac:dyDescent="0.35">
      <c r="A1292" t="s">
        <v>108</v>
      </c>
      <c r="B1292" s="16">
        <v>45786</v>
      </c>
      <c r="C1292">
        <v>7.2</v>
      </c>
      <c r="D1292">
        <v>0</v>
      </c>
      <c r="E1292" t="s">
        <v>6132</v>
      </c>
    </row>
    <row r="1293" spans="1:5" x14ac:dyDescent="0.35">
      <c r="A1293" t="s">
        <v>108</v>
      </c>
      <c r="B1293" s="16">
        <v>45789</v>
      </c>
      <c r="C1293">
        <v>4.5</v>
      </c>
      <c r="D1293">
        <v>0</v>
      </c>
      <c r="E1293" t="s">
        <v>6132</v>
      </c>
    </row>
    <row r="1294" spans="1:5" x14ac:dyDescent="0.35">
      <c r="A1294" t="s">
        <v>108</v>
      </c>
      <c r="B1294" s="16">
        <v>45790</v>
      </c>
      <c r="C1294">
        <v>8.4</v>
      </c>
      <c r="D1294">
        <v>1</v>
      </c>
      <c r="E1294" t="s">
        <v>6132</v>
      </c>
    </row>
    <row r="1295" spans="1:5" x14ac:dyDescent="0.35">
      <c r="A1295" t="s">
        <v>108</v>
      </c>
      <c r="B1295" s="16">
        <v>45793</v>
      </c>
      <c r="C1295">
        <v>4.7</v>
      </c>
      <c r="D1295">
        <v>4</v>
      </c>
      <c r="E1295" t="s">
        <v>6132</v>
      </c>
    </row>
    <row r="1296" spans="1:5" x14ac:dyDescent="0.35">
      <c r="A1296" t="s">
        <v>108</v>
      </c>
      <c r="B1296" s="16">
        <v>45797</v>
      </c>
      <c r="C1296">
        <v>7</v>
      </c>
      <c r="D1296">
        <v>2</v>
      </c>
      <c r="E1296" t="s">
        <v>6132</v>
      </c>
    </row>
    <row r="1297" spans="1:5" x14ac:dyDescent="0.35">
      <c r="A1297" t="s">
        <v>108</v>
      </c>
      <c r="B1297" s="16">
        <v>45799</v>
      </c>
      <c r="C1297">
        <v>5.0999999999999996</v>
      </c>
      <c r="D1297">
        <v>0</v>
      </c>
      <c r="E1297" t="s">
        <v>6132</v>
      </c>
    </row>
    <row r="1298" spans="1:5" x14ac:dyDescent="0.35">
      <c r="A1298" t="s">
        <v>108</v>
      </c>
      <c r="B1298" s="16">
        <v>45800</v>
      </c>
      <c r="C1298">
        <v>7.9</v>
      </c>
      <c r="D1298">
        <v>1</v>
      </c>
      <c r="E1298" t="s">
        <v>6132</v>
      </c>
    </row>
    <row r="1299" spans="1:5" x14ac:dyDescent="0.35">
      <c r="A1299" t="s">
        <v>108</v>
      </c>
      <c r="B1299" s="16">
        <v>45807</v>
      </c>
      <c r="C1299">
        <v>5.7</v>
      </c>
      <c r="D1299">
        <v>0</v>
      </c>
      <c r="E1299" t="s">
        <v>6132</v>
      </c>
    </row>
    <row r="1300" spans="1:5" x14ac:dyDescent="0.35">
      <c r="A1300" t="s">
        <v>108</v>
      </c>
      <c r="B1300" s="16">
        <v>45812</v>
      </c>
      <c r="C1300">
        <v>7.7</v>
      </c>
      <c r="D1300">
        <v>0</v>
      </c>
      <c r="E1300" t="s">
        <v>6132</v>
      </c>
    </row>
    <row r="1301" spans="1:5" x14ac:dyDescent="0.35">
      <c r="A1301" t="s">
        <v>108</v>
      </c>
      <c r="B1301" s="16">
        <v>45819</v>
      </c>
      <c r="C1301">
        <v>4.4000000000000004</v>
      </c>
      <c r="D1301">
        <v>1</v>
      </c>
      <c r="E1301" t="s">
        <v>6132</v>
      </c>
    </row>
    <row r="1302" spans="1:5" x14ac:dyDescent="0.35">
      <c r="A1302" t="s">
        <v>108</v>
      </c>
      <c r="B1302" s="16">
        <v>45820</v>
      </c>
      <c r="C1302">
        <v>4.0999999999999996</v>
      </c>
      <c r="D1302">
        <v>2</v>
      </c>
      <c r="E1302" t="s">
        <v>6132</v>
      </c>
    </row>
    <row r="1303" spans="1:5" x14ac:dyDescent="0.35">
      <c r="A1303" t="s">
        <v>108</v>
      </c>
      <c r="B1303" s="16">
        <v>45827</v>
      </c>
      <c r="D1303">
        <v>0</v>
      </c>
      <c r="E1303" t="s">
        <v>6132</v>
      </c>
    </row>
    <row r="1304" spans="1:5" x14ac:dyDescent="0.35">
      <c r="A1304" t="s">
        <v>108</v>
      </c>
      <c r="B1304" s="16">
        <v>45828</v>
      </c>
      <c r="C1304">
        <v>5.8</v>
      </c>
      <c r="D1304">
        <v>1</v>
      </c>
      <c r="E1304" t="s">
        <v>6132</v>
      </c>
    </row>
    <row r="1305" spans="1:5" x14ac:dyDescent="0.35">
      <c r="A1305" t="s">
        <v>108</v>
      </c>
      <c r="B1305" s="16">
        <v>45833</v>
      </c>
      <c r="C1305">
        <v>5.7</v>
      </c>
      <c r="D1305">
        <v>0</v>
      </c>
      <c r="E1305" t="s">
        <v>6132</v>
      </c>
    </row>
    <row r="1306" spans="1:5" x14ac:dyDescent="0.35">
      <c r="A1306" t="s">
        <v>108</v>
      </c>
      <c r="B1306" s="16">
        <v>45834</v>
      </c>
      <c r="C1306">
        <v>6.6</v>
      </c>
      <c r="D1306">
        <v>0</v>
      </c>
      <c r="E1306" t="s">
        <v>6132</v>
      </c>
    </row>
    <row r="1307" spans="1:5" x14ac:dyDescent="0.35">
      <c r="A1307" t="s">
        <v>108</v>
      </c>
      <c r="B1307" s="16">
        <v>45835</v>
      </c>
      <c r="C1307">
        <v>5.0999999999999996</v>
      </c>
      <c r="D1307">
        <v>1</v>
      </c>
      <c r="E1307" t="s">
        <v>6132</v>
      </c>
    </row>
    <row r="1308" spans="1:5" x14ac:dyDescent="0.35">
      <c r="A1308" t="s">
        <v>108</v>
      </c>
      <c r="B1308" s="16">
        <v>45840</v>
      </c>
      <c r="C1308">
        <v>8.8000000000000007</v>
      </c>
      <c r="D1308">
        <v>1</v>
      </c>
      <c r="E1308" t="s">
        <v>6132</v>
      </c>
    </row>
    <row r="1309" spans="1:5" x14ac:dyDescent="0.35">
      <c r="A1309" t="s">
        <v>108</v>
      </c>
      <c r="B1309" s="16">
        <v>45846</v>
      </c>
      <c r="C1309">
        <v>6.6</v>
      </c>
      <c r="D1309">
        <v>0</v>
      </c>
      <c r="E1309" t="s">
        <v>6132</v>
      </c>
    </row>
    <row r="1310" spans="1:5" x14ac:dyDescent="0.35">
      <c r="A1310" t="s">
        <v>108</v>
      </c>
      <c r="B1310" s="16">
        <v>45847</v>
      </c>
      <c r="C1310">
        <v>8.5</v>
      </c>
      <c r="D1310">
        <v>0</v>
      </c>
      <c r="E1310" t="s">
        <v>6132</v>
      </c>
    </row>
    <row r="1311" spans="1:5" x14ac:dyDescent="0.35">
      <c r="A1311" t="s">
        <v>108</v>
      </c>
      <c r="B1311" s="16">
        <v>45848</v>
      </c>
      <c r="C1311">
        <v>4.7</v>
      </c>
      <c r="D1311">
        <v>0</v>
      </c>
      <c r="E1311" t="s">
        <v>6132</v>
      </c>
    </row>
    <row r="1312" spans="1:5" x14ac:dyDescent="0.35">
      <c r="A1312" t="s">
        <v>108</v>
      </c>
      <c r="B1312" s="16">
        <v>45849</v>
      </c>
      <c r="C1312">
        <v>8.1999999999999993</v>
      </c>
      <c r="D1312">
        <v>1</v>
      </c>
      <c r="E1312" t="s">
        <v>6132</v>
      </c>
    </row>
    <row r="1313" spans="1:5" x14ac:dyDescent="0.35">
      <c r="A1313" t="s">
        <v>108</v>
      </c>
      <c r="B1313" s="16">
        <v>45853</v>
      </c>
      <c r="C1313">
        <v>6.2</v>
      </c>
      <c r="D1313">
        <v>1</v>
      </c>
      <c r="E1313" t="s">
        <v>6132</v>
      </c>
    </row>
    <row r="1314" spans="1:5" x14ac:dyDescent="0.35">
      <c r="A1314" t="s">
        <v>108</v>
      </c>
      <c r="B1314" s="16">
        <v>45854</v>
      </c>
      <c r="C1314">
        <v>8.5</v>
      </c>
      <c r="D1314">
        <v>1</v>
      </c>
      <c r="E1314" t="s">
        <v>6132</v>
      </c>
    </row>
    <row r="1315" spans="1:5" x14ac:dyDescent="0.35">
      <c r="A1315" t="s">
        <v>108</v>
      </c>
      <c r="B1315" s="16">
        <v>45855</v>
      </c>
      <c r="C1315">
        <v>7.3</v>
      </c>
      <c r="D1315">
        <v>1</v>
      </c>
      <c r="E1315" t="s">
        <v>6132</v>
      </c>
    </row>
    <row r="1316" spans="1:5" x14ac:dyDescent="0.35">
      <c r="A1316" t="s">
        <v>108</v>
      </c>
      <c r="B1316" s="16">
        <v>45863</v>
      </c>
      <c r="C1316">
        <v>4.0999999999999996</v>
      </c>
      <c r="D1316">
        <v>0</v>
      </c>
      <c r="E1316" t="s">
        <v>6132</v>
      </c>
    </row>
    <row r="1317" spans="1:5" x14ac:dyDescent="0.35">
      <c r="A1317" t="s">
        <v>108</v>
      </c>
      <c r="B1317" s="16">
        <v>45866</v>
      </c>
      <c r="D1317">
        <v>1</v>
      </c>
      <c r="E1317" t="s">
        <v>6132</v>
      </c>
    </row>
    <row r="1318" spans="1:5" x14ac:dyDescent="0.35">
      <c r="A1318" t="s">
        <v>108</v>
      </c>
      <c r="B1318" s="16">
        <v>45868</v>
      </c>
      <c r="C1318">
        <v>5.3</v>
      </c>
      <c r="D1318">
        <v>3</v>
      </c>
      <c r="E1318" t="s">
        <v>6132</v>
      </c>
    </row>
    <row r="1319" spans="1:5" x14ac:dyDescent="0.35">
      <c r="A1319" t="s">
        <v>108</v>
      </c>
      <c r="B1319" s="16">
        <v>45873</v>
      </c>
      <c r="C1319">
        <v>5</v>
      </c>
      <c r="D1319">
        <v>2</v>
      </c>
      <c r="E1319" t="s">
        <v>6132</v>
      </c>
    </row>
    <row r="1320" spans="1:5" x14ac:dyDescent="0.35">
      <c r="A1320" t="s">
        <v>108</v>
      </c>
      <c r="B1320" s="16">
        <v>45875</v>
      </c>
      <c r="C1320">
        <v>4.2</v>
      </c>
      <c r="D1320">
        <v>1</v>
      </c>
      <c r="E1320" t="s">
        <v>6132</v>
      </c>
    </row>
    <row r="1321" spans="1:5" x14ac:dyDescent="0.35">
      <c r="A1321" t="s">
        <v>108</v>
      </c>
      <c r="B1321" s="16">
        <v>45876</v>
      </c>
      <c r="C1321">
        <v>4.0999999999999996</v>
      </c>
      <c r="D1321">
        <v>0</v>
      </c>
      <c r="E1321" t="s">
        <v>6132</v>
      </c>
    </row>
    <row r="1322" spans="1:5" x14ac:dyDescent="0.35">
      <c r="A1322" t="s">
        <v>108</v>
      </c>
      <c r="B1322" s="16">
        <v>45877</v>
      </c>
      <c r="C1322">
        <v>8.9</v>
      </c>
      <c r="D1322">
        <v>1</v>
      </c>
      <c r="E1322" t="s">
        <v>6132</v>
      </c>
    </row>
    <row r="1323" spans="1:5" x14ac:dyDescent="0.35">
      <c r="A1323" t="s">
        <v>108</v>
      </c>
      <c r="B1323" s="16">
        <v>45880</v>
      </c>
      <c r="C1323">
        <v>4.4000000000000004</v>
      </c>
      <c r="D1323">
        <v>3</v>
      </c>
      <c r="E1323" t="s">
        <v>6132</v>
      </c>
    </row>
    <row r="1324" spans="1:5" x14ac:dyDescent="0.35">
      <c r="A1324" t="s">
        <v>108</v>
      </c>
      <c r="B1324" s="16">
        <v>45881</v>
      </c>
      <c r="C1324">
        <v>6.5</v>
      </c>
      <c r="D1324">
        <v>1</v>
      </c>
      <c r="E1324" t="s">
        <v>6132</v>
      </c>
    </row>
    <row r="1325" spans="1:5" x14ac:dyDescent="0.35">
      <c r="A1325" t="s">
        <v>108</v>
      </c>
      <c r="B1325" s="16">
        <v>45882</v>
      </c>
      <c r="C1325">
        <v>5.6</v>
      </c>
      <c r="D1325">
        <v>0</v>
      </c>
      <c r="E1325" t="s">
        <v>6134</v>
      </c>
    </row>
    <row r="1326" spans="1:5" x14ac:dyDescent="0.35">
      <c r="A1326" t="s">
        <v>108</v>
      </c>
      <c r="B1326" s="16">
        <v>45883</v>
      </c>
      <c r="C1326">
        <v>7.1</v>
      </c>
      <c r="D1326">
        <v>1</v>
      </c>
      <c r="E1326" t="s">
        <v>6132</v>
      </c>
    </row>
    <row r="1327" spans="1:5" x14ac:dyDescent="0.35">
      <c r="A1327" t="s">
        <v>108</v>
      </c>
      <c r="B1327" s="16">
        <v>45889</v>
      </c>
      <c r="C1327">
        <v>6.2</v>
      </c>
      <c r="D1327">
        <v>0</v>
      </c>
      <c r="E1327" t="s">
        <v>6134</v>
      </c>
    </row>
    <row r="1328" spans="1:5" x14ac:dyDescent="0.35">
      <c r="A1328" t="s">
        <v>108</v>
      </c>
      <c r="B1328" s="16">
        <v>45895</v>
      </c>
      <c r="C1328">
        <v>5</v>
      </c>
      <c r="D1328">
        <v>1</v>
      </c>
      <c r="E1328" t="s">
        <v>6132</v>
      </c>
    </row>
    <row r="1329" spans="1:5" x14ac:dyDescent="0.35">
      <c r="A1329" t="s">
        <v>108</v>
      </c>
      <c r="B1329" s="16">
        <v>45896</v>
      </c>
      <c r="C1329">
        <v>6.5</v>
      </c>
      <c r="D1329">
        <v>1</v>
      </c>
      <c r="E1329" t="s">
        <v>6132</v>
      </c>
    </row>
    <row r="1330" spans="1:5" x14ac:dyDescent="0.35">
      <c r="A1330" t="s">
        <v>108</v>
      </c>
      <c r="B1330" s="16">
        <v>45897</v>
      </c>
      <c r="C1330">
        <v>4.3</v>
      </c>
      <c r="D1330">
        <v>0</v>
      </c>
      <c r="E1330" t="s">
        <v>6132</v>
      </c>
    </row>
    <row r="1331" spans="1:5" x14ac:dyDescent="0.35">
      <c r="A1331" t="s">
        <v>108</v>
      </c>
      <c r="B1331" s="16">
        <v>45905</v>
      </c>
      <c r="C1331">
        <v>5.6</v>
      </c>
      <c r="D1331">
        <v>0</v>
      </c>
      <c r="E1331" t="s">
        <v>6134</v>
      </c>
    </row>
    <row r="1332" spans="1:5" x14ac:dyDescent="0.35">
      <c r="A1332" t="s">
        <v>108</v>
      </c>
      <c r="B1332" s="16">
        <v>45908</v>
      </c>
      <c r="C1332">
        <v>4.7</v>
      </c>
      <c r="D1332">
        <v>1</v>
      </c>
      <c r="E1332" t="s">
        <v>6132</v>
      </c>
    </row>
    <row r="1333" spans="1:5" x14ac:dyDescent="0.35">
      <c r="A1333" t="s">
        <v>108</v>
      </c>
      <c r="B1333" s="16">
        <v>45910</v>
      </c>
      <c r="C1333">
        <v>6</v>
      </c>
      <c r="D1333">
        <v>0</v>
      </c>
      <c r="E1333" t="s">
        <v>6132</v>
      </c>
    </row>
    <row r="1334" spans="1:5" x14ac:dyDescent="0.35">
      <c r="A1334" t="s">
        <v>108</v>
      </c>
      <c r="B1334" s="16">
        <v>45911</v>
      </c>
      <c r="C1334">
        <v>7.6</v>
      </c>
      <c r="D1334">
        <v>1</v>
      </c>
      <c r="E1334" t="s">
        <v>6132</v>
      </c>
    </row>
    <row r="1335" spans="1:5" x14ac:dyDescent="0.35">
      <c r="A1335" t="s">
        <v>108</v>
      </c>
      <c r="B1335" s="16">
        <v>45918</v>
      </c>
      <c r="C1335">
        <v>8.6</v>
      </c>
      <c r="D1335">
        <v>0</v>
      </c>
      <c r="E1335" t="s">
        <v>6132</v>
      </c>
    </row>
    <row r="1336" spans="1:5" x14ac:dyDescent="0.35">
      <c r="A1336" t="s">
        <v>108</v>
      </c>
      <c r="B1336" s="16">
        <v>45922</v>
      </c>
      <c r="C1336">
        <v>5.8</v>
      </c>
      <c r="D1336">
        <v>1</v>
      </c>
      <c r="E1336" t="s">
        <v>6132</v>
      </c>
    </row>
    <row r="1337" spans="1:5" x14ac:dyDescent="0.35">
      <c r="A1337" t="s">
        <v>108</v>
      </c>
      <c r="B1337" s="16">
        <v>45923</v>
      </c>
      <c r="C1337">
        <v>5.6</v>
      </c>
      <c r="D1337">
        <v>0</v>
      </c>
      <c r="E1337" t="s">
        <v>6132</v>
      </c>
    </row>
    <row r="1338" spans="1:5" x14ac:dyDescent="0.35">
      <c r="A1338" t="s">
        <v>108</v>
      </c>
      <c r="B1338" s="16">
        <v>45924</v>
      </c>
      <c r="C1338">
        <v>6.9</v>
      </c>
      <c r="D1338">
        <v>2</v>
      </c>
      <c r="E1338" t="s">
        <v>6132</v>
      </c>
    </row>
    <row r="1339" spans="1:5" x14ac:dyDescent="0.35">
      <c r="A1339" t="s">
        <v>108</v>
      </c>
      <c r="B1339" s="16">
        <v>45929</v>
      </c>
      <c r="C1339">
        <v>5.9</v>
      </c>
      <c r="D1339">
        <v>1</v>
      </c>
      <c r="E1339" t="s">
        <v>6132</v>
      </c>
    </row>
    <row r="1340" spans="1:5" x14ac:dyDescent="0.35">
      <c r="A1340" t="s">
        <v>108</v>
      </c>
      <c r="B1340" s="16">
        <v>45937</v>
      </c>
      <c r="C1340">
        <v>8.6999999999999993</v>
      </c>
      <c r="D1340">
        <v>0</v>
      </c>
      <c r="E1340" t="s">
        <v>6132</v>
      </c>
    </row>
    <row r="1341" spans="1:5" x14ac:dyDescent="0.35">
      <c r="A1341" t="s">
        <v>108</v>
      </c>
      <c r="B1341" s="16">
        <v>45939</v>
      </c>
      <c r="C1341">
        <v>5.7</v>
      </c>
      <c r="D1341">
        <v>0</v>
      </c>
      <c r="E1341" t="s">
        <v>6132</v>
      </c>
    </row>
    <row r="1342" spans="1:5" x14ac:dyDescent="0.35">
      <c r="A1342" t="s">
        <v>108</v>
      </c>
      <c r="B1342" s="16">
        <v>45940</v>
      </c>
      <c r="C1342">
        <v>4.4000000000000004</v>
      </c>
      <c r="D1342">
        <v>0</v>
      </c>
      <c r="E1342" t="s">
        <v>6132</v>
      </c>
    </row>
    <row r="1343" spans="1:5" x14ac:dyDescent="0.35">
      <c r="A1343" t="s">
        <v>108</v>
      </c>
      <c r="B1343" s="16">
        <v>45944</v>
      </c>
      <c r="C1343">
        <v>5.9</v>
      </c>
      <c r="D1343">
        <v>1</v>
      </c>
      <c r="E1343" t="s">
        <v>6132</v>
      </c>
    </row>
    <row r="1344" spans="1:5" x14ac:dyDescent="0.35">
      <c r="A1344" t="s">
        <v>108</v>
      </c>
      <c r="B1344" s="16">
        <v>45945</v>
      </c>
      <c r="C1344">
        <v>6.4</v>
      </c>
      <c r="D1344">
        <v>2</v>
      </c>
      <c r="E1344" t="s">
        <v>6132</v>
      </c>
    </row>
    <row r="1345" spans="1:5" x14ac:dyDescent="0.35">
      <c r="A1345" t="s">
        <v>108</v>
      </c>
      <c r="B1345" s="16">
        <v>45947</v>
      </c>
      <c r="C1345">
        <v>8.1</v>
      </c>
      <c r="D1345">
        <v>1</v>
      </c>
      <c r="E1345" t="s">
        <v>6132</v>
      </c>
    </row>
    <row r="1346" spans="1:5" x14ac:dyDescent="0.35">
      <c r="A1346" t="s">
        <v>108</v>
      </c>
      <c r="B1346" s="16">
        <v>45950</v>
      </c>
      <c r="C1346">
        <v>7.1</v>
      </c>
      <c r="D1346">
        <v>1</v>
      </c>
      <c r="E1346" t="s">
        <v>6132</v>
      </c>
    </row>
    <row r="1347" spans="1:5" x14ac:dyDescent="0.35">
      <c r="A1347" t="s">
        <v>108</v>
      </c>
      <c r="B1347" s="16">
        <v>45952</v>
      </c>
      <c r="C1347">
        <v>6.8</v>
      </c>
      <c r="D1347">
        <v>5</v>
      </c>
      <c r="E1347" t="s">
        <v>6132</v>
      </c>
    </row>
    <row r="1348" spans="1:5" x14ac:dyDescent="0.35">
      <c r="A1348" t="s">
        <v>108</v>
      </c>
      <c r="B1348" s="16">
        <v>45953</v>
      </c>
      <c r="C1348">
        <v>6.4</v>
      </c>
      <c r="D1348">
        <v>0</v>
      </c>
      <c r="E1348" t="s">
        <v>6132</v>
      </c>
    </row>
    <row r="1349" spans="1:5" x14ac:dyDescent="0.35">
      <c r="A1349" t="s">
        <v>108</v>
      </c>
      <c r="B1349" s="16">
        <v>45954</v>
      </c>
      <c r="C1349">
        <v>4.5</v>
      </c>
      <c r="D1349">
        <v>3</v>
      </c>
      <c r="E1349" t="s">
        <v>6132</v>
      </c>
    </row>
    <row r="1350" spans="1:5" x14ac:dyDescent="0.35">
      <c r="A1350" t="s">
        <v>108</v>
      </c>
      <c r="B1350" s="16">
        <v>45958</v>
      </c>
      <c r="C1350">
        <v>7.7</v>
      </c>
      <c r="D1350">
        <v>0</v>
      </c>
      <c r="E1350" t="s">
        <v>6133</v>
      </c>
    </row>
    <row r="1351" spans="1:5" x14ac:dyDescent="0.35">
      <c r="A1351" t="s">
        <v>108</v>
      </c>
      <c r="B1351" s="16">
        <v>45959</v>
      </c>
      <c r="C1351">
        <v>5.4</v>
      </c>
      <c r="D1351">
        <v>0</v>
      </c>
      <c r="E1351" t="s">
        <v>6132</v>
      </c>
    </row>
    <row r="1352" spans="1:5" x14ac:dyDescent="0.35">
      <c r="A1352" t="s">
        <v>108</v>
      </c>
      <c r="B1352" s="16">
        <v>45960</v>
      </c>
      <c r="C1352">
        <v>5.8</v>
      </c>
      <c r="D1352">
        <v>7</v>
      </c>
      <c r="E1352" t="s">
        <v>6132</v>
      </c>
    </row>
    <row r="1353" spans="1:5" x14ac:dyDescent="0.35">
      <c r="A1353" t="s">
        <v>108</v>
      </c>
      <c r="B1353" s="16">
        <v>45961</v>
      </c>
      <c r="C1353">
        <v>6.7</v>
      </c>
      <c r="D1353">
        <v>1</v>
      </c>
      <c r="E1353" t="s">
        <v>6132</v>
      </c>
    </row>
    <row r="1354" spans="1:5" x14ac:dyDescent="0.35">
      <c r="A1354" t="s">
        <v>108</v>
      </c>
      <c r="B1354" s="16">
        <v>45964</v>
      </c>
      <c r="C1354">
        <v>4.3</v>
      </c>
      <c r="D1354">
        <v>0</v>
      </c>
      <c r="E1354" t="s">
        <v>6132</v>
      </c>
    </row>
    <row r="1355" spans="1:5" x14ac:dyDescent="0.35">
      <c r="A1355" t="s">
        <v>108</v>
      </c>
      <c r="B1355" s="16">
        <v>45966</v>
      </c>
      <c r="C1355">
        <v>4.5999999999999996</v>
      </c>
      <c r="D1355">
        <v>1</v>
      </c>
      <c r="E1355" t="s">
        <v>6132</v>
      </c>
    </row>
    <row r="1356" spans="1:5" x14ac:dyDescent="0.35">
      <c r="A1356" t="s">
        <v>108</v>
      </c>
      <c r="B1356" s="16">
        <v>45967</v>
      </c>
      <c r="C1356">
        <v>7.5</v>
      </c>
      <c r="D1356">
        <v>0</v>
      </c>
      <c r="E1356" t="s">
        <v>6134</v>
      </c>
    </row>
    <row r="1357" spans="1:5" x14ac:dyDescent="0.35">
      <c r="A1357" t="s">
        <v>108</v>
      </c>
      <c r="B1357" s="16">
        <v>45968</v>
      </c>
      <c r="C1357">
        <v>7.1</v>
      </c>
      <c r="D1357">
        <v>0</v>
      </c>
      <c r="E1357" t="s">
        <v>6132</v>
      </c>
    </row>
    <row r="1358" spans="1:5" x14ac:dyDescent="0.35">
      <c r="A1358" t="s">
        <v>108</v>
      </c>
      <c r="B1358" s="16">
        <v>45971</v>
      </c>
      <c r="C1358">
        <v>6.8</v>
      </c>
      <c r="D1358">
        <v>0</v>
      </c>
      <c r="E1358" t="s">
        <v>6132</v>
      </c>
    </row>
    <row r="1359" spans="1:5" x14ac:dyDescent="0.35">
      <c r="A1359" t="s">
        <v>108</v>
      </c>
      <c r="B1359" s="16">
        <v>45973</v>
      </c>
      <c r="C1359">
        <v>5.7</v>
      </c>
      <c r="D1359">
        <v>0</v>
      </c>
      <c r="E1359" t="s">
        <v>6132</v>
      </c>
    </row>
    <row r="1360" spans="1:5" x14ac:dyDescent="0.35">
      <c r="A1360" t="s">
        <v>108</v>
      </c>
      <c r="B1360" s="16">
        <v>45974</v>
      </c>
      <c r="C1360">
        <v>6.5</v>
      </c>
      <c r="D1360">
        <v>1</v>
      </c>
      <c r="E1360" t="s">
        <v>6132</v>
      </c>
    </row>
    <row r="1361" spans="1:5" x14ac:dyDescent="0.35">
      <c r="A1361" t="s">
        <v>108</v>
      </c>
      <c r="B1361" s="16">
        <v>45975</v>
      </c>
      <c r="C1361">
        <v>6.3</v>
      </c>
      <c r="D1361">
        <v>0</v>
      </c>
      <c r="E1361" t="s">
        <v>6132</v>
      </c>
    </row>
    <row r="1362" spans="1:5" x14ac:dyDescent="0.35">
      <c r="A1362" t="s">
        <v>108</v>
      </c>
      <c r="B1362" s="16">
        <v>45978</v>
      </c>
      <c r="C1362">
        <v>6.5</v>
      </c>
      <c r="D1362">
        <v>0</v>
      </c>
      <c r="E1362" t="s">
        <v>6132</v>
      </c>
    </row>
    <row r="1363" spans="1:5" x14ac:dyDescent="0.35">
      <c r="A1363" t="s">
        <v>108</v>
      </c>
      <c r="B1363" s="16">
        <v>45982</v>
      </c>
      <c r="C1363">
        <v>4.2</v>
      </c>
      <c r="D1363">
        <v>1</v>
      </c>
      <c r="E1363" t="s">
        <v>6132</v>
      </c>
    </row>
    <row r="1364" spans="1:5" x14ac:dyDescent="0.35">
      <c r="A1364" t="s">
        <v>108</v>
      </c>
      <c r="B1364" s="16">
        <v>45987</v>
      </c>
      <c r="C1364">
        <v>6.4</v>
      </c>
      <c r="D1364">
        <v>0</v>
      </c>
      <c r="E1364" t="s">
        <v>6134</v>
      </c>
    </row>
    <row r="1365" spans="1:5" x14ac:dyDescent="0.35">
      <c r="A1365" t="s">
        <v>108</v>
      </c>
      <c r="B1365" s="16">
        <v>45989</v>
      </c>
      <c r="D1365">
        <v>3</v>
      </c>
      <c r="E1365" t="s">
        <v>6132</v>
      </c>
    </row>
    <row r="1366" spans="1:5" x14ac:dyDescent="0.35">
      <c r="A1366" t="s">
        <v>108</v>
      </c>
      <c r="B1366" s="16">
        <v>45992</v>
      </c>
      <c r="C1366">
        <v>6.1</v>
      </c>
      <c r="D1366">
        <v>1</v>
      </c>
      <c r="E1366" t="s">
        <v>6132</v>
      </c>
    </row>
    <row r="1367" spans="1:5" x14ac:dyDescent="0.35">
      <c r="A1367" t="s">
        <v>108</v>
      </c>
      <c r="B1367" s="16">
        <v>45993</v>
      </c>
      <c r="C1367">
        <v>7.4</v>
      </c>
      <c r="D1367">
        <v>1</v>
      </c>
      <c r="E1367" t="s">
        <v>6132</v>
      </c>
    </row>
    <row r="1368" spans="1:5" x14ac:dyDescent="0.35">
      <c r="A1368" t="s">
        <v>108</v>
      </c>
      <c r="B1368" s="16">
        <v>45994</v>
      </c>
      <c r="C1368">
        <v>4.3</v>
      </c>
      <c r="D1368">
        <v>0</v>
      </c>
      <c r="E1368" t="s">
        <v>6132</v>
      </c>
    </row>
    <row r="1369" spans="1:5" x14ac:dyDescent="0.35">
      <c r="A1369" t="s">
        <v>108</v>
      </c>
      <c r="B1369" s="16">
        <v>46000</v>
      </c>
      <c r="C1369">
        <v>7.2</v>
      </c>
      <c r="D1369">
        <v>0</v>
      </c>
      <c r="E1369" t="s">
        <v>6132</v>
      </c>
    </row>
    <row r="1370" spans="1:5" x14ac:dyDescent="0.35">
      <c r="A1370" t="s">
        <v>108</v>
      </c>
      <c r="B1370" s="16">
        <v>46003</v>
      </c>
      <c r="C1370">
        <v>4.4000000000000004</v>
      </c>
      <c r="D1370">
        <v>0</v>
      </c>
      <c r="E1370" t="s">
        <v>6133</v>
      </c>
    </row>
    <row r="1371" spans="1:5" x14ac:dyDescent="0.35">
      <c r="A1371" t="s">
        <v>108</v>
      </c>
      <c r="B1371" s="16">
        <v>46006</v>
      </c>
      <c r="C1371">
        <v>8.1999999999999993</v>
      </c>
      <c r="D1371">
        <v>2</v>
      </c>
      <c r="E1371" t="s">
        <v>6132</v>
      </c>
    </row>
    <row r="1372" spans="1:5" x14ac:dyDescent="0.35">
      <c r="A1372" t="s">
        <v>108</v>
      </c>
      <c r="B1372" s="16">
        <v>46007</v>
      </c>
      <c r="C1372">
        <v>7.5</v>
      </c>
      <c r="D1372">
        <v>1</v>
      </c>
      <c r="E1372" t="s">
        <v>6132</v>
      </c>
    </row>
    <row r="1373" spans="1:5" x14ac:dyDescent="0.35">
      <c r="A1373" t="s">
        <v>108</v>
      </c>
      <c r="B1373" s="16">
        <v>46008</v>
      </c>
      <c r="C1373">
        <v>8.9</v>
      </c>
      <c r="D1373">
        <v>0</v>
      </c>
      <c r="E1373" t="s">
        <v>6132</v>
      </c>
    </row>
    <row r="1374" spans="1:5" x14ac:dyDescent="0.35">
      <c r="A1374" t="s">
        <v>108</v>
      </c>
      <c r="B1374" s="16">
        <v>46010</v>
      </c>
      <c r="C1374">
        <v>8.1</v>
      </c>
      <c r="D1374">
        <v>0</v>
      </c>
      <c r="E1374" t="s">
        <v>6132</v>
      </c>
    </row>
    <row r="1375" spans="1:5" x14ac:dyDescent="0.35">
      <c r="A1375" t="s">
        <v>108</v>
      </c>
      <c r="B1375" s="16">
        <v>46014</v>
      </c>
      <c r="C1375">
        <v>6.2</v>
      </c>
      <c r="D1375">
        <v>1</v>
      </c>
      <c r="E1375" t="s">
        <v>6132</v>
      </c>
    </row>
    <row r="1376" spans="1:5" x14ac:dyDescent="0.35">
      <c r="A1376" t="s">
        <v>108</v>
      </c>
      <c r="B1376" s="16">
        <v>46015</v>
      </c>
      <c r="C1376">
        <v>4.2</v>
      </c>
      <c r="D1376">
        <v>0</v>
      </c>
      <c r="E1376" t="s">
        <v>6132</v>
      </c>
    </row>
    <row r="1377" spans="1:5" x14ac:dyDescent="0.35">
      <c r="A1377" t="s">
        <v>108</v>
      </c>
      <c r="B1377" s="16">
        <v>46016</v>
      </c>
      <c r="C1377">
        <v>6.4</v>
      </c>
      <c r="D1377">
        <v>0</v>
      </c>
      <c r="E1377" t="s">
        <v>6132</v>
      </c>
    </row>
    <row r="1378" spans="1:5" x14ac:dyDescent="0.35">
      <c r="A1378" t="s">
        <v>108</v>
      </c>
      <c r="B1378" s="16">
        <v>46017</v>
      </c>
      <c r="C1378">
        <v>8.1</v>
      </c>
      <c r="D1378">
        <v>0</v>
      </c>
      <c r="E1378" t="s">
        <v>6132</v>
      </c>
    </row>
    <row r="1379" spans="1:5" x14ac:dyDescent="0.35">
      <c r="A1379" t="s">
        <v>108</v>
      </c>
      <c r="B1379" s="16">
        <v>46022</v>
      </c>
      <c r="C1379">
        <v>7.3</v>
      </c>
      <c r="D1379">
        <v>1</v>
      </c>
      <c r="E1379" t="s">
        <v>6132</v>
      </c>
    </row>
    <row r="1380" spans="1:5" x14ac:dyDescent="0.35">
      <c r="A1380" t="s">
        <v>126</v>
      </c>
      <c r="B1380" s="16">
        <v>45659</v>
      </c>
      <c r="C1380">
        <v>6.9</v>
      </c>
      <c r="D1380">
        <v>1</v>
      </c>
      <c r="E1380" t="s">
        <v>6132</v>
      </c>
    </row>
    <row r="1381" spans="1:5" x14ac:dyDescent="0.35">
      <c r="A1381" t="s">
        <v>126</v>
      </c>
      <c r="B1381" s="16">
        <v>45663</v>
      </c>
      <c r="C1381">
        <v>8.6</v>
      </c>
      <c r="D1381">
        <v>3</v>
      </c>
      <c r="E1381" t="s">
        <v>6132</v>
      </c>
    </row>
    <row r="1382" spans="1:5" x14ac:dyDescent="0.35">
      <c r="A1382" t="s">
        <v>126</v>
      </c>
      <c r="B1382" s="16">
        <v>45666</v>
      </c>
      <c r="C1382">
        <v>8.6</v>
      </c>
      <c r="D1382">
        <v>0</v>
      </c>
      <c r="E1382" t="s">
        <v>6132</v>
      </c>
    </row>
    <row r="1383" spans="1:5" x14ac:dyDescent="0.35">
      <c r="A1383" t="s">
        <v>126</v>
      </c>
      <c r="B1383" s="16">
        <v>45670</v>
      </c>
      <c r="C1383">
        <v>8.3000000000000007</v>
      </c>
      <c r="D1383">
        <v>1</v>
      </c>
      <c r="E1383" t="s">
        <v>6132</v>
      </c>
    </row>
    <row r="1384" spans="1:5" x14ac:dyDescent="0.35">
      <c r="A1384" t="s">
        <v>126</v>
      </c>
      <c r="B1384" s="16">
        <v>45671</v>
      </c>
      <c r="C1384">
        <v>5.6</v>
      </c>
      <c r="D1384">
        <v>0</v>
      </c>
      <c r="E1384" t="s">
        <v>6132</v>
      </c>
    </row>
    <row r="1385" spans="1:5" x14ac:dyDescent="0.35">
      <c r="A1385" t="s">
        <v>126</v>
      </c>
      <c r="B1385" s="16">
        <v>45672</v>
      </c>
      <c r="C1385">
        <v>7.4</v>
      </c>
      <c r="D1385">
        <v>3</v>
      </c>
      <c r="E1385" t="s">
        <v>6132</v>
      </c>
    </row>
    <row r="1386" spans="1:5" x14ac:dyDescent="0.35">
      <c r="A1386" t="s">
        <v>126</v>
      </c>
      <c r="B1386" s="16">
        <v>45685</v>
      </c>
      <c r="C1386">
        <v>7</v>
      </c>
      <c r="D1386">
        <v>1</v>
      </c>
      <c r="E1386" t="s">
        <v>6132</v>
      </c>
    </row>
    <row r="1387" spans="1:5" x14ac:dyDescent="0.35">
      <c r="A1387" t="s">
        <v>126</v>
      </c>
      <c r="B1387" s="16">
        <v>45687</v>
      </c>
      <c r="C1387">
        <v>8.4</v>
      </c>
      <c r="D1387">
        <v>0</v>
      </c>
      <c r="E1387" t="s">
        <v>6132</v>
      </c>
    </row>
    <row r="1388" spans="1:5" x14ac:dyDescent="0.35">
      <c r="A1388" t="s">
        <v>126</v>
      </c>
      <c r="B1388" s="16">
        <v>45692</v>
      </c>
      <c r="C1388">
        <v>4.0999999999999996</v>
      </c>
      <c r="D1388">
        <v>1</v>
      </c>
      <c r="E1388" t="s">
        <v>6132</v>
      </c>
    </row>
    <row r="1389" spans="1:5" x14ac:dyDescent="0.35">
      <c r="A1389" t="s">
        <v>126</v>
      </c>
      <c r="B1389" s="16">
        <v>45694</v>
      </c>
      <c r="C1389">
        <v>4.8</v>
      </c>
      <c r="D1389">
        <v>1</v>
      </c>
      <c r="E1389" t="s">
        <v>6132</v>
      </c>
    </row>
    <row r="1390" spans="1:5" x14ac:dyDescent="0.35">
      <c r="A1390" t="s">
        <v>126</v>
      </c>
      <c r="B1390" s="16">
        <v>45695</v>
      </c>
      <c r="C1390">
        <v>8.1</v>
      </c>
      <c r="D1390">
        <v>0</v>
      </c>
      <c r="E1390" t="s">
        <v>6132</v>
      </c>
    </row>
    <row r="1391" spans="1:5" x14ac:dyDescent="0.35">
      <c r="A1391" t="s">
        <v>126</v>
      </c>
      <c r="B1391" s="16">
        <v>45702</v>
      </c>
      <c r="C1391">
        <v>5.5</v>
      </c>
      <c r="D1391">
        <v>0</v>
      </c>
      <c r="E1391" t="s">
        <v>6134</v>
      </c>
    </row>
    <row r="1392" spans="1:5" x14ac:dyDescent="0.35">
      <c r="A1392" t="s">
        <v>126</v>
      </c>
      <c r="B1392" s="16">
        <v>45705</v>
      </c>
      <c r="C1392">
        <v>9</v>
      </c>
      <c r="D1392">
        <v>1</v>
      </c>
      <c r="E1392" t="s">
        <v>6132</v>
      </c>
    </row>
    <row r="1393" spans="1:5" x14ac:dyDescent="0.35">
      <c r="A1393" t="s">
        <v>126</v>
      </c>
      <c r="B1393" s="16">
        <v>45706</v>
      </c>
      <c r="C1393">
        <v>6.8</v>
      </c>
      <c r="D1393">
        <v>0</v>
      </c>
      <c r="E1393" t="s">
        <v>6132</v>
      </c>
    </row>
    <row r="1394" spans="1:5" x14ac:dyDescent="0.35">
      <c r="A1394" t="s">
        <v>126</v>
      </c>
      <c r="B1394" s="16">
        <v>45707</v>
      </c>
      <c r="C1394">
        <v>7.1</v>
      </c>
      <c r="D1394">
        <v>1</v>
      </c>
      <c r="E1394" t="s">
        <v>6132</v>
      </c>
    </row>
    <row r="1395" spans="1:5" x14ac:dyDescent="0.35">
      <c r="A1395" t="s">
        <v>126</v>
      </c>
      <c r="B1395" s="16">
        <v>45709</v>
      </c>
      <c r="C1395">
        <v>5</v>
      </c>
      <c r="D1395">
        <v>1</v>
      </c>
      <c r="E1395" t="s">
        <v>6132</v>
      </c>
    </row>
    <row r="1396" spans="1:5" x14ac:dyDescent="0.35">
      <c r="A1396" t="s">
        <v>126</v>
      </c>
      <c r="B1396" s="16">
        <v>45715</v>
      </c>
      <c r="C1396">
        <v>4.0999999999999996</v>
      </c>
      <c r="D1396">
        <v>2</v>
      </c>
      <c r="E1396" t="s">
        <v>6132</v>
      </c>
    </row>
    <row r="1397" spans="1:5" x14ac:dyDescent="0.35">
      <c r="A1397" t="s">
        <v>126</v>
      </c>
      <c r="B1397" s="16">
        <v>45719</v>
      </c>
      <c r="C1397">
        <v>6.6</v>
      </c>
      <c r="D1397">
        <v>0</v>
      </c>
      <c r="E1397" t="s">
        <v>6132</v>
      </c>
    </row>
    <row r="1398" spans="1:5" x14ac:dyDescent="0.35">
      <c r="A1398" t="s">
        <v>126</v>
      </c>
      <c r="B1398" s="16">
        <v>45720</v>
      </c>
      <c r="C1398">
        <v>6.6</v>
      </c>
      <c r="D1398">
        <v>0</v>
      </c>
      <c r="E1398" t="s">
        <v>6132</v>
      </c>
    </row>
    <row r="1399" spans="1:5" x14ac:dyDescent="0.35">
      <c r="A1399" t="s">
        <v>126</v>
      </c>
      <c r="B1399" s="16">
        <v>45721</v>
      </c>
      <c r="C1399">
        <v>7.2</v>
      </c>
      <c r="D1399">
        <v>2</v>
      </c>
      <c r="E1399" t="s">
        <v>6132</v>
      </c>
    </row>
    <row r="1400" spans="1:5" x14ac:dyDescent="0.35">
      <c r="A1400" t="s">
        <v>126</v>
      </c>
      <c r="B1400" s="16">
        <v>45728</v>
      </c>
      <c r="C1400">
        <v>4.2</v>
      </c>
      <c r="D1400">
        <v>0</v>
      </c>
      <c r="E1400" t="s">
        <v>6132</v>
      </c>
    </row>
    <row r="1401" spans="1:5" x14ac:dyDescent="0.35">
      <c r="A1401" t="s">
        <v>126</v>
      </c>
      <c r="B1401" s="16">
        <v>45730</v>
      </c>
      <c r="C1401">
        <v>7.4</v>
      </c>
      <c r="D1401">
        <v>0</v>
      </c>
      <c r="E1401" t="s">
        <v>6132</v>
      </c>
    </row>
    <row r="1402" spans="1:5" x14ac:dyDescent="0.35">
      <c r="A1402" t="s">
        <v>126</v>
      </c>
      <c r="B1402" s="16">
        <v>45733</v>
      </c>
      <c r="C1402">
        <v>7.4</v>
      </c>
      <c r="D1402">
        <v>0</v>
      </c>
      <c r="E1402" t="s">
        <v>6132</v>
      </c>
    </row>
    <row r="1403" spans="1:5" x14ac:dyDescent="0.35">
      <c r="A1403" t="s">
        <v>126</v>
      </c>
      <c r="B1403" s="16">
        <v>45734</v>
      </c>
      <c r="C1403">
        <v>8.6</v>
      </c>
      <c r="D1403">
        <v>0</v>
      </c>
      <c r="E1403" t="s">
        <v>6134</v>
      </c>
    </row>
    <row r="1404" spans="1:5" x14ac:dyDescent="0.35">
      <c r="A1404" t="s">
        <v>126</v>
      </c>
      <c r="B1404" s="16">
        <v>45735</v>
      </c>
      <c r="C1404">
        <v>6.3</v>
      </c>
      <c r="D1404">
        <v>3</v>
      </c>
      <c r="E1404" t="s">
        <v>6132</v>
      </c>
    </row>
    <row r="1405" spans="1:5" x14ac:dyDescent="0.35">
      <c r="A1405" t="s">
        <v>126</v>
      </c>
      <c r="B1405" s="16">
        <v>45740</v>
      </c>
      <c r="D1405">
        <v>3</v>
      </c>
      <c r="E1405" t="s">
        <v>6132</v>
      </c>
    </row>
    <row r="1406" spans="1:5" x14ac:dyDescent="0.35">
      <c r="A1406" t="s">
        <v>126</v>
      </c>
      <c r="B1406" s="16">
        <v>45741</v>
      </c>
      <c r="C1406">
        <v>7.9</v>
      </c>
      <c r="D1406">
        <v>0</v>
      </c>
      <c r="E1406" t="s">
        <v>6134</v>
      </c>
    </row>
    <row r="1407" spans="1:5" x14ac:dyDescent="0.35">
      <c r="A1407" t="s">
        <v>126</v>
      </c>
      <c r="B1407" s="16">
        <v>45742</v>
      </c>
      <c r="C1407">
        <v>8.3000000000000007</v>
      </c>
      <c r="D1407">
        <v>1</v>
      </c>
      <c r="E1407" t="s">
        <v>6132</v>
      </c>
    </row>
    <row r="1408" spans="1:5" x14ac:dyDescent="0.35">
      <c r="A1408" t="s">
        <v>126</v>
      </c>
      <c r="B1408" s="16">
        <v>45744</v>
      </c>
      <c r="C1408">
        <v>4.5</v>
      </c>
      <c r="D1408">
        <v>0</v>
      </c>
      <c r="E1408" t="s">
        <v>6132</v>
      </c>
    </row>
    <row r="1409" spans="1:5" x14ac:dyDescent="0.35">
      <c r="A1409" t="s">
        <v>126</v>
      </c>
      <c r="B1409" s="16">
        <v>45747</v>
      </c>
      <c r="C1409">
        <v>4.4000000000000004</v>
      </c>
      <c r="D1409">
        <v>1</v>
      </c>
      <c r="E1409" t="s">
        <v>6132</v>
      </c>
    </row>
    <row r="1410" spans="1:5" x14ac:dyDescent="0.35">
      <c r="A1410" t="s">
        <v>126</v>
      </c>
      <c r="B1410" s="16">
        <v>45749</v>
      </c>
      <c r="C1410">
        <v>8.5</v>
      </c>
      <c r="D1410">
        <v>1</v>
      </c>
      <c r="E1410" t="s">
        <v>6132</v>
      </c>
    </row>
    <row r="1411" spans="1:5" x14ac:dyDescent="0.35">
      <c r="A1411" t="s">
        <v>126</v>
      </c>
      <c r="B1411" s="16">
        <v>45750</v>
      </c>
      <c r="C1411">
        <v>5.7</v>
      </c>
      <c r="D1411">
        <v>1</v>
      </c>
      <c r="E1411" t="s">
        <v>6132</v>
      </c>
    </row>
    <row r="1412" spans="1:5" x14ac:dyDescent="0.35">
      <c r="A1412" t="s">
        <v>126</v>
      </c>
      <c r="B1412" s="16">
        <v>45755</v>
      </c>
      <c r="C1412">
        <v>6.6</v>
      </c>
      <c r="D1412">
        <v>0</v>
      </c>
      <c r="E1412" t="s">
        <v>6132</v>
      </c>
    </row>
    <row r="1413" spans="1:5" x14ac:dyDescent="0.35">
      <c r="A1413" t="s">
        <v>126</v>
      </c>
      <c r="B1413" s="16">
        <v>45756</v>
      </c>
      <c r="C1413">
        <v>5.6</v>
      </c>
      <c r="D1413">
        <v>3</v>
      </c>
      <c r="E1413" t="s">
        <v>6132</v>
      </c>
    </row>
    <row r="1414" spans="1:5" x14ac:dyDescent="0.35">
      <c r="A1414" t="s">
        <v>126</v>
      </c>
      <c r="B1414" s="16">
        <v>45758</v>
      </c>
      <c r="C1414">
        <v>4.7</v>
      </c>
      <c r="D1414">
        <v>0</v>
      </c>
      <c r="E1414" t="s">
        <v>6132</v>
      </c>
    </row>
    <row r="1415" spans="1:5" x14ac:dyDescent="0.35">
      <c r="A1415" t="s">
        <v>126</v>
      </c>
      <c r="B1415" s="16">
        <v>45763</v>
      </c>
      <c r="C1415">
        <v>4.8</v>
      </c>
      <c r="D1415">
        <v>1</v>
      </c>
      <c r="E1415" t="s">
        <v>6132</v>
      </c>
    </row>
    <row r="1416" spans="1:5" x14ac:dyDescent="0.35">
      <c r="A1416" t="s">
        <v>126</v>
      </c>
      <c r="B1416" s="16">
        <v>45765</v>
      </c>
      <c r="C1416">
        <v>7.9</v>
      </c>
      <c r="D1416">
        <v>0</v>
      </c>
      <c r="E1416" t="s">
        <v>6132</v>
      </c>
    </row>
    <row r="1417" spans="1:5" x14ac:dyDescent="0.35">
      <c r="A1417" t="s">
        <v>126</v>
      </c>
      <c r="B1417" s="16">
        <v>45771</v>
      </c>
      <c r="C1417">
        <v>5.2</v>
      </c>
      <c r="D1417">
        <v>0</v>
      </c>
      <c r="E1417" t="s">
        <v>6132</v>
      </c>
    </row>
    <row r="1418" spans="1:5" x14ac:dyDescent="0.35">
      <c r="A1418" t="s">
        <v>126</v>
      </c>
      <c r="B1418" s="16">
        <v>45777</v>
      </c>
      <c r="C1418">
        <v>7.8</v>
      </c>
      <c r="D1418">
        <v>5</v>
      </c>
      <c r="E1418" t="s">
        <v>6132</v>
      </c>
    </row>
    <row r="1419" spans="1:5" x14ac:dyDescent="0.35">
      <c r="A1419" t="s">
        <v>126</v>
      </c>
      <c r="B1419" s="16">
        <v>45778</v>
      </c>
      <c r="C1419">
        <v>6.3</v>
      </c>
      <c r="D1419">
        <v>2</v>
      </c>
      <c r="E1419" t="s">
        <v>6132</v>
      </c>
    </row>
    <row r="1420" spans="1:5" x14ac:dyDescent="0.35">
      <c r="A1420" t="s">
        <v>126</v>
      </c>
      <c r="B1420" s="16">
        <v>45779</v>
      </c>
      <c r="C1420">
        <v>4.5</v>
      </c>
      <c r="D1420">
        <v>3</v>
      </c>
      <c r="E1420" t="s">
        <v>6132</v>
      </c>
    </row>
    <row r="1421" spans="1:5" x14ac:dyDescent="0.35">
      <c r="A1421" t="s">
        <v>126</v>
      </c>
      <c r="B1421" s="16">
        <v>45782</v>
      </c>
      <c r="C1421">
        <v>6</v>
      </c>
      <c r="D1421">
        <v>0</v>
      </c>
      <c r="E1421" t="s">
        <v>6132</v>
      </c>
    </row>
    <row r="1422" spans="1:5" x14ac:dyDescent="0.35">
      <c r="A1422" t="s">
        <v>126</v>
      </c>
      <c r="B1422" s="16">
        <v>45783</v>
      </c>
      <c r="C1422">
        <v>7.8</v>
      </c>
      <c r="D1422">
        <v>0</v>
      </c>
      <c r="E1422" t="s">
        <v>6132</v>
      </c>
    </row>
    <row r="1423" spans="1:5" x14ac:dyDescent="0.35">
      <c r="A1423" t="s">
        <v>126</v>
      </c>
      <c r="B1423" s="16">
        <v>45784</v>
      </c>
      <c r="C1423">
        <v>8.6999999999999993</v>
      </c>
      <c r="D1423">
        <v>1</v>
      </c>
      <c r="E1423" t="s">
        <v>6132</v>
      </c>
    </row>
    <row r="1424" spans="1:5" x14ac:dyDescent="0.35">
      <c r="A1424" t="s">
        <v>126</v>
      </c>
      <c r="B1424" s="16">
        <v>45785</v>
      </c>
      <c r="C1424">
        <v>5.3</v>
      </c>
      <c r="D1424">
        <v>1</v>
      </c>
      <c r="E1424" t="s">
        <v>6132</v>
      </c>
    </row>
    <row r="1425" spans="1:5" x14ac:dyDescent="0.35">
      <c r="A1425" t="s">
        <v>126</v>
      </c>
      <c r="B1425" s="16">
        <v>45786</v>
      </c>
      <c r="C1425">
        <v>6.3</v>
      </c>
      <c r="D1425">
        <v>0</v>
      </c>
      <c r="E1425" t="s">
        <v>6132</v>
      </c>
    </row>
    <row r="1426" spans="1:5" x14ac:dyDescent="0.35">
      <c r="A1426" t="s">
        <v>126</v>
      </c>
      <c r="B1426" s="16">
        <v>45791</v>
      </c>
      <c r="C1426">
        <v>8.5</v>
      </c>
      <c r="D1426">
        <v>0</v>
      </c>
      <c r="E1426" t="s">
        <v>6132</v>
      </c>
    </row>
    <row r="1427" spans="1:5" x14ac:dyDescent="0.35">
      <c r="A1427" t="s">
        <v>126</v>
      </c>
      <c r="B1427" s="16">
        <v>45793</v>
      </c>
      <c r="D1427">
        <v>3</v>
      </c>
      <c r="E1427" t="s">
        <v>6132</v>
      </c>
    </row>
    <row r="1428" spans="1:5" x14ac:dyDescent="0.35">
      <c r="A1428" t="s">
        <v>126</v>
      </c>
      <c r="B1428" s="16">
        <v>45799</v>
      </c>
      <c r="C1428">
        <v>8.3000000000000007</v>
      </c>
      <c r="D1428">
        <v>1</v>
      </c>
      <c r="E1428" t="s">
        <v>6132</v>
      </c>
    </row>
    <row r="1429" spans="1:5" x14ac:dyDescent="0.35">
      <c r="A1429" t="s">
        <v>126</v>
      </c>
      <c r="B1429" s="16">
        <v>45800</v>
      </c>
      <c r="C1429">
        <v>5.2</v>
      </c>
      <c r="D1429">
        <v>0</v>
      </c>
      <c r="E1429" t="s">
        <v>6132</v>
      </c>
    </row>
    <row r="1430" spans="1:5" x14ac:dyDescent="0.35">
      <c r="A1430" t="s">
        <v>126</v>
      </c>
      <c r="B1430" s="16">
        <v>45806</v>
      </c>
      <c r="C1430">
        <v>5.2</v>
      </c>
      <c r="D1430">
        <v>0</v>
      </c>
      <c r="E1430" t="s">
        <v>6132</v>
      </c>
    </row>
    <row r="1431" spans="1:5" x14ac:dyDescent="0.35">
      <c r="A1431" t="s">
        <v>126</v>
      </c>
      <c r="B1431" s="16">
        <v>45807</v>
      </c>
      <c r="C1431">
        <v>7.7</v>
      </c>
      <c r="D1431">
        <v>0</v>
      </c>
      <c r="E1431" t="s">
        <v>6132</v>
      </c>
    </row>
    <row r="1432" spans="1:5" x14ac:dyDescent="0.35">
      <c r="A1432" t="s">
        <v>126</v>
      </c>
      <c r="B1432" s="16">
        <v>45813</v>
      </c>
      <c r="C1432">
        <v>7.5</v>
      </c>
      <c r="D1432">
        <v>1</v>
      </c>
      <c r="E1432" t="s">
        <v>6132</v>
      </c>
    </row>
    <row r="1433" spans="1:5" x14ac:dyDescent="0.35">
      <c r="A1433" t="s">
        <v>126</v>
      </c>
      <c r="B1433" s="16">
        <v>45819</v>
      </c>
      <c r="C1433">
        <v>8.1</v>
      </c>
      <c r="D1433">
        <v>0</v>
      </c>
      <c r="E1433" t="s">
        <v>6132</v>
      </c>
    </row>
    <row r="1434" spans="1:5" x14ac:dyDescent="0.35">
      <c r="A1434" t="s">
        <v>126</v>
      </c>
      <c r="B1434" s="16">
        <v>45827</v>
      </c>
      <c r="C1434">
        <v>8.4</v>
      </c>
      <c r="D1434">
        <v>0</v>
      </c>
      <c r="E1434" t="s">
        <v>6132</v>
      </c>
    </row>
    <row r="1435" spans="1:5" x14ac:dyDescent="0.35">
      <c r="A1435" t="s">
        <v>126</v>
      </c>
      <c r="B1435" s="16">
        <v>45832</v>
      </c>
      <c r="C1435">
        <v>4.2</v>
      </c>
      <c r="D1435">
        <v>0</v>
      </c>
      <c r="E1435" t="s">
        <v>6132</v>
      </c>
    </row>
    <row r="1436" spans="1:5" x14ac:dyDescent="0.35">
      <c r="A1436" t="s">
        <v>126</v>
      </c>
      <c r="B1436" s="16">
        <v>45833</v>
      </c>
      <c r="C1436">
        <v>7.5</v>
      </c>
      <c r="D1436">
        <v>4</v>
      </c>
      <c r="E1436" t="s">
        <v>6132</v>
      </c>
    </row>
    <row r="1437" spans="1:5" x14ac:dyDescent="0.35">
      <c r="A1437" t="s">
        <v>126</v>
      </c>
      <c r="B1437" s="16">
        <v>45834</v>
      </c>
      <c r="C1437">
        <v>7.1</v>
      </c>
      <c r="D1437">
        <v>0</v>
      </c>
      <c r="E1437" t="s">
        <v>6132</v>
      </c>
    </row>
    <row r="1438" spans="1:5" x14ac:dyDescent="0.35">
      <c r="A1438" t="s">
        <v>126</v>
      </c>
      <c r="B1438" s="16">
        <v>45838</v>
      </c>
      <c r="C1438">
        <v>6.5</v>
      </c>
      <c r="D1438">
        <v>0</v>
      </c>
      <c r="E1438" t="s">
        <v>6132</v>
      </c>
    </row>
    <row r="1439" spans="1:5" x14ac:dyDescent="0.35">
      <c r="A1439" t="s">
        <v>126</v>
      </c>
      <c r="B1439" s="16">
        <v>45840</v>
      </c>
      <c r="C1439">
        <v>5.7</v>
      </c>
      <c r="D1439">
        <v>0</v>
      </c>
      <c r="E1439" t="s">
        <v>6132</v>
      </c>
    </row>
    <row r="1440" spans="1:5" x14ac:dyDescent="0.35">
      <c r="A1440" t="s">
        <v>126</v>
      </c>
      <c r="B1440" s="16">
        <v>45841</v>
      </c>
      <c r="C1440">
        <v>8.4</v>
      </c>
      <c r="D1440">
        <v>1</v>
      </c>
      <c r="E1440" t="s">
        <v>6132</v>
      </c>
    </row>
    <row r="1441" spans="1:5" x14ac:dyDescent="0.35">
      <c r="A1441" t="s">
        <v>126</v>
      </c>
      <c r="B1441" s="16">
        <v>45842</v>
      </c>
      <c r="C1441">
        <v>6.8</v>
      </c>
      <c r="D1441">
        <v>0</v>
      </c>
      <c r="E1441" t="s">
        <v>6132</v>
      </c>
    </row>
    <row r="1442" spans="1:5" x14ac:dyDescent="0.35">
      <c r="A1442" t="s">
        <v>126</v>
      </c>
      <c r="B1442" s="16">
        <v>45846</v>
      </c>
      <c r="D1442">
        <v>0</v>
      </c>
      <c r="E1442" t="s">
        <v>6133</v>
      </c>
    </row>
    <row r="1443" spans="1:5" x14ac:dyDescent="0.35">
      <c r="A1443" t="s">
        <v>126</v>
      </c>
      <c r="B1443" s="16">
        <v>45849</v>
      </c>
      <c r="C1443">
        <v>5.8</v>
      </c>
      <c r="D1443">
        <v>0</v>
      </c>
      <c r="E1443" t="s">
        <v>6132</v>
      </c>
    </row>
    <row r="1444" spans="1:5" x14ac:dyDescent="0.35">
      <c r="A1444" t="s">
        <v>126</v>
      </c>
      <c r="B1444" s="16">
        <v>45852</v>
      </c>
      <c r="D1444">
        <v>1</v>
      </c>
      <c r="E1444" t="s">
        <v>6132</v>
      </c>
    </row>
    <row r="1445" spans="1:5" x14ac:dyDescent="0.35">
      <c r="A1445" t="s">
        <v>126</v>
      </c>
      <c r="B1445" s="16">
        <v>45853</v>
      </c>
      <c r="C1445">
        <v>8.1</v>
      </c>
      <c r="D1445">
        <v>0</v>
      </c>
      <c r="E1445" t="s">
        <v>6134</v>
      </c>
    </row>
    <row r="1446" spans="1:5" x14ac:dyDescent="0.35">
      <c r="A1446" t="s">
        <v>126</v>
      </c>
      <c r="B1446" s="16">
        <v>45854</v>
      </c>
      <c r="C1446">
        <v>8.1</v>
      </c>
      <c r="D1446">
        <v>2</v>
      </c>
      <c r="E1446" t="s">
        <v>6132</v>
      </c>
    </row>
    <row r="1447" spans="1:5" x14ac:dyDescent="0.35">
      <c r="A1447" t="s">
        <v>126</v>
      </c>
      <c r="B1447" s="16">
        <v>45856</v>
      </c>
      <c r="C1447">
        <v>7.8</v>
      </c>
      <c r="D1447">
        <v>2</v>
      </c>
      <c r="E1447" t="s">
        <v>6132</v>
      </c>
    </row>
    <row r="1448" spans="1:5" x14ac:dyDescent="0.35">
      <c r="A1448" t="s">
        <v>126</v>
      </c>
      <c r="B1448" s="16">
        <v>45859</v>
      </c>
      <c r="D1448">
        <v>0</v>
      </c>
      <c r="E1448" t="s">
        <v>6134</v>
      </c>
    </row>
    <row r="1449" spans="1:5" x14ac:dyDescent="0.35">
      <c r="A1449" t="s">
        <v>126</v>
      </c>
      <c r="B1449" s="16">
        <v>45863</v>
      </c>
      <c r="C1449">
        <v>7</v>
      </c>
      <c r="D1449">
        <v>0</v>
      </c>
      <c r="E1449" t="s">
        <v>6132</v>
      </c>
    </row>
    <row r="1450" spans="1:5" x14ac:dyDescent="0.35">
      <c r="A1450" t="s">
        <v>126</v>
      </c>
      <c r="B1450" s="16">
        <v>45868</v>
      </c>
      <c r="C1450">
        <v>7.4</v>
      </c>
      <c r="D1450">
        <v>0</v>
      </c>
      <c r="E1450" t="s">
        <v>6132</v>
      </c>
    </row>
    <row r="1451" spans="1:5" x14ac:dyDescent="0.35">
      <c r="A1451" t="s">
        <v>126</v>
      </c>
      <c r="B1451" s="16">
        <v>45870</v>
      </c>
      <c r="C1451">
        <v>7.2</v>
      </c>
      <c r="D1451">
        <v>2</v>
      </c>
      <c r="E1451" t="s">
        <v>6132</v>
      </c>
    </row>
    <row r="1452" spans="1:5" x14ac:dyDescent="0.35">
      <c r="A1452" t="s">
        <v>126</v>
      </c>
      <c r="B1452" s="16">
        <v>45873</v>
      </c>
      <c r="C1452">
        <v>4.3</v>
      </c>
      <c r="D1452">
        <v>0</v>
      </c>
      <c r="E1452" t="s">
        <v>6132</v>
      </c>
    </row>
    <row r="1453" spans="1:5" x14ac:dyDescent="0.35">
      <c r="A1453" t="s">
        <v>126</v>
      </c>
      <c r="B1453" s="16">
        <v>45874</v>
      </c>
      <c r="C1453">
        <v>5.4</v>
      </c>
      <c r="D1453">
        <v>0</v>
      </c>
      <c r="E1453" t="s">
        <v>6132</v>
      </c>
    </row>
    <row r="1454" spans="1:5" x14ac:dyDescent="0.35">
      <c r="A1454" t="s">
        <v>126</v>
      </c>
      <c r="B1454" s="16">
        <v>45877</v>
      </c>
      <c r="C1454">
        <v>7.1</v>
      </c>
      <c r="D1454">
        <v>0</v>
      </c>
      <c r="E1454" t="s">
        <v>6133</v>
      </c>
    </row>
    <row r="1455" spans="1:5" x14ac:dyDescent="0.35">
      <c r="A1455" t="s">
        <v>126</v>
      </c>
      <c r="B1455" s="16">
        <v>45880</v>
      </c>
      <c r="C1455">
        <v>7.3</v>
      </c>
      <c r="D1455">
        <v>0</v>
      </c>
      <c r="E1455" t="s">
        <v>6132</v>
      </c>
    </row>
    <row r="1456" spans="1:5" x14ac:dyDescent="0.35">
      <c r="A1456" t="s">
        <v>126</v>
      </c>
      <c r="B1456" s="16">
        <v>45881</v>
      </c>
      <c r="C1456">
        <v>8.3000000000000007</v>
      </c>
      <c r="D1456">
        <v>1</v>
      </c>
      <c r="E1456" t="s">
        <v>6132</v>
      </c>
    </row>
    <row r="1457" spans="1:5" x14ac:dyDescent="0.35">
      <c r="A1457" t="s">
        <v>126</v>
      </c>
      <c r="B1457" s="16">
        <v>45883</v>
      </c>
      <c r="C1457">
        <v>5.9</v>
      </c>
      <c r="D1457">
        <v>0</v>
      </c>
      <c r="E1457" t="s">
        <v>6132</v>
      </c>
    </row>
    <row r="1458" spans="1:5" x14ac:dyDescent="0.35">
      <c r="A1458" t="s">
        <v>126</v>
      </c>
      <c r="B1458" s="16">
        <v>45884</v>
      </c>
      <c r="C1458">
        <v>8.5</v>
      </c>
      <c r="D1458">
        <v>1</v>
      </c>
      <c r="E1458" t="s">
        <v>6132</v>
      </c>
    </row>
    <row r="1459" spans="1:5" x14ac:dyDescent="0.35">
      <c r="A1459" t="s">
        <v>126</v>
      </c>
      <c r="B1459" s="16">
        <v>45888</v>
      </c>
      <c r="C1459">
        <v>4.2</v>
      </c>
      <c r="D1459">
        <v>0</v>
      </c>
      <c r="E1459" t="s">
        <v>6134</v>
      </c>
    </row>
    <row r="1460" spans="1:5" x14ac:dyDescent="0.35">
      <c r="A1460" t="s">
        <v>126</v>
      </c>
      <c r="B1460" s="16">
        <v>45889</v>
      </c>
      <c r="C1460">
        <v>7.1</v>
      </c>
      <c r="D1460">
        <v>0</v>
      </c>
      <c r="E1460" t="s">
        <v>6134</v>
      </c>
    </row>
    <row r="1461" spans="1:5" x14ac:dyDescent="0.35">
      <c r="A1461" t="s">
        <v>126</v>
      </c>
      <c r="B1461" s="16">
        <v>45890</v>
      </c>
      <c r="C1461">
        <v>6.5</v>
      </c>
      <c r="D1461">
        <v>1</v>
      </c>
      <c r="E1461" t="s">
        <v>6132</v>
      </c>
    </row>
    <row r="1462" spans="1:5" x14ac:dyDescent="0.35">
      <c r="A1462" t="s">
        <v>126</v>
      </c>
      <c r="B1462" s="16">
        <v>45894</v>
      </c>
      <c r="C1462">
        <v>4.2</v>
      </c>
      <c r="D1462">
        <v>0</v>
      </c>
      <c r="E1462" t="s">
        <v>6132</v>
      </c>
    </row>
    <row r="1463" spans="1:5" x14ac:dyDescent="0.35">
      <c r="A1463" t="s">
        <v>126</v>
      </c>
      <c r="B1463" s="16">
        <v>45903</v>
      </c>
      <c r="C1463">
        <v>7.5</v>
      </c>
      <c r="D1463">
        <v>2</v>
      </c>
      <c r="E1463" t="s">
        <v>6132</v>
      </c>
    </row>
    <row r="1464" spans="1:5" x14ac:dyDescent="0.35">
      <c r="A1464" t="s">
        <v>126</v>
      </c>
      <c r="B1464" s="16">
        <v>45904</v>
      </c>
      <c r="C1464">
        <v>6.7</v>
      </c>
      <c r="D1464">
        <v>0</v>
      </c>
      <c r="E1464" t="s">
        <v>6132</v>
      </c>
    </row>
    <row r="1465" spans="1:5" x14ac:dyDescent="0.35">
      <c r="A1465" t="s">
        <v>126</v>
      </c>
      <c r="B1465" s="16">
        <v>45905</v>
      </c>
      <c r="C1465">
        <v>8</v>
      </c>
      <c r="D1465">
        <v>4</v>
      </c>
      <c r="E1465" t="s">
        <v>6132</v>
      </c>
    </row>
    <row r="1466" spans="1:5" x14ac:dyDescent="0.35">
      <c r="A1466" t="s">
        <v>126</v>
      </c>
      <c r="B1466" s="16">
        <v>45909</v>
      </c>
      <c r="C1466">
        <v>4.0999999999999996</v>
      </c>
      <c r="D1466">
        <v>1</v>
      </c>
      <c r="E1466" t="s">
        <v>6132</v>
      </c>
    </row>
    <row r="1467" spans="1:5" x14ac:dyDescent="0.35">
      <c r="A1467" t="s">
        <v>126</v>
      </c>
      <c r="B1467" s="16">
        <v>45910</v>
      </c>
      <c r="C1467">
        <v>4.0999999999999996</v>
      </c>
      <c r="D1467">
        <v>2</v>
      </c>
      <c r="E1467" t="s">
        <v>6132</v>
      </c>
    </row>
    <row r="1468" spans="1:5" x14ac:dyDescent="0.35">
      <c r="A1468" t="s">
        <v>126</v>
      </c>
      <c r="B1468" s="16">
        <v>45911</v>
      </c>
      <c r="C1468">
        <v>6.2</v>
      </c>
      <c r="D1468">
        <v>0</v>
      </c>
      <c r="E1468" t="s">
        <v>6132</v>
      </c>
    </row>
    <row r="1469" spans="1:5" x14ac:dyDescent="0.35">
      <c r="A1469" t="s">
        <v>126</v>
      </c>
      <c r="B1469" s="16">
        <v>45912</v>
      </c>
      <c r="C1469">
        <v>5.3</v>
      </c>
      <c r="D1469">
        <v>0</v>
      </c>
      <c r="E1469" t="s">
        <v>6132</v>
      </c>
    </row>
    <row r="1470" spans="1:5" x14ac:dyDescent="0.35">
      <c r="A1470" t="s">
        <v>126</v>
      </c>
      <c r="B1470" s="16">
        <v>45915</v>
      </c>
      <c r="C1470">
        <v>6.7</v>
      </c>
      <c r="D1470">
        <v>3</v>
      </c>
      <c r="E1470" t="s">
        <v>6132</v>
      </c>
    </row>
    <row r="1471" spans="1:5" x14ac:dyDescent="0.35">
      <c r="A1471" t="s">
        <v>126</v>
      </c>
      <c r="B1471" s="16">
        <v>45919</v>
      </c>
      <c r="C1471">
        <v>5.7</v>
      </c>
      <c r="D1471">
        <v>2</v>
      </c>
      <c r="E1471" t="s">
        <v>6132</v>
      </c>
    </row>
    <row r="1472" spans="1:5" x14ac:dyDescent="0.35">
      <c r="A1472" t="s">
        <v>126</v>
      </c>
      <c r="B1472" s="16">
        <v>45922</v>
      </c>
      <c r="C1472">
        <v>4.0999999999999996</v>
      </c>
      <c r="D1472">
        <v>0</v>
      </c>
      <c r="E1472" t="s">
        <v>6132</v>
      </c>
    </row>
    <row r="1473" spans="1:5" x14ac:dyDescent="0.35">
      <c r="A1473" t="s">
        <v>126</v>
      </c>
      <c r="B1473" s="16">
        <v>45923</v>
      </c>
      <c r="D1473">
        <v>1</v>
      </c>
      <c r="E1473" t="s">
        <v>6132</v>
      </c>
    </row>
    <row r="1474" spans="1:5" x14ac:dyDescent="0.35">
      <c r="A1474" t="s">
        <v>126</v>
      </c>
      <c r="B1474" s="16">
        <v>45925</v>
      </c>
      <c r="C1474">
        <v>4.4000000000000004</v>
      </c>
      <c r="D1474">
        <v>0</v>
      </c>
      <c r="E1474" t="s">
        <v>6132</v>
      </c>
    </row>
    <row r="1475" spans="1:5" x14ac:dyDescent="0.35">
      <c r="A1475" t="s">
        <v>126</v>
      </c>
      <c r="B1475" s="16">
        <v>45933</v>
      </c>
      <c r="C1475">
        <v>6.4</v>
      </c>
      <c r="D1475">
        <v>0</v>
      </c>
      <c r="E1475" t="s">
        <v>6132</v>
      </c>
    </row>
    <row r="1476" spans="1:5" x14ac:dyDescent="0.35">
      <c r="A1476" t="s">
        <v>126</v>
      </c>
      <c r="B1476" s="16">
        <v>45938</v>
      </c>
      <c r="C1476">
        <v>8.6</v>
      </c>
      <c r="D1476">
        <v>0</v>
      </c>
      <c r="E1476" t="s">
        <v>6132</v>
      </c>
    </row>
    <row r="1477" spans="1:5" x14ac:dyDescent="0.35">
      <c r="A1477" t="s">
        <v>126</v>
      </c>
      <c r="B1477" s="16">
        <v>45939</v>
      </c>
      <c r="C1477">
        <v>4.0999999999999996</v>
      </c>
      <c r="D1477">
        <v>0</v>
      </c>
      <c r="E1477" t="s">
        <v>6132</v>
      </c>
    </row>
    <row r="1478" spans="1:5" x14ac:dyDescent="0.35">
      <c r="A1478" t="s">
        <v>126</v>
      </c>
      <c r="B1478" s="16">
        <v>45940</v>
      </c>
      <c r="C1478">
        <v>7.9</v>
      </c>
      <c r="D1478">
        <v>1</v>
      </c>
      <c r="E1478" t="s">
        <v>6132</v>
      </c>
    </row>
    <row r="1479" spans="1:5" x14ac:dyDescent="0.35">
      <c r="A1479" t="s">
        <v>126</v>
      </c>
      <c r="B1479" s="16">
        <v>45944</v>
      </c>
      <c r="C1479">
        <v>6.8</v>
      </c>
      <c r="D1479">
        <v>0</v>
      </c>
      <c r="E1479" t="s">
        <v>6132</v>
      </c>
    </row>
    <row r="1480" spans="1:5" x14ac:dyDescent="0.35">
      <c r="A1480" t="s">
        <v>126</v>
      </c>
      <c r="B1480" s="16">
        <v>45951</v>
      </c>
      <c r="C1480">
        <v>4.9000000000000004</v>
      </c>
      <c r="D1480">
        <v>0</v>
      </c>
      <c r="E1480" t="s">
        <v>6134</v>
      </c>
    </row>
    <row r="1481" spans="1:5" x14ac:dyDescent="0.35">
      <c r="A1481" t="s">
        <v>126</v>
      </c>
      <c r="B1481" s="16">
        <v>45952</v>
      </c>
      <c r="C1481">
        <v>8.1999999999999993</v>
      </c>
      <c r="D1481">
        <v>0</v>
      </c>
      <c r="E1481" t="s">
        <v>6132</v>
      </c>
    </row>
    <row r="1482" spans="1:5" x14ac:dyDescent="0.35">
      <c r="A1482" t="s">
        <v>126</v>
      </c>
      <c r="B1482" s="16">
        <v>45953</v>
      </c>
      <c r="C1482">
        <v>6.7</v>
      </c>
      <c r="D1482">
        <v>3</v>
      </c>
      <c r="E1482" t="s">
        <v>6132</v>
      </c>
    </row>
    <row r="1483" spans="1:5" x14ac:dyDescent="0.35">
      <c r="A1483" t="s">
        <v>126</v>
      </c>
      <c r="B1483" s="16">
        <v>45954</v>
      </c>
      <c r="C1483">
        <v>8.4</v>
      </c>
      <c r="D1483">
        <v>2</v>
      </c>
      <c r="E1483" t="s">
        <v>6132</v>
      </c>
    </row>
    <row r="1484" spans="1:5" x14ac:dyDescent="0.35">
      <c r="A1484" t="s">
        <v>126</v>
      </c>
      <c r="B1484" s="16">
        <v>45958</v>
      </c>
      <c r="C1484">
        <v>8.3000000000000007</v>
      </c>
      <c r="D1484">
        <v>1</v>
      </c>
      <c r="E1484" t="s">
        <v>6132</v>
      </c>
    </row>
    <row r="1485" spans="1:5" x14ac:dyDescent="0.35">
      <c r="A1485" t="s">
        <v>126</v>
      </c>
      <c r="B1485" s="16">
        <v>45959</v>
      </c>
      <c r="C1485">
        <v>8.6999999999999993</v>
      </c>
      <c r="D1485">
        <v>0</v>
      </c>
      <c r="E1485" t="s">
        <v>6132</v>
      </c>
    </row>
    <row r="1486" spans="1:5" x14ac:dyDescent="0.35">
      <c r="A1486" t="s">
        <v>126</v>
      </c>
      <c r="B1486" s="16">
        <v>45960</v>
      </c>
      <c r="C1486">
        <v>4.5999999999999996</v>
      </c>
      <c r="D1486">
        <v>0</v>
      </c>
      <c r="E1486" t="s">
        <v>6132</v>
      </c>
    </row>
    <row r="1487" spans="1:5" x14ac:dyDescent="0.35">
      <c r="A1487" t="s">
        <v>126</v>
      </c>
      <c r="B1487" s="16">
        <v>45961</v>
      </c>
      <c r="C1487">
        <v>8.6</v>
      </c>
      <c r="D1487">
        <v>1</v>
      </c>
      <c r="E1487" t="s">
        <v>6132</v>
      </c>
    </row>
    <row r="1488" spans="1:5" x14ac:dyDescent="0.35">
      <c r="A1488" t="s">
        <v>126</v>
      </c>
      <c r="B1488" s="16">
        <v>45964</v>
      </c>
      <c r="C1488">
        <v>7.3</v>
      </c>
      <c r="D1488">
        <v>0</v>
      </c>
      <c r="E1488" t="s">
        <v>6132</v>
      </c>
    </row>
    <row r="1489" spans="1:5" x14ac:dyDescent="0.35">
      <c r="A1489" t="s">
        <v>126</v>
      </c>
      <c r="B1489" s="16">
        <v>45965</v>
      </c>
      <c r="C1489">
        <v>7.6</v>
      </c>
      <c r="D1489">
        <v>0</v>
      </c>
      <c r="E1489" t="s">
        <v>6132</v>
      </c>
    </row>
    <row r="1490" spans="1:5" x14ac:dyDescent="0.35">
      <c r="A1490" t="s">
        <v>126</v>
      </c>
      <c r="B1490" s="16">
        <v>45968</v>
      </c>
      <c r="C1490">
        <v>6.3</v>
      </c>
      <c r="D1490">
        <v>1</v>
      </c>
      <c r="E1490" t="s">
        <v>6132</v>
      </c>
    </row>
    <row r="1491" spans="1:5" x14ac:dyDescent="0.35">
      <c r="A1491" t="s">
        <v>126</v>
      </c>
      <c r="B1491" s="16">
        <v>45971</v>
      </c>
      <c r="C1491">
        <v>6.8</v>
      </c>
      <c r="D1491">
        <v>0</v>
      </c>
      <c r="E1491" t="s">
        <v>6132</v>
      </c>
    </row>
    <row r="1492" spans="1:5" x14ac:dyDescent="0.35">
      <c r="A1492" t="s">
        <v>126</v>
      </c>
      <c r="B1492" s="16">
        <v>45972</v>
      </c>
      <c r="C1492">
        <v>7.2</v>
      </c>
      <c r="D1492">
        <v>0</v>
      </c>
      <c r="E1492" t="s">
        <v>6132</v>
      </c>
    </row>
    <row r="1493" spans="1:5" x14ac:dyDescent="0.35">
      <c r="A1493" t="s">
        <v>126</v>
      </c>
      <c r="B1493" s="16">
        <v>45973</v>
      </c>
      <c r="C1493">
        <v>7.1</v>
      </c>
      <c r="D1493">
        <v>3</v>
      </c>
      <c r="E1493" t="s">
        <v>6132</v>
      </c>
    </row>
    <row r="1494" spans="1:5" x14ac:dyDescent="0.35">
      <c r="A1494" t="s">
        <v>126</v>
      </c>
      <c r="B1494" s="16">
        <v>45974</v>
      </c>
      <c r="C1494">
        <v>8.8000000000000007</v>
      </c>
      <c r="D1494">
        <v>0</v>
      </c>
      <c r="E1494" t="s">
        <v>6132</v>
      </c>
    </row>
    <row r="1495" spans="1:5" x14ac:dyDescent="0.35">
      <c r="A1495" t="s">
        <v>126</v>
      </c>
      <c r="B1495" s="16">
        <v>45975</v>
      </c>
      <c r="C1495">
        <v>6.7</v>
      </c>
      <c r="D1495">
        <v>0</v>
      </c>
      <c r="E1495" t="s">
        <v>6132</v>
      </c>
    </row>
    <row r="1496" spans="1:5" x14ac:dyDescent="0.35">
      <c r="A1496" t="s">
        <v>126</v>
      </c>
      <c r="B1496" s="16">
        <v>45978</v>
      </c>
      <c r="C1496">
        <v>4.5</v>
      </c>
      <c r="D1496">
        <v>0</v>
      </c>
      <c r="E1496" t="s">
        <v>6132</v>
      </c>
    </row>
    <row r="1497" spans="1:5" x14ac:dyDescent="0.35">
      <c r="A1497" t="s">
        <v>126</v>
      </c>
      <c r="B1497" s="16">
        <v>45980</v>
      </c>
      <c r="C1497">
        <v>6</v>
      </c>
      <c r="D1497">
        <v>0</v>
      </c>
      <c r="E1497" t="s">
        <v>6132</v>
      </c>
    </row>
    <row r="1498" spans="1:5" x14ac:dyDescent="0.35">
      <c r="A1498" t="s">
        <v>126</v>
      </c>
      <c r="B1498" s="16">
        <v>45981</v>
      </c>
      <c r="C1498">
        <v>6.6</v>
      </c>
      <c r="D1498">
        <v>3</v>
      </c>
      <c r="E1498" t="s">
        <v>6132</v>
      </c>
    </row>
    <row r="1499" spans="1:5" x14ac:dyDescent="0.35">
      <c r="A1499" t="s">
        <v>126</v>
      </c>
      <c r="B1499" s="16">
        <v>45982</v>
      </c>
      <c r="C1499">
        <v>7.9</v>
      </c>
      <c r="D1499">
        <v>3</v>
      </c>
      <c r="E1499" t="s">
        <v>6132</v>
      </c>
    </row>
    <row r="1500" spans="1:5" x14ac:dyDescent="0.35">
      <c r="A1500" t="s">
        <v>126</v>
      </c>
      <c r="B1500" s="16">
        <v>45985</v>
      </c>
      <c r="C1500">
        <v>4.2</v>
      </c>
      <c r="D1500">
        <v>1</v>
      </c>
      <c r="E1500" t="s">
        <v>6132</v>
      </c>
    </row>
    <row r="1501" spans="1:5" x14ac:dyDescent="0.35">
      <c r="A1501" t="s">
        <v>126</v>
      </c>
      <c r="B1501" s="16">
        <v>45986</v>
      </c>
      <c r="C1501">
        <v>7.9</v>
      </c>
      <c r="D1501">
        <v>1</v>
      </c>
      <c r="E1501" t="s">
        <v>6132</v>
      </c>
    </row>
    <row r="1502" spans="1:5" x14ac:dyDescent="0.35">
      <c r="A1502" t="s">
        <v>126</v>
      </c>
      <c r="B1502" s="16">
        <v>45993</v>
      </c>
      <c r="C1502">
        <v>4.5</v>
      </c>
      <c r="D1502">
        <v>0</v>
      </c>
      <c r="E1502" t="s">
        <v>6132</v>
      </c>
    </row>
    <row r="1503" spans="1:5" x14ac:dyDescent="0.35">
      <c r="A1503" t="s">
        <v>126</v>
      </c>
      <c r="B1503" s="16">
        <v>45996</v>
      </c>
      <c r="C1503">
        <v>9</v>
      </c>
      <c r="D1503">
        <v>0</v>
      </c>
      <c r="E1503" t="s">
        <v>6133</v>
      </c>
    </row>
    <row r="1504" spans="1:5" x14ac:dyDescent="0.35">
      <c r="A1504" t="s">
        <v>126</v>
      </c>
      <c r="B1504" s="16">
        <v>45999</v>
      </c>
      <c r="C1504">
        <v>6.7</v>
      </c>
      <c r="D1504">
        <v>0</v>
      </c>
      <c r="E1504" t="s">
        <v>6132</v>
      </c>
    </row>
    <row r="1505" spans="1:5" x14ac:dyDescent="0.35">
      <c r="A1505" t="s">
        <v>126</v>
      </c>
      <c r="B1505" s="16">
        <v>46003</v>
      </c>
      <c r="C1505">
        <v>7.9</v>
      </c>
      <c r="D1505">
        <v>2</v>
      </c>
      <c r="E1505" t="s">
        <v>6132</v>
      </c>
    </row>
    <row r="1506" spans="1:5" x14ac:dyDescent="0.35">
      <c r="A1506" t="s">
        <v>126</v>
      </c>
      <c r="B1506" s="16">
        <v>46006</v>
      </c>
      <c r="C1506">
        <v>4.8</v>
      </c>
      <c r="D1506">
        <v>1</v>
      </c>
      <c r="E1506" t="s">
        <v>6132</v>
      </c>
    </row>
    <row r="1507" spans="1:5" x14ac:dyDescent="0.35">
      <c r="A1507" t="s">
        <v>126</v>
      </c>
      <c r="B1507" s="16">
        <v>46008</v>
      </c>
      <c r="C1507">
        <v>7.3</v>
      </c>
      <c r="D1507">
        <v>2</v>
      </c>
      <c r="E1507" t="s">
        <v>6132</v>
      </c>
    </row>
    <row r="1508" spans="1:5" x14ac:dyDescent="0.35">
      <c r="A1508" t="s">
        <v>126</v>
      </c>
      <c r="B1508" s="16">
        <v>46009</v>
      </c>
      <c r="C1508">
        <v>8.9</v>
      </c>
      <c r="D1508">
        <v>0</v>
      </c>
      <c r="E1508" t="s">
        <v>6132</v>
      </c>
    </row>
    <row r="1509" spans="1:5" x14ac:dyDescent="0.35">
      <c r="A1509" t="s">
        <v>126</v>
      </c>
      <c r="B1509" s="16">
        <v>46010</v>
      </c>
      <c r="C1509">
        <v>8.9</v>
      </c>
      <c r="D1509">
        <v>0</v>
      </c>
      <c r="E1509" t="s">
        <v>6132</v>
      </c>
    </row>
    <row r="1510" spans="1:5" x14ac:dyDescent="0.35">
      <c r="A1510" t="s">
        <v>126</v>
      </c>
      <c r="B1510" s="16">
        <v>46013</v>
      </c>
      <c r="C1510">
        <v>6.1</v>
      </c>
      <c r="D1510">
        <v>0</v>
      </c>
      <c r="E1510" t="s">
        <v>6132</v>
      </c>
    </row>
    <row r="1511" spans="1:5" x14ac:dyDescent="0.35">
      <c r="A1511" t="s">
        <v>126</v>
      </c>
      <c r="B1511" s="16">
        <v>46014</v>
      </c>
      <c r="C1511">
        <v>5.8</v>
      </c>
      <c r="D1511">
        <v>1</v>
      </c>
      <c r="E1511" t="s">
        <v>6132</v>
      </c>
    </row>
    <row r="1512" spans="1:5" x14ac:dyDescent="0.35">
      <c r="A1512" t="s">
        <v>126</v>
      </c>
      <c r="B1512" s="16">
        <v>46015</v>
      </c>
      <c r="C1512">
        <v>6.4</v>
      </c>
      <c r="D1512">
        <v>2</v>
      </c>
      <c r="E1512" t="s">
        <v>6132</v>
      </c>
    </row>
    <row r="1513" spans="1:5" x14ac:dyDescent="0.35">
      <c r="A1513" t="s">
        <v>126</v>
      </c>
      <c r="B1513" s="16">
        <v>46020</v>
      </c>
      <c r="C1513">
        <v>5.4</v>
      </c>
      <c r="D1513">
        <v>1</v>
      </c>
      <c r="E1513" t="s">
        <v>6132</v>
      </c>
    </row>
    <row r="1514" spans="1:5" x14ac:dyDescent="0.35">
      <c r="A1514" t="s">
        <v>146</v>
      </c>
      <c r="B1514" s="16">
        <v>45658</v>
      </c>
      <c r="C1514">
        <v>7.7</v>
      </c>
      <c r="D1514">
        <v>0</v>
      </c>
      <c r="E1514" t="s">
        <v>6132</v>
      </c>
    </row>
    <row r="1515" spans="1:5" x14ac:dyDescent="0.35">
      <c r="A1515" t="s">
        <v>146</v>
      </c>
      <c r="B1515" s="16">
        <v>45660</v>
      </c>
      <c r="C1515">
        <v>5.6</v>
      </c>
      <c r="D1515">
        <v>4</v>
      </c>
      <c r="E1515" t="s">
        <v>6132</v>
      </c>
    </row>
    <row r="1516" spans="1:5" x14ac:dyDescent="0.35">
      <c r="A1516" t="s">
        <v>146</v>
      </c>
      <c r="B1516" s="16">
        <v>45663</v>
      </c>
      <c r="C1516">
        <v>7.2</v>
      </c>
      <c r="D1516">
        <v>4</v>
      </c>
      <c r="E1516" t="s">
        <v>6132</v>
      </c>
    </row>
    <row r="1517" spans="1:5" x14ac:dyDescent="0.35">
      <c r="A1517" t="s">
        <v>146</v>
      </c>
      <c r="B1517" s="16">
        <v>45664</v>
      </c>
      <c r="C1517">
        <v>8.5</v>
      </c>
      <c r="D1517">
        <v>1</v>
      </c>
      <c r="E1517" t="s">
        <v>6132</v>
      </c>
    </row>
    <row r="1518" spans="1:5" x14ac:dyDescent="0.35">
      <c r="A1518" t="s">
        <v>146</v>
      </c>
      <c r="B1518" s="16">
        <v>45665</v>
      </c>
      <c r="C1518">
        <v>5.4</v>
      </c>
      <c r="D1518">
        <v>0</v>
      </c>
      <c r="E1518" t="s">
        <v>6132</v>
      </c>
    </row>
    <row r="1519" spans="1:5" x14ac:dyDescent="0.35">
      <c r="A1519" t="s">
        <v>146</v>
      </c>
      <c r="B1519" s="16">
        <v>45667</v>
      </c>
      <c r="C1519">
        <v>8.5</v>
      </c>
      <c r="D1519">
        <v>0</v>
      </c>
      <c r="E1519" t="s">
        <v>6132</v>
      </c>
    </row>
    <row r="1520" spans="1:5" x14ac:dyDescent="0.35">
      <c r="A1520" t="s">
        <v>146</v>
      </c>
      <c r="B1520" s="16">
        <v>45670</v>
      </c>
      <c r="C1520">
        <v>6.7</v>
      </c>
      <c r="D1520">
        <v>0</v>
      </c>
      <c r="E1520" t="s">
        <v>6133</v>
      </c>
    </row>
    <row r="1521" spans="1:5" x14ac:dyDescent="0.35">
      <c r="A1521" t="s">
        <v>146</v>
      </c>
      <c r="B1521" s="16">
        <v>45674</v>
      </c>
      <c r="C1521">
        <v>7.6</v>
      </c>
      <c r="D1521">
        <v>2</v>
      </c>
      <c r="E1521" t="s">
        <v>6132</v>
      </c>
    </row>
    <row r="1522" spans="1:5" x14ac:dyDescent="0.35">
      <c r="A1522" t="s">
        <v>146</v>
      </c>
      <c r="B1522" s="16">
        <v>45692</v>
      </c>
      <c r="C1522">
        <v>5.5</v>
      </c>
      <c r="D1522">
        <v>0</v>
      </c>
      <c r="E1522" t="s">
        <v>6132</v>
      </c>
    </row>
    <row r="1523" spans="1:5" x14ac:dyDescent="0.35">
      <c r="A1523" t="s">
        <v>146</v>
      </c>
      <c r="B1523" s="16">
        <v>45693</v>
      </c>
      <c r="C1523">
        <v>9</v>
      </c>
      <c r="D1523">
        <v>0</v>
      </c>
      <c r="E1523" t="s">
        <v>6132</v>
      </c>
    </row>
    <row r="1524" spans="1:5" x14ac:dyDescent="0.35">
      <c r="A1524" t="s">
        <v>146</v>
      </c>
      <c r="B1524" s="16">
        <v>45698</v>
      </c>
      <c r="C1524">
        <v>8.1999999999999993</v>
      </c>
      <c r="D1524">
        <v>0</v>
      </c>
      <c r="E1524" t="s">
        <v>6133</v>
      </c>
    </row>
    <row r="1525" spans="1:5" x14ac:dyDescent="0.35">
      <c r="A1525" t="s">
        <v>146</v>
      </c>
      <c r="B1525" s="16">
        <v>45705</v>
      </c>
      <c r="C1525">
        <v>8.3000000000000007</v>
      </c>
      <c r="D1525">
        <v>1</v>
      </c>
      <c r="E1525" t="s">
        <v>6132</v>
      </c>
    </row>
    <row r="1526" spans="1:5" x14ac:dyDescent="0.35">
      <c r="A1526" t="s">
        <v>146</v>
      </c>
      <c r="B1526" s="16">
        <v>45708</v>
      </c>
      <c r="C1526">
        <v>6.1</v>
      </c>
      <c r="D1526">
        <v>0</v>
      </c>
      <c r="E1526" t="s">
        <v>6132</v>
      </c>
    </row>
    <row r="1527" spans="1:5" x14ac:dyDescent="0.35">
      <c r="A1527" t="s">
        <v>146</v>
      </c>
      <c r="B1527" s="16">
        <v>45712</v>
      </c>
      <c r="D1527">
        <v>1</v>
      </c>
      <c r="E1527" t="s">
        <v>6132</v>
      </c>
    </row>
    <row r="1528" spans="1:5" x14ac:dyDescent="0.35">
      <c r="A1528" t="s">
        <v>146</v>
      </c>
      <c r="B1528" s="16">
        <v>45714</v>
      </c>
      <c r="C1528">
        <v>4.4000000000000004</v>
      </c>
      <c r="D1528">
        <v>0</v>
      </c>
      <c r="E1528" t="s">
        <v>6133</v>
      </c>
    </row>
    <row r="1529" spans="1:5" x14ac:dyDescent="0.35">
      <c r="A1529" t="s">
        <v>146</v>
      </c>
      <c r="B1529" s="16">
        <v>45716</v>
      </c>
      <c r="C1529">
        <v>7.1</v>
      </c>
      <c r="D1529">
        <v>3</v>
      </c>
      <c r="E1529" t="s">
        <v>6132</v>
      </c>
    </row>
    <row r="1530" spans="1:5" x14ac:dyDescent="0.35">
      <c r="A1530" t="s">
        <v>146</v>
      </c>
      <c r="B1530" s="16">
        <v>45719</v>
      </c>
      <c r="C1530">
        <v>4.0999999999999996</v>
      </c>
      <c r="D1530">
        <v>3</v>
      </c>
      <c r="E1530" t="s">
        <v>6132</v>
      </c>
    </row>
    <row r="1531" spans="1:5" x14ac:dyDescent="0.35">
      <c r="A1531" t="s">
        <v>146</v>
      </c>
      <c r="B1531" s="16">
        <v>45721</v>
      </c>
      <c r="C1531">
        <v>7.6</v>
      </c>
      <c r="D1531">
        <v>0</v>
      </c>
      <c r="E1531" t="s">
        <v>6132</v>
      </c>
    </row>
    <row r="1532" spans="1:5" x14ac:dyDescent="0.35">
      <c r="A1532" t="s">
        <v>146</v>
      </c>
      <c r="B1532" s="16">
        <v>45726</v>
      </c>
      <c r="C1532">
        <v>7.9</v>
      </c>
      <c r="D1532">
        <v>0</v>
      </c>
      <c r="E1532" t="s">
        <v>6132</v>
      </c>
    </row>
    <row r="1533" spans="1:5" x14ac:dyDescent="0.35">
      <c r="A1533" t="s">
        <v>146</v>
      </c>
      <c r="B1533" s="16">
        <v>45728</v>
      </c>
      <c r="C1533">
        <v>6.1</v>
      </c>
      <c r="D1533">
        <v>0</v>
      </c>
      <c r="E1533" t="s">
        <v>6132</v>
      </c>
    </row>
    <row r="1534" spans="1:5" x14ac:dyDescent="0.35">
      <c r="A1534" t="s">
        <v>146</v>
      </c>
      <c r="B1534" s="16">
        <v>45729</v>
      </c>
      <c r="D1534">
        <v>0</v>
      </c>
      <c r="E1534" t="s">
        <v>6133</v>
      </c>
    </row>
    <row r="1535" spans="1:5" x14ac:dyDescent="0.35">
      <c r="A1535" t="s">
        <v>146</v>
      </c>
      <c r="B1535" s="16">
        <v>45734</v>
      </c>
      <c r="C1535">
        <v>5.3</v>
      </c>
      <c r="D1535">
        <v>0</v>
      </c>
      <c r="E1535" t="s">
        <v>6132</v>
      </c>
    </row>
    <row r="1536" spans="1:5" x14ac:dyDescent="0.35">
      <c r="A1536" t="s">
        <v>146</v>
      </c>
      <c r="B1536" s="16">
        <v>45735</v>
      </c>
      <c r="C1536">
        <v>8.3000000000000007</v>
      </c>
      <c r="D1536">
        <v>4</v>
      </c>
      <c r="E1536" t="s">
        <v>6132</v>
      </c>
    </row>
    <row r="1537" spans="1:5" x14ac:dyDescent="0.35">
      <c r="A1537" t="s">
        <v>146</v>
      </c>
      <c r="B1537" s="16">
        <v>45736</v>
      </c>
      <c r="C1537">
        <v>4.4000000000000004</v>
      </c>
      <c r="D1537">
        <v>1</v>
      </c>
      <c r="E1537" t="s">
        <v>6132</v>
      </c>
    </row>
    <row r="1538" spans="1:5" x14ac:dyDescent="0.35">
      <c r="A1538" t="s">
        <v>146</v>
      </c>
      <c r="B1538" s="16">
        <v>45737</v>
      </c>
      <c r="C1538">
        <v>5.4</v>
      </c>
      <c r="D1538">
        <v>1</v>
      </c>
      <c r="E1538" t="s">
        <v>6132</v>
      </c>
    </row>
    <row r="1539" spans="1:5" x14ac:dyDescent="0.35">
      <c r="A1539" t="s">
        <v>146</v>
      </c>
      <c r="B1539" s="16">
        <v>45740</v>
      </c>
      <c r="C1539">
        <v>7.5</v>
      </c>
      <c r="D1539">
        <v>0</v>
      </c>
      <c r="E1539" t="s">
        <v>6132</v>
      </c>
    </row>
    <row r="1540" spans="1:5" x14ac:dyDescent="0.35">
      <c r="A1540" t="s">
        <v>146</v>
      </c>
      <c r="B1540" s="16">
        <v>45741</v>
      </c>
      <c r="C1540">
        <v>8.5</v>
      </c>
      <c r="D1540">
        <v>1</v>
      </c>
      <c r="E1540" t="s">
        <v>6132</v>
      </c>
    </row>
    <row r="1541" spans="1:5" x14ac:dyDescent="0.35">
      <c r="A1541" t="s">
        <v>146</v>
      </c>
      <c r="B1541" s="16">
        <v>45744</v>
      </c>
      <c r="C1541">
        <v>5.4</v>
      </c>
      <c r="D1541">
        <v>2</v>
      </c>
      <c r="E1541" t="s">
        <v>6132</v>
      </c>
    </row>
    <row r="1542" spans="1:5" x14ac:dyDescent="0.35">
      <c r="A1542" t="s">
        <v>146</v>
      </c>
      <c r="B1542" s="16">
        <v>45749</v>
      </c>
      <c r="C1542">
        <v>8.5</v>
      </c>
      <c r="D1542">
        <v>3</v>
      </c>
      <c r="E1542" t="s">
        <v>6132</v>
      </c>
    </row>
    <row r="1543" spans="1:5" x14ac:dyDescent="0.35">
      <c r="A1543" t="s">
        <v>146</v>
      </c>
      <c r="B1543" s="16">
        <v>45750</v>
      </c>
      <c r="C1543">
        <v>5.0999999999999996</v>
      </c>
      <c r="D1543">
        <v>2</v>
      </c>
      <c r="E1543" t="s">
        <v>6132</v>
      </c>
    </row>
    <row r="1544" spans="1:5" x14ac:dyDescent="0.35">
      <c r="A1544" t="s">
        <v>146</v>
      </c>
      <c r="B1544" s="16">
        <v>45754</v>
      </c>
      <c r="C1544">
        <v>7.6</v>
      </c>
      <c r="D1544">
        <v>4</v>
      </c>
      <c r="E1544" t="s">
        <v>6132</v>
      </c>
    </row>
    <row r="1545" spans="1:5" x14ac:dyDescent="0.35">
      <c r="A1545" t="s">
        <v>146</v>
      </c>
      <c r="B1545" s="16">
        <v>45756</v>
      </c>
      <c r="C1545">
        <v>6.3</v>
      </c>
      <c r="D1545">
        <v>1</v>
      </c>
      <c r="E1545" t="s">
        <v>6132</v>
      </c>
    </row>
    <row r="1546" spans="1:5" x14ac:dyDescent="0.35">
      <c r="A1546" t="s">
        <v>146</v>
      </c>
      <c r="B1546" s="16">
        <v>45757</v>
      </c>
      <c r="C1546">
        <v>5.2</v>
      </c>
      <c r="D1546">
        <v>2</v>
      </c>
      <c r="E1546" t="s">
        <v>6132</v>
      </c>
    </row>
    <row r="1547" spans="1:5" x14ac:dyDescent="0.35">
      <c r="A1547" t="s">
        <v>146</v>
      </c>
      <c r="B1547" s="16">
        <v>45758</v>
      </c>
      <c r="C1547">
        <v>4.5999999999999996</v>
      </c>
      <c r="D1547">
        <v>1</v>
      </c>
      <c r="E1547" t="s">
        <v>6132</v>
      </c>
    </row>
    <row r="1548" spans="1:5" x14ac:dyDescent="0.35">
      <c r="A1548" t="s">
        <v>146</v>
      </c>
      <c r="B1548" s="16">
        <v>45762</v>
      </c>
      <c r="C1548">
        <v>4.7</v>
      </c>
      <c r="D1548">
        <v>0</v>
      </c>
      <c r="E1548" t="s">
        <v>6132</v>
      </c>
    </row>
    <row r="1549" spans="1:5" x14ac:dyDescent="0.35">
      <c r="A1549" t="s">
        <v>146</v>
      </c>
      <c r="B1549" s="16">
        <v>45765</v>
      </c>
      <c r="C1549">
        <v>4.9000000000000004</v>
      </c>
      <c r="D1549">
        <v>0</v>
      </c>
      <c r="E1549" t="s">
        <v>6134</v>
      </c>
    </row>
    <row r="1550" spans="1:5" x14ac:dyDescent="0.35">
      <c r="A1550" t="s">
        <v>146</v>
      </c>
      <c r="B1550" s="16">
        <v>45769</v>
      </c>
      <c r="D1550">
        <v>0</v>
      </c>
      <c r="E1550" t="s">
        <v>6133</v>
      </c>
    </row>
    <row r="1551" spans="1:5" x14ac:dyDescent="0.35">
      <c r="A1551" t="s">
        <v>146</v>
      </c>
      <c r="B1551" s="16">
        <v>45770</v>
      </c>
      <c r="C1551">
        <v>6</v>
      </c>
      <c r="D1551">
        <v>2</v>
      </c>
      <c r="E1551" t="s">
        <v>6132</v>
      </c>
    </row>
    <row r="1552" spans="1:5" x14ac:dyDescent="0.35">
      <c r="A1552" t="s">
        <v>146</v>
      </c>
      <c r="B1552" s="16">
        <v>45771</v>
      </c>
      <c r="C1552">
        <v>7.4</v>
      </c>
      <c r="D1552">
        <v>2</v>
      </c>
      <c r="E1552" t="s">
        <v>6132</v>
      </c>
    </row>
    <row r="1553" spans="1:5" x14ac:dyDescent="0.35">
      <c r="A1553" t="s">
        <v>146</v>
      </c>
      <c r="B1553" s="16">
        <v>45772</v>
      </c>
      <c r="C1553">
        <v>6.3</v>
      </c>
      <c r="D1553">
        <v>2</v>
      </c>
      <c r="E1553" t="s">
        <v>6132</v>
      </c>
    </row>
    <row r="1554" spans="1:5" x14ac:dyDescent="0.35">
      <c r="A1554" t="s">
        <v>146</v>
      </c>
      <c r="B1554" s="16">
        <v>45775</v>
      </c>
      <c r="C1554">
        <v>8.1</v>
      </c>
      <c r="D1554">
        <v>2</v>
      </c>
      <c r="E1554" t="s">
        <v>6132</v>
      </c>
    </row>
    <row r="1555" spans="1:5" x14ac:dyDescent="0.35">
      <c r="A1555" t="s">
        <v>146</v>
      </c>
      <c r="B1555" s="16">
        <v>45776</v>
      </c>
      <c r="C1555">
        <v>7.2</v>
      </c>
      <c r="D1555">
        <v>1</v>
      </c>
      <c r="E1555" t="s">
        <v>6132</v>
      </c>
    </row>
    <row r="1556" spans="1:5" x14ac:dyDescent="0.35">
      <c r="A1556" t="s">
        <v>146</v>
      </c>
      <c r="B1556" s="16">
        <v>45778</v>
      </c>
      <c r="C1556">
        <v>8.4</v>
      </c>
      <c r="D1556">
        <v>0</v>
      </c>
      <c r="E1556" t="s">
        <v>6132</v>
      </c>
    </row>
    <row r="1557" spans="1:5" x14ac:dyDescent="0.35">
      <c r="A1557" t="s">
        <v>146</v>
      </c>
      <c r="B1557" s="16">
        <v>45784</v>
      </c>
      <c r="C1557">
        <v>7.3</v>
      </c>
      <c r="D1557">
        <v>2</v>
      </c>
      <c r="E1557" t="s">
        <v>6132</v>
      </c>
    </row>
    <row r="1558" spans="1:5" x14ac:dyDescent="0.35">
      <c r="A1558" t="s">
        <v>146</v>
      </c>
      <c r="B1558" s="16">
        <v>45785</v>
      </c>
      <c r="C1558">
        <v>7.2</v>
      </c>
      <c r="D1558">
        <v>0</v>
      </c>
      <c r="E1558" t="s">
        <v>6132</v>
      </c>
    </row>
    <row r="1559" spans="1:5" x14ac:dyDescent="0.35">
      <c r="A1559" t="s">
        <v>146</v>
      </c>
      <c r="B1559" s="16">
        <v>45789</v>
      </c>
      <c r="C1559">
        <v>6.7</v>
      </c>
      <c r="D1559">
        <v>2</v>
      </c>
      <c r="E1559" t="s">
        <v>6132</v>
      </c>
    </row>
    <row r="1560" spans="1:5" x14ac:dyDescent="0.35">
      <c r="A1560" t="s">
        <v>146</v>
      </c>
      <c r="B1560" s="16">
        <v>45792</v>
      </c>
      <c r="C1560">
        <v>7</v>
      </c>
      <c r="D1560">
        <v>0</v>
      </c>
      <c r="E1560" t="s">
        <v>6132</v>
      </c>
    </row>
    <row r="1561" spans="1:5" x14ac:dyDescent="0.35">
      <c r="A1561" t="s">
        <v>146</v>
      </c>
      <c r="B1561" s="16">
        <v>45793</v>
      </c>
      <c r="C1561">
        <v>7</v>
      </c>
      <c r="D1561">
        <v>0</v>
      </c>
      <c r="E1561" t="s">
        <v>6132</v>
      </c>
    </row>
    <row r="1562" spans="1:5" x14ac:dyDescent="0.35">
      <c r="A1562" t="s">
        <v>146</v>
      </c>
      <c r="B1562" s="16">
        <v>45796</v>
      </c>
      <c r="C1562">
        <v>5.6</v>
      </c>
      <c r="D1562">
        <v>0</v>
      </c>
      <c r="E1562" t="s">
        <v>6132</v>
      </c>
    </row>
    <row r="1563" spans="1:5" x14ac:dyDescent="0.35">
      <c r="A1563" t="s">
        <v>146</v>
      </c>
      <c r="B1563" s="16">
        <v>45797</v>
      </c>
      <c r="C1563">
        <v>8.1999999999999993</v>
      </c>
      <c r="D1563">
        <v>0</v>
      </c>
      <c r="E1563" t="s">
        <v>6132</v>
      </c>
    </row>
    <row r="1564" spans="1:5" x14ac:dyDescent="0.35">
      <c r="A1564" t="s">
        <v>146</v>
      </c>
      <c r="B1564" s="16">
        <v>45798</v>
      </c>
      <c r="C1564">
        <v>4.5999999999999996</v>
      </c>
      <c r="D1564">
        <v>0</v>
      </c>
      <c r="E1564" t="s">
        <v>6132</v>
      </c>
    </row>
    <row r="1565" spans="1:5" x14ac:dyDescent="0.35">
      <c r="A1565" t="s">
        <v>146</v>
      </c>
      <c r="B1565" s="16">
        <v>45800</v>
      </c>
      <c r="C1565">
        <v>8</v>
      </c>
      <c r="D1565">
        <v>1</v>
      </c>
      <c r="E1565" t="s">
        <v>6132</v>
      </c>
    </row>
    <row r="1566" spans="1:5" x14ac:dyDescent="0.35">
      <c r="A1566" t="s">
        <v>146</v>
      </c>
      <c r="B1566" s="16">
        <v>45804</v>
      </c>
      <c r="D1566">
        <v>2</v>
      </c>
      <c r="E1566" t="s">
        <v>6132</v>
      </c>
    </row>
    <row r="1567" spans="1:5" x14ac:dyDescent="0.35">
      <c r="A1567" t="s">
        <v>146</v>
      </c>
      <c r="B1567" s="16">
        <v>45807</v>
      </c>
      <c r="C1567">
        <v>4.5999999999999996</v>
      </c>
      <c r="D1567">
        <v>0</v>
      </c>
      <c r="E1567" t="s">
        <v>6132</v>
      </c>
    </row>
    <row r="1568" spans="1:5" x14ac:dyDescent="0.35">
      <c r="A1568" t="s">
        <v>146</v>
      </c>
      <c r="B1568" s="16">
        <v>45810</v>
      </c>
      <c r="C1568">
        <v>4.9000000000000004</v>
      </c>
      <c r="D1568">
        <v>2</v>
      </c>
      <c r="E1568" t="s">
        <v>6132</v>
      </c>
    </row>
    <row r="1569" spans="1:5" x14ac:dyDescent="0.35">
      <c r="A1569" t="s">
        <v>146</v>
      </c>
      <c r="B1569" s="16">
        <v>45811</v>
      </c>
      <c r="C1569">
        <v>4.9000000000000004</v>
      </c>
      <c r="D1569">
        <v>1</v>
      </c>
      <c r="E1569" t="s">
        <v>6132</v>
      </c>
    </row>
    <row r="1570" spans="1:5" x14ac:dyDescent="0.35">
      <c r="A1570" t="s">
        <v>146</v>
      </c>
      <c r="B1570" s="16">
        <v>45812</v>
      </c>
      <c r="C1570">
        <v>5.2</v>
      </c>
      <c r="D1570">
        <v>0</v>
      </c>
      <c r="E1570" t="s">
        <v>6132</v>
      </c>
    </row>
    <row r="1571" spans="1:5" x14ac:dyDescent="0.35">
      <c r="A1571" t="s">
        <v>146</v>
      </c>
      <c r="B1571" s="16">
        <v>45814</v>
      </c>
      <c r="C1571">
        <v>4.8</v>
      </c>
      <c r="D1571">
        <v>0</v>
      </c>
      <c r="E1571" t="s">
        <v>6132</v>
      </c>
    </row>
    <row r="1572" spans="1:5" x14ac:dyDescent="0.35">
      <c r="A1572" t="s">
        <v>146</v>
      </c>
      <c r="B1572" s="16">
        <v>45818</v>
      </c>
      <c r="C1572">
        <v>7.5</v>
      </c>
      <c r="D1572">
        <v>0</v>
      </c>
      <c r="E1572" t="s">
        <v>6132</v>
      </c>
    </row>
    <row r="1573" spans="1:5" x14ac:dyDescent="0.35">
      <c r="A1573" t="s">
        <v>146</v>
      </c>
      <c r="B1573" s="16">
        <v>45821</v>
      </c>
      <c r="C1573">
        <v>5.2</v>
      </c>
      <c r="D1573">
        <v>2</v>
      </c>
      <c r="E1573" t="s">
        <v>6132</v>
      </c>
    </row>
    <row r="1574" spans="1:5" x14ac:dyDescent="0.35">
      <c r="A1574" t="s">
        <v>146</v>
      </c>
      <c r="B1574" s="16">
        <v>45824</v>
      </c>
      <c r="C1574">
        <v>5.9</v>
      </c>
      <c r="D1574">
        <v>0</v>
      </c>
      <c r="E1574" t="s">
        <v>6132</v>
      </c>
    </row>
    <row r="1575" spans="1:5" x14ac:dyDescent="0.35">
      <c r="A1575" t="s">
        <v>146</v>
      </c>
      <c r="B1575" s="16">
        <v>45825</v>
      </c>
      <c r="D1575">
        <v>0</v>
      </c>
      <c r="E1575" t="s">
        <v>6132</v>
      </c>
    </row>
    <row r="1576" spans="1:5" x14ac:dyDescent="0.35">
      <c r="A1576" t="s">
        <v>146</v>
      </c>
      <c r="B1576" s="16">
        <v>45826</v>
      </c>
      <c r="C1576">
        <v>8.6999999999999993</v>
      </c>
      <c r="D1576">
        <v>0</v>
      </c>
      <c r="E1576" t="s">
        <v>6132</v>
      </c>
    </row>
    <row r="1577" spans="1:5" x14ac:dyDescent="0.35">
      <c r="A1577" t="s">
        <v>146</v>
      </c>
      <c r="B1577" s="16">
        <v>45827</v>
      </c>
      <c r="C1577">
        <v>8.3000000000000007</v>
      </c>
      <c r="D1577">
        <v>0</v>
      </c>
      <c r="E1577" t="s">
        <v>6133</v>
      </c>
    </row>
    <row r="1578" spans="1:5" x14ac:dyDescent="0.35">
      <c r="A1578" t="s">
        <v>146</v>
      </c>
      <c r="B1578" s="16">
        <v>45831</v>
      </c>
      <c r="C1578">
        <v>4.0999999999999996</v>
      </c>
      <c r="D1578">
        <v>3</v>
      </c>
      <c r="E1578" t="s">
        <v>6132</v>
      </c>
    </row>
    <row r="1579" spans="1:5" x14ac:dyDescent="0.35">
      <c r="A1579" t="s">
        <v>146</v>
      </c>
      <c r="B1579" s="16">
        <v>45832</v>
      </c>
      <c r="C1579">
        <v>4.5999999999999996</v>
      </c>
      <c r="D1579">
        <v>0</v>
      </c>
      <c r="E1579" t="s">
        <v>6133</v>
      </c>
    </row>
    <row r="1580" spans="1:5" x14ac:dyDescent="0.35">
      <c r="A1580" t="s">
        <v>146</v>
      </c>
      <c r="B1580" s="16">
        <v>45833</v>
      </c>
      <c r="C1580">
        <v>6</v>
      </c>
      <c r="D1580">
        <v>0</v>
      </c>
      <c r="E1580" t="s">
        <v>6132</v>
      </c>
    </row>
    <row r="1581" spans="1:5" x14ac:dyDescent="0.35">
      <c r="A1581" t="s">
        <v>146</v>
      </c>
      <c r="B1581" s="16">
        <v>45839</v>
      </c>
      <c r="C1581">
        <v>8.6</v>
      </c>
      <c r="D1581">
        <v>2</v>
      </c>
      <c r="E1581" t="s">
        <v>6132</v>
      </c>
    </row>
    <row r="1582" spans="1:5" x14ac:dyDescent="0.35">
      <c r="A1582" t="s">
        <v>146</v>
      </c>
      <c r="B1582" s="16">
        <v>45841</v>
      </c>
      <c r="C1582">
        <v>6.3</v>
      </c>
      <c r="D1582">
        <v>2</v>
      </c>
      <c r="E1582" t="s">
        <v>6132</v>
      </c>
    </row>
    <row r="1583" spans="1:5" x14ac:dyDescent="0.35">
      <c r="A1583" t="s">
        <v>146</v>
      </c>
      <c r="B1583" s="16">
        <v>45842</v>
      </c>
      <c r="C1583">
        <v>5.3</v>
      </c>
      <c r="D1583">
        <v>2</v>
      </c>
      <c r="E1583" t="s">
        <v>6132</v>
      </c>
    </row>
    <row r="1584" spans="1:5" x14ac:dyDescent="0.35">
      <c r="A1584" t="s">
        <v>146</v>
      </c>
      <c r="B1584" s="16">
        <v>45845</v>
      </c>
      <c r="C1584">
        <v>6.7</v>
      </c>
      <c r="D1584">
        <v>1</v>
      </c>
      <c r="E1584" t="s">
        <v>6132</v>
      </c>
    </row>
    <row r="1585" spans="1:5" x14ac:dyDescent="0.35">
      <c r="A1585" t="s">
        <v>146</v>
      </c>
      <c r="B1585" s="16">
        <v>45847</v>
      </c>
      <c r="C1585">
        <v>8.9</v>
      </c>
      <c r="D1585">
        <v>3</v>
      </c>
      <c r="E1585" t="s">
        <v>6132</v>
      </c>
    </row>
    <row r="1586" spans="1:5" x14ac:dyDescent="0.35">
      <c r="A1586" t="s">
        <v>146</v>
      </c>
      <c r="B1586" s="16">
        <v>45848</v>
      </c>
      <c r="C1586">
        <v>8.5</v>
      </c>
      <c r="D1586">
        <v>1</v>
      </c>
      <c r="E1586" t="s">
        <v>6132</v>
      </c>
    </row>
    <row r="1587" spans="1:5" x14ac:dyDescent="0.35">
      <c r="A1587" t="s">
        <v>146</v>
      </c>
      <c r="B1587" s="16">
        <v>45852</v>
      </c>
      <c r="C1587">
        <v>8.1999999999999993</v>
      </c>
      <c r="D1587">
        <v>1</v>
      </c>
      <c r="E1587" t="s">
        <v>6132</v>
      </c>
    </row>
    <row r="1588" spans="1:5" x14ac:dyDescent="0.35">
      <c r="A1588" t="s">
        <v>146</v>
      </c>
      <c r="B1588" s="16">
        <v>45854</v>
      </c>
      <c r="C1588">
        <v>5.0999999999999996</v>
      </c>
      <c r="D1588">
        <v>1</v>
      </c>
      <c r="E1588" t="s">
        <v>6132</v>
      </c>
    </row>
    <row r="1589" spans="1:5" x14ac:dyDescent="0.35">
      <c r="A1589" t="s">
        <v>146</v>
      </c>
      <c r="B1589" s="16">
        <v>45855</v>
      </c>
      <c r="C1589">
        <v>6.6</v>
      </c>
      <c r="D1589">
        <v>0</v>
      </c>
      <c r="E1589" t="s">
        <v>6132</v>
      </c>
    </row>
    <row r="1590" spans="1:5" x14ac:dyDescent="0.35">
      <c r="A1590" t="s">
        <v>146</v>
      </c>
      <c r="B1590" s="16">
        <v>45856</v>
      </c>
      <c r="D1590">
        <v>4</v>
      </c>
      <c r="E1590" t="s">
        <v>6132</v>
      </c>
    </row>
    <row r="1591" spans="1:5" x14ac:dyDescent="0.35">
      <c r="A1591" t="s">
        <v>146</v>
      </c>
      <c r="B1591" s="16">
        <v>45859</v>
      </c>
      <c r="C1591">
        <v>4.3</v>
      </c>
      <c r="D1591">
        <v>1</v>
      </c>
      <c r="E1591" t="s">
        <v>6132</v>
      </c>
    </row>
    <row r="1592" spans="1:5" x14ac:dyDescent="0.35">
      <c r="A1592" t="s">
        <v>146</v>
      </c>
      <c r="B1592" s="16">
        <v>45862</v>
      </c>
      <c r="C1592">
        <v>5.0999999999999996</v>
      </c>
      <c r="D1592">
        <v>0</v>
      </c>
      <c r="E1592" t="s">
        <v>6133</v>
      </c>
    </row>
    <row r="1593" spans="1:5" x14ac:dyDescent="0.35">
      <c r="A1593" t="s">
        <v>146</v>
      </c>
      <c r="B1593" s="16">
        <v>45863</v>
      </c>
      <c r="C1593">
        <v>4.2</v>
      </c>
      <c r="D1593">
        <v>0</v>
      </c>
      <c r="E1593" t="s">
        <v>6132</v>
      </c>
    </row>
    <row r="1594" spans="1:5" x14ac:dyDescent="0.35">
      <c r="A1594" t="s">
        <v>146</v>
      </c>
      <c r="B1594" s="16">
        <v>45874</v>
      </c>
      <c r="C1594">
        <v>6.8</v>
      </c>
      <c r="D1594">
        <v>1</v>
      </c>
      <c r="E1594" t="s">
        <v>6132</v>
      </c>
    </row>
    <row r="1595" spans="1:5" x14ac:dyDescent="0.35">
      <c r="A1595" t="s">
        <v>146</v>
      </c>
      <c r="B1595" s="16">
        <v>45881</v>
      </c>
      <c r="D1595">
        <v>0</v>
      </c>
      <c r="E1595" t="s">
        <v>6132</v>
      </c>
    </row>
    <row r="1596" spans="1:5" x14ac:dyDescent="0.35">
      <c r="A1596" t="s">
        <v>146</v>
      </c>
      <c r="B1596" s="16">
        <v>45887</v>
      </c>
      <c r="C1596">
        <v>7.1</v>
      </c>
      <c r="D1596">
        <v>0</v>
      </c>
      <c r="E1596" t="s">
        <v>6132</v>
      </c>
    </row>
    <row r="1597" spans="1:5" x14ac:dyDescent="0.35">
      <c r="A1597" t="s">
        <v>146</v>
      </c>
      <c r="B1597" s="16">
        <v>45888</v>
      </c>
      <c r="C1597">
        <v>8.4</v>
      </c>
      <c r="D1597">
        <v>0</v>
      </c>
      <c r="E1597" t="s">
        <v>6132</v>
      </c>
    </row>
    <row r="1598" spans="1:5" x14ac:dyDescent="0.35">
      <c r="A1598" t="s">
        <v>146</v>
      </c>
      <c r="B1598" s="16">
        <v>45897</v>
      </c>
      <c r="C1598">
        <v>8.6</v>
      </c>
      <c r="D1598">
        <v>0</v>
      </c>
      <c r="E1598" t="s">
        <v>6132</v>
      </c>
    </row>
    <row r="1599" spans="1:5" x14ac:dyDescent="0.35">
      <c r="A1599" t="s">
        <v>146</v>
      </c>
      <c r="B1599" s="16">
        <v>45901</v>
      </c>
      <c r="D1599">
        <v>2</v>
      </c>
      <c r="E1599" t="s">
        <v>6132</v>
      </c>
    </row>
    <row r="1600" spans="1:5" x14ac:dyDescent="0.35">
      <c r="A1600" t="s">
        <v>146</v>
      </c>
      <c r="B1600" s="16">
        <v>45902</v>
      </c>
      <c r="C1600">
        <v>6.3</v>
      </c>
      <c r="D1600">
        <v>0</v>
      </c>
      <c r="E1600" t="s">
        <v>6132</v>
      </c>
    </row>
    <row r="1601" spans="1:5" x14ac:dyDescent="0.35">
      <c r="A1601" t="s">
        <v>146</v>
      </c>
      <c r="B1601" s="16">
        <v>45905</v>
      </c>
      <c r="C1601">
        <v>7.7</v>
      </c>
      <c r="D1601">
        <v>0</v>
      </c>
      <c r="E1601" t="s">
        <v>6133</v>
      </c>
    </row>
    <row r="1602" spans="1:5" x14ac:dyDescent="0.35">
      <c r="A1602" t="s">
        <v>146</v>
      </c>
      <c r="B1602" s="16">
        <v>45911</v>
      </c>
      <c r="C1602">
        <v>4.2</v>
      </c>
      <c r="D1602">
        <v>3</v>
      </c>
      <c r="E1602" t="s">
        <v>6132</v>
      </c>
    </row>
    <row r="1603" spans="1:5" x14ac:dyDescent="0.35">
      <c r="A1603" t="s">
        <v>146</v>
      </c>
      <c r="B1603" s="16">
        <v>45917</v>
      </c>
      <c r="D1603">
        <v>5</v>
      </c>
      <c r="E1603" t="s">
        <v>6132</v>
      </c>
    </row>
    <row r="1604" spans="1:5" x14ac:dyDescent="0.35">
      <c r="A1604" t="s">
        <v>146</v>
      </c>
      <c r="B1604" s="16">
        <v>45922</v>
      </c>
      <c r="C1604">
        <v>5.7</v>
      </c>
      <c r="D1604">
        <v>0</v>
      </c>
      <c r="E1604" t="s">
        <v>6132</v>
      </c>
    </row>
    <row r="1605" spans="1:5" x14ac:dyDescent="0.35">
      <c r="A1605" t="s">
        <v>146</v>
      </c>
      <c r="B1605" s="16">
        <v>45924</v>
      </c>
      <c r="C1605">
        <v>5.6</v>
      </c>
      <c r="D1605">
        <v>0</v>
      </c>
      <c r="E1605" t="s">
        <v>6132</v>
      </c>
    </row>
    <row r="1606" spans="1:5" x14ac:dyDescent="0.35">
      <c r="A1606" t="s">
        <v>146</v>
      </c>
      <c r="B1606" s="16">
        <v>45925</v>
      </c>
      <c r="C1606">
        <v>6.4</v>
      </c>
      <c r="D1606">
        <v>1</v>
      </c>
      <c r="E1606" t="s">
        <v>6132</v>
      </c>
    </row>
    <row r="1607" spans="1:5" x14ac:dyDescent="0.35">
      <c r="A1607" t="s">
        <v>146</v>
      </c>
      <c r="B1607" s="16">
        <v>45926</v>
      </c>
      <c r="C1607">
        <v>7.8</v>
      </c>
      <c r="D1607">
        <v>2</v>
      </c>
      <c r="E1607" t="s">
        <v>6132</v>
      </c>
    </row>
    <row r="1608" spans="1:5" x14ac:dyDescent="0.35">
      <c r="A1608" t="s">
        <v>146</v>
      </c>
      <c r="B1608" s="16">
        <v>45929</v>
      </c>
      <c r="C1608">
        <v>7</v>
      </c>
      <c r="D1608">
        <v>2</v>
      </c>
      <c r="E1608" t="s">
        <v>6132</v>
      </c>
    </row>
    <row r="1609" spans="1:5" x14ac:dyDescent="0.35">
      <c r="A1609" t="s">
        <v>146</v>
      </c>
      <c r="B1609" s="16">
        <v>45932</v>
      </c>
      <c r="C1609">
        <v>8.6</v>
      </c>
      <c r="D1609">
        <v>4</v>
      </c>
      <c r="E1609" t="s">
        <v>6132</v>
      </c>
    </row>
    <row r="1610" spans="1:5" x14ac:dyDescent="0.35">
      <c r="A1610" t="s">
        <v>146</v>
      </c>
      <c r="B1610" s="16">
        <v>45933</v>
      </c>
      <c r="C1610">
        <v>8.1</v>
      </c>
      <c r="D1610">
        <v>0</v>
      </c>
      <c r="E1610" t="s">
        <v>6132</v>
      </c>
    </row>
    <row r="1611" spans="1:5" x14ac:dyDescent="0.35">
      <c r="A1611" t="s">
        <v>146</v>
      </c>
      <c r="B1611" s="16">
        <v>45936</v>
      </c>
      <c r="C1611">
        <v>7.9</v>
      </c>
      <c r="D1611">
        <v>2</v>
      </c>
      <c r="E1611" t="s">
        <v>6132</v>
      </c>
    </row>
    <row r="1612" spans="1:5" x14ac:dyDescent="0.35">
      <c r="A1612" t="s">
        <v>146</v>
      </c>
      <c r="B1612" s="16">
        <v>45937</v>
      </c>
      <c r="C1612">
        <v>4.9000000000000004</v>
      </c>
      <c r="D1612">
        <v>0</v>
      </c>
      <c r="E1612" t="s">
        <v>6133</v>
      </c>
    </row>
    <row r="1613" spans="1:5" x14ac:dyDescent="0.35">
      <c r="A1613" t="s">
        <v>146</v>
      </c>
      <c r="B1613" s="16">
        <v>45938</v>
      </c>
      <c r="C1613">
        <v>8.8000000000000007</v>
      </c>
      <c r="D1613">
        <v>0</v>
      </c>
      <c r="E1613" t="s">
        <v>6133</v>
      </c>
    </row>
    <row r="1614" spans="1:5" x14ac:dyDescent="0.35">
      <c r="A1614" t="s">
        <v>146</v>
      </c>
      <c r="B1614" s="16">
        <v>45939</v>
      </c>
      <c r="C1614">
        <v>4.5</v>
      </c>
      <c r="D1614">
        <v>0</v>
      </c>
      <c r="E1614" t="s">
        <v>6132</v>
      </c>
    </row>
    <row r="1615" spans="1:5" x14ac:dyDescent="0.35">
      <c r="A1615" t="s">
        <v>146</v>
      </c>
      <c r="B1615" s="16">
        <v>45940</v>
      </c>
      <c r="C1615">
        <v>4.5999999999999996</v>
      </c>
      <c r="D1615">
        <v>2</v>
      </c>
      <c r="E1615" t="s">
        <v>6132</v>
      </c>
    </row>
    <row r="1616" spans="1:5" x14ac:dyDescent="0.35">
      <c r="A1616" t="s">
        <v>146</v>
      </c>
      <c r="B1616" s="16">
        <v>45943</v>
      </c>
      <c r="C1616">
        <v>4.7</v>
      </c>
      <c r="D1616">
        <v>1</v>
      </c>
      <c r="E1616" t="s">
        <v>6132</v>
      </c>
    </row>
    <row r="1617" spans="1:5" x14ac:dyDescent="0.35">
      <c r="A1617" t="s">
        <v>146</v>
      </c>
      <c r="B1617" s="16">
        <v>45945</v>
      </c>
      <c r="C1617">
        <v>6.3</v>
      </c>
      <c r="D1617">
        <v>1</v>
      </c>
      <c r="E1617" t="s">
        <v>6132</v>
      </c>
    </row>
    <row r="1618" spans="1:5" x14ac:dyDescent="0.35">
      <c r="A1618" t="s">
        <v>146</v>
      </c>
      <c r="B1618" s="16">
        <v>45950</v>
      </c>
      <c r="D1618">
        <v>1</v>
      </c>
      <c r="E1618" t="s">
        <v>6132</v>
      </c>
    </row>
    <row r="1619" spans="1:5" x14ac:dyDescent="0.35">
      <c r="A1619" t="s">
        <v>146</v>
      </c>
      <c r="B1619" s="16">
        <v>45951</v>
      </c>
      <c r="C1619">
        <v>4.8</v>
      </c>
      <c r="D1619">
        <v>0</v>
      </c>
      <c r="E1619" t="s">
        <v>6133</v>
      </c>
    </row>
    <row r="1620" spans="1:5" x14ac:dyDescent="0.35">
      <c r="A1620" t="s">
        <v>146</v>
      </c>
      <c r="B1620" s="16">
        <v>45958</v>
      </c>
      <c r="C1620">
        <v>5.9</v>
      </c>
      <c r="D1620">
        <v>1</v>
      </c>
      <c r="E1620" t="s">
        <v>6132</v>
      </c>
    </row>
    <row r="1621" spans="1:5" x14ac:dyDescent="0.35">
      <c r="A1621" t="s">
        <v>146</v>
      </c>
      <c r="B1621" s="16">
        <v>45959</v>
      </c>
      <c r="C1621">
        <v>6.7</v>
      </c>
      <c r="D1621">
        <v>0</v>
      </c>
      <c r="E1621" t="s">
        <v>6134</v>
      </c>
    </row>
    <row r="1622" spans="1:5" x14ac:dyDescent="0.35">
      <c r="A1622" t="s">
        <v>146</v>
      </c>
      <c r="B1622" s="16">
        <v>45961</v>
      </c>
      <c r="C1622">
        <v>5.5</v>
      </c>
      <c r="D1622">
        <v>1</v>
      </c>
      <c r="E1622" t="s">
        <v>6132</v>
      </c>
    </row>
    <row r="1623" spans="1:5" x14ac:dyDescent="0.35">
      <c r="A1623" t="s">
        <v>146</v>
      </c>
      <c r="B1623" s="16">
        <v>45965</v>
      </c>
      <c r="C1623">
        <v>7.1</v>
      </c>
      <c r="D1623">
        <v>1</v>
      </c>
      <c r="E1623" t="s">
        <v>6132</v>
      </c>
    </row>
    <row r="1624" spans="1:5" x14ac:dyDescent="0.35">
      <c r="A1624" t="s">
        <v>146</v>
      </c>
      <c r="B1624" s="16">
        <v>45968</v>
      </c>
      <c r="C1624">
        <v>5.4</v>
      </c>
      <c r="D1624">
        <v>5</v>
      </c>
      <c r="E1624" t="s">
        <v>6132</v>
      </c>
    </row>
    <row r="1625" spans="1:5" x14ac:dyDescent="0.35">
      <c r="A1625" t="s">
        <v>146</v>
      </c>
      <c r="B1625" s="16">
        <v>45972</v>
      </c>
      <c r="C1625">
        <v>7.1</v>
      </c>
      <c r="D1625">
        <v>1</v>
      </c>
      <c r="E1625" t="s">
        <v>6132</v>
      </c>
    </row>
    <row r="1626" spans="1:5" x14ac:dyDescent="0.35">
      <c r="A1626" t="s">
        <v>146</v>
      </c>
      <c r="B1626" s="16">
        <v>45973</v>
      </c>
      <c r="C1626">
        <v>7.9</v>
      </c>
      <c r="D1626">
        <v>1</v>
      </c>
      <c r="E1626" t="s">
        <v>6132</v>
      </c>
    </row>
    <row r="1627" spans="1:5" x14ac:dyDescent="0.35">
      <c r="A1627" t="s">
        <v>146</v>
      </c>
      <c r="B1627" s="16">
        <v>45978</v>
      </c>
      <c r="C1627">
        <v>6.7</v>
      </c>
      <c r="D1627">
        <v>1</v>
      </c>
      <c r="E1627" t="s">
        <v>6132</v>
      </c>
    </row>
    <row r="1628" spans="1:5" x14ac:dyDescent="0.35">
      <c r="A1628" t="s">
        <v>146</v>
      </c>
      <c r="B1628" s="16">
        <v>45979</v>
      </c>
      <c r="C1628">
        <v>7.3</v>
      </c>
      <c r="D1628">
        <v>1</v>
      </c>
      <c r="E1628" t="s">
        <v>6132</v>
      </c>
    </row>
    <row r="1629" spans="1:5" x14ac:dyDescent="0.35">
      <c r="A1629" t="s">
        <v>146</v>
      </c>
      <c r="B1629" s="16">
        <v>45987</v>
      </c>
      <c r="C1629">
        <v>4.2</v>
      </c>
      <c r="D1629">
        <v>1</v>
      </c>
      <c r="E1629" t="s">
        <v>6132</v>
      </c>
    </row>
    <row r="1630" spans="1:5" x14ac:dyDescent="0.35">
      <c r="A1630" t="s">
        <v>146</v>
      </c>
      <c r="B1630" s="16">
        <v>45988</v>
      </c>
      <c r="C1630">
        <v>8.6</v>
      </c>
      <c r="D1630">
        <v>0</v>
      </c>
      <c r="E1630" t="s">
        <v>6133</v>
      </c>
    </row>
    <row r="1631" spans="1:5" x14ac:dyDescent="0.35">
      <c r="A1631" t="s">
        <v>146</v>
      </c>
      <c r="B1631" s="16">
        <v>45989</v>
      </c>
      <c r="C1631">
        <v>7.6</v>
      </c>
      <c r="D1631">
        <v>0</v>
      </c>
      <c r="E1631" t="s">
        <v>6133</v>
      </c>
    </row>
    <row r="1632" spans="1:5" x14ac:dyDescent="0.35">
      <c r="A1632" t="s">
        <v>146</v>
      </c>
      <c r="B1632" s="16">
        <v>45995</v>
      </c>
      <c r="C1632">
        <v>8.6999999999999993</v>
      </c>
      <c r="D1632">
        <v>3</v>
      </c>
      <c r="E1632" t="s">
        <v>6132</v>
      </c>
    </row>
    <row r="1633" spans="1:5" x14ac:dyDescent="0.35">
      <c r="A1633" t="s">
        <v>146</v>
      </c>
      <c r="B1633" s="16">
        <v>45996</v>
      </c>
      <c r="D1633">
        <v>0</v>
      </c>
      <c r="E1633" t="s">
        <v>6132</v>
      </c>
    </row>
    <row r="1634" spans="1:5" x14ac:dyDescent="0.35">
      <c r="A1634" t="s">
        <v>146</v>
      </c>
      <c r="B1634" s="16">
        <v>46000</v>
      </c>
      <c r="C1634">
        <v>5.8</v>
      </c>
      <c r="D1634">
        <v>0</v>
      </c>
      <c r="E1634" t="s">
        <v>6132</v>
      </c>
    </row>
    <row r="1635" spans="1:5" x14ac:dyDescent="0.35">
      <c r="A1635" t="s">
        <v>146</v>
      </c>
      <c r="B1635" s="16">
        <v>46002</v>
      </c>
      <c r="C1635">
        <v>4.0999999999999996</v>
      </c>
      <c r="D1635">
        <v>1</v>
      </c>
      <c r="E1635" t="s">
        <v>6132</v>
      </c>
    </row>
    <row r="1636" spans="1:5" x14ac:dyDescent="0.35">
      <c r="A1636" t="s">
        <v>146</v>
      </c>
      <c r="B1636" s="16">
        <v>46003</v>
      </c>
      <c r="C1636">
        <v>6.5</v>
      </c>
      <c r="D1636">
        <v>4</v>
      </c>
      <c r="E1636" t="s">
        <v>6132</v>
      </c>
    </row>
    <row r="1637" spans="1:5" x14ac:dyDescent="0.35">
      <c r="A1637" t="s">
        <v>146</v>
      </c>
      <c r="B1637" s="16">
        <v>46008</v>
      </c>
      <c r="C1637">
        <v>7.1</v>
      </c>
      <c r="D1637">
        <v>1</v>
      </c>
      <c r="E1637" t="s">
        <v>6132</v>
      </c>
    </row>
    <row r="1638" spans="1:5" x14ac:dyDescent="0.35">
      <c r="A1638" t="s">
        <v>146</v>
      </c>
      <c r="B1638" s="16">
        <v>46013</v>
      </c>
      <c r="C1638">
        <v>5.0999999999999996</v>
      </c>
      <c r="D1638">
        <v>3</v>
      </c>
      <c r="E1638" t="s">
        <v>6132</v>
      </c>
    </row>
    <row r="1639" spans="1:5" x14ac:dyDescent="0.35">
      <c r="A1639" t="s">
        <v>146</v>
      </c>
      <c r="B1639" s="16">
        <v>46014</v>
      </c>
      <c r="C1639">
        <v>5.4</v>
      </c>
      <c r="D1639">
        <v>1</v>
      </c>
      <c r="E1639" t="s">
        <v>6132</v>
      </c>
    </row>
    <row r="1640" spans="1:5" x14ac:dyDescent="0.35">
      <c r="A1640" t="s">
        <v>146</v>
      </c>
      <c r="B1640" s="16">
        <v>46015</v>
      </c>
      <c r="C1640">
        <v>6.8</v>
      </c>
      <c r="D1640">
        <v>0</v>
      </c>
      <c r="E1640" t="s">
        <v>6134</v>
      </c>
    </row>
    <row r="1641" spans="1:5" x14ac:dyDescent="0.35">
      <c r="A1641" t="s">
        <v>146</v>
      </c>
      <c r="B1641" s="16">
        <v>46016</v>
      </c>
      <c r="C1641">
        <v>4.4000000000000004</v>
      </c>
      <c r="D1641">
        <v>0</v>
      </c>
      <c r="E1641" t="s">
        <v>6132</v>
      </c>
    </row>
    <row r="1642" spans="1:5" x14ac:dyDescent="0.35">
      <c r="A1642" t="s">
        <v>146</v>
      </c>
      <c r="B1642" s="16">
        <v>46021</v>
      </c>
      <c r="C1642">
        <v>7</v>
      </c>
      <c r="D1642">
        <v>2</v>
      </c>
      <c r="E1642" t="s">
        <v>6132</v>
      </c>
    </row>
    <row r="1643" spans="1:5" x14ac:dyDescent="0.35">
      <c r="A1643" t="s">
        <v>146</v>
      </c>
      <c r="B1643" s="16">
        <v>46022</v>
      </c>
      <c r="C1643">
        <v>6.6</v>
      </c>
      <c r="D1643">
        <v>1</v>
      </c>
      <c r="E1643" t="s">
        <v>6132</v>
      </c>
    </row>
    <row r="1644" spans="1:5" x14ac:dyDescent="0.35">
      <c r="A1644" t="s">
        <v>89</v>
      </c>
      <c r="B1644" s="16">
        <v>45659</v>
      </c>
      <c r="C1644">
        <v>5.5</v>
      </c>
      <c r="D1644">
        <v>5</v>
      </c>
      <c r="E1644" t="s">
        <v>6132</v>
      </c>
    </row>
    <row r="1645" spans="1:5" x14ac:dyDescent="0.35">
      <c r="A1645" t="s">
        <v>89</v>
      </c>
      <c r="B1645" s="16">
        <v>45660</v>
      </c>
      <c r="C1645">
        <v>6.6</v>
      </c>
      <c r="D1645">
        <v>3</v>
      </c>
      <c r="E1645" t="s">
        <v>6132</v>
      </c>
    </row>
    <row r="1646" spans="1:5" x14ac:dyDescent="0.35">
      <c r="A1646" t="s">
        <v>89</v>
      </c>
      <c r="B1646" s="16">
        <v>45666</v>
      </c>
      <c r="C1646">
        <v>8.5</v>
      </c>
      <c r="D1646">
        <v>1</v>
      </c>
      <c r="E1646" t="s">
        <v>6132</v>
      </c>
    </row>
    <row r="1647" spans="1:5" x14ac:dyDescent="0.35">
      <c r="A1647" t="s">
        <v>89</v>
      </c>
      <c r="B1647" s="16">
        <v>45670</v>
      </c>
      <c r="C1647">
        <v>7.9</v>
      </c>
      <c r="D1647">
        <v>1</v>
      </c>
      <c r="E1647" t="s">
        <v>6132</v>
      </c>
    </row>
    <row r="1648" spans="1:5" x14ac:dyDescent="0.35">
      <c r="A1648" t="s">
        <v>89</v>
      </c>
      <c r="B1648" s="16">
        <v>45673</v>
      </c>
      <c r="C1648">
        <v>5.6</v>
      </c>
      <c r="D1648">
        <v>1</v>
      </c>
      <c r="E1648" t="s">
        <v>6132</v>
      </c>
    </row>
    <row r="1649" spans="1:5" x14ac:dyDescent="0.35">
      <c r="A1649" t="s">
        <v>89</v>
      </c>
      <c r="B1649" s="16">
        <v>45674</v>
      </c>
      <c r="C1649">
        <v>6.3</v>
      </c>
      <c r="D1649">
        <v>1</v>
      </c>
      <c r="E1649" t="s">
        <v>6132</v>
      </c>
    </row>
    <row r="1650" spans="1:5" x14ac:dyDescent="0.35">
      <c r="A1650" t="s">
        <v>89</v>
      </c>
      <c r="B1650" s="16">
        <v>45678</v>
      </c>
      <c r="C1650">
        <v>7.9</v>
      </c>
      <c r="D1650">
        <v>2</v>
      </c>
      <c r="E1650" t="s">
        <v>6132</v>
      </c>
    </row>
    <row r="1651" spans="1:5" x14ac:dyDescent="0.35">
      <c r="A1651" t="s">
        <v>89</v>
      </c>
      <c r="B1651" s="16">
        <v>45679</v>
      </c>
      <c r="C1651">
        <v>8.6999999999999993</v>
      </c>
      <c r="D1651">
        <v>1</v>
      </c>
      <c r="E1651" t="s">
        <v>6132</v>
      </c>
    </row>
    <row r="1652" spans="1:5" x14ac:dyDescent="0.35">
      <c r="A1652" t="s">
        <v>89</v>
      </c>
      <c r="B1652" s="16">
        <v>45680</v>
      </c>
      <c r="C1652">
        <v>5.7</v>
      </c>
      <c r="D1652">
        <v>1</v>
      </c>
      <c r="E1652" t="s">
        <v>6132</v>
      </c>
    </row>
    <row r="1653" spans="1:5" x14ac:dyDescent="0.35">
      <c r="A1653" t="s">
        <v>89</v>
      </c>
      <c r="B1653" s="16">
        <v>45681</v>
      </c>
      <c r="C1653">
        <v>6.4</v>
      </c>
      <c r="D1653">
        <v>2</v>
      </c>
      <c r="E1653" t="s">
        <v>6132</v>
      </c>
    </row>
    <row r="1654" spans="1:5" x14ac:dyDescent="0.35">
      <c r="A1654" t="s">
        <v>89</v>
      </c>
      <c r="B1654" s="16">
        <v>45686</v>
      </c>
      <c r="C1654">
        <v>8.8000000000000007</v>
      </c>
      <c r="D1654">
        <v>2</v>
      </c>
      <c r="E1654" t="s">
        <v>6132</v>
      </c>
    </row>
    <row r="1655" spans="1:5" x14ac:dyDescent="0.35">
      <c r="A1655" t="s">
        <v>89</v>
      </c>
      <c r="B1655" s="16">
        <v>45686</v>
      </c>
      <c r="C1655">
        <v>6.3</v>
      </c>
      <c r="D1655">
        <v>1</v>
      </c>
      <c r="E1655" t="s">
        <v>6132</v>
      </c>
    </row>
    <row r="1656" spans="1:5" x14ac:dyDescent="0.35">
      <c r="A1656" t="s">
        <v>89</v>
      </c>
      <c r="B1656" s="16">
        <v>45688</v>
      </c>
      <c r="C1656">
        <v>8.8000000000000007</v>
      </c>
      <c r="D1656">
        <v>3</v>
      </c>
      <c r="E1656" t="s">
        <v>6132</v>
      </c>
    </row>
    <row r="1657" spans="1:5" x14ac:dyDescent="0.35">
      <c r="A1657" t="s">
        <v>89</v>
      </c>
      <c r="B1657" s="16">
        <v>45691</v>
      </c>
      <c r="C1657">
        <v>5.2</v>
      </c>
      <c r="D1657">
        <v>2</v>
      </c>
      <c r="E1657" t="s">
        <v>6132</v>
      </c>
    </row>
    <row r="1658" spans="1:5" x14ac:dyDescent="0.35">
      <c r="A1658" t="s">
        <v>89</v>
      </c>
      <c r="B1658" s="16">
        <v>45692</v>
      </c>
      <c r="C1658">
        <v>5.6</v>
      </c>
      <c r="D1658">
        <v>1</v>
      </c>
      <c r="E1658" t="s">
        <v>6132</v>
      </c>
    </row>
    <row r="1659" spans="1:5" x14ac:dyDescent="0.35">
      <c r="A1659" t="s">
        <v>89</v>
      </c>
      <c r="B1659" s="16">
        <v>45693</v>
      </c>
      <c r="C1659">
        <v>7.8</v>
      </c>
      <c r="D1659">
        <v>5</v>
      </c>
      <c r="E1659" t="s">
        <v>6132</v>
      </c>
    </row>
    <row r="1660" spans="1:5" x14ac:dyDescent="0.35">
      <c r="A1660" t="s">
        <v>89</v>
      </c>
      <c r="B1660" s="16">
        <v>45695</v>
      </c>
      <c r="C1660">
        <v>6.9</v>
      </c>
      <c r="D1660">
        <v>2</v>
      </c>
      <c r="E1660" t="s">
        <v>6132</v>
      </c>
    </row>
    <row r="1661" spans="1:5" x14ac:dyDescent="0.35">
      <c r="A1661" t="s">
        <v>89</v>
      </c>
      <c r="B1661" s="16">
        <v>45698</v>
      </c>
      <c r="C1661">
        <v>8.6</v>
      </c>
      <c r="D1661">
        <v>4</v>
      </c>
      <c r="E1661" t="s">
        <v>6132</v>
      </c>
    </row>
    <row r="1662" spans="1:5" x14ac:dyDescent="0.35">
      <c r="A1662" t="s">
        <v>89</v>
      </c>
      <c r="B1662" s="16">
        <v>45701</v>
      </c>
      <c r="C1662">
        <v>7.5</v>
      </c>
      <c r="D1662">
        <v>1</v>
      </c>
      <c r="E1662" t="s">
        <v>6132</v>
      </c>
    </row>
    <row r="1663" spans="1:5" x14ac:dyDescent="0.35">
      <c r="A1663" t="s">
        <v>89</v>
      </c>
      <c r="B1663" s="16">
        <v>45706</v>
      </c>
      <c r="C1663">
        <v>8.1</v>
      </c>
      <c r="D1663">
        <v>0</v>
      </c>
      <c r="E1663" t="s">
        <v>6134</v>
      </c>
    </row>
    <row r="1664" spans="1:5" x14ac:dyDescent="0.35">
      <c r="A1664" t="s">
        <v>89</v>
      </c>
      <c r="B1664" s="16">
        <v>45707</v>
      </c>
      <c r="C1664">
        <v>5.3</v>
      </c>
      <c r="D1664">
        <v>2</v>
      </c>
      <c r="E1664" t="s">
        <v>6132</v>
      </c>
    </row>
    <row r="1665" spans="1:5" x14ac:dyDescent="0.35">
      <c r="A1665" t="s">
        <v>89</v>
      </c>
      <c r="B1665" s="16">
        <v>45708</v>
      </c>
      <c r="C1665">
        <v>7.1</v>
      </c>
      <c r="D1665">
        <v>2</v>
      </c>
      <c r="E1665" t="s">
        <v>6132</v>
      </c>
    </row>
    <row r="1666" spans="1:5" x14ac:dyDescent="0.35">
      <c r="A1666" t="s">
        <v>89</v>
      </c>
      <c r="B1666" s="16">
        <v>45708</v>
      </c>
      <c r="C1666">
        <v>8</v>
      </c>
      <c r="D1666">
        <v>4</v>
      </c>
      <c r="E1666" t="s">
        <v>6132</v>
      </c>
    </row>
    <row r="1667" spans="1:5" x14ac:dyDescent="0.35">
      <c r="A1667" t="s">
        <v>89</v>
      </c>
      <c r="B1667" s="16">
        <v>45709</v>
      </c>
      <c r="C1667">
        <v>5.0999999999999996</v>
      </c>
      <c r="D1667">
        <v>4</v>
      </c>
      <c r="E1667" t="s">
        <v>6132</v>
      </c>
    </row>
    <row r="1668" spans="1:5" x14ac:dyDescent="0.35">
      <c r="A1668" t="s">
        <v>89</v>
      </c>
      <c r="B1668" s="16">
        <v>45712</v>
      </c>
      <c r="C1668">
        <v>6.3</v>
      </c>
      <c r="D1668">
        <v>1</v>
      </c>
      <c r="E1668" t="s">
        <v>6132</v>
      </c>
    </row>
    <row r="1669" spans="1:5" x14ac:dyDescent="0.35">
      <c r="A1669" t="s">
        <v>89</v>
      </c>
      <c r="B1669" s="16">
        <v>45713</v>
      </c>
      <c r="C1669">
        <v>7.8</v>
      </c>
      <c r="D1669">
        <v>0</v>
      </c>
      <c r="E1669" t="s">
        <v>6132</v>
      </c>
    </row>
    <row r="1670" spans="1:5" x14ac:dyDescent="0.35">
      <c r="A1670" t="s">
        <v>89</v>
      </c>
      <c r="B1670" s="16">
        <v>45716</v>
      </c>
      <c r="C1670">
        <v>6.4</v>
      </c>
      <c r="D1670">
        <v>2</v>
      </c>
      <c r="E1670" t="s">
        <v>6132</v>
      </c>
    </row>
    <row r="1671" spans="1:5" x14ac:dyDescent="0.35">
      <c r="A1671" t="s">
        <v>89</v>
      </c>
      <c r="B1671" s="16">
        <v>45720</v>
      </c>
      <c r="C1671">
        <v>8.4</v>
      </c>
      <c r="D1671">
        <v>1</v>
      </c>
      <c r="E1671" t="s">
        <v>6132</v>
      </c>
    </row>
    <row r="1672" spans="1:5" x14ac:dyDescent="0.35">
      <c r="A1672" t="s">
        <v>89</v>
      </c>
      <c r="B1672" s="16">
        <v>45721</v>
      </c>
      <c r="C1672">
        <v>5</v>
      </c>
      <c r="D1672">
        <v>2</v>
      </c>
      <c r="E1672" t="s">
        <v>6132</v>
      </c>
    </row>
    <row r="1673" spans="1:5" x14ac:dyDescent="0.35">
      <c r="A1673" t="s">
        <v>89</v>
      </c>
      <c r="B1673" s="16">
        <v>45722</v>
      </c>
      <c r="C1673">
        <v>8</v>
      </c>
      <c r="D1673">
        <v>1</v>
      </c>
      <c r="E1673" t="s">
        <v>6132</v>
      </c>
    </row>
    <row r="1674" spans="1:5" x14ac:dyDescent="0.35">
      <c r="A1674" t="s">
        <v>89</v>
      </c>
      <c r="B1674" s="16">
        <v>45723</v>
      </c>
      <c r="C1674">
        <v>8.1999999999999993</v>
      </c>
      <c r="D1674">
        <v>4</v>
      </c>
      <c r="E1674" t="s">
        <v>6132</v>
      </c>
    </row>
    <row r="1675" spans="1:5" x14ac:dyDescent="0.35">
      <c r="A1675" t="s">
        <v>89</v>
      </c>
      <c r="B1675" s="16">
        <v>45726</v>
      </c>
      <c r="C1675">
        <v>6.3</v>
      </c>
      <c r="D1675">
        <v>0</v>
      </c>
      <c r="E1675" t="s">
        <v>6132</v>
      </c>
    </row>
    <row r="1676" spans="1:5" x14ac:dyDescent="0.35">
      <c r="A1676" t="s">
        <v>89</v>
      </c>
      <c r="B1676" s="16">
        <v>45727</v>
      </c>
      <c r="C1676">
        <v>8.6</v>
      </c>
      <c r="D1676">
        <v>0</v>
      </c>
      <c r="E1676" t="s">
        <v>6133</v>
      </c>
    </row>
    <row r="1677" spans="1:5" x14ac:dyDescent="0.35">
      <c r="A1677" t="s">
        <v>89</v>
      </c>
      <c r="B1677" s="16">
        <v>45728</v>
      </c>
      <c r="C1677">
        <v>5</v>
      </c>
      <c r="D1677">
        <v>0</v>
      </c>
      <c r="E1677" t="s">
        <v>6132</v>
      </c>
    </row>
    <row r="1678" spans="1:5" x14ac:dyDescent="0.35">
      <c r="A1678" t="s">
        <v>89</v>
      </c>
      <c r="B1678" s="16">
        <v>45728</v>
      </c>
      <c r="C1678">
        <v>6.5</v>
      </c>
      <c r="D1678">
        <v>7</v>
      </c>
      <c r="E1678" t="s">
        <v>6132</v>
      </c>
    </row>
    <row r="1679" spans="1:5" x14ac:dyDescent="0.35">
      <c r="A1679" t="s">
        <v>89</v>
      </c>
      <c r="B1679" s="16">
        <v>45729</v>
      </c>
      <c r="C1679">
        <v>4.0999999999999996</v>
      </c>
      <c r="D1679">
        <v>1</v>
      </c>
      <c r="E1679" t="s">
        <v>6132</v>
      </c>
    </row>
    <row r="1680" spans="1:5" x14ac:dyDescent="0.35">
      <c r="A1680" t="s">
        <v>89</v>
      </c>
      <c r="B1680" s="16">
        <v>45730</v>
      </c>
      <c r="C1680">
        <v>6</v>
      </c>
      <c r="D1680">
        <v>0</v>
      </c>
      <c r="E1680" t="s">
        <v>6132</v>
      </c>
    </row>
    <row r="1681" spans="1:5" x14ac:dyDescent="0.35">
      <c r="A1681" t="s">
        <v>89</v>
      </c>
      <c r="B1681" s="16">
        <v>45735</v>
      </c>
      <c r="C1681">
        <v>8.1</v>
      </c>
      <c r="D1681">
        <v>0</v>
      </c>
      <c r="E1681" t="s">
        <v>6132</v>
      </c>
    </row>
    <row r="1682" spans="1:5" x14ac:dyDescent="0.35">
      <c r="A1682" t="s">
        <v>89</v>
      </c>
      <c r="B1682" s="16">
        <v>45740</v>
      </c>
      <c r="C1682">
        <v>4.5999999999999996</v>
      </c>
      <c r="D1682">
        <v>4</v>
      </c>
      <c r="E1682" t="s">
        <v>6132</v>
      </c>
    </row>
    <row r="1683" spans="1:5" x14ac:dyDescent="0.35">
      <c r="A1683" t="s">
        <v>89</v>
      </c>
      <c r="B1683" s="16">
        <v>45742</v>
      </c>
      <c r="C1683">
        <v>5.4</v>
      </c>
      <c r="D1683">
        <v>1</v>
      </c>
      <c r="E1683" t="s">
        <v>6132</v>
      </c>
    </row>
    <row r="1684" spans="1:5" x14ac:dyDescent="0.35">
      <c r="A1684" t="s">
        <v>89</v>
      </c>
      <c r="B1684" s="16">
        <v>45744</v>
      </c>
      <c r="C1684">
        <v>6</v>
      </c>
      <c r="D1684">
        <v>1</v>
      </c>
      <c r="E1684" t="s">
        <v>6132</v>
      </c>
    </row>
    <row r="1685" spans="1:5" x14ac:dyDescent="0.35">
      <c r="A1685" t="s">
        <v>89</v>
      </c>
      <c r="B1685" s="16">
        <v>45748</v>
      </c>
      <c r="C1685">
        <v>7.9</v>
      </c>
      <c r="D1685">
        <v>0</v>
      </c>
      <c r="E1685" t="s">
        <v>6132</v>
      </c>
    </row>
    <row r="1686" spans="1:5" x14ac:dyDescent="0.35">
      <c r="A1686" t="s">
        <v>89</v>
      </c>
      <c r="B1686" s="16">
        <v>45749</v>
      </c>
      <c r="C1686">
        <v>6.6</v>
      </c>
      <c r="D1686">
        <v>0</v>
      </c>
      <c r="E1686" t="s">
        <v>6132</v>
      </c>
    </row>
    <row r="1687" spans="1:5" x14ac:dyDescent="0.35">
      <c r="A1687" t="s">
        <v>89</v>
      </c>
      <c r="B1687" s="16">
        <v>45751</v>
      </c>
      <c r="C1687">
        <v>5.4</v>
      </c>
      <c r="D1687">
        <v>2</v>
      </c>
      <c r="E1687" t="s">
        <v>6132</v>
      </c>
    </row>
    <row r="1688" spans="1:5" x14ac:dyDescent="0.35">
      <c r="A1688" t="s">
        <v>89</v>
      </c>
      <c r="B1688" s="16">
        <v>45757</v>
      </c>
      <c r="C1688">
        <v>7.4</v>
      </c>
      <c r="D1688">
        <v>1</v>
      </c>
      <c r="E1688" t="s">
        <v>6132</v>
      </c>
    </row>
    <row r="1689" spans="1:5" x14ac:dyDescent="0.35">
      <c r="A1689" t="s">
        <v>89</v>
      </c>
      <c r="B1689" s="16">
        <v>45761</v>
      </c>
      <c r="C1689">
        <v>7.3</v>
      </c>
      <c r="D1689">
        <v>2</v>
      </c>
      <c r="E1689" t="s">
        <v>6132</v>
      </c>
    </row>
    <row r="1690" spans="1:5" x14ac:dyDescent="0.35">
      <c r="A1690" t="s">
        <v>89</v>
      </c>
      <c r="B1690" s="16">
        <v>45765</v>
      </c>
      <c r="C1690">
        <v>8.6</v>
      </c>
      <c r="D1690">
        <v>4</v>
      </c>
      <c r="E1690" t="s">
        <v>6132</v>
      </c>
    </row>
    <row r="1691" spans="1:5" x14ac:dyDescent="0.35">
      <c r="A1691" t="s">
        <v>89</v>
      </c>
      <c r="B1691" s="16">
        <v>45769</v>
      </c>
      <c r="C1691">
        <v>9</v>
      </c>
      <c r="D1691">
        <v>0</v>
      </c>
      <c r="E1691" t="s">
        <v>6132</v>
      </c>
    </row>
    <row r="1692" spans="1:5" x14ac:dyDescent="0.35">
      <c r="A1692" t="s">
        <v>89</v>
      </c>
      <c r="B1692" s="16">
        <v>45771</v>
      </c>
      <c r="C1692">
        <v>5.3</v>
      </c>
      <c r="D1692">
        <v>0</v>
      </c>
      <c r="E1692" t="s">
        <v>6132</v>
      </c>
    </row>
    <row r="1693" spans="1:5" x14ac:dyDescent="0.35">
      <c r="A1693" t="s">
        <v>89</v>
      </c>
      <c r="B1693" s="16">
        <v>45772</v>
      </c>
      <c r="C1693">
        <v>4.9000000000000004</v>
      </c>
      <c r="D1693">
        <v>4</v>
      </c>
      <c r="E1693" t="s">
        <v>6132</v>
      </c>
    </row>
    <row r="1694" spans="1:5" x14ac:dyDescent="0.35">
      <c r="A1694" t="s">
        <v>89</v>
      </c>
      <c r="B1694" s="16">
        <v>45775</v>
      </c>
      <c r="C1694">
        <v>8.1999999999999993</v>
      </c>
      <c r="D1694">
        <v>0</v>
      </c>
      <c r="E1694" t="s">
        <v>6132</v>
      </c>
    </row>
    <row r="1695" spans="1:5" x14ac:dyDescent="0.35">
      <c r="A1695" t="s">
        <v>89</v>
      </c>
      <c r="B1695" s="16">
        <v>45776</v>
      </c>
      <c r="C1695">
        <v>5.5</v>
      </c>
      <c r="D1695">
        <v>8</v>
      </c>
      <c r="E1695" t="s">
        <v>6132</v>
      </c>
    </row>
    <row r="1696" spans="1:5" x14ac:dyDescent="0.35">
      <c r="A1696" t="s">
        <v>89</v>
      </c>
      <c r="B1696" s="16">
        <v>45778</v>
      </c>
      <c r="C1696">
        <v>4.0999999999999996</v>
      </c>
      <c r="D1696">
        <v>1</v>
      </c>
      <c r="E1696" t="s">
        <v>6132</v>
      </c>
    </row>
    <row r="1697" spans="1:5" x14ac:dyDescent="0.35">
      <c r="A1697" t="s">
        <v>89</v>
      </c>
      <c r="B1697" s="16">
        <v>45783</v>
      </c>
      <c r="C1697">
        <v>7.2</v>
      </c>
      <c r="D1697">
        <v>3</v>
      </c>
      <c r="E1697" t="s">
        <v>6132</v>
      </c>
    </row>
    <row r="1698" spans="1:5" x14ac:dyDescent="0.35">
      <c r="A1698" t="s">
        <v>89</v>
      </c>
      <c r="B1698" s="16">
        <v>45783</v>
      </c>
      <c r="C1698">
        <v>8</v>
      </c>
      <c r="D1698">
        <v>4</v>
      </c>
      <c r="E1698" t="s">
        <v>6132</v>
      </c>
    </row>
    <row r="1699" spans="1:5" x14ac:dyDescent="0.35">
      <c r="A1699" t="s">
        <v>89</v>
      </c>
      <c r="B1699" s="16">
        <v>45785</v>
      </c>
      <c r="C1699">
        <v>5</v>
      </c>
      <c r="D1699">
        <v>0</v>
      </c>
      <c r="E1699" t="s">
        <v>6132</v>
      </c>
    </row>
    <row r="1700" spans="1:5" x14ac:dyDescent="0.35">
      <c r="A1700" t="s">
        <v>89</v>
      </c>
      <c r="B1700" s="16">
        <v>45786</v>
      </c>
      <c r="C1700">
        <v>8.1999999999999993</v>
      </c>
      <c r="D1700">
        <v>4</v>
      </c>
      <c r="E1700" t="s">
        <v>6132</v>
      </c>
    </row>
    <row r="1701" spans="1:5" x14ac:dyDescent="0.35">
      <c r="A1701" t="s">
        <v>89</v>
      </c>
      <c r="B1701" s="16">
        <v>45789</v>
      </c>
      <c r="C1701">
        <v>8.6</v>
      </c>
      <c r="D1701">
        <v>0</v>
      </c>
      <c r="E1701" t="s">
        <v>6132</v>
      </c>
    </row>
    <row r="1702" spans="1:5" x14ac:dyDescent="0.35">
      <c r="A1702" t="s">
        <v>89</v>
      </c>
      <c r="B1702" s="16">
        <v>45790</v>
      </c>
      <c r="C1702">
        <v>8.1</v>
      </c>
      <c r="D1702">
        <v>6</v>
      </c>
      <c r="E1702" t="s">
        <v>6132</v>
      </c>
    </row>
    <row r="1703" spans="1:5" x14ac:dyDescent="0.35">
      <c r="A1703" t="s">
        <v>89</v>
      </c>
      <c r="B1703" s="16">
        <v>45793</v>
      </c>
      <c r="C1703">
        <v>6.3</v>
      </c>
      <c r="D1703">
        <v>1</v>
      </c>
      <c r="E1703" t="s">
        <v>6132</v>
      </c>
    </row>
    <row r="1704" spans="1:5" x14ac:dyDescent="0.35">
      <c r="A1704" t="s">
        <v>89</v>
      </c>
      <c r="B1704" s="16">
        <v>45796</v>
      </c>
      <c r="C1704">
        <v>5.9</v>
      </c>
      <c r="D1704">
        <v>8</v>
      </c>
      <c r="E1704" t="s">
        <v>6132</v>
      </c>
    </row>
    <row r="1705" spans="1:5" x14ac:dyDescent="0.35">
      <c r="A1705" t="s">
        <v>89</v>
      </c>
      <c r="B1705" s="16">
        <v>45797</v>
      </c>
      <c r="C1705">
        <v>5.6</v>
      </c>
      <c r="D1705">
        <v>2</v>
      </c>
      <c r="E1705" t="s">
        <v>6132</v>
      </c>
    </row>
    <row r="1706" spans="1:5" x14ac:dyDescent="0.35">
      <c r="A1706" t="s">
        <v>89</v>
      </c>
      <c r="B1706" s="16">
        <v>45799</v>
      </c>
      <c r="C1706">
        <v>8.9</v>
      </c>
      <c r="D1706">
        <v>0</v>
      </c>
      <c r="E1706" t="s">
        <v>6133</v>
      </c>
    </row>
    <row r="1707" spans="1:5" x14ac:dyDescent="0.35">
      <c r="A1707" t="s">
        <v>89</v>
      </c>
      <c r="B1707" s="16">
        <v>45803</v>
      </c>
      <c r="C1707">
        <v>4.5999999999999996</v>
      </c>
      <c r="D1707">
        <v>0</v>
      </c>
      <c r="E1707" t="s">
        <v>6132</v>
      </c>
    </row>
    <row r="1708" spans="1:5" x14ac:dyDescent="0.35">
      <c r="A1708" t="s">
        <v>89</v>
      </c>
      <c r="B1708" s="16">
        <v>45804</v>
      </c>
      <c r="C1708">
        <v>5.9</v>
      </c>
      <c r="D1708">
        <v>9</v>
      </c>
      <c r="E1708" t="s">
        <v>6132</v>
      </c>
    </row>
    <row r="1709" spans="1:5" x14ac:dyDescent="0.35">
      <c r="A1709" t="s">
        <v>89</v>
      </c>
      <c r="B1709" s="16">
        <v>45804</v>
      </c>
      <c r="C1709">
        <v>4.7</v>
      </c>
      <c r="D1709">
        <v>1</v>
      </c>
      <c r="E1709" t="s">
        <v>6132</v>
      </c>
    </row>
    <row r="1710" spans="1:5" x14ac:dyDescent="0.35">
      <c r="A1710" t="s">
        <v>89</v>
      </c>
      <c r="B1710" s="16">
        <v>45805</v>
      </c>
      <c r="C1710">
        <v>5.6</v>
      </c>
      <c r="D1710">
        <v>0</v>
      </c>
      <c r="E1710" t="s">
        <v>6132</v>
      </c>
    </row>
    <row r="1711" spans="1:5" x14ac:dyDescent="0.35">
      <c r="A1711" t="s">
        <v>89</v>
      </c>
      <c r="B1711" s="16">
        <v>45806</v>
      </c>
      <c r="C1711">
        <v>8.5</v>
      </c>
      <c r="D1711">
        <v>2</v>
      </c>
      <c r="E1711" t="s">
        <v>6132</v>
      </c>
    </row>
    <row r="1712" spans="1:5" x14ac:dyDescent="0.35">
      <c r="A1712" t="s">
        <v>89</v>
      </c>
      <c r="B1712" s="16">
        <v>45807</v>
      </c>
      <c r="C1712">
        <v>8.6</v>
      </c>
      <c r="D1712">
        <v>0</v>
      </c>
      <c r="E1712" t="s">
        <v>6132</v>
      </c>
    </row>
    <row r="1713" spans="1:5" x14ac:dyDescent="0.35">
      <c r="A1713" t="s">
        <v>89</v>
      </c>
      <c r="B1713" s="16">
        <v>45811</v>
      </c>
      <c r="C1713">
        <v>7.7</v>
      </c>
      <c r="D1713">
        <v>1</v>
      </c>
      <c r="E1713" t="s">
        <v>6132</v>
      </c>
    </row>
    <row r="1714" spans="1:5" x14ac:dyDescent="0.35">
      <c r="A1714" t="s">
        <v>89</v>
      </c>
      <c r="B1714" s="16">
        <v>45814</v>
      </c>
      <c r="C1714">
        <v>7.4</v>
      </c>
      <c r="D1714">
        <v>1</v>
      </c>
      <c r="E1714" t="s">
        <v>6132</v>
      </c>
    </row>
    <row r="1715" spans="1:5" x14ac:dyDescent="0.35">
      <c r="A1715" t="s">
        <v>89</v>
      </c>
      <c r="B1715" s="16">
        <v>45819</v>
      </c>
      <c r="C1715">
        <v>7.4</v>
      </c>
      <c r="D1715">
        <v>3</v>
      </c>
      <c r="E1715" t="s">
        <v>6132</v>
      </c>
    </row>
    <row r="1716" spans="1:5" x14ac:dyDescent="0.35">
      <c r="A1716" t="s">
        <v>89</v>
      </c>
      <c r="B1716" s="16">
        <v>45821</v>
      </c>
      <c r="C1716">
        <v>7.7</v>
      </c>
      <c r="D1716">
        <v>0</v>
      </c>
      <c r="E1716" t="s">
        <v>6134</v>
      </c>
    </row>
    <row r="1717" spans="1:5" x14ac:dyDescent="0.35">
      <c r="A1717" t="s">
        <v>89</v>
      </c>
      <c r="B1717" s="16">
        <v>45826</v>
      </c>
      <c r="C1717">
        <v>7.1</v>
      </c>
      <c r="D1717">
        <v>1</v>
      </c>
      <c r="E1717" t="s">
        <v>6132</v>
      </c>
    </row>
    <row r="1718" spans="1:5" x14ac:dyDescent="0.35">
      <c r="A1718" t="s">
        <v>89</v>
      </c>
      <c r="B1718" s="16">
        <v>45827</v>
      </c>
      <c r="C1718">
        <v>5.6</v>
      </c>
      <c r="D1718">
        <v>3</v>
      </c>
      <c r="E1718" t="s">
        <v>6132</v>
      </c>
    </row>
    <row r="1719" spans="1:5" x14ac:dyDescent="0.35">
      <c r="A1719" t="s">
        <v>89</v>
      </c>
      <c r="B1719" s="16">
        <v>45831</v>
      </c>
      <c r="C1719">
        <v>6.9</v>
      </c>
      <c r="D1719">
        <v>2</v>
      </c>
      <c r="E1719" t="s">
        <v>6132</v>
      </c>
    </row>
    <row r="1720" spans="1:5" x14ac:dyDescent="0.35">
      <c r="A1720" t="s">
        <v>89</v>
      </c>
      <c r="B1720" s="16">
        <v>45834</v>
      </c>
      <c r="D1720">
        <v>0</v>
      </c>
      <c r="E1720" t="s">
        <v>6134</v>
      </c>
    </row>
    <row r="1721" spans="1:5" x14ac:dyDescent="0.35">
      <c r="A1721" t="s">
        <v>89</v>
      </c>
      <c r="B1721" s="16">
        <v>45838</v>
      </c>
      <c r="C1721">
        <v>5.4</v>
      </c>
      <c r="D1721">
        <v>1</v>
      </c>
      <c r="E1721" t="s">
        <v>6132</v>
      </c>
    </row>
    <row r="1722" spans="1:5" x14ac:dyDescent="0.35">
      <c r="A1722" t="s">
        <v>89</v>
      </c>
      <c r="B1722" s="16">
        <v>45839</v>
      </c>
      <c r="C1722">
        <v>5.2</v>
      </c>
      <c r="D1722">
        <v>4</v>
      </c>
      <c r="E1722" t="s">
        <v>6132</v>
      </c>
    </row>
    <row r="1723" spans="1:5" x14ac:dyDescent="0.35">
      <c r="A1723" t="s">
        <v>89</v>
      </c>
      <c r="B1723" s="16">
        <v>45839</v>
      </c>
      <c r="C1723">
        <v>8.6</v>
      </c>
      <c r="D1723">
        <v>0</v>
      </c>
      <c r="E1723" t="s">
        <v>6132</v>
      </c>
    </row>
    <row r="1724" spans="1:5" x14ac:dyDescent="0.35">
      <c r="A1724" t="s">
        <v>89</v>
      </c>
      <c r="B1724" s="16">
        <v>45841</v>
      </c>
      <c r="C1724">
        <v>7.8</v>
      </c>
      <c r="D1724">
        <v>5</v>
      </c>
      <c r="E1724" t="s">
        <v>6132</v>
      </c>
    </row>
    <row r="1725" spans="1:5" x14ac:dyDescent="0.35">
      <c r="A1725" t="s">
        <v>89</v>
      </c>
      <c r="B1725" s="16">
        <v>45846</v>
      </c>
      <c r="C1725">
        <v>4.3</v>
      </c>
      <c r="D1725">
        <v>0</v>
      </c>
      <c r="E1725" t="s">
        <v>6132</v>
      </c>
    </row>
    <row r="1726" spans="1:5" x14ac:dyDescent="0.35">
      <c r="A1726" t="s">
        <v>89</v>
      </c>
      <c r="B1726" s="16">
        <v>45848</v>
      </c>
      <c r="C1726">
        <v>5.2</v>
      </c>
      <c r="D1726">
        <v>7</v>
      </c>
      <c r="E1726" t="s">
        <v>6132</v>
      </c>
    </row>
    <row r="1727" spans="1:5" x14ac:dyDescent="0.35">
      <c r="A1727" t="s">
        <v>89</v>
      </c>
      <c r="B1727" s="16">
        <v>45849</v>
      </c>
      <c r="C1727">
        <v>5.7</v>
      </c>
      <c r="D1727">
        <v>0</v>
      </c>
      <c r="E1727" t="s">
        <v>6133</v>
      </c>
    </row>
    <row r="1728" spans="1:5" x14ac:dyDescent="0.35">
      <c r="A1728" t="s">
        <v>89</v>
      </c>
      <c r="B1728" s="16">
        <v>45852</v>
      </c>
      <c r="C1728">
        <v>4.8</v>
      </c>
      <c r="D1728">
        <v>1</v>
      </c>
      <c r="E1728" t="s">
        <v>6132</v>
      </c>
    </row>
    <row r="1729" spans="1:5" x14ac:dyDescent="0.35">
      <c r="A1729" t="s">
        <v>89</v>
      </c>
      <c r="B1729" s="16">
        <v>45853</v>
      </c>
      <c r="C1729">
        <v>7.7</v>
      </c>
      <c r="D1729">
        <v>5</v>
      </c>
      <c r="E1729" t="s">
        <v>6132</v>
      </c>
    </row>
    <row r="1730" spans="1:5" x14ac:dyDescent="0.35">
      <c r="A1730" t="s">
        <v>89</v>
      </c>
      <c r="B1730" s="16">
        <v>45854</v>
      </c>
      <c r="C1730">
        <v>6.5</v>
      </c>
      <c r="D1730">
        <v>1</v>
      </c>
      <c r="E1730" t="s">
        <v>6132</v>
      </c>
    </row>
    <row r="1731" spans="1:5" x14ac:dyDescent="0.35">
      <c r="A1731" t="s">
        <v>89</v>
      </c>
      <c r="B1731" s="16">
        <v>45859</v>
      </c>
      <c r="C1731">
        <v>4.0999999999999996</v>
      </c>
      <c r="D1731">
        <v>1</v>
      </c>
      <c r="E1731" t="s">
        <v>6132</v>
      </c>
    </row>
    <row r="1732" spans="1:5" x14ac:dyDescent="0.35">
      <c r="A1732" t="s">
        <v>89</v>
      </c>
      <c r="B1732" s="16">
        <v>45860</v>
      </c>
      <c r="C1732">
        <v>8.6</v>
      </c>
      <c r="D1732">
        <v>2</v>
      </c>
      <c r="E1732" t="s">
        <v>6132</v>
      </c>
    </row>
    <row r="1733" spans="1:5" x14ac:dyDescent="0.35">
      <c r="A1733" t="s">
        <v>89</v>
      </c>
      <c r="B1733" s="16">
        <v>45869</v>
      </c>
      <c r="C1733">
        <v>5.6</v>
      </c>
      <c r="D1733">
        <v>1</v>
      </c>
      <c r="E1733" t="s">
        <v>6132</v>
      </c>
    </row>
    <row r="1734" spans="1:5" x14ac:dyDescent="0.35">
      <c r="A1734" t="s">
        <v>89</v>
      </c>
      <c r="B1734" s="16">
        <v>45870</v>
      </c>
      <c r="C1734">
        <v>7.2</v>
      </c>
      <c r="D1734">
        <v>2</v>
      </c>
      <c r="E1734" t="s">
        <v>6132</v>
      </c>
    </row>
    <row r="1735" spans="1:5" x14ac:dyDescent="0.35">
      <c r="A1735" t="s">
        <v>89</v>
      </c>
      <c r="B1735" s="16">
        <v>45880</v>
      </c>
      <c r="C1735">
        <v>4.3</v>
      </c>
      <c r="D1735">
        <v>0</v>
      </c>
      <c r="E1735" t="s">
        <v>6134</v>
      </c>
    </row>
    <row r="1736" spans="1:5" x14ac:dyDescent="0.35">
      <c r="A1736" t="s">
        <v>89</v>
      </c>
      <c r="B1736" s="16">
        <v>45881</v>
      </c>
      <c r="C1736">
        <v>8</v>
      </c>
      <c r="D1736">
        <v>0</v>
      </c>
      <c r="E1736" t="s">
        <v>6134</v>
      </c>
    </row>
    <row r="1737" spans="1:5" x14ac:dyDescent="0.35">
      <c r="A1737" t="s">
        <v>89</v>
      </c>
      <c r="B1737" s="16">
        <v>45881</v>
      </c>
      <c r="C1737">
        <v>5.4</v>
      </c>
      <c r="D1737">
        <v>0</v>
      </c>
      <c r="E1737" t="s">
        <v>6134</v>
      </c>
    </row>
    <row r="1738" spans="1:5" x14ac:dyDescent="0.35">
      <c r="A1738" t="s">
        <v>89</v>
      </c>
      <c r="B1738" s="16">
        <v>45882</v>
      </c>
      <c r="C1738">
        <v>4.0999999999999996</v>
      </c>
      <c r="D1738">
        <v>4</v>
      </c>
      <c r="E1738" t="s">
        <v>6132</v>
      </c>
    </row>
    <row r="1739" spans="1:5" x14ac:dyDescent="0.35">
      <c r="A1739" t="s">
        <v>89</v>
      </c>
      <c r="B1739" s="16">
        <v>45883</v>
      </c>
      <c r="C1739">
        <v>6.6</v>
      </c>
      <c r="D1739">
        <v>4</v>
      </c>
      <c r="E1739" t="s">
        <v>6132</v>
      </c>
    </row>
    <row r="1740" spans="1:5" x14ac:dyDescent="0.35">
      <c r="A1740" t="s">
        <v>89</v>
      </c>
      <c r="B1740" s="16">
        <v>45888</v>
      </c>
      <c r="C1740">
        <v>5.8</v>
      </c>
      <c r="D1740">
        <v>1</v>
      </c>
      <c r="E1740" t="s">
        <v>6132</v>
      </c>
    </row>
    <row r="1741" spans="1:5" x14ac:dyDescent="0.35">
      <c r="A1741" t="s">
        <v>89</v>
      </c>
      <c r="B1741" s="16">
        <v>45889</v>
      </c>
      <c r="C1741">
        <v>4.5</v>
      </c>
      <c r="D1741">
        <v>2</v>
      </c>
      <c r="E1741" t="s">
        <v>6132</v>
      </c>
    </row>
    <row r="1742" spans="1:5" x14ac:dyDescent="0.35">
      <c r="A1742" t="s">
        <v>89</v>
      </c>
      <c r="B1742" s="16">
        <v>45891</v>
      </c>
      <c r="C1742">
        <v>6.8</v>
      </c>
      <c r="D1742">
        <v>4</v>
      </c>
      <c r="E1742" t="s">
        <v>6132</v>
      </c>
    </row>
    <row r="1743" spans="1:5" x14ac:dyDescent="0.35">
      <c r="A1743" t="s">
        <v>89</v>
      </c>
      <c r="B1743" s="16">
        <v>45895</v>
      </c>
      <c r="C1743">
        <v>7.7</v>
      </c>
      <c r="D1743">
        <v>2</v>
      </c>
      <c r="E1743" t="s">
        <v>6132</v>
      </c>
    </row>
    <row r="1744" spans="1:5" x14ac:dyDescent="0.35">
      <c r="A1744" t="s">
        <v>89</v>
      </c>
      <c r="B1744" s="16">
        <v>45896</v>
      </c>
      <c r="C1744">
        <v>6.8</v>
      </c>
      <c r="D1744">
        <v>3</v>
      </c>
      <c r="E1744" t="s">
        <v>6132</v>
      </c>
    </row>
    <row r="1745" spans="1:5" x14ac:dyDescent="0.35">
      <c r="A1745" t="s">
        <v>89</v>
      </c>
      <c r="B1745" s="16">
        <v>45897</v>
      </c>
      <c r="C1745">
        <v>7</v>
      </c>
      <c r="D1745">
        <v>0</v>
      </c>
      <c r="E1745" t="s">
        <v>6132</v>
      </c>
    </row>
    <row r="1746" spans="1:5" x14ac:dyDescent="0.35">
      <c r="A1746" t="s">
        <v>89</v>
      </c>
      <c r="B1746" s="16">
        <v>45898</v>
      </c>
      <c r="C1746">
        <v>5.6</v>
      </c>
      <c r="D1746">
        <v>2</v>
      </c>
      <c r="E1746" t="s">
        <v>6132</v>
      </c>
    </row>
    <row r="1747" spans="1:5" x14ac:dyDescent="0.35">
      <c r="A1747" t="s">
        <v>89</v>
      </c>
      <c r="B1747" s="16">
        <v>45901</v>
      </c>
      <c r="C1747">
        <v>4.3</v>
      </c>
      <c r="D1747">
        <v>1</v>
      </c>
      <c r="E1747" t="s">
        <v>6132</v>
      </c>
    </row>
    <row r="1748" spans="1:5" x14ac:dyDescent="0.35">
      <c r="A1748" t="s">
        <v>89</v>
      </c>
      <c r="B1748" s="16">
        <v>45902</v>
      </c>
      <c r="D1748">
        <v>1</v>
      </c>
      <c r="E1748" t="s">
        <v>6132</v>
      </c>
    </row>
    <row r="1749" spans="1:5" x14ac:dyDescent="0.35">
      <c r="A1749" t="s">
        <v>89</v>
      </c>
      <c r="B1749" s="16">
        <v>45903</v>
      </c>
      <c r="C1749">
        <v>8.4</v>
      </c>
      <c r="D1749">
        <v>0</v>
      </c>
      <c r="E1749" t="s">
        <v>6132</v>
      </c>
    </row>
    <row r="1750" spans="1:5" x14ac:dyDescent="0.35">
      <c r="A1750" t="s">
        <v>89</v>
      </c>
      <c r="B1750" s="16">
        <v>45904</v>
      </c>
      <c r="C1750">
        <v>4.7</v>
      </c>
      <c r="D1750">
        <v>2</v>
      </c>
      <c r="E1750" t="s">
        <v>6132</v>
      </c>
    </row>
    <row r="1751" spans="1:5" x14ac:dyDescent="0.35">
      <c r="A1751" t="s">
        <v>89</v>
      </c>
      <c r="B1751" s="16">
        <v>45908</v>
      </c>
      <c r="C1751">
        <v>8</v>
      </c>
      <c r="D1751">
        <v>6</v>
      </c>
      <c r="E1751" t="s">
        <v>6132</v>
      </c>
    </row>
    <row r="1752" spans="1:5" x14ac:dyDescent="0.35">
      <c r="A1752" t="s">
        <v>89</v>
      </c>
      <c r="B1752" s="16">
        <v>45909</v>
      </c>
      <c r="C1752">
        <v>8</v>
      </c>
      <c r="D1752">
        <v>1</v>
      </c>
      <c r="E1752" t="s">
        <v>6132</v>
      </c>
    </row>
    <row r="1753" spans="1:5" x14ac:dyDescent="0.35">
      <c r="A1753" t="s">
        <v>89</v>
      </c>
      <c r="B1753" s="16">
        <v>45911</v>
      </c>
      <c r="C1753">
        <v>6.2</v>
      </c>
      <c r="D1753">
        <v>0</v>
      </c>
      <c r="E1753" t="s">
        <v>6132</v>
      </c>
    </row>
    <row r="1754" spans="1:5" x14ac:dyDescent="0.35">
      <c r="A1754" t="s">
        <v>89</v>
      </c>
      <c r="B1754" s="16">
        <v>45912</v>
      </c>
      <c r="C1754">
        <v>6.3</v>
      </c>
      <c r="D1754">
        <v>3</v>
      </c>
      <c r="E1754" t="s">
        <v>6132</v>
      </c>
    </row>
    <row r="1755" spans="1:5" x14ac:dyDescent="0.35">
      <c r="A1755" t="s">
        <v>89</v>
      </c>
      <c r="B1755" s="16">
        <v>45916</v>
      </c>
      <c r="C1755">
        <v>5.7</v>
      </c>
      <c r="D1755">
        <v>0</v>
      </c>
      <c r="E1755" t="s">
        <v>6132</v>
      </c>
    </row>
    <row r="1756" spans="1:5" x14ac:dyDescent="0.35">
      <c r="A1756" t="s">
        <v>89</v>
      </c>
      <c r="B1756" s="16">
        <v>45918</v>
      </c>
      <c r="C1756">
        <v>5.4</v>
      </c>
      <c r="D1756">
        <v>7</v>
      </c>
      <c r="E1756" t="s">
        <v>6132</v>
      </c>
    </row>
    <row r="1757" spans="1:5" x14ac:dyDescent="0.35">
      <c r="A1757" t="s">
        <v>89</v>
      </c>
      <c r="B1757" s="16">
        <v>45918</v>
      </c>
      <c r="C1757">
        <v>8.9</v>
      </c>
      <c r="D1757">
        <v>2</v>
      </c>
      <c r="E1757" t="s">
        <v>6132</v>
      </c>
    </row>
    <row r="1758" spans="1:5" x14ac:dyDescent="0.35">
      <c r="A1758" t="s">
        <v>89</v>
      </c>
      <c r="B1758" s="16">
        <v>45923</v>
      </c>
      <c r="C1758">
        <v>7.2</v>
      </c>
      <c r="D1758">
        <v>2</v>
      </c>
      <c r="E1758" t="s">
        <v>6132</v>
      </c>
    </row>
    <row r="1759" spans="1:5" x14ac:dyDescent="0.35">
      <c r="A1759" t="s">
        <v>89</v>
      </c>
      <c r="B1759" s="16">
        <v>45926</v>
      </c>
      <c r="C1759">
        <v>6.6</v>
      </c>
      <c r="D1759">
        <v>1</v>
      </c>
      <c r="E1759" t="s">
        <v>6132</v>
      </c>
    </row>
    <row r="1760" spans="1:5" x14ac:dyDescent="0.35">
      <c r="A1760" t="s">
        <v>89</v>
      </c>
      <c r="B1760" s="16">
        <v>45931</v>
      </c>
      <c r="C1760">
        <v>6.9</v>
      </c>
      <c r="D1760">
        <v>1</v>
      </c>
      <c r="E1760" t="s">
        <v>6132</v>
      </c>
    </row>
    <row r="1761" spans="1:5" x14ac:dyDescent="0.35">
      <c r="A1761" t="s">
        <v>89</v>
      </c>
      <c r="B1761" s="16">
        <v>45937</v>
      </c>
      <c r="C1761">
        <v>4.0999999999999996</v>
      </c>
      <c r="D1761">
        <v>1</v>
      </c>
      <c r="E1761" t="s">
        <v>6132</v>
      </c>
    </row>
    <row r="1762" spans="1:5" x14ac:dyDescent="0.35">
      <c r="A1762" t="s">
        <v>89</v>
      </c>
      <c r="B1762" s="16">
        <v>45938</v>
      </c>
      <c r="C1762">
        <v>8.4</v>
      </c>
      <c r="D1762">
        <v>2</v>
      </c>
      <c r="E1762" t="s">
        <v>6132</v>
      </c>
    </row>
    <row r="1763" spans="1:5" x14ac:dyDescent="0.35">
      <c r="A1763" t="s">
        <v>89</v>
      </c>
      <c r="B1763" s="16">
        <v>45939</v>
      </c>
      <c r="C1763">
        <v>5.7</v>
      </c>
      <c r="D1763">
        <v>0</v>
      </c>
      <c r="E1763" t="s">
        <v>6134</v>
      </c>
    </row>
    <row r="1764" spans="1:5" x14ac:dyDescent="0.35">
      <c r="A1764" t="s">
        <v>89</v>
      </c>
      <c r="B1764" s="16">
        <v>45940</v>
      </c>
      <c r="C1764">
        <v>8.6999999999999993</v>
      </c>
      <c r="D1764">
        <v>6</v>
      </c>
      <c r="E1764" t="s">
        <v>6132</v>
      </c>
    </row>
    <row r="1765" spans="1:5" x14ac:dyDescent="0.35">
      <c r="A1765" t="s">
        <v>89</v>
      </c>
      <c r="B1765" s="16">
        <v>45944</v>
      </c>
      <c r="C1765">
        <v>7.1</v>
      </c>
      <c r="D1765">
        <v>0</v>
      </c>
      <c r="E1765" t="s">
        <v>6133</v>
      </c>
    </row>
    <row r="1766" spans="1:5" x14ac:dyDescent="0.35">
      <c r="A1766" t="s">
        <v>89</v>
      </c>
      <c r="B1766" s="16">
        <v>45947</v>
      </c>
      <c r="C1766">
        <v>5.0999999999999996</v>
      </c>
      <c r="D1766">
        <v>2</v>
      </c>
      <c r="E1766" t="s">
        <v>6132</v>
      </c>
    </row>
    <row r="1767" spans="1:5" x14ac:dyDescent="0.35">
      <c r="A1767" t="s">
        <v>89</v>
      </c>
      <c r="B1767" s="16">
        <v>45950</v>
      </c>
      <c r="C1767">
        <v>4.9000000000000004</v>
      </c>
      <c r="D1767">
        <v>0</v>
      </c>
      <c r="E1767" t="s">
        <v>6132</v>
      </c>
    </row>
    <row r="1768" spans="1:5" x14ac:dyDescent="0.35">
      <c r="A1768" t="s">
        <v>89</v>
      </c>
      <c r="B1768" s="16">
        <v>45952</v>
      </c>
      <c r="C1768">
        <v>5.6</v>
      </c>
      <c r="D1768">
        <v>0</v>
      </c>
      <c r="E1768" t="s">
        <v>6132</v>
      </c>
    </row>
    <row r="1769" spans="1:5" x14ac:dyDescent="0.35">
      <c r="A1769" t="s">
        <v>89</v>
      </c>
      <c r="B1769" s="16">
        <v>45954</v>
      </c>
      <c r="C1769">
        <v>8.1</v>
      </c>
      <c r="D1769">
        <v>1</v>
      </c>
      <c r="E1769" t="s">
        <v>6132</v>
      </c>
    </row>
    <row r="1770" spans="1:5" x14ac:dyDescent="0.35">
      <c r="A1770" t="s">
        <v>89</v>
      </c>
      <c r="B1770" s="16">
        <v>45958</v>
      </c>
      <c r="C1770">
        <v>8.5</v>
      </c>
      <c r="D1770">
        <v>2</v>
      </c>
      <c r="E1770" t="s">
        <v>6132</v>
      </c>
    </row>
    <row r="1771" spans="1:5" x14ac:dyDescent="0.35">
      <c r="A1771" t="s">
        <v>89</v>
      </c>
      <c r="B1771" s="16">
        <v>45959</v>
      </c>
      <c r="C1771">
        <v>4.7</v>
      </c>
      <c r="D1771">
        <v>0</v>
      </c>
      <c r="E1771" t="s">
        <v>6132</v>
      </c>
    </row>
    <row r="1772" spans="1:5" x14ac:dyDescent="0.35">
      <c r="A1772" t="s">
        <v>89</v>
      </c>
      <c r="B1772" s="16">
        <v>45960</v>
      </c>
      <c r="C1772">
        <v>7.7</v>
      </c>
      <c r="D1772">
        <v>3</v>
      </c>
      <c r="E1772" t="s">
        <v>6132</v>
      </c>
    </row>
    <row r="1773" spans="1:5" x14ac:dyDescent="0.35">
      <c r="A1773" t="s">
        <v>89</v>
      </c>
      <c r="B1773" s="16">
        <v>45965</v>
      </c>
      <c r="C1773">
        <v>8.3000000000000007</v>
      </c>
      <c r="D1773">
        <v>1</v>
      </c>
      <c r="E1773" t="s">
        <v>6132</v>
      </c>
    </row>
    <row r="1774" spans="1:5" x14ac:dyDescent="0.35">
      <c r="A1774" t="s">
        <v>89</v>
      </c>
      <c r="B1774" s="16">
        <v>45966</v>
      </c>
      <c r="C1774">
        <v>7.2</v>
      </c>
      <c r="D1774">
        <v>0</v>
      </c>
      <c r="E1774" t="s">
        <v>6132</v>
      </c>
    </row>
    <row r="1775" spans="1:5" x14ac:dyDescent="0.35">
      <c r="A1775" t="s">
        <v>89</v>
      </c>
      <c r="B1775" s="16">
        <v>45966</v>
      </c>
      <c r="C1775">
        <v>8.8000000000000007</v>
      </c>
      <c r="D1775">
        <v>1</v>
      </c>
      <c r="E1775" t="s">
        <v>6132</v>
      </c>
    </row>
    <row r="1776" spans="1:5" x14ac:dyDescent="0.35">
      <c r="A1776" t="s">
        <v>89</v>
      </c>
      <c r="B1776" s="16">
        <v>45967</v>
      </c>
      <c r="C1776">
        <v>4.4000000000000004</v>
      </c>
      <c r="D1776">
        <v>5</v>
      </c>
      <c r="E1776" t="s">
        <v>6132</v>
      </c>
    </row>
    <row r="1777" spans="1:5" x14ac:dyDescent="0.35">
      <c r="A1777" t="s">
        <v>89</v>
      </c>
      <c r="B1777" s="16">
        <v>45968</v>
      </c>
      <c r="C1777">
        <v>4.2</v>
      </c>
      <c r="D1777">
        <v>4</v>
      </c>
      <c r="E1777" t="s">
        <v>6132</v>
      </c>
    </row>
    <row r="1778" spans="1:5" x14ac:dyDescent="0.35">
      <c r="A1778" t="s">
        <v>89</v>
      </c>
      <c r="B1778" s="16">
        <v>45971</v>
      </c>
      <c r="C1778">
        <v>8.3000000000000007</v>
      </c>
      <c r="D1778">
        <v>1</v>
      </c>
      <c r="E1778" t="s">
        <v>6132</v>
      </c>
    </row>
    <row r="1779" spans="1:5" x14ac:dyDescent="0.35">
      <c r="A1779" t="s">
        <v>89</v>
      </c>
      <c r="B1779" s="16">
        <v>45971</v>
      </c>
      <c r="C1779">
        <v>8</v>
      </c>
      <c r="D1779">
        <v>3</v>
      </c>
      <c r="E1779" t="s">
        <v>6132</v>
      </c>
    </row>
    <row r="1780" spans="1:5" x14ac:dyDescent="0.35">
      <c r="A1780" t="s">
        <v>89</v>
      </c>
      <c r="B1780" s="16">
        <v>45972</v>
      </c>
      <c r="C1780">
        <v>7.4</v>
      </c>
      <c r="D1780">
        <v>0</v>
      </c>
      <c r="E1780" t="s">
        <v>6134</v>
      </c>
    </row>
    <row r="1781" spans="1:5" x14ac:dyDescent="0.35">
      <c r="A1781" t="s">
        <v>89</v>
      </c>
      <c r="B1781" s="16">
        <v>45973</v>
      </c>
      <c r="C1781">
        <v>6.7</v>
      </c>
      <c r="D1781">
        <v>6</v>
      </c>
      <c r="E1781" t="s">
        <v>6132</v>
      </c>
    </row>
    <row r="1782" spans="1:5" x14ac:dyDescent="0.35">
      <c r="A1782" t="s">
        <v>89</v>
      </c>
      <c r="B1782" s="16">
        <v>45973</v>
      </c>
      <c r="C1782">
        <v>8.6999999999999993</v>
      </c>
      <c r="D1782">
        <v>1</v>
      </c>
      <c r="E1782" t="s">
        <v>6132</v>
      </c>
    </row>
    <row r="1783" spans="1:5" x14ac:dyDescent="0.35">
      <c r="A1783" t="s">
        <v>89</v>
      </c>
      <c r="B1783" s="16">
        <v>45975</v>
      </c>
      <c r="C1783">
        <v>7.9</v>
      </c>
      <c r="D1783">
        <v>1</v>
      </c>
      <c r="E1783" t="s">
        <v>6132</v>
      </c>
    </row>
    <row r="1784" spans="1:5" x14ac:dyDescent="0.35">
      <c r="A1784" t="s">
        <v>89</v>
      </c>
      <c r="B1784" s="16">
        <v>45978</v>
      </c>
      <c r="C1784">
        <v>4.5999999999999996</v>
      </c>
      <c r="D1784">
        <v>2</v>
      </c>
      <c r="E1784" t="s">
        <v>6132</v>
      </c>
    </row>
    <row r="1785" spans="1:5" x14ac:dyDescent="0.35">
      <c r="A1785" t="s">
        <v>89</v>
      </c>
      <c r="B1785" s="16">
        <v>45980</v>
      </c>
      <c r="C1785">
        <v>8.5</v>
      </c>
      <c r="D1785">
        <v>0</v>
      </c>
      <c r="E1785" t="s">
        <v>6132</v>
      </c>
    </row>
    <row r="1786" spans="1:5" x14ac:dyDescent="0.35">
      <c r="A1786" t="s">
        <v>89</v>
      </c>
      <c r="B1786" s="16">
        <v>45981</v>
      </c>
      <c r="C1786">
        <v>6.6</v>
      </c>
      <c r="D1786">
        <v>1</v>
      </c>
      <c r="E1786" t="s">
        <v>6132</v>
      </c>
    </row>
    <row r="1787" spans="1:5" x14ac:dyDescent="0.35">
      <c r="A1787" t="s">
        <v>89</v>
      </c>
      <c r="B1787" s="16">
        <v>45981</v>
      </c>
      <c r="D1787">
        <v>2</v>
      </c>
      <c r="E1787" t="s">
        <v>6132</v>
      </c>
    </row>
    <row r="1788" spans="1:5" x14ac:dyDescent="0.35">
      <c r="A1788" t="s">
        <v>89</v>
      </c>
      <c r="B1788" s="16">
        <v>45989</v>
      </c>
      <c r="C1788">
        <v>4.0999999999999996</v>
      </c>
      <c r="D1788">
        <v>2</v>
      </c>
      <c r="E1788" t="s">
        <v>6132</v>
      </c>
    </row>
    <row r="1789" spans="1:5" x14ac:dyDescent="0.35">
      <c r="A1789" t="s">
        <v>89</v>
      </c>
      <c r="B1789" s="16">
        <v>45992</v>
      </c>
      <c r="D1789">
        <v>0</v>
      </c>
      <c r="E1789" t="s">
        <v>6132</v>
      </c>
    </row>
    <row r="1790" spans="1:5" x14ac:dyDescent="0.35">
      <c r="A1790" t="s">
        <v>89</v>
      </c>
      <c r="B1790" s="16">
        <v>45993</v>
      </c>
      <c r="C1790">
        <v>7.5</v>
      </c>
      <c r="D1790">
        <v>0</v>
      </c>
      <c r="E1790" t="s">
        <v>6132</v>
      </c>
    </row>
    <row r="1791" spans="1:5" x14ac:dyDescent="0.35">
      <c r="A1791" t="s">
        <v>89</v>
      </c>
      <c r="B1791" s="16">
        <v>45999</v>
      </c>
      <c r="C1791">
        <v>4.7</v>
      </c>
      <c r="D1791">
        <v>0</v>
      </c>
      <c r="E1791" t="s">
        <v>6132</v>
      </c>
    </row>
    <row r="1792" spans="1:5" x14ac:dyDescent="0.35">
      <c r="A1792" t="s">
        <v>89</v>
      </c>
      <c r="B1792" s="16">
        <v>46000</v>
      </c>
      <c r="C1792">
        <v>8.6</v>
      </c>
      <c r="D1792">
        <v>1</v>
      </c>
      <c r="E1792" t="s">
        <v>6132</v>
      </c>
    </row>
    <row r="1793" spans="1:5" x14ac:dyDescent="0.35">
      <c r="A1793" t="s">
        <v>89</v>
      </c>
      <c r="B1793" s="16">
        <v>46003</v>
      </c>
      <c r="C1793">
        <v>4.5999999999999996</v>
      </c>
      <c r="D1793">
        <v>1</v>
      </c>
      <c r="E1793" t="s">
        <v>6132</v>
      </c>
    </row>
    <row r="1794" spans="1:5" x14ac:dyDescent="0.35">
      <c r="A1794" t="s">
        <v>89</v>
      </c>
      <c r="B1794" s="16">
        <v>46007</v>
      </c>
      <c r="C1794">
        <v>7.1</v>
      </c>
      <c r="D1794">
        <v>5</v>
      </c>
      <c r="E1794" t="s">
        <v>6132</v>
      </c>
    </row>
    <row r="1795" spans="1:5" x14ac:dyDescent="0.35">
      <c r="A1795" t="s">
        <v>89</v>
      </c>
      <c r="B1795" s="16">
        <v>46009</v>
      </c>
      <c r="C1795">
        <v>6.9</v>
      </c>
      <c r="D1795">
        <v>0</v>
      </c>
      <c r="E1795" t="s">
        <v>6134</v>
      </c>
    </row>
    <row r="1796" spans="1:5" x14ac:dyDescent="0.35">
      <c r="A1796" t="s">
        <v>89</v>
      </c>
      <c r="B1796" s="16">
        <v>46010</v>
      </c>
      <c r="C1796">
        <v>5.9</v>
      </c>
      <c r="D1796">
        <v>0</v>
      </c>
      <c r="E1796" t="s">
        <v>6132</v>
      </c>
    </row>
    <row r="1797" spans="1:5" x14ac:dyDescent="0.35">
      <c r="A1797" t="s">
        <v>89</v>
      </c>
      <c r="B1797" s="16">
        <v>46013</v>
      </c>
      <c r="C1797">
        <v>4.3</v>
      </c>
      <c r="D1797">
        <v>2</v>
      </c>
      <c r="E1797" t="s">
        <v>6132</v>
      </c>
    </row>
    <row r="1798" spans="1:5" x14ac:dyDescent="0.35">
      <c r="A1798" t="s">
        <v>89</v>
      </c>
      <c r="B1798" s="16">
        <v>46014</v>
      </c>
      <c r="C1798">
        <v>6.1</v>
      </c>
      <c r="D1798">
        <v>7</v>
      </c>
      <c r="E1798" t="s">
        <v>6132</v>
      </c>
    </row>
    <row r="1799" spans="1:5" x14ac:dyDescent="0.35">
      <c r="A1799" t="s">
        <v>89</v>
      </c>
      <c r="B1799" s="16">
        <v>46015</v>
      </c>
      <c r="C1799">
        <v>6.5</v>
      </c>
      <c r="D1799">
        <v>2</v>
      </c>
      <c r="E1799" t="s">
        <v>6132</v>
      </c>
    </row>
    <row r="1800" spans="1:5" x14ac:dyDescent="0.35">
      <c r="A1800" t="s">
        <v>89</v>
      </c>
      <c r="B1800" s="16">
        <v>46017</v>
      </c>
      <c r="C1800">
        <v>6.1</v>
      </c>
      <c r="D1800">
        <v>1</v>
      </c>
      <c r="E1800" t="s">
        <v>6132</v>
      </c>
    </row>
    <row r="1801" spans="1:5" x14ac:dyDescent="0.35">
      <c r="A1801" t="s">
        <v>89</v>
      </c>
      <c r="B1801" s="16">
        <v>46021</v>
      </c>
      <c r="D1801">
        <v>2</v>
      </c>
      <c r="E1801" t="s">
        <v>6132</v>
      </c>
    </row>
    <row r="1802" spans="1:5" x14ac:dyDescent="0.35">
      <c r="A1802" t="s">
        <v>253</v>
      </c>
      <c r="B1802" s="16">
        <v>45658</v>
      </c>
      <c r="C1802">
        <v>7.1</v>
      </c>
      <c r="D1802">
        <v>0</v>
      </c>
      <c r="E1802" t="s">
        <v>6132</v>
      </c>
    </row>
    <row r="1803" spans="1:5" x14ac:dyDescent="0.35">
      <c r="A1803" t="s">
        <v>253</v>
      </c>
      <c r="B1803" s="16">
        <v>45660</v>
      </c>
      <c r="C1803">
        <v>7.7</v>
      </c>
      <c r="D1803">
        <v>0</v>
      </c>
      <c r="E1803" t="s">
        <v>6132</v>
      </c>
    </row>
    <row r="1804" spans="1:5" x14ac:dyDescent="0.35">
      <c r="A1804" t="s">
        <v>253</v>
      </c>
      <c r="B1804" s="16">
        <v>45665</v>
      </c>
      <c r="C1804">
        <v>6.5</v>
      </c>
      <c r="D1804">
        <v>1</v>
      </c>
      <c r="E1804" t="s">
        <v>6132</v>
      </c>
    </row>
    <row r="1805" spans="1:5" x14ac:dyDescent="0.35">
      <c r="A1805" t="s">
        <v>253</v>
      </c>
      <c r="B1805" s="16">
        <v>45666</v>
      </c>
      <c r="C1805">
        <v>8.3000000000000007</v>
      </c>
      <c r="D1805">
        <v>2</v>
      </c>
      <c r="E1805" t="s">
        <v>6132</v>
      </c>
    </row>
    <row r="1806" spans="1:5" x14ac:dyDescent="0.35">
      <c r="A1806" t="s">
        <v>253</v>
      </c>
      <c r="B1806" s="16">
        <v>45667</v>
      </c>
      <c r="D1806">
        <v>0</v>
      </c>
      <c r="E1806" t="s">
        <v>6132</v>
      </c>
    </row>
    <row r="1807" spans="1:5" x14ac:dyDescent="0.35">
      <c r="A1807" t="s">
        <v>253</v>
      </c>
      <c r="B1807" s="16">
        <v>45671</v>
      </c>
      <c r="C1807">
        <v>4</v>
      </c>
      <c r="D1807">
        <v>1</v>
      </c>
      <c r="E1807" t="s">
        <v>6132</v>
      </c>
    </row>
    <row r="1808" spans="1:5" x14ac:dyDescent="0.35">
      <c r="A1808" t="s">
        <v>253</v>
      </c>
      <c r="B1808" s="16">
        <v>45678</v>
      </c>
      <c r="D1808">
        <v>1</v>
      </c>
      <c r="E1808" t="s">
        <v>6132</v>
      </c>
    </row>
    <row r="1809" spans="1:5" x14ac:dyDescent="0.35">
      <c r="A1809" t="s">
        <v>253</v>
      </c>
      <c r="B1809" s="16">
        <v>45681</v>
      </c>
      <c r="C1809">
        <v>5.7</v>
      </c>
      <c r="D1809">
        <v>0</v>
      </c>
      <c r="E1809" t="s">
        <v>6132</v>
      </c>
    </row>
    <row r="1810" spans="1:5" x14ac:dyDescent="0.35">
      <c r="A1810" t="s">
        <v>253</v>
      </c>
      <c r="B1810" s="16">
        <v>45685</v>
      </c>
      <c r="C1810">
        <v>5.7</v>
      </c>
      <c r="D1810">
        <v>0</v>
      </c>
      <c r="E1810" t="s">
        <v>6132</v>
      </c>
    </row>
    <row r="1811" spans="1:5" x14ac:dyDescent="0.35">
      <c r="A1811" t="s">
        <v>253</v>
      </c>
      <c r="B1811" s="16">
        <v>45686</v>
      </c>
      <c r="C1811">
        <v>4.2</v>
      </c>
      <c r="D1811">
        <v>1</v>
      </c>
      <c r="E1811" t="s">
        <v>6132</v>
      </c>
    </row>
    <row r="1812" spans="1:5" x14ac:dyDescent="0.35">
      <c r="A1812" t="s">
        <v>253</v>
      </c>
      <c r="B1812" s="16">
        <v>45688</v>
      </c>
      <c r="C1812">
        <v>8.6999999999999993</v>
      </c>
      <c r="D1812">
        <v>1</v>
      </c>
      <c r="E1812" t="s">
        <v>6132</v>
      </c>
    </row>
    <row r="1813" spans="1:5" x14ac:dyDescent="0.35">
      <c r="A1813" t="s">
        <v>253</v>
      </c>
      <c r="B1813" s="16">
        <v>45691</v>
      </c>
      <c r="D1813">
        <v>0</v>
      </c>
      <c r="E1813" t="s">
        <v>6134</v>
      </c>
    </row>
    <row r="1814" spans="1:5" x14ac:dyDescent="0.35">
      <c r="A1814" t="s">
        <v>253</v>
      </c>
      <c r="B1814" s="16">
        <v>45693</v>
      </c>
      <c r="C1814">
        <v>6.8</v>
      </c>
      <c r="D1814">
        <v>0</v>
      </c>
      <c r="E1814" t="s">
        <v>6134</v>
      </c>
    </row>
    <row r="1815" spans="1:5" x14ac:dyDescent="0.35">
      <c r="A1815" t="s">
        <v>253</v>
      </c>
      <c r="B1815" s="16">
        <v>45694</v>
      </c>
      <c r="C1815">
        <v>8.9</v>
      </c>
      <c r="D1815">
        <v>0</v>
      </c>
      <c r="E1815" t="s">
        <v>6132</v>
      </c>
    </row>
    <row r="1816" spans="1:5" x14ac:dyDescent="0.35">
      <c r="A1816" t="s">
        <v>253</v>
      </c>
      <c r="B1816" s="16">
        <v>45695</v>
      </c>
      <c r="C1816">
        <v>7.4</v>
      </c>
      <c r="D1816">
        <v>1</v>
      </c>
      <c r="E1816" t="s">
        <v>6132</v>
      </c>
    </row>
    <row r="1817" spans="1:5" x14ac:dyDescent="0.35">
      <c r="A1817" t="s">
        <v>253</v>
      </c>
      <c r="B1817" s="16">
        <v>45699</v>
      </c>
      <c r="D1817">
        <v>0</v>
      </c>
      <c r="E1817" t="s">
        <v>6132</v>
      </c>
    </row>
    <row r="1818" spans="1:5" x14ac:dyDescent="0.35">
      <c r="A1818" t="s">
        <v>253</v>
      </c>
      <c r="B1818" s="16">
        <v>45700</v>
      </c>
      <c r="C1818">
        <v>7.3</v>
      </c>
      <c r="D1818">
        <v>0</v>
      </c>
      <c r="E1818" t="s">
        <v>6132</v>
      </c>
    </row>
    <row r="1819" spans="1:5" x14ac:dyDescent="0.35">
      <c r="A1819" t="s">
        <v>253</v>
      </c>
      <c r="B1819" s="16">
        <v>45706</v>
      </c>
      <c r="D1819">
        <v>0</v>
      </c>
      <c r="E1819" t="s">
        <v>6134</v>
      </c>
    </row>
    <row r="1820" spans="1:5" x14ac:dyDescent="0.35">
      <c r="A1820" t="s">
        <v>253</v>
      </c>
      <c r="B1820" s="16">
        <v>45713</v>
      </c>
      <c r="C1820">
        <v>7.1</v>
      </c>
      <c r="D1820">
        <v>0</v>
      </c>
      <c r="E1820" t="s">
        <v>6132</v>
      </c>
    </row>
    <row r="1821" spans="1:5" x14ac:dyDescent="0.35">
      <c r="A1821" t="s">
        <v>253</v>
      </c>
      <c r="B1821" s="16">
        <v>45715</v>
      </c>
      <c r="C1821">
        <v>4.9000000000000004</v>
      </c>
      <c r="D1821">
        <v>2</v>
      </c>
      <c r="E1821" t="s">
        <v>6132</v>
      </c>
    </row>
    <row r="1822" spans="1:5" x14ac:dyDescent="0.35">
      <c r="A1822" t="s">
        <v>253</v>
      </c>
      <c r="B1822" s="16">
        <v>45721</v>
      </c>
      <c r="C1822">
        <v>8</v>
      </c>
      <c r="D1822">
        <v>0</v>
      </c>
      <c r="E1822" t="s">
        <v>6132</v>
      </c>
    </row>
    <row r="1823" spans="1:5" x14ac:dyDescent="0.35">
      <c r="A1823" t="s">
        <v>253</v>
      </c>
      <c r="B1823" s="16">
        <v>45722</v>
      </c>
      <c r="C1823">
        <v>4.0999999999999996</v>
      </c>
      <c r="D1823">
        <v>0</v>
      </c>
      <c r="E1823" t="s">
        <v>6132</v>
      </c>
    </row>
    <row r="1824" spans="1:5" x14ac:dyDescent="0.35">
      <c r="A1824" t="s">
        <v>253</v>
      </c>
      <c r="B1824" s="16">
        <v>45723</v>
      </c>
      <c r="C1824">
        <v>6.4</v>
      </c>
      <c r="D1824">
        <v>4</v>
      </c>
      <c r="E1824" t="s">
        <v>6132</v>
      </c>
    </row>
    <row r="1825" spans="1:5" x14ac:dyDescent="0.35">
      <c r="A1825" t="s">
        <v>253</v>
      </c>
      <c r="B1825" s="16">
        <v>45726</v>
      </c>
      <c r="C1825">
        <v>5.9</v>
      </c>
      <c r="D1825">
        <v>0</v>
      </c>
      <c r="E1825" t="s">
        <v>6132</v>
      </c>
    </row>
    <row r="1826" spans="1:5" x14ac:dyDescent="0.35">
      <c r="A1826" t="s">
        <v>253</v>
      </c>
      <c r="B1826" s="16">
        <v>45728</v>
      </c>
      <c r="C1826">
        <v>7.5</v>
      </c>
      <c r="D1826">
        <v>0</v>
      </c>
      <c r="E1826" t="s">
        <v>6132</v>
      </c>
    </row>
    <row r="1827" spans="1:5" x14ac:dyDescent="0.35">
      <c r="A1827" t="s">
        <v>253</v>
      </c>
      <c r="B1827" s="16">
        <v>45729</v>
      </c>
      <c r="C1827">
        <v>4.0999999999999996</v>
      </c>
      <c r="D1827">
        <v>0</v>
      </c>
      <c r="E1827" t="s">
        <v>6132</v>
      </c>
    </row>
    <row r="1828" spans="1:5" x14ac:dyDescent="0.35">
      <c r="A1828" t="s">
        <v>253</v>
      </c>
      <c r="B1828" s="16">
        <v>45730</v>
      </c>
      <c r="C1828">
        <v>6.3</v>
      </c>
      <c r="D1828">
        <v>0</v>
      </c>
      <c r="E1828" t="s">
        <v>6132</v>
      </c>
    </row>
    <row r="1829" spans="1:5" x14ac:dyDescent="0.35">
      <c r="A1829" t="s">
        <v>253</v>
      </c>
      <c r="B1829" s="16">
        <v>45735</v>
      </c>
      <c r="C1829">
        <v>8.6999999999999993</v>
      </c>
      <c r="D1829">
        <v>0</v>
      </c>
      <c r="E1829" t="s">
        <v>6132</v>
      </c>
    </row>
    <row r="1830" spans="1:5" x14ac:dyDescent="0.35">
      <c r="A1830" t="s">
        <v>253</v>
      </c>
      <c r="B1830" s="16">
        <v>45741</v>
      </c>
      <c r="D1830">
        <v>1</v>
      </c>
      <c r="E1830" t="s">
        <v>6132</v>
      </c>
    </row>
    <row r="1831" spans="1:5" x14ac:dyDescent="0.35">
      <c r="A1831" t="s">
        <v>253</v>
      </c>
      <c r="B1831" s="16">
        <v>45743</v>
      </c>
      <c r="C1831">
        <v>7.8</v>
      </c>
      <c r="D1831">
        <v>0</v>
      </c>
      <c r="E1831" t="s">
        <v>6132</v>
      </c>
    </row>
    <row r="1832" spans="1:5" x14ac:dyDescent="0.35">
      <c r="A1832" t="s">
        <v>253</v>
      </c>
      <c r="B1832" s="16">
        <v>45744</v>
      </c>
      <c r="C1832">
        <v>6.3</v>
      </c>
      <c r="D1832">
        <v>0</v>
      </c>
      <c r="E1832" t="s">
        <v>6134</v>
      </c>
    </row>
    <row r="1833" spans="1:5" x14ac:dyDescent="0.35">
      <c r="A1833" t="s">
        <v>253</v>
      </c>
      <c r="B1833" s="16">
        <v>45747</v>
      </c>
      <c r="C1833">
        <v>8</v>
      </c>
      <c r="D1833">
        <v>1</v>
      </c>
      <c r="E1833" t="s">
        <v>6132</v>
      </c>
    </row>
    <row r="1834" spans="1:5" x14ac:dyDescent="0.35">
      <c r="A1834" t="s">
        <v>253</v>
      </c>
      <c r="B1834" s="16">
        <v>45749</v>
      </c>
      <c r="C1834">
        <v>8.5</v>
      </c>
      <c r="D1834">
        <v>2</v>
      </c>
      <c r="E1834" t="s">
        <v>6132</v>
      </c>
    </row>
    <row r="1835" spans="1:5" x14ac:dyDescent="0.35">
      <c r="A1835" t="s">
        <v>253</v>
      </c>
      <c r="B1835" s="16">
        <v>45750</v>
      </c>
      <c r="C1835">
        <v>4.0999999999999996</v>
      </c>
      <c r="D1835">
        <v>0</v>
      </c>
      <c r="E1835" t="s">
        <v>6132</v>
      </c>
    </row>
    <row r="1836" spans="1:5" x14ac:dyDescent="0.35">
      <c r="A1836" t="s">
        <v>253</v>
      </c>
      <c r="B1836" s="16">
        <v>45751</v>
      </c>
      <c r="C1836">
        <v>7.7</v>
      </c>
      <c r="D1836">
        <v>1</v>
      </c>
      <c r="E1836" t="s">
        <v>6132</v>
      </c>
    </row>
    <row r="1837" spans="1:5" x14ac:dyDescent="0.35">
      <c r="A1837" t="s">
        <v>253</v>
      </c>
      <c r="B1837" s="16">
        <v>45754</v>
      </c>
      <c r="C1837">
        <v>7.6</v>
      </c>
      <c r="D1837">
        <v>0</v>
      </c>
      <c r="E1837" t="s">
        <v>6132</v>
      </c>
    </row>
    <row r="1838" spans="1:5" x14ac:dyDescent="0.35">
      <c r="A1838" t="s">
        <v>253</v>
      </c>
      <c r="B1838" s="16">
        <v>45756</v>
      </c>
      <c r="C1838">
        <v>6.4</v>
      </c>
      <c r="D1838">
        <v>1</v>
      </c>
      <c r="E1838" t="s">
        <v>6132</v>
      </c>
    </row>
    <row r="1839" spans="1:5" x14ac:dyDescent="0.35">
      <c r="A1839" t="s">
        <v>253</v>
      </c>
      <c r="B1839" s="16">
        <v>45757</v>
      </c>
      <c r="C1839">
        <v>4.3</v>
      </c>
      <c r="D1839">
        <v>0</v>
      </c>
      <c r="E1839" t="s">
        <v>6132</v>
      </c>
    </row>
    <row r="1840" spans="1:5" x14ac:dyDescent="0.35">
      <c r="A1840" t="s">
        <v>253</v>
      </c>
      <c r="B1840" s="16">
        <v>45761</v>
      </c>
      <c r="C1840">
        <v>8.1999999999999993</v>
      </c>
      <c r="D1840">
        <v>1</v>
      </c>
      <c r="E1840" t="s">
        <v>6132</v>
      </c>
    </row>
    <row r="1841" spans="1:5" x14ac:dyDescent="0.35">
      <c r="A1841" t="s">
        <v>253</v>
      </c>
      <c r="B1841" s="16">
        <v>45763</v>
      </c>
      <c r="C1841">
        <v>8.9</v>
      </c>
      <c r="D1841">
        <v>0</v>
      </c>
      <c r="E1841" t="s">
        <v>6132</v>
      </c>
    </row>
    <row r="1842" spans="1:5" x14ac:dyDescent="0.35">
      <c r="A1842" t="s">
        <v>253</v>
      </c>
      <c r="B1842" s="16">
        <v>45765</v>
      </c>
      <c r="C1842">
        <v>5.3</v>
      </c>
      <c r="D1842">
        <v>1</v>
      </c>
      <c r="E1842" t="s">
        <v>6132</v>
      </c>
    </row>
    <row r="1843" spans="1:5" x14ac:dyDescent="0.35">
      <c r="A1843" t="s">
        <v>253</v>
      </c>
      <c r="B1843" s="16">
        <v>45768</v>
      </c>
      <c r="C1843">
        <v>5.6</v>
      </c>
      <c r="D1843">
        <v>0</v>
      </c>
      <c r="E1843" t="s">
        <v>6132</v>
      </c>
    </row>
    <row r="1844" spans="1:5" x14ac:dyDescent="0.35">
      <c r="A1844" t="s">
        <v>253</v>
      </c>
      <c r="B1844" s="16">
        <v>45770</v>
      </c>
      <c r="D1844">
        <v>1</v>
      </c>
      <c r="E1844" t="s">
        <v>6132</v>
      </c>
    </row>
    <row r="1845" spans="1:5" x14ac:dyDescent="0.35">
      <c r="A1845" t="s">
        <v>253</v>
      </c>
      <c r="B1845" s="16">
        <v>45772</v>
      </c>
      <c r="C1845">
        <v>8.3000000000000007</v>
      </c>
      <c r="D1845">
        <v>1</v>
      </c>
      <c r="E1845" t="s">
        <v>6132</v>
      </c>
    </row>
    <row r="1846" spans="1:5" x14ac:dyDescent="0.35">
      <c r="A1846" t="s">
        <v>253</v>
      </c>
      <c r="B1846" s="16">
        <v>45775</v>
      </c>
      <c r="C1846">
        <v>7.6</v>
      </c>
      <c r="D1846">
        <v>0</v>
      </c>
      <c r="E1846" t="s">
        <v>6132</v>
      </c>
    </row>
    <row r="1847" spans="1:5" x14ac:dyDescent="0.35">
      <c r="A1847" t="s">
        <v>253</v>
      </c>
      <c r="B1847" s="16">
        <v>45776</v>
      </c>
      <c r="C1847">
        <v>4.9000000000000004</v>
      </c>
      <c r="D1847">
        <v>1</v>
      </c>
      <c r="E1847" t="s">
        <v>6132</v>
      </c>
    </row>
    <row r="1848" spans="1:5" x14ac:dyDescent="0.35">
      <c r="A1848" t="s">
        <v>253</v>
      </c>
      <c r="B1848" s="16">
        <v>45779</v>
      </c>
      <c r="C1848">
        <v>8.6</v>
      </c>
      <c r="D1848">
        <v>1</v>
      </c>
      <c r="E1848" t="s">
        <v>6132</v>
      </c>
    </row>
    <row r="1849" spans="1:5" x14ac:dyDescent="0.35">
      <c r="A1849" t="s">
        <v>253</v>
      </c>
      <c r="B1849" s="16">
        <v>45790</v>
      </c>
      <c r="C1849">
        <v>7.5</v>
      </c>
      <c r="D1849">
        <v>0</v>
      </c>
      <c r="E1849" t="s">
        <v>6133</v>
      </c>
    </row>
    <row r="1850" spans="1:5" x14ac:dyDescent="0.35">
      <c r="A1850" t="s">
        <v>253</v>
      </c>
      <c r="B1850" s="16">
        <v>45792</v>
      </c>
      <c r="C1850">
        <v>6.5</v>
      </c>
      <c r="D1850">
        <v>1</v>
      </c>
      <c r="E1850" t="s">
        <v>6132</v>
      </c>
    </row>
    <row r="1851" spans="1:5" x14ac:dyDescent="0.35">
      <c r="A1851" t="s">
        <v>253</v>
      </c>
      <c r="B1851" s="16">
        <v>45793</v>
      </c>
      <c r="D1851">
        <v>0</v>
      </c>
      <c r="E1851" t="s">
        <v>6132</v>
      </c>
    </row>
    <row r="1852" spans="1:5" x14ac:dyDescent="0.35">
      <c r="A1852" t="s">
        <v>253</v>
      </c>
      <c r="B1852" s="16">
        <v>45797</v>
      </c>
      <c r="C1852">
        <v>5.9</v>
      </c>
      <c r="D1852">
        <v>1</v>
      </c>
      <c r="E1852" t="s">
        <v>6132</v>
      </c>
    </row>
    <row r="1853" spans="1:5" x14ac:dyDescent="0.35">
      <c r="A1853" t="s">
        <v>253</v>
      </c>
      <c r="B1853" s="16">
        <v>45799</v>
      </c>
      <c r="C1853">
        <v>8.1999999999999993</v>
      </c>
      <c r="D1853">
        <v>1</v>
      </c>
      <c r="E1853" t="s">
        <v>6132</v>
      </c>
    </row>
    <row r="1854" spans="1:5" x14ac:dyDescent="0.35">
      <c r="A1854" t="s">
        <v>253</v>
      </c>
      <c r="B1854" s="16">
        <v>45806</v>
      </c>
      <c r="C1854">
        <v>8.3000000000000007</v>
      </c>
      <c r="D1854">
        <v>0</v>
      </c>
      <c r="E1854" t="s">
        <v>6132</v>
      </c>
    </row>
    <row r="1855" spans="1:5" x14ac:dyDescent="0.35">
      <c r="A1855" t="s">
        <v>253</v>
      </c>
      <c r="B1855" s="16">
        <v>45811</v>
      </c>
      <c r="C1855">
        <v>8</v>
      </c>
      <c r="D1855">
        <v>2</v>
      </c>
      <c r="E1855" t="s">
        <v>6132</v>
      </c>
    </row>
    <row r="1856" spans="1:5" x14ac:dyDescent="0.35">
      <c r="A1856" t="s">
        <v>253</v>
      </c>
      <c r="B1856" s="16">
        <v>45813</v>
      </c>
      <c r="C1856">
        <v>6.2</v>
      </c>
      <c r="D1856">
        <v>0</v>
      </c>
      <c r="E1856" t="s">
        <v>6132</v>
      </c>
    </row>
    <row r="1857" spans="1:5" x14ac:dyDescent="0.35">
      <c r="A1857" t="s">
        <v>253</v>
      </c>
      <c r="B1857" s="16">
        <v>45817</v>
      </c>
      <c r="C1857">
        <v>4.4000000000000004</v>
      </c>
      <c r="D1857">
        <v>0</v>
      </c>
      <c r="E1857" t="s">
        <v>6132</v>
      </c>
    </row>
    <row r="1858" spans="1:5" x14ac:dyDescent="0.35">
      <c r="A1858" t="s">
        <v>253</v>
      </c>
      <c r="B1858" s="16">
        <v>45820</v>
      </c>
      <c r="C1858">
        <v>7.4</v>
      </c>
      <c r="D1858">
        <v>1</v>
      </c>
      <c r="E1858" t="s">
        <v>6132</v>
      </c>
    </row>
    <row r="1859" spans="1:5" x14ac:dyDescent="0.35">
      <c r="A1859" t="s">
        <v>253</v>
      </c>
      <c r="B1859" s="16">
        <v>45825</v>
      </c>
      <c r="C1859">
        <v>5.7</v>
      </c>
      <c r="D1859">
        <v>1</v>
      </c>
      <c r="E1859" t="s">
        <v>6132</v>
      </c>
    </row>
    <row r="1860" spans="1:5" x14ac:dyDescent="0.35">
      <c r="A1860" t="s">
        <v>253</v>
      </c>
      <c r="B1860" s="16">
        <v>45831</v>
      </c>
      <c r="C1860">
        <v>4.5999999999999996</v>
      </c>
      <c r="D1860">
        <v>0</v>
      </c>
      <c r="E1860" t="s">
        <v>6132</v>
      </c>
    </row>
    <row r="1861" spans="1:5" x14ac:dyDescent="0.35">
      <c r="A1861" t="s">
        <v>253</v>
      </c>
      <c r="B1861" s="16">
        <v>45832</v>
      </c>
      <c r="C1861">
        <v>5.6</v>
      </c>
      <c r="D1861">
        <v>3</v>
      </c>
      <c r="E1861" t="s">
        <v>6132</v>
      </c>
    </row>
    <row r="1862" spans="1:5" x14ac:dyDescent="0.35">
      <c r="A1862" t="s">
        <v>253</v>
      </c>
      <c r="B1862" s="16">
        <v>45833</v>
      </c>
      <c r="C1862">
        <v>7.9</v>
      </c>
      <c r="D1862">
        <v>0</v>
      </c>
      <c r="E1862" t="s">
        <v>6133</v>
      </c>
    </row>
    <row r="1863" spans="1:5" x14ac:dyDescent="0.35">
      <c r="A1863" t="s">
        <v>253</v>
      </c>
      <c r="B1863" s="16">
        <v>45834</v>
      </c>
      <c r="D1863">
        <v>1</v>
      </c>
      <c r="E1863" t="s">
        <v>6132</v>
      </c>
    </row>
    <row r="1864" spans="1:5" x14ac:dyDescent="0.35">
      <c r="A1864" t="s">
        <v>253</v>
      </c>
      <c r="B1864" s="16">
        <v>45835</v>
      </c>
      <c r="C1864">
        <v>7.7</v>
      </c>
      <c r="D1864">
        <v>0</v>
      </c>
      <c r="E1864" t="s">
        <v>6132</v>
      </c>
    </row>
    <row r="1865" spans="1:5" x14ac:dyDescent="0.35">
      <c r="A1865" t="s">
        <v>253</v>
      </c>
      <c r="B1865" s="16">
        <v>45839</v>
      </c>
      <c r="C1865">
        <v>4.7</v>
      </c>
      <c r="D1865">
        <v>1</v>
      </c>
      <c r="E1865" t="s">
        <v>6132</v>
      </c>
    </row>
    <row r="1866" spans="1:5" x14ac:dyDescent="0.35">
      <c r="A1866" t="s">
        <v>253</v>
      </c>
      <c r="B1866" s="16">
        <v>45840</v>
      </c>
      <c r="C1866">
        <v>5.3</v>
      </c>
      <c r="D1866">
        <v>0</v>
      </c>
      <c r="E1866" t="s">
        <v>6132</v>
      </c>
    </row>
    <row r="1867" spans="1:5" x14ac:dyDescent="0.35">
      <c r="A1867" t="s">
        <v>253</v>
      </c>
      <c r="B1867" s="16">
        <v>45845</v>
      </c>
      <c r="C1867">
        <v>7.5</v>
      </c>
      <c r="D1867">
        <v>1</v>
      </c>
      <c r="E1867" t="s">
        <v>6132</v>
      </c>
    </row>
    <row r="1868" spans="1:5" x14ac:dyDescent="0.35">
      <c r="A1868" t="s">
        <v>253</v>
      </c>
      <c r="B1868" s="16">
        <v>45848</v>
      </c>
      <c r="C1868">
        <v>7.2</v>
      </c>
      <c r="D1868">
        <v>0</v>
      </c>
      <c r="E1868" t="s">
        <v>6132</v>
      </c>
    </row>
    <row r="1869" spans="1:5" x14ac:dyDescent="0.35">
      <c r="A1869" t="s">
        <v>253</v>
      </c>
      <c r="B1869" s="16">
        <v>45849</v>
      </c>
      <c r="C1869">
        <v>7.7</v>
      </c>
      <c r="D1869">
        <v>1</v>
      </c>
      <c r="E1869" t="s">
        <v>6132</v>
      </c>
    </row>
    <row r="1870" spans="1:5" x14ac:dyDescent="0.35">
      <c r="A1870" t="s">
        <v>253</v>
      </c>
      <c r="B1870" s="16">
        <v>45859</v>
      </c>
      <c r="C1870">
        <v>7</v>
      </c>
      <c r="D1870">
        <v>0</v>
      </c>
      <c r="E1870" t="s">
        <v>6132</v>
      </c>
    </row>
    <row r="1871" spans="1:5" x14ac:dyDescent="0.35">
      <c r="A1871" t="s">
        <v>253</v>
      </c>
      <c r="B1871" s="16">
        <v>45861</v>
      </c>
      <c r="C1871">
        <v>6.2</v>
      </c>
      <c r="D1871">
        <v>0</v>
      </c>
      <c r="E1871" t="s">
        <v>6132</v>
      </c>
    </row>
    <row r="1872" spans="1:5" x14ac:dyDescent="0.35">
      <c r="A1872" t="s">
        <v>253</v>
      </c>
      <c r="B1872" s="16">
        <v>45863</v>
      </c>
      <c r="D1872">
        <v>0</v>
      </c>
      <c r="E1872" t="s">
        <v>6132</v>
      </c>
    </row>
    <row r="1873" spans="1:5" x14ac:dyDescent="0.35">
      <c r="A1873" t="s">
        <v>253</v>
      </c>
      <c r="B1873" s="16">
        <v>45869</v>
      </c>
      <c r="C1873">
        <v>6.9</v>
      </c>
      <c r="D1873">
        <v>1</v>
      </c>
      <c r="E1873" t="s">
        <v>6132</v>
      </c>
    </row>
    <row r="1874" spans="1:5" x14ac:dyDescent="0.35">
      <c r="A1874" t="s">
        <v>253</v>
      </c>
      <c r="B1874" s="16">
        <v>45874</v>
      </c>
      <c r="C1874">
        <v>5.7</v>
      </c>
      <c r="D1874">
        <v>1</v>
      </c>
      <c r="E1874" t="s">
        <v>6132</v>
      </c>
    </row>
    <row r="1875" spans="1:5" x14ac:dyDescent="0.35">
      <c r="A1875" t="s">
        <v>253</v>
      </c>
      <c r="B1875" s="16">
        <v>45875</v>
      </c>
      <c r="C1875">
        <v>7.3</v>
      </c>
      <c r="D1875">
        <v>0</v>
      </c>
      <c r="E1875" t="s">
        <v>6132</v>
      </c>
    </row>
    <row r="1876" spans="1:5" x14ac:dyDescent="0.35">
      <c r="A1876" t="s">
        <v>253</v>
      </c>
      <c r="B1876" s="16">
        <v>45877</v>
      </c>
      <c r="C1876">
        <v>7.5</v>
      </c>
      <c r="D1876">
        <v>2</v>
      </c>
      <c r="E1876" t="s">
        <v>6132</v>
      </c>
    </row>
    <row r="1877" spans="1:5" x14ac:dyDescent="0.35">
      <c r="A1877" t="s">
        <v>253</v>
      </c>
      <c r="B1877" s="16">
        <v>45881</v>
      </c>
      <c r="C1877">
        <v>6.6</v>
      </c>
      <c r="D1877">
        <v>0</v>
      </c>
      <c r="E1877" t="s">
        <v>6132</v>
      </c>
    </row>
    <row r="1878" spans="1:5" x14ac:dyDescent="0.35">
      <c r="A1878" t="s">
        <v>253</v>
      </c>
      <c r="B1878" s="16">
        <v>45884</v>
      </c>
      <c r="C1878">
        <v>6.8</v>
      </c>
      <c r="D1878">
        <v>1</v>
      </c>
      <c r="E1878" t="s">
        <v>6132</v>
      </c>
    </row>
    <row r="1879" spans="1:5" x14ac:dyDescent="0.35">
      <c r="A1879" t="s">
        <v>253</v>
      </c>
      <c r="B1879" s="16">
        <v>45888</v>
      </c>
      <c r="C1879">
        <v>5.5</v>
      </c>
      <c r="D1879">
        <v>2</v>
      </c>
      <c r="E1879" t="s">
        <v>6132</v>
      </c>
    </row>
    <row r="1880" spans="1:5" x14ac:dyDescent="0.35">
      <c r="A1880" t="s">
        <v>253</v>
      </c>
      <c r="B1880" s="16">
        <v>45889</v>
      </c>
      <c r="C1880">
        <v>5.9</v>
      </c>
      <c r="D1880">
        <v>0</v>
      </c>
      <c r="E1880" t="s">
        <v>6132</v>
      </c>
    </row>
    <row r="1881" spans="1:5" x14ac:dyDescent="0.35">
      <c r="A1881" t="s">
        <v>253</v>
      </c>
      <c r="B1881" s="16">
        <v>45890</v>
      </c>
      <c r="C1881">
        <v>8.6</v>
      </c>
      <c r="D1881">
        <v>0</v>
      </c>
      <c r="E1881" t="s">
        <v>6132</v>
      </c>
    </row>
    <row r="1882" spans="1:5" x14ac:dyDescent="0.35">
      <c r="A1882" t="s">
        <v>253</v>
      </c>
      <c r="B1882" s="16">
        <v>45894</v>
      </c>
      <c r="C1882">
        <v>7.8</v>
      </c>
      <c r="D1882">
        <v>1</v>
      </c>
      <c r="E1882" t="s">
        <v>6132</v>
      </c>
    </row>
    <row r="1883" spans="1:5" x14ac:dyDescent="0.35">
      <c r="A1883" t="s">
        <v>253</v>
      </c>
      <c r="B1883" s="16">
        <v>45896</v>
      </c>
      <c r="C1883">
        <v>5.0999999999999996</v>
      </c>
      <c r="D1883">
        <v>3</v>
      </c>
      <c r="E1883" t="s">
        <v>6132</v>
      </c>
    </row>
    <row r="1884" spans="1:5" x14ac:dyDescent="0.35">
      <c r="A1884" t="s">
        <v>253</v>
      </c>
      <c r="B1884" s="16">
        <v>45898</v>
      </c>
      <c r="C1884">
        <v>6.7</v>
      </c>
      <c r="D1884">
        <v>0</v>
      </c>
      <c r="E1884" t="s">
        <v>6133</v>
      </c>
    </row>
    <row r="1885" spans="1:5" x14ac:dyDescent="0.35">
      <c r="A1885" t="s">
        <v>253</v>
      </c>
      <c r="B1885" s="16">
        <v>45902</v>
      </c>
      <c r="C1885">
        <v>6.7</v>
      </c>
      <c r="D1885">
        <v>1</v>
      </c>
      <c r="E1885" t="s">
        <v>6132</v>
      </c>
    </row>
    <row r="1886" spans="1:5" x14ac:dyDescent="0.35">
      <c r="A1886" t="s">
        <v>253</v>
      </c>
      <c r="B1886" s="16">
        <v>45903</v>
      </c>
      <c r="C1886">
        <v>4.5</v>
      </c>
      <c r="D1886">
        <v>0</v>
      </c>
      <c r="E1886" t="s">
        <v>6132</v>
      </c>
    </row>
    <row r="1887" spans="1:5" x14ac:dyDescent="0.35">
      <c r="A1887" t="s">
        <v>253</v>
      </c>
      <c r="B1887" s="16">
        <v>45904</v>
      </c>
      <c r="C1887">
        <v>8.1999999999999993</v>
      </c>
      <c r="D1887">
        <v>0</v>
      </c>
      <c r="E1887" t="s">
        <v>6132</v>
      </c>
    </row>
    <row r="1888" spans="1:5" x14ac:dyDescent="0.35">
      <c r="A1888" t="s">
        <v>253</v>
      </c>
      <c r="B1888" s="16">
        <v>45910</v>
      </c>
      <c r="C1888">
        <v>5.5</v>
      </c>
      <c r="D1888">
        <v>1</v>
      </c>
      <c r="E1888" t="s">
        <v>6132</v>
      </c>
    </row>
    <row r="1889" spans="1:5" x14ac:dyDescent="0.35">
      <c r="A1889" t="s">
        <v>253</v>
      </c>
      <c r="B1889" s="16">
        <v>45911</v>
      </c>
      <c r="C1889">
        <v>8.1</v>
      </c>
      <c r="D1889">
        <v>2</v>
      </c>
      <c r="E1889" t="s">
        <v>6132</v>
      </c>
    </row>
    <row r="1890" spans="1:5" x14ac:dyDescent="0.35">
      <c r="A1890" t="s">
        <v>253</v>
      </c>
      <c r="B1890" s="16">
        <v>45916</v>
      </c>
      <c r="C1890">
        <v>8.6999999999999993</v>
      </c>
      <c r="D1890">
        <v>0</v>
      </c>
      <c r="E1890" t="s">
        <v>6132</v>
      </c>
    </row>
    <row r="1891" spans="1:5" x14ac:dyDescent="0.35">
      <c r="A1891" t="s">
        <v>253</v>
      </c>
      <c r="B1891" s="16">
        <v>45918</v>
      </c>
      <c r="C1891">
        <v>8</v>
      </c>
      <c r="D1891">
        <v>0</v>
      </c>
      <c r="E1891" t="s">
        <v>6134</v>
      </c>
    </row>
    <row r="1892" spans="1:5" x14ac:dyDescent="0.35">
      <c r="A1892" t="s">
        <v>253</v>
      </c>
      <c r="B1892" s="16">
        <v>45919</v>
      </c>
      <c r="C1892">
        <v>7.6</v>
      </c>
      <c r="D1892">
        <v>0</v>
      </c>
      <c r="E1892" t="s">
        <v>6132</v>
      </c>
    </row>
    <row r="1893" spans="1:5" x14ac:dyDescent="0.35">
      <c r="A1893" t="s">
        <v>253</v>
      </c>
      <c r="B1893" s="16">
        <v>45924</v>
      </c>
      <c r="C1893">
        <v>4.2</v>
      </c>
      <c r="D1893">
        <v>0</v>
      </c>
      <c r="E1893" t="s">
        <v>6133</v>
      </c>
    </row>
    <row r="1894" spans="1:5" x14ac:dyDescent="0.35">
      <c r="A1894" t="s">
        <v>253</v>
      </c>
      <c r="B1894" s="16">
        <v>45926</v>
      </c>
      <c r="C1894">
        <v>8.1</v>
      </c>
      <c r="D1894">
        <v>0</v>
      </c>
      <c r="E1894" t="s">
        <v>6134</v>
      </c>
    </row>
    <row r="1895" spans="1:5" x14ac:dyDescent="0.35">
      <c r="A1895" t="s">
        <v>253</v>
      </c>
      <c r="B1895" s="16">
        <v>45929</v>
      </c>
      <c r="C1895">
        <v>6.1</v>
      </c>
      <c r="D1895">
        <v>0</v>
      </c>
      <c r="E1895" t="s">
        <v>6132</v>
      </c>
    </row>
    <row r="1896" spans="1:5" x14ac:dyDescent="0.35">
      <c r="A1896" t="s">
        <v>253</v>
      </c>
      <c r="B1896" s="16">
        <v>45930</v>
      </c>
      <c r="C1896">
        <v>5.6</v>
      </c>
      <c r="D1896">
        <v>0</v>
      </c>
      <c r="E1896" t="s">
        <v>6132</v>
      </c>
    </row>
    <row r="1897" spans="1:5" x14ac:dyDescent="0.35">
      <c r="A1897" t="s">
        <v>253</v>
      </c>
      <c r="B1897" s="16">
        <v>45931</v>
      </c>
      <c r="C1897">
        <v>8.1</v>
      </c>
      <c r="D1897">
        <v>2</v>
      </c>
      <c r="E1897" t="s">
        <v>6132</v>
      </c>
    </row>
    <row r="1898" spans="1:5" x14ac:dyDescent="0.35">
      <c r="A1898" t="s">
        <v>253</v>
      </c>
      <c r="B1898" s="16">
        <v>45936</v>
      </c>
      <c r="C1898">
        <v>7.1</v>
      </c>
      <c r="D1898">
        <v>3</v>
      </c>
      <c r="E1898" t="s">
        <v>6132</v>
      </c>
    </row>
    <row r="1899" spans="1:5" x14ac:dyDescent="0.35">
      <c r="A1899" t="s">
        <v>253</v>
      </c>
      <c r="B1899" s="16">
        <v>45937</v>
      </c>
      <c r="C1899">
        <v>4.3</v>
      </c>
      <c r="D1899">
        <v>1</v>
      </c>
      <c r="E1899" t="s">
        <v>6132</v>
      </c>
    </row>
    <row r="1900" spans="1:5" x14ac:dyDescent="0.35">
      <c r="A1900" t="s">
        <v>253</v>
      </c>
      <c r="B1900" s="16">
        <v>45938</v>
      </c>
      <c r="C1900">
        <v>7.4</v>
      </c>
      <c r="D1900">
        <v>1</v>
      </c>
      <c r="E1900" t="s">
        <v>6132</v>
      </c>
    </row>
    <row r="1901" spans="1:5" x14ac:dyDescent="0.35">
      <c r="A1901" t="s">
        <v>253</v>
      </c>
      <c r="B1901" s="16">
        <v>45939</v>
      </c>
      <c r="C1901">
        <v>8.6</v>
      </c>
      <c r="D1901">
        <v>1</v>
      </c>
      <c r="E1901" t="s">
        <v>6132</v>
      </c>
    </row>
    <row r="1902" spans="1:5" x14ac:dyDescent="0.35">
      <c r="A1902" t="s">
        <v>253</v>
      </c>
      <c r="B1902" s="16">
        <v>45944</v>
      </c>
      <c r="C1902">
        <v>8.6999999999999993</v>
      </c>
      <c r="D1902">
        <v>0</v>
      </c>
      <c r="E1902" t="s">
        <v>6132</v>
      </c>
    </row>
    <row r="1903" spans="1:5" x14ac:dyDescent="0.35">
      <c r="A1903" t="s">
        <v>253</v>
      </c>
      <c r="B1903" s="16">
        <v>45945</v>
      </c>
      <c r="C1903">
        <v>7.6</v>
      </c>
      <c r="D1903">
        <v>1</v>
      </c>
      <c r="E1903" t="s">
        <v>6132</v>
      </c>
    </row>
    <row r="1904" spans="1:5" x14ac:dyDescent="0.35">
      <c r="A1904" t="s">
        <v>253</v>
      </c>
      <c r="B1904" s="16">
        <v>45946</v>
      </c>
      <c r="C1904">
        <v>4.5999999999999996</v>
      </c>
      <c r="D1904">
        <v>0</v>
      </c>
      <c r="E1904" t="s">
        <v>6132</v>
      </c>
    </row>
    <row r="1905" spans="1:5" x14ac:dyDescent="0.35">
      <c r="A1905" t="s">
        <v>253</v>
      </c>
      <c r="B1905" s="16">
        <v>45954</v>
      </c>
      <c r="C1905">
        <v>8.1</v>
      </c>
      <c r="D1905">
        <v>0</v>
      </c>
      <c r="E1905" t="s">
        <v>6132</v>
      </c>
    </row>
    <row r="1906" spans="1:5" x14ac:dyDescent="0.35">
      <c r="A1906" t="s">
        <v>253</v>
      </c>
      <c r="B1906" s="16">
        <v>45957</v>
      </c>
      <c r="C1906">
        <v>4.0999999999999996</v>
      </c>
      <c r="D1906">
        <v>2</v>
      </c>
      <c r="E1906" t="s">
        <v>6132</v>
      </c>
    </row>
    <row r="1907" spans="1:5" x14ac:dyDescent="0.35">
      <c r="A1907" t="s">
        <v>253</v>
      </c>
      <c r="B1907" s="16">
        <v>45958</v>
      </c>
      <c r="C1907">
        <v>6.4</v>
      </c>
      <c r="D1907">
        <v>2</v>
      </c>
      <c r="E1907" t="s">
        <v>6132</v>
      </c>
    </row>
    <row r="1908" spans="1:5" x14ac:dyDescent="0.35">
      <c r="A1908" t="s">
        <v>253</v>
      </c>
      <c r="B1908" s="16">
        <v>45959</v>
      </c>
      <c r="C1908">
        <v>8.4</v>
      </c>
      <c r="D1908">
        <v>0</v>
      </c>
      <c r="E1908" t="s">
        <v>6132</v>
      </c>
    </row>
    <row r="1909" spans="1:5" x14ac:dyDescent="0.35">
      <c r="A1909" t="s">
        <v>253</v>
      </c>
      <c r="B1909" s="16">
        <v>45961</v>
      </c>
      <c r="C1909">
        <v>5.6</v>
      </c>
      <c r="D1909">
        <v>0</v>
      </c>
      <c r="E1909" t="s">
        <v>6133</v>
      </c>
    </row>
    <row r="1910" spans="1:5" x14ac:dyDescent="0.35">
      <c r="A1910" t="s">
        <v>253</v>
      </c>
      <c r="B1910" s="16">
        <v>45964</v>
      </c>
      <c r="C1910">
        <v>7.3</v>
      </c>
      <c r="D1910">
        <v>1</v>
      </c>
      <c r="E1910" t="s">
        <v>6132</v>
      </c>
    </row>
    <row r="1911" spans="1:5" x14ac:dyDescent="0.35">
      <c r="A1911" t="s">
        <v>253</v>
      </c>
      <c r="B1911" s="16">
        <v>45965</v>
      </c>
      <c r="C1911">
        <v>7.4</v>
      </c>
      <c r="D1911">
        <v>0</v>
      </c>
      <c r="E1911" t="s">
        <v>6132</v>
      </c>
    </row>
    <row r="1912" spans="1:5" x14ac:dyDescent="0.35">
      <c r="A1912" t="s">
        <v>253</v>
      </c>
      <c r="B1912" s="16">
        <v>45966</v>
      </c>
      <c r="C1912">
        <v>5.4</v>
      </c>
      <c r="D1912">
        <v>1</v>
      </c>
      <c r="E1912" t="s">
        <v>6132</v>
      </c>
    </row>
    <row r="1913" spans="1:5" x14ac:dyDescent="0.35">
      <c r="A1913" t="s">
        <v>253</v>
      </c>
      <c r="B1913" s="16">
        <v>45972</v>
      </c>
      <c r="C1913">
        <v>5</v>
      </c>
      <c r="D1913">
        <v>0</v>
      </c>
      <c r="E1913" t="s">
        <v>6132</v>
      </c>
    </row>
    <row r="1914" spans="1:5" x14ac:dyDescent="0.35">
      <c r="A1914" t="s">
        <v>253</v>
      </c>
      <c r="B1914" s="16">
        <v>45973</v>
      </c>
      <c r="C1914">
        <v>8</v>
      </c>
      <c r="D1914">
        <v>2</v>
      </c>
      <c r="E1914" t="s">
        <v>6132</v>
      </c>
    </row>
    <row r="1915" spans="1:5" x14ac:dyDescent="0.35">
      <c r="A1915" t="s">
        <v>253</v>
      </c>
      <c r="B1915" s="16">
        <v>45974</v>
      </c>
      <c r="C1915">
        <v>8.8000000000000007</v>
      </c>
      <c r="D1915">
        <v>1</v>
      </c>
      <c r="E1915" t="s">
        <v>6132</v>
      </c>
    </row>
    <row r="1916" spans="1:5" x14ac:dyDescent="0.35">
      <c r="A1916" t="s">
        <v>253</v>
      </c>
      <c r="B1916" s="16">
        <v>45978</v>
      </c>
      <c r="C1916">
        <v>6.8</v>
      </c>
      <c r="D1916">
        <v>1</v>
      </c>
      <c r="E1916" t="s">
        <v>6132</v>
      </c>
    </row>
    <row r="1917" spans="1:5" x14ac:dyDescent="0.35">
      <c r="A1917" t="s">
        <v>253</v>
      </c>
      <c r="B1917" s="16">
        <v>45979</v>
      </c>
      <c r="C1917">
        <v>8.1999999999999993</v>
      </c>
      <c r="D1917">
        <v>2</v>
      </c>
      <c r="E1917" t="s">
        <v>6132</v>
      </c>
    </row>
    <row r="1918" spans="1:5" x14ac:dyDescent="0.35">
      <c r="A1918" t="s">
        <v>253</v>
      </c>
      <c r="B1918" s="16">
        <v>45985</v>
      </c>
      <c r="C1918">
        <v>5.4</v>
      </c>
      <c r="D1918">
        <v>0</v>
      </c>
      <c r="E1918" t="s">
        <v>6132</v>
      </c>
    </row>
    <row r="1919" spans="1:5" x14ac:dyDescent="0.35">
      <c r="A1919" t="s">
        <v>253</v>
      </c>
      <c r="B1919" s="16">
        <v>45986</v>
      </c>
      <c r="C1919">
        <v>6.4</v>
      </c>
      <c r="D1919">
        <v>0</v>
      </c>
      <c r="E1919" t="s">
        <v>6134</v>
      </c>
    </row>
    <row r="1920" spans="1:5" x14ac:dyDescent="0.35">
      <c r="A1920" t="s">
        <v>253</v>
      </c>
      <c r="B1920" s="16">
        <v>45987</v>
      </c>
      <c r="C1920">
        <v>7</v>
      </c>
      <c r="D1920">
        <v>2</v>
      </c>
      <c r="E1920" t="s">
        <v>6132</v>
      </c>
    </row>
    <row r="1921" spans="1:5" x14ac:dyDescent="0.35">
      <c r="A1921" t="s">
        <v>253</v>
      </c>
      <c r="B1921" s="16">
        <v>45992</v>
      </c>
      <c r="C1921">
        <v>5.6</v>
      </c>
      <c r="D1921">
        <v>0</v>
      </c>
      <c r="E1921" t="s">
        <v>6132</v>
      </c>
    </row>
    <row r="1922" spans="1:5" x14ac:dyDescent="0.35">
      <c r="A1922" t="s">
        <v>253</v>
      </c>
      <c r="B1922" s="16">
        <v>45993</v>
      </c>
      <c r="C1922">
        <v>5.5</v>
      </c>
      <c r="D1922">
        <v>1</v>
      </c>
      <c r="E1922" t="s">
        <v>6132</v>
      </c>
    </row>
    <row r="1923" spans="1:5" x14ac:dyDescent="0.35">
      <c r="A1923" t="s">
        <v>253</v>
      </c>
      <c r="B1923" s="16">
        <v>45994</v>
      </c>
      <c r="C1923">
        <v>6.3</v>
      </c>
      <c r="D1923">
        <v>0</v>
      </c>
      <c r="E1923" t="s">
        <v>6132</v>
      </c>
    </row>
    <row r="1924" spans="1:5" x14ac:dyDescent="0.35">
      <c r="A1924" t="s">
        <v>253</v>
      </c>
      <c r="B1924" s="16">
        <v>45995</v>
      </c>
      <c r="C1924">
        <v>5.7</v>
      </c>
      <c r="D1924">
        <v>0</v>
      </c>
      <c r="E1924" t="s">
        <v>6132</v>
      </c>
    </row>
    <row r="1925" spans="1:5" x14ac:dyDescent="0.35">
      <c r="A1925" t="s">
        <v>253</v>
      </c>
      <c r="B1925" s="16">
        <v>45999</v>
      </c>
      <c r="C1925">
        <v>6.2</v>
      </c>
      <c r="D1925">
        <v>1</v>
      </c>
      <c r="E1925" t="s">
        <v>6132</v>
      </c>
    </row>
    <row r="1926" spans="1:5" x14ac:dyDescent="0.35">
      <c r="A1926" t="s">
        <v>253</v>
      </c>
      <c r="B1926" s="16">
        <v>46000</v>
      </c>
      <c r="C1926">
        <v>4.5</v>
      </c>
      <c r="D1926">
        <v>0</v>
      </c>
      <c r="E1926" t="s">
        <v>6132</v>
      </c>
    </row>
    <row r="1927" spans="1:5" x14ac:dyDescent="0.35">
      <c r="A1927" t="s">
        <v>253</v>
      </c>
      <c r="B1927" s="16">
        <v>46006</v>
      </c>
      <c r="C1927">
        <v>4.0999999999999996</v>
      </c>
      <c r="D1927">
        <v>1</v>
      </c>
      <c r="E1927" t="s">
        <v>6132</v>
      </c>
    </row>
    <row r="1928" spans="1:5" x14ac:dyDescent="0.35">
      <c r="A1928" t="s">
        <v>253</v>
      </c>
      <c r="B1928" s="16">
        <v>46008</v>
      </c>
      <c r="C1928">
        <v>7.5</v>
      </c>
      <c r="D1928">
        <v>0</v>
      </c>
      <c r="E1928" t="s">
        <v>6132</v>
      </c>
    </row>
    <row r="1929" spans="1:5" x14ac:dyDescent="0.35">
      <c r="A1929" t="s">
        <v>253</v>
      </c>
      <c r="B1929" s="16">
        <v>46009</v>
      </c>
      <c r="C1929">
        <v>7.2</v>
      </c>
      <c r="D1929">
        <v>0</v>
      </c>
      <c r="E1929" t="s">
        <v>6133</v>
      </c>
    </row>
    <row r="1930" spans="1:5" x14ac:dyDescent="0.35">
      <c r="A1930" t="s">
        <v>253</v>
      </c>
      <c r="B1930" s="16">
        <v>46010</v>
      </c>
      <c r="C1930">
        <v>8.1999999999999993</v>
      </c>
      <c r="D1930">
        <v>0</v>
      </c>
      <c r="E1930" t="s">
        <v>6132</v>
      </c>
    </row>
    <row r="1931" spans="1:5" x14ac:dyDescent="0.35">
      <c r="A1931" t="s">
        <v>253</v>
      </c>
      <c r="B1931" s="16">
        <v>46013</v>
      </c>
      <c r="C1931">
        <v>4.9000000000000004</v>
      </c>
      <c r="D1931">
        <v>1</v>
      </c>
      <c r="E1931" t="s">
        <v>6132</v>
      </c>
    </row>
    <row r="1932" spans="1:5" x14ac:dyDescent="0.35">
      <c r="A1932" t="s">
        <v>253</v>
      </c>
      <c r="B1932" s="16">
        <v>46014</v>
      </c>
      <c r="C1932">
        <v>8.6999999999999993</v>
      </c>
      <c r="D1932">
        <v>2</v>
      </c>
      <c r="E1932" t="s">
        <v>6132</v>
      </c>
    </row>
    <row r="1933" spans="1:5" x14ac:dyDescent="0.35">
      <c r="A1933" t="s">
        <v>253</v>
      </c>
      <c r="B1933" s="16">
        <v>46015</v>
      </c>
      <c r="C1933">
        <v>4.5</v>
      </c>
      <c r="D1933">
        <v>2</v>
      </c>
      <c r="E1933" t="s">
        <v>6132</v>
      </c>
    </row>
    <row r="1934" spans="1:5" x14ac:dyDescent="0.35">
      <c r="A1934" t="s">
        <v>253</v>
      </c>
      <c r="B1934" s="16">
        <v>46016</v>
      </c>
      <c r="C1934">
        <v>8</v>
      </c>
      <c r="D1934">
        <v>7</v>
      </c>
      <c r="E1934" t="s">
        <v>6132</v>
      </c>
    </row>
    <row r="1935" spans="1:5" x14ac:dyDescent="0.35">
      <c r="A1935" t="s">
        <v>253</v>
      </c>
      <c r="B1935" s="16">
        <v>46021</v>
      </c>
      <c r="C1935">
        <v>4.9000000000000004</v>
      </c>
      <c r="D1935">
        <v>0</v>
      </c>
      <c r="E1935" t="s">
        <v>6132</v>
      </c>
    </row>
    <row r="1936" spans="1:5" x14ac:dyDescent="0.35">
      <c r="A1936" t="s">
        <v>253</v>
      </c>
      <c r="B1936" s="16">
        <v>46022</v>
      </c>
      <c r="C1936">
        <v>8.5</v>
      </c>
      <c r="D1936">
        <v>0</v>
      </c>
      <c r="E1936" t="s">
        <v>6132</v>
      </c>
    </row>
    <row r="1937" spans="1:5" x14ac:dyDescent="0.35">
      <c r="A1937" t="s">
        <v>236</v>
      </c>
      <c r="B1937" s="16">
        <v>45658</v>
      </c>
      <c r="C1937">
        <v>8.6</v>
      </c>
      <c r="D1937">
        <v>0</v>
      </c>
      <c r="E1937" t="s">
        <v>6132</v>
      </c>
    </row>
    <row r="1938" spans="1:5" x14ac:dyDescent="0.35">
      <c r="A1938" t="s">
        <v>236</v>
      </c>
      <c r="B1938" s="16">
        <v>45660</v>
      </c>
      <c r="C1938">
        <v>6.4</v>
      </c>
      <c r="D1938">
        <v>0</v>
      </c>
      <c r="E1938" t="s">
        <v>6132</v>
      </c>
    </row>
    <row r="1939" spans="1:5" x14ac:dyDescent="0.35">
      <c r="A1939" t="s">
        <v>236</v>
      </c>
      <c r="B1939" s="16">
        <v>45665</v>
      </c>
      <c r="C1939">
        <v>7.8</v>
      </c>
      <c r="D1939">
        <v>0</v>
      </c>
      <c r="E1939" t="s">
        <v>6132</v>
      </c>
    </row>
    <row r="1940" spans="1:5" x14ac:dyDescent="0.35">
      <c r="A1940" t="s">
        <v>236</v>
      </c>
      <c r="B1940" s="16">
        <v>45667</v>
      </c>
      <c r="C1940">
        <v>8.6999999999999993</v>
      </c>
      <c r="D1940">
        <v>1</v>
      </c>
      <c r="E1940" t="s">
        <v>6132</v>
      </c>
    </row>
    <row r="1941" spans="1:5" x14ac:dyDescent="0.35">
      <c r="A1941" t="s">
        <v>236</v>
      </c>
      <c r="B1941" s="16">
        <v>45670</v>
      </c>
      <c r="C1941">
        <v>4.5999999999999996</v>
      </c>
      <c r="D1941">
        <v>0</v>
      </c>
      <c r="E1941" t="s">
        <v>6132</v>
      </c>
    </row>
    <row r="1942" spans="1:5" x14ac:dyDescent="0.35">
      <c r="A1942" t="s">
        <v>236</v>
      </c>
      <c r="B1942" s="16">
        <v>45671</v>
      </c>
      <c r="C1942">
        <v>8.8000000000000007</v>
      </c>
      <c r="D1942">
        <v>1</v>
      </c>
      <c r="E1942" t="s">
        <v>6132</v>
      </c>
    </row>
    <row r="1943" spans="1:5" x14ac:dyDescent="0.35">
      <c r="A1943" t="s">
        <v>236</v>
      </c>
      <c r="B1943" s="16">
        <v>45672</v>
      </c>
      <c r="C1943">
        <v>6.9</v>
      </c>
      <c r="D1943">
        <v>4</v>
      </c>
      <c r="E1943" t="s">
        <v>6132</v>
      </c>
    </row>
    <row r="1944" spans="1:5" x14ac:dyDescent="0.35">
      <c r="A1944" t="s">
        <v>236</v>
      </c>
      <c r="B1944" s="16">
        <v>45673</v>
      </c>
      <c r="C1944">
        <v>4.9000000000000004</v>
      </c>
      <c r="D1944">
        <v>1</v>
      </c>
      <c r="E1944" t="s">
        <v>6132</v>
      </c>
    </row>
    <row r="1945" spans="1:5" x14ac:dyDescent="0.35">
      <c r="A1945" t="s">
        <v>236</v>
      </c>
      <c r="B1945" s="16">
        <v>45681</v>
      </c>
      <c r="D1945">
        <v>0</v>
      </c>
      <c r="E1945" t="s">
        <v>6132</v>
      </c>
    </row>
    <row r="1946" spans="1:5" x14ac:dyDescent="0.35">
      <c r="A1946" t="s">
        <v>236</v>
      </c>
      <c r="B1946" s="16">
        <v>45684</v>
      </c>
      <c r="C1946">
        <v>5.7</v>
      </c>
      <c r="D1946">
        <v>1</v>
      </c>
      <c r="E1946" t="s">
        <v>6132</v>
      </c>
    </row>
    <row r="1947" spans="1:5" x14ac:dyDescent="0.35">
      <c r="A1947" t="s">
        <v>236</v>
      </c>
      <c r="B1947" s="16">
        <v>45691</v>
      </c>
      <c r="C1947">
        <v>6</v>
      </c>
      <c r="D1947">
        <v>1</v>
      </c>
      <c r="E1947" t="s">
        <v>6132</v>
      </c>
    </row>
    <row r="1948" spans="1:5" x14ac:dyDescent="0.35">
      <c r="A1948" t="s">
        <v>236</v>
      </c>
      <c r="B1948" s="16">
        <v>45694</v>
      </c>
      <c r="C1948">
        <v>6.2</v>
      </c>
      <c r="D1948">
        <v>0</v>
      </c>
      <c r="E1948" t="s">
        <v>6132</v>
      </c>
    </row>
    <row r="1949" spans="1:5" x14ac:dyDescent="0.35">
      <c r="A1949" t="s">
        <v>236</v>
      </c>
      <c r="B1949" s="16">
        <v>45695</v>
      </c>
      <c r="C1949">
        <v>6.8</v>
      </c>
      <c r="D1949">
        <v>0</v>
      </c>
      <c r="E1949" t="s">
        <v>6132</v>
      </c>
    </row>
    <row r="1950" spans="1:5" x14ac:dyDescent="0.35">
      <c r="A1950" t="s">
        <v>236</v>
      </c>
      <c r="B1950" s="16">
        <v>45700</v>
      </c>
      <c r="C1950">
        <v>6.4</v>
      </c>
      <c r="D1950">
        <v>0</v>
      </c>
      <c r="E1950" t="s">
        <v>6132</v>
      </c>
    </row>
    <row r="1951" spans="1:5" x14ac:dyDescent="0.35">
      <c r="A1951" t="s">
        <v>236</v>
      </c>
      <c r="B1951" s="16">
        <v>45701</v>
      </c>
      <c r="C1951">
        <v>4.4000000000000004</v>
      </c>
      <c r="D1951">
        <v>1</v>
      </c>
      <c r="E1951" t="s">
        <v>6132</v>
      </c>
    </row>
    <row r="1952" spans="1:5" x14ac:dyDescent="0.35">
      <c r="A1952" t="s">
        <v>236</v>
      </c>
      <c r="B1952" s="16">
        <v>45705</v>
      </c>
      <c r="C1952">
        <v>8.5</v>
      </c>
      <c r="D1952">
        <v>0</v>
      </c>
      <c r="E1952" t="s">
        <v>6133</v>
      </c>
    </row>
    <row r="1953" spans="1:5" x14ac:dyDescent="0.35">
      <c r="A1953" t="s">
        <v>236</v>
      </c>
      <c r="B1953" s="16">
        <v>45706</v>
      </c>
      <c r="C1953">
        <v>4.5999999999999996</v>
      </c>
      <c r="D1953">
        <v>1</v>
      </c>
      <c r="E1953" t="s">
        <v>6132</v>
      </c>
    </row>
    <row r="1954" spans="1:5" x14ac:dyDescent="0.35">
      <c r="A1954" t="s">
        <v>236</v>
      </c>
      <c r="B1954" s="16">
        <v>45707</v>
      </c>
      <c r="C1954">
        <v>5.0999999999999996</v>
      </c>
      <c r="D1954">
        <v>2</v>
      </c>
      <c r="E1954" t="s">
        <v>6132</v>
      </c>
    </row>
    <row r="1955" spans="1:5" x14ac:dyDescent="0.35">
      <c r="A1955" t="s">
        <v>236</v>
      </c>
      <c r="B1955" s="16">
        <v>45708</v>
      </c>
      <c r="C1955">
        <v>8.9</v>
      </c>
      <c r="D1955">
        <v>1</v>
      </c>
      <c r="E1955" t="s">
        <v>6132</v>
      </c>
    </row>
    <row r="1956" spans="1:5" x14ac:dyDescent="0.35">
      <c r="A1956" t="s">
        <v>236</v>
      </c>
      <c r="B1956" s="16">
        <v>45709</v>
      </c>
      <c r="C1956">
        <v>6</v>
      </c>
      <c r="D1956">
        <v>0</v>
      </c>
      <c r="E1956" t="s">
        <v>6132</v>
      </c>
    </row>
    <row r="1957" spans="1:5" x14ac:dyDescent="0.35">
      <c r="A1957" t="s">
        <v>236</v>
      </c>
      <c r="B1957" s="16">
        <v>45712</v>
      </c>
      <c r="C1957">
        <v>8.1</v>
      </c>
      <c r="D1957">
        <v>0</v>
      </c>
      <c r="E1957" t="s">
        <v>6132</v>
      </c>
    </row>
    <row r="1958" spans="1:5" x14ac:dyDescent="0.35">
      <c r="A1958" t="s">
        <v>236</v>
      </c>
      <c r="B1958" s="16">
        <v>45714</v>
      </c>
      <c r="C1958">
        <v>6.6</v>
      </c>
      <c r="D1958">
        <v>1</v>
      </c>
      <c r="E1958" t="s">
        <v>6132</v>
      </c>
    </row>
    <row r="1959" spans="1:5" x14ac:dyDescent="0.35">
      <c r="A1959" t="s">
        <v>236</v>
      </c>
      <c r="B1959" s="16">
        <v>45716</v>
      </c>
      <c r="C1959">
        <v>7.5</v>
      </c>
      <c r="D1959">
        <v>7</v>
      </c>
      <c r="E1959" t="s">
        <v>6132</v>
      </c>
    </row>
    <row r="1960" spans="1:5" x14ac:dyDescent="0.35">
      <c r="A1960" t="s">
        <v>236</v>
      </c>
      <c r="B1960" s="16">
        <v>45722</v>
      </c>
      <c r="C1960">
        <v>7.4</v>
      </c>
      <c r="D1960">
        <v>1</v>
      </c>
      <c r="E1960" t="s">
        <v>6132</v>
      </c>
    </row>
    <row r="1961" spans="1:5" x14ac:dyDescent="0.35">
      <c r="A1961" t="s">
        <v>236</v>
      </c>
      <c r="B1961" s="16">
        <v>45723</v>
      </c>
      <c r="C1961">
        <v>5</v>
      </c>
      <c r="D1961">
        <v>4</v>
      </c>
      <c r="E1961" t="s">
        <v>6132</v>
      </c>
    </row>
    <row r="1962" spans="1:5" x14ac:dyDescent="0.35">
      <c r="A1962" t="s">
        <v>236</v>
      </c>
      <c r="B1962" s="16">
        <v>45726</v>
      </c>
      <c r="C1962">
        <v>6.9</v>
      </c>
      <c r="D1962">
        <v>1</v>
      </c>
      <c r="E1962" t="s">
        <v>6132</v>
      </c>
    </row>
    <row r="1963" spans="1:5" x14ac:dyDescent="0.35">
      <c r="A1963" t="s">
        <v>236</v>
      </c>
      <c r="B1963" s="16">
        <v>45728</v>
      </c>
      <c r="C1963">
        <v>4.5999999999999996</v>
      </c>
      <c r="D1963">
        <v>0</v>
      </c>
      <c r="E1963" t="s">
        <v>6132</v>
      </c>
    </row>
    <row r="1964" spans="1:5" x14ac:dyDescent="0.35">
      <c r="A1964" t="s">
        <v>236</v>
      </c>
      <c r="B1964" s="16">
        <v>45729</v>
      </c>
      <c r="C1964">
        <v>8.1999999999999993</v>
      </c>
      <c r="D1964">
        <v>0</v>
      </c>
      <c r="E1964" t="s">
        <v>6132</v>
      </c>
    </row>
    <row r="1965" spans="1:5" x14ac:dyDescent="0.35">
      <c r="A1965" t="s">
        <v>236</v>
      </c>
      <c r="B1965" s="16">
        <v>45742</v>
      </c>
      <c r="C1965">
        <v>8.5</v>
      </c>
      <c r="D1965">
        <v>0</v>
      </c>
      <c r="E1965" t="s">
        <v>6132</v>
      </c>
    </row>
    <row r="1966" spans="1:5" x14ac:dyDescent="0.35">
      <c r="A1966" t="s">
        <v>236</v>
      </c>
      <c r="B1966" s="16">
        <v>45743</v>
      </c>
      <c r="C1966">
        <v>5.6</v>
      </c>
      <c r="D1966">
        <v>0</v>
      </c>
      <c r="E1966" t="s">
        <v>6133</v>
      </c>
    </row>
    <row r="1967" spans="1:5" x14ac:dyDescent="0.35">
      <c r="A1967" t="s">
        <v>236</v>
      </c>
      <c r="B1967" s="16">
        <v>45748</v>
      </c>
      <c r="C1967">
        <v>6.7</v>
      </c>
      <c r="D1967">
        <v>1</v>
      </c>
      <c r="E1967" t="s">
        <v>6132</v>
      </c>
    </row>
    <row r="1968" spans="1:5" x14ac:dyDescent="0.35">
      <c r="A1968" t="s">
        <v>236</v>
      </c>
      <c r="B1968" s="16">
        <v>45750</v>
      </c>
      <c r="C1968">
        <v>4.4000000000000004</v>
      </c>
      <c r="D1968">
        <v>0</v>
      </c>
      <c r="E1968" t="s">
        <v>6132</v>
      </c>
    </row>
    <row r="1969" spans="1:5" x14ac:dyDescent="0.35">
      <c r="A1969" t="s">
        <v>236</v>
      </c>
      <c r="B1969" s="16">
        <v>45754</v>
      </c>
      <c r="C1969">
        <v>7.3</v>
      </c>
      <c r="D1969">
        <v>2</v>
      </c>
      <c r="E1969" t="s">
        <v>6132</v>
      </c>
    </row>
    <row r="1970" spans="1:5" x14ac:dyDescent="0.35">
      <c r="A1970" t="s">
        <v>236</v>
      </c>
      <c r="B1970" s="16">
        <v>45755</v>
      </c>
      <c r="C1970">
        <v>4.7</v>
      </c>
      <c r="D1970">
        <v>1</v>
      </c>
      <c r="E1970" t="s">
        <v>6132</v>
      </c>
    </row>
    <row r="1971" spans="1:5" x14ac:dyDescent="0.35">
      <c r="A1971" t="s">
        <v>236</v>
      </c>
      <c r="B1971" s="16">
        <v>45756</v>
      </c>
      <c r="C1971">
        <v>4.0999999999999996</v>
      </c>
      <c r="D1971">
        <v>1</v>
      </c>
      <c r="E1971" t="s">
        <v>6132</v>
      </c>
    </row>
    <row r="1972" spans="1:5" x14ac:dyDescent="0.35">
      <c r="A1972" t="s">
        <v>236</v>
      </c>
      <c r="B1972" s="16">
        <v>45757</v>
      </c>
      <c r="C1972">
        <v>6.5</v>
      </c>
      <c r="D1972">
        <v>0</v>
      </c>
      <c r="E1972" t="s">
        <v>6134</v>
      </c>
    </row>
    <row r="1973" spans="1:5" x14ac:dyDescent="0.35">
      <c r="A1973" t="s">
        <v>236</v>
      </c>
      <c r="B1973" s="16">
        <v>45761</v>
      </c>
      <c r="C1973">
        <v>4.9000000000000004</v>
      </c>
      <c r="D1973">
        <v>0</v>
      </c>
      <c r="E1973" t="s">
        <v>6132</v>
      </c>
    </row>
    <row r="1974" spans="1:5" x14ac:dyDescent="0.35">
      <c r="A1974" t="s">
        <v>236</v>
      </c>
      <c r="B1974" s="16">
        <v>45762</v>
      </c>
      <c r="C1974">
        <v>6.7</v>
      </c>
      <c r="D1974">
        <v>3</v>
      </c>
      <c r="E1974" t="s">
        <v>6132</v>
      </c>
    </row>
    <row r="1975" spans="1:5" x14ac:dyDescent="0.35">
      <c r="A1975" t="s">
        <v>236</v>
      </c>
      <c r="B1975" s="16">
        <v>45763</v>
      </c>
      <c r="D1975">
        <v>0</v>
      </c>
      <c r="E1975" t="s">
        <v>6132</v>
      </c>
    </row>
    <row r="1976" spans="1:5" x14ac:dyDescent="0.35">
      <c r="A1976" t="s">
        <v>236</v>
      </c>
      <c r="B1976" s="16">
        <v>45764</v>
      </c>
      <c r="C1976">
        <v>5.0999999999999996</v>
      </c>
      <c r="D1976">
        <v>2</v>
      </c>
      <c r="E1976" t="s">
        <v>6132</v>
      </c>
    </row>
    <row r="1977" spans="1:5" x14ac:dyDescent="0.35">
      <c r="A1977" t="s">
        <v>236</v>
      </c>
      <c r="B1977" s="16">
        <v>45765</v>
      </c>
      <c r="D1977">
        <v>0</v>
      </c>
      <c r="E1977" t="s">
        <v>6132</v>
      </c>
    </row>
    <row r="1978" spans="1:5" x14ac:dyDescent="0.35">
      <c r="A1978" t="s">
        <v>236</v>
      </c>
      <c r="B1978" s="16">
        <v>45768</v>
      </c>
      <c r="C1978">
        <v>8.3000000000000007</v>
      </c>
      <c r="D1978">
        <v>0</v>
      </c>
      <c r="E1978" t="s">
        <v>6132</v>
      </c>
    </row>
    <row r="1979" spans="1:5" x14ac:dyDescent="0.35">
      <c r="A1979" t="s">
        <v>236</v>
      </c>
      <c r="B1979" s="16">
        <v>45769</v>
      </c>
      <c r="C1979">
        <v>5</v>
      </c>
      <c r="D1979">
        <v>0</v>
      </c>
      <c r="E1979" t="s">
        <v>6132</v>
      </c>
    </row>
    <row r="1980" spans="1:5" x14ac:dyDescent="0.35">
      <c r="A1980" t="s">
        <v>236</v>
      </c>
      <c r="B1980" s="16">
        <v>45771</v>
      </c>
      <c r="C1980">
        <v>6.6</v>
      </c>
      <c r="D1980">
        <v>0</v>
      </c>
      <c r="E1980" t="s">
        <v>6134</v>
      </c>
    </row>
    <row r="1981" spans="1:5" x14ac:dyDescent="0.35">
      <c r="A1981" t="s">
        <v>236</v>
      </c>
      <c r="B1981" s="16">
        <v>45776</v>
      </c>
      <c r="C1981">
        <v>5.7</v>
      </c>
      <c r="D1981">
        <v>0</v>
      </c>
      <c r="E1981" t="s">
        <v>6132</v>
      </c>
    </row>
    <row r="1982" spans="1:5" x14ac:dyDescent="0.35">
      <c r="A1982" t="s">
        <v>236</v>
      </c>
      <c r="B1982" s="16">
        <v>45778</v>
      </c>
      <c r="C1982">
        <v>4</v>
      </c>
      <c r="D1982">
        <v>0</v>
      </c>
      <c r="E1982" t="s">
        <v>6132</v>
      </c>
    </row>
    <row r="1983" spans="1:5" x14ac:dyDescent="0.35">
      <c r="A1983" t="s">
        <v>236</v>
      </c>
      <c r="B1983" s="16">
        <v>45782</v>
      </c>
      <c r="C1983">
        <v>7.5</v>
      </c>
      <c r="D1983">
        <v>1</v>
      </c>
      <c r="E1983" t="s">
        <v>6132</v>
      </c>
    </row>
    <row r="1984" spans="1:5" x14ac:dyDescent="0.35">
      <c r="A1984" t="s">
        <v>236</v>
      </c>
      <c r="B1984" s="16">
        <v>45785</v>
      </c>
      <c r="D1984">
        <v>0</v>
      </c>
      <c r="E1984" t="s">
        <v>6132</v>
      </c>
    </row>
    <row r="1985" spans="1:5" x14ac:dyDescent="0.35">
      <c r="A1985" t="s">
        <v>236</v>
      </c>
      <c r="B1985" s="16">
        <v>45790</v>
      </c>
      <c r="C1985">
        <v>8</v>
      </c>
      <c r="D1985">
        <v>0</v>
      </c>
      <c r="E1985" t="s">
        <v>6134</v>
      </c>
    </row>
    <row r="1986" spans="1:5" x14ac:dyDescent="0.35">
      <c r="A1986" t="s">
        <v>236</v>
      </c>
      <c r="B1986" s="16">
        <v>45793</v>
      </c>
      <c r="C1986">
        <v>4.0999999999999996</v>
      </c>
      <c r="D1986">
        <v>1</v>
      </c>
      <c r="E1986" t="s">
        <v>6132</v>
      </c>
    </row>
    <row r="1987" spans="1:5" x14ac:dyDescent="0.35">
      <c r="A1987" t="s">
        <v>236</v>
      </c>
      <c r="B1987" s="16">
        <v>45796</v>
      </c>
      <c r="C1987">
        <v>8.6999999999999993</v>
      </c>
      <c r="D1987">
        <v>2</v>
      </c>
      <c r="E1987" t="s">
        <v>6132</v>
      </c>
    </row>
    <row r="1988" spans="1:5" x14ac:dyDescent="0.35">
      <c r="A1988" t="s">
        <v>236</v>
      </c>
      <c r="B1988" s="16">
        <v>45797</v>
      </c>
      <c r="C1988">
        <v>4.3</v>
      </c>
      <c r="D1988">
        <v>3</v>
      </c>
      <c r="E1988" t="s">
        <v>6132</v>
      </c>
    </row>
    <row r="1989" spans="1:5" x14ac:dyDescent="0.35">
      <c r="A1989" t="s">
        <v>236</v>
      </c>
      <c r="B1989" s="16">
        <v>45800</v>
      </c>
      <c r="C1989">
        <v>6.7</v>
      </c>
      <c r="D1989">
        <v>1</v>
      </c>
      <c r="E1989" t="s">
        <v>6132</v>
      </c>
    </row>
    <row r="1990" spans="1:5" x14ac:dyDescent="0.35">
      <c r="A1990" t="s">
        <v>236</v>
      </c>
      <c r="B1990" s="16">
        <v>45803</v>
      </c>
      <c r="C1990">
        <v>9</v>
      </c>
      <c r="D1990">
        <v>4</v>
      </c>
      <c r="E1990" t="s">
        <v>6132</v>
      </c>
    </row>
    <row r="1991" spans="1:5" x14ac:dyDescent="0.35">
      <c r="A1991" t="s">
        <v>236</v>
      </c>
      <c r="B1991" s="16">
        <v>45804</v>
      </c>
      <c r="C1991">
        <v>8.3000000000000007</v>
      </c>
      <c r="D1991">
        <v>0</v>
      </c>
      <c r="E1991" t="s">
        <v>6132</v>
      </c>
    </row>
    <row r="1992" spans="1:5" x14ac:dyDescent="0.35">
      <c r="A1992" t="s">
        <v>236</v>
      </c>
      <c r="B1992" s="16">
        <v>45805</v>
      </c>
      <c r="C1992">
        <v>6.8</v>
      </c>
      <c r="D1992">
        <v>3</v>
      </c>
      <c r="E1992" t="s">
        <v>6132</v>
      </c>
    </row>
    <row r="1993" spans="1:5" x14ac:dyDescent="0.35">
      <c r="A1993" t="s">
        <v>236</v>
      </c>
      <c r="B1993" s="16">
        <v>45807</v>
      </c>
      <c r="C1993">
        <v>6.1</v>
      </c>
      <c r="D1993">
        <v>1</v>
      </c>
      <c r="E1993" t="s">
        <v>6132</v>
      </c>
    </row>
    <row r="1994" spans="1:5" x14ac:dyDescent="0.35">
      <c r="A1994" t="s">
        <v>236</v>
      </c>
      <c r="B1994" s="16">
        <v>45810</v>
      </c>
      <c r="C1994">
        <v>6</v>
      </c>
      <c r="D1994">
        <v>1</v>
      </c>
      <c r="E1994" t="s">
        <v>6132</v>
      </c>
    </row>
    <row r="1995" spans="1:5" x14ac:dyDescent="0.35">
      <c r="A1995" t="s">
        <v>236</v>
      </c>
      <c r="B1995" s="16">
        <v>45811</v>
      </c>
      <c r="C1995">
        <v>4.7</v>
      </c>
      <c r="D1995">
        <v>0</v>
      </c>
      <c r="E1995" t="s">
        <v>6132</v>
      </c>
    </row>
    <row r="1996" spans="1:5" x14ac:dyDescent="0.35">
      <c r="A1996" t="s">
        <v>236</v>
      </c>
      <c r="B1996" s="16">
        <v>45813</v>
      </c>
      <c r="C1996">
        <v>4.7</v>
      </c>
      <c r="D1996">
        <v>0</v>
      </c>
      <c r="E1996" t="s">
        <v>6133</v>
      </c>
    </row>
    <row r="1997" spans="1:5" x14ac:dyDescent="0.35">
      <c r="A1997" t="s">
        <v>236</v>
      </c>
      <c r="B1997" s="16">
        <v>45814</v>
      </c>
      <c r="C1997">
        <v>7.2</v>
      </c>
      <c r="D1997">
        <v>2</v>
      </c>
      <c r="E1997" t="s">
        <v>6132</v>
      </c>
    </row>
    <row r="1998" spans="1:5" x14ac:dyDescent="0.35">
      <c r="A1998" t="s">
        <v>236</v>
      </c>
      <c r="B1998" s="16">
        <v>45817</v>
      </c>
      <c r="C1998">
        <v>7.6</v>
      </c>
      <c r="D1998">
        <v>0</v>
      </c>
      <c r="E1998" t="s">
        <v>6134</v>
      </c>
    </row>
    <row r="1999" spans="1:5" x14ac:dyDescent="0.35">
      <c r="A1999" t="s">
        <v>236</v>
      </c>
      <c r="B1999" s="16">
        <v>45818</v>
      </c>
      <c r="C1999">
        <v>5.7</v>
      </c>
      <c r="D1999">
        <v>0</v>
      </c>
      <c r="E1999" t="s">
        <v>6132</v>
      </c>
    </row>
    <row r="2000" spans="1:5" x14ac:dyDescent="0.35">
      <c r="A2000" t="s">
        <v>236</v>
      </c>
      <c r="B2000" s="16">
        <v>45824</v>
      </c>
      <c r="C2000">
        <v>4.0999999999999996</v>
      </c>
      <c r="D2000">
        <v>0</v>
      </c>
      <c r="E2000" t="s">
        <v>6132</v>
      </c>
    </row>
    <row r="2001" spans="1:5" x14ac:dyDescent="0.35">
      <c r="A2001" t="s">
        <v>236</v>
      </c>
      <c r="B2001" s="16">
        <v>45825</v>
      </c>
      <c r="C2001">
        <v>5.8</v>
      </c>
      <c r="D2001">
        <v>0</v>
      </c>
      <c r="E2001" t="s">
        <v>6132</v>
      </c>
    </row>
    <row r="2002" spans="1:5" x14ac:dyDescent="0.35">
      <c r="A2002" t="s">
        <v>236</v>
      </c>
      <c r="B2002" s="16">
        <v>45828</v>
      </c>
      <c r="C2002">
        <v>4.5999999999999996</v>
      </c>
      <c r="D2002">
        <v>0</v>
      </c>
      <c r="E2002" t="s">
        <v>6132</v>
      </c>
    </row>
    <row r="2003" spans="1:5" x14ac:dyDescent="0.35">
      <c r="A2003" t="s">
        <v>236</v>
      </c>
      <c r="B2003" s="16">
        <v>45831</v>
      </c>
      <c r="C2003">
        <v>8.4</v>
      </c>
      <c r="D2003">
        <v>0</v>
      </c>
      <c r="E2003" t="s">
        <v>6132</v>
      </c>
    </row>
    <row r="2004" spans="1:5" x14ac:dyDescent="0.35">
      <c r="A2004" t="s">
        <v>236</v>
      </c>
      <c r="B2004" s="16">
        <v>45835</v>
      </c>
      <c r="C2004">
        <v>5.2</v>
      </c>
      <c r="D2004">
        <v>2</v>
      </c>
      <c r="E2004" t="s">
        <v>6132</v>
      </c>
    </row>
    <row r="2005" spans="1:5" x14ac:dyDescent="0.35">
      <c r="A2005" t="s">
        <v>236</v>
      </c>
      <c r="B2005" s="16">
        <v>45838</v>
      </c>
      <c r="C2005">
        <v>5.3</v>
      </c>
      <c r="D2005">
        <v>3</v>
      </c>
      <c r="E2005" t="s">
        <v>6132</v>
      </c>
    </row>
    <row r="2006" spans="1:5" x14ac:dyDescent="0.35">
      <c r="A2006" t="s">
        <v>236</v>
      </c>
      <c r="B2006" s="16">
        <v>45839</v>
      </c>
      <c r="C2006">
        <v>7</v>
      </c>
      <c r="D2006">
        <v>0</v>
      </c>
      <c r="E2006" t="s">
        <v>6132</v>
      </c>
    </row>
    <row r="2007" spans="1:5" x14ac:dyDescent="0.35">
      <c r="A2007" t="s">
        <v>236</v>
      </c>
      <c r="B2007" s="16">
        <v>45841</v>
      </c>
      <c r="C2007">
        <v>6</v>
      </c>
      <c r="D2007">
        <v>4</v>
      </c>
      <c r="E2007" t="s">
        <v>6132</v>
      </c>
    </row>
    <row r="2008" spans="1:5" x14ac:dyDescent="0.35">
      <c r="A2008" t="s">
        <v>236</v>
      </c>
      <c r="B2008" s="16">
        <v>45842</v>
      </c>
      <c r="C2008">
        <v>8.6</v>
      </c>
      <c r="D2008">
        <v>0</v>
      </c>
      <c r="E2008" t="s">
        <v>6134</v>
      </c>
    </row>
    <row r="2009" spans="1:5" x14ac:dyDescent="0.35">
      <c r="A2009" t="s">
        <v>236</v>
      </c>
      <c r="B2009" s="16">
        <v>45849</v>
      </c>
      <c r="C2009">
        <v>6</v>
      </c>
      <c r="D2009">
        <v>3</v>
      </c>
      <c r="E2009" t="s">
        <v>6132</v>
      </c>
    </row>
    <row r="2010" spans="1:5" x14ac:dyDescent="0.35">
      <c r="A2010" t="s">
        <v>236</v>
      </c>
      <c r="B2010" s="16">
        <v>45853</v>
      </c>
      <c r="C2010">
        <v>7.3</v>
      </c>
      <c r="D2010">
        <v>2</v>
      </c>
      <c r="E2010" t="s">
        <v>6132</v>
      </c>
    </row>
    <row r="2011" spans="1:5" x14ac:dyDescent="0.35">
      <c r="A2011" t="s">
        <v>236</v>
      </c>
      <c r="B2011" s="16">
        <v>45854</v>
      </c>
      <c r="C2011">
        <v>8.8000000000000007</v>
      </c>
      <c r="D2011">
        <v>4</v>
      </c>
      <c r="E2011" t="s">
        <v>6132</v>
      </c>
    </row>
    <row r="2012" spans="1:5" x14ac:dyDescent="0.35">
      <c r="A2012" t="s">
        <v>236</v>
      </c>
      <c r="B2012" s="16">
        <v>45862</v>
      </c>
      <c r="C2012">
        <v>7.5</v>
      </c>
      <c r="D2012">
        <v>0</v>
      </c>
      <c r="E2012" t="s">
        <v>6132</v>
      </c>
    </row>
    <row r="2013" spans="1:5" x14ac:dyDescent="0.35">
      <c r="A2013" t="s">
        <v>236</v>
      </c>
      <c r="B2013" s="16">
        <v>45866</v>
      </c>
      <c r="C2013">
        <v>6.6</v>
      </c>
      <c r="D2013">
        <v>1</v>
      </c>
      <c r="E2013" t="s">
        <v>6132</v>
      </c>
    </row>
    <row r="2014" spans="1:5" x14ac:dyDescent="0.35">
      <c r="A2014" t="s">
        <v>236</v>
      </c>
      <c r="B2014" s="16">
        <v>45876</v>
      </c>
      <c r="C2014">
        <v>7.8</v>
      </c>
      <c r="D2014">
        <v>1</v>
      </c>
      <c r="E2014" t="s">
        <v>6132</v>
      </c>
    </row>
    <row r="2015" spans="1:5" x14ac:dyDescent="0.35">
      <c r="A2015" t="s">
        <v>236</v>
      </c>
      <c r="B2015" s="16">
        <v>45877</v>
      </c>
      <c r="C2015">
        <v>6.8</v>
      </c>
      <c r="D2015">
        <v>3</v>
      </c>
      <c r="E2015" t="s">
        <v>6132</v>
      </c>
    </row>
    <row r="2016" spans="1:5" x14ac:dyDescent="0.35">
      <c r="A2016" t="s">
        <v>236</v>
      </c>
      <c r="B2016" s="16">
        <v>45880</v>
      </c>
      <c r="C2016">
        <v>5</v>
      </c>
      <c r="D2016">
        <v>2</v>
      </c>
      <c r="E2016" t="s">
        <v>6132</v>
      </c>
    </row>
    <row r="2017" spans="1:5" x14ac:dyDescent="0.35">
      <c r="A2017" t="s">
        <v>236</v>
      </c>
      <c r="B2017" s="16">
        <v>45881</v>
      </c>
      <c r="D2017">
        <v>0</v>
      </c>
      <c r="E2017" t="s">
        <v>6132</v>
      </c>
    </row>
    <row r="2018" spans="1:5" x14ac:dyDescent="0.35">
      <c r="A2018" t="s">
        <v>236</v>
      </c>
      <c r="B2018" s="16">
        <v>45888</v>
      </c>
      <c r="C2018">
        <v>6.5</v>
      </c>
      <c r="D2018">
        <v>1</v>
      </c>
      <c r="E2018" t="s">
        <v>6132</v>
      </c>
    </row>
    <row r="2019" spans="1:5" x14ac:dyDescent="0.35">
      <c r="A2019" t="s">
        <v>236</v>
      </c>
      <c r="B2019" s="16">
        <v>45891</v>
      </c>
      <c r="C2019">
        <v>4.0999999999999996</v>
      </c>
      <c r="D2019">
        <v>2</v>
      </c>
      <c r="E2019" t="s">
        <v>6132</v>
      </c>
    </row>
    <row r="2020" spans="1:5" x14ac:dyDescent="0.35">
      <c r="A2020" t="s">
        <v>236</v>
      </c>
      <c r="B2020" s="16">
        <v>45894</v>
      </c>
      <c r="C2020">
        <v>4</v>
      </c>
      <c r="D2020">
        <v>2</v>
      </c>
      <c r="E2020" t="s">
        <v>6132</v>
      </c>
    </row>
    <row r="2021" spans="1:5" x14ac:dyDescent="0.35">
      <c r="A2021" t="s">
        <v>236</v>
      </c>
      <c r="B2021" s="16">
        <v>45895</v>
      </c>
      <c r="C2021">
        <v>8.4</v>
      </c>
      <c r="D2021">
        <v>1</v>
      </c>
      <c r="E2021" t="s">
        <v>6132</v>
      </c>
    </row>
    <row r="2022" spans="1:5" x14ac:dyDescent="0.35">
      <c r="A2022" t="s">
        <v>236</v>
      </c>
      <c r="B2022" s="16">
        <v>45897</v>
      </c>
      <c r="C2022">
        <v>8.1999999999999993</v>
      </c>
      <c r="D2022">
        <v>1</v>
      </c>
      <c r="E2022" t="s">
        <v>6132</v>
      </c>
    </row>
    <row r="2023" spans="1:5" x14ac:dyDescent="0.35">
      <c r="A2023" t="s">
        <v>236</v>
      </c>
      <c r="B2023" s="16">
        <v>45902</v>
      </c>
      <c r="C2023">
        <v>8.3000000000000007</v>
      </c>
      <c r="D2023">
        <v>4</v>
      </c>
      <c r="E2023" t="s">
        <v>6132</v>
      </c>
    </row>
    <row r="2024" spans="1:5" x14ac:dyDescent="0.35">
      <c r="A2024" t="s">
        <v>236</v>
      </c>
      <c r="B2024" s="16">
        <v>45904</v>
      </c>
      <c r="C2024">
        <v>4.4000000000000004</v>
      </c>
      <c r="D2024">
        <v>1</v>
      </c>
      <c r="E2024" t="s">
        <v>6132</v>
      </c>
    </row>
    <row r="2025" spans="1:5" x14ac:dyDescent="0.35">
      <c r="A2025" t="s">
        <v>236</v>
      </c>
      <c r="B2025" s="16">
        <v>45905</v>
      </c>
      <c r="C2025">
        <v>6.5</v>
      </c>
      <c r="D2025">
        <v>0</v>
      </c>
      <c r="E2025" t="s">
        <v>6132</v>
      </c>
    </row>
    <row r="2026" spans="1:5" x14ac:dyDescent="0.35">
      <c r="A2026" t="s">
        <v>236</v>
      </c>
      <c r="B2026" s="16">
        <v>45911</v>
      </c>
      <c r="C2026">
        <v>6.5</v>
      </c>
      <c r="D2026">
        <v>0</v>
      </c>
      <c r="E2026" t="s">
        <v>6132</v>
      </c>
    </row>
    <row r="2027" spans="1:5" x14ac:dyDescent="0.35">
      <c r="A2027" t="s">
        <v>236</v>
      </c>
      <c r="B2027" s="16">
        <v>45918</v>
      </c>
      <c r="C2027">
        <v>5.9</v>
      </c>
      <c r="D2027">
        <v>0</v>
      </c>
      <c r="E2027" t="s">
        <v>6132</v>
      </c>
    </row>
    <row r="2028" spans="1:5" x14ac:dyDescent="0.35">
      <c r="A2028" t="s">
        <v>236</v>
      </c>
      <c r="B2028" s="16">
        <v>45919</v>
      </c>
      <c r="C2028">
        <v>4.5</v>
      </c>
      <c r="D2028">
        <v>0</v>
      </c>
      <c r="E2028" t="s">
        <v>6133</v>
      </c>
    </row>
    <row r="2029" spans="1:5" x14ac:dyDescent="0.35">
      <c r="A2029" t="s">
        <v>236</v>
      </c>
      <c r="B2029" s="16">
        <v>45922</v>
      </c>
      <c r="C2029">
        <v>4.4000000000000004</v>
      </c>
      <c r="D2029">
        <v>0</v>
      </c>
      <c r="E2029" t="s">
        <v>6132</v>
      </c>
    </row>
    <row r="2030" spans="1:5" x14ac:dyDescent="0.35">
      <c r="A2030" t="s">
        <v>236</v>
      </c>
      <c r="B2030" s="16">
        <v>45924</v>
      </c>
      <c r="C2030">
        <v>6</v>
      </c>
      <c r="D2030">
        <v>0</v>
      </c>
      <c r="E2030" t="s">
        <v>6134</v>
      </c>
    </row>
    <row r="2031" spans="1:5" x14ac:dyDescent="0.35">
      <c r="A2031" t="s">
        <v>236</v>
      </c>
      <c r="B2031" s="16">
        <v>45926</v>
      </c>
      <c r="C2031">
        <v>5.5</v>
      </c>
      <c r="D2031">
        <v>1</v>
      </c>
      <c r="E2031" t="s">
        <v>6132</v>
      </c>
    </row>
    <row r="2032" spans="1:5" x14ac:dyDescent="0.35">
      <c r="A2032" t="s">
        <v>236</v>
      </c>
      <c r="B2032" s="16">
        <v>45929</v>
      </c>
      <c r="C2032">
        <v>5.9</v>
      </c>
      <c r="D2032">
        <v>0</v>
      </c>
      <c r="E2032" t="s">
        <v>6132</v>
      </c>
    </row>
    <row r="2033" spans="1:5" x14ac:dyDescent="0.35">
      <c r="A2033" t="s">
        <v>236</v>
      </c>
      <c r="B2033" s="16">
        <v>45930</v>
      </c>
      <c r="C2033">
        <v>8.5</v>
      </c>
      <c r="D2033">
        <v>0</v>
      </c>
      <c r="E2033" t="s">
        <v>6132</v>
      </c>
    </row>
    <row r="2034" spans="1:5" x14ac:dyDescent="0.35">
      <c r="A2034" t="s">
        <v>236</v>
      </c>
      <c r="B2034" s="16">
        <v>45932</v>
      </c>
      <c r="C2034">
        <v>5.2</v>
      </c>
      <c r="D2034">
        <v>1</v>
      </c>
      <c r="E2034" t="s">
        <v>6132</v>
      </c>
    </row>
    <row r="2035" spans="1:5" x14ac:dyDescent="0.35">
      <c r="A2035" t="s">
        <v>236</v>
      </c>
      <c r="B2035" s="16">
        <v>45933</v>
      </c>
      <c r="C2035">
        <v>6.7</v>
      </c>
      <c r="D2035">
        <v>3</v>
      </c>
      <c r="E2035" t="s">
        <v>6132</v>
      </c>
    </row>
    <row r="2036" spans="1:5" x14ac:dyDescent="0.35">
      <c r="A2036" t="s">
        <v>236</v>
      </c>
      <c r="B2036" s="16">
        <v>45936</v>
      </c>
      <c r="D2036">
        <v>2</v>
      </c>
      <c r="E2036" t="s">
        <v>6132</v>
      </c>
    </row>
    <row r="2037" spans="1:5" x14ac:dyDescent="0.35">
      <c r="A2037" t="s">
        <v>236</v>
      </c>
      <c r="B2037" s="16">
        <v>45943</v>
      </c>
      <c r="C2037">
        <v>8.1999999999999993</v>
      </c>
      <c r="D2037">
        <v>0</v>
      </c>
      <c r="E2037" t="s">
        <v>6133</v>
      </c>
    </row>
    <row r="2038" spans="1:5" x14ac:dyDescent="0.35">
      <c r="A2038" t="s">
        <v>236</v>
      </c>
      <c r="B2038" s="16">
        <v>45944</v>
      </c>
      <c r="D2038">
        <v>0</v>
      </c>
      <c r="E2038" t="s">
        <v>6133</v>
      </c>
    </row>
    <row r="2039" spans="1:5" x14ac:dyDescent="0.35">
      <c r="A2039" t="s">
        <v>236</v>
      </c>
      <c r="B2039" s="16">
        <v>45947</v>
      </c>
      <c r="C2039">
        <v>8.9</v>
      </c>
      <c r="D2039">
        <v>3</v>
      </c>
      <c r="E2039" t="s">
        <v>6132</v>
      </c>
    </row>
    <row r="2040" spans="1:5" x14ac:dyDescent="0.35">
      <c r="A2040" t="s">
        <v>236</v>
      </c>
      <c r="B2040" s="16">
        <v>45951</v>
      </c>
      <c r="C2040">
        <v>5.6</v>
      </c>
      <c r="D2040">
        <v>3</v>
      </c>
      <c r="E2040" t="s">
        <v>6132</v>
      </c>
    </row>
    <row r="2041" spans="1:5" x14ac:dyDescent="0.35">
      <c r="A2041" t="s">
        <v>236</v>
      </c>
      <c r="B2041" s="16">
        <v>45953</v>
      </c>
      <c r="C2041">
        <v>5.5</v>
      </c>
      <c r="D2041">
        <v>1</v>
      </c>
      <c r="E2041" t="s">
        <v>6132</v>
      </c>
    </row>
    <row r="2042" spans="1:5" x14ac:dyDescent="0.35">
      <c r="A2042" t="s">
        <v>236</v>
      </c>
      <c r="B2042" s="16">
        <v>45954</v>
      </c>
      <c r="C2042">
        <v>5.4</v>
      </c>
      <c r="D2042">
        <v>0</v>
      </c>
      <c r="E2042" t="s">
        <v>6134</v>
      </c>
    </row>
    <row r="2043" spans="1:5" x14ac:dyDescent="0.35">
      <c r="A2043" t="s">
        <v>236</v>
      </c>
      <c r="B2043" s="16">
        <v>45961</v>
      </c>
      <c r="C2043">
        <v>5.6</v>
      </c>
      <c r="D2043">
        <v>2</v>
      </c>
      <c r="E2043" t="s">
        <v>6132</v>
      </c>
    </row>
    <row r="2044" spans="1:5" x14ac:dyDescent="0.35">
      <c r="A2044" t="s">
        <v>236</v>
      </c>
      <c r="B2044" s="16">
        <v>45964</v>
      </c>
      <c r="C2044">
        <v>7</v>
      </c>
      <c r="D2044">
        <v>2</v>
      </c>
      <c r="E2044" t="s">
        <v>6132</v>
      </c>
    </row>
    <row r="2045" spans="1:5" x14ac:dyDescent="0.35">
      <c r="A2045" t="s">
        <v>236</v>
      </c>
      <c r="B2045" s="16">
        <v>45965</v>
      </c>
      <c r="C2045">
        <v>5.3</v>
      </c>
      <c r="D2045">
        <v>0</v>
      </c>
      <c r="E2045" t="s">
        <v>6132</v>
      </c>
    </row>
    <row r="2046" spans="1:5" x14ac:dyDescent="0.35">
      <c r="A2046" t="s">
        <v>236</v>
      </c>
      <c r="B2046" s="16">
        <v>45967</v>
      </c>
      <c r="C2046">
        <v>5.3</v>
      </c>
      <c r="D2046">
        <v>1</v>
      </c>
      <c r="E2046" t="s">
        <v>6132</v>
      </c>
    </row>
    <row r="2047" spans="1:5" x14ac:dyDescent="0.35">
      <c r="A2047" t="s">
        <v>236</v>
      </c>
      <c r="B2047" s="16">
        <v>45968</v>
      </c>
      <c r="C2047">
        <v>6.9</v>
      </c>
      <c r="D2047">
        <v>1</v>
      </c>
      <c r="E2047" t="s">
        <v>6132</v>
      </c>
    </row>
    <row r="2048" spans="1:5" x14ac:dyDescent="0.35">
      <c r="A2048" t="s">
        <v>236</v>
      </c>
      <c r="B2048" s="16">
        <v>45972</v>
      </c>
      <c r="C2048">
        <v>5.0999999999999996</v>
      </c>
      <c r="D2048">
        <v>0</v>
      </c>
      <c r="E2048" t="s">
        <v>6132</v>
      </c>
    </row>
    <row r="2049" spans="1:5" x14ac:dyDescent="0.35">
      <c r="A2049" t="s">
        <v>236</v>
      </c>
      <c r="B2049" s="16">
        <v>45975</v>
      </c>
      <c r="C2049">
        <v>7.5</v>
      </c>
      <c r="D2049">
        <v>0</v>
      </c>
      <c r="E2049" t="s">
        <v>6134</v>
      </c>
    </row>
    <row r="2050" spans="1:5" x14ac:dyDescent="0.35">
      <c r="A2050" t="s">
        <v>236</v>
      </c>
      <c r="B2050" s="16">
        <v>45978</v>
      </c>
      <c r="C2050">
        <v>4.3</v>
      </c>
      <c r="D2050">
        <v>1</v>
      </c>
      <c r="E2050" t="s">
        <v>6132</v>
      </c>
    </row>
    <row r="2051" spans="1:5" x14ac:dyDescent="0.35">
      <c r="A2051" t="s">
        <v>236</v>
      </c>
      <c r="B2051" s="16">
        <v>45979</v>
      </c>
      <c r="C2051">
        <v>7.2</v>
      </c>
      <c r="D2051">
        <v>0</v>
      </c>
      <c r="E2051" t="s">
        <v>6132</v>
      </c>
    </row>
    <row r="2052" spans="1:5" x14ac:dyDescent="0.35">
      <c r="A2052" t="s">
        <v>236</v>
      </c>
      <c r="B2052" s="16">
        <v>45980</v>
      </c>
      <c r="C2052">
        <v>6.8</v>
      </c>
      <c r="D2052">
        <v>0</v>
      </c>
      <c r="E2052" t="s">
        <v>6133</v>
      </c>
    </row>
    <row r="2053" spans="1:5" x14ac:dyDescent="0.35">
      <c r="A2053" t="s">
        <v>236</v>
      </c>
      <c r="B2053" s="16">
        <v>45981</v>
      </c>
      <c r="C2053">
        <v>5.9</v>
      </c>
      <c r="D2053">
        <v>1</v>
      </c>
      <c r="E2053" t="s">
        <v>6132</v>
      </c>
    </row>
    <row r="2054" spans="1:5" x14ac:dyDescent="0.35">
      <c r="A2054" t="s">
        <v>236</v>
      </c>
      <c r="B2054" s="16">
        <v>45985</v>
      </c>
      <c r="C2054">
        <v>8.1</v>
      </c>
      <c r="D2054">
        <v>0</v>
      </c>
      <c r="E2054" t="s">
        <v>6132</v>
      </c>
    </row>
    <row r="2055" spans="1:5" x14ac:dyDescent="0.35">
      <c r="A2055" t="s">
        <v>236</v>
      </c>
      <c r="B2055" s="16">
        <v>45987</v>
      </c>
      <c r="C2055">
        <v>6.6</v>
      </c>
      <c r="D2055">
        <v>0</v>
      </c>
      <c r="E2055" t="s">
        <v>6134</v>
      </c>
    </row>
    <row r="2056" spans="1:5" x14ac:dyDescent="0.35">
      <c r="A2056" t="s">
        <v>236</v>
      </c>
      <c r="B2056" s="16">
        <v>45989</v>
      </c>
      <c r="C2056">
        <v>8.3000000000000007</v>
      </c>
      <c r="D2056">
        <v>1</v>
      </c>
      <c r="E2056" t="s">
        <v>6132</v>
      </c>
    </row>
    <row r="2057" spans="1:5" x14ac:dyDescent="0.35">
      <c r="A2057" t="s">
        <v>236</v>
      </c>
      <c r="B2057" s="16">
        <v>45994</v>
      </c>
      <c r="C2057">
        <v>6.9</v>
      </c>
      <c r="D2057">
        <v>0</v>
      </c>
      <c r="E2057" t="s">
        <v>6134</v>
      </c>
    </row>
    <row r="2058" spans="1:5" x14ac:dyDescent="0.35">
      <c r="A2058" t="s">
        <v>236</v>
      </c>
      <c r="B2058" s="16">
        <v>45995</v>
      </c>
      <c r="C2058">
        <v>5.3</v>
      </c>
      <c r="D2058">
        <v>1</v>
      </c>
      <c r="E2058" t="s">
        <v>6132</v>
      </c>
    </row>
    <row r="2059" spans="1:5" x14ac:dyDescent="0.35">
      <c r="A2059" t="s">
        <v>236</v>
      </c>
      <c r="B2059" s="16">
        <v>45996</v>
      </c>
      <c r="C2059">
        <v>6</v>
      </c>
      <c r="D2059">
        <v>0</v>
      </c>
      <c r="E2059" t="s">
        <v>6134</v>
      </c>
    </row>
    <row r="2060" spans="1:5" x14ac:dyDescent="0.35">
      <c r="A2060" t="s">
        <v>236</v>
      </c>
      <c r="B2060" s="16">
        <v>45999</v>
      </c>
      <c r="C2060">
        <v>4.0999999999999996</v>
      </c>
      <c r="D2060">
        <v>3</v>
      </c>
      <c r="E2060" t="s">
        <v>6132</v>
      </c>
    </row>
    <row r="2061" spans="1:5" x14ac:dyDescent="0.35">
      <c r="A2061" t="s">
        <v>236</v>
      </c>
      <c r="B2061" s="16">
        <v>46003</v>
      </c>
      <c r="C2061">
        <v>8.6</v>
      </c>
      <c r="D2061">
        <v>1</v>
      </c>
      <c r="E2061" t="s">
        <v>6132</v>
      </c>
    </row>
    <row r="2062" spans="1:5" x14ac:dyDescent="0.35">
      <c r="A2062" t="s">
        <v>236</v>
      </c>
      <c r="B2062" s="16">
        <v>46007</v>
      </c>
      <c r="C2062">
        <v>5.8</v>
      </c>
      <c r="D2062">
        <v>2</v>
      </c>
      <c r="E2062" t="s">
        <v>6132</v>
      </c>
    </row>
    <row r="2063" spans="1:5" x14ac:dyDescent="0.35">
      <c r="A2063" t="s">
        <v>236</v>
      </c>
      <c r="B2063" s="16">
        <v>46009</v>
      </c>
      <c r="C2063">
        <v>7.3</v>
      </c>
      <c r="D2063">
        <v>0</v>
      </c>
      <c r="E2063" t="s">
        <v>6132</v>
      </c>
    </row>
    <row r="2064" spans="1:5" x14ac:dyDescent="0.35">
      <c r="A2064" t="s">
        <v>236</v>
      </c>
      <c r="B2064" s="16">
        <v>46010</v>
      </c>
      <c r="C2064">
        <v>6.3</v>
      </c>
      <c r="D2064">
        <v>0</v>
      </c>
      <c r="E2064" t="s">
        <v>6132</v>
      </c>
    </row>
    <row r="2065" spans="1:5" x14ac:dyDescent="0.35">
      <c r="A2065" t="s">
        <v>236</v>
      </c>
      <c r="B2065" s="16">
        <v>46014</v>
      </c>
      <c r="C2065">
        <v>8.5</v>
      </c>
      <c r="D2065">
        <v>4</v>
      </c>
      <c r="E2065" t="s">
        <v>6132</v>
      </c>
    </row>
    <row r="2066" spans="1:5" x14ac:dyDescent="0.35">
      <c r="A2066" t="s">
        <v>236</v>
      </c>
      <c r="B2066" s="16">
        <v>46016</v>
      </c>
      <c r="C2066">
        <v>5.7</v>
      </c>
      <c r="D2066">
        <v>0</v>
      </c>
      <c r="E2066" t="s">
        <v>6134</v>
      </c>
    </row>
    <row r="2067" spans="1:5" x14ac:dyDescent="0.35">
      <c r="A2067" t="s">
        <v>236</v>
      </c>
      <c r="B2067" s="16">
        <v>46017</v>
      </c>
      <c r="C2067">
        <v>4.0999999999999996</v>
      </c>
      <c r="D2067">
        <v>1</v>
      </c>
      <c r="E2067" t="s">
        <v>6132</v>
      </c>
    </row>
    <row r="2068" spans="1:5" x14ac:dyDescent="0.35">
      <c r="A2068" t="s">
        <v>236</v>
      </c>
      <c r="B2068" s="16">
        <v>46021</v>
      </c>
      <c r="C2068">
        <v>8.4</v>
      </c>
      <c r="D2068">
        <v>0</v>
      </c>
      <c r="E2068" t="s">
        <v>6134</v>
      </c>
    </row>
    <row r="2069" spans="1:5" x14ac:dyDescent="0.35">
      <c r="A2069" t="s">
        <v>236</v>
      </c>
      <c r="B2069" s="16">
        <v>46022</v>
      </c>
      <c r="C2069">
        <v>8.6</v>
      </c>
      <c r="D2069">
        <v>0</v>
      </c>
      <c r="E2069" t="s">
        <v>6132</v>
      </c>
    </row>
    <row r="2070" spans="1:5" x14ac:dyDescent="0.35">
      <c r="A2070" t="s">
        <v>87</v>
      </c>
      <c r="B2070" s="16">
        <v>45658</v>
      </c>
      <c r="C2070">
        <v>5.5</v>
      </c>
      <c r="D2070">
        <v>0</v>
      </c>
      <c r="E2070" t="s">
        <v>6134</v>
      </c>
    </row>
    <row r="2071" spans="1:5" x14ac:dyDescent="0.35">
      <c r="A2071" t="s">
        <v>87</v>
      </c>
      <c r="B2071" s="16">
        <v>45659</v>
      </c>
      <c r="C2071">
        <v>4.7</v>
      </c>
      <c r="D2071">
        <v>0</v>
      </c>
      <c r="E2071" t="s">
        <v>6132</v>
      </c>
    </row>
    <row r="2072" spans="1:5" x14ac:dyDescent="0.35">
      <c r="A2072" t="s">
        <v>87</v>
      </c>
      <c r="B2072" s="16">
        <v>45664</v>
      </c>
      <c r="C2072">
        <v>7.7</v>
      </c>
      <c r="D2072">
        <v>0</v>
      </c>
      <c r="E2072" t="s">
        <v>6133</v>
      </c>
    </row>
    <row r="2073" spans="1:5" x14ac:dyDescent="0.35">
      <c r="A2073" t="s">
        <v>87</v>
      </c>
      <c r="B2073" s="16">
        <v>45665</v>
      </c>
      <c r="C2073">
        <v>7.5</v>
      </c>
      <c r="D2073">
        <v>0</v>
      </c>
      <c r="E2073" t="s">
        <v>6132</v>
      </c>
    </row>
    <row r="2074" spans="1:5" x14ac:dyDescent="0.35">
      <c r="A2074" t="s">
        <v>87</v>
      </c>
      <c r="B2074" s="16">
        <v>45666</v>
      </c>
      <c r="C2074">
        <v>4.8</v>
      </c>
      <c r="D2074">
        <v>1</v>
      </c>
      <c r="E2074" t="s">
        <v>6132</v>
      </c>
    </row>
    <row r="2075" spans="1:5" x14ac:dyDescent="0.35">
      <c r="A2075" t="s">
        <v>87</v>
      </c>
      <c r="B2075" s="16">
        <v>45670</v>
      </c>
      <c r="C2075">
        <v>7.3</v>
      </c>
      <c r="D2075">
        <v>0</v>
      </c>
      <c r="E2075" t="s">
        <v>6132</v>
      </c>
    </row>
    <row r="2076" spans="1:5" x14ac:dyDescent="0.35">
      <c r="A2076" t="s">
        <v>87</v>
      </c>
      <c r="B2076" s="16">
        <v>45671</v>
      </c>
      <c r="C2076">
        <v>6.3</v>
      </c>
      <c r="D2076">
        <v>1</v>
      </c>
      <c r="E2076" t="s">
        <v>6132</v>
      </c>
    </row>
    <row r="2077" spans="1:5" x14ac:dyDescent="0.35">
      <c r="A2077" t="s">
        <v>87</v>
      </c>
      <c r="B2077" s="16">
        <v>45673</v>
      </c>
      <c r="C2077">
        <v>4.4000000000000004</v>
      </c>
      <c r="D2077">
        <v>0</v>
      </c>
      <c r="E2077" t="s">
        <v>6132</v>
      </c>
    </row>
    <row r="2078" spans="1:5" x14ac:dyDescent="0.35">
      <c r="A2078" t="s">
        <v>87</v>
      </c>
      <c r="B2078" s="16">
        <v>45677</v>
      </c>
      <c r="C2078">
        <v>5.2</v>
      </c>
      <c r="D2078">
        <v>1</v>
      </c>
      <c r="E2078" t="s">
        <v>6132</v>
      </c>
    </row>
    <row r="2079" spans="1:5" x14ac:dyDescent="0.35">
      <c r="A2079" t="s">
        <v>87</v>
      </c>
      <c r="B2079" s="16">
        <v>45679</v>
      </c>
      <c r="C2079">
        <v>5.9</v>
      </c>
      <c r="D2079">
        <v>1</v>
      </c>
      <c r="E2079" t="s">
        <v>6132</v>
      </c>
    </row>
    <row r="2080" spans="1:5" x14ac:dyDescent="0.35">
      <c r="A2080" t="s">
        <v>87</v>
      </c>
      <c r="B2080" s="16">
        <v>45680</v>
      </c>
      <c r="C2080">
        <v>7.2</v>
      </c>
      <c r="D2080">
        <v>0</v>
      </c>
      <c r="E2080" t="s">
        <v>6132</v>
      </c>
    </row>
    <row r="2081" spans="1:5" x14ac:dyDescent="0.35">
      <c r="A2081" t="s">
        <v>87</v>
      </c>
      <c r="B2081" s="16">
        <v>45681</v>
      </c>
      <c r="C2081">
        <v>8.6999999999999993</v>
      </c>
      <c r="D2081">
        <v>0</v>
      </c>
      <c r="E2081" t="s">
        <v>6132</v>
      </c>
    </row>
    <row r="2082" spans="1:5" x14ac:dyDescent="0.35">
      <c r="A2082" t="s">
        <v>87</v>
      </c>
      <c r="B2082" s="16">
        <v>45686</v>
      </c>
      <c r="C2082">
        <v>6.1</v>
      </c>
      <c r="D2082">
        <v>1</v>
      </c>
      <c r="E2082" t="s">
        <v>6132</v>
      </c>
    </row>
    <row r="2083" spans="1:5" x14ac:dyDescent="0.35">
      <c r="A2083" t="s">
        <v>87</v>
      </c>
      <c r="B2083" s="16">
        <v>45691</v>
      </c>
      <c r="C2083">
        <v>4.3</v>
      </c>
      <c r="D2083">
        <v>0</v>
      </c>
      <c r="E2083" t="s">
        <v>6132</v>
      </c>
    </row>
    <row r="2084" spans="1:5" x14ac:dyDescent="0.35">
      <c r="A2084" t="s">
        <v>87</v>
      </c>
      <c r="B2084" s="16">
        <v>45693</v>
      </c>
      <c r="C2084">
        <v>7.8</v>
      </c>
      <c r="D2084">
        <v>0</v>
      </c>
      <c r="E2084" t="s">
        <v>6132</v>
      </c>
    </row>
    <row r="2085" spans="1:5" x14ac:dyDescent="0.35">
      <c r="A2085" t="s">
        <v>87</v>
      </c>
      <c r="B2085" s="16">
        <v>45695</v>
      </c>
      <c r="C2085">
        <v>5.0999999999999996</v>
      </c>
      <c r="D2085">
        <v>1</v>
      </c>
      <c r="E2085" t="s">
        <v>6132</v>
      </c>
    </row>
    <row r="2086" spans="1:5" x14ac:dyDescent="0.35">
      <c r="A2086" t="s">
        <v>87</v>
      </c>
      <c r="B2086" s="16">
        <v>45698</v>
      </c>
      <c r="C2086">
        <v>4.9000000000000004</v>
      </c>
      <c r="D2086">
        <v>2</v>
      </c>
      <c r="E2086" t="s">
        <v>6132</v>
      </c>
    </row>
    <row r="2087" spans="1:5" x14ac:dyDescent="0.35">
      <c r="A2087" t="s">
        <v>87</v>
      </c>
      <c r="B2087" s="16">
        <v>45700</v>
      </c>
      <c r="C2087">
        <v>7.7</v>
      </c>
      <c r="D2087">
        <v>0</v>
      </c>
      <c r="E2087" t="s">
        <v>6132</v>
      </c>
    </row>
    <row r="2088" spans="1:5" x14ac:dyDescent="0.35">
      <c r="A2088" t="s">
        <v>87</v>
      </c>
      <c r="B2088" s="16">
        <v>45702</v>
      </c>
      <c r="C2088">
        <v>5.4</v>
      </c>
      <c r="D2088">
        <v>1</v>
      </c>
      <c r="E2088" t="s">
        <v>6132</v>
      </c>
    </row>
    <row r="2089" spans="1:5" x14ac:dyDescent="0.35">
      <c r="A2089" t="s">
        <v>87</v>
      </c>
      <c r="B2089" s="16">
        <v>45705</v>
      </c>
      <c r="C2089">
        <v>7.4</v>
      </c>
      <c r="D2089">
        <v>0</v>
      </c>
      <c r="E2089" t="s">
        <v>6134</v>
      </c>
    </row>
    <row r="2090" spans="1:5" x14ac:dyDescent="0.35">
      <c r="A2090" t="s">
        <v>87</v>
      </c>
      <c r="B2090" s="16">
        <v>45706</v>
      </c>
      <c r="C2090">
        <v>5.6</v>
      </c>
      <c r="D2090">
        <v>5</v>
      </c>
      <c r="E2090" t="s">
        <v>6132</v>
      </c>
    </row>
    <row r="2091" spans="1:5" x14ac:dyDescent="0.35">
      <c r="A2091" t="s">
        <v>87</v>
      </c>
      <c r="B2091" s="16">
        <v>45708</v>
      </c>
      <c r="C2091">
        <v>6.4</v>
      </c>
      <c r="D2091">
        <v>0</v>
      </c>
      <c r="E2091" t="s">
        <v>6132</v>
      </c>
    </row>
    <row r="2092" spans="1:5" x14ac:dyDescent="0.35">
      <c r="A2092" t="s">
        <v>87</v>
      </c>
      <c r="B2092" s="16">
        <v>45709</v>
      </c>
      <c r="C2092">
        <v>8.3000000000000007</v>
      </c>
      <c r="D2092">
        <v>4</v>
      </c>
      <c r="E2092" t="s">
        <v>6132</v>
      </c>
    </row>
    <row r="2093" spans="1:5" x14ac:dyDescent="0.35">
      <c r="A2093" t="s">
        <v>87</v>
      </c>
      <c r="B2093" s="16">
        <v>45712</v>
      </c>
      <c r="C2093">
        <v>6.1</v>
      </c>
      <c r="D2093">
        <v>1</v>
      </c>
      <c r="E2093" t="s">
        <v>6132</v>
      </c>
    </row>
    <row r="2094" spans="1:5" x14ac:dyDescent="0.35">
      <c r="A2094" t="s">
        <v>87</v>
      </c>
      <c r="B2094" s="16">
        <v>45713</v>
      </c>
      <c r="D2094">
        <v>0</v>
      </c>
      <c r="E2094" t="s">
        <v>6134</v>
      </c>
    </row>
    <row r="2095" spans="1:5" x14ac:dyDescent="0.35">
      <c r="A2095" t="s">
        <v>87</v>
      </c>
      <c r="B2095" s="16">
        <v>45714</v>
      </c>
      <c r="C2095">
        <v>6.5</v>
      </c>
      <c r="D2095">
        <v>1</v>
      </c>
      <c r="E2095" t="s">
        <v>6132</v>
      </c>
    </row>
    <row r="2096" spans="1:5" x14ac:dyDescent="0.35">
      <c r="A2096" t="s">
        <v>87</v>
      </c>
      <c r="B2096" s="16">
        <v>45715</v>
      </c>
      <c r="C2096">
        <v>5</v>
      </c>
      <c r="D2096">
        <v>1</v>
      </c>
      <c r="E2096" t="s">
        <v>6132</v>
      </c>
    </row>
    <row r="2097" spans="1:5" x14ac:dyDescent="0.35">
      <c r="A2097" t="s">
        <v>87</v>
      </c>
      <c r="B2097" s="16">
        <v>45723</v>
      </c>
      <c r="C2097">
        <v>6.5</v>
      </c>
      <c r="D2097">
        <v>3</v>
      </c>
      <c r="E2097" t="s">
        <v>6132</v>
      </c>
    </row>
    <row r="2098" spans="1:5" x14ac:dyDescent="0.35">
      <c r="A2098" t="s">
        <v>87</v>
      </c>
      <c r="B2098" s="16">
        <v>45730</v>
      </c>
      <c r="C2098">
        <v>6.8</v>
      </c>
      <c r="D2098">
        <v>0</v>
      </c>
      <c r="E2098" t="s">
        <v>6132</v>
      </c>
    </row>
    <row r="2099" spans="1:5" x14ac:dyDescent="0.35">
      <c r="A2099" t="s">
        <v>87</v>
      </c>
      <c r="B2099" s="16">
        <v>45733</v>
      </c>
      <c r="C2099">
        <v>8.6999999999999993</v>
      </c>
      <c r="D2099">
        <v>0</v>
      </c>
      <c r="E2099" t="s">
        <v>6134</v>
      </c>
    </row>
    <row r="2100" spans="1:5" x14ac:dyDescent="0.35">
      <c r="A2100" t="s">
        <v>87</v>
      </c>
      <c r="B2100" s="16">
        <v>45735</v>
      </c>
      <c r="C2100">
        <v>7.4</v>
      </c>
      <c r="D2100">
        <v>4</v>
      </c>
      <c r="E2100" t="s">
        <v>6132</v>
      </c>
    </row>
    <row r="2101" spans="1:5" x14ac:dyDescent="0.35">
      <c r="A2101" t="s">
        <v>87</v>
      </c>
      <c r="B2101" s="16">
        <v>45742</v>
      </c>
      <c r="C2101">
        <v>7</v>
      </c>
      <c r="D2101">
        <v>2</v>
      </c>
      <c r="E2101" t="s">
        <v>6132</v>
      </c>
    </row>
    <row r="2102" spans="1:5" x14ac:dyDescent="0.35">
      <c r="A2102" t="s">
        <v>87</v>
      </c>
      <c r="B2102" s="16">
        <v>45748</v>
      </c>
      <c r="C2102">
        <v>5.8</v>
      </c>
      <c r="D2102">
        <v>2</v>
      </c>
      <c r="E2102" t="s">
        <v>6132</v>
      </c>
    </row>
    <row r="2103" spans="1:5" x14ac:dyDescent="0.35">
      <c r="A2103" t="s">
        <v>87</v>
      </c>
      <c r="B2103" s="16">
        <v>45750</v>
      </c>
      <c r="C2103">
        <v>5.8</v>
      </c>
      <c r="D2103">
        <v>0</v>
      </c>
      <c r="E2103" t="s">
        <v>6132</v>
      </c>
    </row>
    <row r="2104" spans="1:5" x14ac:dyDescent="0.35">
      <c r="A2104" t="s">
        <v>87</v>
      </c>
      <c r="B2104" s="16">
        <v>45755</v>
      </c>
      <c r="C2104">
        <v>7.8</v>
      </c>
      <c r="D2104">
        <v>0</v>
      </c>
      <c r="E2104" t="s">
        <v>6132</v>
      </c>
    </row>
    <row r="2105" spans="1:5" x14ac:dyDescent="0.35">
      <c r="A2105" t="s">
        <v>87</v>
      </c>
      <c r="B2105" s="16">
        <v>45756</v>
      </c>
      <c r="C2105">
        <v>9</v>
      </c>
      <c r="D2105">
        <v>0</v>
      </c>
      <c r="E2105" t="s">
        <v>6132</v>
      </c>
    </row>
    <row r="2106" spans="1:5" x14ac:dyDescent="0.35">
      <c r="A2106" t="s">
        <v>87</v>
      </c>
      <c r="B2106" s="16">
        <v>45757</v>
      </c>
      <c r="C2106">
        <v>7.3</v>
      </c>
      <c r="D2106">
        <v>0</v>
      </c>
      <c r="E2106" t="s">
        <v>6132</v>
      </c>
    </row>
    <row r="2107" spans="1:5" x14ac:dyDescent="0.35">
      <c r="A2107" t="s">
        <v>87</v>
      </c>
      <c r="B2107" s="16">
        <v>45758</v>
      </c>
      <c r="C2107">
        <v>6.5</v>
      </c>
      <c r="D2107">
        <v>0</v>
      </c>
      <c r="E2107" t="s">
        <v>6132</v>
      </c>
    </row>
    <row r="2108" spans="1:5" x14ac:dyDescent="0.35">
      <c r="A2108" t="s">
        <v>87</v>
      </c>
      <c r="B2108" s="16">
        <v>45762</v>
      </c>
      <c r="C2108">
        <v>7.6</v>
      </c>
      <c r="D2108">
        <v>2</v>
      </c>
      <c r="E2108" t="s">
        <v>6132</v>
      </c>
    </row>
    <row r="2109" spans="1:5" x14ac:dyDescent="0.35">
      <c r="A2109" t="s">
        <v>87</v>
      </c>
      <c r="B2109" s="16">
        <v>45763</v>
      </c>
      <c r="C2109">
        <v>7.2</v>
      </c>
      <c r="D2109">
        <v>1</v>
      </c>
      <c r="E2109" t="s">
        <v>6132</v>
      </c>
    </row>
    <row r="2110" spans="1:5" x14ac:dyDescent="0.35">
      <c r="A2110" t="s">
        <v>87</v>
      </c>
      <c r="B2110" s="16">
        <v>45764</v>
      </c>
      <c r="C2110">
        <v>4.7</v>
      </c>
      <c r="D2110">
        <v>0</v>
      </c>
      <c r="E2110" t="s">
        <v>6132</v>
      </c>
    </row>
    <row r="2111" spans="1:5" x14ac:dyDescent="0.35">
      <c r="A2111" t="s">
        <v>87</v>
      </c>
      <c r="B2111" s="16">
        <v>45768</v>
      </c>
      <c r="C2111">
        <v>8</v>
      </c>
      <c r="D2111">
        <v>0</v>
      </c>
      <c r="E2111" t="s">
        <v>6132</v>
      </c>
    </row>
    <row r="2112" spans="1:5" x14ac:dyDescent="0.35">
      <c r="A2112" t="s">
        <v>87</v>
      </c>
      <c r="B2112" s="16">
        <v>45769</v>
      </c>
      <c r="C2112">
        <v>7.5</v>
      </c>
      <c r="D2112">
        <v>3</v>
      </c>
      <c r="E2112" t="s">
        <v>6132</v>
      </c>
    </row>
    <row r="2113" spans="1:5" x14ac:dyDescent="0.35">
      <c r="A2113" t="s">
        <v>87</v>
      </c>
      <c r="B2113" s="16">
        <v>45771</v>
      </c>
      <c r="C2113">
        <v>6.5</v>
      </c>
      <c r="D2113">
        <v>1</v>
      </c>
      <c r="E2113" t="s">
        <v>6132</v>
      </c>
    </row>
    <row r="2114" spans="1:5" x14ac:dyDescent="0.35">
      <c r="A2114" t="s">
        <v>87</v>
      </c>
      <c r="B2114" s="16">
        <v>45777</v>
      </c>
      <c r="C2114">
        <v>8.8000000000000007</v>
      </c>
      <c r="D2114">
        <v>4</v>
      </c>
      <c r="E2114" t="s">
        <v>6132</v>
      </c>
    </row>
    <row r="2115" spans="1:5" x14ac:dyDescent="0.35">
      <c r="A2115" t="s">
        <v>87</v>
      </c>
      <c r="B2115" s="16">
        <v>45782</v>
      </c>
      <c r="C2115">
        <v>5.9</v>
      </c>
      <c r="D2115">
        <v>0</v>
      </c>
      <c r="E2115" t="s">
        <v>6132</v>
      </c>
    </row>
    <row r="2116" spans="1:5" x14ac:dyDescent="0.35">
      <c r="A2116" t="s">
        <v>87</v>
      </c>
      <c r="B2116" s="16">
        <v>45783</v>
      </c>
      <c r="C2116">
        <v>6.5</v>
      </c>
      <c r="D2116">
        <v>0</v>
      </c>
      <c r="E2116" t="s">
        <v>6132</v>
      </c>
    </row>
    <row r="2117" spans="1:5" x14ac:dyDescent="0.35">
      <c r="A2117" t="s">
        <v>87</v>
      </c>
      <c r="B2117" s="16">
        <v>45784</v>
      </c>
      <c r="C2117">
        <v>7.3</v>
      </c>
      <c r="D2117">
        <v>0</v>
      </c>
      <c r="E2117" t="s">
        <v>6132</v>
      </c>
    </row>
    <row r="2118" spans="1:5" x14ac:dyDescent="0.35">
      <c r="A2118" t="s">
        <v>87</v>
      </c>
      <c r="B2118" s="16">
        <v>45786</v>
      </c>
      <c r="C2118">
        <v>7.6</v>
      </c>
      <c r="D2118">
        <v>2</v>
      </c>
      <c r="E2118" t="s">
        <v>6132</v>
      </c>
    </row>
    <row r="2119" spans="1:5" x14ac:dyDescent="0.35">
      <c r="A2119" t="s">
        <v>87</v>
      </c>
      <c r="B2119" s="16">
        <v>45790</v>
      </c>
      <c r="C2119">
        <v>6.9</v>
      </c>
      <c r="D2119">
        <v>2</v>
      </c>
      <c r="E2119" t="s">
        <v>6132</v>
      </c>
    </row>
    <row r="2120" spans="1:5" x14ac:dyDescent="0.35">
      <c r="A2120" t="s">
        <v>87</v>
      </c>
      <c r="B2120" s="16">
        <v>45792</v>
      </c>
      <c r="C2120">
        <v>5.8</v>
      </c>
      <c r="D2120">
        <v>0</v>
      </c>
      <c r="E2120" t="s">
        <v>6132</v>
      </c>
    </row>
    <row r="2121" spans="1:5" x14ac:dyDescent="0.35">
      <c r="A2121" t="s">
        <v>87</v>
      </c>
      <c r="B2121" s="16">
        <v>45793</v>
      </c>
      <c r="C2121">
        <v>6.7</v>
      </c>
      <c r="D2121">
        <v>6</v>
      </c>
      <c r="E2121" t="s">
        <v>6132</v>
      </c>
    </row>
    <row r="2122" spans="1:5" x14ac:dyDescent="0.35">
      <c r="A2122" t="s">
        <v>87</v>
      </c>
      <c r="B2122" s="16">
        <v>45796</v>
      </c>
      <c r="D2122">
        <v>3</v>
      </c>
      <c r="E2122" t="s">
        <v>6132</v>
      </c>
    </row>
    <row r="2123" spans="1:5" x14ac:dyDescent="0.35">
      <c r="A2123" t="s">
        <v>87</v>
      </c>
      <c r="B2123" s="16">
        <v>45798</v>
      </c>
      <c r="C2123">
        <v>5.0999999999999996</v>
      </c>
      <c r="D2123">
        <v>1</v>
      </c>
      <c r="E2123" t="s">
        <v>6132</v>
      </c>
    </row>
    <row r="2124" spans="1:5" x14ac:dyDescent="0.35">
      <c r="A2124" t="s">
        <v>87</v>
      </c>
      <c r="B2124" s="16">
        <v>45799</v>
      </c>
      <c r="C2124">
        <v>7.7</v>
      </c>
      <c r="D2124">
        <v>0</v>
      </c>
      <c r="E2124" t="s">
        <v>6132</v>
      </c>
    </row>
    <row r="2125" spans="1:5" x14ac:dyDescent="0.35">
      <c r="A2125" t="s">
        <v>87</v>
      </c>
      <c r="B2125" s="16">
        <v>45804</v>
      </c>
      <c r="C2125">
        <v>6.4</v>
      </c>
      <c r="D2125">
        <v>1</v>
      </c>
      <c r="E2125" t="s">
        <v>6132</v>
      </c>
    </row>
    <row r="2126" spans="1:5" x14ac:dyDescent="0.35">
      <c r="A2126" t="s">
        <v>87</v>
      </c>
      <c r="B2126" s="16">
        <v>45805</v>
      </c>
      <c r="C2126">
        <v>5.9</v>
      </c>
      <c r="D2126">
        <v>2</v>
      </c>
      <c r="E2126" t="s">
        <v>6132</v>
      </c>
    </row>
    <row r="2127" spans="1:5" x14ac:dyDescent="0.35">
      <c r="A2127" t="s">
        <v>87</v>
      </c>
      <c r="B2127" s="16">
        <v>45806</v>
      </c>
      <c r="C2127">
        <v>6.4</v>
      </c>
      <c r="D2127">
        <v>1</v>
      </c>
      <c r="E2127" t="s">
        <v>6132</v>
      </c>
    </row>
    <row r="2128" spans="1:5" x14ac:dyDescent="0.35">
      <c r="A2128" t="s">
        <v>87</v>
      </c>
      <c r="B2128" s="16">
        <v>45807</v>
      </c>
      <c r="C2128">
        <v>8.5</v>
      </c>
      <c r="D2128">
        <v>4</v>
      </c>
      <c r="E2128" t="s">
        <v>6132</v>
      </c>
    </row>
    <row r="2129" spans="1:5" x14ac:dyDescent="0.35">
      <c r="A2129" t="s">
        <v>87</v>
      </c>
      <c r="B2129" s="16">
        <v>45810</v>
      </c>
      <c r="C2129">
        <v>5.8</v>
      </c>
      <c r="D2129">
        <v>0</v>
      </c>
      <c r="E2129" t="s">
        <v>6133</v>
      </c>
    </row>
    <row r="2130" spans="1:5" x14ac:dyDescent="0.35">
      <c r="A2130" t="s">
        <v>87</v>
      </c>
      <c r="B2130" s="16">
        <v>45811</v>
      </c>
      <c r="C2130">
        <v>7.6</v>
      </c>
      <c r="D2130">
        <v>1</v>
      </c>
      <c r="E2130" t="s">
        <v>6132</v>
      </c>
    </row>
    <row r="2131" spans="1:5" x14ac:dyDescent="0.35">
      <c r="A2131" t="s">
        <v>87</v>
      </c>
      <c r="B2131" s="16">
        <v>45818</v>
      </c>
      <c r="C2131">
        <v>8.5</v>
      </c>
      <c r="D2131">
        <v>1</v>
      </c>
      <c r="E2131" t="s">
        <v>6132</v>
      </c>
    </row>
    <row r="2132" spans="1:5" x14ac:dyDescent="0.35">
      <c r="A2132" t="s">
        <v>87</v>
      </c>
      <c r="B2132" s="16">
        <v>45819</v>
      </c>
      <c r="C2132">
        <v>7.7</v>
      </c>
      <c r="D2132">
        <v>0</v>
      </c>
      <c r="E2132" t="s">
        <v>6132</v>
      </c>
    </row>
    <row r="2133" spans="1:5" x14ac:dyDescent="0.35">
      <c r="A2133" t="s">
        <v>87</v>
      </c>
      <c r="B2133" s="16">
        <v>45824</v>
      </c>
      <c r="D2133">
        <v>4</v>
      </c>
      <c r="E2133" t="s">
        <v>6132</v>
      </c>
    </row>
    <row r="2134" spans="1:5" x14ac:dyDescent="0.35">
      <c r="A2134" t="s">
        <v>87</v>
      </c>
      <c r="B2134" s="16">
        <v>45826</v>
      </c>
      <c r="C2134">
        <v>7.4</v>
      </c>
      <c r="D2134">
        <v>5</v>
      </c>
      <c r="E2134" t="s">
        <v>6132</v>
      </c>
    </row>
    <row r="2135" spans="1:5" x14ac:dyDescent="0.35">
      <c r="A2135" t="s">
        <v>87</v>
      </c>
      <c r="B2135" s="16">
        <v>45831</v>
      </c>
      <c r="C2135">
        <v>8.6999999999999993</v>
      </c>
      <c r="D2135">
        <v>0</v>
      </c>
      <c r="E2135" t="s">
        <v>6134</v>
      </c>
    </row>
    <row r="2136" spans="1:5" x14ac:dyDescent="0.35">
      <c r="A2136" t="s">
        <v>87</v>
      </c>
      <c r="B2136" s="16">
        <v>45833</v>
      </c>
      <c r="C2136">
        <v>5.8</v>
      </c>
      <c r="D2136">
        <v>1</v>
      </c>
      <c r="E2136" t="s">
        <v>6132</v>
      </c>
    </row>
    <row r="2137" spans="1:5" x14ac:dyDescent="0.35">
      <c r="A2137" t="s">
        <v>87</v>
      </c>
      <c r="B2137" s="16">
        <v>45835</v>
      </c>
      <c r="D2137">
        <v>0</v>
      </c>
      <c r="E2137" t="s">
        <v>6132</v>
      </c>
    </row>
    <row r="2138" spans="1:5" x14ac:dyDescent="0.35">
      <c r="A2138" t="s">
        <v>87</v>
      </c>
      <c r="B2138" s="16">
        <v>45838</v>
      </c>
      <c r="C2138">
        <v>4.3</v>
      </c>
      <c r="D2138">
        <v>1</v>
      </c>
      <c r="E2138" t="s">
        <v>6132</v>
      </c>
    </row>
    <row r="2139" spans="1:5" x14ac:dyDescent="0.35">
      <c r="A2139" t="s">
        <v>87</v>
      </c>
      <c r="B2139" s="16">
        <v>45845</v>
      </c>
      <c r="D2139">
        <v>0</v>
      </c>
      <c r="E2139" t="s">
        <v>6132</v>
      </c>
    </row>
    <row r="2140" spans="1:5" x14ac:dyDescent="0.35">
      <c r="A2140" t="s">
        <v>87</v>
      </c>
      <c r="B2140" s="16">
        <v>45846</v>
      </c>
      <c r="C2140">
        <v>7.9</v>
      </c>
      <c r="D2140">
        <v>1</v>
      </c>
      <c r="E2140" t="s">
        <v>6132</v>
      </c>
    </row>
    <row r="2141" spans="1:5" x14ac:dyDescent="0.35">
      <c r="A2141" t="s">
        <v>87</v>
      </c>
      <c r="B2141" s="16">
        <v>45862</v>
      </c>
      <c r="C2141">
        <v>5.9</v>
      </c>
      <c r="D2141">
        <v>2</v>
      </c>
      <c r="E2141" t="s">
        <v>6132</v>
      </c>
    </row>
    <row r="2142" spans="1:5" x14ac:dyDescent="0.35">
      <c r="A2142" t="s">
        <v>87</v>
      </c>
      <c r="B2142" s="16">
        <v>45863</v>
      </c>
      <c r="C2142">
        <v>8.8000000000000007</v>
      </c>
      <c r="D2142">
        <v>0</v>
      </c>
      <c r="E2142" t="s">
        <v>6132</v>
      </c>
    </row>
    <row r="2143" spans="1:5" x14ac:dyDescent="0.35">
      <c r="A2143" t="s">
        <v>87</v>
      </c>
      <c r="B2143" s="16">
        <v>45867</v>
      </c>
      <c r="C2143">
        <v>5.2</v>
      </c>
      <c r="D2143">
        <v>0</v>
      </c>
      <c r="E2143" t="s">
        <v>6132</v>
      </c>
    </row>
    <row r="2144" spans="1:5" x14ac:dyDescent="0.35">
      <c r="A2144" t="s">
        <v>87</v>
      </c>
      <c r="B2144" s="16">
        <v>45869</v>
      </c>
      <c r="C2144">
        <v>7.6</v>
      </c>
      <c r="D2144">
        <v>0</v>
      </c>
      <c r="E2144" t="s">
        <v>6132</v>
      </c>
    </row>
    <row r="2145" spans="1:5" x14ac:dyDescent="0.35">
      <c r="A2145" t="s">
        <v>87</v>
      </c>
      <c r="B2145" s="16">
        <v>45870</v>
      </c>
      <c r="C2145">
        <v>8.1999999999999993</v>
      </c>
      <c r="D2145">
        <v>0</v>
      </c>
      <c r="E2145" t="s">
        <v>6134</v>
      </c>
    </row>
    <row r="2146" spans="1:5" x14ac:dyDescent="0.35">
      <c r="A2146" t="s">
        <v>87</v>
      </c>
      <c r="B2146" s="16">
        <v>45874</v>
      </c>
      <c r="C2146">
        <v>8.9</v>
      </c>
      <c r="D2146">
        <v>0</v>
      </c>
      <c r="E2146" t="s">
        <v>6132</v>
      </c>
    </row>
    <row r="2147" spans="1:5" x14ac:dyDescent="0.35">
      <c r="A2147" t="s">
        <v>87</v>
      </c>
      <c r="B2147" s="16">
        <v>45876</v>
      </c>
      <c r="C2147">
        <v>4</v>
      </c>
      <c r="D2147">
        <v>1</v>
      </c>
      <c r="E2147" t="s">
        <v>6132</v>
      </c>
    </row>
    <row r="2148" spans="1:5" x14ac:dyDescent="0.35">
      <c r="A2148" t="s">
        <v>87</v>
      </c>
      <c r="B2148" s="16">
        <v>45881</v>
      </c>
      <c r="C2148">
        <v>7.5</v>
      </c>
      <c r="D2148">
        <v>1</v>
      </c>
      <c r="E2148" t="s">
        <v>6132</v>
      </c>
    </row>
    <row r="2149" spans="1:5" x14ac:dyDescent="0.35">
      <c r="A2149" t="s">
        <v>87</v>
      </c>
      <c r="B2149" s="16">
        <v>45883</v>
      </c>
      <c r="C2149">
        <v>4.2</v>
      </c>
      <c r="D2149">
        <v>1</v>
      </c>
      <c r="E2149" t="s">
        <v>6132</v>
      </c>
    </row>
    <row r="2150" spans="1:5" x14ac:dyDescent="0.35">
      <c r="A2150" t="s">
        <v>87</v>
      </c>
      <c r="B2150" s="16">
        <v>45888</v>
      </c>
      <c r="C2150">
        <v>7.6</v>
      </c>
      <c r="D2150">
        <v>0</v>
      </c>
      <c r="E2150" t="s">
        <v>6132</v>
      </c>
    </row>
    <row r="2151" spans="1:5" x14ac:dyDescent="0.35">
      <c r="A2151" t="s">
        <v>87</v>
      </c>
      <c r="B2151" s="16">
        <v>45889</v>
      </c>
      <c r="C2151">
        <v>8.4</v>
      </c>
      <c r="D2151">
        <v>0</v>
      </c>
      <c r="E2151" t="s">
        <v>6132</v>
      </c>
    </row>
    <row r="2152" spans="1:5" x14ac:dyDescent="0.35">
      <c r="A2152" t="s">
        <v>87</v>
      </c>
      <c r="B2152" s="16">
        <v>45890</v>
      </c>
      <c r="C2152">
        <v>6.9</v>
      </c>
      <c r="D2152">
        <v>0</v>
      </c>
      <c r="E2152" t="s">
        <v>6134</v>
      </c>
    </row>
    <row r="2153" spans="1:5" x14ac:dyDescent="0.35">
      <c r="A2153" t="s">
        <v>87</v>
      </c>
      <c r="B2153" s="16">
        <v>45891</v>
      </c>
      <c r="C2153">
        <v>4.2</v>
      </c>
      <c r="D2153">
        <v>0</v>
      </c>
      <c r="E2153" t="s">
        <v>6133</v>
      </c>
    </row>
    <row r="2154" spans="1:5" x14ac:dyDescent="0.35">
      <c r="A2154" t="s">
        <v>87</v>
      </c>
      <c r="B2154" s="16">
        <v>45894</v>
      </c>
      <c r="C2154">
        <v>4.7</v>
      </c>
      <c r="D2154">
        <v>1</v>
      </c>
      <c r="E2154" t="s">
        <v>6132</v>
      </c>
    </row>
    <row r="2155" spans="1:5" x14ac:dyDescent="0.35">
      <c r="A2155" t="s">
        <v>87</v>
      </c>
      <c r="B2155" s="16">
        <v>45895</v>
      </c>
      <c r="C2155">
        <v>8.6999999999999993</v>
      </c>
      <c r="D2155">
        <v>1</v>
      </c>
      <c r="E2155" t="s">
        <v>6132</v>
      </c>
    </row>
    <row r="2156" spans="1:5" x14ac:dyDescent="0.35">
      <c r="A2156" t="s">
        <v>87</v>
      </c>
      <c r="B2156" s="16">
        <v>45897</v>
      </c>
      <c r="C2156">
        <v>5.7</v>
      </c>
      <c r="D2156">
        <v>0</v>
      </c>
      <c r="E2156" t="s">
        <v>6132</v>
      </c>
    </row>
    <row r="2157" spans="1:5" x14ac:dyDescent="0.35">
      <c r="A2157" t="s">
        <v>87</v>
      </c>
      <c r="B2157" s="16">
        <v>45901</v>
      </c>
      <c r="C2157">
        <v>7</v>
      </c>
      <c r="D2157">
        <v>1</v>
      </c>
      <c r="E2157" t="s">
        <v>6132</v>
      </c>
    </row>
    <row r="2158" spans="1:5" x14ac:dyDescent="0.35">
      <c r="A2158" t="s">
        <v>87</v>
      </c>
      <c r="B2158" s="16">
        <v>45902</v>
      </c>
      <c r="C2158">
        <v>7.6</v>
      </c>
      <c r="D2158">
        <v>1</v>
      </c>
      <c r="E2158" t="s">
        <v>6132</v>
      </c>
    </row>
    <row r="2159" spans="1:5" x14ac:dyDescent="0.35">
      <c r="A2159" t="s">
        <v>87</v>
      </c>
      <c r="B2159" s="16">
        <v>45903</v>
      </c>
      <c r="C2159">
        <v>7.6</v>
      </c>
      <c r="D2159">
        <v>1</v>
      </c>
      <c r="E2159" t="s">
        <v>6132</v>
      </c>
    </row>
    <row r="2160" spans="1:5" x14ac:dyDescent="0.35">
      <c r="A2160" t="s">
        <v>87</v>
      </c>
      <c r="B2160" s="16">
        <v>45908</v>
      </c>
      <c r="C2160">
        <v>6.3</v>
      </c>
      <c r="D2160">
        <v>0</v>
      </c>
      <c r="E2160" t="s">
        <v>6132</v>
      </c>
    </row>
    <row r="2161" spans="1:5" x14ac:dyDescent="0.35">
      <c r="A2161" t="s">
        <v>87</v>
      </c>
      <c r="B2161" s="16">
        <v>45909</v>
      </c>
      <c r="C2161">
        <v>5.3</v>
      </c>
      <c r="D2161">
        <v>2</v>
      </c>
      <c r="E2161" t="s">
        <v>6132</v>
      </c>
    </row>
    <row r="2162" spans="1:5" x14ac:dyDescent="0.35">
      <c r="A2162" t="s">
        <v>87</v>
      </c>
      <c r="B2162" s="16">
        <v>45915</v>
      </c>
      <c r="C2162">
        <v>8.6999999999999993</v>
      </c>
      <c r="D2162">
        <v>0</v>
      </c>
      <c r="E2162" t="s">
        <v>6132</v>
      </c>
    </row>
    <row r="2163" spans="1:5" x14ac:dyDescent="0.35">
      <c r="A2163" t="s">
        <v>87</v>
      </c>
      <c r="B2163" s="16">
        <v>45916</v>
      </c>
      <c r="C2163">
        <v>4.0999999999999996</v>
      </c>
      <c r="D2163">
        <v>1</v>
      </c>
      <c r="E2163" t="s">
        <v>6132</v>
      </c>
    </row>
    <row r="2164" spans="1:5" x14ac:dyDescent="0.35">
      <c r="A2164" t="s">
        <v>87</v>
      </c>
      <c r="B2164" s="16">
        <v>45918</v>
      </c>
      <c r="C2164">
        <v>6.1</v>
      </c>
      <c r="D2164">
        <v>0</v>
      </c>
      <c r="E2164" t="s">
        <v>6132</v>
      </c>
    </row>
    <row r="2165" spans="1:5" x14ac:dyDescent="0.35">
      <c r="A2165" t="s">
        <v>87</v>
      </c>
      <c r="B2165" s="16">
        <v>45919</v>
      </c>
      <c r="C2165">
        <v>5.9</v>
      </c>
      <c r="D2165">
        <v>0</v>
      </c>
      <c r="E2165" t="s">
        <v>6133</v>
      </c>
    </row>
    <row r="2166" spans="1:5" x14ac:dyDescent="0.35">
      <c r="A2166" t="s">
        <v>87</v>
      </c>
      <c r="B2166" s="16">
        <v>45922</v>
      </c>
      <c r="D2166">
        <v>3</v>
      </c>
      <c r="E2166" t="s">
        <v>6132</v>
      </c>
    </row>
    <row r="2167" spans="1:5" x14ac:dyDescent="0.35">
      <c r="A2167" t="s">
        <v>87</v>
      </c>
      <c r="B2167" s="16">
        <v>45923</v>
      </c>
      <c r="C2167">
        <v>5.5</v>
      </c>
      <c r="D2167">
        <v>0</v>
      </c>
      <c r="E2167" t="s">
        <v>6132</v>
      </c>
    </row>
    <row r="2168" spans="1:5" x14ac:dyDescent="0.35">
      <c r="A2168" t="s">
        <v>87</v>
      </c>
      <c r="B2168" s="16">
        <v>45926</v>
      </c>
      <c r="C2168">
        <v>8.1999999999999993</v>
      </c>
      <c r="D2168">
        <v>1</v>
      </c>
      <c r="E2168" t="s">
        <v>6132</v>
      </c>
    </row>
    <row r="2169" spans="1:5" x14ac:dyDescent="0.35">
      <c r="A2169" t="s">
        <v>87</v>
      </c>
      <c r="B2169" s="16">
        <v>45930</v>
      </c>
      <c r="C2169">
        <v>4.0999999999999996</v>
      </c>
      <c r="D2169">
        <v>0</v>
      </c>
      <c r="E2169" t="s">
        <v>6132</v>
      </c>
    </row>
    <row r="2170" spans="1:5" x14ac:dyDescent="0.35">
      <c r="A2170" t="s">
        <v>87</v>
      </c>
      <c r="B2170" s="16">
        <v>45931</v>
      </c>
      <c r="C2170">
        <v>6.4</v>
      </c>
      <c r="D2170">
        <v>0</v>
      </c>
      <c r="E2170" t="s">
        <v>6132</v>
      </c>
    </row>
    <row r="2171" spans="1:5" x14ac:dyDescent="0.35">
      <c r="A2171" t="s">
        <v>87</v>
      </c>
      <c r="B2171" s="16">
        <v>45932</v>
      </c>
      <c r="C2171">
        <v>7.5</v>
      </c>
      <c r="D2171">
        <v>2</v>
      </c>
      <c r="E2171" t="s">
        <v>6132</v>
      </c>
    </row>
    <row r="2172" spans="1:5" x14ac:dyDescent="0.35">
      <c r="A2172" t="s">
        <v>87</v>
      </c>
      <c r="B2172" s="16">
        <v>45937</v>
      </c>
      <c r="C2172">
        <v>5.3</v>
      </c>
      <c r="D2172">
        <v>0</v>
      </c>
      <c r="E2172" t="s">
        <v>6132</v>
      </c>
    </row>
    <row r="2173" spans="1:5" x14ac:dyDescent="0.35">
      <c r="A2173" t="s">
        <v>87</v>
      </c>
      <c r="B2173" s="16">
        <v>45938</v>
      </c>
      <c r="C2173">
        <v>5.5</v>
      </c>
      <c r="D2173">
        <v>0</v>
      </c>
      <c r="E2173" t="s">
        <v>6132</v>
      </c>
    </row>
    <row r="2174" spans="1:5" x14ac:dyDescent="0.35">
      <c r="A2174" t="s">
        <v>87</v>
      </c>
      <c r="B2174" s="16">
        <v>45939</v>
      </c>
      <c r="C2174">
        <v>4.5999999999999996</v>
      </c>
      <c r="D2174">
        <v>1</v>
      </c>
      <c r="E2174" t="s">
        <v>6132</v>
      </c>
    </row>
    <row r="2175" spans="1:5" x14ac:dyDescent="0.35">
      <c r="A2175" t="s">
        <v>87</v>
      </c>
      <c r="B2175" s="16">
        <v>45944</v>
      </c>
      <c r="C2175">
        <v>4.9000000000000004</v>
      </c>
      <c r="D2175">
        <v>1</v>
      </c>
      <c r="E2175" t="s">
        <v>6132</v>
      </c>
    </row>
    <row r="2176" spans="1:5" x14ac:dyDescent="0.35">
      <c r="A2176" t="s">
        <v>87</v>
      </c>
      <c r="B2176" s="16">
        <v>45945</v>
      </c>
      <c r="C2176">
        <v>6.1</v>
      </c>
      <c r="D2176">
        <v>0</v>
      </c>
      <c r="E2176" t="s">
        <v>6132</v>
      </c>
    </row>
    <row r="2177" spans="1:5" x14ac:dyDescent="0.35">
      <c r="A2177" t="s">
        <v>87</v>
      </c>
      <c r="B2177" s="16">
        <v>45950</v>
      </c>
      <c r="C2177">
        <v>6.4</v>
      </c>
      <c r="D2177">
        <v>0</v>
      </c>
      <c r="E2177" t="s">
        <v>6132</v>
      </c>
    </row>
    <row r="2178" spans="1:5" x14ac:dyDescent="0.35">
      <c r="A2178" t="s">
        <v>87</v>
      </c>
      <c r="B2178" s="16">
        <v>45951</v>
      </c>
      <c r="C2178">
        <v>8.5</v>
      </c>
      <c r="D2178">
        <v>0</v>
      </c>
      <c r="E2178" t="s">
        <v>6132</v>
      </c>
    </row>
    <row r="2179" spans="1:5" x14ac:dyDescent="0.35">
      <c r="A2179" t="s">
        <v>87</v>
      </c>
      <c r="B2179" s="16">
        <v>45953</v>
      </c>
      <c r="C2179">
        <v>6.9</v>
      </c>
      <c r="D2179">
        <v>0</v>
      </c>
      <c r="E2179" t="s">
        <v>6134</v>
      </c>
    </row>
    <row r="2180" spans="1:5" x14ac:dyDescent="0.35">
      <c r="A2180" t="s">
        <v>87</v>
      </c>
      <c r="B2180" s="16">
        <v>45954</v>
      </c>
      <c r="C2180">
        <v>5.3</v>
      </c>
      <c r="D2180">
        <v>3</v>
      </c>
      <c r="E2180" t="s">
        <v>6132</v>
      </c>
    </row>
    <row r="2181" spans="1:5" x14ac:dyDescent="0.35">
      <c r="A2181" t="s">
        <v>87</v>
      </c>
      <c r="B2181" s="16">
        <v>45961</v>
      </c>
      <c r="C2181">
        <v>7.8</v>
      </c>
      <c r="D2181">
        <v>0</v>
      </c>
      <c r="E2181" t="s">
        <v>6134</v>
      </c>
    </row>
    <row r="2182" spans="1:5" x14ac:dyDescent="0.35">
      <c r="A2182" t="s">
        <v>87</v>
      </c>
      <c r="B2182" s="16">
        <v>45966</v>
      </c>
      <c r="C2182">
        <v>6.1</v>
      </c>
      <c r="D2182">
        <v>0</v>
      </c>
      <c r="E2182" t="s">
        <v>6134</v>
      </c>
    </row>
    <row r="2183" spans="1:5" x14ac:dyDescent="0.35">
      <c r="A2183" t="s">
        <v>87</v>
      </c>
      <c r="B2183" s="16">
        <v>45971</v>
      </c>
      <c r="C2183">
        <v>4.2</v>
      </c>
      <c r="D2183">
        <v>1</v>
      </c>
      <c r="E2183" t="s">
        <v>6132</v>
      </c>
    </row>
    <row r="2184" spans="1:5" x14ac:dyDescent="0.35">
      <c r="A2184" t="s">
        <v>87</v>
      </c>
      <c r="B2184" s="16">
        <v>45972</v>
      </c>
      <c r="C2184">
        <v>7.4</v>
      </c>
      <c r="D2184">
        <v>2</v>
      </c>
      <c r="E2184" t="s">
        <v>6132</v>
      </c>
    </row>
    <row r="2185" spans="1:5" x14ac:dyDescent="0.35">
      <c r="A2185" t="s">
        <v>87</v>
      </c>
      <c r="B2185" s="16">
        <v>45973</v>
      </c>
      <c r="C2185">
        <v>7.6</v>
      </c>
      <c r="D2185">
        <v>2</v>
      </c>
      <c r="E2185" t="s">
        <v>6132</v>
      </c>
    </row>
    <row r="2186" spans="1:5" x14ac:dyDescent="0.35">
      <c r="A2186" t="s">
        <v>87</v>
      </c>
      <c r="B2186" s="16">
        <v>45975</v>
      </c>
      <c r="C2186">
        <v>4.8</v>
      </c>
      <c r="D2186">
        <v>1</v>
      </c>
      <c r="E2186" t="s">
        <v>6132</v>
      </c>
    </row>
    <row r="2187" spans="1:5" x14ac:dyDescent="0.35">
      <c r="A2187" t="s">
        <v>87</v>
      </c>
      <c r="B2187" s="16">
        <v>45978</v>
      </c>
      <c r="C2187">
        <v>5.2</v>
      </c>
      <c r="D2187">
        <v>0</v>
      </c>
      <c r="E2187" t="s">
        <v>6132</v>
      </c>
    </row>
    <row r="2188" spans="1:5" x14ac:dyDescent="0.35">
      <c r="A2188" t="s">
        <v>87</v>
      </c>
      <c r="B2188" s="16">
        <v>45979</v>
      </c>
      <c r="C2188">
        <v>9</v>
      </c>
      <c r="D2188">
        <v>1</v>
      </c>
      <c r="E2188" t="s">
        <v>6132</v>
      </c>
    </row>
    <row r="2189" spans="1:5" x14ac:dyDescent="0.35">
      <c r="A2189" t="s">
        <v>87</v>
      </c>
      <c r="B2189" s="16">
        <v>45981</v>
      </c>
      <c r="D2189">
        <v>3</v>
      </c>
      <c r="E2189" t="s">
        <v>6132</v>
      </c>
    </row>
    <row r="2190" spans="1:5" x14ac:dyDescent="0.35">
      <c r="A2190" t="s">
        <v>87</v>
      </c>
      <c r="B2190" s="16">
        <v>45982</v>
      </c>
      <c r="C2190">
        <v>6.2</v>
      </c>
      <c r="D2190">
        <v>0</v>
      </c>
      <c r="E2190" t="s">
        <v>6133</v>
      </c>
    </row>
    <row r="2191" spans="1:5" x14ac:dyDescent="0.35">
      <c r="A2191" t="s">
        <v>87</v>
      </c>
      <c r="B2191" s="16">
        <v>45985</v>
      </c>
      <c r="C2191">
        <v>4.2</v>
      </c>
      <c r="D2191">
        <v>0</v>
      </c>
      <c r="E2191" t="s">
        <v>6132</v>
      </c>
    </row>
    <row r="2192" spans="1:5" x14ac:dyDescent="0.35">
      <c r="A2192" t="s">
        <v>87</v>
      </c>
      <c r="B2192" s="16">
        <v>45988</v>
      </c>
      <c r="C2192">
        <v>7.4</v>
      </c>
      <c r="D2192">
        <v>1</v>
      </c>
      <c r="E2192" t="s">
        <v>6132</v>
      </c>
    </row>
    <row r="2193" spans="1:5" x14ac:dyDescent="0.35">
      <c r="A2193" t="s">
        <v>87</v>
      </c>
      <c r="B2193" s="16">
        <v>45989</v>
      </c>
      <c r="C2193">
        <v>6</v>
      </c>
      <c r="D2193">
        <v>1</v>
      </c>
      <c r="E2193" t="s">
        <v>6132</v>
      </c>
    </row>
    <row r="2194" spans="1:5" x14ac:dyDescent="0.35">
      <c r="A2194" t="s">
        <v>87</v>
      </c>
      <c r="B2194" s="16">
        <v>45992</v>
      </c>
      <c r="C2194">
        <v>6.4</v>
      </c>
      <c r="D2194">
        <v>3</v>
      </c>
      <c r="E2194" t="s">
        <v>6132</v>
      </c>
    </row>
    <row r="2195" spans="1:5" x14ac:dyDescent="0.35">
      <c r="A2195" t="s">
        <v>87</v>
      </c>
      <c r="B2195" s="16">
        <v>45995</v>
      </c>
      <c r="C2195">
        <v>8.1</v>
      </c>
      <c r="D2195">
        <v>2</v>
      </c>
      <c r="E2195" t="s">
        <v>6132</v>
      </c>
    </row>
    <row r="2196" spans="1:5" x14ac:dyDescent="0.35">
      <c r="A2196" t="s">
        <v>87</v>
      </c>
      <c r="B2196" s="16">
        <v>45996</v>
      </c>
      <c r="C2196">
        <v>5.3</v>
      </c>
      <c r="D2196">
        <v>1</v>
      </c>
      <c r="E2196" t="s">
        <v>6132</v>
      </c>
    </row>
    <row r="2197" spans="1:5" x14ac:dyDescent="0.35">
      <c r="A2197" t="s">
        <v>87</v>
      </c>
      <c r="B2197" s="16">
        <v>46001</v>
      </c>
      <c r="C2197">
        <v>6.7</v>
      </c>
      <c r="D2197">
        <v>0</v>
      </c>
      <c r="E2197" t="s">
        <v>6133</v>
      </c>
    </row>
    <row r="2198" spans="1:5" x14ac:dyDescent="0.35">
      <c r="A2198" t="s">
        <v>87</v>
      </c>
      <c r="B2198" s="16">
        <v>46003</v>
      </c>
      <c r="C2198">
        <v>4.0999999999999996</v>
      </c>
      <c r="D2198">
        <v>0</v>
      </c>
      <c r="E2198" t="s">
        <v>6132</v>
      </c>
    </row>
    <row r="2199" spans="1:5" x14ac:dyDescent="0.35">
      <c r="A2199" t="s">
        <v>87</v>
      </c>
      <c r="B2199" s="16">
        <v>46006</v>
      </c>
      <c r="C2199">
        <v>8.5</v>
      </c>
      <c r="D2199">
        <v>1</v>
      </c>
      <c r="E2199" t="s">
        <v>6132</v>
      </c>
    </row>
    <row r="2200" spans="1:5" x14ac:dyDescent="0.35">
      <c r="A2200" t="s">
        <v>87</v>
      </c>
      <c r="B2200" s="16">
        <v>46008</v>
      </c>
      <c r="C2200">
        <v>7.5</v>
      </c>
      <c r="D2200">
        <v>2</v>
      </c>
      <c r="E2200" t="s">
        <v>6132</v>
      </c>
    </row>
    <row r="2201" spans="1:5" x14ac:dyDescent="0.35">
      <c r="A2201" t="s">
        <v>87</v>
      </c>
      <c r="B2201" s="16">
        <v>46013</v>
      </c>
      <c r="C2201">
        <v>8.4</v>
      </c>
      <c r="D2201">
        <v>3</v>
      </c>
      <c r="E2201" t="s">
        <v>6132</v>
      </c>
    </row>
    <row r="2202" spans="1:5" x14ac:dyDescent="0.35">
      <c r="A2202" t="s">
        <v>87</v>
      </c>
      <c r="B2202" s="16">
        <v>46014</v>
      </c>
      <c r="C2202">
        <v>4.5</v>
      </c>
      <c r="D2202">
        <v>1</v>
      </c>
      <c r="E2202" t="s">
        <v>6132</v>
      </c>
    </row>
    <row r="2203" spans="1:5" x14ac:dyDescent="0.35">
      <c r="A2203" t="s">
        <v>87</v>
      </c>
      <c r="B2203" s="16">
        <v>46020</v>
      </c>
      <c r="C2203">
        <v>5.8</v>
      </c>
      <c r="D2203">
        <v>0</v>
      </c>
      <c r="E2203" t="s">
        <v>6132</v>
      </c>
    </row>
    <row r="2204" spans="1:5" x14ac:dyDescent="0.35">
      <c r="A2204" t="s">
        <v>87</v>
      </c>
      <c r="B2204" s="16">
        <v>46021</v>
      </c>
      <c r="C2204">
        <v>7.7</v>
      </c>
      <c r="D2204">
        <v>3</v>
      </c>
      <c r="E2204" t="s">
        <v>6132</v>
      </c>
    </row>
    <row r="2205" spans="1:5" x14ac:dyDescent="0.35">
      <c r="A2205" t="s">
        <v>72</v>
      </c>
      <c r="B2205" s="16">
        <v>45659</v>
      </c>
      <c r="C2205">
        <v>4.7</v>
      </c>
      <c r="D2205">
        <v>1</v>
      </c>
      <c r="E2205" t="s">
        <v>6132</v>
      </c>
    </row>
    <row r="2206" spans="1:5" x14ac:dyDescent="0.35">
      <c r="A2206" t="s">
        <v>72</v>
      </c>
      <c r="B2206" s="16">
        <v>45664</v>
      </c>
      <c r="C2206">
        <v>6.9</v>
      </c>
      <c r="D2206">
        <v>0</v>
      </c>
      <c r="E2206" t="s">
        <v>6132</v>
      </c>
    </row>
    <row r="2207" spans="1:5" x14ac:dyDescent="0.35">
      <c r="A2207" t="s">
        <v>72</v>
      </c>
      <c r="B2207" s="16">
        <v>45671</v>
      </c>
      <c r="C2207">
        <v>6.1</v>
      </c>
      <c r="D2207">
        <v>0</v>
      </c>
      <c r="E2207" t="s">
        <v>6133</v>
      </c>
    </row>
    <row r="2208" spans="1:5" x14ac:dyDescent="0.35">
      <c r="A2208" t="s">
        <v>72</v>
      </c>
      <c r="B2208" s="16">
        <v>45672</v>
      </c>
      <c r="C2208">
        <v>8.4</v>
      </c>
      <c r="D2208">
        <v>1</v>
      </c>
      <c r="E2208" t="s">
        <v>6132</v>
      </c>
    </row>
    <row r="2209" spans="1:5" x14ac:dyDescent="0.35">
      <c r="A2209" t="s">
        <v>72</v>
      </c>
      <c r="B2209" s="16">
        <v>45673</v>
      </c>
      <c r="C2209">
        <v>8</v>
      </c>
      <c r="D2209">
        <v>1</v>
      </c>
      <c r="E2209" t="s">
        <v>6132</v>
      </c>
    </row>
    <row r="2210" spans="1:5" x14ac:dyDescent="0.35">
      <c r="A2210" t="s">
        <v>72</v>
      </c>
      <c r="B2210" s="16">
        <v>45678</v>
      </c>
      <c r="C2210">
        <v>8.3000000000000007</v>
      </c>
      <c r="D2210">
        <v>4</v>
      </c>
      <c r="E2210" t="s">
        <v>6132</v>
      </c>
    </row>
    <row r="2211" spans="1:5" x14ac:dyDescent="0.35">
      <c r="A2211" t="s">
        <v>72</v>
      </c>
      <c r="B2211" s="16">
        <v>45684</v>
      </c>
      <c r="C2211">
        <v>6.5</v>
      </c>
      <c r="D2211">
        <v>1</v>
      </c>
      <c r="E2211" t="s">
        <v>6132</v>
      </c>
    </row>
    <row r="2212" spans="1:5" x14ac:dyDescent="0.35">
      <c r="A2212" t="s">
        <v>72</v>
      </c>
      <c r="B2212" s="16">
        <v>45688</v>
      </c>
      <c r="C2212">
        <v>5.8</v>
      </c>
      <c r="D2212">
        <v>0</v>
      </c>
      <c r="E2212" t="s">
        <v>6132</v>
      </c>
    </row>
    <row r="2213" spans="1:5" x14ac:dyDescent="0.35">
      <c r="A2213" t="s">
        <v>72</v>
      </c>
      <c r="B2213" s="16">
        <v>45695</v>
      </c>
      <c r="C2213">
        <v>5.5</v>
      </c>
      <c r="D2213">
        <v>0</v>
      </c>
      <c r="E2213" t="s">
        <v>6132</v>
      </c>
    </row>
    <row r="2214" spans="1:5" x14ac:dyDescent="0.35">
      <c r="A2214" t="s">
        <v>72</v>
      </c>
      <c r="B2214" s="16">
        <v>45698</v>
      </c>
      <c r="C2214">
        <v>8.1</v>
      </c>
      <c r="D2214">
        <v>0</v>
      </c>
      <c r="E2214" t="s">
        <v>6132</v>
      </c>
    </row>
    <row r="2215" spans="1:5" x14ac:dyDescent="0.35">
      <c r="A2215" t="s">
        <v>72</v>
      </c>
      <c r="B2215" s="16">
        <v>45702</v>
      </c>
      <c r="C2215">
        <v>4.3</v>
      </c>
      <c r="D2215">
        <v>0</v>
      </c>
      <c r="E2215" t="s">
        <v>6133</v>
      </c>
    </row>
    <row r="2216" spans="1:5" x14ac:dyDescent="0.35">
      <c r="A2216" t="s">
        <v>72</v>
      </c>
      <c r="B2216" s="16">
        <v>45709</v>
      </c>
      <c r="C2216">
        <v>6.6</v>
      </c>
      <c r="D2216">
        <v>1</v>
      </c>
      <c r="E2216" t="s">
        <v>6132</v>
      </c>
    </row>
    <row r="2217" spans="1:5" x14ac:dyDescent="0.35">
      <c r="A2217" t="s">
        <v>72</v>
      </c>
      <c r="B2217" s="16">
        <v>45712</v>
      </c>
      <c r="C2217">
        <v>6.3</v>
      </c>
      <c r="D2217">
        <v>1</v>
      </c>
      <c r="E2217" t="s">
        <v>6132</v>
      </c>
    </row>
    <row r="2218" spans="1:5" x14ac:dyDescent="0.35">
      <c r="A2218" t="s">
        <v>72</v>
      </c>
      <c r="B2218" s="16">
        <v>45714</v>
      </c>
      <c r="C2218">
        <v>7.9</v>
      </c>
      <c r="D2218">
        <v>1</v>
      </c>
      <c r="E2218" t="s">
        <v>6132</v>
      </c>
    </row>
    <row r="2219" spans="1:5" x14ac:dyDescent="0.35">
      <c r="A2219" t="s">
        <v>72</v>
      </c>
      <c r="B2219" s="16">
        <v>45716</v>
      </c>
      <c r="C2219">
        <v>4.3</v>
      </c>
      <c r="D2219">
        <v>0</v>
      </c>
      <c r="E2219" t="s">
        <v>6132</v>
      </c>
    </row>
    <row r="2220" spans="1:5" x14ac:dyDescent="0.35">
      <c r="A2220" t="s">
        <v>72</v>
      </c>
      <c r="B2220" s="16">
        <v>45720</v>
      </c>
      <c r="C2220">
        <v>8.1</v>
      </c>
      <c r="D2220">
        <v>2</v>
      </c>
      <c r="E2220" t="s">
        <v>6132</v>
      </c>
    </row>
    <row r="2221" spans="1:5" x14ac:dyDescent="0.35">
      <c r="A2221" t="s">
        <v>72</v>
      </c>
      <c r="B2221" s="16">
        <v>45722</v>
      </c>
      <c r="C2221">
        <v>7.6</v>
      </c>
      <c r="D2221">
        <v>1</v>
      </c>
      <c r="E2221" t="s">
        <v>6132</v>
      </c>
    </row>
    <row r="2222" spans="1:5" x14ac:dyDescent="0.35">
      <c r="A2222" t="s">
        <v>72</v>
      </c>
      <c r="B2222" s="16">
        <v>45723</v>
      </c>
      <c r="C2222">
        <v>4.9000000000000004</v>
      </c>
      <c r="D2222">
        <v>1</v>
      </c>
      <c r="E2222" t="s">
        <v>6132</v>
      </c>
    </row>
    <row r="2223" spans="1:5" x14ac:dyDescent="0.35">
      <c r="A2223" t="s">
        <v>72</v>
      </c>
      <c r="B2223" s="16">
        <v>45726</v>
      </c>
      <c r="C2223">
        <v>7.9</v>
      </c>
      <c r="D2223">
        <v>3</v>
      </c>
      <c r="E2223" t="s">
        <v>6132</v>
      </c>
    </row>
    <row r="2224" spans="1:5" x14ac:dyDescent="0.35">
      <c r="A2224" t="s">
        <v>72</v>
      </c>
      <c r="B2224" s="16">
        <v>45727</v>
      </c>
      <c r="C2224">
        <v>6.2</v>
      </c>
      <c r="D2224">
        <v>1</v>
      </c>
      <c r="E2224" t="s">
        <v>6132</v>
      </c>
    </row>
    <row r="2225" spans="1:5" x14ac:dyDescent="0.35">
      <c r="A2225" t="s">
        <v>72</v>
      </c>
      <c r="B2225" s="16">
        <v>45729</v>
      </c>
      <c r="C2225">
        <v>5.8</v>
      </c>
      <c r="D2225">
        <v>2</v>
      </c>
      <c r="E2225" t="s">
        <v>6132</v>
      </c>
    </row>
    <row r="2226" spans="1:5" x14ac:dyDescent="0.35">
      <c r="A2226" t="s">
        <v>72</v>
      </c>
      <c r="B2226" s="16">
        <v>45733</v>
      </c>
      <c r="C2226">
        <v>8</v>
      </c>
      <c r="D2226">
        <v>1</v>
      </c>
      <c r="E2226" t="s">
        <v>6132</v>
      </c>
    </row>
    <row r="2227" spans="1:5" x14ac:dyDescent="0.35">
      <c r="A2227" t="s">
        <v>72</v>
      </c>
      <c r="B2227" s="16">
        <v>45736</v>
      </c>
      <c r="C2227">
        <v>6.6</v>
      </c>
      <c r="D2227">
        <v>1</v>
      </c>
      <c r="E2227" t="s">
        <v>6132</v>
      </c>
    </row>
    <row r="2228" spans="1:5" x14ac:dyDescent="0.35">
      <c r="A2228" t="s">
        <v>72</v>
      </c>
      <c r="B2228" s="16">
        <v>45741</v>
      </c>
      <c r="C2228">
        <v>6.3</v>
      </c>
      <c r="D2228">
        <v>1</v>
      </c>
      <c r="E2228" t="s">
        <v>6132</v>
      </c>
    </row>
    <row r="2229" spans="1:5" x14ac:dyDescent="0.35">
      <c r="A2229" t="s">
        <v>72</v>
      </c>
      <c r="B2229" s="16">
        <v>45748</v>
      </c>
      <c r="C2229">
        <v>8.9</v>
      </c>
      <c r="D2229">
        <v>2</v>
      </c>
      <c r="E2229" t="s">
        <v>6132</v>
      </c>
    </row>
    <row r="2230" spans="1:5" x14ac:dyDescent="0.35">
      <c r="A2230" t="s">
        <v>72</v>
      </c>
      <c r="B2230" s="16">
        <v>45751</v>
      </c>
      <c r="C2230">
        <v>5.7</v>
      </c>
      <c r="D2230">
        <v>2</v>
      </c>
      <c r="E2230" t="s">
        <v>6132</v>
      </c>
    </row>
    <row r="2231" spans="1:5" x14ac:dyDescent="0.35">
      <c r="A2231" t="s">
        <v>72</v>
      </c>
      <c r="B2231" s="16">
        <v>45754</v>
      </c>
      <c r="D2231">
        <v>1</v>
      </c>
      <c r="E2231" t="s">
        <v>6132</v>
      </c>
    </row>
    <row r="2232" spans="1:5" x14ac:dyDescent="0.35">
      <c r="A2232" t="s">
        <v>72</v>
      </c>
      <c r="B2232" s="16">
        <v>45755</v>
      </c>
      <c r="C2232">
        <v>8.9</v>
      </c>
      <c r="D2232">
        <v>3</v>
      </c>
      <c r="E2232" t="s">
        <v>6132</v>
      </c>
    </row>
    <row r="2233" spans="1:5" x14ac:dyDescent="0.35">
      <c r="A2233" t="s">
        <v>72</v>
      </c>
      <c r="B2233" s="16">
        <v>45758</v>
      </c>
      <c r="C2233">
        <v>5</v>
      </c>
      <c r="D2233">
        <v>1</v>
      </c>
      <c r="E2233" t="s">
        <v>6132</v>
      </c>
    </row>
    <row r="2234" spans="1:5" x14ac:dyDescent="0.35">
      <c r="A2234" t="s">
        <v>72</v>
      </c>
      <c r="B2234" s="16">
        <v>45761</v>
      </c>
      <c r="C2234">
        <v>6.8</v>
      </c>
      <c r="D2234">
        <v>4</v>
      </c>
      <c r="E2234" t="s">
        <v>6132</v>
      </c>
    </row>
    <row r="2235" spans="1:5" x14ac:dyDescent="0.35">
      <c r="A2235" t="s">
        <v>72</v>
      </c>
      <c r="B2235" s="16">
        <v>45762</v>
      </c>
      <c r="C2235">
        <v>7.9</v>
      </c>
      <c r="D2235">
        <v>1</v>
      </c>
      <c r="E2235" t="s">
        <v>6132</v>
      </c>
    </row>
    <row r="2236" spans="1:5" x14ac:dyDescent="0.35">
      <c r="A2236" t="s">
        <v>72</v>
      </c>
      <c r="B2236" s="16">
        <v>45763</v>
      </c>
      <c r="D2236">
        <v>0</v>
      </c>
      <c r="E2236" t="s">
        <v>6134</v>
      </c>
    </row>
    <row r="2237" spans="1:5" x14ac:dyDescent="0.35">
      <c r="A2237" t="s">
        <v>72</v>
      </c>
      <c r="B2237" s="16">
        <v>45764</v>
      </c>
      <c r="C2237">
        <v>6.6</v>
      </c>
      <c r="D2237">
        <v>1</v>
      </c>
      <c r="E2237" t="s">
        <v>6132</v>
      </c>
    </row>
    <row r="2238" spans="1:5" x14ac:dyDescent="0.35">
      <c r="A2238" t="s">
        <v>72</v>
      </c>
      <c r="B2238" s="16">
        <v>45772</v>
      </c>
      <c r="C2238">
        <v>7.5</v>
      </c>
      <c r="D2238">
        <v>4</v>
      </c>
      <c r="E2238" t="s">
        <v>6132</v>
      </c>
    </row>
    <row r="2239" spans="1:5" x14ac:dyDescent="0.35">
      <c r="A2239" t="s">
        <v>72</v>
      </c>
      <c r="B2239" s="16">
        <v>45775</v>
      </c>
      <c r="C2239">
        <v>8.1999999999999993</v>
      </c>
      <c r="D2239">
        <v>1</v>
      </c>
      <c r="E2239" t="s">
        <v>6132</v>
      </c>
    </row>
    <row r="2240" spans="1:5" x14ac:dyDescent="0.35">
      <c r="A2240" t="s">
        <v>72</v>
      </c>
      <c r="B2240" s="16">
        <v>45776</v>
      </c>
      <c r="C2240">
        <v>8</v>
      </c>
      <c r="D2240">
        <v>0</v>
      </c>
      <c r="E2240" t="s">
        <v>6133</v>
      </c>
    </row>
    <row r="2241" spans="1:5" x14ac:dyDescent="0.35">
      <c r="A2241" t="s">
        <v>72</v>
      </c>
      <c r="B2241" s="16">
        <v>45779</v>
      </c>
      <c r="C2241">
        <v>5.7</v>
      </c>
      <c r="D2241">
        <v>0</v>
      </c>
      <c r="E2241" t="s">
        <v>6133</v>
      </c>
    </row>
    <row r="2242" spans="1:5" x14ac:dyDescent="0.35">
      <c r="A2242" t="s">
        <v>72</v>
      </c>
      <c r="B2242" s="16">
        <v>45782</v>
      </c>
      <c r="C2242">
        <v>8</v>
      </c>
      <c r="D2242">
        <v>1</v>
      </c>
      <c r="E2242" t="s">
        <v>6132</v>
      </c>
    </row>
    <row r="2243" spans="1:5" x14ac:dyDescent="0.35">
      <c r="A2243" t="s">
        <v>72</v>
      </c>
      <c r="B2243" s="16">
        <v>45783</v>
      </c>
      <c r="C2243">
        <v>7.1</v>
      </c>
      <c r="D2243">
        <v>6</v>
      </c>
      <c r="E2243" t="s">
        <v>6132</v>
      </c>
    </row>
    <row r="2244" spans="1:5" x14ac:dyDescent="0.35">
      <c r="A2244" t="s">
        <v>72</v>
      </c>
      <c r="B2244" s="16">
        <v>45784</v>
      </c>
      <c r="C2244">
        <v>8.1999999999999993</v>
      </c>
      <c r="D2244">
        <v>0</v>
      </c>
      <c r="E2244" t="s">
        <v>6132</v>
      </c>
    </row>
    <row r="2245" spans="1:5" x14ac:dyDescent="0.35">
      <c r="A2245" t="s">
        <v>72</v>
      </c>
      <c r="B2245" s="16">
        <v>45785</v>
      </c>
      <c r="C2245">
        <v>4.4000000000000004</v>
      </c>
      <c r="D2245">
        <v>0</v>
      </c>
      <c r="E2245" t="s">
        <v>6132</v>
      </c>
    </row>
    <row r="2246" spans="1:5" x14ac:dyDescent="0.35">
      <c r="A2246" t="s">
        <v>72</v>
      </c>
      <c r="B2246" s="16">
        <v>45789</v>
      </c>
      <c r="D2246">
        <v>1</v>
      </c>
      <c r="E2246" t="s">
        <v>6132</v>
      </c>
    </row>
    <row r="2247" spans="1:5" x14ac:dyDescent="0.35">
      <c r="A2247" t="s">
        <v>72</v>
      </c>
      <c r="B2247" s="16">
        <v>45791</v>
      </c>
      <c r="C2247">
        <v>5</v>
      </c>
      <c r="D2247">
        <v>4</v>
      </c>
      <c r="E2247" t="s">
        <v>6132</v>
      </c>
    </row>
    <row r="2248" spans="1:5" x14ac:dyDescent="0.35">
      <c r="A2248" t="s">
        <v>72</v>
      </c>
      <c r="B2248" s="16">
        <v>45792</v>
      </c>
      <c r="C2248">
        <v>5.9</v>
      </c>
      <c r="D2248">
        <v>1</v>
      </c>
      <c r="E2248" t="s">
        <v>6132</v>
      </c>
    </row>
    <row r="2249" spans="1:5" x14ac:dyDescent="0.35">
      <c r="A2249" t="s">
        <v>72</v>
      </c>
      <c r="B2249" s="16">
        <v>45793</v>
      </c>
      <c r="C2249">
        <v>7.5</v>
      </c>
      <c r="D2249">
        <v>1</v>
      </c>
      <c r="E2249" t="s">
        <v>6132</v>
      </c>
    </row>
    <row r="2250" spans="1:5" x14ac:dyDescent="0.35">
      <c r="A2250" t="s">
        <v>72</v>
      </c>
      <c r="B2250" s="16">
        <v>45796</v>
      </c>
      <c r="C2250">
        <v>7</v>
      </c>
      <c r="D2250">
        <v>1</v>
      </c>
      <c r="E2250" t="s">
        <v>6132</v>
      </c>
    </row>
    <row r="2251" spans="1:5" x14ac:dyDescent="0.35">
      <c r="A2251" t="s">
        <v>72</v>
      </c>
      <c r="B2251" s="16">
        <v>45800</v>
      </c>
      <c r="C2251">
        <v>6.6</v>
      </c>
      <c r="D2251">
        <v>0</v>
      </c>
      <c r="E2251" t="s">
        <v>6132</v>
      </c>
    </row>
    <row r="2252" spans="1:5" x14ac:dyDescent="0.35">
      <c r="A2252" t="s">
        <v>72</v>
      </c>
      <c r="B2252" s="16">
        <v>45804</v>
      </c>
      <c r="C2252">
        <v>6.4</v>
      </c>
      <c r="D2252">
        <v>0</v>
      </c>
      <c r="E2252" t="s">
        <v>6132</v>
      </c>
    </row>
    <row r="2253" spans="1:5" x14ac:dyDescent="0.35">
      <c r="A2253" t="s">
        <v>72</v>
      </c>
      <c r="B2253" s="16">
        <v>45805</v>
      </c>
      <c r="D2253">
        <v>0</v>
      </c>
      <c r="E2253" t="s">
        <v>6132</v>
      </c>
    </row>
    <row r="2254" spans="1:5" x14ac:dyDescent="0.35">
      <c r="A2254" t="s">
        <v>72</v>
      </c>
      <c r="B2254" s="16">
        <v>45807</v>
      </c>
      <c r="C2254">
        <v>6.6</v>
      </c>
      <c r="D2254">
        <v>1</v>
      </c>
      <c r="E2254" t="s">
        <v>6132</v>
      </c>
    </row>
    <row r="2255" spans="1:5" x14ac:dyDescent="0.35">
      <c r="A2255" t="s">
        <v>72</v>
      </c>
      <c r="B2255" s="16">
        <v>45810</v>
      </c>
      <c r="C2255">
        <v>7.1</v>
      </c>
      <c r="D2255">
        <v>1</v>
      </c>
      <c r="E2255" t="s">
        <v>6132</v>
      </c>
    </row>
    <row r="2256" spans="1:5" x14ac:dyDescent="0.35">
      <c r="A2256" t="s">
        <v>72</v>
      </c>
      <c r="B2256" s="16">
        <v>45811</v>
      </c>
      <c r="C2256">
        <v>4.0999999999999996</v>
      </c>
      <c r="D2256">
        <v>2</v>
      </c>
      <c r="E2256" t="s">
        <v>6132</v>
      </c>
    </row>
    <row r="2257" spans="1:5" x14ac:dyDescent="0.35">
      <c r="A2257" t="s">
        <v>72</v>
      </c>
      <c r="B2257" s="16">
        <v>45813</v>
      </c>
      <c r="C2257">
        <v>4.5</v>
      </c>
      <c r="D2257">
        <v>0</v>
      </c>
      <c r="E2257" t="s">
        <v>6133</v>
      </c>
    </row>
    <row r="2258" spans="1:5" x14ac:dyDescent="0.35">
      <c r="A2258" t="s">
        <v>72</v>
      </c>
      <c r="B2258" s="16">
        <v>45814</v>
      </c>
      <c r="C2258">
        <v>8.3000000000000007</v>
      </c>
      <c r="D2258">
        <v>0</v>
      </c>
      <c r="E2258" t="s">
        <v>6134</v>
      </c>
    </row>
    <row r="2259" spans="1:5" x14ac:dyDescent="0.35">
      <c r="A2259" t="s">
        <v>72</v>
      </c>
      <c r="B2259" s="16">
        <v>45817</v>
      </c>
      <c r="C2259">
        <v>8.9</v>
      </c>
      <c r="D2259">
        <v>4</v>
      </c>
      <c r="E2259" t="s">
        <v>6132</v>
      </c>
    </row>
    <row r="2260" spans="1:5" x14ac:dyDescent="0.35">
      <c r="A2260" t="s">
        <v>72</v>
      </c>
      <c r="B2260" s="16">
        <v>45819</v>
      </c>
      <c r="C2260">
        <v>5.2</v>
      </c>
      <c r="D2260">
        <v>0</v>
      </c>
      <c r="E2260" t="s">
        <v>6132</v>
      </c>
    </row>
    <row r="2261" spans="1:5" x14ac:dyDescent="0.35">
      <c r="A2261" t="s">
        <v>72</v>
      </c>
      <c r="B2261" s="16">
        <v>45821</v>
      </c>
      <c r="C2261">
        <v>8.6999999999999993</v>
      </c>
      <c r="D2261">
        <v>0</v>
      </c>
      <c r="E2261" t="s">
        <v>6132</v>
      </c>
    </row>
    <row r="2262" spans="1:5" x14ac:dyDescent="0.35">
      <c r="A2262" t="s">
        <v>72</v>
      </c>
      <c r="B2262" s="16">
        <v>45824</v>
      </c>
      <c r="C2262">
        <v>8.1999999999999993</v>
      </c>
      <c r="D2262">
        <v>3</v>
      </c>
      <c r="E2262" t="s">
        <v>6132</v>
      </c>
    </row>
    <row r="2263" spans="1:5" x14ac:dyDescent="0.35">
      <c r="A2263" t="s">
        <v>72</v>
      </c>
      <c r="B2263" s="16">
        <v>45825</v>
      </c>
      <c r="C2263">
        <v>7.1</v>
      </c>
      <c r="D2263">
        <v>0</v>
      </c>
      <c r="E2263" t="s">
        <v>6132</v>
      </c>
    </row>
    <row r="2264" spans="1:5" x14ac:dyDescent="0.35">
      <c r="A2264" t="s">
        <v>72</v>
      </c>
      <c r="B2264" s="16">
        <v>45828</v>
      </c>
      <c r="D2264">
        <v>1</v>
      </c>
      <c r="E2264" t="s">
        <v>6132</v>
      </c>
    </row>
    <row r="2265" spans="1:5" x14ac:dyDescent="0.35">
      <c r="A2265" t="s">
        <v>72</v>
      </c>
      <c r="B2265" s="16">
        <v>45833</v>
      </c>
      <c r="C2265">
        <v>4.0999999999999996</v>
      </c>
      <c r="D2265">
        <v>1</v>
      </c>
      <c r="E2265" t="s">
        <v>6132</v>
      </c>
    </row>
    <row r="2266" spans="1:5" x14ac:dyDescent="0.35">
      <c r="A2266" t="s">
        <v>72</v>
      </c>
      <c r="B2266" s="16">
        <v>45834</v>
      </c>
      <c r="C2266">
        <v>7.4</v>
      </c>
      <c r="D2266">
        <v>2</v>
      </c>
      <c r="E2266" t="s">
        <v>6132</v>
      </c>
    </row>
    <row r="2267" spans="1:5" x14ac:dyDescent="0.35">
      <c r="A2267" t="s">
        <v>72</v>
      </c>
      <c r="B2267" s="16">
        <v>45835</v>
      </c>
      <c r="C2267">
        <v>5</v>
      </c>
      <c r="D2267">
        <v>1</v>
      </c>
      <c r="E2267" t="s">
        <v>6132</v>
      </c>
    </row>
    <row r="2268" spans="1:5" x14ac:dyDescent="0.35">
      <c r="A2268" t="s">
        <v>72</v>
      </c>
      <c r="B2268" s="16">
        <v>45840</v>
      </c>
      <c r="C2268">
        <v>7.7</v>
      </c>
      <c r="D2268">
        <v>0</v>
      </c>
      <c r="E2268" t="s">
        <v>6132</v>
      </c>
    </row>
    <row r="2269" spans="1:5" x14ac:dyDescent="0.35">
      <c r="A2269" t="s">
        <v>72</v>
      </c>
      <c r="B2269" s="16">
        <v>45841</v>
      </c>
      <c r="C2269">
        <v>4.5</v>
      </c>
      <c r="D2269">
        <v>1</v>
      </c>
      <c r="E2269" t="s">
        <v>6132</v>
      </c>
    </row>
    <row r="2270" spans="1:5" x14ac:dyDescent="0.35">
      <c r="A2270" t="s">
        <v>72</v>
      </c>
      <c r="B2270" s="16">
        <v>45845</v>
      </c>
      <c r="C2270">
        <v>5.8</v>
      </c>
      <c r="D2270">
        <v>0</v>
      </c>
      <c r="E2270" t="s">
        <v>6132</v>
      </c>
    </row>
    <row r="2271" spans="1:5" x14ac:dyDescent="0.35">
      <c r="A2271" t="s">
        <v>72</v>
      </c>
      <c r="B2271" s="16">
        <v>45848</v>
      </c>
      <c r="C2271">
        <v>4.2</v>
      </c>
      <c r="D2271">
        <v>2</v>
      </c>
      <c r="E2271" t="s">
        <v>6132</v>
      </c>
    </row>
    <row r="2272" spans="1:5" x14ac:dyDescent="0.35">
      <c r="A2272" t="s">
        <v>72</v>
      </c>
      <c r="B2272" s="16">
        <v>45849</v>
      </c>
      <c r="C2272">
        <v>6.9</v>
      </c>
      <c r="D2272">
        <v>0</v>
      </c>
      <c r="E2272" t="s">
        <v>6132</v>
      </c>
    </row>
    <row r="2273" spans="1:5" x14ac:dyDescent="0.35">
      <c r="A2273" t="s">
        <v>72</v>
      </c>
      <c r="B2273" s="16">
        <v>45853</v>
      </c>
      <c r="C2273">
        <v>4.5</v>
      </c>
      <c r="D2273">
        <v>1</v>
      </c>
      <c r="E2273" t="s">
        <v>6132</v>
      </c>
    </row>
    <row r="2274" spans="1:5" x14ac:dyDescent="0.35">
      <c r="A2274" t="s">
        <v>72</v>
      </c>
      <c r="B2274" s="16">
        <v>45855</v>
      </c>
      <c r="C2274">
        <v>4.7</v>
      </c>
      <c r="D2274">
        <v>1</v>
      </c>
      <c r="E2274" t="s">
        <v>6132</v>
      </c>
    </row>
    <row r="2275" spans="1:5" x14ac:dyDescent="0.35">
      <c r="A2275" t="s">
        <v>72</v>
      </c>
      <c r="B2275" s="16">
        <v>45859</v>
      </c>
      <c r="C2275">
        <v>6.4</v>
      </c>
      <c r="D2275">
        <v>1</v>
      </c>
      <c r="E2275" t="s">
        <v>6132</v>
      </c>
    </row>
    <row r="2276" spans="1:5" x14ac:dyDescent="0.35">
      <c r="A2276" t="s">
        <v>72</v>
      </c>
      <c r="B2276" s="16">
        <v>45860</v>
      </c>
      <c r="C2276">
        <v>8.5</v>
      </c>
      <c r="D2276">
        <v>2</v>
      </c>
      <c r="E2276" t="s">
        <v>6132</v>
      </c>
    </row>
    <row r="2277" spans="1:5" x14ac:dyDescent="0.35">
      <c r="A2277" t="s">
        <v>72</v>
      </c>
      <c r="B2277" s="16">
        <v>45862</v>
      </c>
      <c r="C2277">
        <v>4.5</v>
      </c>
      <c r="D2277">
        <v>0</v>
      </c>
      <c r="E2277" t="s">
        <v>6132</v>
      </c>
    </row>
    <row r="2278" spans="1:5" x14ac:dyDescent="0.35">
      <c r="A2278" t="s">
        <v>72</v>
      </c>
      <c r="B2278" s="16">
        <v>45863</v>
      </c>
      <c r="C2278">
        <v>4.2</v>
      </c>
      <c r="D2278">
        <v>1</v>
      </c>
      <c r="E2278" t="s">
        <v>6132</v>
      </c>
    </row>
    <row r="2279" spans="1:5" x14ac:dyDescent="0.35">
      <c r="A2279" t="s">
        <v>72</v>
      </c>
      <c r="B2279" s="16">
        <v>45866</v>
      </c>
      <c r="D2279">
        <v>0</v>
      </c>
      <c r="E2279" t="s">
        <v>6132</v>
      </c>
    </row>
    <row r="2280" spans="1:5" x14ac:dyDescent="0.35">
      <c r="A2280" t="s">
        <v>72</v>
      </c>
      <c r="B2280" s="16">
        <v>45867</v>
      </c>
      <c r="D2280">
        <v>0</v>
      </c>
      <c r="E2280" t="s">
        <v>6132</v>
      </c>
    </row>
    <row r="2281" spans="1:5" x14ac:dyDescent="0.35">
      <c r="A2281" t="s">
        <v>72</v>
      </c>
      <c r="B2281" s="16">
        <v>45869</v>
      </c>
      <c r="C2281">
        <v>4.2</v>
      </c>
      <c r="D2281">
        <v>0</v>
      </c>
      <c r="E2281" t="s">
        <v>6133</v>
      </c>
    </row>
    <row r="2282" spans="1:5" x14ac:dyDescent="0.35">
      <c r="A2282" t="s">
        <v>72</v>
      </c>
      <c r="B2282" s="16">
        <v>45873</v>
      </c>
      <c r="C2282">
        <v>4.2</v>
      </c>
      <c r="D2282">
        <v>3</v>
      </c>
      <c r="E2282" t="s">
        <v>6132</v>
      </c>
    </row>
    <row r="2283" spans="1:5" x14ac:dyDescent="0.35">
      <c r="A2283" t="s">
        <v>72</v>
      </c>
      <c r="B2283" s="16">
        <v>45874</v>
      </c>
      <c r="C2283">
        <v>7.8</v>
      </c>
      <c r="D2283">
        <v>0</v>
      </c>
      <c r="E2283" t="s">
        <v>6132</v>
      </c>
    </row>
    <row r="2284" spans="1:5" x14ac:dyDescent="0.35">
      <c r="A2284" t="s">
        <v>72</v>
      </c>
      <c r="B2284" s="16">
        <v>45875</v>
      </c>
      <c r="C2284">
        <v>5.7</v>
      </c>
      <c r="D2284">
        <v>0</v>
      </c>
      <c r="E2284" t="s">
        <v>6133</v>
      </c>
    </row>
    <row r="2285" spans="1:5" x14ac:dyDescent="0.35">
      <c r="A2285" t="s">
        <v>72</v>
      </c>
      <c r="B2285" s="16">
        <v>45876</v>
      </c>
      <c r="C2285">
        <v>7.9</v>
      </c>
      <c r="D2285">
        <v>2</v>
      </c>
      <c r="E2285" t="s">
        <v>6132</v>
      </c>
    </row>
    <row r="2286" spans="1:5" x14ac:dyDescent="0.35">
      <c r="A2286" t="s">
        <v>72</v>
      </c>
      <c r="B2286" s="16">
        <v>45877</v>
      </c>
      <c r="C2286">
        <v>5.7</v>
      </c>
      <c r="D2286">
        <v>0</v>
      </c>
      <c r="E2286" t="s">
        <v>6132</v>
      </c>
    </row>
    <row r="2287" spans="1:5" x14ac:dyDescent="0.35">
      <c r="A2287" t="s">
        <v>72</v>
      </c>
      <c r="B2287" s="16">
        <v>45887</v>
      </c>
      <c r="C2287">
        <v>5.9</v>
      </c>
      <c r="D2287">
        <v>2</v>
      </c>
      <c r="E2287" t="s">
        <v>6132</v>
      </c>
    </row>
    <row r="2288" spans="1:5" x14ac:dyDescent="0.35">
      <c r="A2288" t="s">
        <v>72</v>
      </c>
      <c r="B2288" s="16">
        <v>45888</v>
      </c>
      <c r="C2288">
        <v>5.3</v>
      </c>
      <c r="D2288">
        <v>0</v>
      </c>
      <c r="E2288" t="s">
        <v>6132</v>
      </c>
    </row>
    <row r="2289" spans="1:5" x14ac:dyDescent="0.35">
      <c r="A2289" t="s">
        <v>72</v>
      </c>
      <c r="B2289" s="16">
        <v>45889</v>
      </c>
      <c r="C2289">
        <v>7.5</v>
      </c>
      <c r="D2289">
        <v>1</v>
      </c>
      <c r="E2289" t="s">
        <v>6132</v>
      </c>
    </row>
    <row r="2290" spans="1:5" x14ac:dyDescent="0.35">
      <c r="A2290" t="s">
        <v>72</v>
      </c>
      <c r="B2290" s="16">
        <v>45890</v>
      </c>
      <c r="C2290">
        <v>8.1999999999999993</v>
      </c>
      <c r="D2290">
        <v>0</v>
      </c>
      <c r="E2290" t="s">
        <v>6132</v>
      </c>
    </row>
    <row r="2291" spans="1:5" x14ac:dyDescent="0.35">
      <c r="A2291" t="s">
        <v>72</v>
      </c>
      <c r="B2291" s="16">
        <v>45891</v>
      </c>
      <c r="C2291">
        <v>5.4</v>
      </c>
      <c r="D2291">
        <v>3</v>
      </c>
      <c r="E2291" t="s">
        <v>6132</v>
      </c>
    </row>
    <row r="2292" spans="1:5" x14ac:dyDescent="0.35">
      <c r="A2292" t="s">
        <v>72</v>
      </c>
      <c r="B2292" s="16">
        <v>45894</v>
      </c>
      <c r="C2292">
        <v>6</v>
      </c>
      <c r="D2292">
        <v>0</v>
      </c>
      <c r="E2292" t="s">
        <v>6132</v>
      </c>
    </row>
    <row r="2293" spans="1:5" x14ac:dyDescent="0.35">
      <c r="A2293" t="s">
        <v>72</v>
      </c>
      <c r="B2293" s="16">
        <v>45895</v>
      </c>
      <c r="C2293">
        <v>8.1999999999999993</v>
      </c>
      <c r="D2293">
        <v>0</v>
      </c>
      <c r="E2293" t="s">
        <v>6132</v>
      </c>
    </row>
    <row r="2294" spans="1:5" x14ac:dyDescent="0.35">
      <c r="A2294" t="s">
        <v>72</v>
      </c>
      <c r="B2294" s="16">
        <v>45896</v>
      </c>
      <c r="D2294">
        <v>0</v>
      </c>
      <c r="E2294" t="s">
        <v>6132</v>
      </c>
    </row>
    <row r="2295" spans="1:5" x14ac:dyDescent="0.35">
      <c r="A2295" t="s">
        <v>72</v>
      </c>
      <c r="B2295" s="16">
        <v>45902</v>
      </c>
      <c r="C2295">
        <v>7.3</v>
      </c>
      <c r="D2295">
        <v>0</v>
      </c>
      <c r="E2295" t="s">
        <v>6132</v>
      </c>
    </row>
    <row r="2296" spans="1:5" x14ac:dyDescent="0.35">
      <c r="A2296" t="s">
        <v>72</v>
      </c>
      <c r="B2296" s="16">
        <v>45905</v>
      </c>
      <c r="C2296">
        <v>8.1</v>
      </c>
      <c r="D2296">
        <v>0</v>
      </c>
      <c r="E2296" t="s">
        <v>6134</v>
      </c>
    </row>
    <row r="2297" spans="1:5" x14ac:dyDescent="0.35">
      <c r="A2297" t="s">
        <v>72</v>
      </c>
      <c r="B2297" s="16">
        <v>45908</v>
      </c>
      <c r="C2297">
        <v>6.3</v>
      </c>
      <c r="D2297">
        <v>0</v>
      </c>
      <c r="E2297" t="s">
        <v>6132</v>
      </c>
    </row>
    <row r="2298" spans="1:5" x14ac:dyDescent="0.35">
      <c r="A2298" t="s">
        <v>72</v>
      </c>
      <c r="B2298" s="16">
        <v>45909</v>
      </c>
      <c r="C2298">
        <v>5.3</v>
      </c>
      <c r="D2298">
        <v>1</v>
      </c>
      <c r="E2298" t="s">
        <v>6132</v>
      </c>
    </row>
    <row r="2299" spans="1:5" x14ac:dyDescent="0.35">
      <c r="A2299" t="s">
        <v>72</v>
      </c>
      <c r="B2299" s="16">
        <v>45911</v>
      </c>
      <c r="C2299">
        <v>5.9</v>
      </c>
      <c r="D2299">
        <v>3</v>
      </c>
      <c r="E2299" t="s">
        <v>6132</v>
      </c>
    </row>
    <row r="2300" spans="1:5" x14ac:dyDescent="0.35">
      <c r="A2300" t="s">
        <v>72</v>
      </c>
      <c r="B2300" s="16">
        <v>45915</v>
      </c>
      <c r="C2300">
        <v>4.5</v>
      </c>
      <c r="D2300">
        <v>0</v>
      </c>
      <c r="E2300" t="s">
        <v>6132</v>
      </c>
    </row>
    <row r="2301" spans="1:5" x14ac:dyDescent="0.35">
      <c r="A2301" t="s">
        <v>72</v>
      </c>
      <c r="B2301" s="16">
        <v>45918</v>
      </c>
      <c r="C2301">
        <v>7.9</v>
      </c>
      <c r="D2301">
        <v>2</v>
      </c>
      <c r="E2301" t="s">
        <v>6132</v>
      </c>
    </row>
    <row r="2302" spans="1:5" x14ac:dyDescent="0.35">
      <c r="A2302" t="s">
        <v>72</v>
      </c>
      <c r="B2302" s="16">
        <v>45924</v>
      </c>
      <c r="C2302">
        <v>7.7</v>
      </c>
      <c r="D2302">
        <v>3</v>
      </c>
      <c r="E2302" t="s">
        <v>6132</v>
      </c>
    </row>
    <row r="2303" spans="1:5" x14ac:dyDescent="0.35">
      <c r="A2303" t="s">
        <v>72</v>
      </c>
      <c r="B2303" s="16">
        <v>45929</v>
      </c>
      <c r="C2303">
        <v>4.7</v>
      </c>
      <c r="D2303">
        <v>1</v>
      </c>
      <c r="E2303" t="s">
        <v>6132</v>
      </c>
    </row>
    <row r="2304" spans="1:5" x14ac:dyDescent="0.35">
      <c r="A2304" t="s">
        <v>72</v>
      </c>
      <c r="B2304" s="16">
        <v>45932</v>
      </c>
      <c r="C2304">
        <v>8.6999999999999993</v>
      </c>
      <c r="D2304">
        <v>1</v>
      </c>
      <c r="E2304" t="s">
        <v>6132</v>
      </c>
    </row>
    <row r="2305" spans="1:5" x14ac:dyDescent="0.35">
      <c r="A2305" t="s">
        <v>72</v>
      </c>
      <c r="B2305" s="16">
        <v>45936</v>
      </c>
      <c r="C2305">
        <v>4.4000000000000004</v>
      </c>
      <c r="D2305">
        <v>1</v>
      </c>
      <c r="E2305" t="s">
        <v>6132</v>
      </c>
    </row>
    <row r="2306" spans="1:5" x14ac:dyDescent="0.35">
      <c r="A2306" t="s">
        <v>72</v>
      </c>
      <c r="B2306" s="16">
        <v>45939</v>
      </c>
      <c r="C2306">
        <v>4.8</v>
      </c>
      <c r="D2306">
        <v>4</v>
      </c>
      <c r="E2306" t="s">
        <v>6132</v>
      </c>
    </row>
    <row r="2307" spans="1:5" x14ac:dyDescent="0.35">
      <c r="A2307" t="s">
        <v>72</v>
      </c>
      <c r="B2307" s="16">
        <v>45943</v>
      </c>
      <c r="C2307">
        <v>4.5</v>
      </c>
      <c r="D2307">
        <v>2</v>
      </c>
      <c r="E2307" t="s">
        <v>6132</v>
      </c>
    </row>
    <row r="2308" spans="1:5" x14ac:dyDescent="0.35">
      <c r="A2308" t="s">
        <v>72</v>
      </c>
      <c r="B2308" s="16">
        <v>45944</v>
      </c>
      <c r="C2308">
        <v>8.1999999999999993</v>
      </c>
      <c r="D2308">
        <v>0</v>
      </c>
      <c r="E2308" t="s">
        <v>6134</v>
      </c>
    </row>
    <row r="2309" spans="1:5" x14ac:dyDescent="0.35">
      <c r="A2309" t="s">
        <v>72</v>
      </c>
      <c r="B2309" s="16">
        <v>45945</v>
      </c>
      <c r="C2309">
        <v>6.6</v>
      </c>
      <c r="D2309">
        <v>0</v>
      </c>
      <c r="E2309" t="s">
        <v>6134</v>
      </c>
    </row>
    <row r="2310" spans="1:5" x14ac:dyDescent="0.35">
      <c r="A2310" t="s">
        <v>72</v>
      </c>
      <c r="B2310" s="16">
        <v>45946</v>
      </c>
      <c r="D2310">
        <v>0</v>
      </c>
      <c r="E2310" t="s">
        <v>6134</v>
      </c>
    </row>
    <row r="2311" spans="1:5" x14ac:dyDescent="0.35">
      <c r="A2311" t="s">
        <v>72</v>
      </c>
      <c r="B2311" s="16">
        <v>45947</v>
      </c>
      <c r="C2311">
        <v>6</v>
      </c>
      <c r="D2311">
        <v>1</v>
      </c>
      <c r="E2311" t="s">
        <v>6132</v>
      </c>
    </row>
    <row r="2312" spans="1:5" x14ac:dyDescent="0.35">
      <c r="A2312" t="s">
        <v>72</v>
      </c>
      <c r="B2312" s="16">
        <v>45950</v>
      </c>
      <c r="C2312">
        <v>8</v>
      </c>
      <c r="D2312">
        <v>0</v>
      </c>
      <c r="E2312" t="s">
        <v>6134</v>
      </c>
    </row>
    <row r="2313" spans="1:5" x14ac:dyDescent="0.35">
      <c r="A2313" t="s">
        <v>72</v>
      </c>
      <c r="B2313" s="16">
        <v>45951</v>
      </c>
      <c r="C2313">
        <v>4.7</v>
      </c>
      <c r="D2313">
        <v>1</v>
      </c>
      <c r="E2313" t="s">
        <v>6132</v>
      </c>
    </row>
    <row r="2314" spans="1:5" x14ac:dyDescent="0.35">
      <c r="A2314" t="s">
        <v>72</v>
      </c>
      <c r="B2314" s="16">
        <v>45952</v>
      </c>
      <c r="C2314">
        <v>5.9</v>
      </c>
      <c r="D2314">
        <v>1</v>
      </c>
      <c r="E2314" t="s">
        <v>6132</v>
      </c>
    </row>
    <row r="2315" spans="1:5" x14ac:dyDescent="0.35">
      <c r="A2315" t="s">
        <v>72</v>
      </c>
      <c r="B2315" s="16">
        <v>45953</v>
      </c>
      <c r="C2315">
        <v>6.2</v>
      </c>
      <c r="D2315">
        <v>0</v>
      </c>
      <c r="E2315" t="s">
        <v>6132</v>
      </c>
    </row>
    <row r="2316" spans="1:5" x14ac:dyDescent="0.35">
      <c r="A2316" t="s">
        <v>72</v>
      </c>
      <c r="B2316" s="16">
        <v>45968</v>
      </c>
      <c r="C2316">
        <v>6.8</v>
      </c>
      <c r="D2316">
        <v>0</v>
      </c>
      <c r="E2316" t="s">
        <v>6132</v>
      </c>
    </row>
    <row r="2317" spans="1:5" x14ac:dyDescent="0.35">
      <c r="A2317" t="s">
        <v>72</v>
      </c>
      <c r="B2317" s="16">
        <v>45971</v>
      </c>
      <c r="C2317">
        <v>5.2</v>
      </c>
      <c r="D2317">
        <v>0</v>
      </c>
      <c r="E2317" t="s">
        <v>6132</v>
      </c>
    </row>
    <row r="2318" spans="1:5" x14ac:dyDescent="0.35">
      <c r="A2318" t="s">
        <v>72</v>
      </c>
      <c r="B2318" s="16">
        <v>45973</v>
      </c>
      <c r="C2318">
        <v>6.3</v>
      </c>
      <c r="D2318">
        <v>1</v>
      </c>
      <c r="E2318" t="s">
        <v>6132</v>
      </c>
    </row>
    <row r="2319" spans="1:5" x14ac:dyDescent="0.35">
      <c r="A2319" t="s">
        <v>72</v>
      </c>
      <c r="B2319" s="16">
        <v>45974</v>
      </c>
      <c r="C2319">
        <v>8.6999999999999993</v>
      </c>
      <c r="D2319">
        <v>0</v>
      </c>
      <c r="E2319" t="s">
        <v>6132</v>
      </c>
    </row>
    <row r="2320" spans="1:5" x14ac:dyDescent="0.35">
      <c r="A2320" t="s">
        <v>72</v>
      </c>
      <c r="B2320" s="16">
        <v>45975</v>
      </c>
      <c r="C2320">
        <v>9</v>
      </c>
      <c r="D2320">
        <v>1</v>
      </c>
      <c r="E2320" t="s">
        <v>6132</v>
      </c>
    </row>
    <row r="2321" spans="1:5" x14ac:dyDescent="0.35">
      <c r="A2321" t="s">
        <v>72</v>
      </c>
      <c r="B2321" s="16">
        <v>45979</v>
      </c>
      <c r="C2321">
        <v>4.9000000000000004</v>
      </c>
      <c r="D2321">
        <v>1</v>
      </c>
      <c r="E2321" t="s">
        <v>6132</v>
      </c>
    </row>
    <row r="2322" spans="1:5" x14ac:dyDescent="0.35">
      <c r="A2322" t="s">
        <v>72</v>
      </c>
      <c r="B2322" s="16">
        <v>45980</v>
      </c>
      <c r="C2322">
        <v>5.9</v>
      </c>
      <c r="D2322">
        <v>2</v>
      </c>
      <c r="E2322" t="s">
        <v>6132</v>
      </c>
    </row>
    <row r="2323" spans="1:5" x14ac:dyDescent="0.35">
      <c r="A2323" t="s">
        <v>72</v>
      </c>
      <c r="B2323" s="16">
        <v>45982</v>
      </c>
      <c r="C2323">
        <v>4.3</v>
      </c>
      <c r="D2323">
        <v>1</v>
      </c>
      <c r="E2323" t="s">
        <v>6132</v>
      </c>
    </row>
    <row r="2324" spans="1:5" x14ac:dyDescent="0.35">
      <c r="A2324" t="s">
        <v>72</v>
      </c>
      <c r="B2324" s="16">
        <v>45985</v>
      </c>
      <c r="C2324">
        <v>8.1999999999999993</v>
      </c>
      <c r="D2324">
        <v>0</v>
      </c>
      <c r="E2324" t="s">
        <v>6132</v>
      </c>
    </row>
    <row r="2325" spans="1:5" x14ac:dyDescent="0.35">
      <c r="A2325" t="s">
        <v>72</v>
      </c>
      <c r="B2325" s="16">
        <v>45988</v>
      </c>
      <c r="C2325">
        <v>6.8</v>
      </c>
      <c r="D2325">
        <v>0</v>
      </c>
      <c r="E2325" t="s">
        <v>6132</v>
      </c>
    </row>
    <row r="2326" spans="1:5" x14ac:dyDescent="0.35">
      <c r="A2326" t="s">
        <v>72</v>
      </c>
      <c r="B2326" s="16">
        <v>45989</v>
      </c>
      <c r="C2326">
        <v>4.3</v>
      </c>
      <c r="D2326">
        <v>0</v>
      </c>
      <c r="E2326" t="s">
        <v>6134</v>
      </c>
    </row>
    <row r="2327" spans="1:5" x14ac:dyDescent="0.35">
      <c r="A2327" t="s">
        <v>72</v>
      </c>
      <c r="B2327" s="16">
        <v>45992</v>
      </c>
      <c r="D2327">
        <v>1</v>
      </c>
      <c r="E2327" t="s">
        <v>6132</v>
      </c>
    </row>
    <row r="2328" spans="1:5" x14ac:dyDescent="0.35">
      <c r="A2328" t="s">
        <v>72</v>
      </c>
      <c r="B2328" s="16">
        <v>45994</v>
      </c>
      <c r="C2328">
        <v>6.7</v>
      </c>
      <c r="D2328">
        <v>3</v>
      </c>
      <c r="E2328" t="s">
        <v>6132</v>
      </c>
    </row>
    <row r="2329" spans="1:5" x14ac:dyDescent="0.35">
      <c r="A2329" t="s">
        <v>72</v>
      </c>
      <c r="B2329" s="16">
        <v>45996</v>
      </c>
      <c r="C2329">
        <v>7</v>
      </c>
      <c r="D2329">
        <v>0</v>
      </c>
      <c r="E2329" t="s">
        <v>6132</v>
      </c>
    </row>
    <row r="2330" spans="1:5" x14ac:dyDescent="0.35">
      <c r="A2330" t="s">
        <v>72</v>
      </c>
      <c r="B2330" s="16">
        <v>45999</v>
      </c>
      <c r="C2330">
        <v>5.6</v>
      </c>
      <c r="D2330">
        <v>0</v>
      </c>
      <c r="E2330" t="s">
        <v>6132</v>
      </c>
    </row>
    <row r="2331" spans="1:5" x14ac:dyDescent="0.35">
      <c r="A2331" t="s">
        <v>72</v>
      </c>
      <c r="B2331" s="16">
        <v>46000</v>
      </c>
      <c r="D2331">
        <v>0</v>
      </c>
      <c r="E2331" t="s">
        <v>6133</v>
      </c>
    </row>
    <row r="2332" spans="1:5" x14ac:dyDescent="0.35">
      <c r="A2332" t="s">
        <v>72</v>
      </c>
      <c r="B2332" s="16">
        <v>46002</v>
      </c>
      <c r="C2332">
        <v>4.4000000000000004</v>
      </c>
      <c r="D2332">
        <v>1</v>
      </c>
      <c r="E2332" t="s">
        <v>6132</v>
      </c>
    </row>
    <row r="2333" spans="1:5" x14ac:dyDescent="0.35">
      <c r="A2333" t="s">
        <v>72</v>
      </c>
      <c r="B2333" s="16">
        <v>46006</v>
      </c>
      <c r="C2333">
        <v>8.6</v>
      </c>
      <c r="D2333">
        <v>1</v>
      </c>
      <c r="E2333" t="s">
        <v>6132</v>
      </c>
    </row>
    <row r="2334" spans="1:5" x14ac:dyDescent="0.35">
      <c r="A2334" t="s">
        <v>72</v>
      </c>
      <c r="B2334" s="16">
        <v>46007</v>
      </c>
      <c r="C2334">
        <v>8.3000000000000007</v>
      </c>
      <c r="D2334">
        <v>2</v>
      </c>
      <c r="E2334" t="s">
        <v>6132</v>
      </c>
    </row>
    <row r="2335" spans="1:5" x14ac:dyDescent="0.35">
      <c r="A2335" t="s">
        <v>72</v>
      </c>
      <c r="B2335" s="16">
        <v>46009</v>
      </c>
      <c r="C2335">
        <v>7.5</v>
      </c>
      <c r="D2335">
        <v>0</v>
      </c>
      <c r="E2335" t="s">
        <v>6132</v>
      </c>
    </row>
    <row r="2336" spans="1:5" x14ac:dyDescent="0.35">
      <c r="A2336" t="s">
        <v>72</v>
      </c>
      <c r="B2336" s="16">
        <v>46010</v>
      </c>
      <c r="C2336">
        <v>4.0999999999999996</v>
      </c>
      <c r="D2336">
        <v>2</v>
      </c>
      <c r="E2336" t="s">
        <v>6132</v>
      </c>
    </row>
    <row r="2337" spans="1:5" x14ac:dyDescent="0.35">
      <c r="A2337" t="s">
        <v>72</v>
      </c>
      <c r="B2337" s="16">
        <v>46013</v>
      </c>
      <c r="C2337">
        <v>7.4</v>
      </c>
      <c r="D2337">
        <v>1</v>
      </c>
      <c r="E2337" t="s">
        <v>6132</v>
      </c>
    </row>
    <row r="2338" spans="1:5" x14ac:dyDescent="0.35">
      <c r="A2338" t="s">
        <v>72</v>
      </c>
      <c r="B2338" s="16">
        <v>46015</v>
      </c>
      <c r="C2338">
        <v>4.8</v>
      </c>
      <c r="D2338">
        <v>0</v>
      </c>
      <c r="E2338" t="s">
        <v>6134</v>
      </c>
    </row>
    <row r="2339" spans="1:5" x14ac:dyDescent="0.35">
      <c r="A2339" t="s">
        <v>72</v>
      </c>
      <c r="B2339" s="16">
        <v>46016</v>
      </c>
      <c r="C2339">
        <v>6.2</v>
      </c>
      <c r="D2339">
        <v>1</v>
      </c>
      <c r="E2339" t="s">
        <v>6132</v>
      </c>
    </row>
    <row r="2340" spans="1:5" x14ac:dyDescent="0.35">
      <c r="A2340" t="s">
        <v>72</v>
      </c>
      <c r="B2340" s="16">
        <v>46017</v>
      </c>
      <c r="C2340">
        <v>4.7</v>
      </c>
      <c r="D2340">
        <v>0</v>
      </c>
      <c r="E2340" t="s">
        <v>6132</v>
      </c>
    </row>
    <row r="2341" spans="1:5" x14ac:dyDescent="0.35">
      <c r="A2341" t="s">
        <v>72</v>
      </c>
      <c r="B2341" s="16">
        <v>46021</v>
      </c>
      <c r="C2341">
        <v>4.2</v>
      </c>
      <c r="D2341">
        <v>0</v>
      </c>
      <c r="E2341" t="s">
        <v>6132</v>
      </c>
    </row>
    <row r="2342" spans="1:5" x14ac:dyDescent="0.35">
      <c r="A2342" t="s">
        <v>45</v>
      </c>
      <c r="B2342" s="16">
        <v>45658</v>
      </c>
      <c r="C2342">
        <v>6.2</v>
      </c>
      <c r="D2342">
        <v>0</v>
      </c>
      <c r="E2342" t="s">
        <v>6132</v>
      </c>
    </row>
    <row r="2343" spans="1:5" x14ac:dyDescent="0.35">
      <c r="A2343" t="s">
        <v>45</v>
      </c>
      <c r="B2343" s="16">
        <v>45665</v>
      </c>
      <c r="C2343">
        <v>4.5</v>
      </c>
      <c r="D2343">
        <v>0</v>
      </c>
      <c r="E2343" t="s">
        <v>6132</v>
      </c>
    </row>
    <row r="2344" spans="1:5" x14ac:dyDescent="0.35">
      <c r="A2344" t="s">
        <v>45</v>
      </c>
      <c r="B2344" s="16">
        <v>45666</v>
      </c>
      <c r="C2344">
        <v>5.7</v>
      </c>
      <c r="D2344">
        <v>1</v>
      </c>
      <c r="E2344" t="s">
        <v>6132</v>
      </c>
    </row>
    <row r="2345" spans="1:5" x14ac:dyDescent="0.35">
      <c r="A2345" t="s">
        <v>45</v>
      </c>
      <c r="B2345" s="16">
        <v>45667</v>
      </c>
      <c r="D2345">
        <v>1</v>
      </c>
      <c r="E2345" t="s">
        <v>6132</v>
      </c>
    </row>
    <row r="2346" spans="1:5" x14ac:dyDescent="0.35">
      <c r="A2346" t="s">
        <v>45</v>
      </c>
      <c r="B2346" s="16">
        <v>45671</v>
      </c>
      <c r="C2346">
        <v>5.9</v>
      </c>
      <c r="D2346">
        <v>1</v>
      </c>
      <c r="E2346" t="s">
        <v>6132</v>
      </c>
    </row>
    <row r="2347" spans="1:5" x14ac:dyDescent="0.35">
      <c r="A2347" t="s">
        <v>45</v>
      </c>
      <c r="B2347" s="16">
        <v>45672</v>
      </c>
      <c r="C2347">
        <v>8.6</v>
      </c>
      <c r="D2347">
        <v>0</v>
      </c>
      <c r="E2347" t="s">
        <v>6132</v>
      </c>
    </row>
    <row r="2348" spans="1:5" x14ac:dyDescent="0.35">
      <c r="A2348" t="s">
        <v>45</v>
      </c>
      <c r="B2348" s="16">
        <v>45673</v>
      </c>
      <c r="C2348">
        <v>4.3</v>
      </c>
      <c r="D2348">
        <v>0</v>
      </c>
      <c r="E2348" t="s">
        <v>6134</v>
      </c>
    </row>
    <row r="2349" spans="1:5" x14ac:dyDescent="0.35">
      <c r="A2349" t="s">
        <v>45</v>
      </c>
      <c r="B2349" s="16">
        <v>45674</v>
      </c>
      <c r="C2349">
        <v>8.1</v>
      </c>
      <c r="D2349">
        <v>0</v>
      </c>
      <c r="E2349" t="s">
        <v>6132</v>
      </c>
    </row>
    <row r="2350" spans="1:5" x14ac:dyDescent="0.35">
      <c r="A2350" t="s">
        <v>45</v>
      </c>
      <c r="B2350" s="16">
        <v>45677</v>
      </c>
      <c r="C2350">
        <v>5</v>
      </c>
      <c r="D2350">
        <v>2</v>
      </c>
      <c r="E2350" t="s">
        <v>6132</v>
      </c>
    </row>
    <row r="2351" spans="1:5" x14ac:dyDescent="0.35">
      <c r="A2351" t="s">
        <v>45</v>
      </c>
      <c r="B2351" s="16">
        <v>45679</v>
      </c>
      <c r="C2351">
        <v>5.4</v>
      </c>
      <c r="D2351">
        <v>0</v>
      </c>
      <c r="E2351" t="s">
        <v>6132</v>
      </c>
    </row>
    <row r="2352" spans="1:5" x14ac:dyDescent="0.35">
      <c r="A2352" t="s">
        <v>45</v>
      </c>
      <c r="B2352" s="16">
        <v>45680</v>
      </c>
      <c r="C2352">
        <v>8</v>
      </c>
      <c r="D2352">
        <v>0</v>
      </c>
      <c r="E2352" t="s">
        <v>6132</v>
      </c>
    </row>
    <row r="2353" spans="1:5" x14ac:dyDescent="0.35">
      <c r="A2353" t="s">
        <v>45</v>
      </c>
      <c r="B2353" s="16">
        <v>45681</v>
      </c>
      <c r="C2353">
        <v>6.2</v>
      </c>
      <c r="D2353">
        <v>2</v>
      </c>
      <c r="E2353" t="s">
        <v>6132</v>
      </c>
    </row>
    <row r="2354" spans="1:5" x14ac:dyDescent="0.35">
      <c r="A2354" t="s">
        <v>45</v>
      </c>
      <c r="B2354" s="16">
        <v>45684</v>
      </c>
      <c r="C2354">
        <v>6.1</v>
      </c>
      <c r="D2354">
        <v>1</v>
      </c>
      <c r="E2354" t="s">
        <v>6132</v>
      </c>
    </row>
    <row r="2355" spans="1:5" x14ac:dyDescent="0.35">
      <c r="A2355" t="s">
        <v>45</v>
      </c>
      <c r="B2355" s="16">
        <v>45685</v>
      </c>
      <c r="C2355">
        <v>7.5</v>
      </c>
      <c r="D2355">
        <v>0</v>
      </c>
      <c r="E2355" t="s">
        <v>6133</v>
      </c>
    </row>
    <row r="2356" spans="1:5" x14ac:dyDescent="0.35">
      <c r="A2356" t="s">
        <v>45</v>
      </c>
      <c r="B2356" s="16">
        <v>45686</v>
      </c>
      <c r="C2356">
        <v>8.1999999999999993</v>
      </c>
      <c r="D2356">
        <v>0</v>
      </c>
      <c r="E2356" t="s">
        <v>6132</v>
      </c>
    </row>
    <row r="2357" spans="1:5" x14ac:dyDescent="0.35">
      <c r="A2357" t="s">
        <v>45</v>
      </c>
      <c r="B2357" s="16">
        <v>45691</v>
      </c>
      <c r="C2357">
        <v>6.1</v>
      </c>
      <c r="D2357">
        <v>1</v>
      </c>
      <c r="E2357" t="s">
        <v>6132</v>
      </c>
    </row>
    <row r="2358" spans="1:5" x14ac:dyDescent="0.35">
      <c r="A2358" t="s">
        <v>45</v>
      </c>
      <c r="B2358" s="16">
        <v>45692</v>
      </c>
      <c r="C2358">
        <v>5.5</v>
      </c>
      <c r="D2358">
        <v>1</v>
      </c>
      <c r="E2358" t="s">
        <v>6132</v>
      </c>
    </row>
    <row r="2359" spans="1:5" x14ac:dyDescent="0.35">
      <c r="A2359" t="s">
        <v>45</v>
      </c>
      <c r="B2359" s="16">
        <v>45693</v>
      </c>
      <c r="C2359">
        <v>6.4</v>
      </c>
      <c r="D2359">
        <v>0</v>
      </c>
      <c r="E2359" t="s">
        <v>6132</v>
      </c>
    </row>
    <row r="2360" spans="1:5" x14ac:dyDescent="0.35">
      <c r="A2360" t="s">
        <v>45</v>
      </c>
      <c r="B2360" s="16">
        <v>45694</v>
      </c>
      <c r="C2360">
        <v>6.9</v>
      </c>
      <c r="D2360">
        <v>0</v>
      </c>
      <c r="E2360" t="s">
        <v>6132</v>
      </c>
    </row>
    <row r="2361" spans="1:5" x14ac:dyDescent="0.35">
      <c r="A2361" t="s">
        <v>45</v>
      </c>
      <c r="B2361" s="16">
        <v>45699</v>
      </c>
      <c r="C2361">
        <v>8.6999999999999993</v>
      </c>
      <c r="D2361">
        <v>2</v>
      </c>
      <c r="E2361" t="s">
        <v>6132</v>
      </c>
    </row>
    <row r="2362" spans="1:5" x14ac:dyDescent="0.35">
      <c r="A2362" t="s">
        <v>45</v>
      </c>
      <c r="B2362" s="16">
        <v>45700</v>
      </c>
      <c r="C2362">
        <v>4.0999999999999996</v>
      </c>
      <c r="D2362">
        <v>2</v>
      </c>
      <c r="E2362" t="s">
        <v>6132</v>
      </c>
    </row>
    <row r="2363" spans="1:5" x14ac:dyDescent="0.35">
      <c r="A2363" t="s">
        <v>45</v>
      </c>
      <c r="B2363" s="16">
        <v>45701</v>
      </c>
      <c r="C2363">
        <v>4.5999999999999996</v>
      </c>
      <c r="D2363">
        <v>0</v>
      </c>
      <c r="E2363" t="s">
        <v>6132</v>
      </c>
    </row>
    <row r="2364" spans="1:5" x14ac:dyDescent="0.35">
      <c r="A2364" t="s">
        <v>45</v>
      </c>
      <c r="B2364" s="16">
        <v>45705</v>
      </c>
      <c r="C2364">
        <v>9</v>
      </c>
      <c r="D2364">
        <v>4</v>
      </c>
      <c r="E2364" t="s">
        <v>6132</v>
      </c>
    </row>
    <row r="2365" spans="1:5" x14ac:dyDescent="0.35">
      <c r="A2365" t="s">
        <v>45</v>
      </c>
      <c r="B2365" s="16">
        <v>45708</v>
      </c>
      <c r="C2365">
        <v>4.9000000000000004</v>
      </c>
      <c r="D2365">
        <v>2</v>
      </c>
      <c r="E2365" t="s">
        <v>6132</v>
      </c>
    </row>
    <row r="2366" spans="1:5" x14ac:dyDescent="0.35">
      <c r="A2366" t="s">
        <v>45</v>
      </c>
      <c r="B2366" s="16">
        <v>45716</v>
      </c>
      <c r="C2366">
        <v>4.5999999999999996</v>
      </c>
      <c r="D2366">
        <v>1</v>
      </c>
      <c r="E2366" t="s">
        <v>6132</v>
      </c>
    </row>
    <row r="2367" spans="1:5" x14ac:dyDescent="0.35">
      <c r="A2367" t="s">
        <v>45</v>
      </c>
      <c r="B2367" s="16">
        <v>45720</v>
      </c>
      <c r="C2367">
        <v>5.8</v>
      </c>
      <c r="D2367">
        <v>0</v>
      </c>
      <c r="E2367" t="s">
        <v>6132</v>
      </c>
    </row>
    <row r="2368" spans="1:5" x14ac:dyDescent="0.35">
      <c r="A2368" t="s">
        <v>45</v>
      </c>
      <c r="B2368" s="16">
        <v>45723</v>
      </c>
      <c r="C2368">
        <v>8.3000000000000007</v>
      </c>
      <c r="D2368">
        <v>5</v>
      </c>
      <c r="E2368" t="s">
        <v>6132</v>
      </c>
    </row>
    <row r="2369" spans="1:5" x14ac:dyDescent="0.35">
      <c r="A2369" t="s">
        <v>45</v>
      </c>
      <c r="B2369" s="16">
        <v>45727</v>
      </c>
      <c r="C2369">
        <v>6.1</v>
      </c>
      <c r="D2369">
        <v>2</v>
      </c>
      <c r="E2369" t="s">
        <v>6132</v>
      </c>
    </row>
    <row r="2370" spans="1:5" x14ac:dyDescent="0.35">
      <c r="A2370" t="s">
        <v>45</v>
      </c>
      <c r="B2370" s="16">
        <v>45728</v>
      </c>
      <c r="C2370">
        <v>5.8</v>
      </c>
      <c r="D2370">
        <v>0</v>
      </c>
      <c r="E2370" t="s">
        <v>6132</v>
      </c>
    </row>
    <row r="2371" spans="1:5" x14ac:dyDescent="0.35">
      <c r="A2371" t="s">
        <v>45</v>
      </c>
      <c r="B2371" s="16">
        <v>45729</v>
      </c>
      <c r="D2371">
        <v>1</v>
      </c>
      <c r="E2371" t="s">
        <v>6132</v>
      </c>
    </row>
    <row r="2372" spans="1:5" x14ac:dyDescent="0.35">
      <c r="A2372" t="s">
        <v>45</v>
      </c>
      <c r="B2372" s="16">
        <v>45730</v>
      </c>
      <c r="C2372">
        <v>7.8</v>
      </c>
      <c r="D2372">
        <v>0</v>
      </c>
      <c r="E2372" t="s">
        <v>6132</v>
      </c>
    </row>
    <row r="2373" spans="1:5" x14ac:dyDescent="0.35">
      <c r="A2373" t="s">
        <v>45</v>
      </c>
      <c r="B2373" s="16">
        <v>45733</v>
      </c>
      <c r="C2373">
        <v>7.6</v>
      </c>
      <c r="D2373">
        <v>1</v>
      </c>
      <c r="E2373" t="s">
        <v>6132</v>
      </c>
    </row>
    <row r="2374" spans="1:5" x14ac:dyDescent="0.35">
      <c r="A2374" t="s">
        <v>45</v>
      </c>
      <c r="B2374" s="16">
        <v>45735</v>
      </c>
      <c r="C2374">
        <v>7.4</v>
      </c>
      <c r="D2374">
        <v>0</v>
      </c>
      <c r="E2374" t="s">
        <v>6132</v>
      </c>
    </row>
    <row r="2375" spans="1:5" x14ac:dyDescent="0.35">
      <c r="A2375" t="s">
        <v>45</v>
      </c>
      <c r="B2375" s="16">
        <v>45737</v>
      </c>
      <c r="C2375">
        <v>6</v>
      </c>
      <c r="D2375">
        <v>0</v>
      </c>
      <c r="E2375" t="s">
        <v>6132</v>
      </c>
    </row>
    <row r="2376" spans="1:5" x14ac:dyDescent="0.35">
      <c r="A2376" t="s">
        <v>45</v>
      </c>
      <c r="B2376" s="16">
        <v>45742</v>
      </c>
      <c r="C2376">
        <v>4.5999999999999996</v>
      </c>
      <c r="D2376">
        <v>1</v>
      </c>
      <c r="E2376" t="s">
        <v>6132</v>
      </c>
    </row>
    <row r="2377" spans="1:5" x14ac:dyDescent="0.35">
      <c r="A2377" t="s">
        <v>45</v>
      </c>
      <c r="B2377" s="16">
        <v>45744</v>
      </c>
      <c r="C2377">
        <v>8.9</v>
      </c>
      <c r="D2377">
        <v>0</v>
      </c>
      <c r="E2377" t="s">
        <v>6132</v>
      </c>
    </row>
    <row r="2378" spans="1:5" x14ac:dyDescent="0.35">
      <c r="A2378" t="s">
        <v>45</v>
      </c>
      <c r="B2378" s="16">
        <v>45747</v>
      </c>
      <c r="C2378">
        <v>7.3</v>
      </c>
      <c r="D2378">
        <v>0</v>
      </c>
      <c r="E2378" t="s">
        <v>6133</v>
      </c>
    </row>
    <row r="2379" spans="1:5" x14ac:dyDescent="0.35">
      <c r="A2379" t="s">
        <v>45</v>
      </c>
      <c r="B2379" s="16">
        <v>45750</v>
      </c>
      <c r="C2379">
        <v>6.9</v>
      </c>
      <c r="D2379">
        <v>0</v>
      </c>
      <c r="E2379" t="s">
        <v>6132</v>
      </c>
    </row>
    <row r="2380" spans="1:5" x14ac:dyDescent="0.35">
      <c r="A2380" t="s">
        <v>45</v>
      </c>
      <c r="B2380" s="16">
        <v>45751</v>
      </c>
      <c r="C2380">
        <v>5</v>
      </c>
      <c r="D2380">
        <v>0</v>
      </c>
      <c r="E2380" t="s">
        <v>6132</v>
      </c>
    </row>
    <row r="2381" spans="1:5" x14ac:dyDescent="0.35">
      <c r="A2381" t="s">
        <v>45</v>
      </c>
      <c r="B2381" s="16">
        <v>45757</v>
      </c>
      <c r="C2381">
        <v>6.6</v>
      </c>
      <c r="D2381">
        <v>0</v>
      </c>
      <c r="E2381" t="s">
        <v>6132</v>
      </c>
    </row>
    <row r="2382" spans="1:5" x14ac:dyDescent="0.35">
      <c r="A2382" t="s">
        <v>45</v>
      </c>
      <c r="B2382" s="16">
        <v>45758</v>
      </c>
      <c r="C2382">
        <v>5.9</v>
      </c>
      <c r="D2382">
        <v>0</v>
      </c>
      <c r="E2382" t="s">
        <v>6132</v>
      </c>
    </row>
    <row r="2383" spans="1:5" x14ac:dyDescent="0.35">
      <c r="A2383" t="s">
        <v>45</v>
      </c>
      <c r="B2383" s="16">
        <v>45768</v>
      </c>
      <c r="C2383">
        <v>7.3</v>
      </c>
      <c r="D2383">
        <v>0</v>
      </c>
      <c r="E2383" t="s">
        <v>6132</v>
      </c>
    </row>
    <row r="2384" spans="1:5" x14ac:dyDescent="0.35">
      <c r="A2384" t="s">
        <v>45</v>
      </c>
      <c r="B2384" s="16">
        <v>45769</v>
      </c>
      <c r="C2384">
        <v>7.4</v>
      </c>
      <c r="D2384">
        <v>0</v>
      </c>
      <c r="E2384" t="s">
        <v>6132</v>
      </c>
    </row>
    <row r="2385" spans="1:5" x14ac:dyDescent="0.35">
      <c r="A2385" t="s">
        <v>45</v>
      </c>
      <c r="B2385" s="16">
        <v>45771</v>
      </c>
      <c r="C2385">
        <v>5.8</v>
      </c>
      <c r="D2385">
        <v>0</v>
      </c>
      <c r="E2385" t="s">
        <v>6132</v>
      </c>
    </row>
    <row r="2386" spans="1:5" x14ac:dyDescent="0.35">
      <c r="A2386" t="s">
        <v>45</v>
      </c>
      <c r="B2386" s="16">
        <v>45772</v>
      </c>
      <c r="C2386">
        <v>7.4</v>
      </c>
      <c r="D2386">
        <v>0</v>
      </c>
      <c r="E2386" t="s">
        <v>6133</v>
      </c>
    </row>
    <row r="2387" spans="1:5" x14ac:dyDescent="0.35">
      <c r="A2387" t="s">
        <v>45</v>
      </c>
      <c r="B2387" s="16">
        <v>45775</v>
      </c>
      <c r="C2387">
        <v>6</v>
      </c>
      <c r="D2387">
        <v>1</v>
      </c>
      <c r="E2387" t="s">
        <v>6132</v>
      </c>
    </row>
    <row r="2388" spans="1:5" x14ac:dyDescent="0.35">
      <c r="A2388" t="s">
        <v>45</v>
      </c>
      <c r="B2388" s="16">
        <v>45776</v>
      </c>
      <c r="C2388">
        <v>6.6</v>
      </c>
      <c r="D2388">
        <v>0</v>
      </c>
      <c r="E2388" t="s">
        <v>6134</v>
      </c>
    </row>
    <row r="2389" spans="1:5" x14ac:dyDescent="0.35">
      <c r="A2389" t="s">
        <v>45</v>
      </c>
      <c r="B2389" s="16">
        <v>45778</v>
      </c>
      <c r="C2389">
        <v>7.4</v>
      </c>
      <c r="D2389">
        <v>0</v>
      </c>
      <c r="E2389" t="s">
        <v>6134</v>
      </c>
    </row>
    <row r="2390" spans="1:5" x14ac:dyDescent="0.35">
      <c r="A2390" t="s">
        <v>45</v>
      </c>
      <c r="B2390" s="16">
        <v>45784</v>
      </c>
      <c r="C2390">
        <v>8.6</v>
      </c>
      <c r="D2390">
        <v>1</v>
      </c>
      <c r="E2390" t="s">
        <v>6132</v>
      </c>
    </row>
    <row r="2391" spans="1:5" x14ac:dyDescent="0.35">
      <c r="A2391" t="s">
        <v>45</v>
      </c>
      <c r="B2391" s="16">
        <v>45785</v>
      </c>
      <c r="C2391">
        <v>4.0999999999999996</v>
      </c>
      <c r="D2391">
        <v>1</v>
      </c>
      <c r="E2391" t="s">
        <v>6132</v>
      </c>
    </row>
    <row r="2392" spans="1:5" x14ac:dyDescent="0.35">
      <c r="A2392" t="s">
        <v>45</v>
      </c>
      <c r="B2392" s="16">
        <v>45786</v>
      </c>
      <c r="C2392">
        <v>8.1</v>
      </c>
      <c r="D2392">
        <v>1</v>
      </c>
      <c r="E2392" t="s">
        <v>6132</v>
      </c>
    </row>
    <row r="2393" spans="1:5" x14ac:dyDescent="0.35">
      <c r="A2393" t="s">
        <v>45</v>
      </c>
      <c r="B2393" s="16">
        <v>45790</v>
      </c>
      <c r="D2393">
        <v>0</v>
      </c>
      <c r="E2393" t="s">
        <v>6132</v>
      </c>
    </row>
    <row r="2394" spans="1:5" x14ac:dyDescent="0.35">
      <c r="A2394" t="s">
        <v>45</v>
      </c>
      <c r="B2394" s="16">
        <v>45791</v>
      </c>
      <c r="C2394">
        <v>6.1</v>
      </c>
      <c r="D2394">
        <v>0</v>
      </c>
      <c r="E2394" t="s">
        <v>6132</v>
      </c>
    </row>
    <row r="2395" spans="1:5" x14ac:dyDescent="0.35">
      <c r="A2395" t="s">
        <v>45</v>
      </c>
      <c r="B2395" s="16">
        <v>45792</v>
      </c>
      <c r="C2395">
        <v>7.3</v>
      </c>
      <c r="D2395">
        <v>0</v>
      </c>
      <c r="E2395" t="s">
        <v>6132</v>
      </c>
    </row>
    <row r="2396" spans="1:5" x14ac:dyDescent="0.35">
      <c r="A2396" t="s">
        <v>45</v>
      </c>
      <c r="B2396" s="16">
        <v>45797</v>
      </c>
      <c r="C2396">
        <v>8.9</v>
      </c>
      <c r="D2396">
        <v>1</v>
      </c>
      <c r="E2396" t="s">
        <v>6132</v>
      </c>
    </row>
    <row r="2397" spans="1:5" x14ac:dyDescent="0.35">
      <c r="A2397" t="s">
        <v>45</v>
      </c>
      <c r="B2397" s="16">
        <v>45799</v>
      </c>
      <c r="C2397">
        <v>8</v>
      </c>
      <c r="D2397">
        <v>0</v>
      </c>
      <c r="E2397" t="s">
        <v>6133</v>
      </c>
    </row>
    <row r="2398" spans="1:5" x14ac:dyDescent="0.35">
      <c r="A2398" t="s">
        <v>45</v>
      </c>
      <c r="B2398" s="16">
        <v>45800</v>
      </c>
      <c r="C2398">
        <v>4.3</v>
      </c>
      <c r="D2398">
        <v>1</v>
      </c>
      <c r="E2398" t="s">
        <v>6132</v>
      </c>
    </row>
    <row r="2399" spans="1:5" x14ac:dyDescent="0.35">
      <c r="A2399" t="s">
        <v>45</v>
      </c>
      <c r="B2399" s="16">
        <v>45804</v>
      </c>
      <c r="C2399">
        <v>4.7</v>
      </c>
      <c r="D2399">
        <v>0</v>
      </c>
      <c r="E2399" t="s">
        <v>6132</v>
      </c>
    </row>
    <row r="2400" spans="1:5" x14ac:dyDescent="0.35">
      <c r="A2400" t="s">
        <v>45</v>
      </c>
      <c r="B2400" s="16">
        <v>45807</v>
      </c>
      <c r="C2400">
        <v>4.4000000000000004</v>
      </c>
      <c r="D2400">
        <v>0</v>
      </c>
      <c r="E2400" t="s">
        <v>6132</v>
      </c>
    </row>
    <row r="2401" spans="1:5" x14ac:dyDescent="0.35">
      <c r="A2401" t="s">
        <v>45</v>
      </c>
      <c r="B2401" s="16">
        <v>45810</v>
      </c>
      <c r="C2401">
        <v>4.4000000000000004</v>
      </c>
      <c r="D2401">
        <v>0</v>
      </c>
      <c r="E2401" t="s">
        <v>6134</v>
      </c>
    </row>
    <row r="2402" spans="1:5" x14ac:dyDescent="0.35">
      <c r="A2402" t="s">
        <v>45</v>
      </c>
      <c r="B2402" s="16">
        <v>45812</v>
      </c>
      <c r="C2402">
        <v>5.0999999999999996</v>
      </c>
      <c r="D2402">
        <v>0</v>
      </c>
      <c r="E2402" t="s">
        <v>6132</v>
      </c>
    </row>
    <row r="2403" spans="1:5" x14ac:dyDescent="0.35">
      <c r="A2403" t="s">
        <v>45</v>
      </c>
      <c r="B2403" s="16">
        <v>45817</v>
      </c>
      <c r="C2403">
        <v>8.6</v>
      </c>
      <c r="D2403">
        <v>0</v>
      </c>
      <c r="E2403" t="s">
        <v>6132</v>
      </c>
    </row>
    <row r="2404" spans="1:5" x14ac:dyDescent="0.35">
      <c r="A2404" t="s">
        <v>45</v>
      </c>
      <c r="B2404" s="16">
        <v>45821</v>
      </c>
      <c r="C2404">
        <v>7.4</v>
      </c>
      <c r="D2404">
        <v>0</v>
      </c>
      <c r="E2404" t="s">
        <v>6132</v>
      </c>
    </row>
    <row r="2405" spans="1:5" x14ac:dyDescent="0.35">
      <c r="A2405" t="s">
        <v>45</v>
      </c>
      <c r="B2405" s="16">
        <v>45824</v>
      </c>
      <c r="C2405">
        <v>4.5</v>
      </c>
      <c r="D2405">
        <v>1</v>
      </c>
      <c r="E2405" t="s">
        <v>6132</v>
      </c>
    </row>
    <row r="2406" spans="1:5" x14ac:dyDescent="0.35">
      <c r="A2406" t="s">
        <v>45</v>
      </c>
      <c r="B2406" s="16">
        <v>45825</v>
      </c>
      <c r="D2406">
        <v>0</v>
      </c>
      <c r="E2406" t="s">
        <v>6132</v>
      </c>
    </row>
    <row r="2407" spans="1:5" x14ac:dyDescent="0.35">
      <c r="A2407" t="s">
        <v>45</v>
      </c>
      <c r="B2407" s="16">
        <v>45827</v>
      </c>
      <c r="C2407">
        <v>4.3</v>
      </c>
      <c r="D2407">
        <v>1</v>
      </c>
      <c r="E2407" t="s">
        <v>6132</v>
      </c>
    </row>
    <row r="2408" spans="1:5" x14ac:dyDescent="0.35">
      <c r="A2408" t="s">
        <v>45</v>
      </c>
      <c r="B2408" s="16">
        <v>45832</v>
      </c>
      <c r="C2408">
        <v>7.6</v>
      </c>
      <c r="D2408">
        <v>0</v>
      </c>
      <c r="E2408" t="s">
        <v>6132</v>
      </c>
    </row>
    <row r="2409" spans="1:5" x14ac:dyDescent="0.35">
      <c r="A2409" t="s">
        <v>45</v>
      </c>
      <c r="B2409" s="16">
        <v>45833</v>
      </c>
      <c r="C2409">
        <v>8.1</v>
      </c>
      <c r="D2409">
        <v>0</v>
      </c>
      <c r="E2409" t="s">
        <v>6132</v>
      </c>
    </row>
    <row r="2410" spans="1:5" x14ac:dyDescent="0.35">
      <c r="A2410" t="s">
        <v>45</v>
      </c>
      <c r="B2410" s="16">
        <v>45835</v>
      </c>
      <c r="C2410">
        <v>8.1999999999999993</v>
      </c>
      <c r="D2410">
        <v>0</v>
      </c>
      <c r="E2410" t="s">
        <v>6132</v>
      </c>
    </row>
    <row r="2411" spans="1:5" x14ac:dyDescent="0.35">
      <c r="A2411" t="s">
        <v>45</v>
      </c>
      <c r="B2411" s="16">
        <v>45839</v>
      </c>
      <c r="C2411">
        <v>7.9</v>
      </c>
      <c r="D2411">
        <v>0</v>
      </c>
      <c r="E2411" t="s">
        <v>6132</v>
      </c>
    </row>
    <row r="2412" spans="1:5" x14ac:dyDescent="0.35">
      <c r="A2412" t="s">
        <v>45</v>
      </c>
      <c r="B2412" s="16">
        <v>45840</v>
      </c>
      <c r="C2412">
        <v>5.4</v>
      </c>
      <c r="D2412">
        <v>0</v>
      </c>
      <c r="E2412" t="s">
        <v>6132</v>
      </c>
    </row>
    <row r="2413" spans="1:5" x14ac:dyDescent="0.35">
      <c r="A2413" t="s">
        <v>45</v>
      </c>
      <c r="B2413" s="16">
        <v>45842</v>
      </c>
      <c r="C2413">
        <v>6.1</v>
      </c>
      <c r="D2413">
        <v>0</v>
      </c>
      <c r="E2413" t="s">
        <v>6132</v>
      </c>
    </row>
    <row r="2414" spans="1:5" x14ac:dyDescent="0.35">
      <c r="A2414" t="s">
        <v>45</v>
      </c>
      <c r="B2414" s="16">
        <v>45847</v>
      </c>
      <c r="C2414">
        <v>5.3</v>
      </c>
      <c r="D2414">
        <v>0</v>
      </c>
      <c r="E2414" t="s">
        <v>6134</v>
      </c>
    </row>
    <row r="2415" spans="1:5" x14ac:dyDescent="0.35">
      <c r="A2415" t="s">
        <v>45</v>
      </c>
      <c r="B2415" s="16">
        <v>45848</v>
      </c>
      <c r="C2415">
        <v>8.6999999999999993</v>
      </c>
      <c r="D2415">
        <v>1</v>
      </c>
      <c r="E2415" t="s">
        <v>6132</v>
      </c>
    </row>
    <row r="2416" spans="1:5" x14ac:dyDescent="0.35">
      <c r="A2416" t="s">
        <v>45</v>
      </c>
      <c r="B2416" s="16">
        <v>45849</v>
      </c>
      <c r="C2416">
        <v>6.9</v>
      </c>
      <c r="D2416">
        <v>1</v>
      </c>
      <c r="E2416" t="s">
        <v>6132</v>
      </c>
    </row>
    <row r="2417" spans="1:5" x14ac:dyDescent="0.35">
      <c r="A2417" t="s">
        <v>45</v>
      </c>
      <c r="B2417" s="16">
        <v>45852</v>
      </c>
      <c r="C2417">
        <v>6.9</v>
      </c>
      <c r="D2417">
        <v>3</v>
      </c>
      <c r="E2417" t="s">
        <v>6132</v>
      </c>
    </row>
    <row r="2418" spans="1:5" x14ac:dyDescent="0.35">
      <c r="A2418" t="s">
        <v>45</v>
      </c>
      <c r="B2418" s="16">
        <v>45853</v>
      </c>
      <c r="C2418">
        <v>5</v>
      </c>
      <c r="D2418">
        <v>1</v>
      </c>
      <c r="E2418" t="s">
        <v>6132</v>
      </c>
    </row>
    <row r="2419" spans="1:5" x14ac:dyDescent="0.35">
      <c r="A2419" t="s">
        <v>45</v>
      </c>
      <c r="B2419" s="16">
        <v>45854</v>
      </c>
      <c r="C2419">
        <v>7</v>
      </c>
      <c r="D2419">
        <v>2</v>
      </c>
      <c r="E2419" t="s">
        <v>6132</v>
      </c>
    </row>
    <row r="2420" spans="1:5" x14ac:dyDescent="0.35">
      <c r="A2420" t="s">
        <v>45</v>
      </c>
      <c r="B2420" s="16">
        <v>45860</v>
      </c>
      <c r="C2420">
        <v>6.2</v>
      </c>
      <c r="D2420">
        <v>2</v>
      </c>
      <c r="E2420" t="s">
        <v>6132</v>
      </c>
    </row>
    <row r="2421" spans="1:5" x14ac:dyDescent="0.35">
      <c r="A2421" t="s">
        <v>45</v>
      </c>
      <c r="B2421" s="16">
        <v>45867</v>
      </c>
      <c r="C2421">
        <v>8.5</v>
      </c>
      <c r="D2421">
        <v>0</v>
      </c>
      <c r="E2421" t="s">
        <v>6132</v>
      </c>
    </row>
    <row r="2422" spans="1:5" x14ac:dyDescent="0.35">
      <c r="A2422" t="s">
        <v>45</v>
      </c>
      <c r="B2422" s="16">
        <v>45870</v>
      </c>
      <c r="C2422">
        <v>5.7</v>
      </c>
      <c r="D2422">
        <v>0</v>
      </c>
      <c r="E2422" t="s">
        <v>6132</v>
      </c>
    </row>
    <row r="2423" spans="1:5" x14ac:dyDescent="0.35">
      <c r="A2423" t="s">
        <v>45</v>
      </c>
      <c r="B2423" s="16">
        <v>45873</v>
      </c>
      <c r="C2423">
        <v>8.1</v>
      </c>
      <c r="D2423">
        <v>0</v>
      </c>
      <c r="E2423" t="s">
        <v>6132</v>
      </c>
    </row>
    <row r="2424" spans="1:5" x14ac:dyDescent="0.35">
      <c r="A2424" t="s">
        <v>45</v>
      </c>
      <c r="B2424" s="16">
        <v>45874</v>
      </c>
      <c r="C2424">
        <v>7.4</v>
      </c>
      <c r="D2424">
        <v>0</v>
      </c>
      <c r="E2424" t="s">
        <v>6132</v>
      </c>
    </row>
    <row r="2425" spans="1:5" x14ac:dyDescent="0.35">
      <c r="A2425" t="s">
        <v>45</v>
      </c>
      <c r="B2425" s="16">
        <v>45875</v>
      </c>
      <c r="C2425">
        <v>7.4</v>
      </c>
      <c r="D2425">
        <v>2</v>
      </c>
      <c r="E2425" t="s">
        <v>6132</v>
      </c>
    </row>
    <row r="2426" spans="1:5" x14ac:dyDescent="0.35">
      <c r="A2426" t="s">
        <v>45</v>
      </c>
      <c r="B2426" s="16">
        <v>45877</v>
      </c>
      <c r="C2426">
        <v>6.9</v>
      </c>
      <c r="D2426">
        <v>0</v>
      </c>
      <c r="E2426" t="s">
        <v>6132</v>
      </c>
    </row>
    <row r="2427" spans="1:5" x14ac:dyDescent="0.35">
      <c r="A2427" t="s">
        <v>45</v>
      </c>
      <c r="B2427" s="16">
        <v>45880</v>
      </c>
      <c r="C2427">
        <v>7.3</v>
      </c>
      <c r="D2427">
        <v>0</v>
      </c>
      <c r="E2427" t="s">
        <v>6132</v>
      </c>
    </row>
    <row r="2428" spans="1:5" x14ac:dyDescent="0.35">
      <c r="A2428" t="s">
        <v>45</v>
      </c>
      <c r="B2428" s="16">
        <v>45881</v>
      </c>
      <c r="C2428">
        <v>8.8000000000000007</v>
      </c>
      <c r="D2428">
        <v>1</v>
      </c>
      <c r="E2428" t="s">
        <v>6132</v>
      </c>
    </row>
    <row r="2429" spans="1:5" x14ac:dyDescent="0.35">
      <c r="A2429" t="s">
        <v>45</v>
      </c>
      <c r="B2429" s="16">
        <v>45884</v>
      </c>
      <c r="C2429">
        <v>5.5</v>
      </c>
      <c r="D2429">
        <v>1</v>
      </c>
      <c r="E2429" t="s">
        <v>6132</v>
      </c>
    </row>
    <row r="2430" spans="1:5" x14ac:dyDescent="0.35">
      <c r="A2430" t="s">
        <v>45</v>
      </c>
      <c r="B2430" s="16">
        <v>45891</v>
      </c>
      <c r="C2430">
        <v>5.2</v>
      </c>
      <c r="D2430">
        <v>0</v>
      </c>
      <c r="E2430" t="s">
        <v>6132</v>
      </c>
    </row>
    <row r="2431" spans="1:5" x14ac:dyDescent="0.35">
      <c r="A2431" t="s">
        <v>45</v>
      </c>
      <c r="B2431" s="16">
        <v>45894</v>
      </c>
      <c r="C2431">
        <v>4.8</v>
      </c>
      <c r="D2431">
        <v>2</v>
      </c>
      <c r="E2431" t="s">
        <v>6132</v>
      </c>
    </row>
    <row r="2432" spans="1:5" x14ac:dyDescent="0.35">
      <c r="A2432" t="s">
        <v>45</v>
      </c>
      <c r="B2432" s="16">
        <v>45896</v>
      </c>
      <c r="C2432">
        <v>4.3</v>
      </c>
      <c r="D2432">
        <v>1</v>
      </c>
      <c r="E2432" t="s">
        <v>6132</v>
      </c>
    </row>
    <row r="2433" spans="1:5" x14ac:dyDescent="0.35">
      <c r="A2433" t="s">
        <v>45</v>
      </c>
      <c r="B2433" s="16">
        <v>45898</v>
      </c>
      <c r="C2433">
        <v>8.1</v>
      </c>
      <c r="D2433">
        <v>1</v>
      </c>
      <c r="E2433" t="s">
        <v>6132</v>
      </c>
    </row>
    <row r="2434" spans="1:5" x14ac:dyDescent="0.35">
      <c r="A2434" t="s">
        <v>45</v>
      </c>
      <c r="B2434" s="16">
        <v>45903</v>
      </c>
      <c r="C2434">
        <v>4</v>
      </c>
      <c r="D2434">
        <v>0</v>
      </c>
      <c r="E2434" t="s">
        <v>6133</v>
      </c>
    </row>
    <row r="2435" spans="1:5" x14ac:dyDescent="0.35">
      <c r="A2435" t="s">
        <v>45</v>
      </c>
      <c r="B2435" s="16">
        <v>45909</v>
      </c>
      <c r="C2435">
        <v>5.8</v>
      </c>
      <c r="D2435">
        <v>2</v>
      </c>
      <c r="E2435" t="s">
        <v>6132</v>
      </c>
    </row>
    <row r="2436" spans="1:5" x14ac:dyDescent="0.35">
      <c r="A2436" t="s">
        <v>45</v>
      </c>
      <c r="B2436" s="16">
        <v>45910</v>
      </c>
      <c r="C2436">
        <v>5.9</v>
      </c>
      <c r="D2436">
        <v>0</v>
      </c>
      <c r="E2436" t="s">
        <v>6132</v>
      </c>
    </row>
    <row r="2437" spans="1:5" x14ac:dyDescent="0.35">
      <c r="A2437" t="s">
        <v>45</v>
      </c>
      <c r="B2437" s="16">
        <v>45918</v>
      </c>
      <c r="C2437">
        <v>8.4</v>
      </c>
      <c r="D2437">
        <v>0</v>
      </c>
      <c r="E2437" t="s">
        <v>6132</v>
      </c>
    </row>
    <row r="2438" spans="1:5" x14ac:dyDescent="0.35">
      <c r="A2438" t="s">
        <v>45</v>
      </c>
      <c r="B2438" s="16">
        <v>45919</v>
      </c>
      <c r="C2438">
        <v>7.1</v>
      </c>
      <c r="D2438">
        <v>0</v>
      </c>
      <c r="E2438" t="s">
        <v>6134</v>
      </c>
    </row>
    <row r="2439" spans="1:5" x14ac:dyDescent="0.35">
      <c r="A2439" t="s">
        <v>45</v>
      </c>
      <c r="B2439" s="16">
        <v>45922</v>
      </c>
      <c r="C2439">
        <v>7.7</v>
      </c>
      <c r="D2439">
        <v>2</v>
      </c>
      <c r="E2439" t="s">
        <v>6132</v>
      </c>
    </row>
    <row r="2440" spans="1:5" x14ac:dyDescent="0.35">
      <c r="A2440" t="s">
        <v>45</v>
      </c>
      <c r="B2440" s="16">
        <v>45924</v>
      </c>
      <c r="C2440">
        <v>5</v>
      </c>
      <c r="D2440">
        <v>4</v>
      </c>
      <c r="E2440" t="s">
        <v>6132</v>
      </c>
    </row>
    <row r="2441" spans="1:5" x14ac:dyDescent="0.35">
      <c r="A2441" t="s">
        <v>45</v>
      </c>
      <c r="B2441" s="16">
        <v>45929</v>
      </c>
      <c r="C2441">
        <v>5.9</v>
      </c>
      <c r="D2441">
        <v>2</v>
      </c>
      <c r="E2441" t="s">
        <v>6132</v>
      </c>
    </row>
    <row r="2442" spans="1:5" x14ac:dyDescent="0.35">
      <c r="A2442" t="s">
        <v>45</v>
      </c>
      <c r="B2442" s="16">
        <v>45930</v>
      </c>
      <c r="C2442">
        <v>5.4</v>
      </c>
      <c r="D2442">
        <v>4</v>
      </c>
      <c r="E2442" t="s">
        <v>6132</v>
      </c>
    </row>
    <row r="2443" spans="1:5" x14ac:dyDescent="0.35">
      <c r="A2443" t="s">
        <v>45</v>
      </c>
      <c r="B2443" s="16">
        <v>45931</v>
      </c>
      <c r="C2443">
        <v>4.4000000000000004</v>
      </c>
      <c r="D2443">
        <v>1</v>
      </c>
      <c r="E2443" t="s">
        <v>6132</v>
      </c>
    </row>
    <row r="2444" spans="1:5" x14ac:dyDescent="0.35">
      <c r="A2444" t="s">
        <v>45</v>
      </c>
      <c r="B2444" s="16">
        <v>45937</v>
      </c>
      <c r="C2444">
        <v>4.7</v>
      </c>
      <c r="D2444">
        <v>0</v>
      </c>
      <c r="E2444" t="s">
        <v>6132</v>
      </c>
    </row>
    <row r="2445" spans="1:5" x14ac:dyDescent="0.35">
      <c r="A2445" t="s">
        <v>45</v>
      </c>
      <c r="B2445" s="16">
        <v>45938</v>
      </c>
      <c r="C2445">
        <v>5.3</v>
      </c>
      <c r="D2445">
        <v>0</v>
      </c>
      <c r="E2445" t="s">
        <v>6132</v>
      </c>
    </row>
    <row r="2446" spans="1:5" x14ac:dyDescent="0.35">
      <c r="A2446" t="s">
        <v>45</v>
      </c>
      <c r="B2446" s="16">
        <v>45939</v>
      </c>
      <c r="C2446">
        <v>5.7</v>
      </c>
      <c r="D2446">
        <v>1</v>
      </c>
      <c r="E2446" t="s">
        <v>6132</v>
      </c>
    </row>
    <row r="2447" spans="1:5" x14ac:dyDescent="0.35">
      <c r="A2447" t="s">
        <v>45</v>
      </c>
      <c r="B2447" s="16">
        <v>45940</v>
      </c>
      <c r="C2447">
        <v>5.9</v>
      </c>
      <c r="D2447">
        <v>0</v>
      </c>
      <c r="E2447" t="s">
        <v>6133</v>
      </c>
    </row>
    <row r="2448" spans="1:5" x14ac:dyDescent="0.35">
      <c r="A2448" t="s">
        <v>45</v>
      </c>
      <c r="B2448" s="16">
        <v>45944</v>
      </c>
      <c r="C2448">
        <v>5</v>
      </c>
      <c r="D2448">
        <v>0</v>
      </c>
      <c r="E2448" t="s">
        <v>6134</v>
      </c>
    </row>
    <row r="2449" spans="1:5" x14ac:dyDescent="0.35">
      <c r="A2449" t="s">
        <v>45</v>
      </c>
      <c r="B2449" s="16">
        <v>45946</v>
      </c>
      <c r="C2449">
        <v>8.6</v>
      </c>
      <c r="D2449">
        <v>0</v>
      </c>
      <c r="E2449" t="s">
        <v>6134</v>
      </c>
    </row>
    <row r="2450" spans="1:5" x14ac:dyDescent="0.35">
      <c r="A2450" t="s">
        <v>45</v>
      </c>
      <c r="B2450" s="16">
        <v>45947</v>
      </c>
      <c r="C2450">
        <v>5</v>
      </c>
      <c r="D2450">
        <v>2</v>
      </c>
      <c r="E2450" t="s">
        <v>6132</v>
      </c>
    </row>
    <row r="2451" spans="1:5" x14ac:dyDescent="0.35">
      <c r="A2451" t="s">
        <v>45</v>
      </c>
      <c r="B2451" s="16">
        <v>45951</v>
      </c>
      <c r="C2451">
        <v>5.8</v>
      </c>
      <c r="D2451">
        <v>0</v>
      </c>
      <c r="E2451" t="s">
        <v>6132</v>
      </c>
    </row>
    <row r="2452" spans="1:5" x14ac:dyDescent="0.35">
      <c r="A2452" t="s">
        <v>45</v>
      </c>
      <c r="B2452" s="16">
        <v>45952</v>
      </c>
      <c r="C2452">
        <v>8.1</v>
      </c>
      <c r="D2452">
        <v>1</v>
      </c>
      <c r="E2452" t="s">
        <v>6132</v>
      </c>
    </row>
    <row r="2453" spans="1:5" x14ac:dyDescent="0.35">
      <c r="A2453" t="s">
        <v>45</v>
      </c>
      <c r="B2453" s="16">
        <v>45953</v>
      </c>
      <c r="C2453">
        <v>8.8000000000000007</v>
      </c>
      <c r="D2453">
        <v>2</v>
      </c>
      <c r="E2453" t="s">
        <v>6132</v>
      </c>
    </row>
    <row r="2454" spans="1:5" x14ac:dyDescent="0.35">
      <c r="A2454" t="s">
        <v>45</v>
      </c>
      <c r="B2454" s="16">
        <v>45954</v>
      </c>
      <c r="C2454">
        <v>7.9</v>
      </c>
      <c r="D2454">
        <v>0</v>
      </c>
      <c r="E2454" t="s">
        <v>6132</v>
      </c>
    </row>
    <row r="2455" spans="1:5" x14ac:dyDescent="0.35">
      <c r="A2455" t="s">
        <v>45</v>
      </c>
      <c r="B2455" s="16">
        <v>45957</v>
      </c>
      <c r="C2455">
        <v>4.5</v>
      </c>
      <c r="D2455">
        <v>0</v>
      </c>
      <c r="E2455" t="s">
        <v>6132</v>
      </c>
    </row>
    <row r="2456" spans="1:5" x14ac:dyDescent="0.35">
      <c r="A2456" t="s">
        <v>45</v>
      </c>
      <c r="B2456" s="16">
        <v>45960</v>
      </c>
      <c r="C2456">
        <v>4.3</v>
      </c>
      <c r="D2456">
        <v>0</v>
      </c>
      <c r="E2456" t="s">
        <v>6132</v>
      </c>
    </row>
    <row r="2457" spans="1:5" x14ac:dyDescent="0.35">
      <c r="A2457" t="s">
        <v>45</v>
      </c>
      <c r="B2457" s="16">
        <v>45961</v>
      </c>
      <c r="C2457">
        <v>4.5</v>
      </c>
      <c r="D2457">
        <v>1</v>
      </c>
      <c r="E2457" t="s">
        <v>6132</v>
      </c>
    </row>
    <row r="2458" spans="1:5" x14ac:dyDescent="0.35">
      <c r="A2458" t="s">
        <v>45</v>
      </c>
      <c r="B2458" s="16">
        <v>45965</v>
      </c>
      <c r="C2458">
        <v>8.6</v>
      </c>
      <c r="D2458">
        <v>1</v>
      </c>
      <c r="E2458" t="s">
        <v>6132</v>
      </c>
    </row>
    <row r="2459" spans="1:5" x14ac:dyDescent="0.35">
      <c r="A2459" t="s">
        <v>45</v>
      </c>
      <c r="B2459" s="16">
        <v>45966</v>
      </c>
      <c r="C2459">
        <v>7.5</v>
      </c>
      <c r="D2459">
        <v>0</v>
      </c>
      <c r="E2459" t="s">
        <v>6132</v>
      </c>
    </row>
    <row r="2460" spans="1:5" x14ac:dyDescent="0.35">
      <c r="A2460" t="s">
        <v>45</v>
      </c>
      <c r="B2460" s="16">
        <v>45973</v>
      </c>
      <c r="C2460">
        <v>7.1</v>
      </c>
      <c r="D2460">
        <v>0</v>
      </c>
      <c r="E2460" t="s">
        <v>6132</v>
      </c>
    </row>
    <row r="2461" spans="1:5" x14ac:dyDescent="0.35">
      <c r="A2461" t="s">
        <v>45</v>
      </c>
      <c r="B2461" s="16">
        <v>45975</v>
      </c>
      <c r="C2461">
        <v>5</v>
      </c>
      <c r="D2461">
        <v>0</v>
      </c>
      <c r="E2461" t="s">
        <v>6134</v>
      </c>
    </row>
    <row r="2462" spans="1:5" x14ac:dyDescent="0.35">
      <c r="A2462" t="s">
        <v>45</v>
      </c>
      <c r="B2462" s="16">
        <v>45978</v>
      </c>
      <c r="C2462">
        <v>4.2</v>
      </c>
      <c r="D2462">
        <v>4</v>
      </c>
      <c r="E2462" t="s">
        <v>6132</v>
      </c>
    </row>
    <row r="2463" spans="1:5" x14ac:dyDescent="0.35">
      <c r="A2463" t="s">
        <v>45</v>
      </c>
      <c r="B2463" s="16">
        <v>45981</v>
      </c>
      <c r="C2463">
        <v>7</v>
      </c>
      <c r="D2463">
        <v>0</v>
      </c>
      <c r="E2463" t="s">
        <v>6132</v>
      </c>
    </row>
    <row r="2464" spans="1:5" x14ac:dyDescent="0.35">
      <c r="A2464" t="s">
        <v>45</v>
      </c>
      <c r="B2464" s="16">
        <v>45982</v>
      </c>
      <c r="C2464">
        <v>7.4</v>
      </c>
      <c r="D2464">
        <v>3</v>
      </c>
      <c r="E2464" t="s">
        <v>6132</v>
      </c>
    </row>
    <row r="2465" spans="1:5" x14ac:dyDescent="0.35">
      <c r="A2465" t="s">
        <v>45</v>
      </c>
      <c r="B2465" s="16">
        <v>45986</v>
      </c>
      <c r="C2465">
        <v>4.8</v>
      </c>
      <c r="D2465">
        <v>2</v>
      </c>
      <c r="E2465" t="s">
        <v>6132</v>
      </c>
    </row>
    <row r="2466" spans="1:5" x14ac:dyDescent="0.35">
      <c r="A2466" t="s">
        <v>45</v>
      </c>
      <c r="B2466" s="16">
        <v>45988</v>
      </c>
      <c r="C2466">
        <v>8.3000000000000007</v>
      </c>
      <c r="D2466">
        <v>0</v>
      </c>
      <c r="E2466" t="s">
        <v>6132</v>
      </c>
    </row>
    <row r="2467" spans="1:5" x14ac:dyDescent="0.35">
      <c r="A2467" t="s">
        <v>45</v>
      </c>
      <c r="B2467" s="16">
        <v>45992</v>
      </c>
      <c r="C2467">
        <v>4.7</v>
      </c>
      <c r="D2467">
        <v>0</v>
      </c>
      <c r="E2467" t="s">
        <v>6133</v>
      </c>
    </row>
    <row r="2468" spans="1:5" x14ac:dyDescent="0.35">
      <c r="A2468" t="s">
        <v>45</v>
      </c>
      <c r="B2468" s="16">
        <v>46001</v>
      </c>
      <c r="C2468">
        <v>8.3000000000000007</v>
      </c>
      <c r="D2468">
        <v>3</v>
      </c>
      <c r="E2468" t="s">
        <v>6132</v>
      </c>
    </row>
    <row r="2469" spans="1:5" x14ac:dyDescent="0.35">
      <c r="A2469" t="s">
        <v>45</v>
      </c>
      <c r="B2469" s="16">
        <v>46003</v>
      </c>
      <c r="C2469">
        <v>4</v>
      </c>
      <c r="D2469">
        <v>0</v>
      </c>
      <c r="E2469" t="s">
        <v>6132</v>
      </c>
    </row>
    <row r="2470" spans="1:5" x14ac:dyDescent="0.35">
      <c r="A2470" t="s">
        <v>45</v>
      </c>
      <c r="B2470" s="16">
        <v>46008</v>
      </c>
      <c r="C2470">
        <v>6</v>
      </c>
      <c r="D2470">
        <v>0</v>
      </c>
      <c r="E2470" t="s">
        <v>6132</v>
      </c>
    </row>
    <row r="2471" spans="1:5" x14ac:dyDescent="0.35">
      <c r="A2471" t="s">
        <v>45</v>
      </c>
      <c r="B2471" s="16">
        <v>46009</v>
      </c>
      <c r="C2471">
        <v>6.8</v>
      </c>
      <c r="D2471">
        <v>2</v>
      </c>
      <c r="E2471" t="s">
        <v>6132</v>
      </c>
    </row>
    <row r="2472" spans="1:5" x14ac:dyDescent="0.35">
      <c r="A2472" t="s">
        <v>45</v>
      </c>
      <c r="B2472" s="16">
        <v>46010</v>
      </c>
      <c r="C2472">
        <v>8.1</v>
      </c>
      <c r="D2472">
        <v>0</v>
      </c>
      <c r="E2472" t="s">
        <v>6134</v>
      </c>
    </row>
    <row r="2473" spans="1:5" x14ac:dyDescent="0.35">
      <c r="A2473" t="s">
        <v>45</v>
      </c>
      <c r="B2473" s="16">
        <v>46016</v>
      </c>
      <c r="C2473">
        <v>4.2</v>
      </c>
      <c r="D2473">
        <v>0</v>
      </c>
      <c r="E2473" t="s">
        <v>6132</v>
      </c>
    </row>
    <row r="2474" spans="1:5" x14ac:dyDescent="0.35">
      <c r="A2474" t="s">
        <v>45</v>
      </c>
      <c r="B2474" s="16">
        <v>46020</v>
      </c>
      <c r="C2474">
        <v>5.4</v>
      </c>
      <c r="D2474">
        <v>1</v>
      </c>
      <c r="E2474" t="s">
        <v>6132</v>
      </c>
    </row>
    <row r="2475" spans="1:5" x14ac:dyDescent="0.35">
      <c r="A2475" t="s">
        <v>45</v>
      </c>
      <c r="B2475" s="16">
        <v>46021</v>
      </c>
      <c r="C2475">
        <v>8.9</v>
      </c>
      <c r="D2475">
        <v>2</v>
      </c>
      <c r="E2475" t="s">
        <v>6132</v>
      </c>
    </row>
    <row r="2476" spans="1:5" x14ac:dyDescent="0.35">
      <c r="A2476" t="s">
        <v>45</v>
      </c>
      <c r="B2476" s="16">
        <v>46022</v>
      </c>
      <c r="C2476">
        <v>6.3</v>
      </c>
      <c r="D2476">
        <v>0</v>
      </c>
      <c r="E2476" t="s">
        <v>6132</v>
      </c>
    </row>
    <row r="2477" spans="1:5" x14ac:dyDescent="0.35">
      <c r="A2477" t="s">
        <v>139</v>
      </c>
      <c r="B2477" s="16">
        <v>45660</v>
      </c>
      <c r="C2477">
        <v>5.3</v>
      </c>
      <c r="D2477">
        <v>1</v>
      </c>
      <c r="E2477" t="s">
        <v>6132</v>
      </c>
    </row>
    <row r="2478" spans="1:5" x14ac:dyDescent="0.35">
      <c r="A2478" t="s">
        <v>139</v>
      </c>
      <c r="B2478" s="16">
        <v>45663</v>
      </c>
      <c r="C2478">
        <v>7.2</v>
      </c>
      <c r="D2478">
        <v>0</v>
      </c>
      <c r="E2478" t="s">
        <v>6132</v>
      </c>
    </row>
    <row r="2479" spans="1:5" x14ac:dyDescent="0.35">
      <c r="A2479" t="s">
        <v>139</v>
      </c>
      <c r="B2479" s="16">
        <v>45665</v>
      </c>
      <c r="C2479">
        <v>5.4</v>
      </c>
      <c r="D2479">
        <v>1</v>
      </c>
      <c r="E2479" t="s">
        <v>6132</v>
      </c>
    </row>
    <row r="2480" spans="1:5" x14ac:dyDescent="0.35">
      <c r="A2480" t="s">
        <v>139</v>
      </c>
      <c r="B2480" s="16">
        <v>45667</v>
      </c>
      <c r="C2480">
        <v>6.7</v>
      </c>
      <c r="D2480">
        <v>3</v>
      </c>
      <c r="E2480" t="s">
        <v>6132</v>
      </c>
    </row>
    <row r="2481" spans="1:5" x14ac:dyDescent="0.35">
      <c r="A2481" t="s">
        <v>139</v>
      </c>
      <c r="B2481" s="16">
        <v>45671</v>
      </c>
      <c r="C2481">
        <v>7.8</v>
      </c>
      <c r="D2481">
        <v>0</v>
      </c>
      <c r="E2481" t="s">
        <v>6132</v>
      </c>
    </row>
    <row r="2482" spans="1:5" x14ac:dyDescent="0.35">
      <c r="A2482" t="s">
        <v>139</v>
      </c>
      <c r="B2482" s="16">
        <v>45673</v>
      </c>
      <c r="C2482">
        <v>4.3</v>
      </c>
      <c r="D2482">
        <v>1</v>
      </c>
      <c r="E2482" t="s">
        <v>6132</v>
      </c>
    </row>
    <row r="2483" spans="1:5" x14ac:dyDescent="0.35">
      <c r="A2483" t="s">
        <v>139</v>
      </c>
      <c r="B2483" s="16">
        <v>45674</v>
      </c>
      <c r="C2483">
        <v>5.8</v>
      </c>
      <c r="D2483">
        <v>1</v>
      </c>
      <c r="E2483" t="s">
        <v>6132</v>
      </c>
    </row>
    <row r="2484" spans="1:5" x14ac:dyDescent="0.35">
      <c r="A2484" t="s">
        <v>139</v>
      </c>
      <c r="B2484" s="16">
        <v>45677</v>
      </c>
      <c r="C2484">
        <v>5.0999999999999996</v>
      </c>
      <c r="D2484">
        <v>0</v>
      </c>
      <c r="E2484" t="s">
        <v>6132</v>
      </c>
    </row>
    <row r="2485" spans="1:5" x14ac:dyDescent="0.35">
      <c r="A2485" t="s">
        <v>139</v>
      </c>
      <c r="B2485" s="16">
        <v>45679</v>
      </c>
      <c r="C2485">
        <v>8.9</v>
      </c>
      <c r="D2485">
        <v>0</v>
      </c>
      <c r="E2485" t="s">
        <v>6132</v>
      </c>
    </row>
    <row r="2486" spans="1:5" x14ac:dyDescent="0.35">
      <c r="A2486" t="s">
        <v>139</v>
      </c>
      <c r="B2486" s="16">
        <v>45680</v>
      </c>
      <c r="D2486">
        <v>1</v>
      </c>
      <c r="E2486" t="s">
        <v>6132</v>
      </c>
    </row>
    <row r="2487" spans="1:5" x14ac:dyDescent="0.35">
      <c r="A2487" t="s">
        <v>139</v>
      </c>
      <c r="B2487" s="16">
        <v>45684</v>
      </c>
      <c r="C2487">
        <v>8.3000000000000007</v>
      </c>
      <c r="D2487">
        <v>1</v>
      </c>
      <c r="E2487" t="s">
        <v>6132</v>
      </c>
    </row>
    <row r="2488" spans="1:5" x14ac:dyDescent="0.35">
      <c r="A2488" t="s">
        <v>139</v>
      </c>
      <c r="B2488" s="16">
        <v>45687</v>
      </c>
      <c r="C2488">
        <v>8.4</v>
      </c>
      <c r="D2488">
        <v>1</v>
      </c>
      <c r="E2488" t="s">
        <v>6132</v>
      </c>
    </row>
    <row r="2489" spans="1:5" x14ac:dyDescent="0.35">
      <c r="A2489" t="s">
        <v>139</v>
      </c>
      <c r="B2489" s="16">
        <v>45691</v>
      </c>
      <c r="C2489">
        <v>8.6999999999999993</v>
      </c>
      <c r="D2489">
        <v>2</v>
      </c>
      <c r="E2489" t="s">
        <v>6132</v>
      </c>
    </row>
    <row r="2490" spans="1:5" x14ac:dyDescent="0.35">
      <c r="A2490" t="s">
        <v>139</v>
      </c>
      <c r="B2490" s="16">
        <v>45693</v>
      </c>
      <c r="C2490">
        <v>8.5</v>
      </c>
      <c r="D2490">
        <v>1</v>
      </c>
      <c r="E2490" t="s">
        <v>6132</v>
      </c>
    </row>
    <row r="2491" spans="1:5" x14ac:dyDescent="0.35">
      <c r="A2491" t="s">
        <v>139</v>
      </c>
      <c r="B2491" s="16">
        <v>45700</v>
      </c>
      <c r="C2491">
        <v>4.5</v>
      </c>
      <c r="D2491">
        <v>0</v>
      </c>
      <c r="E2491" t="s">
        <v>6132</v>
      </c>
    </row>
    <row r="2492" spans="1:5" x14ac:dyDescent="0.35">
      <c r="A2492" t="s">
        <v>139</v>
      </c>
      <c r="B2492" s="16">
        <v>45702</v>
      </c>
      <c r="C2492">
        <v>6.3</v>
      </c>
      <c r="D2492">
        <v>0</v>
      </c>
      <c r="E2492" t="s">
        <v>6132</v>
      </c>
    </row>
    <row r="2493" spans="1:5" x14ac:dyDescent="0.35">
      <c r="A2493" t="s">
        <v>139</v>
      </c>
      <c r="B2493" s="16">
        <v>45705</v>
      </c>
      <c r="C2493">
        <v>8.6999999999999993</v>
      </c>
      <c r="D2493">
        <v>0</v>
      </c>
      <c r="E2493" t="s">
        <v>6132</v>
      </c>
    </row>
    <row r="2494" spans="1:5" x14ac:dyDescent="0.35">
      <c r="A2494" t="s">
        <v>139</v>
      </c>
      <c r="B2494" s="16">
        <v>45706</v>
      </c>
      <c r="C2494">
        <v>6.7</v>
      </c>
      <c r="D2494">
        <v>1</v>
      </c>
      <c r="E2494" t="s">
        <v>6132</v>
      </c>
    </row>
    <row r="2495" spans="1:5" x14ac:dyDescent="0.35">
      <c r="A2495" t="s">
        <v>139</v>
      </c>
      <c r="B2495" s="16">
        <v>45713</v>
      </c>
      <c r="C2495">
        <v>8.6</v>
      </c>
      <c r="D2495">
        <v>3</v>
      </c>
      <c r="E2495" t="s">
        <v>6132</v>
      </c>
    </row>
    <row r="2496" spans="1:5" x14ac:dyDescent="0.35">
      <c r="A2496" t="s">
        <v>139</v>
      </c>
      <c r="B2496" s="16">
        <v>45714</v>
      </c>
      <c r="C2496">
        <v>5.7</v>
      </c>
      <c r="D2496">
        <v>0</v>
      </c>
      <c r="E2496" t="s">
        <v>6132</v>
      </c>
    </row>
    <row r="2497" spans="1:5" x14ac:dyDescent="0.35">
      <c r="A2497" t="s">
        <v>139</v>
      </c>
      <c r="B2497" s="16">
        <v>45719</v>
      </c>
      <c r="C2497">
        <v>6.1</v>
      </c>
      <c r="D2497">
        <v>1</v>
      </c>
      <c r="E2497" t="s">
        <v>6132</v>
      </c>
    </row>
    <row r="2498" spans="1:5" x14ac:dyDescent="0.35">
      <c r="A2498" t="s">
        <v>139</v>
      </c>
      <c r="B2498" s="16">
        <v>45721</v>
      </c>
      <c r="C2498">
        <v>4.0999999999999996</v>
      </c>
      <c r="D2498">
        <v>2</v>
      </c>
      <c r="E2498" t="s">
        <v>6132</v>
      </c>
    </row>
    <row r="2499" spans="1:5" x14ac:dyDescent="0.35">
      <c r="A2499" t="s">
        <v>139</v>
      </c>
      <c r="B2499" s="16">
        <v>45728</v>
      </c>
      <c r="C2499">
        <v>7.3</v>
      </c>
      <c r="D2499">
        <v>0</v>
      </c>
      <c r="E2499" t="s">
        <v>6132</v>
      </c>
    </row>
    <row r="2500" spans="1:5" x14ac:dyDescent="0.35">
      <c r="A2500" t="s">
        <v>139</v>
      </c>
      <c r="B2500" s="16">
        <v>45733</v>
      </c>
      <c r="C2500">
        <v>8.6999999999999993</v>
      </c>
      <c r="D2500">
        <v>1</v>
      </c>
      <c r="E2500" t="s">
        <v>6132</v>
      </c>
    </row>
    <row r="2501" spans="1:5" x14ac:dyDescent="0.35">
      <c r="A2501" t="s">
        <v>139</v>
      </c>
      <c r="B2501" s="16">
        <v>45735</v>
      </c>
      <c r="C2501">
        <v>5.5</v>
      </c>
      <c r="D2501">
        <v>1</v>
      </c>
      <c r="E2501" t="s">
        <v>6132</v>
      </c>
    </row>
    <row r="2502" spans="1:5" x14ac:dyDescent="0.35">
      <c r="A2502" t="s">
        <v>139</v>
      </c>
      <c r="B2502" s="16">
        <v>45736</v>
      </c>
      <c r="C2502">
        <v>6.2</v>
      </c>
      <c r="D2502">
        <v>1</v>
      </c>
      <c r="E2502" t="s">
        <v>6132</v>
      </c>
    </row>
    <row r="2503" spans="1:5" x14ac:dyDescent="0.35">
      <c r="A2503" t="s">
        <v>139</v>
      </c>
      <c r="B2503" s="16">
        <v>45740</v>
      </c>
      <c r="C2503">
        <v>6.4</v>
      </c>
      <c r="D2503">
        <v>0</v>
      </c>
      <c r="E2503" t="s">
        <v>6132</v>
      </c>
    </row>
    <row r="2504" spans="1:5" x14ac:dyDescent="0.35">
      <c r="A2504" t="s">
        <v>139</v>
      </c>
      <c r="B2504" s="16">
        <v>45743</v>
      </c>
      <c r="C2504">
        <v>5.7</v>
      </c>
      <c r="D2504">
        <v>2</v>
      </c>
      <c r="E2504" t="s">
        <v>6132</v>
      </c>
    </row>
    <row r="2505" spans="1:5" x14ac:dyDescent="0.35">
      <c r="A2505" t="s">
        <v>139</v>
      </c>
      <c r="B2505" s="16">
        <v>45747</v>
      </c>
      <c r="C2505">
        <v>7.2</v>
      </c>
      <c r="D2505">
        <v>0</v>
      </c>
      <c r="E2505" t="s">
        <v>6132</v>
      </c>
    </row>
    <row r="2506" spans="1:5" x14ac:dyDescent="0.35">
      <c r="A2506" t="s">
        <v>139</v>
      </c>
      <c r="B2506" s="16">
        <v>45751</v>
      </c>
      <c r="C2506">
        <v>6.1</v>
      </c>
      <c r="D2506">
        <v>2</v>
      </c>
      <c r="E2506" t="s">
        <v>6132</v>
      </c>
    </row>
    <row r="2507" spans="1:5" x14ac:dyDescent="0.35">
      <c r="A2507" t="s">
        <v>139</v>
      </c>
      <c r="B2507" s="16">
        <v>45755</v>
      </c>
      <c r="C2507">
        <v>8.4</v>
      </c>
      <c r="D2507">
        <v>2</v>
      </c>
      <c r="E2507" t="s">
        <v>6132</v>
      </c>
    </row>
    <row r="2508" spans="1:5" x14ac:dyDescent="0.35">
      <c r="A2508" t="s">
        <v>139</v>
      </c>
      <c r="B2508" s="16">
        <v>45757</v>
      </c>
      <c r="C2508">
        <v>5.9</v>
      </c>
      <c r="D2508">
        <v>0</v>
      </c>
      <c r="E2508" t="s">
        <v>6132</v>
      </c>
    </row>
    <row r="2509" spans="1:5" x14ac:dyDescent="0.35">
      <c r="A2509" t="s">
        <v>139</v>
      </c>
      <c r="B2509" s="16">
        <v>45761</v>
      </c>
      <c r="C2509">
        <v>8.6999999999999993</v>
      </c>
      <c r="D2509">
        <v>2</v>
      </c>
      <c r="E2509" t="s">
        <v>6132</v>
      </c>
    </row>
    <row r="2510" spans="1:5" x14ac:dyDescent="0.35">
      <c r="A2510" t="s">
        <v>139</v>
      </c>
      <c r="B2510" s="16">
        <v>45764</v>
      </c>
      <c r="D2510">
        <v>1</v>
      </c>
      <c r="E2510" t="s">
        <v>6132</v>
      </c>
    </row>
    <row r="2511" spans="1:5" x14ac:dyDescent="0.35">
      <c r="A2511" t="s">
        <v>139</v>
      </c>
      <c r="B2511" s="16">
        <v>45765</v>
      </c>
      <c r="C2511">
        <v>6.9</v>
      </c>
      <c r="D2511">
        <v>0</v>
      </c>
      <c r="E2511" t="s">
        <v>6132</v>
      </c>
    </row>
    <row r="2512" spans="1:5" x14ac:dyDescent="0.35">
      <c r="A2512" t="s">
        <v>139</v>
      </c>
      <c r="B2512" s="16">
        <v>45768</v>
      </c>
      <c r="C2512">
        <v>7.4</v>
      </c>
      <c r="D2512">
        <v>0</v>
      </c>
      <c r="E2512" t="s">
        <v>6132</v>
      </c>
    </row>
    <row r="2513" spans="1:5" x14ac:dyDescent="0.35">
      <c r="A2513" t="s">
        <v>139</v>
      </c>
      <c r="B2513" s="16">
        <v>45769</v>
      </c>
      <c r="C2513">
        <v>6.5</v>
      </c>
      <c r="D2513">
        <v>1</v>
      </c>
      <c r="E2513" t="s">
        <v>6132</v>
      </c>
    </row>
    <row r="2514" spans="1:5" x14ac:dyDescent="0.35">
      <c r="A2514" t="s">
        <v>139</v>
      </c>
      <c r="B2514" s="16">
        <v>45770</v>
      </c>
      <c r="C2514">
        <v>4</v>
      </c>
      <c r="D2514">
        <v>1</v>
      </c>
      <c r="E2514" t="s">
        <v>6132</v>
      </c>
    </row>
    <row r="2515" spans="1:5" x14ac:dyDescent="0.35">
      <c r="A2515" t="s">
        <v>139</v>
      </c>
      <c r="B2515" s="16">
        <v>45771</v>
      </c>
      <c r="C2515">
        <v>5.9</v>
      </c>
      <c r="D2515">
        <v>0</v>
      </c>
      <c r="E2515" t="s">
        <v>6132</v>
      </c>
    </row>
    <row r="2516" spans="1:5" x14ac:dyDescent="0.35">
      <c r="A2516" t="s">
        <v>139</v>
      </c>
      <c r="B2516" s="16">
        <v>45775</v>
      </c>
      <c r="C2516">
        <v>5.7</v>
      </c>
      <c r="D2516">
        <v>1</v>
      </c>
      <c r="E2516" t="s">
        <v>6132</v>
      </c>
    </row>
    <row r="2517" spans="1:5" x14ac:dyDescent="0.35">
      <c r="A2517" t="s">
        <v>139</v>
      </c>
      <c r="B2517" s="16">
        <v>45778</v>
      </c>
      <c r="C2517">
        <v>6</v>
      </c>
      <c r="D2517">
        <v>1</v>
      </c>
      <c r="E2517" t="s">
        <v>6132</v>
      </c>
    </row>
    <row r="2518" spans="1:5" x14ac:dyDescent="0.35">
      <c r="A2518" t="s">
        <v>139</v>
      </c>
      <c r="B2518" s="16">
        <v>45784</v>
      </c>
      <c r="C2518">
        <v>4.7</v>
      </c>
      <c r="D2518">
        <v>0</v>
      </c>
      <c r="E2518" t="s">
        <v>6133</v>
      </c>
    </row>
    <row r="2519" spans="1:5" x14ac:dyDescent="0.35">
      <c r="A2519" t="s">
        <v>139</v>
      </c>
      <c r="B2519" s="16">
        <v>45786</v>
      </c>
      <c r="C2519">
        <v>4.2</v>
      </c>
      <c r="D2519">
        <v>0</v>
      </c>
      <c r="E2519" t="s">
        <v>6133</v>
      </c>
    </row>
    <row r="2520" spans="1:5" x14ac:dyDescent="0.35">
      <c r="A2520" t="s">
        <v>139</v>
      </c>
      <c r="B2520" s="16">
        <v>45789</v>
      </c>
      <c r="C2520">
        <v>6.3</v>
      </c>
      <c r="D2520">
        <v>0</v>
      </c>
      <c r="E2520" t="s">
        <v>6134</v>
      </c>
    </row>
    <row r="2521" spans="1:5" x14ac:dyDescent="0.35">
      <c r="A2521" t="s">
        <v>139</v>
      </c>
      <c r="B2521" s="16">
        <v>45790</v>
      </c>
      <c r="C2521">
        <v>7.2</v>
      </c>
      <c r="D2521">
        <v>2</v>
      </c>
      <c r="E2521" t="s">
        <v>6132</v>
      </c>
    </row>
    <row r="2522" spans="1:5" x14ac:dyDescent="0.35">
      <c r="A2522" t="s">
        <v>139</v>
      </c>
      <c r="B2522" s="16">
        <v>45791</v>
      </c>
      <c r="C2522">
        <v>6.8</v>
      </c>
      <c r="D2522">
        <v>0</v>
      </c>
      <c r="E2522" t="s">
        <v>6132</v>
      </c>
    </row>
    <row r="2523" spans="1:5" x14ac:dyDescent="0.35">
      <c r="A2523" t="s">
        <v>139</v>
      </c>
      <c r="B2523" s="16">
        <v>45792</v>
      </c>
      <c r="C2523">
        <v>5.4</v>
      </c>
      <c r="D2523">
        <v>2</v>
      </c>
      <c r="E2523" t="s">
        <v>6132</v>
      </c>
    </row>
    <row r="2524" spans="1:5" x14ac:dyDescent="0.35">
      <c r="A2524" t="s">
        <v>139</v>
      </c>
      <c r="B2524" s="16">
        <v>45793</v>
      </c>
      <c r="C2524">
        <v>6.8</v>
      </c>
      <c r="D2524">
        <v>0</v>
      </c>
      <c r="E2524" t="s">
        <v>6132</v>
      </c>
    </row>
    <row r="2525" spans="1:5" x14ac:dyDescent="0.35">
      <c r="A2525" t="s">
        <v>139</v>
      </c>
      <c r="B2525" s="16">
        <v>45800</v>
      </c>
      <c r="C2525">
        <v>8.3000000000000007</v>
      </c>
      <c r="D2525">
        <v>1</v>
      </c>
      <c r="E2525" t="s">
        <v>6132</v>
      </c>
    </row>
    <row r="2526" spans="1:5" x14ac:dyDescent="0.35">
      <c r="A2526" t="s">
        <v>139</v>
      </c>
      <c r="B2526" s="16">
        <v>45803</v>
      </c>
      <c r="C2526">
        <v>7.1</v>
      </c>
      <c r="D2526">
        <v>0</v>
      </c>
      <c r="E2526" t="s">
        <v>6133</v>
      </c>
    </row>
    <row r="2527" spans="1:5" x14ac:dyDescent="0.35">
      <c r="A2527" t="s">
        <v>139</v>
      </c>
      <c r="B2527" s="16">
        <v>45804</v>
      </c>
      <c r="C2527">
        <v>4.2</v>
      </c>
      <c r="D2527">
        <v>0</v>
      </c>
      <c r="E2527" t="s">
        <v>6132</v>
      </c>
    </row>
    <row r="2528" spans="1:5" x14ac:dyDescent="0.35">
      <c r="A2528" t="s">
        <v>139</v>
      </c>
      <c r="B2528" s="16">
        <v>45810</v>
      </c>
      <c r="C2528">
        <v>8.4</v>
      </c>
      <c r="D2528">
        <v>1</v>
      </c>
      <c r="E2528" t="s">
        <v>6132</v>
      </c>
    </row>
    <row r="2529" spans="1:5" x14ac:dyDescent="0.35">
      <c r="A2529" t="s">
        <v>139</v>
      </c>
      <c r="B2529" s="16">
        <v>45814</v>
      </c>
      <c r="C2529">
        <v>6.9</v>
      </c>
      <c r="D2529">
        <v>0</v>
      </c>
      <c r="E2529" t="s">
        <v>6134</v>
      </c>
    </row>
    <row r="2530" spans="1:5" x14ac:dyDescent="0.35">
      <c r="A2530" t="s">
        <v>139</v>
      </c>
      <c r="B2530" s="16">
        <v>45820</v>
      </c>
      <c r="C2530">
        <v>4.2</v>
      </c>
      <c r="D2530">
        <v>2</v>
      </c>
      <c r="E2530" t="s">
        <v>6132</v>
      </c>
    </row>
    <row r="2531" spans="1:5" x14ac:dyDescent="0.35">
      <c r="A2531" t="s">
        <v>139</v>
      </c>
      <c r="B2531" s="16">
        <v>45824</v>
      </c>
      <c r="D2531">
        <v>3</v>
      </c>
      <c r="E2531" t="s">
        <v>6132</v>
      </c>
    </row>
    <row r="2532" spans="1:5" x14ac:dyDescent="0.35">
      <c r="A2532" t="s">
        <v>139</v>
      </c>
      <c r="B2532" s="16">
        <v>45826</v>
      </c>
      <c r="C2532">
        <v>7</v>
      </c>
      <c r="D2532">
        <v>1</v>
      </c>
      <c r="E2532" t="s">
        <v>6132</v>
      </c>
    </row>
    <row r="2533" spans="1:5" x14ac:dyDescent="0.35">
      <c r="A2533" t="s">
        <v>139</v>
      </c>
      <c r="B2533" s="16">
        <v>45832</v>
      </c>
      <c r="C2533">
        <v>5.3</v>
      </c>
      <c r="D2533">
        <v>0</v>
      </c>
      <c r="E2533" t="s">
        <v>6133</v>
      </c>
    </row>
    <row r="2534" spans="1:5" x14ac:dyDescent="0.35">
      <c r="A2534" t="s">
        <v>139</v>
      </c>
      <c r="B2534" s="16">
        <v>45833</v>
      </c>
      <c r="C2534">
        <v>4.5</v>
      </c>
      <c r="D2534">
        <v>1</v>
      </c>
      <c r="E2534" t="s">
        <v>6132</v>
      </c>
    </row>
    <row r="2535" spans="1:5" x14ac:dyDescent="0.35">
      <c r="A2535" t="s">
        <v>139</v>
      </c>
      <c r="B2535" s="16">
        <v>45834</v>
      </c>
      <c r="D2535">
        <v>2</v>
      </c>
      <c r="E2535" t="s">
        <v>6132</v>
      </c>
    </row>
    <row r="2536" spans="1:5" x14ac:dyDescent="0.35">
      <c r="A2536" t="s">
        <v>139</v>
      </c>
      <c r="B2536" s="16">
        <v>45839</v>
      </c>
      <c r="C2536">
        <v>5.8</v>
      </c>
      <c r="D2536">
        <v>1</v>
      </c>
      <c r="E2536" t="s">
        <v>6132</v>
      </c>
    </row>
    <row r="2537" spans="1:5" x14ac:dyDescent="0.35">
      <c r="A2537" t="s">
        <v>139</v>
      </c>
      <c r="B2537" s="16">
        <v>45841</v>
      </c>
      <c r="C2537">
        <v>9</v>
      </c>
      <c r="D2537">
        <v>0</v>
      </c>
      <c r="E2537" t="s">
        <v>6133</v>
      </c>
    </row>
    <row r="2538" spans="1:5" x14ac:dyDescent="0.35">
      <c r="A2538" t="s">
        <v>139</v>
      </c>
      <c r="B2538" s="16">
        <v>45845</v>
      </c>
      <c r="C2538">
        <v>8.3000000000000007</v>
      </c>
      <c r="D2538">
        <v>1</v>
      </c>
      <c r="E2538" t="s">
        <v>6132</v>
      </c>
    </row>
    <row r="2539" spans="1:5" x14ac:dyDescent="0.35">
      <c r="A2539" t="s">
        <v>139</v>
      </c>
      <c r="B2539" s="16">
        <v>45846</v>
      </c>
      <c r="C2539">
        <v>4.2</v>
      </c>
      <c r="D2539">
        <v>2</v>
      </c>
      <c r="E2539" t="s">
        <v>6132</v>
      </c>
    </row>
    <row r="2540" spans="1:5" x14ac:dyDescent="0.35">
      <c r="A2540" t="s">
        <v>139</v>
      </c>
      <c r="B2540" s="16">
        <v>45847</v>
      </c>
      <c r="C2540">
        <v>7.7</v>
      </c>
      <c r="D2540">
        <v>1</v>
      </c>
      <c r="E2540" t="s">
        <v>6132</v>
      </c>
    </row>
    <row r="2541" spans="1:5" x14ac:dyDescent="0.35">
      <c r="A2541" t="s">
        <v>139</v>
      </c>
      <c r="B2541" s="16">
        <v>45849</v>
      </c>
      <c r="C2541">
        <v>4.9000000000000004</v>
      </c>
      <c r="D2541">
        <v>2</v>
      </c>
      <c r="E2541" t="s">
        <v>6132</v>
      </c>
    </row>
    <row r="2542" spans="1:5" x14ac:dyDescent="0.35">
      <c r="A2542" t="s">
        <v>139</v>
      </c>
      <c r="B2542" s="16">
        <v>45852</v>
      </c>
      <c r="C2542">
        <v>4.5</v>
      </c>
      <c r="D2542">
        <v>3</v>
      </c>
      <c r="E2542" t="s">
        <v>6132</v>
      </c>
    </row>
    <row r="2543" spans="1:5" x14ac:dyDescent="0.35">
      <c r="A2543" t="s">
        <v>139</v>
      </c>
      <c r="B2543" s="16">
        <v>45854</v>
      </c>
      <c r="C2543">
        <v>6.6</v>
      </c>
      <c r="D2543">
        <v>0</v>
      </c>
      <c r="E2543" t="s">
        <v>6132</v>
      </c>
    </row>
    <row r="2544" spans="1:5" x14ac:dyDescent="0.35">
      <c r="A2544" t="s">
        <v>139</v>
      </c>
      <c r="B2544" s="16">
        <v>45856</v>
      </c>
      <c r="C2544">
        <v>7.3</v>
      </c>
      <c r="D2544">
        <v>3</v>
      </c>
      <c r="E2544" t="s">
        <v>6132</v>
      </c>
    </row>
    <row r="2545" spans="1:5" x14ac:dyDescent="0.35">
      <c r="A2545" t="s">
        <v>139</v>
      </c>
      <c r="B2545" s="16">
        <v>45859</v>
      </c>
      <c r="C2545">
        <v>5.2</v>
      </c>
      <c r="D2545">
        <v>2</v>
      </c>
      <c r="E2545" t="s">
        <v>6132</v>
      </c>
    </row>
    <row r="2546" spans="1:5" x14ac:dyDescent="0.35">
      <c r="A2546" t="s">
        <v>139</v>
      </c>
      <c r="B2546" s="16">
        <v>45860</v>
      </c>
      <c r="C2546">
        <v>5.6</v>
      </c>
      <c r="D2546">
        <v>0</v>
      </c>
      <c r="E2546" t="s">
        <v>6132</v>
      </c>
    </row>
    <row r="2547" spans="1:5" x14ac:dyDescent="0.35">
      <c r="A2547" t="s">
        <v>139</v>
      </c>
      <c r="B2547" s="16">
        <v>45861</v>
      </c>
      <c r="D2547">
        <v>0</v>
      </c>
      <c r="E2547" t="s">
        <v>6132</v>
      </c>
    </row>
    <row r="2548" spans="1:5" x14ac:dyDescent="0.35">
      <c r="A2548" t="s">
        <v>139</v>
      </c>
      <c r="B2548" s="16">
        <v>45862</v>
      </c>
      <c r="C2548">
        <v>8.6</v>
      </c>
      <c r="D2548">
        <v>2</v>
      </c>
      <c r="E2548" t="s">
        <v>6132</v>
      </c>
    </row>
    <row r="2549" spans="1:5" x14ac:dyDescent="0.35">
      <c r="A2549" t="s">
        <v>139</v>
      </c>
      <c r="B2549" s="16">
        <v>45863</v>
      </c>
      <c r="C2549">
        <v>6.4</v>
      </c>
      <c r="D2549">
        <v>3</v>
      </c>
      <c r="E2549" t="s">
        <v>6132</v>
      </c>
    </row>
    <row r="2550" spans="1:5" x14ac:dyDescent="0.35">
      <c r="A2550" t="s">
        <v>139</v>
      </c>
      <c r="B2550" s="16">
        <v>45868</v>
      </c>
      <c r="C2550">
        <v>4.7</v>
      </c>
      <c r="D2550">
        <v>0</v>
      </c>
      <c r="E2550" t="s">
        <v>6132</v>
      </c>
    </row>
    <row r="2551" spans="1:5" x14ac:dyDescent="0.35">
      <c r="A2551" t="s">
        <v>139</v>
      </c>
      <c r="B2551" s="16">
        <v>45875</v>
      </c>
      <c r="C2551">
        <v>6.7</v>
      </c>
      <c r="D2551">
        <v>0</v>
      </c>
      <c r="E2551" t="s">
        <v>6132</v>
      </c>
    </row>
    <row r="2552" spans="1:5" x14ac:dyDescent="0.35">
      <c r="A2552" t="s">
        <v>139</v>
      </c>
      <c r="B2552" s="16">
        <v>45877</v>
      </c>
      <c r="C2552">
        <v>4</v>
      </c>
      <c r="D2552">
        <v>0</v>
      </c>
      <c r="E2552" t="s">
        <v>6132</v>
      </c>
    </row>
    <row r="2553" spans="1:5" x14ac:dyDescent="0.35">
      <c r="A2553" t="s">
        <v>139</v>
      </c>
      <c r="B2553" s="16">
        <v>45880</v>
      </c>
      <c r="C2553">
        <v>8.6</v>
      </c>
      <c r="D2553">
        <v>0</v>
      </c>
      <c r="E2553" t="s">
        <v>6132</v>
      </c>
    </row>
    <row r="2554" spans="1:5" x14ac:dyDescent="0.35">
      <c r="A2554" t="s">
        <v>139</v>
      </c>
      <c r="B2554" s="16">
        <v>45881</v>
      </c>
      <c r="C2554">
        <v>4.5</v>
      </c>
      <c r="D2554">
        <v>2</v>
      </c>
      <c r="E2554" t="s">
        <v>6132</v>
      </c>
    </row>
    <row r="2555" spans="1:5" x14ac:dyDescent="0.35">
      <c r="A2555" t="s">
        <v>139</v>
      </c>
      <c r="B2555" s="16">
        <v>45883</v>
      </c>
      <c r="C2555">
        <v>7.2</v>
      </c>
      <c r="D2555">
        <v>0</v>
      </c>
      <c r="E2555" t="s">
        <v>6132</v>
      </c>
    </row>
    <row r="2556" spans="1:5" x14ac:dyDescent="0.35">
      <c r="A2556" t="s">
        <v>139</v>
      </c>
      <c r="B2556" s="16">
        <v>45884</v>
      </c>
      <c r="C2556">
        <v>4.7</v>
      </c>
      <c r="D2556">
        <v>0</v>
      </c>
      <c r="E2556" t="s">
        <v>6132</v>
      </c>
    </row>
    <row r="2557" spans="1:5" x14ac:dyDescent="0.35">
      <c r="A2557" t="s">
        <v>139</v>
      </c>
      <c r="B2557" s="16">
        <v>45887</v>
      </c>
      <c r="C2557">
        <v>6.1</v>
      </c>
      <c r="D2557">
        <v>1</v>
      </c>
      <c r="E2557" t="s">
        <v>6132</v>
      </c>
    </row>
    <row r="2558" spans="1:5" x14ac:dyDescent="0.35">
      <c r="A2558" t="s">
        <v>139</v>
      </c>
      <c r="B2558" s="16">
        <v>45888</v>
      </c>
      <c r="C2558">
        <v>5.9</v>
      </c>
      <c r="D2558">
        <v>2</v>
      </c>
      <c r="E2558" t="s">
        <v>6132</v>
      </c>
    </row>
    <row r="2559" spans="1:5" x14ac:dyDescent="0.35">
      <c r="A2559" t="s">
        <v>139</v>
      </c>
      <c r="B2559" s="16">
        <v>45889</v>
      </c>
      <c r="C2559">
        <v>5.4</v>
      </c>
      <c r="D2559">
        <v>1</v>
      </c>
      <c r="E2559" t="s">
        <v>6132</v>
      </c>
    </row>
    <row r="2560" spans="1:5" x14ac:dyDescent="0.35">
      <c r="A2560" t="s">
        <v>139</v>
      </c>
      <c r="B2560" s="16">
        <v>45890</v>
      </c>
      <c r="C2560">
        <v>6.6</v>
      </c>
      <c r="D2560">
        <v>1</v>
      </c>
      <c r="E2560" t="s">
        <v>6132</v>
      </c>
    </row>
    <row r="2561" spans="1:5" x14ac:dyDescent="0.35">
      <c r="A2561" t="s">
        <v>139</v>
      </c>
      <c r="B2561" s="16">
        <v>45891</v>
      </c>
      <c r="C2561">
        <v>8.8000000000000007</v>
      </c>
      <c r="D2561">
        <v>0</v>
      </c>
      <c r="E2561" t="s">
        <v>6132</v>
      </c>
    </row>
    <row r="2562" spans="1:5" x14ac:dyDescent="0.35">
      <c r="A2562" t="s">
        <v>139</v>
      </c>
      <c r="B2562" s="16">
        <v>45894</v>
      </c>
      <c r="C2562">
        <v>9</v>
      </c>
      <c r="D2562">
        <v>2</v>
      </c>
      <c r="E2562" t="s">
        <v>6132</v>
      </c>
    </row>
    <row r="2563" spans="1:5" x14ac:dyDescent="0.35">
      <c r="A2563" t="s">
        <v>139</v>
      </c>
      <c r="B2563" s="16">
        <v>45895</v>
      </c>
      <c r="C2563">
        <v>6.8</v>
      </c>
      <c r="D2563">
        <v>0</v>
      </c>
      <c r="E2563" t="s">
        <v>6132</v>
      </c>
    </row>
    <row r="2564" spans="1:5" x14ac:dyDescent="0.35">
      <c r="A2564" t="s">
        <v>139</v>
      </c>
      <c r="B2564" s="16">
        <v>45898</v>
      </c>
      <c r="C2564">
        <v>8.1</v>
      </c>
      <c r="D2564">
        <v>0</v>
      </c>
      <c r="E2564" t="s">
        <v>6132</v>
      </c>
    </row>
    <row r="2565" spans="1:5" x14ac:dyDescent="0.35">
      <c r="A2565" t="s">
        <v>139</v>
      </c>
      <c r="B2565" s="16">
        <v>45902</v>
      </c>
      <c r="C2565">
        <v>6</v>
      </c>
      <c r="D2565">
        <v>1</v>
      </c>
      <c r="E2565" t="s">
        <v>6132</v>
      </c>
    </row>
    <row r="2566" spans="1:5" x14ac:dyDescent="0.35">
      <c r="A2566" t="s">
        <v>139</v>
      </c>
      <c r="B2566" s="16">
        <v>45905</v>
      </c>
      <c r="C2566">
        <v>8.6</v>
      </c>
      <c r="D2566">
        <v>0</v>
      </c>
      <c r="E2566" t="s">
        <v>6132</v>
      </c>
    </row>
    <row r="2567" spans="1:5" x14ac:dyDescent="0.35">
      <c r="A2567" t="s">
        <v>139</v>
      </c>
      <c r="B2567" s="16">
        <v>45908</v>
      </c>
      <c r="C2567">
        <v>5.0999999999999996</v>
      </c>
      <c r="D2567">
        <v>0</v>
      </c>
      <c r="E2567" t="s">
        <v>6132</v>
      </c>
    </row>
    <row r="2568" spans="1:5" x14ac:dyDescent="0.35">
      <c r="A2568" t="s">
        <v>139</v>
      </c>
      <c r="B2568" s="16">
        <v>45910</v>
      </c>
      <c r="C2568">
        <v>5.5</v>
      </c>
      <c r="D2568">
        <v>0</v>
      </c>
      <c r="E2568" t="s">
        <v>6132</v>
      </c>
    </row>
    <row r="2569" spans="1:5" x14ac:dyDescent="0.35">
      <c r="A2569" t="s">
        <v>139</v>
      </c>
      <c r="B2569" s="16">
        <v>45911</v>
      </c>
      <c r="C2569">
        <v>6</v>
      </c>
      <c r="D2569">
        <v>2</v>
      </c>
      <c r="E2569" t="s">
        <v>6132</v>
      </c>
    </row>
    <row r="2570" spans="1:5" x14ac:dyDescent="0.35">
      <c r="A2570" t="s">
        <v>139</v>
      </c>
      <c r="B2570" s="16">
        <v>45915</v>
      </c>
      <c r="C2570">
        <v>7.3</v>
      </c>
      <c r="D2570">
        <v>0</v>
      </c>
      <c r="E2570" t="s">
        <v>6134</v>
      </c>
    </row>
    <row r="2571" spans="1:5" x14ac:dyDescent="0.35">
      <c r="A2571" t="s">
        <v>139</v>
      </c>
      <c r="B2571" s="16">
        <v>45916</v>
      </c>
      <c r="C2571">
        <v>7.6</v>
      </c>
      <c r="D2571">
        <v>1</v>
      </c>
      <c r="E2571" t="s">
        <v>6132</v>
      </c>
    </row>
    <row r="2572" spans="1:5" x14ac:dyDescent="0.35">
      <c r="A2572" t="s">
        <v>139</v>
      </c>
      <c r="B2572" s="16">
        <v>45918</v>
      </c>
      <c r="C2572">
        <v>8.1999999999999993</v>
      </c>
      <c r="D2572">
        <v>2</v>
      </c>
      <c r="E2572" t="s">
        <v>6132</v>
      </c>
    </row>
    <row r="2573" spans="1:5" x14ac:dyDescent="0.35">
      <c r="A2573" t="s">
        <v>139</v>
      </c>
      <c r="B2573" s="16">
        <v>45919</v>
      </c>
      <c r="C2573">
        <v>6.8</v>
      </c>
      <c r="D2573">
        <v>1</v>
      </c>
      <c r="E2573" t="s">
        <v>6132</v>
      </c>
    </row>
    <row r="2574" spans="1:5" x14ac:dyDescent="0.35">
      <c r="A2574" t="s">
        <v>139</v>
      </c>
      <c r="B2574" s="16">
        <v>45923</v>
      </c>
      <c r="C2574">
        <v>4.9000000000000004</v>
      </c>
      <c r="D2574">
        <v>2</v>
      </c>
      <c r="E2574" t="s">
        <v>6132</v>
      </c>
    </row>
    <row r="2575" spans="1:5" x14ac:dyDescent="0.35">
      <c r="A2575" t="s">
        <v>139</v>
      </c>
      <c r="B2575" s="16">
        <v>45925</v>
      </c>
      <c r="D2575">
        <v>3</v>
      </c>
      <c r="E2575" t="s">
        <v>6132</v>
      </c>
    </row>
    <row r="2576" spans="1:5" x14ac:dyDescent="0.35">
      <c r="A2576" t="s">
        <v>139</v>
      </c>
      <c r="B2576" s="16">
        <v>45929</v>
      </c>
      <c r="C2576">
        <v>8.1999999999999993</v>
      </c>
      <c r="D2576">
        <v>2</v>
      </c>
      <c r="E2576" t="s">
        <v>6132</v>
      </c>
    </row>
    <row r="2577" spans="1:5" x14ac:dyDescent="0.35">
      <c r="A2577" t="s">
        <v>139</v>
      </c>
      <c r="B2577" s="16">
        <v>45931</v>
      </c>
      <c r="C2577">
        <v>7.9</v>
      </c>
      <c r="D2577">
        <v>1</v>
      </c>
      <c r="E2577" t="s">
        <v>6132</v>
      </c>
    </row>
    <row r="2578" spans="1:5" x14ac:dyDescent="0.35">
      <c r="A2578" t="s">
        <v>139</v>
      </c>
      <c r="B2578" s="16">
        <v>45933</v>
      </c>
      <c r="C2578">
        <v>7.9</v>
      </c>
      <c r="D2578">
        <v>0</v>
      </c>
      <c r="E2578" t="s">
        <v>6134</v>
      </c>
    </row>
    <row r="2579" spans="1:5" x14ac:dyDescent="0.35">
      <c r="A2579" t="s">
        <v>139</v>
      </c>
      <c r="B2579" s="16">
        <v>45937</v>
      </c>
      <c r="C2579">
        <v>6.8</v>
      </c>
      <c r="D2579">
        <v>0</v>
      </c>
      <c r="E2579" t="s">
        <v>6134</v>
      </c>
    </row>
    <row r="2580" spans="1:5" x14ac:dyDescent="0.35">
      <c r="A2580" t="s">
        <v>139</v>
      </c>
      <c r="B2580" s="16">
        <v>45951</v>
      </c>
      <c r="C2580">
        <v>6.9</v>
      </c>
      <c r="D2580">
        <v>0</v>
      </c>
      <c r="E2580" t="s">
        <v>6132</v>
      </c>
    </row>
    <row r="2581" spans="1:5" x14ac:dyDescent="0.35">
      <c r="A2581" t="s">
        <v>139</v>
      </c>
      <c r="B2581" s="16">
        <v>45952</v>
      </c>
      <c r="C2581">
        <v>7.2</v>
      </c>
      <c r="D2581">
        <v>1</v>
      </c>
      <c r="E2581" t="s">
        <v>6132</v>
      </c>
    </row>
    <row r="2582" spans="1:5" x14ac:dyDescent="0.35">
      <c r="A2582" t="s">
        <v>139</v>
      </c>
      <c r="B2582" s="16">
        <v>45953</v>
      </c>
      <c r="C2582">
        <v>6.4</v>
      </c>
      <c r="D2582">
        <v>0</v>
      </c>
      <c r="E2582" t="s">
        <v>6132</v>
      </c>
    </row>
    <row r="2583" spans="1:5" x14ac:dyDescent="0.35">
      <c r="A2583" t="s">
        <v>139</v>
      </c>
      <c r="B2583" s="16">
        <v>45954</v>
      </c>
      <c r="C2583">
        <v>6.2</v>
      </c>
      <c r="D2583">
        <v>1</v>
      </c>
      <c r="E2583" t="s">
        <v>6132</v>
      </c>
    </row>
    <row r="2584" spans="1:5" x14ac:dyDescent="0.35">
      <c r="A2584" t="s">
        <v>139</v>
      </c>
      <c r="B2584" s="16">
        <v>45957</v>
      </c>
      <c r="C2584">
        <v>4.7</v>
      </c>
      <c r="D2584">
        <v>0</v>
      </c>
      <c r="E2584" t="s">
        <v>6133</v>
      </c>
    </row>
    <row r="2585" spans="1:5" x14ac:dyDescent="0.35">
      <c r="A2585" t="s">
        <v>139</v>
      </c>
      <c r="B2585" s="16">
        <v>45959</v>
      </c>
      <c r="C2585">
        <v>5.5</v>
      </c>
      <c r="D2585">
        <v>0</v>
      </c>
      <c r="E2585" t="s">
        <v>6133</v>
      </c>
    </row>
    <row r="2586" spans="1:5" x14ac:dyDescent="0.35">
      <c r="A2586" t="s">
        <v>139</v>
      </c>
      <c r="B2586" s="16">
        <v>45960</v>
      </c>
      <c r="C2586">
        <v>7.6</v>
      </c>
      <c r="D2586">
        <v>0</v>
      </c>
      <c r="E2586" t="s">
        <v>6132</v>
      </c>
    </row>
    <row r="2587" spans="1:5" x14ac:dyDescent="0.35">
      <c r="A2587" t="s">
        <v>139</v>
      </c>
      <c r="B2587" s="16">
        <v>45961</v>
      </c>
      <c r="C2587">
        <v>7.2</v>
      </c>
      <c r="D2587">
        <v>0</v>
      </c>
      <c r="E2587" t="s">
        <v>6132</v>
      </c>
    </row>
    <row r="2588" spans="1:5" x14ac:dyDescent="0.35">
      <c r="A2588" t="s">
        <v>139</v>
      </c>
      <c r="B2588" s="16">
        <v>45968</v>
      </c>
      <c r="D2588">
        <v>0</v>
      </c>
      <c r="E2588" t="s">
        <v>6132</v>
      </c>
    </row>
    <row r="2589" spans="1:5" x14ac:dyDescent="0.35">
      <c r="A2589" t="s">
        <v>139</v>
      </c>
      <c r="B2589" s="16">
        <v>45973</v>
      </c>
      <c r="C2589">
        <v>8.6</v>
      </c>
      <c r="D2589">
        <v>0</v>
      </c>
      <c r="E2589" t="s">
        <v>6132</v>
      </c>
    </row>
    <row r="2590" spans="1:5" x14ac:dyDescent="0.35">
      <c r="A2590" t="s">
        <v>139</v>
      </c>
      <c r="B2590" s="16">
        <v>45975</v>
      </c>
      <c r="C2590">
        <v>7.4</v>
      </c>
      <c r="D2590">
        <v>0</v>
      </c>
      <c r="E2590" t="s">
        <v>6132</v>
      </c>
    </row>
    <row r="2591" spans="1:5" x14ac:dyDescent="0.35">
      <c r="A2591" t="s">
        <v>139</v>
      </c>
      <c r="B2591" s="16">
        <v>45980</v>
      </c>
      <c r="C2591">
        <v>4.7</v>
      </c>
      <c r="D2591">
        <v>1</v>
      </c>
      <c r="E2591" t="s">
        <v>6132</v>
      </c>
    </row>
    <row r="2592" spans="1:5" x14ac:dyDescent="0.35">
      <c r="A2592" t="s">
        <v>139</v>
      </c>
      <c r="B2592" s="16">
        <v>45982</v>
      </c>
      <c r="C2592">
        <v>6.1</v>
      </c>
      <c r="D2592">
        <v>0</v>
      </c>
      <c r="E2592" t="s">
        <v>6132</v>
      </c>
    </row>
    <row r="2593" spans="1:5" x14ac:dyDescent="0.35">
      <c r="A2593" t="s">
        <v>139</v>
      </c>
      <c r="B2593" s="16">
        <v>45986</v>
      </c>
      <c r="C2593">
        <v>8.5</v>
      </c>
      <c r="D2593">
        <v>1</v>
      </c>
      <c r="E2593" t="s">
        <v>6132</v>
      </c>
    </row>
    <row r="2594" spans="1:5" x14ac:dyDescent="0.35">
      <c r="A2594" t="s">
        <v>139</v>
      </c>
      <c r="B2594" s="16">
        <v>45987</v>
      </c>
      <c r="C2594">
        <v>4.5999999999999996</v>
      </c>
      <c r="D2594">
        <v>0</v>
      </c>
      <c r="E2594" t="s">
        <v>6134</v>
      </c>
    </row>
    <row r="2595" spans="1:5" x14ac:dyDescent="0.35">
      <c r="A2595" t="s">
        <v>139</v>
      </c>
      <c r="B2595" s="16">
        <v>45989</v>
      </c>
      <c r="C2595">
        <v>7.1</v>
      </c>
      <c r="D2595">
        <v>0</v>
      </c>
      <c r="E2595" t="s">
        <v>6132</v>
      </c>
    </row>
    <row r="2596" spans="1:5" x14ac:dyDescent="0.35">
      <c r="A2596" t="s">
        <v>139</v>
      </c>
      <c r="B2596" s="16">
        <v>45993</v>
      </c>
      <c r="C2596">
        <v>6.8</v>
      </c>
      <c r="D2596">
        <v>0</v>
      </c>
      <c r="E2596" t="s">
        <v>6133</v>
      </c>
    </row>
    <row r="2597" spans="1:5" x14ac:dyDescent="0.35">
      <c r="A2597" t="s">
        <v>139</v>
      </c>
      <c r="B2597" s="16">
        <v>45994</v>
      </c>
      <c r="C2597">
        <v>4.5</v>
      </c>
      <c r="D2597">
        <v>3</v>
      </c>
      <c r="E2597" t="s">
        <v>6132</v>
      </c>
    </row>
    <row r="2598" spans="1:5" x14ac:dyDescent="0.35">
      <c r="A2598" t="s">
        <v>139</v>
      </c>
      <c r="B2598" s="16">
        <v>45995</v>
      </c>
      <c r="C2598">
        <v>7</v>
      </c>
      <c r="D2598">
        <v>1</v>
      </c>
      <c r="E2598" t="s">
        <v>6132</v>
      </c>
    </row>
    <row r="2599" spans="1:5" x14ac:dyDescent="0.35">
      <c r="A2599" t="s">
        <v>139</v>
      </c>
      <c r="B2599" s="16">
        <v>45999</v>
      </c>
      <c r="C2599">
        <v>8.8000000000000007</v>
      </c>
      <c r="D2599">
        <v>2</v>
      </c>
      <c r="E2599" t="s">
        <v>6132</v>
      </c>
    </row>
    <row r="2600" spans="1:5" x14ac:dyDescent="0.35">
      <c r="A2600" t="s">
        <v>139</v>
      </c>
      <c r="B2600" s="16">
        <v>46000</v>
      </c>
      <c r="C2600">
        <v>7.7</v>
      </c>
      <c r="D2600">
        <v>1</v>
      </c>
      <c r="E2600" t="s">
        <v>6132</v>
      </c>
    </row>
    <row r="2601" spans="1:5" x14ac:dyDescent="0.35">
      <c r="A2601" t="s">
        <v>139</v>
      </c>
      <c r="B2601" s="16">
        <v>46002</v>
      </c>
      <c r="C2601">
        <v>4.3</v>
      </c>
      <c r="D2601">
        <v>0</v>
      </c>
      <c r="E2601" t="s">
        <v>6132</v>
      </c>
    </row>
    <row r="2602" spans="1:5" x14ac:dyDescent="0.35">
      <c r="A2602" t="s">
        <v>139</v>
      </c>
      <c r="B2602" s="16">
        <v>46003</v>
      </c>
      <c r="C2602">
        <v>5.8</v>
      </c>
      <c r="D2602">
        <v>0</v>
      </c>
      <c r="E2602" t="s">
        <v>6132</v>
      </c>
    </row>
    <row r="2603" spans="1:5" x14ac:dyDescent="0.35">
      <c r="A2603" t="s">
        <v>139</v>
      </c>
      <c r="B2603" s="16">
        <v>46007</v>
      </c>
      <c r="C2603">
        <v>4.9000000000000004</v>
      </c>
      <c r="D2603">
        <v>0</v>
      </c>
      <c r="E2603" t="s">
        <v>6132</v>
      </c>
    </row>
    <row r="2604" spans="1:5" x14ac:dyDescent="0.35">
      <c r="A2604" t="s">
        <v>139</v>
      </c>
      <c r="B2604" s="16">
        <v>46008</v>
      </c>
      <c r="C2604">
        <v>4</v>
      </c>
      <c r="D2604">
        <v>0</v>
      </c>
      <c r="E2604" t="s">
        <v>6132</v>
      </c>
    </row>
    <row r="2605" spans="1:5" x14ac:dyDescent="0.35">
      <c r="A2605" t="s">
        <v>139</v>
      </c>
      <c r="B2605" s="16">
        <v>46009</v>
      </c>
      <c r="C2605">
        <v>5.9</v>
      </c>
      <c r="D2605">
        <v>0</v>
      </c>
      <c r="E2605" t="s">
        <v>6132</v>
      </c>
    </row>
    <row r="2606" spans="1:5" x14ac:dyDescent="0.35">
      <c r="A2606" t="s">
        <v>139</v>
      </c>
      <c r="B2606" s="16">
        <v>46014</v>
      </c>
      <c r="C2606">
        <v>5.9</v>
      </c>
      <c r="D2606">
        <v>0</v>
      </c>
      <c r="E2606" t="s">
        <v>6132</v>
      </c>
    </row>
    <row r="2607" spans="1:5" x14ac:dyDescent="0.35">
      <c r="A2607" t="s">
        <v>139</v>
      </c>
      <c r="B2607" s="16">
        <v>46015</v>
      </c>
      <c r="C2607">
        <v>5.6</v>
      </c>
      <c r="D2607">
        <v>1</v>
      </c>
      <c r="E2607" t="s">
        <v>6132</v>
      </c>
    </row>
    <row r="2608" spans="1:5" x14ac:dyDescent="0.35">
      <c r="A2608" t="s">
        <v>139</v>
      </c>
      <c r="B2608" s="16">
        <v>46021</v>
      </c>
      <c r="C2608">
        <v>6.2</v>
      </c>
      <c r="D2608">
        <v>1</v>
      </c>
      <c r="E2608" t="s">
        <v>6132</v>
      </c>
    </row>
    <row r="2609" spans="1:5" x14ac:dyDescent="0.35">
      <c r="A2609" t="s">
        <v>139</v>
      </c>
      <c r="B2609" s="16">
        <v>46022</v>
      </c>
      <c r="C2609">
        <v>6.2</v>
      </c>
      <c r="D2609">
        <v>2</v>
      </c>
      <c r="E2609" t="s">
        <v>6132</v>
      </c>
    </row>
    <row r="2610" spans="1:5" x14ac:dyDescent="0.35">
      <c r="A2610" t="s">
        <v>78</v>
      </c>
      <c r="B2610" s="16">
        <v>45663</v>
      </c>
      <c r="C2610">
        <v>5.4</v>
      </c>
      <c r="D2610">
        <v>0</v>
      </c>
      <c r="E2610" t="s">
        <v>6132</v>
      </c>
    </row>
    <row r="2611" spans="1:5" x14ac:dyDescent="0.35">
      <c r="A2611" t="s">
        <v>78</v>
      </c>
      <c r="B2611" s="16">
        <v>45664</v>
      </c>
      <c r="C2611">
        <v>7.6</v>
      </c>
      <c r="D2611">
        <v>3</v>
      </c>
      <c r="E2611" t="s">
        <v>6132</v>
      </c>
    </row>
    <row r="2612" spans="1:5" x14ac:dyDescent="0.35">
      <c r="A2612" t="s">
        <v>78</v>
      </c>
      <c r="B2612" s="16">
        <v>45666</v>
      </c>
      <c r="D2612">
        <v>0</v>
      </c>
      <c r="E2612" t="s">
        <v>6132</v>
      </c>
    </row>
    <row r="2613" spans="1:5" x14ac:dyDescent="0.35">
      <c r="A2613" t="s">
        <v>78</v>
      </c>
      <c r="B2613" s="16">
        <v>45670</v>
      </c>
      <c r="C2613">
        <v>8.8000000000000007</v>
      </c>
      <c r="D2613">
        <v>0</v>
      </c>
      <c r="E2613" t="s">
        <v>6132</v>
      </c>
    </row>
    <row r="2614" spans="1:5" x14ac:dyDescent="0.35">
      <c r="A2614" t="s">
        <v>78</v>
      </c>
      <c r="B2614" s="16">
        <v>45671</v>
      </c>
      <c r="C2614">
        <v>4.5999999999999996</v>
      </c>
      <c r="D2614">
        <v>1</v>
      </c>
      <c r="E2614" t="s">
        <v>6132</v>
      </c>
    </row>
    <row r="2615" spans="1:5" x14ac:dyDescent="0.35">
      <c r="A2615" t="s">
        <v>78</v>
      </c>
      <c r="B2615" s="16">
        <v>45672</v>
      </c>
      <c r="C2615">
        <v>8.1</v>
      </c>
      <c r="D2615">
        <v>1</v>
      </c>
      <c r="E2615" t="s">
        <v>6132</v>
      </c>
    </row>
    <row r="2616" spans="1:5" x14ac:dyDescent="0.35">
      <c r="A2616" t="s">
        <v>78</v>
      </c>
      <c r="B2616" s="16">
        <v>45674</v>
      </c>
      <c r="C2616">
        <v>7.1</v>
      </c>
      <c r="D2616">
        <v>0</v>
      </c>
      <c r="E2616" t="s">
        <v>6132</v>
      </c>
    </row>
    <row r="2617" spans="1:5" x14ac:dyDescent="0.35">
      <c r="A2617" t="s">
        <v>78</v>
      </c>
      <c r="B2617" s="16">
        <v>45680</v>
      </c>
      <c r="C2617">
        <v>7.2</v>
      </c>
      <c r="D2617">
        <v>1</v>
      </c>
      <c r="E2617" t="s">
        <v>6132</v>
      </c>
    </row>
    <row r="2618" spans="1:5" x14ac:dyDescent="0.35">
      <c r="A2618" t="s">
        <v>78</v>
      </c>
      <c r="B2618" s="16">
        <v>45685</v>
      </c>
      <c r="C2618">
        <v>8.6</v>
      </c>
      <c r="D2618">
        <v>0</v>
      </c>
      <c r="E2618" t="s">
        <v>6132</v>
      </c>
    </row>
    <row r="2619" spans="1:5" x14ac:dyDescent="0.35">
      <c r="A2619" t="s">
        <v>78</v>
      </c>
      <c r="B2619" s="16">
        <v>45686</v>
      </c>
      <c r="C2619">
        <v>5</v>
      </c>
      <c r="D2619">
        <v>1</v>
      </c>
      <c r="E2619" t="s">
        <v>6132</v>
      </c>
    </row>
    <row r="2620" spans="1:5" x14ac:dyDescent="0.35">
      <c r="A2620" t="s">
        <v>78</v>
      </c>
      <c r="B2620" s="16">
        <v>45687</v>
      </c>
      <c r="C2620">
        <v>4.5</v>
      </c>
      <c r="D2620">
        <v>1</v>
      </c>
      <c r="E2620" t="s">
        <v>6132</v>
      </c>
    </row>
    <row r="2621" spans="1:5" x14ac:dyDescent="0.35">
      <c r="A2621" t="s">
        <v>78</v>
      </c>
      <c r="B2621" s="16">
        <v>45694</v>
      </c>
      <c r="C2621">
        <v>8.5</v>
      </c>
      <c r="D2621">
        <v>2</v>
      </c>
      <c r="E2621" t="s">
        <v>6132</v>
      </c>
    </row>
    <row r="2622" spans="1:5" x14ac:dyDescent="0.35">
      <c r="A2622" t="s">
        <v>78</v>
      </c>
      <c r="B2622" s="16">
        <v>45699</v>
      </c>
      <c r="C2622">
        <v>6.4</v>
      </c>
      <c r="D2622">
        <v>1</v>
      </c>
      <c r="E2622" t="s">
        <v>6132</v>
      </c>
    </row>
    <row r="2623" spans="1:5" x14ac:dyDescent="0.35">
      <c r="A2623" t="s">
        <v>78</v>
      </c>
      <c r="B2623" s="16">
        <v>45701</v>
      </c>
      <c r="C2623">
        <v>7.2</v>
      </c>
      <c r="D2623">
        <v>1</v>
      </c>
      <c r="E2623" t="s">
        <v>6132</v>
      </c>
    </row>
    <row r="2624" spans="1:5" x14ac:dyDescent="0.35">
      <c r="A2624" t="s">
        <v>78</v>
      </c>
      <c r="B2624" s="16">
        <v>45702</v>
      </c>
      <c r="C2624">
        <v>6</v>
      </c>
      <c r="D2624">
        <v>0</v>
      </c>
      <c r="E2624" t="s">
        <v>6133</v>
      </c>
    </row>
    <row r="2625" spans="1:5" x14ac:dyDescent="0.35">
      <c r="A2625" t="s">
        <v>78</v>
      </c>
      <c r="B2625" s="16">
        <v>45706</v>
      </c>
      <c r="C2625">
        <v>4.4000000000000004</v>
      </c>
      <c r="D2625">
        <v>2</v>
      </c>
      <c r="E2625" t="s">
        <v>6132</v>
      </c>
    </row>
    <row r="2626" spans="1:5" x14ac:dyDescent="0.35">
      <c r="A2626" t="s">
        <v>78</v>
      </c>
      <c r="B2626" s="16">
        <v>45709</v>
      </c>
      <c r="C2626">
        <v>6</v>
      </c>
      <c r="D2626">
        <v>3</v>
      </c>
      <c r="E2626" t="s">
        <v>6132</v>
      </c>
    </row>
    <row r="2627" spans="1:5" x14ac:dyDescent="0.35">
      <c r="A2627" t="s">
        <v>78</v>
      </c>
      <c r="B2627" s="16">
        <v>45712</v>
      </c>
      <c r="C2627">
        <v>5.8</v>
      </c>
      <c r="D2627">
        <v>0</v>
      </c>
      <c r="E2627" t="s">
        <v>6132</v>
      </c>
    </row>
    <row r="2628" spans="1:5" x14ac:dyDescent="0.35">
      <c r="A2628" t="s">
        <v>78</v>
      </c>
      <c r="B2628" s="16">
        <v>45713</v>
      </c>
      <c r="C2628">
        <v>7.7</v>
      </c>
      <c r="D2628">
        <v>0</v>
      </c>
      <c r="E2628" t="s">
        <v>6132</v>
      </c>
    </row>
    <row r="2629" spans="1:5" x14ac:dyDescent="0.35">
      <c r="A2629" t="s">
        <v>78</v>
      </c>
      <c r="B2629" s="16">
        <v>45715</v>
      </c>
      <c r="D2629">
        <v>1</v>
      </c>
      <c r="E2629" t="s">
        <v>6132</v>
      </c>
    </row>
    <row r="2630" spans="1:5" x14ac:dyDescent="0.35">
      <c r="A2630" t="s">
        <v>78</v>
      </c>
      <c r="B2630" s="16">
        <v>45716</v>
      </c>
      <c r="C2630">
        <v>5.6</v>
      </c>
      <c r="D2630">
        <v>1</v>
      </c>
      <c r="E2630" t="s">
        <v>6132</v>
      </c>
    </row>
    <row r="2631" spans="1:5" x14ac:dyDescent="0.35">
      <c r="A2631" t="s">
        <v>78</v>
      </c>
      <c r="B2631" s="16">
        <v>45719</v>
      </c>
      <c r="C2631">
        <v>5.8</v>
      </c>
      <c r="D2631">
        <v>0</v>
      </c>
      <c r="E2631" t="s">
        <v>6132</v>
      </c>
    </row>
    <row r="2632" spans="1:5" x14ac:dyDescent="0.35">
      <c r="A2632" t="s">
        <v>78</v>
      </c>
      <c r="B2632" s="16">
        <v>45722</v>
      </c>
      <c r="C2632">
        <v>5.7</v>
      </c>
      <c r="D2632">
        <v>0</v>
      </c>
      <c r="E2632" t="s">
        <v>6132</v>
      </c>
    </row>
    <row r="2633" spans="1:5" x14ac:dyDescent="0.35">
      <c r="A2633" t="s">
        <v>78</v>
      </c>
      <c r="B2633" s="16">
        <v>45723</v>
      </c>
      <c r="C2633">
        <v>5</v>
      </c>
      <c r="D2633">
        <v>2</v>
      </c>
      <c r="E2633" t="s">
        <v>6132</v>
      </c>
    </row>
    <row r="2634" spans="1:5" x14ac:dyDescent="0.35">
      <c r="A2634" t="s">
        <v>78</v>
      </c>
      <c r="B2634" s="16">
        <v>45726</v>
      </c>
      <c r="C2634">
        <v>5.5</v>
      </c>
      <c r="D2634">
        <v>0</v>
      </c>
      <c r="E2634" t="s">
        <v>6132</v>
      </c>
    </row>
    <row r="2635" spans="1:5" x14ac:dyDescent="0.35">
      <c r="A2635" t="s">
        <v>78</v>
      </c>
      <c r="B2635" s="16">
        <v>45733</v>
      </c>
      <c r="C2635">
        <v>6.7</v>
      </c>
      <c r="D2635">
        <v>0</v>
      </c>
      <c r="E2635" t="s">
        <v>6132</v>
      </c>
    </row>
    <row r="2636" spans="1:5" x14ac:dyDescent="0.35">
      <c r="A2636" t="s">
        <v>78</v>
      </c>
      <c r="B2636" s="16">
        <v>45735</v>
      </c>
      <c r="C2636">
        <v>6.3</v>
      </c>
      <c r="D2636">
        <v>0</v>
      </c>
      <c r="E2636" t="s">
        <v>6132</v>
      </c>
    </row>
    <row r="2637" spans="1:5" x14ac:dyDescent="0.35">
      <c r="A2637" t="s">
        <v>78</v>
      </c>
      <c r="B2637" s="16">
        <v>45736</v>
      </c>
      <c r="C2637">
        <v>8</v>
      </c>
      <c r="D2637">
        <v>0</v>
      </c>
      <c r="E2637" t="s">
        <v>6132</v>
      </c>
    </row>
    <row r="2638" spans="1:5" x14ac:dyDescent="0.35">
      <c r="A2638" t="s">
        <v>78</v>
      </c>
      <c r="B2638" s="16">
        <v>45743</v>
      </c>
      <c r="C2638">
        <v>4.7</v>
      </c>
      <c r="D2638">
        <v>2</v>
      </c>
      <c r="E2638" t="s">
        <v>6132</v>
      </c>
    </row>
    <row r="2639" spans="1:5" x14ac:dyDescent="0.35">
      <c r="A2639" t="s">
        <v>78</v>
      </c>
      <c r="B2639" s="16">
        <v>45744</v>
      </c>
      <c r="C2639">
        <v>5</v>
      </c>
      <c r="D2639">
        <v>2</v>
      </c>
      <c r="E2639" t="s">
        <v>6132</v>
      </c>
    </row>
    <row r="2640" spans="1:5" x14ac:dyDescent="0.35">
      <c r="A2640" t="s">
        <v>78</v>
      </c>
      <c r="B2640" s="16">
        <v>45748</v>
      </c>
      <c r="C2640">
        <v>6.5</v>
      </c>
      <c r="D2640">
        <v>1</v>
      </c>
      <c r="E2640" t="s">
        <v>6132</v>
      </c>
    </row>
    <row r="2641" spans="1:5" x14ac:dyDescent="0.35">
      <c r="A2641" t="s">
        <v>78</v>
      </c>
      <c r="B2641" s="16">
        <v>45749</v>
      </c>
      <c r="C2641">
        <v>5.5</v>
      </c>
      <c r="D2641">
        <v>1</v>
      </c>
      <c r="E2641" t="s">
        <v>6132</v>
      </c>
    </row>
    <row r="2642" spans="1:5" x14ac:dyDescent="0.35">
      <c r="A2642" t="s">
        <v>78</v>
      </c>
      <c r="B2642" s="16">
        <v>45750</v>
      </c>
      <c r="C2642">
        <v>4.5</v>
      </c>
      <c r="D2642">
        <v>0</v>
      </c>
      <c r="E2642" t="s">
        <v>6132</v>
      </c>
    </row>
    <row r="2643" spans="1:5" x14ac:dyDescent="0.35">
      <c r="A2643" t="s">
        <v>78</v>
      </c>
      <c r="B2643" s="16">
        <v>45754</v>
      </c>
      <c r="C2643">
        <v>6.8</v>
      </c>
      <c r="D2643">
        <v>0</v>
      </c>
      <c r="E2643" t="s">
        <v>6132</v>
      </c>
    </row>
    <row r="2644" spans="1:5" x14ac:dyDescent="0.35">
      <c r="A2644" t="s">
        <v>78</v>
      </c>
      <c r="B2644" s="16">
        <v>45762</v>
      </c>
      <c r="C2644">
        <v>7.2</v>
      </c>
      <c r="D2644">
        <v>0</v>
      </c>
      <c r="E2644" t="s">
        <v>6134</v>
      </c>
    </row>
    <row r="2645" spans="1:5" x14ac:dyDescent="0.35">
      <c r="A2645" t="s">
        <v>78</v>
      </c>
      <c r="B2645" s="16">
        <v>45763</v>
      </c>
      <c r="C2645">
        <v>6.9</v>
      </c>
      <c r="D2645">
        <v>2</v>
      </c>
      <c r="E2645" t="s">
        <v>6132</v>
      </c>
    </row>
    <row r="2646" spans="1:5" x14ac:dyDescent="0.35">
      <c r="A2646" t="s">
        <v>78</v>
      </c>
      <c r="B2646" s="16">
        <v>45764</v>
      </c>
      <c r="C2646">
        <v>8</v>
      </c>
      <c r="D2646">
        <v>0</v>
      </c>
      <c r="E2646" t="s">
        <v>6132</v>
      </c>
    </row>
    <row r="2647" spans="1:5" x14ac:dyDescent="0.35">
      <c r="A2647" t="s">
        <v>78</v>
      </c>
      <c r="B2647" s="16">
        <v>45768</v>
      </c>
      <c r="C2647">
        <v>8.1999999999999993</v>
      </c>
      <c r="D2647">
        <v>1</v>
      </c>
      <c r="E2647" t="s">
        <v>6132</v>
      </c>
    </row>
    <row r="2648" spans="1:5" x14ac:dyDescent="0.35">
      <c r="A2648" t="s">
        <v>78</v>
      </c>
      <c r="B2648" s="16">
        <v>45769</v>
      </c>
      <c r="C2648">
        <v>6.8</v>
      </c>
      <c r="D2648">
        <v>0</v>
      </c>
      <c r="E2648" t="s">
        <v>6134</v>
      </c>
    </row>
    <row r="2649" spans="1:5" x14ac:dyDescent="0.35">
      <c r="A2649" t="s">
        <v>78</v>
      </c>
      <c r="B2649" s="16">
        <v>45770</v>
      </c>
      <c r="C2649">
        <v>5.5</v>
      </c>
      <c r="D2649">
        <v>0</v>
      </c>
      <c r="E2649" t="s">
        <v>6132</v>
      </c>
    </row>
    <row r="2650" spans="1:5" x14ac:dyDescent="0.35">
      <c r="A2650" t="s">
        <v>78</v>
      </c>
      <c r="B2650" s="16">
        <v>45771</v>
      </c>
      <c r="C2650">
        <v>6.6</v>
      </c>
      <c r="D2650">
        <v>2</v>
      </c>
      <c r="E2650" t="s">
        <v>6132</v>
      </c>
    </row>
    <row r="2651" spans="1:5" x14ac:dyDescent="0.35">
      <c r="A2651" t="s">
        <v>78</v>
      </c>
      <c r="B2651" s="16">
        <v>45775</v>
      </c>
      <c r="C2651">
        <v>4.3</v>
      </c>
      <c r="D2651">
        <v>0</v>
      </c>
      <c r="E2651" t="s">
        <v>6132</v>
      </c>
    </row>
    <row r="2652" spans="1:5" x14ac:dyDescent="0.35">
      <c r="A2652" t="s">
        <v>78</v>
      </c>
      <c r="B2652" s="16">
        <v>45776</v>
      </c>
      <c r="C2652">
        <v>4.2</v>
      </c>
      <c r="D2652">
        <v>0</v>
      </c>
      <c r="E2652" t="s">
        <v>6134</v>
      </c>
    </row>
    <row r="2653" spans="1:5" x14ac:dyDescent="0.35">
      <c r="A2653" t="s">
        <v>78</v>
      </c>
      <c r="B2653" s="16">
        <v>45777</v>
      </c>
      <c r="C2653">
        <v>5.9</v>
      </c>
      <c r="D2653">
        <v>0</v>
      </c>
      <c r="E2653" t="s">
        <v>6134</v>
      </c>
    </row>
    <row r="2654" spans="1:5" x14ac:dyDescent="0.35">
      <c r="A2654" t="s">
        <v>78</v>
      </c>
      <c r="B2654" s="16">
        <v>45782</v>
      </c>
      <c r="C2654">
        <v>5.7</v>
      </c>
      <c r="D2654">
        <v>1</v>
      </c>
      <c r="E2654" t="s">
        <v>6132</v>
      </c>
    </row>
    <row r="2655" spans="1:5" x14ac:dyDescent="0.35">
      <c r="A2655" t="s">
        <v>78</v>
      </c>
      <c r="B2655" s="16">
        <v>45785</v>
      </c>
      <c r="C2655">
        <v>5</v>
      </c>
      <c r="D2655">
        <v>1</v>
      </c>
      <c r="E2655" t="s">
        <v>6132</v>
      </c>
    </row>
    <row r="2656" spans="1:5" x14ac:dyDescent="0.35">
      <c r="A2656" t="s">
        <v>78</v>
      </c>
      <c r="B2656" s="16">
        <v>45786</v>
      </c>
      <c r="C2656">
        <v>4.7</v>
      </c>
      <c r="D2656">
        <v>1</v>
      </c>
      <c r="E2656" t="s">
        <v>6132</v>
      </c>
    </row>
    <row r="2657" spans="1:5" x14ac:dyDescent="0.35">
      <c r="A2657" t="s">
        <v>78</v>
      </c>
      <c r="B2657" s="16">
        <v>45789</v>
      </c>
      <c r="C2657">
        <v>8</v>
      </c>
      <c r="D2657">
        <v>0</v>
      </c>
      <c r="E2657" t="s">
        <v>6132</v>
      </c>
    </row>
    <row r="2658" spans="1:5" x14ac:dyDescent="0.35">
      <c r="A2658" t="s">
        <v>78</v>
      </c>
      <c r="B2658" s="16">
        <v>45790</v>
      </c>
      <c r="C2658">
        <v>5.5</v>
      </c>
      <c r="D2658">
        <v>0</v>
      </c>
      <c r="E2658" t="s">
        <v>6132</v>
      </c>
    </row>
    <row r="2659" spans="1:5" x14ac:dyDescent="0.35">
      <c r="A2659" t="s">
        <v>78</v>
      </c>
      <c r="B2659" s="16">
        <v>45791</v>
      </c>
      <c r="C2659">
        <v>4.2</v>
      </c>
      <c r="D2659">
        <v>0</v>
      </c>
      <c r="E2659" t="s">
        <v>6132</v>
      </c>
    </row>
    <row r="2660" spans="1:5" x14ac:dyDescent="0.35">
      <c r="A2660" t="s">
        <v>78</v>
      </c>
      <c r="B2660" s="16">
        <v>45796</v>
      </c>
      <c r="C2660">
        <v>4.4000000000000004</v>
      </c>
      <c r="D2660">
        <v>0</v>
      </c>
      <c r="E2660" t="s">
        <v>6132</v>
      </c>
    </row>
    <row r="2661" spans="1:5" x14ac:dyDescent="0.35">
      <c r="A2661" t="s">
        <v>78</v>
      </c>
      <c r="B2661" s="16">
        <v>45798</v>
      </c>
      <c r="C2661">
        <v>5.0999999999999996</v>
      </c>
      <c r="D2661">
        <v>0</v>
      </c>
      <c r="E2661" t="s">
        <v>6132</v>
      </c>
    </row>
    <row r="2662" spans="1:5" x14ac:dyDescent="0.35">
      <c r="A2662" t="s">
        <v>78</v>
      </c>
      <c r="B2662" s="16">
        <v>45803</v>
      </c>
      <c r="C2662">
        <v>5.2</v>
      </c>
      <c r="D2662">
        <v>0</v>
      </c>
      <c r="E2662" t="s">
        <v>6132</v>
      </c>
    </row>
    <row r="2663" spans="1:5" x14ac:dyDescent="0.35">
      <c r="A2663" t="s">
        <v>78</v>
      </c>
      <c r="B2663" s="16">
        <v>45805</v>
      </c>
      <c r="C2663">
        <v>8.3000000000000007</v>
      </c>
      <c r="D2663">
        <v>2</v>
      </c>
      <c r="E2663" t="s">
        <v>6132</v>
      </c>
    </row>
    <row r="2664" spans="1:5" x14ac:dyDescent="0.35">
      <c r="A2664" t="s">
        <v>78</v>
      </c>
      <c r="B2664" s="16">
        <v>45806</v>
      </c>
      <c r="C2664">
        <v>5.8</v>
      </c>
      <c r="D2664">
        <v>0</v>
      </c>
      <c r="E2664" t="s">
        <v>6132</v>
      </c>
    </row>
    <row r="2665" spans="1:5" x14ac:dyDescent="0.35">
      <c r="A2665" t="s">
        <v>78</v>
      </c>
      <c r="B2665" s="16">
        <v>45807</v>
      </c>
      <c r="C2665">
        <v>4.7</v>
      </c>
      <c r="D2665">
        <v>0</v>
      </c>
      <c r="E2665" t="s">
        <v>6132</v>
      </c>
    </row>
    <row r="2666" spans="1:5" x14ac:dyDescent="0.35">
      <c r="A2666" t="s">
        <v>78</v>
      </c>
      <c r="B2666" s="16">
        <v>45810</v>
      </c>
      <c r="C2666">
        <v>6.6</v>
      </c>
      <c r="D2666">
        <v>1</v>
      </c>
      <c r="E2666" t="s">
        <v>6132</v>
      </c>
    </row>
    <row r="2667" spans="1:5" x14ac:dyDescent="0.35">
      <c r="A2667" t="s">
        <v>78</v>
      </c>
      <c r="B2667" s="16">
        <v>45812</v>
      </c>
      <c r="C2667">
        <v>8.3000000000000007</v>
      </c>
      <c r="D2667">
        <v>1</v>
      </c>
      <c r="E2667" t="s">
        <v>6132</v>
      </c>
    </row>
    <row r="2668" spans="1:5" x14ac:dyDescent="0.35">
      <c r="A2668" t="s">
        <v>78</v>
      </c>
      <c r="B2668" s="16">
        <v>45817</v>
      </c>
      <c r="C2668">
        <v>4.3</v>
      </c>
      <c r="D2668">
        <v>1</v>
      </c>
      <c r="E2668" t="s">
        <v>6132</v>
      </c>
    </row>
    <row r="2669" spans="1:5" x14ac:dyDescent="0.35">
      <c r="A2669" t="s">
        <v>78</v>
      </c>
      <c r="B2669" s="16">
        <v>45820</v>
      </c>
      <c r="C2669">
        <v>7.2</v>
      </c>
      <c r="D2669">
        <v>0</v>
      </c>
      <c r="E2669" t="s">
        <v>6132</v>
      </c>
    </row>
    <row r="2670" spans="1:5" x14ac:dyDescent="0.35">
      <c r="A2670" t="s">
        <v>78</v>
      </c>
      <c r="B2670" s="16">
        <v>45824</v>
      </c>
      <c r="C2670">
        <v>5.3</v>
      </c>
      <c r="D2670">
        <v>0</v>
      </c>
      <c r="E2670" t="s">
        <v>6132</v>
      </c>
    </row>
    <row r="2671" spans="1:5" x14ac:dyDescent="0.35">
      <c r="A2671" t="s">
        <v>78</v>
      </c>
      <c r="B2671" s="16">
        <v>45825</v>
      </c>
      <c r="C2671">
        <v>7.4</v>
      </c>
      <c r="D2671">
        <v>0</v>
      </c>
      <c r="E2671" t="s">
        <v>6132</v>
      </c>
    </row>
    <row r="2672" spans="1:5" x14ac:dyDescent="0.35">
      <c r="A2672" t="s">
        <v>78</v>
      </c>
      <c r="B2672" s="16">
        <v>45826</v>
      </c>
      <c r="C2672">
        <v>4.5999999999999996</v>
      </c>
      <c r="D2672">
        <v>1</v>
      </c>
      <c r="E2672" t="s">
        <v>6132</v>
      </c>
    </row>
    <row r="2673" spans="1:5" x14ac:dyDescent="0.35">
      <c r="A2673" t="s">
        <v>78</v>
      </c>
      <c r="B2673" s="16">
        <v>45827</v>
      </c>
      <c r="C2673">
        <v>5.5</v>
      </c>
      <c r="D2673">
        <v>1</v>
      </c>
      <c r="E2673" t="s">
        <v>6132</v>
      </c>
    </row>
    <row r="2674" spans="1:5" x14ac:dyDescent="0.35">
      <c r="A2674" t="s">
        <v>78</v>
      </c>
      <c r="B2674" s="16">
        <v>45831</v>
      </c>
      <c r="C2674">
        <v>5.5</v>
      </c>
      <c r="D2674">
        <v>4</v>
      </c>
      <c r="E2674" t="s">
        <v>6132</v>
      </c>
    </row>
    <row r="2675" spans="1:5" x14ac:dyDescent="0.35">
      <c r="A2675" t="s">
        <v>78</v>
      </c>
      <c r="B2675" s="16">
        <v>45833</v>
      </c>
      <c r="C2675">
        <v>8.6999999999999993</v>
      </c>
      <c r="D2675">
        <v>2</v>
      </c>
      <c r="E2675" t="s">
        <v>6132</v>
      </c>
    </row>
    <row r="2676" spans="1:5" x14ac:dyDescent="0.35">
      <c r="A2676" t="s">
        <v>78</v>
      </c>
      <c r="B2676" s="16">
        <v>45835</v>
      </c>
      <c r="C2676">
        <v>6.1</v>
      </c>
      <c r="D2676">
        <v>0</v>
      </c>
      <c r="E2676" t="s">
        <v>6132</v>
      </c>
    </row>
    <row r="2677" spans="1:5" x14ac:dyDescent="0.35">
      <c r="A2677" t="s">
        <v>78</v>
      </c>
      <c r="B2677" s="16">
        <v>45842</v>
      </c>
      <c r="C2677">
        <v>8.6</v>
      </c>
      <c r="D2677">
        <v>0</v>
      </c>
      <c r="E2677" t="s">
        <v>6132</v>
      </c>
    </row>
    <row r="2678" spans="1:5" x14ac:dyDescent="0.35">
      <c r="A2678" t="s">
        <v>78</v>
      </c>
      <c r="B2678" s="16">
        <v>45849</v>
      </c>
      <c r="C2678">
        <v>8.4</v>
      </c>
      <c r="D2678">
        <v>4</v>
      </c>
      <c r="E2678" t="s">
        <v>6132</v>
      </c>
    </row>
    <row r="2679" spans="1:5" x14ac:dyDescent="0.35">
      <c r="A2679" t="s">
        <v>78</v>
      </c>
      <c r="B2679" s="16">
        <v>45852</v>
      </c>
      <c r="C2679">
        <v>4.7</v>
      </c>
      <c r="D2679">
        <v>0</v>
      </c>
      <c r="E2679" t="s">
        <v>6132</v>
      </c>
    </row>
    <row r="2680" spans="1:5" x14ac:dyDescent="0.35">
      <c r="A2680" t="s">
        <v>78</v>
      </c>
      <c r="B2680" s="16">
        <v>45853</v>
      </c>
      <c r="C2680">
        <v>5.5</v>
      </c>
      <c r="D2680">
        <v>0</v>
      </c>
      <c r="E2680" t="s">
        <v>6132</v>
      </c>
    </row>
    <row r="2681" spans="1:5" x14ac:dyDescent="0.35">
      <c r="A2681" t="s">
        <v>78</v>
      </c>
      <c r="B2681" s="16">
        <v>45854</v>
      </c>
      <c r="C2681">
        <v>4.9000000000000004</v>
      </c>
      <c r="D2681">
        <v>1</v>
      </c>
      <c r="E2681" t="s">
        <v>6132</v>
      </c>
    </row>
    <row r="2682" spans="1:5" x14ac:dyDescent="0.35">
      <c r="A2682" t="s">
        <v>78</v>
      </c>
      <c r="B2682" s="16">
        <v>45855</v>
      </c>
      <c r="C2682">
        <v>4.0999999999999996</v>
      </c>
      <c r="D2682">
        <v>2</v>
      </c>
      <c r="E2682" t="s">
        <v>6132</v>
      </c>
    </row>
    <row r="2683" spans="1:5" x14ac:dyDescent="0.35">
      <c r="A2683" t="s">
        <v>78</v>
      </c>
      <c r="B2683" s="16">
        <v>45856</v>
      </c>
      <c r="C2683">
        <v>8.8000000000000007</v>
      </c>
      <c r="D2683">
        <v>0</v>
      </c>
      <c r="E2683" t="s">
        <v>6132</v>
      </c>
    </row>
    <row r="2684" spans="1:5" x14ac:dyDescent="0.35">
      <c r="A2684" t="s">
        <v>78</v>
      </c>
      <c r="B2684" s="16">
        <v>45859</v>
      </c>
      <c r="C2684">
        <v>5.3</v>
      </c>
      <c r="D2684">
        <v>1</v>
      </c>
      <c r="E2684" t="s">
        <v>6132</v>
      </c>
    </row>
    <row r="2685" spans="1:5" x14ac:dyDescent="0.35">
      <c r="A2685" t="s">
        <v>78</v>
      </c>
      <c r="B2685" s="16">
        <v>45860</v>
      </c>
      <c r="C2685">
        <v>4.9000000000000004</v>
      </c>
      <c r="D2685">
        <v>1</v>
      </c>
      <c r="E2685" t="s">
        <v>6132</v>
      </c>
    </row>
    <row r="2686" spans="1:5" x14ac:dyDescent="0.35">
      <c r="A2686" t="s">
        <v>78</v>
      </c>
      <c r="B2686" s="16">
        <v>45863</v>
      </c>
      <c r="C2686">
        <v>6.1</v>
      </c>
      <c r="D2686">
        <v>0</v>
      </c>
      <c r="E2686" t="s">
        <v>6133</v>
      </c>
    </row>
    <row r="2687" spans="1:5" x14ac:dyDescent="0.35">
      <c r="A2687" t="s">
        <v>78</v>
      </c>
      <c r="B2687" s="16">
        <v>45867</v>
      </c>
      <c r="C2687">
        <v>6.8</v>
      </c>
      <c r="D2687">
        <v>3</v>
      </c>
      <c r="E2687" t="s">
        <v>6132</v>
      </c>
    </row>
    <row r="2688" spans="1:5" x14ac:dyDescent="0.35">
      <c r="A2688" t="s">
        <v>78</v>
      </c>
      <c r="B2688" s="16">
        <v>45868</v>
      </c>
      <c r="C2688">
        <v>6.8</v>
      </c>
      <c r="D2688">
        <v>0</v>
      </c>
      <c r="E2688" t="s">
        <v>6132</v>
      </c>
    </row>
    <row r="2689" spans="1:5" x14ac:dyDescent="0.35">
      <c r="A2689" t="s">
        <v>78</v>
      </c>
      <c r="B2689" s="16">
        <v>45869</v>
      </c>
      <c r="C2689">
        <v>8.5</v>
      </c>
      <c r="D2689">
        <v>0</v>
      </c>
      <c r="E2689" t="s">
        <v>6132</v>
      </c>
    </row>
    <row r="2690" spans="1:5" x14ac:dyDescent="0.35">
      <c r="A2690" t="s">
        <v>78</v>
      </c>
      <c r="B2690" s="16">
        <v>45873</v>
      </c>
      <c r="C2690">
        <v>6.6</v>
      </c>
      <c r="D2690">
        <v>0</v>
      </c>
      <c r="E2690" t="s">
        <v>6134</v>
      </c>
    </row>
    <row r="2691" spans="1:5" x14ac:dyDescent="0.35">
      <c r="A2691" t="s">
        <v>78</v>
      </c>
      <c r="B2691" s="16">
        <v>45874</v>
      </c>
      <c r="C2691">
        <v>5.4</v>
      </c>
      <c r="D2691">
        <v>1</v>
      </c>
      <c r="E2691" t="s">
        <v>6132</v>
      </c>
    </row>
    <row r="2692" spans="1:5" x14ac:dyDescent="0.35">
      <c r="A2692" t="s">
        <v>78</v>
      </c>
      <c r="B2692" s="16">
        <v>45877</v>
      </c>
      <c r="C2692">
        <v>4.5999999999999996</v>
      </c>
      <c r="D2692">
        <v>0</v>
      </c>
      <c r="E2692" t="s">
        <v>6132</v>
      </c>
    </row>
    <row r="2693" spans="1:5" x14ac:dyDescent="0.35">
      <c r="A2693" t="s">
        <v>78</v>
      </c>
      <c r="B2693" s="16">
        <v>45880</v>
      </c>
      <c r="C2693">
        <v>6.8</v>
      </c>
      <c r="D2693">
        <v>1</v>
      </c>
      <c r="E2693" t="s">
        <v>6132</v>
      </c>
    </row>
    <row r="2694" spans="1:5" x14ac:dyDescent="0.35">
      <c r="A2694" t="s">
        <v>78</v>
      </c>
      <c r="B2694" s="16">
        <v>45882</v>
      </c>
      <c r="C2694">
        <v>5</v>
      </c>
      <c r="D2694">
        <v>0</v>
      </c>
      <c r="E2694" t="s">
        <v>6132</v>
      </c>
    </row>
    <row r="2695" spans="1:5" x14ac:dyDescent="0.35">
      <c r="A2695" t="s">
        <v>78</v>
      </c>
      <c r="B2695" s="16">
        <v>45884</v>
      </c>
      <c r="C2695">
        <v>7.4</v>
      </c>
      <c r="D2695">
        <v>1</v>
      </c>
      <c r="E2695" t="s">
        <v>6132</v>
      </c>
    </row>
    <row r="2696" spans="1:5" x14ac:dyDescent="0.35">
      <c r="A2696" t="s">
        <v>78</v>
      </c>
      <c r="B2696" s="16">
        <v>45890</v>
      </c>
      <c r="C2696">
        <v>6.6</v>
      </c>
      <c r="D2696">
        <v>0</v>
      </c>
      <c r="E2696" t="s">
        <v>6132</v>
      </c>
    </row>
    <row r="2697" spans="1:5" x14ac:dyDescent="0.35">
      <c r="A2697" t="s">
        <v>78</v>
      </c>
      <c r="B2697" s="16">
        <v>45891</v>
      </c>
      <c r="C2697">
        <v>7.3</v>
      </c>
      <c r="D2697">
        <v>0</v>
      </c>
      <c r="E2697" t="s">
        <v>6132</v>
      </c>
    </row>
    <row r="2698" spans="1:5" x14ac:dyDescent="0.35">
      <c r="A2698" t="s">
        <v>78</v>
      </c>
      <c r="B2698" s="16">
        <v>45895</v>
      </c>
      <c r="C2698">
        <v>8.6</v>
      </c>
      <c r="D2698">
        <v>2</v>
      </c>
      <c r="E2698" t="s">
        <v>6132</v>
      </c>
    </row>
    <row r="2699" spans="1:5" x14ac:dyDescent="0.35">
      <c r="A2699" t="s">
        <v>78</v>
      </c>
      <c r="B2699" s="16">
        <v>45896</v>
      </c>
      <c r="C2699">
        <v>8.6999999999999993</v>
      </c>
      <c r="D2699">
        <v>2</v>
      </c>
      <c r="E2699" t="s">
        <v>6132</v>
      </c>
    </row>
    <row r="2700" spans="1:5" x14ac:dyDescent="0.35">
      <c r="A2700" t="s">
        <v>78</v>
      </c>
      <c r="B2700" s="16">
        <v>45898</v>
      </c>
      <c r="C2700">
        <v>4.3</v>
      </c>
      <c r="D2700">
        <v>1</v>
      </c>
      <c r="E2700" t="s">
        <v>6132</v>
      </c>
    </row>
    <row r="2701" spans="1:5" x14ac:dyDescent="0.35">
      <c r="A2701" t="s">
        <v>78</v>
      </c>
      <c r="B2701" s="16">
        <v>45902</v>
      </c>
      <c r="C2701">
        <v>4.0999999999999996</v>
      </c>
      <c r="D2701">
        <v>5</v>
      </c>
      <c r="E2701" t="s">
        <v>6132</v>
      </c>
    </row>
    <row r="2702" spans="1:5" x14ac:dyDescent="0.35">
      <c r="A2702" t="s">
        <v>78</v>
      </c>
      <c r="B2702" s="16">
        <v>45903</v>
      </c>
      <c r="C2702">
        <v>5.4</v>
      </c>
      <c r="D2702">
        <v>0</v>
      </c>
      <c r="E2702" t="s">
        <v>6132</v>
      </c>
    </row>
    <row r="2703" spans="1:5" x14ac:dyDescent="0.35">
      <c r="A2703" t="s">
        <v>78</v>
      </c>
      <c r="B2703" s="16">
        <v>45909</v>
      </c>
      <c r="C2703">
        <v>6.6</v>
      </c>
      <c r="D2703">
        <v>0</v>
      </c>
      <c r="E2703" t="s">
        <v>6132</v>
      </c>
    </row>
    <row r="2704" spans="1:5" x14ac:dyDescent="0.35">
      <c r="A2704" t="s">
        <v>78</v>
      </c>
      <c r="B2704" s="16">
        <v>45912</v>
      </c>
      <c r="C2704">
        <v>6.1</v>
      </c>
      <c r="D2704">
        <v>2</v>
      </c>
      <c r="E2704" t="s">
        <v>6132</v>
      </c>
    </row>
    <row r="2705" spans="1:5" x14ac:dyDescent="0.35">
      <c r="A2705" t="s">
        <v>78</v>
      </c>
      <c r="B2705" s="16">
        <v>45916</v>
      </c>
      <c r="C2705">
        <v>4.2</v>
      </c>
      <c r="D2705">
        <v>1</v>
      </c>
      <c r="E2705" t="s">
        <v>6132</v>
      </c>
    </row>
    <row r="2706" spans="1:5" x14ac:dyDescent="0.35">
      <c r="A2706" t="s">
        <v>78</v>
      </c>
      <c r="B2706" s="16">
        <v>45919</v>
      </c>
      <c r="C2706">
        <v>6.3</v>
      </c>
      <c r="D2706">
        <v>0</v>
      </c>
      <c r="E2706" t="s">
        <v>6132</v>
      </c>
    </row>
    <row r="2707" spans="1:5" x14ac:dyDescent="0.35">
      <c r="A2707" t="s">
        <v>78</v>
      </c>
      <c r="B2707" s="16">
        <v>45922</v>
      </c>
      <c r="C2707">
        <v>5</v>
      </c>
      <c r="D2707">
        <v>0</v>
      </c>
      <c r="E2707" t="s">
        <v>6133</v>
      </c>
    </row>
    <row r="2708" spans="1:5" x14ac:dyDescent="0.35">
      <c r="A2708" t="s">
        <v>78</v>
      </c>
      <c r="B2708" s="16">
        <v>45923</v>
      </c>
      <c r="C2708">
        <v>7.4</v>
      </c>
      <c r="D2708">
        <v>0</v>
      </c>
      <c r="E2708" t="s">
        <v>6132</v>
      </c>
    </row>
    <row r="2709" spans="1:5" x14ac:dyDescent="0.35">
      <c r="A2709" t="s">
        <v>78</v>
      </c>
      <c r="B2709" s="16">
        <v>45924</v>
      </c>
      <c r="C2709">
        <v>7.9</v>
      </c>
      <c r="D2709">
        <v>2</v>
      </c>
      <c r="E2709" t="s">
        <v>6132</v>
      </c>
    </row>
    <row r="2710" spans="1:5" x14ac:dyDescent="0.35">
      <c r="A2710" t="s">
        <v>78</v>
      </c>
      <c r="B2710" s="16">
        <v>45926</v>
      </c>
      <c r="C2710">
        <v>7.5</v>
      </c>
      <c r="D2710">
        <v>0</v>
      </c>
      <c r="E2710" t="s">
        <v>6132</v>
      </c>
    </row>
    <row r="2711" spans="1:5" x14ac:dyDescent="0.35">
      <c r="A2711" t="s">
        <v>78</v>
      </c>
      <c r="B2711" s="16">
        <v>45930</v>
      </c>
      <c r="D2711">
        <v>1</v>
      </c>
      <c r="E2711" t="s">
        <v>6132</v>
      </c>
    </row>
    <row r="2712" spans="1:5" x14ac:dyDescent="0.35">
      <c r="A2712" t="s">
        <v>78</v>
      </c>
      <c r="B2712" s="16">
        <v>45932</v>
      </c>
      <c r="C2712">
        <v>7.5</v>
      </c>
      <c r="D2712">
        <v>0</v>
      </c>
      <c r="E2712" t="s">
        <v>6132</v>
      </c>
    </row>
    <row r="2713" spans="1:5" x14ac:dyDescent="0.35">
      <c r="A2713" t="s">
        <v>78</v>
      </c>
      <c r="B2713" s="16">
        <v>45936</v>
      </c>
      <c r="D2713">
        <v>0</v>
      </c>
      <c r="E2713" t="s">
        <v>6132</v>
      </c>
    </row>
    <row r="2714" spans="1:5" x14ac:dyDescent="0.35">
      <c r="A2714" t="s">
        <v>78</v>
      </c>
      <c r="B2714" s="16">
        <v>45937</v>
      </c>
      <c r="C2714">
        <v>5.3</v>
      </c>
      <c r="D2714">
        <v>0</v>
      </c>
      <c r="E2714" t="s">
        <v>6134</v>
      </c>
    </row>
    <row r="2715" spans="1:5" x14ac:dyDescent="0.35">
      <c r="A2715" t="s">
        <v>78</v>
      </c>
      <c r="B2715" s="16">
        <v>45938</v>
      </c>
      <c r="C2715">
        <v>5.6</v>
      </c>
      <c r="D2715">
        <v>2</v>
      </c>
      <c r="E2715" t="s">
        <v>6132</v>
      </c>
    </row>
    <row r="2716" spans="1:5" x14ac:dyDescent="0.35">
      <c r="A2716" t="s">
        <v>78</v>
      </c>
      <c r="B2716" s="16">
        <v>45939</v>
      </c>
      <c r="C2716">
        <v>7.3</v>
      </c>
      <c r="D2716">
        <v>2</v>
      </c>
      <c r="E2716" t="s">
        <v>6132</v>
      </c>
    </row>
    <row r="2717" spans="1:5" x14ac:dyDescent="0.35">
      <c r="A2717" t="s">
        <v>78</v>
      </c>
      <c r="B2717" s="16">
        <v>45943</v>
      </c>
      <c r="C2717">
        <v>4.0999999999999996</v>
      </c>
      <c r="D2717">
        <v>1</v>
      </c>
      <c r="E2717" t="s">
        <v>6132</v>
      </c>
    </row>
    <row r="2718" spans="1:5" x14ac:dyDescent="0.35">
      <c r="A2718" t="s">
        <v>78</v>
      </c>
      <c r="B2718" s="16">
        <v>45950</v>
      </c>
      <c r="C2718">
        <v>6.7</v>
      </c>
      <c r="D2718">
        <v>2</v>
      </c>
      <c r="E2718" t="s">
        <v>6132</v>
      </c>
    </row>
    <row r="2719" spans="1:5" x14ac:dyDescent="0.35">
      <c r="A2719" t="s">
        <v>78</v>
      </c>
      <c r="B2719" s="16">
        <v>45951</v>
      </c>
      <c r="C2719">
        <v>6.2</v>
      </c>
      <c r="D2719">
        <v>0</v>
      </c>
      <c r="E2719" t="s">
        <v>6132</v>
      </c>
    </row>
    <row r="2720" spans="1:5" x14ac:dyDescent="0.35">
      <c r="A2720" t="s">
        <v>78</v>
      </c>
      <c r="B2720" s="16">
        <v>45954</v>
      </c>
      <c r="C2720">
        <v>6.8</v>
      </c>
      <c r="D2720">
        <v>0</v>
      </c>
      <c r="E2720" t="s">
        <v>6132</v>
      </c>
    </row>
    <row r="2721" spans="1:5" x14ac:dyDescent="0.35">
      <c r="A2721" t="s">
        <v>78</v>
      </c>
      <c r="B2721" s="16">
        <v>45957</v>
      </c>
      <c r="C2721">
        <v>6.8</v>
      </c>
      <c r="D2721">
        <v>0</v>
      </c>
      <c r="E2721" t="s">
        <v>6132</v>
      </c>
    </row>
    <row r="2722" spans="1:5" x14ac:dyDescent="0.35">
      <c r="A2722" t="s">
        <v>78</v>
      </c>
      <c r="B2722" s="16">
        <v>45958</v>
      </c>
      <c r="C2722">
        <v>4.2</v>
      </c>
      <c r="D2722">
        <v>0</v>
      </c>
      <c r="E2722" t="s">
        <v>6132</v>
      </c>
    </row>
    <row r="2723" spans="1:5" x14ac:dyDescent="0.35">
      <c r="A2723" t="s">
        <v>78</v>
      </c>
      <c r="B2723" s="16">
        <v>45960</v>
      </c>
      <c r="C2723">
        <v>7.3</v>
      </c>
      <c r="D2723">
        <v>0</v>
      </c>
      <c r="E2723" t="s">
        <v>6132</v>
      </c>
    </row>
    <row r="2724" spans="1:5" x14ac:dyDescent="0.35">
      <c r="A2724" t="s">
        <v>78</v>
      </c>
      <c r="B2724" s="16">
        <v>45961</v>
      </c>
      <c r="D2724">
        <v>0</v>
      </c>
      <c r="E2724" t="s">
        <v>6132</v>
      </c>
    </row>
    <row r="2725" spans="1:5" x14ac:dyDescent="0.35">
      <c r="A2725" t="s">
        <v>78</v>
      </c>
      <c r="B2725" s="16">
        <v>45965</v>
      </c>
      <c r="C2725">
        <v>6.7</v>
      </c>
      <c r="D2725">
        <v>0</v>
      </c>
      <c r="E2725" t="s">
        <v>6132</v>
      </c>
    </row>
    <row r="2726" spans="1:5" x14ac:dyDescent="0.35">
      <c r="A2726" t="s">
        <v>78</v>
      </c>
      <c r="B2726" s="16">
        <v>45972</v>
      </c>
      <c r="C2726">
        <v>5.3</v>
      </c>
      <c r="D2726">
        <v>1</v>
      </c>
      <c r="E2726" t="s">
        <v>6132</v>
      </c>
    </row>
    <row r="2727" spans="1:5" x14ac:dyDescent="0.35">
      <c r="A2727" t="s">
        <v>78</v>
      </c>
      <c r="B2727" s="16">
        <v>45974</v>
      </c>
      <c r="D2727">
        <v>1</v>
      </c>
      <c r="E2727" t="s">
        <v>6132</v>
      </c>
    </row>
    <row r="2728" spans="1:5" x14ac:dyDescent="0.35">
      <c r="A2728" t="s">
        <v>78</v>
      </c>
      <c r="B2728" s="16">
        <v>45979</v>
      </c>
      <c r="C2728">
        <v>7.6</v>
      </c>
      <c r="D2728">
        <v>1</v>
      </c>
      <c r="E2728" t="s">
        <v>6132</v>
      </c>
    </row>
    <row r="2729" spans="1:5" x14ac:dyDescent="0.35">
      <c r="A2729" t="s">
        <v>78</v>
      </c>
      <c r="B2729" s="16">
        <v>45980</v>
      </c>
      <c r="C2729">
        <v>4.2</v>
      </c>
      <c r="D2729">
        <v>2</v>
      </c>
      <c r="E2729" t="s">
        <v>6132</v>
      </c>
    </row>
    <row r="2730" spans="1:5" x14ac:dyDescent="0.35">
      <c r="A2730" t="s">
        <v>78</v>
      </c>
      <c r="B2730" s="16">
        <v>45981</v>
      </c>
      <c r="C2730">
        <v>6.7</v>
      </c>
      <c r="D2730">
        <v>2</v>
      </c>
      <c r="E2730" t="s">
        <v>6132</v>
      </c>
    </row>
    <row r="2731" spans="1:5" x14ac:dyDescent="0.35">
      <c r="A2731" t="s">
        <v>78</v>
      </c>
      <c r="B2731" s="16">
        <v>45982</v>
      </c>
      <c r="C2731">
        <v>5.5</v>
      </c>
      <c r="D2731">
        <v>0</v>
      </c>
      <c r="E2731" t="s">
        <v>6132</v>
      </c>
    </row>
    <row r="2732" spans="1:5" x14ac:dyDescent="0.35">
      <c r="A2732" t="s">
        <v>78</v>
      </c>
      <c r="B2732" s="16">
        <v>45987</v>
      </c>
      <c r="C2732">
        <v>5.9</v>
      </c>
      <c r="D2732">
        <v>1</v>
      </c>
      <c r="E2732" t="s">
        <v>6132</v>
      </c>
    </row>
    <row r="2733" spans="1:5" x14ac:dyDescent="0.35">
      <c r="A2733" t="s">
        <v>78</v>
      </c>
      <c r="B2733" s="16">
        <v>45989</v>
      </c>
      <c r="C2733">
        <v>5.4</v>
      </c>
      <c r="D2733">
        <v>1</v>
      </c>
      <c r="E2733" t="s">
        <v>6132</v>
      </c>
    </row>
    <row r="2734" spans="1:5" x14ac:dyDescent="0.35">
      <c r="A2734" t="s">
        <v>78</v>
      </c>
      <c r="B2734" s="16">
        <v>45993</v>
      </c>
      <c r="C2734">
        <v>4.5</v>
      </c>
      <c r="D2734">
        <v>0</v>
      </c>
      <c r="E2734" t="s">
        <v>6132</v>
      </c>
    </row>
    <row r="2735" spans="1:5" x14ac:dyDescent="0.35">
      <c r="A2735" t="s">
        <v>78</v>
      </c>
      <c r="B2735" s="16">
        <v>45996</v>
      </c>
      <c r="C2735">
        <v>6.2</v>
      </c>
      <c r="D2735">
        <v>2</v>
      </c>
      <c r="E2735" t="s">
        <v>6132</v>
      </c>
    </row>
    <row r="2736" spans="1:5" x14ac:dyDescent="0.35">
      <c r="A2736" t="s">
        <v>78</v>
      </c>
      <c r="B2736" s="16">
        <v>45999</v>
      </c>
      <c r="C2736">
        <v>6.6</v>
      </c>
      <c r="D2736">
        <v>0</v>
      </c>
      <c r="E2736" t="s">
        <v>6132</v>
      </c>
    </row>
    <row r="2737" spans="1:5" x14ac:dyDescent="0.35">
      <c r="A2737" t="s">
        <v>78</v>
      </c>
      <c r="B2737" s="16">
        <v>46000</v>
      </c>
      <c r="C2737">
        <v>8.6</v>
      </c>
      <c r="D2737">
        <v>1</v>
      </c>
      <c r="E2737" t="s">
        <v>6132</v>
      </c>
    </row>
    <row r="2738" spans="1:5" x14ac:dyDescent="0.35">
      <c r="A2738" t="s">
        <v>78</v>
      </c>
      <c r="B2738" s="16">
        <v>46001</v>
      </c>
      <c r="C2738">
        <v>4.4000000000000004</v>
      </c>
      <c r="D2738">
        <v>3</v>
      </c>
      <c r="E2738" t="s">
        <v>6132</v>
      </c>
    </row>
    <row r="2739" spans="1:5" x14ac:dyDescent="0.35">
      <c r="A2739" t="s">
        <v>78</v>
      </c>
      <c r="B2739" s="16">
        <v>46006</v>
      </c>
      <c r="C2739">
        <v>5.9</v>
      </c>
      <c r="D2739">
        <v>0</v>
      </c>
      <c r="E2739" t="s">
        <v>6132</v>
      </c>
    </row>
    <row r="2740" spans="1:5" x14ac:dyDescent="0.35">
      <c r="A2740" t="s">
        <v>78</v>
      </c>
      <c r="B2740" s="16">
        <v>46007</v>
      </c>
      <c r="C2740">
        <v>7.3</v>
      </c>
      <c r="D2740">
        <v>0</v>
      </c>
      <c r="E2740" t="s">
        <v>6134</v>
      </c>
    </row>
    <row r="2741" spans="1:5" x14ac:dyDescent="0.35">
      <c r="A2741" t="s">
        <v>78</v>
      </c>
      <c r="B2741" s="16">
        <v>46008</v>
      </c>
      <c r="C2741">
        <v>8.5</v>
      </c>
      <c r="D2741">
        <v>0</v>
      </c>
      <c r="E2741" t="s">
        <v>6132</v>
      </c>
    </row>
    <row r="2742" spans="1:5" x14ac:dyDescent="0.35">
      <c r="A2742" t="s">
        <v>78</v>
      </c>
      <c r="B2742" s="16">
        <v>46010</v>
      </c>
      <c r="C2742">
        <v>4.5</v>
      </c>
      <c r="D2742">
        <v>0</v>
      </c>
      <c r="E2742" t="s">
        <v>6134</v>
      </c>
    </row>
    <row r="2743" spans="1:5" x14ac:dyDescent="0.35">
      <c r="A2743" t="s">
        <v>78</v>
      </c>
      <c r="B2743" s="16">
        <v>46014</v>
      </c>
      <c r="C2743">
        <v>6.3</v>
      </c>
      <c r="D2743">
        <v>0</v>
      </c>
      <c r="E2743" t="s">
        <v>6133</v>
      </c>
    </row>
    <row r="2744" spans="1:5" x14ac:dyDescent="0.35">
      <c r="A2744" t="s">
        <v>78</v>
      </c>
      <c r="B2744" s="16">
        <v>46015</v>
      </c>
      <c r="C2744">
        <v>4.9000000000000004</v>
      </c>
      <c r="D2744">
        <v>1</v>
      </c>
      <c r="E2744" t="s">
        <v>6132</v>
      </c>
    </row>
    <row r="2745" spans="1:5" x14ac:dyDescent="0.35">
      <c r="A2745" t="s">
        <v>78</v>
      </c>
      <c r="B2745" s="16">
        <v>46016</v>
      </c>
      <c r="C2745">
        <v>8.4</v>
      </c>
      <c r="D2745">
        <v>0</v>
      </c>
      <c r="E2745" t="s">
        <v>6132</v>
      </c>
    </row>
    <row r="2746" spans="1:5" x14ac:dyDescent="0.35">
      <c r="A2746" t="s">
        <v>78</v>
      </c>
      <c r="B2746" s="16">
        <v>46022</v>
      </c>
      <c r="C2746">
        <v>8.1999999999999993</v>
      </c>
      <c r="D2746">
        <v>2</v>
      </c>
      <c r="E2746" t="s">
        <v>6132</v>
      </c>
    </row>
    <row r="2747" spans="1:5" x14ac:dyDescent="0.35">
      <c r="A2747" t="s">
        <v>158</v>
      </c>
      <c r="B2747" s="16">
        <v>45658</v>
      </c>
      <c r="C2747">
        <v>6.9</v>
      </c>
      <c r="D2747">
        <v>0</v>
      </c>
      <c r="E2747" t="s">
        <v>6132</v>
      </c>
    </row>
    <row r="2748" spans="1:5" x14ac:dyDescent="0.35">
      <c r="A2748" t="s">
        <v>158</v>
      </c>
      <c r="B2748" s="16">
        <v>45660</v>
      </c>
      <c r="D2748">
        <v>1</v>
      </c>
      <c r="E2748" t="s">
        <v>6132</v>
      </c>
    </row>
    <row r="2749" spans="1:5" x14ac:dyDescent="0.35">
      <c r="A2749" t="s">
        <v>158</v>
      </c>
      <c r="B2749" s="16">
        <v>45665</v>
      </c>
      <c r="C2749">
        <v>7.4</v>
      </c>
      <c r="D2749">
        <v>2</v>
      </c>
      <c r="E2749" t="s">
        <v>6132</v>
      </c>
    </row>
    <row r="2750" spans="1:5" x14ac:dyDescent="0.35">
      <c r="A2750" t="s">
        <v>158</v>
      </c>
      <c r="B2750" s="16">
        <v>45666</v>
      </c>
      <c r="C2750">
        <v>4.0999999999999996</v>
      </c>
      <c r="D2750">
        <v>2</v>
      </c>
      <c r="E2750" t="s">
        <v>6132</v>
      </c>
    </row>
    <row r="2751" spans="1:5" x14ac:dyDescent="0.35">
      <c r="A2751" t="s">
        <v>158</v>
      </c>
      <c r="B2751" s="16">
        <v>45667</v>
      </c>
      <c r="C2751">
        <v>6.6</v>
      </c>
      <c r="D2751">
        <v>0</v>
      </c>
      <c r="E2751" t="s">
        <v>6132</v>
      </c>
    </row>
    <row r="2752" spans="1:5" x14ac:dyDescent="0.35">
      <c r="A2752" t="s">
        <v>158</v>
      </c>
      <c r="B2752" s="16">
        <v>45670</v>
      </c>
      <c r="C2752">
        <v>6.4</v>
      </c>
      <c r="D2752">
        <v>0</v>
      </c>
      <c r="E2752" t="s">
        <v>6132</v>
      </c>
    </row>
    <row r="2753" spans="1:5" x14ac:dyDescent="0.35">
      <c r="A2753" t="s">
        <v>158</v>
      </c>
      <c r="B2753" s="16">
        <v>45671</v>
      </c>
      <c r="C2753">
        <v>7.1</v>
      </c>
      <c r="D2753">
        <v>0</v>
      </c>
      <c r="E2753" t="s">
        <v>6132</v>
      </c>
    </row>
    <row r="2754" spans="1:5" x14ac:dyDescent="0.35">
      <c r="A2754" t="s">
        <v>158</v>
      </c>
      <c r="B2754" s="16">
        <v>45673</v>
      </c>
      <c r="C2754">
        <v>7.6</v>
      </c>
      <c r="D2754">
        <v>0</v>
      </c>
      <c r="E2754" t="s">
        <v>6132</v>
      </c>
    </row>
    <row r="2755" spans="1:5" x14ac:dyDescent="0.35">
      <c r="A2755" t="s">
        <v>158</v>
      </c>
      <c r="B2755" s="16">
        <v>45674</v>
      </c>
      <c r="C2755">
        <v>7.4</v>
      </c>
      <c r="D2755">
        <v>2</v>
      </c>
      <c r="E2755" t="s">
        <v>6132</v>
      </c>
    </row>
    <row r="2756" spans="1:5" x14ac:dyDescent="0.35">
      <c r="A2756" t="s">
        <v>158</v>
      </c>
      <c r="B2756" s="16">
        <v>45678</v>
      </c>
      <c r="C2756">
        <v>6.4</v>
      </c>
      <c r="D2756">
        <v>1</v>
      </c>
      <c r="E2756" t="s">
        <v>6132</v>
      </c>
    </row>
    <row r="2757" spans="1:5" x14ac:dyDescent="0.35">
      <c r="A2757" t="s">
        <v>158</v>
      </c>
      <c r="B2757" s="16">
        <v>45679</v>
      </c>
      <c r="C2757">
        <v>8.1999999999999993</v>
      </c>
      <c r="D2757">
        <v>1</v>
      </c>
      <c r="E2757" t="s">
        <v>6132</v>
      </c>
    </row>
    <row r="2758" spans="1:5" x14ac:dyDescent="0.35">
      <c r="A2758" t="s">
        <v>158</v>
      </c>
      <c r="B2758" s="16">
        <v>45685</v>
      </c>
      <c r="C2758">
        <v>5.8</v>
      </c>
      <c r="D2758">
        <v>0</v>
      </c>
      <c r="E2758" t="s">
        <v>6133</v>
      </c>
    </row>
    <row r="2759" spans="1:5" x14ac:dyDescent="0.35">
      <c r="A2759" t="s">
        <v>158</v>
      </c>
      <c r="B2759" s="16">
        <v>45686</v>
      </c>
      <c r="C2759">
        <v>6.2</v>
      </c>
      <c r="D2759">
        <v>0</v>
      </c>
      <c r="E2759" t="s">
        <v>6132</v>
      </c>
    </row>
    <row r="2760" spans="1:5" x14ac:dyDescent="0.35">
      <c r="A2760" t="s">
        <v>158</v>
      </c>
      <c r="B2760" s="16">
        <v>45687</v>
      </c>
      <c r="C2760">
        <v>8.1999999999999993</v>
      </c>
      <c r="D2760">
        <v>2</v>
      </c>
      <c r="E2760" t="s">
        <v>6132</v>
      </c>
    </row>
    <row r="2761" spans="1:5" x14ac:dyDescent="0.35">
      <c r="A2761" t="s">
        <v>158</v>
      </c>
      <c r="B2761" s="16">
        <v>45691</v>
      </c>
      <c r="C2761">
        <v>7.9</v>
      </c>
      <c r="D2761">
        <v>2</v>
      </c>
      <c r="E2761" t="s">
        <v>6132</v>
      </c>
    </row>
    <row r="2762" spans="1:5" x14ac:dyDescent="0.35">
      <c r="A2762" t="s">
        <v>158</v>
      </c>
      <c r="B2762" s="16">
        <v>45693</v>
      </c>
      <c r="C2762">
        <v>6.7</v>
      </c>
      <c r="D2762">
        <v>0</v>
      </c>
      <c r="E2762" t="s">
        <v>6132</v>
      </c>
    </row>
    <row r="2763" spans="1:5" x14ac:dyDescent="0.35">
      <c r="A2763" t="s">
        <v>158</v>
      </c>
      <c r="B2763" s="16">
        <v>45694</v>
      </c>
      <c r="C2763">
        <v>7.9</v>
      </c>
      <c r="D2763">
        <v>1</v>
      </c>
      <c r="E2763" t="s">
        <v>6132</v>
      </c>
    </row>
    <row r="2764" spans="1:5" x14ac:dyDescent="0.35">
      <c r="A2764" t="s">
        <v>158</v>
      </c>
      <c r="B2764" s="16">
        <v>45695</v>
      </c>
      <c r="C2764">
        <v>5.7</v>
      </c>
      <c r="D2764">
        <v>0</v>
      </c>
      <c r="E2764" t="s">
        <v>6133</v>
      </c>
    </row>
    <row r="2765" spans="1:5" x14ac:dyDescent="0.35">
      <c r="A2765" t="s">
        <v>158</v>
      </c>
      <c r="B2765" s="16">
        <v>45698</v>
      </c>
      <c r="C2765">
        <v>6.3</v>
      </c>
      <c r="D2765">
        <v>1</v>
      </c>
      <c r="E2765" t="s">
        <v>6132</v>
      </c>
    </row>
    <row r="2766" spans="1:5" x14ac:dyDescent="0.35">
      <c r="A2766" t="s">
        <v>158</v>
      </c>
      <c r="B2766" s="16">
        <v>45706</v>
      </c>
      <c r="C2766">
        <v>8.8000000000000007</v>
      </c>
      <c r="D2766">
        <v>1</v>
      </c>
      <c r="E2766" t="s">
        <v>6132</v>
      </c>
    </row>
    <row r="2767" spans="1:5" x14ac:dyDescent="0.35">
      <c r="A2767" t="s">
        <v>158</v>
      </c>
      <c r="B2767" s="16">
        <v>45708</v>
      </c>
      <c r="C2767">
        <v>4.3</v>
      </c>
      <c r="D2767">
        <v>2</v>
      </c>
      <c r="E2767" t="s">
        <v>6132</v>
      </c>
    </row>
    <row r="2768" spans="1:5" x14ac:dyDescent="0.35">
      <c r="A2768" t="s">
        <v>158</v>
      </c>
      <c r="B2768" s="16">
        <v>45709</v>
      </c>
      <c r="C2768">
        <v>7.9</v>
      </c>
      <c r="D2768">
        <v>0</v>
      </c>
      <c r="E2768" t="s">
        <v>6132</v>
      </c>
    </row>
    <row r="2769" spans="1:5" x14ac:dyDescent="0.35">
      <c r="A2769" t="s">
        <v>158</v>
      </c>
      <c r="B2769" s="16">
        <v>45712</v>
      </c>
      <c r="C2769">
        <v>5.7</v>
      </c>
      <c r="D2769">
        <v>0</v>
      </c>
      <c r="E2769" t="s">
        <v>6132</v>
      </c>
    </row>
    <row r="2770" spans="1:5" x14ac:dyDescent="0.35">
      <c r="A2770" t="s">
        <v>158</v>
      </c>
      <c r="B2770" s="16">
        <v>45713</v>
      </c>
      <c r="C2770">
        <v>5.0999999999999996</v>
      </c>
      <c r="D2770">
        <v>0</v>
      </c>
      <c r="E2770" t="s">
        <v>6132</v>
      </c>
    </row>
    <row r="2771" spans="1:5" x14ac:dyDescent="0.35">
      <c r="A2771" t="s">
        <v>158</v>
      </c>
      <c r="B2771" s="16">
        <v>45719</v>
      </c>
      <c r="C2771">
        <v>5.2</v>
      </c>
      <c r="D2771">
        <v>0</v>
      </c>
      <c r="E2771" t="s">
        <v>6132</v>
      </c>
    </row>
    <row r="2772" spans="1:5" x14ac:dyDescent="0.35">
      <c r="A2772" t="s">
        <v>158</v>
      </c>
      <c r="B2772" s="16">
        <v>45721</v>
      </c>
      <c r="D2772">
        <v>4</v>
      </c>
      <c r="E2772" t="s">
        <v>6132</v>
      </c>
    </row>
    <row r="2773" spans="1:5" x14ac:dyDescent="0.35">
      <c r="A2773" t="s">
        <v>158</v>
      </c>
      <c r="B2773" s="16">
        <v>45722</v>
      </c>
      <c r="C2773">
        <v>7.2</v>
      </c>
      <c r="D2773">
        <v>1</v>
      </c>
      <c r="E2773" t="s">
        <v>6132</v>
      </c>
    </row>
    <row r="2774" spans="1:5" x14ac:dyDescent="0.35">
      <c r="A2774" t="s">
        <v>158</v>
      </c>
      <c r="B2774" s="16">
        <v>45726</v>
      </c>
      <c r="C2774">
        <v>7.9</v>
      </c>
      <c r="D2774">
        <v>2</v>
      </c>
      <c r="E2774" t="s">
        <v>6132</v>
      </c>
    </row>
    <row r="2775" spans="1:5" x14ac:dyDescent="0.35">
      <c r="A2775" t="s">
        <v>158</v>
      </c>
      <c r="B2775" s="16">
        <v>45727</v>
      </c>
      <c r="C2775">
        <v>7.2</v>
      </c>
      <c r="D2775">
        <v>0</v>
      </c>
      <c r="E2775" t="s">
        <v>6132</v>
      </c>
    </row>
    <row r="2776" spans="1:5" x14ac:dyDescent="0.35">
      <c r="A2776" t="s">
        <v>158</v>
      </c>
      <c r="B2776" s="16">
        <v>45728</v>
      </c>
      <c r="C2776">
        <v>5.6</v>
      </c>
      <c r="D2776">
        <v>1</v>
      </c>
      <c r="E2776" t="s">
        <v>6132</v>
      </c>
    </row>
    <row r="2777" spans="1:5" x14ac:dyDescent="0.35">
      <c r="A2777" t="s">
        <v>158</v>
      </c>
      <c r="B2777" s="16">
        <v>45730</v>
      </c>
      <c r="C2777">
        <v>4.0999999999999996</v>
      </c>
      <c r="D2777">
        <v>2</v>
      </c>
      <c r="E2777" t="s">
        <v>6132</v>
      </c>
    </row>
    <row r="2778" spans="1:5" x14ac:dyDescent="0.35">
      <c r="A2778" t="s">
        <v>158</v>
      </c>
      <c r="B2778" s="16">
        <v>45733</v>
      </c>
      <c r="C2778">
        <v>4.7</v>
      </c>
      <c r="D2778">
        <v>1</v>
      </c>
      <c r="E2778" t="s">
        <v>6132</v>
      </c>
    </row>
    <row r="2779" spans="1:5" x14ac:dyDescent="0.35">
      <c r="A2779" t="s">
        <v>158</v>
      </c>
      <c r="B2779" s="16">
        <v>45734</v>
      </c>
      <c r="C2779">
        <v>4.5999999999999996</v>
      </c>
      <c r="D2779">
        <v>0</v>
      </c>
      <c r="E2779" t="s">
        <v>6132</v>
      </c>
    </row>
    <row r="2780" spans="1:5" x14ac:dyDescent="0.35">
      <c r="A2780" t="s">
        <v>158</v>
      </c>
      <c r="B2780" s="16">
        <v>45736</v>
      </c>
      <c r="C2780">
        <v>6.7</v>
      </c>
      <c r="D2780">
        <v>1</v>
      </c>
      <c r="E2780" t="s">
        <v>6132</v>
      </c>
    </row>
    <row r="2781" spans="1:5" x14ac:dyDescent="0.35">
      <c r="A2781" t="s">
        <v>158</v>
      </c>
      <c r="B2781" s="16">
        <v>45742</v>
      </c>
      <c r="C2781">
        <v>8.1</v>
      </c>
      <c r="D2781">
        <v>2</v>
      </c>
      <c r="E2781" t="s">
        <v>6132</v>
      </c>
    </row>
    <row r="2782" spans="1:5" x14ac:dyDescent="0.35">
      <c r="A2782" t="s">
        <v>158</v>
      </c>
      <c r="B2782" s="16">
        <v>45743</v>
      </c>
      <c r="C2782">
        <v>6</v>
      </c>
      <c r="D2782">
        <v>0</v>
      </c>
      <c r="E2782" t="s">
        <v>6132</v>
      </c>
    </row>
    <row r="2783" spans="1:5" x14ac:dyDescent="0.35">
      <c r="A2783" t="s">
        <v>158</v>
      </c>
      <c r="B2783" s="16">
        <v>45744</v>
      </c>
      <c r="C2783">
        <v>7.8</v>
      </c>
      <c r="D2783">
        <v>0</v>
      </c>
      <c r="E2783" t="s">
        <v>6132</v>
      </c>
    </row>
    <row r="2784" spans="1:5" x14ac:dyDescent="0.35">
      <c r="A2784" t="s">
        <v>158</v>
      </c>
      <c r="B2784" s="16">
        <v>45750</v>
      </c>
      <c r="C2784">
        <v>5.4</v>
      </c>
      <c r="D2784">
        <v>0</v>
      </c>
      <c r="E2784" t="s">
        <v>6132</v>
      </c>
    </row>
    <row r="2785" spans="1:5" x14ac:dyDescent="0.35">
      <c r="A2785" t="s">
        <v>158</v>
      </c>
      <c r="B2785" s="16">
        <v>45751</v>
      </c>
      <c r="C2785">
        <v>8.9</v>
      </c>
      <c r="D2785">
        <v>2</v>
      </c>
      <c r="E2785" t="s">
        <v>6132</v>
      </c>
    </row>
    <row r="2786" spans="1:5" x14ac:dyDescent="0.35">
      <c r="A2786" t="s">
        <v>158</v>
      </c>
      <c r="B2786" s="16">
        <v>45755</v>
      </c>
      <c r="C2786">
        <v>4.9000000000000004</v>
      </c>
      <c r="D2786">
        <v>3</v>
      </c>
      <c r="E2786" t="s">
        <v>6132</v>
      </c>
    </row>
    <row r="2787" spans="1:5" x14ac:dyDescent="0.35">
      <c r="A2787" t="s">
        <v>158</v>
      </c>
      <c r="B2787" s="16">
        <v>45756</v>
      </c>
      <c r="C2787">
        <v>8.1999999999999993</v>
      </c>
      <c r="D2787">
        <v>0</v>
      </c>
      <c r="E2787" t="s">
        <v>6132</v>
      </c>
    </row>
    <row r="2788" spans="1:5" x14ac:dyDescent="0.35">
      <c r="A2788" t="s">
        <v>158</v>
      </c>
      <c r="B2788" s="16">
        <v>45757</v>
      </c>
      <c r="C2788">
        <v>5.9</v>
      </c>
      <c r="D2788">
        <v>0</v>
      </c>
      <c r="E2788" t="s">
        <v>6132</v>
      </c>
    </row>
    <row r="2789" spans="1:5" x14ac:dyDescent="0.35">
      <c r="A2789" t="s">
        <v>158</v>
      </c>
      <c r="B2789" s="16">
        <v>45758</v>
      </c>
      <c r="C2789">
        <v>4.5999999999999996</v>
      </c>
      <c r="D2789">
        <v>0</v>
      </c>
      <c r="E2789" t="s">
        <v>6132</v>
      </c>
    </row>
    <row r="2790" spans="1:5" x14ac:dyDescent="0.35">
      <c r="A2790" t="s">
        <v>158</v>
      </c>
      <c r="B2790" s="16">
        <v>45761</v>
      </c>
      <c r="C2790">
        <v>4.7</v>
      </c>
      <c r="D2790">
        <v>1</v>
      </c>
      <c r="E2790" t="s">
        <v>6132</v>
      </c>
    </row>
    <row r="2791" spans="1:5" x14ac:dyDescent="0.35">
      <c r="A2791" t="s">
        <v>158</v>
      </c>
      <c r="B2791" s="16">
        <v>45762</v>
      </c>
      <c r="C2791">
        <v>7.1</v>
      </c>
      <c r="D2791">
        <v>0</v>
      </c>
      <c r="E2791" t="s">
        <v>6132</v>
      </c>
    </row>
    <row r="2792" spans="1:5" x14ac:dyDescent="0.35">
      <c r="A2792" t="s">
        <v>158</v>
      </c>
      <c r="B2792" s="16">
        <v>45763</v>
      </c>
      <c r="C2792">
        <v>7.3</v>
      </c>
      <c r="D2792">
        <v>0</v>
      </c>
      <c r="E2792" t="s">
        <v>6132</v>
      </c>
    </row>
    <row r="2793" spans="1:5" x14ac:dyDescent="0.35">
      <c r="A2793" t="s">
        <v>158</v>
      </c>
      <c r="B2793" s="16">
        <v>45765</v>
      </c>
      <c r="C2793">
        <v>4.9000000000000004</v>
      </c>
      <c r="D2793">
        <v>0</v>
      </c>
      <c r="E2793" t="s">
        <v>6132</v>
      </c>
    </row>
    <row r="2794" spans="1:5" x14ac:dyDescent="0.35">
      <c r="A2794" t="s">
        <v>158</v>
      </c>
      <c r="B2794" s="16">
        <v>45768</v>
      </c>
      <c r="C2794">
        <v>7.6</v>
      </c>
      <c r="D2794">
        <v>1</v>
      </c>
      <c r="E2794" t="s">
        <v>6132</v>
      </c>
    </row>
    <row r="2795" spans="1:5" x14ac:dyDescent="0.35">
      <c r="A2795" t="s">
        <v>158</v>
      </c>
      <c r="B2795" s="16">
        <v>45769</v>
      </c>
      <c r="C2795">
        <v>7.6</v>
      </c>
      <c r="D2795">
        <v>1</v>
      </c>
      <c r="E2795" t="s">
        <v>6132</v>
      </c>
    </row>
    <row r="2796" spans="1:5" x14ac:dyDescent="0.35">
      <c r="A2796" t="s">
        <v>158</v>
      </c>
      <c r="B2796" s="16">
        <v>45770</v>
      </c>
      <c r="C2796">
        <v>4.2</v>
      </c>
      <c r="D2796">
        <v>1</v>
      </c>
      <c r="E2796" t="s">
        <v>6132</v>
      </c>
    </row>
    <row r="2797" spans="1:5" x14ac:dyDescent="0.35">
      <c r="A2797" t="s">
        <v>158</v>
      </c>
      <c r="B2797" s="16">
        <v>45775</v>
      </c>
      <c r="C2797">
        <v>8.6999999999999993</v>
      </c>
      <c r="D2797">
        <v>0</v>
      </c>
      <c r="E2797" t="s">
        <v>6132</v>
      </c>
    </row>
    <row r="2798" spans="1:5" x14ac:dyDescent="0.35">
      <c r="A2798" t="s">
        <v>158</v>
      </c>
      <c r="B2798" s="16">
        <v>45783</v>
      </c>
      <c r="C2798">
        <v>8.4</v>
      </c>
      <c r="D2798">
        <v>1</v>
      </c>
      <c r="E2798" t="s">
        <v>6132</v>
      </c>
    </row>
    <row r="2799" spans="1:5" x14ac:dyDescent="0.35">
      <c r="A2799" t="s">
        <v>158</v>
      </c>
      <c r="B2799" s="16">
        <v>45785</v>
      </c>
      <c r="C2799">
        <v>6.8</v>
      </c>
      <c r="D2799">
        <v>5</v>
      </c>
      <c r="E2799" t="s">
        <v>6132</v>
      </c>
    </row>
    <row r="2800" spans="1:5" x14ac:dyDescent="0.35">
      <c r="A2800" t="s">
        <v>158</v>
      </c>
      <c r="B2800" s="16">
        <v>45786</v>
      </c>
      <c r="C2800">
        <v>7.7</v>
      </c>
      <c r="D2800">
        <v>0</v>
      </c>
      <c r="E2800" t="s">
        <v>6134</v>
      </c>
    </row>
    <row r="2801" spans="1:5" x14ac:dyDescent="0.35">
      <c r="A2801" t="s">
        <v>158</v>
      </c>
      <c r="B2801" s="16">
        <v>45790</v>
      </c>
      <c r="C2801">
        <v>7.4</v>
      </c>
      <c r="D2801">
        <v>1</v>
      </c>
      <c r="E2801" t="s">
        <v>6132</v>
      </c>
    </row>
    <row r="2802" spans="1:5" x14ac:dyDescent="0.35">
      <c r="A2802" t="s">
        <v>158</v>
      </c>
      <c r="B2802" s="16">
        <v>45791</v>
      </c>
      <c r="C2802">
        <v>6.6</v>
      </c>
      <c r="D2802">
        <v>0</v>
      </c>
      <c r="E2802" t="s">
        <v>6132</v>
      </c>
    </row>
    <row r="2803" spans="1:5" x14ac:dyDescent="0.35">
      <c r="A2803" t="s">
        <v>158</v>
      </c>
      <c r="B2803" s="16">
        <v>45805</v>
      </c>
      <c r="C2803">
        <v>5.0999999999999996</v>
      </c>
      <c r="D2803">
        <v>2</v>
      </c>
      <c r="E2803" t="s">
        <v>6132</v>
      </c>
    </row>
    <row r="2804" spans="1:5" x14ac:dyDescent="0.35">
      <c r="A2804" t="s">
        <v>158</v>
      </c>
      <c r="B2804" s="16">
        <v>45810</v>
      </c>
      <c r="C2804">
        <v>4.9000000000000004</v>
      </c>
      <c r="D2804">
        <v>0</v>
      </c>
      <c r="E2804" t="s">
        <v>6132</v>
      </c>
    </row>
    <row r="2805" spans="1:5" x14ac:dyDescent="0.35">
      <c r="A2805" t="s">
        <v>158</v>
      </c>
      <c r="B2805" s="16">
        <v>45811</v>
      </c>
      <c r="C2805">
        <v>7.3</v>
      </c>
      <c r="D2805">
        <v>2</v>
      </c>
      <c r="E2805" t="s">
        <v>6132</v>
      </c>
    </row>
    <row r="2806" spans="1:5" x14ac:dyDescent="0.35">
      <c r="A2806" t="s">
        <v>158</v>
      </c>
      <c r="B2806" s="16">
        <v>45814</v>
      </c>
      <c r="C2806">
        <v>6.4</v>
      </c>
      <c r="D2806">
        <v>0</v>
      </c>
      <c r="E2806" t="s">
        <v>6132</v>
      </c>
    </row>
    <row r="2807" spans="1:5" x14ac:dyDescent="0.35">
      <c r="A2807" t="s">
        <v>158</v>
      </c>
      <c r="B2807" s="16">
        <v>45817</v>
      </c>
      <c r="C2807">
        <v>5.4</v>
      </c>
      <c r="D2807">
        <v>1</v>
      </c>
      <c r="E2807" t="s">
        <v>6132</v>
      </c>
    </row>
    <row r="2808" spans="1:5" x14ac:dyDescent="0.35">
      <c r="A2808" t="s">
        <v>158</v>
      </c>
      <c r="B2808" s="16">
        <v>45818</v>
      </c>
      <c r="C2808">
        <v>6.2</v>
      </c>
      <c r="D2808">
        <v>1</v>
      </c>
      <c r="E2808" t="s">
        <v>6132</v>
      </c>
    </row>
    <row r="2809" spans="1:5" x14ac:dyDescent="0.35">
      <c r="A2809" t="s">
        <v>158</v>
      </c>
      <c r="B2809" s="16">
        <v>45820</v>
      </c>
      <c r="C2809">
        <v>8.8000000000000007</v>
      </c>
      <c r="D2809">
        <v>1</v>
      </c>
      <c r="E2809" t="s">
        <v>6132</v>
      </c>
    </row>
    <row r="2810" spans="1:5" x14ac:dyDescent="0.35">
      <c r="A2810" t="s">
        <v>158</v>
      </c>
      <c r="B2810" s="16">
        <v>45826</v>
      </c>
      <c r="C2810">
        <v>8.1</v>
      </c>
      <c r="D2810">
        <v>1</v>
      </c>
      <c r="E2810" t="s">
        <v>6132</v>
      </c>
    </row>
    <row r="2811" spans="1:5" x14ac:dyDescent="0.35">
      <c r="A2811" t="s">
        <v>158</v>
      </c>
      <c r="B2811" s="16">
        <v>45828</v>
      </c>
      <c r="C2811">
        <v>8.5</v>
      </c>
      <c r="D2811">
        <v>1</v>
      </c>
      <c r="E2811" t="s">
        <v>6132</v>
      </c>
    </row>
    <row r="2812" spans="1:5" x14ac:dyDescent="0.35">
      <c r="A2812" t="s">
        <v>158</v>
      </c>
      <c r="B2812" s="16">
        <v>45831</v>
      </c>
      <c r="C2812">
        <v>6.8</v>
      </c>
      <c r="D2812">
        <v>1</v>
      </c>
      <c r="E2812" t="s">
        <v>6132</v>
      </c>
    </row>
    <row r="2813" spans="1:5" x14ac:dyDescent="0.35">
      <c r="A2813" t="s">
        <v>158</v>
      </c>
      <c r="B2813" s="16">
        <v>45833</v>
      </c>
      <c r="C2813">
        <v>5.6</v>
      </c>
      <c r="D2813">
        <v>1</v>
      </c>
      <c r="E2813" t="s">
        <v>6132</v>
      </c>
    </row>
    <row r="2814" spans="1:5" x14ac:dyDescent="0.35">
      <c r="A2814" t="s">
        <v>158</v>
      </c>
      <c r="B2814" s="16">
        <v>45846</v>
      </c>
      <c r="C2814">
        <v>8</v>
      </c>
      <c r="D2814">
        <v>0</v>
      </c>
      <c r="E2814" t="s">
        <v>6132</v>
      </c>
    </row>
    <row r="2815" spans="1:5" x14ac:dyDescent="0.35">
      <c r="A2815" t="s">
        <v>158</v>
      </c>
      <c r="B2815" s="16">
        <v>45847</v>
      </c>
      <c r="C2815">
        <v>4.9000000000000004</v>
      </c>
      <c r="D2815">
        <v>0</v>
      </c>
      <c r="E2815" t="s">
        <v>6132</v>
      </c>
    </row>
    <row r="2816" spans="1:5" x14ac:dyDescent="0.35">
      <c r="A2816" t="s">
        <v>158</v>
      </c>
      <c r="B2816" s="16">
        <v>45848</v>
      </c>
      <c r="C2816">
        <v>4.5</v>
      </c>
      <c r="D2816">
        <v>2</v>
      </c>
      <c r="E2816" t="s">
        <v>6132</v>
      </c>
    </row>
    <row r="2817" spans="1:5" x14ac:dyDescent="0.35">
      <c r="A2817" t="s">
        <v>158</v>
      </c>
      <c r="B2817" s="16">
        <v>45849</v>
      </c>
      <c r="C2817">
        <v>7.6</v>
      </c>
      <c r="D2817">
        <v>1</v>
      </c>
      <c r="E2817" t="s">
        <v>6132</v>
      </c>
    </row>
    <row r="2818" spans="1:5" x14ac:dyDescent="0.35">
      <c r="A2818" t="s">
        <v>158</v>
      </c>
      <c r="B2818" s="16">
        <v>45852</v>
      </c>
      <c r="C2818">
        <v>6.3</v>
      </c>
      <c r="D2818">
        <v>0</v>
      </c>
      <c r="E2818" t="s">
        <v>6132</v>
      </c>
    </row>
    <row r="2819" spans="1:5" x14ac:dyDescent="0.35">
      <c r="A2819" t="s">
        <v>158</v>
      </c>
      <c r="B2819" s="16">
        <v>45854</v>
      </c>
      <c r="C2819">
        <v>8.8000000000000007</v>
      </c>
      <c r="D2819">
        <v>0</v>
      </c>
      <c r="E2819" t="s">
        <v>6134</v>
      </c>
    </row>
    <row r="2820" spans="1:5" x14ac:dyDescent="0.35">
      <c r="A2820" t="s">
        <v>158</v>
      </c>
      <c r="B2820" s="16">
        <v>45859</v>
      </c>
      <c r="C2820">
        <v>7.4</v>
      </c>
      <c r="D2820">
        <v>2</v>
      </c>
      <c r="E2820" t="s">
        <v>6132</v>
      </c>
    </row>
    <row r="2821" spans="1:5" x14ac:dyDescent="0.35">
      <c r="A2821" t="s">
        <v>158</v>
      </c>
      <c r="B2821" s="16">
        <v>45862</v>
      </c>
      <c r="C2821">
        <v>8.6999999999999993</v>
      </c>
      <c r="D2821">
        <v>0</v>
      </c>
      <c r="E2821" t="s">
        <v>6132</v>
      </c>
    </row>
    <row r="2822" spans="1:5" x14ac:dyDescent="0.35">
      <c r="A2822" t="s">
        <v>158</v>
      </c>
      <c r="B2822" s="16">
        <v>45863</v>
      </c>
      <c r="C2822">
        <v>7.7</v>
      </c>
      <c r="D2822">
        <v>2</v>
      </c>
      <c r="E2822" t="s">
        <v>6132</v>
      </c>
    </row>
    <row r="2823" spans="1:5" x14ac:dyDescent="0.35">
      <c r="A2823" t="s">
        <v>158</v>
      </c>
      <c r="B2823" s="16">
        <v>45870</v>
      </c>
      <c r="C2823">
        <v>4.4000000000000004</v>
      </c>
      <c r="D2823">
        <v>1</v>
      </c>
      <c r="E2823" t="s">
        <v>6132</v>
      </c>
    </row>
    <row r="2824" spans="1:5" x14ac:dyDescent="0.35">
      <c r="A2824" t="s">
        <v>158</v>
      </c>
      <c r="B2824" s="16">
        <v>45873</v>
      </c>
      <c r="C2824">
        <v>6.8</v>
      </c>
      <c r="D2824">
        <v>0</v>
      </c>
      <c r="E2824" t="s">
        <v>6132</v>
      </c>
    </row>
    <row r="2825" spans="1:5" x14ac:dyDescent="0.35">
      <c r="A2825" t="s">
        <v>158</v>
      </c>
      <c r="B2825" s="16">
        <v>45875</v>
      </c>
      <c r="C2825">
        <v>8.4</v>
      </c>
      <c r="D2825">
        <v>0</v>
      </c>
      <c r="E2825" t="s">
        <v>6132</v>
      </c>
    </row>
    <row r="2826" spans="1:5" x14ac:dyDescent="0.35">
      <c r="A2826" t="s">
        <v>158</v>
      </c>
      <c r="B2826" s="16">
        <v>45876</v>
      </c>
      <c r="C2826">
        <v>7.6</v>
      </c>
      <c r="D2826">
        <v>0</v>
      </c>
      <c r="E2826" t="s">
        <v>6132</v>
      </c>
    </row>
    <row r="2827" spans="1:5" x14ac:dyDescent="0.35">
      <c r="A2827" t="s">
        <v>158</v>
      </c>
      <c r="B2827" s="16">
        <v>45880</v>
      </c>
      <c r="C2827">
        <v>4.5999999999999996</v>
      </c>
      <c r="D2827">
        <v>0</v>
      </c>
      <c r="E2827" t="s">
        <v>6132</v>
      </c>
    </row>
    <row r="2828" spans="1:5" x14ac:dyDescent="0.35">
      <c r="A2828" t="s">
        <v>158</v>
      </c>
      <c r="B2828" s="16">
        <v>45881</v>
      </c>
      <c r="C2828">
        <v>5.7</v>
      </c>
      <c r="D2828">
        <v>0</v>
      </c>
      <c r="E2828" t="s">
        <v>6132</v>
      </c>
    </row>
    <row r="2829" spans="1:5" x14ac:dyDescent="0.35">
      <c r="A2829" t="s">
        <v>158</v>
      </c>
      <c r="B2829" s="16">
        <v>45882</v>
      </c>
      <c r="C2829">
        <v>5.8</v>
      </c>
      <c r="D2829">
        <v>0</v>
      </c>
      <c r="E2829" t="s">
        <v>6132</v>
      </c>
    </row>
    <row r="2830" spans="1:5" x14ac:dyDescent="0.35">
      <c r="A2830" t="s">
        <v>158</v>
      </c>
      <c r="B2830" s="16">
        <v>45883</v>
      </c>
      <c r="C2830">
        <v>4</v>
      </c>
      <c r="D2830">
        <v>0</v>
      </c>
      <c r="E2830" t="s">
        <v>6133</v>
      </c>
    </row>
    <row r="2831" spans="1:5" x14ac:dyDescent="0.35">
      <c r="A2831" t="s">
        <v>158</v>
      </c>
      <c r="B2831" s="16">
        <v>45887</v>
      </c>
      <c r="C2831">
        <v>7.3</v>
      </c>
      <c r="D2831">
        <v>1</v>
      </c>
      <c r="E2831" t="s">
        <v>6132</v>
      </c>
    </row>
    <row r="2832" spans="1:5" x14ac:dyDescent="0.35">
      <c r="A2832" t="s">
        <v>158</v>
      </c>
      <c r="B2832" s="16">
        <v>45888</v>
      </c>
      <c r="C2832">
        <v>6.4</v>
      </c>
      <c r="D2832">
        <v>0</v>
      </c>
      <c r="E2832" t="s">
        <v>6132</v>
      </c>
    </row>
    <row r="2833" spans="1:5" x14ac:dyDescent="0.35">
      <c r="A2833" t="s">
        <v>158</v>
      </c>
      <c r="B2833" s="16">
        <v>45890</v>
      </c>
      <c r="C2833">
        <v>8</v>
      </c>
      <c r="D2833">
        <v>2</v>
      </c>
      <c r="E2833" t="s">
        <v>6132</v>
      </c>
    </row>
    <row r="2834" spans="1:5" x14ac:dyDescent="0.35">
      <c r="A2834" t="s">
        <v>158</v>
      </c>
      <c r="B2834" s="16">
        <v>45898</v>
      </c>
      <c r="C2834">
        <v>4.2</v>
      </c>
      <c r="D2834">
        <v>0</v>
      </c>
      <c r="E2834" t="s">
        <v>6132</v>
      </c>
    </row>
    <row r="2835" spans="1:5" x14ac:dyDescent="0.35">
      <c r="A2835" t="s">
        <v>158</v>
      </c>
      <c r="B2835" s="16">
        <v>45901</v>
      </c>
      <c r="C2835">
        <v>5.9</v>
      </c>
      <c r="D2835">
        <v>0</v>
      </c>
      <c r="E2835" t="s">
        <v>6132</v>
      </c>
    </row>
    <row r="2836" spans="1:5" x14ac:dyDescent="0.35">
      <c r="A2836" t="s">
        <v>158</v>
      </c>
      <c r="B2836" s="16">
        <v>45903</v>
      </c>
      <c r="D2836">
        <v>1</v>
      </c>
      <c r="E2836" t="s">
        <v>6132</v>
      </c>
    </row>
    <row r="2837" spans="1:5" x14ac:dyDescent="0.35">
      <c r="A2837" t="s">
        <v>158</v>
      </c>
      <c r="B2837" s="16">
        <v>45904</v>
      </c>
      <c r="C2837">
        <v>5.9</v>
      </c>
      <c r="D2837">
        <v>1</v>
      </c>
      <c r="E2837" t="s">
        <v>6132</v>
      </c>
    </row>
    <row r="2838" spans="1:5" x14ac:dyDescent="0.35">
      <c r="A2838" t="s">
        <v>158</v>
      </c>
      <c r="B2838" s="16">
        <v>45905</v>
      </c>
      <c r="C2838">
        <v>7.4</v>
      </c>
      <c r="D2838">
        <v>3</v>
      </c>
      <c r="E2838" t="s">
        <v>6132</v>
      </c>
    </row>
    <row r="2839" spans="1:5" x14ac:dyDescent="0.35">
      <c r="A2839" t="s">
        <v>158</v>
      </c>
      <c r="B2839" s="16">
        <v>45911</v>
      </c>
      <c r="C2839">
        <v>6.4</v>
      </c>
      <c r="D2839">
        <v>1</v>
      </c>
      <c r="E2839" t="s">
        <v>6132</v>
      </c>
    </row>
    <row r="2840" spans="1:5" x14ac:dyDescent="0.35">
      <c r="A2840" t="s">
        <v>158</v>
      </c>
      <c r="B2840" s="16">
        <v>45915</v>
      </c>
      <c r="C2840">
        <v>7.1</v>
      </c>
      <c r="D2840">
        <v>1</v>
      </c>
      <c r="E2840" t="s">
        <v>6132</v>
      </c>
    </row>
    <row r="2841" spans="1:5" x14ac:dyDescent="0.35">
      <c r="A2841" t="s">
        <v>158</v>
      </c>
      <c r="B2841" s="16">
        <v>45918</v>
      </c>
      <c r="C2841">
        <v>6.8</v>
      </c>
      <c r="D2841">
        <v>1</v>
      </c>
      <c r="E2841" t="s">
        <v>6132</v>
      </c>
    </row>
    <row r="2842" spans="1:5" x14ac:dyDescent="0.35">
      <c r="A2842" t="s">
        <v>158</v>
      </c>
      <c r="B2842" s="16">
        <v>45919</v>
      </c>
      <c r="C2842">
        <v>5.4</v>
      </c>
      <c r="D2842">
        <v>0</v>
      </c>
      <c r="E2842" t="s">
        <v>6132</v>
      </c>
    </row>
    <row r="2843" spans="1:5" x14ac:dyDescent="0.35">
      <c r="A2843" t="s">
        <v>158</v>
      </c>
      <c r="B2843" s="16">
        <v>45922</v>
      </c>
      <c r="C2843">
        <v>6.5</v>
      </c>
      <c r="D2843">
        <v>2</v>
      </c>
      <c r="E2843" t="s">
        <v>6132</v>
      </c>
    </row>
    <row r="2844" spans="1:5" x14ac:dyDescent="0.35">
      <c r="A2844" t="s">
        <v>158</v>
      </c>
      <c r="B2844" s="16">
        <v>45925</v>
      </c>
      <c r="C2844">
        <v>7.8</v>
      </c>
      <c r="D2844">
        <v>1</v>
      </c>
      <c r="E2844" t="s">
        <v>6132</v>
      </c>
    </row>
    <row r="2845" spans="1:5" x14ac:dyDescent="0.35">
      <c r="A2845" t="s">
        <v>158</v>
      </c>
      <c r="B2845" s="16">
        <v>45930</v>
      </c>
      <c r="C2845">
        <v>4.9000000000000004</v>
      </c>
      <c r="D2845">
        <v>2</v>
      </c>
      <c r="E2845" t="s">
        <v>6132</v>
      </c>
    </row>
    <row r="2846" spans="1:5" x14ac:dyDescent="0.35">
      <c r="A2846" t="s">
        <v>158</v>
      </c>
      <c r="B2846" s="16">
        <v>45931</v>
      </c>
      <c r="C2846">
        <v>5.9</v>
      </c>
      <c r="D2846">
        <v>0</v>
      </c>
      <c r="E2846" t="s">
        <v>6132</v>
      </c>
    </row>
    <row r="2847" spans="1:5" x14ac:dyDescent="0.35">
      <c r="A2847" t="s">
        <v>158</v>
      </c>
      <c r="B2847" s="16">
        <v>45932</v>
      </c>
      <c r="C2847">
        <v>5.7</v>
      </c>
      <c r="D2847">
        <v>0</v>
      </c>
      <c r="E2847" t="s">
        <v>6132</v>
      </c>
    </row>
    <row r="2848" spans="1:5" x14ac:dyDescent="0.35">
      <c r="A2848" t="s">
        <v>158</v>
      </c>
      <c r="B2848" s="16">
        <v>45933</v>
      </c>
      <c r="C2848">
        <v>6.3</v>
      </c>
      <c r="D2848">
        <v>0</v>
      </c>
      <c r="E2848" t="s">
        <v>6134</v>
      </c>
    </row>
    <row r="2849" spans="1:5" x14ac:dyDescent="0.35">
      <c r="A2849" t="s">
        <v>158</v>
      </c>
      <c r="B2849" s="16">
        <v>45936</v>
      </c>
      <c r="C2849">
        <v>8.1</v>
      </c>
      <c r="D2849">
        <v>0</v>
      </c>
      <c r="E2849" t="s">
        <v>6134</v>
      </c>
    </row>
    <row r="2850" spans="1:5" x14ac:dyDescent="0.35">
      <c r="A2850" t="s">
        <v>158</v>
      </c>
      <c r="B2850" s="16">
        <v>45939</v>
      </c>
      <c r="C2850">
        <v>4.5</v>
      </c>
      <c r="D2850">
        <v>2</v>
      </c>
      <c r="E2850" t="s">
        <v>6132</v>
      </c>
    </row>
    <row r="2851" spans="1:5" x14ac:dyDescent="0.35">
      <c r="A2851" t="s">
        <v>158</v>
      </c>
      <c r="B2851" s="16">
        <v>45943</v>
      </c>
      <c r="D2851">
        <v>1</v>
      </c>
      <c r="E2851" t="s">
        <v>6132</v>
      </c>
    </row>
    <row r="2852" spans="1:5" x14ac:dyDescent="0.35">
      <c r="A2852" t="s">
        <v>158</v>
      </c>
      <c r="B2852" s="16">
        <v>45944</v>
      </c>
      <c r="C2852">
        <v>8.6</v>
      </c>
      <c r="D2852">
        <v>2</v>
      </c>
      <c r="E2852" t="s">
        <v>6132</v>
      </c>
    </row>
    <row r="2853" spans="1:5" x14ac:dyDescent="0.35">
      <c r="A2853" t="s">
        <v>158</v>
      </c>
      <c r="B2853" s="16">
        <v>45951</v>
      </c>
      <c r="C2853">
        <v>7.7</v>
      </c>
      <c r="D2853">
        <v>1</v>
      </c>
      <c r="E2853" t="s">
        <v>6132</v>
      </c>
    </row>
    <row r="2854" spans="1:5" x14ac:dyDescent="0.35">
      <c r="A2854" t="s">
        <v>158</v>
      </c>
      <c r="B2854" s="16">
        <v>45953</v>
      </c>
      <c r="C2854">
        <v>7.3</v>
      </c>
      <c r="D2854">
        <v>1</v>
      </c>
      <c r="E2854" t="s">
        <v>6132</v>
      </c>
    </row>
    <row r="2855" spans="1:5" x14ac:dyDescent="0.35">
      <c r="A2855" t="s">
        <v>158</v>
      </c>
      <c r="B2855" s="16">
        <v>45957</v>
      </c>
      <c r="C2855">
        <v>7.3</v>
      </c>
      <c r="D2855">
        <v>1</v>
      </c>
      <c r="E2855" t="s">
        <v>6132</v>
      </c>
    </row>
    <row r="2856" spans="1:5" x14ac:dyDescent="0.35">
      <c r="A2856" t="s">
        <v>158</v>
      </c>
      <c r="B2856" s="16">
        <v>45958</v>
      </c>
      <c r="C2856">
        <v>7.3</v>
      </c>
      <c r="D2856">
        <v>0</v>
      </c>
      <c r="E2856" t="s">
        <v>6132</v>
      </c>
    </row>
    <row r="2857" spans="1:5" x14ac:dyDescent="0.35">
      <c r="A2857" t="s">
        <v>158</v>
      </c>
      <c r="B2857" s="16">
        <v>45961</v>
      </c>
      <c r="C2857">
        <v>4.2</v>
      </c>
      <c r="D2857">
        <v>1</v>
      </c>
      <c r="E2857" t="s">
        <v>6132</v>
      </c>
    </row>
    <row r="2858" spans="1:5" x14ac:dyDescent="0.35">
      <c r="A2858" t="s">
        <v>158</v>
      </c>
      <c r="B2858" s="16">
        <v>45964</v>
      </c>
      <c r="D2858">
        <v>2</v>
      </c>
      <c r="E2858" t="s">
        <v>6132</v>
      </c>
    </row>
    <row r="2859" spans="1:5" x14ac:dyDescent="0.35">
      <c r="A2859" t="s">
        <v>158</v>
      </c>
      <c r="B2859" s="16">
        <v>45965</v>
      </c>
      <c r="C2859">
        <v>6.7</v>
      </c>
      <c r="D2859">
        <v>0</v>
      </c>
      <c r="E2859" t="s">
        <v>6132</v>
      </c>
    </row>
    <row r="2860" spans="1:5" x14ac:dyDescent="0.35">
      <c r="A2860" t="s">
        <v>158</v>
      </c>
      <c r="B2860" s="16">
        <v>45966</v>
      </c>
      <c r="C2860">
        <v>5.6</v>
      </c>
      <c r="D2860">
        <v>1</v>
      </c>
      <c r="E2860" t="s">
        <v>6132</v>
      </c>
    </row>
    <row r="2861" spans="1:5" x14ac:dyDescent="0.35">
      <c r="A2861" t="s">
        <v>158</v>
      </c>
      <c r="B2861" s="16">
        <v>45967</v>
      </c>
      <c r="D2861">
        <v>0</v>
      </c>
      <c r="E2861" t="s">
        <v>6132</v>
      </c>
    </row>
    <row r="2862" spans="1:5" x14ac:dyDescent="0.35">
      <c r="A2862" t="s">
        <v>158</v>
      </c>
      <c r="B2862" s="16">
        <v>45972</v>
      </c>
      <c r="C2862">
        <v>5.3</v>
      </c>
      <c r="D2862">
        <v>1</v>
      </c>
      <c r="E2862" t="s">
        <v>6132</v>
      </c>
    </row>
    <row r="2863" spans="1:5" x14ac:dyDescent="0.35">
      <c r="A2863" t="s">
        <v>158</v>
      </c>
      <c r="B2863" s="16">
        <v>45973</v>
      </c>
      <c r="C2863">
        <v>7.5</v>
      </c>
      <c r="D2863">
        <v>0</v>
      </c>
      <c r="E2863" t="s">
        <v>6132</v>
      </c>
    </row>
    <row r="2864" spans="1:5" x14ac:dyDescent="0.35">
      <c r="A2864" t="s">
        <v>158</v>
      </c>
      <c r="B2864" s="16">
        <v>45974</v>
      </c>
      <c r="C2864">
        <v>8.1999999999999993</v>
      </c>
      <c r="D2864">
        <v>1</v>
      </c>
      <c r="E2864" t="s">
        <v>6132</v>
      </c>
    </row>
    <row r="2865" spans="1:5" x14ac:dyDescent="0.35">
      <c r="A2865" t="s">
        <v>158</v>
      </c>
      <c r="B2865" s="16">
        <v>45978</v>
      </c>
      <c r="C2865">
        <v>6.5</v>
      </c>
      <c r="D2865">
        <v>4</v>
      </c>
      <c r="E2865" t="s">
        <v>6132</v>
      </c>
    </row>
    <row r="2866" spans="1:5" x14ac:dyDescent="0.35">
      <c r="A2866" t="s">
        <v>158</v>
      </c>
      <c r="B2866" s="16">
        <v>45985</v>
      </c>
      <c r="C2866">
        <v>7</v>
      </c>
      <c r="D2866">
        <v>0</v>
      </c>
      <c r="E2866" t="s">
        <v>6132</v>
      </c>
    </row>
    <row r="2867" spans="1:5" x14ac:dyDescent="0.35">
      <c r="A2867" t="s">
        <v>158</v>
      </c>
      <c r="B2867" s="16">
        <v>45986</v>
      </c>
      <c r="C2867">
        <v>8.5</v>
      </c>
      <c r="D2867">
        <v>2</v>
      </c>
      <c r="E2867" t="s">
        <v>6132</v>
      </c>
    </row>
    <row r="2868" spans="1:5" x14ac:dyDescent="0.35">
      <c r="A2868" t="s">
        <v>158</v>
      </c>
      <c r="B2868" s="16">
        <v>45988</v>
      </c>
      <c r="C2868">
        <v>4.5</v>
      </c>
      <c r="D2868">
        <v>3</v>
      </c>
      <c r="E2868" t="s">
        <v>6132</v>
      </c>
    </row>
    <row r="2869" spans="1:5" x14ac:dyDescent="0.35">
      <c r="A2869" t="s">
        <v>158</v>
      </c>
      <c r="B2869" s="16">
        <v>45993</v>
      </c>
      <c r="C2869">
        <v>5.0999999999999996</v>
      </c>
      <c r="D2869">
        <v>0</v>
      </c>
      <c r="E2869" t="s">
        <v>6132</v>
      </c>
    </row>
    <row r="2870" spans="1:5" x14ac:dyDescent="0.35">
      <c r="A2870" t="s">
        <v>158</v>
      </c>
      <c r="B2870" s="16">
        <v>45996</v>
      </c>
      <c r="C2870">
        <v>7.1</v>
      </c>
      <c r="D2870">
        <v>2</v>
      </c>
      <c r="E2870" t="s">
        <v>6132</v>
      </c>
    </row>
    <row r="2871" spans="1:5" x14ac:dyDescent="0.35">
      <c r="A2871" t="s">
        <v>158</v>
      </c>
      <c r="B2871" s="16">
        <v>45999</v>
      </c>
      <c r="C2871">
        <v>8.9</v>
      </c>
      <c r="D2871">
        <v>0</v>
      </c>
      <c r="E2871" t="s">
        <v>6133</v>
      </c>
    </row>
    <row r="2872" spans="1:5" x14ac:dyDescent="0.35">
      <c r="A2872" t="s">
        <v>158</v>
      </c>
      <c r="B2872" s="16">
        <v>46000</v>
      </c>
      <c r="C2872">
        <v>6.5</v>
      </c>
      <c r="D2872">
        <v>0</v>
      </c>
      <c r="E2872" t="s">
        <v>6132</v>
      </c>
    </row>
    <row r="2873" spans="1:5" x14ac:dyDescent="0.35">
      <c r="A2873" t="s">
        <v>158</v>
      </c>
      <c r="B2873" s="16">
        <v>46002</v>
      </c>
      <c r="C2873">
        <v>8.4</v>
      </c>
      <c r="D2873">
        <v>1</v>
      </c>
      <c r="E2873" t="s">
        <v>6132</v>
      </c>
    </row>
    <row r="2874" spans="1:5" x14ac:dyDescent="0.35">
      <c r="A2874" t="s">
        <v>158</v>
      </c>
      <c r="B2874" s="16">
        <v>46003</v>
      </c>
      <c r="C2874">
        <v>6.6</v>
      </c>
      <c r="D2874">
        <v>0</v>
      </c>
      <c r="E2874" t="s">
        <v>6132</v>
      </c>
    </row>
    <row r="2875" spans="1:5" x14ac:dyDescent="0.35">
      <c r="A2875" t="s">
        <v>158</v>
      </c>
      <c r="B2875" s="16">
        <v>46006</v>
      </c>
      <c r="C2875">
        <v>4.0999999999999996</v>
      </c>
      <c r="D2875">
        <v>1</v>
      </c>
      <c r="E2875" t="s">
        <v>6132</v>
      </c>
    </row>
    <row r="2876" spans="1:5" x14ac:dyDescent="0.35">
      <c r="A2876" t="s">
        <v>158</v>
      </c>
      <c r="B2876" s="16">
        <v>46007</v>
      </c>
      <c r="C2876">
        <v>5.6</v>
      </c>
      <c r="D2876">
        <v>1</v>
      </c>
      <c r="E2876" t="s">
        <v>6132</v>
      </c>
    </row>
    <row r="2877" spans="1:5" x14ac:dyDescent="0.35">
      <c r="A2877" t="s">
        <v>158</v>
      </c>
      <c r="B2877" s="16">
        <v>46008</v>
      </c>
      <c r="C2877">
        <v>5.4</v>
      </c>
      <c r="D2877">
        <v>0</v>
      </c>
      <c r="E2877" t="s">
        <v>6132</v>
      </c>
    </row>
    <row r="2878" spans="1:5" x14ac:dyDescent="0.35">
      <c r="A2878" t="s">
        <v>158</v>
      </c>
      <c r="B2878" s="16">
        <v>46009</v>
      </c>
      <c r="C2878">
        <v>7.6</v>
      </c>
      <c r="D2878">
        <v>2</v>
      </c>
      <c r="E2878" t="s">
        <v>6132</v>
      </c>
    </row>
    <row r="2879" spans="1:5" x14ac:dyDescent="0.35">
      <c r="A2879" t="s">
        <v>158</v>
      </c>
      <c r="B2879" s="16">
        <v>46013</v>
      </c>
      <c r="C2879">
        <v>7.8</v>
      </c>
      <c r="D2879">
        <v>0</v>
      </c>
      <c r="E2879" t="s">
        <v>6134</v>
      </c>
    </row>
    <row r="2880" spans="1:5" x14ac:dyDescent="0.35">
      <c r="A2880" t="s">
        <v>158</v>
      </c>
      <c r="B2880" s="16">
        <v>46016</v>
      </c>
      <c r="C2880">
        <v>5.3</v>
      </c>
      <c r="D2880">
        <v>2</v>
      </c>
      <c r="E2880" t="s">
        <v>6132</v>
      </c>
    </row>
    <row r="2881" spans="1:5" x14ac:dyDescent="0.35">
      <c r="A2881" t="s">
        <v>143</v>
      </c>
      <c r="B2881" s="16">
        <v>45658</v>
      </c>
      <c r="C2881">
        <v>5.3</v>
      </c>
      <c r="D2881">
        <v>0</v>
      </c>
      <c r="E2881" t="s">
        <v>6132</v>
      </c>
    </row>
    <row r="2882" spans="1:5" x14ac:dyDescent="0.35">
      <c r="A2882" t="s">
        <v>143</v>
      </c>
      <c r="B2882" s="16">
        <v>45659</v>
      </c>
      <c r="C2882">
        <v>8</v>
      </c>
      <c r="D2882">
        <v>3</v>
      </c>
      <c r="E2882" t="s">
        <v>6132</v>
      </c>
    </row>
    <row r="2883" spans="1:5" x14ac:dyDescent="0.35">
      <c r="A2883" t="s">
        <v>143</v>
      </c>
      <c r="B2883" s="16">
        <v>45663</v>
      </c>
      <c r="C2883">
        <v>6.3</v>
      </c>
      <c r="D2883">
        <v>0</v>
      </c>
      <c r="E2883" t="s">
        <v>6132</v>
      </c>
    </row>
    <row r="2884" spans="1:5" x14ac:dyDescent="0.35">
      <c r="A2884" t="s">
        <v>143</v>
      </c>
      <c r="B2884" s="16">
        <v>45665</v>
      </c>
      <c r="C2884">
        <v>5.3</v>
      </c>
      <c r="D2884">
        <v>1</v>
      </c>
      <c r="E2884" t="s">
        <v>6132</v>
      </c>
    </row>
    <row r="2885" spans="1:5" x14ac:dyDescent="0.35">
      <c r="A2885" t="s">
        <v>143</v>
      </c>
      <c r="B2885" s="16">
        <v>45671</v>
      </c>
      <c r="C2885">
        <v>8.1999999999999993</v>
      </c>
      <c r="D2885">
        <v>2</v>
      </c>
      <c r="E2885" t="s">
        <v>6132</v>
      </c>
    </row>
    <row r="2886" spans="1:5" x14ac:dyDescent="0.35">
      <c r="A2886" t="s">
        <v>143</v>
      </c>
      <c r="B2886" s="16">
        <v>45672</v>
      </c>
      <c r="C2886">
        <v>5</v>
      </c>
      <c r="D2886">
        <v>0</v>
      </c>
      <c r="E2886" t="s">
        <v>6132</v>
      </c>
    </row>
    <row r="2887" spans="1:5" x14ac:dyDescent="0.35">
      <c r="A2887" t="s">
        <v>143</v>
      </c>
      <c r="B2887" s="16">
        <v>45674</v>
      </c>
      <c r="C2887">
        <v>5</v>
      </c>
      <c r="D2887">
        <v>0</v>
      </c>
      <c r="E2887" t="s">
        <v>6132</v>
      </c>
    </row>
    <row r="2888" spans="1:5" x14ac:dyDescent="0.35">
      <c r="A2888" t="s">
        <v>143</v>
      </c>
      <c r="B2888" s="16">
        <v>45679</v>
      </c>
      <c r="C2888">
        <v>4.8</v>
      </c>
      <c r="D2888">
        <v>1</v>
      </c>
      <c r="E2888" t="s">
        <v>6132</v>
      </c>
    </row>
    <row r="2889" spans="1:5" x14ac:dyDescent="0.35">
      <c r="A2889" t="s">
        <v>143</v>
      </c>
      <c r="B2889" s="16">
        <v>45680</v>
      </c>
      <c r="C2889">
        <v>6.1</v>
      </c>
      <c r="D2889">
        <v>4</v>
      </c>
      <c r="E2889" t="s">
        <v>6132</v>
      </c>
    </row>
    <row r="2890" spans="1:5" x14ac:dyDescent="0.35">
      <c r="A2890" t="s">
        <v>143</v>
      </c>
      <c r="B2890" s="16">
        <v>45681</v>
      </c>
      <c r="C2890">
        <v>5.7</v>
      </c>
      <c r="D2890">
        <v>4</v>
      </c>
      <c r="E2890" t="s">
        <v>6132</v>
      </c>
    </row>
    <row r="2891" spans="1:5" x14ac:dyDescent="0.35">
      <c r="A2891" t="s">
        <v>143</v>
      </c>
      <c r="B2891" s="16">
        <v>45685</v>
      </c>
      <c r="C2891">
        <v>8.8000000000000007</v>
      </c>
      <c r="D2891">
        <v>0</v>
      </c>
      <c r="E2891" t="s">
        <v>6132</v>
      </c>
    </row>
    <row r="2892" spans="1:5" x14ac:dyDescent="0.35">
      <c r="A2892" t="s">
        <v>143</v>
      </c>
      <c r="B2892" s="16">
        <v>45688</v>
      </c>
      <c r="C2892">
        <v>6.1</v>
      </c>
      <c r="D2892">
        <v>0</v>
      </c>
      <c r="E2892" t="s">
        <v>6132</v>
      </c>
    </row>
    <row r="2893" spans="1:5" x14ac:dyDescent="0.35">
      <c r="A2893" t="s">
        <v>143</v>
      </c>
      <c r="B2893" s="16">
        <v>45692</v>
      </c>
      <c r="C2893">
        <v>5.8</v>
      </c>
      <c r="D2893">
        <v>0</v>
      </c>
      <c r="E2893" t="s">
        <v>6132</v>
      </c>
    </row>
    <row r="2894" spans="1:5" x14ac:dyDescent="0.35">
      <c r="A2894" t="s">
        <v>143</v>
      </c>
      <c r="B2894" s="16">
        <v>45701</v>
      </c>
      <c r="C2894">
        <v>7.4</v>
      </c>
      <c r="D2894">
        <v>0</v>
      </c>
      <c r="E2894" t="s">
        <v>6132</v>
      </c>
    </row>
    <row r="2895" spans="1:5" x14ac:dyDescent="0.35">
      <c r="A2895" t="s">
        <v>143</v>
      </c>
      <c r="B2895" s="16">
        <v>45702</v>
      </c>
      <c r="C2895">
        <v>4.5</v>
      </c>
      <c r="D2895">
        <v>3</v>
      </c>
      <c r="E2895" t="s">
        <v>6132</v>
      </c>
    </row>
    <row r="2896" spans="1:5" x14ac:dyDescent="0.35">
      <c r="A2896" t="s">
        <v>143</v>
      </c>
      <c r="B2896" s="16">
        <v>45709</v>
      </c>
      <c r="C2896">
        <v>4.4000000000000004</v>
      </c>
      <c r="D2896">
        <v>1</v>
      </c>
      <c r="E2896" t="s">
        <v>6132</v>
      </c>
    </row>
    <row r="2897" spans="1:5" x14ac:dyDescent="0.35">
      <c r="A2897" t="s">
        <v>143</v>
      </c>
      <c r="B2897" s="16">
        <v>45712</v>
      </c>
      <c r="C2897">
        <v>5.5</v>
      </c>
      <c r="D2897">
        <v>2</v>
      </c>
      <c r="E2897" t="s">
        <v>6132</v>
      </c>
    </row>
    <row r="2898" spans="1:5" x14ac:dyDescent="0.35">
      <c r="A2898" t="s">
        <v>143</v>
      </c>
      <c r="B2898" s="16">
        <v>45714</v>
      </c>
      <c r="C2898">
        <v>8.6999999999999993</v>
      </c>
      <c r="D2898">
        <v>0</v>
      </c>
      <c r="E2898" t="s">
        <v>6133</v>
      </c>
    </row>
    <row r="2899" spans="1:5" x14ac:dyDescent="0.35">
      <c r="A2899" t="s">
        <v>143</v>
      </c>
      <c r="B2899" s="16">
        <v>45723</v>
      </c>
      <c r="C2899">
        <v>4.2</v>
      </c>
      <c r="D2899">
        <v>0</v>
      </c>
      <c r="E2899" t="s">
        <v>6133</v>
      </c>
    </row>
    <row r="2900" spans="1:5" x14ac:dyDescent="0.35">
      <c r="A2900" t="s">
        <v>143</v>
      </c>
      <c r="B2900" s="16">
        <v>45726</v>
      </c>
      <c r="C2900">
        <v>8.9</v>
      </c>
      <c r="D2900">
        <v>0</v>
      </c>
      <c r="E2900" t="s">
        <v>6133</v>
      </c>
    </row>
    <row r="2901" spans="1:5" x14ac:dyDescent="0.35">
      <c r="A2901" t="s">
        <v>143</v>
      </c>
      <c r="B2901" s="16">
        <v>45727</v>
      </c>
      <c r="C2901">
        <v>8.6</v>
      </c>
      <c r="D2901">
        <v>1</v>
      </c>
      <c r="E2901" t="s">
        <v>6132</v>
      </c>
    </row>
    <row r="2902" spans="1:5" x14ac:dyDescent="0.35">
      <c r="A2902" t="s">
        <v>143</v>
      </c>
      <c r="B2902" s="16">
        <v>45728</v>
      </c>
      <c r="C2902">
        <v>7.2</v>
      </c>
      <c r="D2902">
        <v>1</v>
      </c>
      <c r="E2902" t="s">
        <v>6132</v>
      </c>
    </row>
    <row r="2903" spans="1:5" x14ac:dyDescent="0.35">
      <c r="A2903" t="s">
        <v>143</v>
      </c>
      <c r="B2903" s="16">
        <v>45729</v>
      </c>
      <c r="C2903">
        <v>5.2</v>
      </c>
      <c r="D2903">
        <v>3</v>
      </c>
      <c r="E2903" t="s">
        <v>6132</v>
      </c>
    </row>
    <row r="2904" spans="1:5" x14ac:dyDescent="0.35">
      <c r="A2904" t="s">
        <v>143</v>
      </c>
      <c r="B2904" s="16">
        <v>45730</v>
      </c>
      <c r="C2904">
        <v>4.0999999999999996</v>
      </c>
      <c r="D2904">
        <v>2</v>
      </c>
      <c r="E2904" t="s">
        <v>6132</v>
      </c>
    </row>
    <row r="2905" spans="1:5" x14ac:dyDescent="0.35">
      <c r="A2905" t="s">
        <v>143</v>
      </c>
      <c r="B2905" s="16">
        <v>45733</v>
      </c>
      <c r="C2905">
        <v>6.7</v>
      </c>
      <c r="D2905">
        <v>0</v>
      </c>
      <c r="E2905" t="s">
        <v>6134</v>
      </c>
    </row>
    <row r="2906" spans="1:5" x14ac:dyDescent="0.35">
      <c r="A2906" t="s">
        <v>143</v>
      </c>
      <c r="B2906" s="16">
        <v>45740</v>
      </c>
      <c r="C2906">
        <v>6.5</v>
      </c>
      <c r="D2906">
        <v>1</v>
      </c>
      <c r="E2906" t="s">
        <v>6132</v>
      </c>
    </row>
    <row r="2907" spans="1:5" x14ac:dyDescent="0.35">
      <c r="A2907" t="s">
        <v>143</v>
      </c>
      <c r="B2907" s="16">
        <v>45743</v>
      </c>
      <c r="C2907">
        <v>8.1</v>
      </c>
      <c r="D2907">
        <v>0</v>
      </c>
      <c r="E2907" t="s">
        <v>6132</v>
      </c>
    </row>
    <row r="2908" spans="1:5" x14ac:dyDescent="0.35">
      <c r="A2908" t="s">
        <v>143</v>
      </c>
      <c r="B2908" s="16">
        <v>45747</v>
      </c>
      <c r="C2908">
        <v>6.7</v>
      </c>
      <c r="D2908">
        <v>0</v>
      </c>
      <c r="E2908" t="s">
        <v>6134</v>
      </c>
    </row>
    <row r="2909" spans="1:5" x14ac:dyDescent="0.35">
      <c r="A2909" t="s">
        <v>143</v>
      </c>
      <c r="B2909" s="16">
        <v>45748</v>
      </c>
      <c r="C2909">
        <v>7.1</v>
      </c>
      <c r="D2909">
        <v>0</v>
      </c>
      <c r="E2909" t="s">
        <v>6132</v>
      </c>
    </row>
    <row r="2910" spans="1:5" x14ac:dyDescent="0.35">
      <c r="A2910" t="s">
        <v>143</v>
      </c>
      <c r="B2910" s="16">
        <v>45749</v>
      </c>
      <c r="D2910">
        <v>1</v>
      </c>
      <c r="E2910" t="s">
        <v>6132</v>
      </c>
    </row>
    <row r="2911" spans="1:5" x14ac:dyDescent="0.35">
      <c r="A2911" t="s">
        <v>143</v>
      </c>
      <c r="B2911" s="16">
        <v>45751</v>
      </c>
      <c r="C2911">
        <v>4.9000000000000004</v>
      </c>
      <c r="D2911">
        <v>0</v>
      </c>
      <c r="E2911" t="s">
        <v>6132</v>
      </c>
    </row>
    <row r="2912" spans="1:5" x14ac:dyDescent="0.35">
      <c r="A2912" t="s">
        <v>143</v>
      </c>
      <c r="B2912" s="16">
        <v>45754</v>
      </c>
      <c r="C2912">
        <v>8.5</v>
      </c>
      <c r="D2912">
        <v>2</v>
      </c>
      <c r="E2912" t="s">
        <v>6132</v>
      </c>
    </row>
    <row r="2913" spans="1:5" x14ac:dyDescent="0.35">
      <c r="A2913" t="s">
        <v>143</v>
      </c>
      <c r="B2913" s="16">
        <v>45755</v>
      </c>
      <c r="C2913">
        <v>7.9</v>
      </c>
      <c r="D2913">
        <v>8</v>
      </c>
      <c r="E2913" t="s">
        <v>6132</v>
      </c>
    </row>
    <row r="2914" spans="1:5" x14ac:dyDescent="0.35">
      <c r="A2914" t="s">
        <v>143</v>
      </c>
      <c r="B2914" s="16">
        <v>45761</v>
      </c>
      <c r="C2914">
        <v>6</v>
      </c>
      <c r="D2914">
        <v>1</v>
      </c>
      <c r="E2914" t="s">
        <v>6132</v>
      </c>
    </row>
    <row r="2915" spans="1:5" x14ac:dyDescent="0.35">
      <c r="A2915" t="s">
        <v>143</v>
      </c>
      <c r="B2915" s="16">
        <v>45762</v>
      </c>
      <c r="C2915">
        <v>8.4</v>
      </c>
      <c r="D2915">
        <v>1</v>
      </c>
      <c r="E2915" t="s">
        <v>6132</v>
      </c>
    </row>
    <row r="2916" spans="1:5" x14ac:dyDescent="0.35">
      <c r="A2916" t="s">
        <v>143</v>
      </c>
      <c r="B2916" s="16">
        <v>45763</v>
      </c>
      <c r="C2916">
        <v>5.6</v>
      </c>
      <c r="D2916">
        <v>0</v>
      </c>
      <c r="E2916" t="s">
        <v>6132</v>
      </c>
    </row>
    <row r="2917" spans="1:5" x14ac:dyDescent="0.35">
      <c r="A2917" t="s">
        <v>143</v>
      </c>
      <c r="B2917" s="16">
        <v>45764</v>
      </c>
      <c r="C2917">
        <v>4.4000000000000004</v>
      </c>
      <c r="D2917">
        <v>3</v>
      </c>
      <c r="E2917" t="s">
        <v>6132</v>
      </c>
    </row>
    <row r="2918" spans="1:5" x14ac:dyDescent="0.35">
      <c r="A2918" t="s">
        <v>143</v>
      </c>
      <c r="B2918" s="16">
        <v>45768</v>
      </c>
      <c r="C2918">
        <v>4.0999999999999996</v>
      </c>
      <c r="D2918">
        <v>2</v>
      </c>
      <c r="E2918" t="s">
        <v>6132</v>
      </c>
    </row>
    <row r="2919" spans="1:5" x14ac:dyDescent="0.35">
      <c r="A2919" t="s">
        <v>143</v>
      </c>
      <c r="B2919" s="16">
        <v>45769</v>
      </c>
      <c r="C2919">
        <v>5.2</v>
      </c>
      <c r="D2919">
        <v>0</v>
      </c>
      <c r="E2919" t="s">
        <v>6134</v>
      </c>
    </row>
    <row r="2920" spans="1:5" x14ac:dyDescent="0.35">
      <c r="A2920" t="s">
        <v>143</v>
      </c>
      <c r="B2920" s="16">
        <v>45771</v>
      </c>
      <c r="C2920">
        <v>7.7</v>
      </c>
      <c r="D2920">
        <v>2</v>
      </c>
      <c r="E2920" t="s">
        <v>6132</v>
      </c>
    </row>
    <row r="2921" spans="1:5" x14ac:dyDescent="0.35">
      <c r="A2921" t="s">
        <v>143</v>
      </c>
      <c r="B2921" s="16">
        <v>45772</v>
      </c>
      <c r="C2921">
        <v>6.8</v>
      </c>
      <c r="D2921">
        <v>0</v>
      </c>
      <c r="E2921" t="s">
        <v>6132</v>
      </c>
    </row>
    <row r="2922" spans="1:5" x14ac:dyDescent="0.35">
      <c r="A2922" t="s">
        <v>143</v>
      </c>
      <c r="B2922" s="16">
        <v>45775</v>
      </c>
      <c r="C2922">
        <v>6.9</v>
      </c>
      <c r="D2922">
        <v>0</v>
      </c>
      <c r="E2922" t="s">
        <v>6132</v>
      </c>
    </row>
    <row r="2923" spans="1:5" x14ac:dyDescent="0.35">
      <c r="A2923" t="s">
        <v>143</v>
      </c>
      <c r="B2923" s="16">
        <v>45776</v>
      </c>
      <c r="C2923">
        <v>4.8</v>
      </c>
      <c r="D2923">
        <v>1</v>
      </c>
      <c r="E2923" t="s">
        <v>6132</v>
      </c>
    </row>
    <row r="2924" spans="1:5" x14ac:dyDescent="0.35">
      <c r="A2924" t="s">
        <v>143</v>
      </c>
      <c r="B2924" s="16">
        <v>45777</v>
      </c>
      <c r="C2924">
        <v>8.6999999999999993</v>
      </c>
      <c r="D2924">
        <v>1</v>
      </c>
      <c r="E2924" t="s">
        <v>6132</v>
      </c>
    </row>
    <row r="2925" spans="1:5" x14ac:dyDescent="0.35">
      <c r="A2925" t="s">
        <v>143</v>
      </c>
      <c r="B2925" s="16">
        <v>45783</v>
      </c>
      <c r="C2925">
        <v>4.7</v>
      </c>
      <c r="D2925">
        <v>1</v>
      </c>
      <c r="E2925" t="s">
        <v>6132</v>
      </c>
    </row>
    <row r="2926" spans="1:5" x14ac:dyDescent="0.35">
      <c r="A2926" t="s">
        <v>143</v>
      </c>
      <c r="B2926" s="16">
        <v>45785</v>
      </c>
      <c r="C2926">
        <v>7.1</v>
      </c>
      <c r="D2926">
        <v>0</v>
      </c>
      <c r="E2926" t="s">
        <v>6132</v>
      </c>
    </row>
    <row r="2927" spans="1:5" x14ac:dyDescent="0.35">
      <c r="A2927" t="s">
        <v>143</v>
      </c>
      <c r="B2927" s="16">
        <v>45789</v>
      </c>
      <c r="C2927">
        <v>7.1</v>
      </c>
      <c r="D2927">
        <v>0</v>
      </c>
      <c r="E2927" t="s">
        <v>6132</v>
      </c>
    </row>
    <row r="2928" spans="1:5" x14ac:dyDescent="0.35">
      <c r="A2928" t="s">
        <v>143</v>
      </c>
      <c r="B2928" s="16">
        <v>45790</v>
      </c>
      <c r="C2928">
        <v>5.0999999999999996</v>
      </c>
      <c r="D2928">
        <v>3</v>
      </c>
      <c r="E2928" t="s">
        <v>6132</v>
      </c>
    </row>
    <row r="2929" spans="1:5" x14ac:dyDescent="0.35">
      <c r="A2929" t="s">
        <v>143</v>
      </c>
      <c r="B2929" s="16">
        <v>45793</v>
      </c>
      <c r="C2929">
        <v>7.1</v>
      </c>
      <c r="D2929">
        <v>0</v>
      </c>
      <c r="E2929" t="s">
        <v>6132</v>
      </c>
    </row>
    <row r="2930" spans="1:5" x14ac:dyDescent="0.35">
      <c r="A2930" t="s">
        <v>143</v>
      </c>
      <c r="B2930" s="16">
        <v>45797</v>
      </c>
      <c r="C2930">
        <v>4.2</v>
      </c>
      <c r="D2930">
        <v>0</v>
      </c>
      <c r="E2930" t="s">
        <v>6132</v>
      </c>
    </row>
    <row r="2931" spans="1:5" x14ac:dyDescent="0.35">
      <c r="A2931" t="s">
        <v>143</v>
      </c>
      <c r="B2931" s="16">
        <v>45798</v>
      </c>
      <c r="C2931">
        <v>6.5</v>
      </c>
      <c r="D2931">
        <v>3</v>
      </c>
      <c r="E2931" t="s">
        <v>6132</v>
      </c>
    </row>
    <row r="2932" spans="1:5" x14ac:dyDescent="0.35">
      <c r="A2932" t="s">
        <v>143</v>
      </c>
      <c r="B2932" s="16">
        <v>45799</v>
      </c>
      <c r="C2932">
        <v>7.8</v>
      </c>
      <c r="D2932">
        <v>2</v>
      </c>
      <c r="E2932" t="s">
        <v>6132</v>
      </c>
    </row>
    <row r="2933" spans="1:5" x14ac:dyDescent="0.35">
      <c r="A2933" t="s">
        <v>143</v>
      </c>
      <c r="B2933" s="16">
        <v>45800</v>
      </c>
      <c r="C2933">
        <v>4.8</v>
      </c>
      <c r="D2933">
        <v>1</v>
      </c>
      <c r="E2933" t="s">
        <v>6132</v>
      </c>
    </row>
    <row r="2934" spans="1:5" x14ac:dyDescent="0.35">
      <c r="A2934" t="s">
        <v>143</v>
      </c>
      <c r="B2934" s="16">
        <v>45805</v>
      </c>
      <c r="C2934">
        <v>8.6</v>
      </c>
      <c r="D2934">
        <v>1</v>
      </c>
      <c r="E2934" t="s">
        <v>6132</v>
      </c>
    </row>
    <row r="2935" spans="1:5" x14ac:dyDescent="0.35">
      <c r="A2935" t="s">
        <v>143</v>
      </c>
      <c r="B2935" s="16">
        <v>45807</v>
      </c>
      <c r="C2935">
        <v>6</v>
      </c>
      <c r="D2935">
        <v>0</v>
      </c>
      <c r="E2935" t="s">
        <v>6132</v>
      </c>
    </row>
    <row r="2936" spans="1:5" x14ac:dyDescent="0.35">
      <c r="A2936" t="s">
        <v>143</v>
      </c>
      <c r="B2936" s="16">
        <v>45811</v>
      </c>
      <c r="C2936">
        <v>7.8</v>
      </c>
      <c r="D2936">
        <v>0</v>
      </c>
      <c r="E2936" t="s">
        <v>6132</v>
      </c>
    </row>
    <row r="2937" spans="1:5" x14ac:dyDescent="0.35">
      <c r="A2937" t="s">
        <v>143</v>
      </c>
      <c r="B2937" s="16">
        <v>45813</v>
      </c>
      <c r="C2937">
        <v>4.8</v>
      </c>
      <c r="D2937">
        <v>0</v>
      </c>
      <c r="E2937" t="s">
        <v>6132</v>
      </c>
    </row>
    <row r="2938" spans="1:5" x14ac:dyDescent="0.35">
      <c r="A2938" t="s">
        <v>143</v>
      </c>
      <c r="B2938" s="16">
        <v>45814</v>
      </c>
      <c r="C2938">
        <v>4.5</v>
      </c>
      <c r="D2938">
        <v>0</v>
      </c>
      <c r="E2938" t="s">
        <v>6132</v>
      </c>
    </row>
    <row r="2939" spans="1:5" x14ac:dyDescent="0.35">
      <c r="A2939" t="s">
        <v>143</v>
      </c>
      <c r="B2939" s="16">
        <v>45818</v>
      </c>
      <c r="C2939">
        <v>5.8</v>
      </c>
      <c r="D2939">
        <v>1</v>
      </c>
      <c r="E2939" t="s">
        <v>6132</v>
      </c>
    </row>
    <row r="2940" spans="1:5" x14ac:dyDescent="0.35">
      <c r="A2940" t="s">
        <v>143</v>
      </c>
      <c r="B2940" s="16">
        <v>45820</v>
      </c>
      <c r="C2940">
        <v>5.9</v>
      </c>
      <c r="D2940">
        <v>0</v>
      </c>
      <c r="E2940" t="s">
        <v>6132</v>
      </c>
    </row>
    <row r="2941" spans="1:5" x14ac:dyDescent="0.35">
      <c r="A2941" t="s">
        <v>143</v>
      </c>
      <c r="B2941" s="16">
        <v>45827</v>
      </c>
      <c r="C2941">
        <v>5.5</v>
      </c>
      <c r="D2941">
        <v>3</v>
      </c>
      <c r="E2941" t="s">
        <v>6132</v>
      </c>
    </row>
    <row r="2942" spans="1:5" x14ac:dyDescent="0.35">
      <c r="A2942" t="s">
        <v>143</v>
      </c>
      <c r="B2942" s="16">
        <v>45828</v>
      </c>
      <c r="C2942">
        <v>5.6</v>
      </c>
      <c r="D2942">
        <v>2</v>
      </c>
      <c r="E2942" t="s">
        <v>6132</v>
      </c>
    </row>
    <row r="2943" spans="1:5" x14ac:dyDescent="0.35">
      <c r="A2943" t="s">
        <v>143</v>
      </c>
      <c r="B2943" s="16">
        <v>45831</v>
      </c>
      <c r="C2943">
        <v>6</v>
      </c>
      <c r="D2943">
        <v>0</v>
      </c>
      <c r="E2943" t="s">
        <v>6132</v>
      </c>
    </row>
    <row r="2944" spans="1:5" x14ac:dyDescent="0.35">
      <c r="A2944" t="s">
        <v>143</v>
      </c>
      <c r="B2944" s="16">
        <v>45833</v>
      </c>
      <c r="C2944">
        <v>6.2</v>
      </c>
      <c r="D2944">
        <v>0</v>
      </c>
      <c r="E2944" t="s">
        <v>6132</v>
      </c>
    </row>
    <row r="2945" spans="1:5" x14ac:dyDescent="0.35">
      <c r="A2945" t="s">
        <v>143</v>
      </c>
      <c r="B2945" s="16">
        <v>45835</v>
      </c>
      <c r="C2945">
        <v>4.2</v>
      </c>
      <c r="D2945">
        <v>3</v>
      </c>
      <c r="E2945" t="s">
        <v>6132</v>
      </c>
    </row>
    <row r="2946" spans="1:5" x14ac:dyDescent="0.35">
      <c r="A2946" t="s">
        <v>143</v>
      </c>
      <c r="B2946" s="16">
        <v>45838</v>
      </c>
      <c r="C2946">
        <v>6.5</v>
      </c>
      <c r="D2946">
        <v>5</v>
      </c>
      <c r="E2946" t="s">
        <v>6132</v>
      </c>
    </row>
    <row r="2947" spans="1:5" x14ac:dyDescent="0.35">
      <c r="A2947" t="s">
        <v>143</v>
      </c>
      <c r="B2947" s="16">
        <v>45840</v>
      </c>
      <c r="C2947">
        <v>5.6</v>
      </c>
      <c r="D2947">
        <v>1</v>
      </c>
      <c r="E2947" t="s">
        <v>6132</v>
      </c>
    </row>
    <row r="2948" spans="1:5" x14ac:dyDescent="0.35">
      <c r="A2948" t="s">
        <v>143</v>
      </c>
      <c r="B2948" s="16">
        <v>45841</v>
      </c>
      <c r="C2948">
        <v>5.3</v>
      </c>
      <c r="D2948">
        <v>0</v>
      </c>
      <c r="E2948" t="s">
        <v>6132</v>
      </c>
    </row>
    <row r="2949" spans="1:5" x14ac:dyDescent="0.35">
      <c r="A2949" t="s">
        <v>143</v>
      </c>
      <c r="B2949" s="16">
        <v>45842</v>
      </c>
      <c r="C2949">
        <v>7</v>
      </c>
      <c r="D2949">
        <v>1</v>
      </c>
      <c r="E2949" t="s">
        <v>6132</v>
      </c>
    </row>
    <row r="2950" spans="1:5" x14ac:dyDescent="0.35">
      <c r="A2950" t="s">
        <v>143</v>
      </c>
      <c r="B2950" s="16">
        <v>45846</v>
      </c>
      <c r="C2950">
        <v>7.6</v>
      </c>
      <c r="D2950">
        <v>1</v>
      </c>
      <c r="E2950" t="s">
        <v>6132</v>
      </c>
    </row>
    <row r="2951" spans="1:5" x14ac:dyDescent="0.35">
      <c r="A2951" t="s">
        <v>143</v>
      </c>
      <c r="B2951" s="16">
        <v>45847</v>
      </c>
      <c r="C2951">
        <v>5.0999999999999996</v>
      </c>
      <c r="D2951">
        <v>0</v>
      </c>
      <c r="E2951" t="s">
        <v>6132</v>
      </c>
    </row>
    <row r="2952" spans="1:5" x14ac:dyDescent="0.35">
      <c r="A2952" t="s">
        <v>143</v>
      </c>
      <c r="B2952" s="16">
        <v>45848</v>
      </c>
      <c r="C2952">
        <v>8.4</v>
      </c>
      <c r="D2952">
        <v>2</v>
      </c>
      <c r="E2952" t="s">
        <v>6132</v>
      </c>
    </row>
    <row r="2953" spans="1:5" x14ac:dyDescent="0.35">
      <c r="A2953" t="s">
        <v>143</v>
      </c>
      <c r="B2953" s="16">
        <v>45853</v>
      </c>
      <c r="C2953">
        <v>7.4</v>
      </c>
      <c r="D2953">
        <v>2</v>
      </c>
      <c r="E2953" t="s">
        <v>6132</v>
      </c>
    </row>
    <row r="2954" spans="1:5" x14ac:dyDescent="0.35">
      <c r="A2954" t="s">
        <v>143</v>
      </c>
      <c r="B2954" s="16">
        <v>45855</v>
      </c>
      <c r="C2954">
        <v>7.1</v>
      </c>
      <c r="D2954">
        <v>0</v>
      </c>
      <c r="E2954" t="s">
        <v>6133</v>
      </c>
    </row>
    <row r="2955" spans="1:5" x14ac:dyDescent="0.35">
      <c r="A2955" t="s">
        <v>143</v>
      </c>
      <c r="B2955" s="16">
        <v>45856</v>
      </c>
      <c r="C2955">
        <v>6.8</v>
      </c>
      <c r="D2955">
        <v>0</v>
      </c>
      <c r="E2955" t="s">
        <v>6133</v>
      </c>
    </row>
    <row r="2956" spans="1:5" x14ac:dyDescent="0.35">
      <c r="A2956" t="s">
        <v>143</v>
      </c>
      <c r="B2956" s="16">
        <v>45860</v>
      </c>
      <c r="C2956">
        <v>8.1999999999999993</v>
      </c>
      <c r="D2956">
        <v>0</v>
      </c>
      <c r="E2956" t="s">
        <v>6134</v>
      </c>
    </row>
    <row r="2957" spans="1:5" x14ac:dyDescent="0.35">
      <c r="A2957" t="s">
        <v>143</v>
      </c>
      <c r="B2957" s="16">
        <v>45862</v>
      </c>
      <c r="C2957">
        <v>8.4</v>
      </c>
      <c r="D2957">
        <v>0</v>
      </c>
      <c r="E2957" t="s">
        <v>6132</v>
      </c>
    </row>
    <row r="2958" spans="1:5" x14ac:dyDescent="0.35">
      <c r="A2958" t="s">
        <v>143</v>
      </c>
      <c r="B2958" s="16">
        <v>45867</v>
      </c>
      <c r="C2958">
        <v>5.7</v>
      </c>
      <c r="D2958">
        <v>4</v>
      </c>
      <c r="E2958" t="s">
        <v>6132</v>
      </c>
    </row>
    <row r="2959" spans="1:5" x14ac:dyDescent="0.35">
      <c r="A2959" t="s">
        <v>143</v>
      </c>
      <c r="B2959" s="16">
        <v>45868</v>
      </c>
      <c r="C2959">
        <v>4</v>
      </c>
      <c r="D2959">
        <v>5</v>
      </c>
      <c r="E2959" t="s">
        <v>6132</v>
      </c>
    </row>
    <row r="2960" spans="1:5" x14ac:dyDescent="0.35">
      <c r="A2960" t="s">
        <v>143</v>
      </c>
      <c r="B2960" s="16">
        <v>45875</v>
      </c>
      <c r="C2960">
        <v>5.0999999999999996</v>
      </c>
      <c r="D2960">
        <v>0</v>
      </c>
      <c r="E2960" t="s">
        <v>6134</v>
      </c>
    </row>
    <row r="2961" spans="1:5" x14ac:dyDescent="0.35">
      <c r="A2961" t="s">
        <v>143</v>
      </c>
      <c r="B2961" s="16">
        <v>45876</v>
      </c>
      <c r="C2961">
        <v>4.9000000000000004</v>
      </c>
      <c r="D2961">
        <v>3</v>
      </c>
      <c r="E2961" t="s">
        <v>6132</v>
      </c>
    </row>
    <row r="2962" spans="1:5" x14ac:dyDescent="0.35">
      <c r="A2962" t="s">
        <v>143</v>
      </c>
      <c r="B2962" s="16">
        <v>45877</v>
      </c>
      <c r="C2962">
        <v>5.5</v>
      </c>
      <c r="D2962">
        <v>1</v>
      </c>
      <c r="E2962" t="s">
        <v>6132</v>
      </c>
    </row>
    <row r="2963" spans="1:5" x14ac:dyDescent="0.35">
      <c r="A2963" t="s">
        <v>143</v>
      </c>
      <c r="B2963" s="16">
        <v>45880</v>
      </c>
      <c r="C2963">
        <v>4.7</v>
      </c>
      <c r="D2963">
        <v>1</v>
      </c>
      <c r="E2963" t="s">
        <v>6132</v>
      </c>
    </row>
    <row r="2964" spans="1:5" x14ac:dyDescent="0.35">
      <c r="A2964" t="s">
        <v>143</v>
      </c>
      <c r="B2964" s="16">
        <v>45884</v>
      </c>
      <c r="C2964">
        <v>4.4000000000000004</v>
      </c>
      <c r="D2964">
        <v>1</v>
      </c>
      <c r="E2964" t="s">
        <v>6132</v>
      </c>
    </row>
    <row r="2965" spans="1:5" x14ac:dyDescent="0.35">
      <c r="A2965" t="s">
        <v>143</v>
      </c>
      <c r="B2965" s="16">
        <v>45887</v>
      </c>
      <c r="C2965">
        <v>8.6999999999999993</v>
      </c>
      <c r="D2965">
        <v>1</v>
      </c>
      <c r="E2965" t="s">
        <v>6132</v>
      </c>
    </row>
    <row r="2966" spans="1:5" x14ac:dyDescent="0.35">
      <c r="A2966" t="s">
        <v>143</v>
      </c>
      <c r="B2966" s="16">
        <v>45890</v>
      </c>
      <c r="C2966">
        <v>4.9000000000000004</v>
      </c>
      <c r="D2966">
        <v>2</v>
      </c>
      <c r="E2966" t="s">
        <v>6132</v>
      </c>
    </row>
    <row r="2967" spans="1:5" x14ac:dyDescent="0.35">
      <c r="A2967" t="s">
        <v>143</v>
      </c>
      <c r="B2967" s="16">
        <v>45901</v>
      </c>
      <c r="C2967">
        <v>8.5</v>
      </c>
      <c r="D2967">
        <v>3</v>
      </c>
      <c r="E2967" t="s">
        <v>6132</v>
      </c>
    </row>
    <row r="2968" spans="1:5" x14ac:dyDescent="0.35">
      <c r="A2968" t="s">
        <v>143</v>
      </c>
      <c r="B2968" s="16">
        <v>45905</v>
      </c>
      <c r="C2968">
        <v>7.7</v>
      </c>
      <c r="D2968">
        <v>2</v>
      </c>
      <c r="E2968" t="s">
        <v>6132</v>
      </c>
    </row>
    <row r="2969" spans="1:5" x14ac:dyDescent="0.35">
      <c r="A2969" t="s">
        <v>143</v>
      </c>
      <c r="B2969" s="16">
        <v>45909</v>
      </c>
      <c r="C2969">
        <v>8.6</v>
      </c>
      <c r="D2969">
        <v>3</v>
      </c>
      <c r="E2969" t="s">
        <v>6132</v>
      </c>
    </row>
    <row r="2970" spans="1:5" x14ac:dyDescent="0.35">
      <c r="A2970" t="s">
        <v>143</v>
      </c>
      <c r="B2970" s="16">
        <v>45910</v>
      </c>
      <c r="C2970">
        <v>4.7</v>
      </c>
      <c r="D2970">
        <v>0</v>
      </c>
      <c r="E2970" t="s">
        <v>6132</v>
      </c>
    </row>
    <row r="2971" spans="1:5" x14ac:dyDescent="0.35">
      <c r="A2971" t="s">
        <v>143</v>
      </c>
      <c r="B2971" s="16">
        <v>45911</v>
      </c>
      <c r="C2971">
        <v>6.8</v>
      </c>
      <c r="D2971">
        <v>0</v>
      </c>
      <c r="E2971" t="s">
        <v>6132</v>
      </c>
    </row>
    <row r="2972" spans="1:5" x14ac:dyDescent="0.35">
      <c r="A2972" t="s">
        <v>143</v>
      </c>
      <c r="B2972" s="16">
        <v>45916</v>
      </c>
      <c r="C2972">
        <v>6.1</v>
      </c>
      <c r="D2972">
        <v>0</v>
      </c>
      <c r="E2972" t="s">
        <v>6132</v>
      </c>
    </row>
    <row r="2973" spans="1:5" x14ac:dyDescent="0.35">
      <c r="A2973" t="s">
        <v>143</v>
      </c>
      <c r="B2973" s="16">
        <v>45917</v>
      </c>
      <c r="C2973">
        <v>6.2</v>
      </c>
      <c r="D2973">
        <v>1</v>
      </c>
      <c r="E2973" t="s">
        <v>6132</v>
      </c>
    </row>
    <row r="2974" spans="1:5" x14ac:dyDescent="0.35">
      <c r="A2974" t="s">
        <v>143</v>
      </c>
      <c r="B2974" s="16">
        <v>45922</v>
      </c>
      <c r="C2974">
        <v>7.1</v>
      </c>
      <c r="D2974">
        <v>0</v>
      </c>
      <c r="E2974" t="s">
        <v>6132</v>
      </c>
    </row>
    <row r="2975" spans="1:5" x14ac:dyDescent="0.35">
      <c r="A2975" t="s">
        <v>143</v>
      </c>
      <c r="B2975" s="16">
        <v>45924</v>
      </c>
      <c r="C2975">
        <v>8.3000000000000007</v>
      </c>
      <c r="D2975">
        <v>2</v>
      </c>
      <c r="E2975" t="s">
        <v>6132</v>
      </c>
    </row>
    <row r="2976" spans="1:5" x14ac:dyDescent="0.35">
      <c r="A2976" t="s">
        <v>143</v>
      </c>
      <c r="B2976" s="16">
        <v>45925</v>
      </c>
      <c r="C2976">
        <v>6</v>
      </c>
      <c r="D2976">
        <v>0</v>
      </c>
      <c r="E2976" t="s">
        <v>6132</v>
      </c>
    </row>
    <row r="2977" spans="1:5" x14ac:dyDescent="0.35">
      <c r="A2977" t="s">
        <v>143</v>
      </c>
      <c r="B2977" s="16">
        <v>45931</v>
      </c>
      <c r="C2977">
        <v>4.2</v>
      </c>
      <c r="D2977">
        <v>0</v>
      </c>
      <c r="E2977" t="s">
        <v>6132</v>
      </c>
    </row>
    <row r="2978" spans="1:5" x14ac:dyDescent="0.35">
      <c r="A2978" t="s">
        <v>143</v>
      </c>
      <c r="B2978" s="16">
        <v>45932</v>
      </c>
      <c r="C2978">
        <v>5.2</v>
      </c>
      <c r="D2978">
        <v>0</v>
      </c>
      <c r="E2978" t="s">
        <v>6132</v>
      </c>
    </row>
    <row r="2979" spans="1:5" x14ac:dyDescent="0.35">
      <c r="A2979" t="s">
        <v>143</v>
      </c>
      <c r="B2979" s="16">
        <v>45936</v>
      </c>
      <c r="C2979">
        <v>6.4</v>
      </c>
      <c r="D2979">
        <v>2</v>
      </c>
      <c r="E2979" t="s">
        <v>6132</v>
      </c>
    </row>
    <row r="2980" spans="1:5" x14ac:dyDescent="0.35">
      <c r="A2980" t="s">
        <v>143</v>
      </c>
      <c r="B2980" s="16">
        <v>45937</v>
      </c>
      <c r="D2980">
        <v>2</v>
      </c>
      <c r="E2980" t="s">
        <v>6132</v>
      </c>
    </row>
    <row r="2981" spans="1:5" x14ac:dyDescent="0.35">
      <c r="A2981" t="s">
        <v>143</v>
      </c>
      <c r="B2981" s="16">
        <v>45939</v>
      </c>
      <c r="C2981">
        <v>6.2</v>
      </c>
      <c r="D2981">
        <v>3</v>
      </c>
      <c r="E2981" t="s">
        <v>6132</v>
      </c>
    </row>
    <row r="2982" spans="1:5" x14ac:dyDescent="0.35">
      <c r="A2982" t="s">
        <v>143</v>
      </c>
      <c r="B2982" s="16">
        <v>45940</v>
      </c>
      <c r="C2982">
        <v>6.9</v>
      </c>
      <c r="D2982">
        <v>0</v>
      </c>
      <c r="E2982" t="s">
        <v>6134</v>
      </c>
    </row>
    <row r="2983" spans="1:5" x14ac:dyDescent="0.35">
      <c r="A2983" t="s">
        <v>143</v>
      </c>
      <c r="B2983" s="16">
        <v>45943</v>
      </c>
      <c r="C2983">
        <v>4.2</v>
      </c>
      <c r="D2983">
        <v>1</v>
      </c>
      <c r="E2983" t="s">
        <v>6132</v>
      </c>
    </row>
    <row r="2984" spans="1:5" x14ac:dyDescent="0.35">
      <c r="A2984" t="s">
        <v>143</v>
      </c>
      <c r="B2984" s="16">
        <v>45944</v>
      </c>
      <c r="D2984">
        <v>1</v>
      </c>
      <c r="E2984" t="s">
        <v>6132</v>
      </c>
    </row>
    <row r="2985" spans="1:5" x14ac:dyDescent="0.35">
      <c r="A2985" t="s">
        <v>143</v>
      </c>
      <c r="B2985" s="16">
        <v>45946</v>
      </c>
      <c r="C2985">
        <v>8.3000000000000007</v>
      </c>
      <c r="D2985">
        <v>0</v>
      </c>
      <c r="E2985" t="s">
        <v>6132</v>
      </c>
    </row>
    <row r="2986" spans="1:5" x14ac:dyDescent="0.35">
      <c r="A2986" t="s">
        <v>143</v>
      </c>
      <c r="B2986" s="16">
        <v>45947</v>
      </c>
      <c r="C2986">
        <v>5.2</v>
      </c>
      <c r="D2986">
        <v>0</v>
      </c>
      <c r="E2986" t="s">
        <v>6132</v>
      </c>
    </row>
    <row r="2987" spans="1:5" x14ac:dyDescent="0.35">
      <c r="A2987" t="s">
        <v>143</v>
      </c>
      <c r="B2987" s="16">
        <v>45950</v>
      </c>
      <c r="C2987">
        <v>7.7</v>
      </c>
      <c r="D2987">
        <v>1</v>
      </c>
      <c r="E2987" t="s">
        <v>6132</v>
      </c>
    </row>
    <row r="2988" spans="1:5" x14ac:dyDescent="0.35">
      <c r="A2988" t="s">
        <v>143</v>
      </c>
      <c r="B2988" s="16">
        <v>45951</v>
      </c>
      <c r="C2988">
        <v>7.2</v>
      </c>
      <c r="D2988">
        <v>3</v>
      </c>
      <c r="E2988" t="s">
        <v>6132</v>
      </c>
    </row>
    <row r="2989" spans="1:5" x14ac:dyDescent="0.35">
      <c r="A2989" t="s">
        <v>143</v>
      </c>
      <c r="B2989" s="16">
        <v>45952</v>
      </c>
      <c r="C2989">
        <v>6.6</v>
      </c>
      <c r="D2989">
        <v>2</v>
      </c>
      <c r="E2989" t="s">
        <v>6132</v>
      </c>
    </row>
    <row r="2990" spans="1:5" x14ac:dyDescent="0.35">
      <c r="A2990" t="s">
        <v>143</v>
      </c>
      <c r="B2990" s="16">
        <v>45953</v>
      </c>
      <c r="C2990">
        <v>7.4</v>
      </c>
      <c r="D2990">
        <v>1</v>
      </c>
      <c r="E2990" t="s">
        <v>6132</v>
      </c>
    </row>
    <row r="2991" spans="1:5" x14ac:dyDescent="0.35">
      <c r="A2991" t="s">
        <v>143</v>
      </c>
      <c r="B2991" s="16">
        <v>45954</v>
      </c>
      <c r="C2991">
        <v>8.1</v>
      </c>
      <c r="D2991">
        <v>3</v>
      </c>
      <c r="E2991" t="s">
        <v>6132</v>
      </c>
    </row>
    <row r="2992" spans="1:5" x14ac:dyDescent="0.35">
      <c r="A2992" t="s">
        <v>143</v>
      </c>
      <c r="B2992" s="16">
        <v>45957</v>
      </c>
      <c r="C2992">
        <v>4.8</v>
      </c>
      <c r="D2992">
        <v>0</v>
      </c>
      <c r="E2992" t="s">
        <v>6132</v>
      </c>
    </row>
    <row r="2993" spans="1:5" x14ac:dyDescent="0.35">
      <c r="A2993" t="s">
        <v>143</v>
      </c>
      <c r="B2993" s="16">
        <v>45960</v>
      </c>
      <c r="C2993">
        <v>6.9</v>
      </c>
      <c r="D2993">
        <v>0</v>
      </c>
      <c r="E2993" t="s">
        <v>6132</v>
      </c>
    </row>
    <row r="2994" spans="1:5" x14ac:dyDescent="0.35">
      <c r="A2994" t="s">
        <v>143</v>
      </c>
      <c r="B2994" s="16">
        <v>45965</v>
      </c>
      <c r="C2994">
        <v>6.6</v>
      </c>
      <c r="D2994">
        <v>1</v>
      </c>
      <c r="E2994" t="s">
        <v>6132</v>
      </c>
    </row>
    <row r="2995" spans="1:5" x14ac:dyDescent="0.35">
      <c r="A2995" t="s">
        <v>143</v>
      </c>
      <c r="B2995" s="16">
        <v>45968</v>
      </c>
      <c r="C2995">
        <v>5.4</v>
      </c>
      <c r="D2995">
        <v>2</v>
      </c>
      <c r="E2995" t="s">
        <v>6132</v>
      </c>
    </row>
    <row r="2996" spans="1:5" x14ac:dyDescent="0.35">
      <c r="A2996" t="s">
        <v>143</v>
      </c>
      <c r="B2996" s="16">
        <v>45971</v>
      </c>
      <c r="C2996">
        <v>7.6</v>
      </c>
      <c r="D2996">
        <v>2</v>
      </c>
      <c r="E2996" t="s">
        <v>6132</v>
      </c>
    </row>
    <row r="2997" spans="1:5" x14ac:dyDescent="0.35">
      <c r="A2997" t="s">
        <v>143</v>
      </c>
      <c r="B2997" s="16">
        <v>45980</v>
      </c>
      <c r="C2997">
        <v>6.8</v>
      </c>
      <c r="D2997">
        <v>0</v>
      </c>
      <c r="E2997" t="s">
        <v>6132</v>
      </c>
    </row>
    <row r="2998" spans="1:5" x14ac:dyDescent="0.35">
      <c r="A2998" t="s">
        <v>143</v>
      </c>
      <c r="B2998" s="16">
        <v>45981</v>
      </c>
      <c r="C2998">
        <v>7.7</v>
      </c>
      <c r="D2998">
        <v>2</v>
      </c>
      <c r="E2998" t="s">
        <v>6132</v>
      </c>
    </row>
    <row r="2999" spans="1:5" x14ac:dyDescent="0.35">
      <c r="A2999" t="s">
        <v>143</v>
      </c>
      <c r="B2999" s="16">
        <v>45985</v>
      </c>
      <c r="C2999">
        <v>5.5</v>
      </c>
      <c r="D2999">
        <v>0</v>
      </c>
      <c r="E2999" t="s">
        <v>6132</v>
      </c>
    </row>
    <row r="3000" spans="1:5" x14ac:dyDescent="0.35">
      <c r="A3000" t="s">
        <v>143</v>
      </c>
      <c r="B3000" s="16">
        <v>45986</v>
      </c>
      <c r="C3000">
        <v>4.4000000000000004</v>
      </c>
      <c r="D3000">
        <v>0</v>
      </c>
      <c r="E3000" t="s">
        <v>6132</v>
      </c>
    </row>
    <row r="3001" spans="1:5" x14ac:dyDescent="0.35">
      <c r="A3001" t="s">
        <v>143</v>
      </c>
      <c r="B3001" s="16">
        <v>45987</v>
      </c>
      <c r="C3001">
        <v>4.7</v>
      </c>
      <c r="D3001">
        <v>3</v>
      </c>
      <c r="E3001" t="s">
        <v>6132</v>
      </c>
    </row>
    <row r="3002" spans="1:5" x14ac:dyDescent="0.35">
      <c r="A3002" t="s">
        <v>143</v>
      </c>
      <c r="B3002" s="16">
        <v>45989</v>
      </c>
      <c r="D3002">
        <v>4</v>
      </c>
      <c r="E3002" t="s">
        <v>6132</v>
      </c>
    </row>
    <row r="3003" spans="1:5" x14ac:dyDescent="0.35">
      <c r="A3003" t="s">
        <v>143</v>
      </c>
      <c r="B3003" s="16">
        <v>45993</v>
      </c>
      <c r="C3003">
        <v>6.5</v>
      </c>
      <c r="D3003">
        <v>4</v>
      </c>
      <c r="E3003" t="s">
        <v>6132</v>
      </c>
    </row>
    <row r="3004" spans="1:5" x14ac:dyDescent="0.35">
      <c r="A3004" t="s">
        <v>143</v>
      </c>
      <c r="B3004" s="16">
        <v>45999</v>
      </c>
      <c r="D3004">
        <v>3</v>
      </c>
      <c r="E3004" t="s">
        <v>6132</v>
      </c>
    </row>
    <row r="3005" spans="1:5" x14ac:dyDescent="0.35">
      <c r="A3005" t="s">
        <v>143</v>
      </c>
      <c r="B3005" s="16">
        <v>46002</v>
      </c>
      <c r="C3005">
        <v>5.3</v>
      </c>
      <c r="D3005">
        <v>2</v>
      </c>
      <c r="E3005" t="s">
        <v>6132</v>
      </c>
    </row>
    <row r="3006" spans="1:5" x14ac:dyDescent="0.35">
      <c r="A3006" t="s">
        <v>143</v>
      </c>
      <c r="B3006" s="16">
        <v>46006</v>
      </c>
      <c r="C3006">
        <v>6.1</v>
      </c>
      <c r="D3006">
        <v>2</v>
      </c>
      <c r="E3006" t="s">
        <v>6132</v>
      </c>
    </row>
    <row r="3007" spans="1:5" x14ac:dyDescent="0.35">
      <c r="A3007" t="s">
        <v>143</v>
      </c>
      <c r="B3007" s="16">
        <v>46008</v>
      </c>
      <c r="C3007">
        <v>5</v>
      </c>
      <c r="D3007">
        <v>2</v>
      </c>
      <c r="E3007" t="s">
        <v>6132</v>
      </c>
    </row>
    <row r="3008" spans="1:5" x14ac:dyDescent="0.35">
      <c r="A3008" t="s">
        <v>143</v>
      </c>
      <c r="B3008" s="16">
        <v>46010</v>
      </c>
      <c r="C3008">
        <v>8.4</v>
      </c>
      <c r="D3008">
        <v>1</v>
      </c>
      <c r="E3008" t="s">
        <v>6132</v>
      </c>
    </row>
    <row r="3009" spans="1:5" x14ac:dyDescent="0.35">
      <c r="A3009" t="s">
        <v>143</v>
      </c>
      <c r="B3009" s="16">
        <v>46013</v>
      </c>
      <c r="C3009">
        <v>4.8</v>
      </c>
      <c r="D3009">
        <v>1</v>
      </c>
      <c r="E3009" t="s">
        <v>6132</v>
      </c>
    </row>
    <row r="3010" spans="1:5" x14ac:dyDescent="0.35">
      <c r="A3010" t="s">
        <v>143</v>
      </c>
      <c r="B3010" s="16">
        <v>46014</v>
      </c>
      <c r="C3010">
        <v>6.7</v>
      </c>
      <c r="D3010">
        <v>3</v>
      </c>
      <c r="E3010" t="s">
        <v>6132</v>
      </c>
    </row>
    <row r="3011" spans="1:5" x14ac:dyDescent="0.35">
      <c r="A3011" t="s">
        <v>143</v>
      </c>
      <c r="B3011" s="16">
        <v>46021</v>
      </c>
      <c r="C3011">
        <v>8.4</v>
      </c>
      <c r="D3011">
        <v>5</v>
      </c>
      <c r="E3011" t="s">
        <v>6132</v>
      </c>
    </row>
    <row r="3012" spans="1:5" x14ac:dyDescent="0.35">
      <c r="A3012" t="s">
        <v>143</v>
      </c>
      <c r="B3012" s="16">
        <v>46022</v>
      </c>
      <c r="C3012">
        <v>8.9</v>
      </c>
      <c r="D3012">
        <v>0</v>
      </c>
      <c r="E3012" t="s">
        <v>6133</v>
      </c>
    </row>
    <row r="3013" spans="1:5" x14ac:dyDescent="0.35">
      <c r="A3013" t="s">
        <v>101</v>
      </c>
      <c r="B3013" s="16">
        <v>45658</v>
      </c>
      <c r="C3013">
        <v>6.6</v>
      </c>
      <c r="D3013">
        <v>3</v>
      </c>
      <c r="E3013" t="s">
        <v>6132</v>
      </c>
    </row>
    <row r="3014" spans="1:5" x14ac:dyDescent="0.35">
      <c r="A3014" t="s">
        <v>101</v>
      </c>
      <c r="B3014" s="16">
        <v>45659</v>
      </c>
      <c r="C3014">
        <v>5.7</v>
      </c>
      <c r="D3014">
        <v>0</v>
      </c>
      <c r="E3014" t="s">
        <v>6132</v>
      </c>
    </row>
    <row r="3015" spans="1:5" x14ac:dyDescent="0.35">
      <c r="A3015" t="s">
        <v>101</v>
      </c>
      <c r="B3015" s="16">
        <v>45663</v>
      </c>
      <c r="C3015">
        <v>8.9</v>
      </c>
      <c r="D3015">
        <v>1</v>
      </c>
      <c r="E3015" t="s">
        <v>6132</v>
      </c>
    </row>
    <row r="3016" spans="1:5" x14ac:dyDescent="0.35">
      <c r="A3016" t="s">
        <v>101</v>
      </c>
      <c r="B3016" s="16">
        <v>45665</v>
      </c>
      <c r="C3016">
        <v>8</v>
      </c>
      <c r="D3016">
        <v>3</v>
      </c>
      <c r="E3016" t="s">
        <v>6132</v>
      </c>
    </row>
    <row r="3017" spans="1:5" x14ac:dyDescent="0.35">
      <c r="A3017" t="s">
        <v>101</v>
      </c>
      <c r="B3017" s="16">
        <v>45666</v>
      </c>
      <c r="C3017">
        <v>4.9000000000000004</v>
      </c>
      <c r="D3017">
        <v>3</v>
      </c>
      <c r="E3017" t="s">
        <v>6132</v>
      </c>
    </row>
    <row r="3018" spans="1:5" x14ac:dyDescent="0.35">
      <c r="A3018" t="s">
        <v>101</v>
      </c>
      <c r="B3018" s="16">
        <v>45673</v>
      </c>
      <c r="C3018">
        <v>5.9</v>
      </c>
      <c r="D3018">
        <v>1</v>
      </c>
      <c r="E3018" t="s">
        <v>6132</v>
      </c>
    </row>
    <row r="3019" spans="1:5" x14ac:dyDescent="0.35">
      <c r="A3019" t="s">
        <v>101</v>
      </c>
      <c r="B3019" s="16">
        <v>45674</v>
      </c>
      <c r="C3019">
        <v>7.5</v>
      </c>
      <c r="D3019">
        <v>1</v>
      </c>
      <c r="E3019" t="s">
        <v>6132</v>
      </c>
    </row>
    <row r="3020" spans="1:5" x14ac:dyDescent="0.35">
      <c r="A3020" t="s">
        <v>101</v>
      </c>
      <c r="B3020" s="16">
        <v>45677</v>
      </c>
      <c r="C3020">
        <v>6.4</v>
      </c>
      <c r="D3020">
        <v>2</v>
      </c>
      <c r="E3020" t="s">
        <v>6132</v>
      </c>
    </row>
    <row r="3021" spans="1:5" x14ac:dyDescent="0.35">
      <c r="A3021" t="s">
        <v>101</v>
      </c>
      <c r="B3021" s="16">
        <v>45681</v>
      </c>
      <c r="C3021">
        <v>7.1</v>
      </c>
      <c r="D3021">
        <v>2</v>
      </c>
      <c r="E3021" t="s">
        <v>6132</v>
      </c>
    </row>
    <row r="3022" spans="1:5" x14ac:dyDescent="0.35">
      <c r="A3022" t="s">
        <v>101</v>
      </c>
      <c r="B3022" s="16">
        <v>45686</v>
      </c>
      <c r="C3022">
        <v>7.7</v>
      </c>
      <c r="D3022">
        <v>3</v>
      </c>
      <c r="E3022" t="s">
        <v>6132</v>
      </c>
    </row>
    <row r="3023" spans="1:5" x14ac:dyDescent="0.35">
      <c r="A3023" t="s">
        <v>101</v>
      </c>
      <c r="B3023" s="16">
        <v>45687</v>
      </c>
      <c r="C3023">
        <v>4.5</v>
      </c>
      <c r="D3023">
        <v>1</v>
      </c>
      <c r="E3023" t="s">
        <v>6132</v>
      </c>
    </row>
    <row r="3024" spans="1:5" x14ac:dyDescent="0.35">
      <c r="A3024" t="s">
        <v>101</v>
      </c>
      <c r="B3024" s="16">
        <v>45688</v>
      </c>
      <c r="C3024">
        <v>8.5</v>
      </c>
      <c r="D3024">
        <v>4</v>
      </c>
      <c r="E3024" t="s">
        <v>6132</v>
      </c>
    </row>
    <row r="3025" spans="1:5" x14ac:dyDescent="0.35">
      <c r="A3025" t="s">
        <v>101</v>
      </c>
      <c r="B3025" s="16">
        <v>45699</v>
      </c>
      <c r="C3025">
        <v>6.7</v>
      </c>
      <c r="D3025">
        <v>0</v>
      </c>
      <c r="E3025" t="s">
        <v>6132</v>
      </c>
    </row>
    <row r="3026" spans="1:5" x14ac:dyDescent="0.35">
      <c r="A3026" t="s">
        <v>101</v>
      </c>
      <c r="B3026" s="16">
        <v>45701</v>
      </c>
      <c r="C3026">
        <v>7.6</v>
      </c>
      <c r="D3026">
        <v>0</v>
      </c>
      <c r="E3026" t="s">
        <v>6132</v>
      </c>
    </row>
    <row r="3027" spans="1:5" x14ac:dyDescent="0.35">
      <c r="A3027" t="s">
        <v>101</v>
      </c>
      <c r="B3027" s="16">
        <v>45707</v>
      </c>
      <c r="C3027">
        <v>5.9</v>
      </c>
      <c r="D3027">
        <v>0</v>
      </c>
      <c r="E3027" t="s">
        <v>6132</v>
      </c>
    </row>
    <row r="3028" spans="1:5" x14ac:dyDescent="0.35">
      <c r="A3028" t="s">
        <v>101</v>
      </c>
      <c r="B3028" s="16">
        <v>45708</v>
      </c>
      <c r="C3028">
        <v>5.7</v>
      </c>
      <c r="D3028">
        <v>0</v>
      </c>
      <c r="E3028" t="s">
        <v>6132</v>
      </c>
    </row>
    <row r="3029" spans="1:5" x14ac:dyDescent="0.35">
      <c r="A3029" t="s">
        <v>101</v>
      </c>
      <c r="B3029" s="16">
        <v>45712</v>
      </c>
      <c r="C3029">
        <v>8.6</v>
      </c>
      <c r="D3029">
        <v>1</v>
      </c>
      <c r="E3029" t="s">
        <v>6132</v>
      </c>
    </row>
    <row r="3030" spans="1:5" x14ac:dyDescent="0.35">
      <c r="A3030" t="s">
        <v>101</v>
      </c>
      <c r="B3030" s="16">
        <v>45713</v>
      </c>
      <c r="C3030">
        <v>6.4</v>
      </c>
      <c r="D3030">
        <v>1</v>
      </c>
      <c r="E3030" t="s">
        <v>6132</v>
      </c>
    </row>
    <row r="3031" spans="1:5" x14ac:dyDescent="0.35">
      <c r="A3031" t="s">
        <v>101</v>
      </c>
      <c r="B3031" s="16">
        <v>45719</v>
      </c>
      <c r="C3031">
        <v>8</v>
      </c>
      <c r="D3031">
        <v>3</v>
      </c>
      <c r="E3031" t="s">
        <v>6132</v>
      </c>
    </row>
    <row r="3032" spans="1:5" x14ac:dyDescent="0.35">
      <c r="A3032" t="s">
        <v>101</v>
      </c>
      <c r="B3032" s="16">
        <v>45721</v>
      </c>
      <c r="C3032">
        <v>5.6</v>
      </c>
      <c r="D3032">
        <v>0</v>
      </c>
      <c r="E3032" t="s">
        <v>6134</v>
      </c>
    </row>
    <row r="3033" spans="1:5" x14ac:dyDescent="0.35">
      <c r="A3033" t="s">
        <v>101</v>
      </c>
      <c r="B3033" s="16">
        <v>45726</v>
      </c>
      <c r="C3033">
        <v>8.5</v>
      </c>
      <c r="D3033">
        <v>0</v>
      </c>
      <c r="E3033" t="s">
        <v>6132</v>
      </c>
    </row>
    <row r="3034" spans="1:5" x14ac:dyDescent="0.35">
      <c r="A3034" t="s">
        <v>101</v>
      </c>
      <c r="B3034" s="16">
        <v>45730</v>
      </c>
      <c r="C3034">
        <v>4.5</v>
      </c>
      <c r="D3034">
        <v>3</v>
      </c>
      <c r="E3034" t="s">
        <v>6132</v>
      </c>
    </row>
    <row r="3035" spans="1:5" x14ac:dyDescent="0.35">
      <c r="A3035" t="s">
        <v>101</v>
      </c>
      <c r="B3035" s="16">
        <v>45733</v>
      </c>
      <c r="C3035">
        <v>4.5</v>
      </c>
      <c r="D3035">
        <v>0</v>
      </c>
      <c r="E3035" t="s">
        <v>6132</v>
      </c>
    </row>
    <row r="3036" spans="1:5" x14ac:dyDescent="0.35">
      <c r="A3036" t="s">
        <v>101</v>
      </c>
      <c r="B3036" s="16">
        <v>45736</v>
      </c>
      <c r="C3036">
        <v>4.7</v>
      </c>
      <c r="D3036">
        <v>1</v>
      </c>
      <c r="E3036" t="s">
        <v>6132</v>
      </c>
    </row>
    <row r="3037" spans="1:5" x14ac:dyDescent="0.35">
      <c r="A3037" t="s">
        <v>101</v>
      </c>
      <c r="B3037" s="16">
        <v>45737</v>
      </c>
      <c r="C3037">
        <v>6.2</v>
      </c>
      <c r="D3037">
        <v>0</v>
      </c>
      <c r="E3037" t="s">
        <v>6132</v>
      </c>
    </row>
    <row r="3038" spans="1:5" x14ac:dyDescent="0.35">
      <c r="A3038" t="s">
        <v>101</v>
      </c>
      <c r="B3038" s="16">
        <v>45740</v>
      </c>
      <c r="C3038">
        <v>6.8</v>
      </c>
      <c r="D3038">
        <v>0</v>
      </c>
      <c r="E3038" t="s">
        <v>6134</v>
      </c>
    </row>
    <row r="3039" spans="1:5" x14ac:dyDescent="0.35">
      <c r="A3039" t="s">
        <v>101</v>
      </c>
      <c r="B3039" s="16">
        <v>45744</v>
      </c>
      <c r="C3039">
        <v>6</v>
      </c>
      <c r="D3039">
        <v>0</v>
      </c>
      <c r="E3039" t="s">
        <v>6132</v>
      </c>
    </row>
    <row r="3040" spans="1:5" x14ac:dyDescent="0.35">
      <c r="A3040" t="s">
        <v>101</v>
      </c>
      <c r="B3040" s="16">
        <v>45750</v>
      </c>
      <c r="C3040">
        <v>6.7</v>
      </c>
      <c r="D3040">
        <v>1</v>
      </c>
      <c r="E3040" t="s">
        <v>6132</v>
      </c>
    </row>
    <row r="3041" spans="1:5" x14ac:dyDescent="0.35">
      <c r="A3041" t="s">
        <v>101</v>
      </c>
      <c r="B3041" s="16">
        <v>45751</v>
      </c>
      <c r="C3041">
        <v>5.5</v>
      </c>
      <c r="D3041">
        <v>1</v>
      </c>
      <c r="E3041" t="s">
        <v>6132</v>
      </c>
    </row>
    <row r="3042" spans="1:5" x14ac:dyDescent="0.35">
      <c r="A3042" t="s">
        <v>101</v>
      </c>
      <c r="B3042" s="16">
        <v>45754</v>
      </c>
      <c r="C3042">
        <v>4.0999999999999996</v>
      </c>
      <c r="D3042">
        <v>1</v>
      </c>
      <c r="E3042" t="s">
        <v>6132</v>
      </c>
    </row>
    <row r="3043" spans="1:5" x14ac:dyDescent="0.35">
      <c r="A3043" t="s">
        <v>101</v>
      </c>
      <c r="B3043" s="16">
        <v>45755</v>
      </c>
      <c r="C3043">
        <v>5.5</v>
      </c>
      <c r="D3043">
        <v>1</v>
      </c>
      <c r="E3043" t="s">
        <v>6132</v>
      </c>
    </row>
    <row r="3044" spans="1:5" x14ac:dyDescent="0.35">
      <c r="A3044" t="s">
        <v>101</v>
      </c>
      <c r="B3044" s="16">
        <v>45757</v>
      </c>
      <c r="C3044">
        <v>5.6</v>
      </c>
      <c r="D3044">
        <v>2</v>
      </c>
      <c r="E3044" t="s">
        <v>6132</v>
      </c>
    </row>
    <row r="3045" spans="1:5" x14ac:dyDescent="0.35">
      <c r="A3045" t="s">
        <v>101</v>
      </c>
      <c r="B3045" s="16">
        <v>45758</v>
      </c>
      <c r="D3045">
        <v>1</v>
      </c>
      <c r="E3045" t="s">
        <v>6132</v>
      </c>
    </row>
    <row r="3046" spans="1:5" x14ac:dyDescent="0.35">
      <c r="A3046" t="s">
        <v>101</v>
      </c>
      <c r="B3046" s="16">
        <v>45761</v>
      </c>
      <c r="C3046">
        <v>8.5</v>
      </c>
      <c r="D3046">
        <v>1</v>
      </c>
      <c r="E3046" t="s">
        <v>6132</v>
      </c>
    </row>
    <row r="3047" spans="1:5" x14ac:dyDescent="0.35">
      <c r="A3047" t="s">
        <v>101</v>
      </c>
      <c r="B3047" s="16">
        <v>45762</v>
      </c>
      <c r="C3047">
        <v>8.4</v>
      </c>
      <c r="D3047">
        <v>1</v>
      </c>
      <c r="E3047" t="s">
        <v>6132</v>
      </c>
    </row>
    <row r="3048" spans="1:5" x14ac:dyDescent="0.35">
      <c r="A3048" t="s">
        <v>101</v>
      </c>
      <c r="B3048" s="16">
        <v>45763</v>
      </c>
      <c r="C3048">
        <v>6.1</v>
      </c>
      <c r="D3048">
        <v>0</v>
      </c>
      <c r="E3048" t="s">
        <v>6133</v>
      </c>
    </row>
    <row r="3049" spans="1:5" x14ac:dyDescent="0.35">
      <c r="A3049" t="s">
        <v>101</v>
      </c>
      <c r="B3049" s="16">
        <v>45775</v>
      </c>
      <c r="C3049">
        <v>8.6</v>
      </c>
      <c r="D3049">
        <v>3</v>
      </c>
      <c r="E3049" t="s">
        <v>6132</v>
      </c>
    </row>
    <row r="3050" spans="1:5" x14ac:dyDescent="0.35">
      <c r="A3050" t="s">
        <v>101</v>
      </c>
      <c r="B3050" s="16">
        <v>45776</v>
      </c>
      <c r="C3050">
        <v>6.7</v>
      </c>
      <c r="D3050">
        <v>1</v>
      </c>
      <c r="E3050" t="s">
        <v>6132</v>
      </c>
    </row>
    <row r="3051" spans="1:5" x14ac:dyDescent="0.35">
      <c r="A3051" t="s">
        <v>101</v>
      </c>
      <c r="B3051" s="16">
        <v>45777</v>
      </c>
      <c r="D3051">
        <v>0</v>
      </c>
      <c r="E3051" t="s">
        <v>6132</v>
      </c>
    </row>
    <row r="3052" spans="1:5" x14ac:dyDescent="0.35">
      <c r="A3052" t="s">
        <v>101</v>
      </c>
      <c r="B3052" s="16">
        <v>45778</v>
      </c>
      <c r="C3052">
        <v>7.4</v>
      </c>
      <c r="D3052">
        <v>0</v>
      </c>
      <c r="E3052" t="s">
        <v>6133</v>
      </c>
    </row>
    <row r="3053" spans="1:5" x14ac:dyDescent="0.35">
      <c r="A3053" t="s">
        <v>101</v>
      </c>
      <c r="B3053" s="16">
        <v>45783</v>
      </c>
      <c r="C3053">
        <v>6.5</v>
      </c>
      <c r="D3053">
        <v>1</v>
      </c>
      <c r="E3053" t="s">
        <v>6132</v>
      </c>
    </row>
    <row r="3054" spans="1:5" x14ac:dyDescent="0.35">
      <c r="A3054" t="s">
        <v>101</v>
      </c>
      <c r="B3054" s="16">
        <v>45784</v>
      </c>
      <c r="C3054">
        <v>7</v>
      </c>
      <c r="D3054">
        <v>0</v>
      </c>
      <c r="E3054" t="s">
        <v>6133</v>
      </c>
    </row>
    <row r="3055" spans="1:5" x14ac:dyDescent="0.35">
      <c r="A3055" t="s">
        <v>101</v>
      </c>
      <c r="B3055" s="16">
        <v>45785</v>
      </c>
      <c r="C3055">
        <v>4.2</v>
      </c>
      <c r="D3055">
        <v>1</v>
      </c>
      <c r="E3055" t="s">
        <v>6132</v>
      </c>
    </row>
    <row r="3056" spans="1:5" x14ac:dyDescent="0.35">
      <c r="A3056" t="s">
        <v>101</v>
      </c>
      <c r="B3056" s="16">
        <v>45791</v>
      </c>
      <c r="C3056">
        <v>5</v>
      </c>
      <c r="D3056">
        <v>1</v>
      </c>
      <c r="E3056" t="s">
        <v>6132</v>
      </c>
    </row>
    <row r="3057" spans="1:5" x14ac:dyDescent="0.35">
      <c r="A3057" t="s">
        <v>101</v>
      </c>
      <c r="B3057" s="16">
        <v>45793</v>
      </c>
      <c r="C3057">
        <v>4.5999999999999996</v>
      </c>
      <c r="D3057">
        <v>0</v>
      </c>
      <c r="E3057" t="s">
        <v>6132</v>
      </c>
    </row>
    <row r="3058" spans="1:5" x14ac:dyDescent="0.35">
      <c r="A3058" t="s">
        <v>101</v>
      </c>
      <c r="B3058" s="16">
        <v>45796</v>
      </c>
      <c r="C3058">
        <v>7.2</v>
      </c>
      <c r="D3058">
        <v>0</v>
      </c>
      <c r="E3058" t="s">
        <v>6134</v>
      </c>
    </row>
    <row r="3059" spans="1:5" x14ac:dyDescent="0.35">
      <c r="A3059" t="s">
        <v>101</v>
      </c>
      <c r="B3059" s="16">
        <v>45805</v>
      </c>
      <c r="C3059">
        <v>6.7</v>
      </c>
      <c r="D3059">
        <v>0</v>
      </c>
      <c r="E3059" t="s">
        <v>6132</v>
      </c>
    </row>
    <row r="3060" spans="1:5" x14ac:dyDescent="0.35">
      <c r="A3060" t="s">
        <v>101</v>
      </c>
      <c r="B3060" s="16">
        <v>45806</v>
      </c>
      <c r="C3060">
        <v>8.3000000000000007</v>
      </c>
      <c r="D3060">
        <v>4</v>
      </c>
      <c r="E3060" t="s">
        <v>6132</v>
      </c>
    </row>
    <row r="3061" spans="1:5" x14ac:dyDescent="0.35">
      <c r="A3061" t="s">
        <v>101</v>
      </c>
      <c r="B3061" s="16">
        <v>45807</v>
      </c>
      <c r="C3061">
        <v>7.5</v>
      </c>
      <c r="D3061">
        <v>2</v>
      </c>
      <c r="E3061" t="s">
        <v>6132</v>
      </c>
    </row>
    <row r="3062" spans="1:5" x14ac:dyDescent="0.35">
      <c r="A3062" t="s">
        <v>101</v>
      </c>
      <c r="B3062" s="16">
        <v>45813</v>
      </c>
      <c r="C3062">
        <v>6.6</v>
      </c>
      <c r="D3062">
        <v>1</v>
      </c>
      <c r="E3062" t="s">
        <v>6132</v>
      </c>
    </row>
    <row r="3063" spans="1:5" x14ac:dyDescent="0.35">
      <c r="A3063" t="s">
        <v>101</v>
      </c>
      <c r="B3063" s="16">
        <v>45819</v>
      </c>
      <c r="C3063">
        <v>6.6</v>
      </c>
      <c r="D3063">
        <v>0</v>
      </c>
      <c r="E3063" t="s">
        <v>6132</v>
      </c>
    </row>
    <row r="3064" spans="1:5" x14ac:dyDescent="0.35">
      <c r="A3064" t="s">
        <v>101</v>
      </c>
      <c r="B3064" s="16">
        <v>45820</v>
      </c>
      <c r="C3064">
        <v>4.5999999999999996</v>
      </c>
      <c r="D3064">
        <v>0</v>
      </c>
      <c r="E3064" t="s">
        <v>6132</v>
      </c>
    </row>
    <row r="3065" spans="1:5" x14ac:dyDescent="0.35">
      <c r="A3065" t="s">
        <v>101</v>
      </c>
      <c r="B3065" s="16">
        <v>45821</v>
      </c>
      <c r="C3065">
        <v>7.5</v>
      </c>
      <c r="D3065">
        <v>2</v>
      </c>
      <c r="E3065" t="s">
        <v>6132</v>
      </c>
    </row>
    <row r="3066" spans="1:5" x14ac:dyDescent="0.35">
      <c r="A3066" t="s">
        <v>101</v>
      </c>
      <c r="B3066" s="16">
        <v>45825</v>
      </c>
      <c r="C3066">
        <v>7.7</v>
      </c>
      <c r="D3066">
        <v>0</v>
      </c>
      <c r="E3066" t="s">
        <v>6134</v>
      </c>
    </row>
    <row r="3067" spans="1:5" x14ac:dyDescent="0.35">
      <c r="A3067" t="s">
        <v>101</v>
      </c>
      <c r="B3067" s="16">
        <v>45827</v>
      </c>
      <c r="C3067">
        <v>6.4</v>
      </c>
      <c r="D3067">
        <v>0</v>
      </c>
      <c r="E3067" t="s">
        <v>6132</v>
      </c>
    </row>
    <row r="3068" spans="1:5" x14ac:dyDescent="0.35">
      <c r="A3068" t="s">
        <v>101</v>
      </c>
      <c r="B3068" s="16">
        <v>45831</v>
      </c>
      <c r="C3068">
        <v>8.1999999999999993</v>
      </c>
      <c r="D3068">
        <v>5</v>
      </c>
      <c r="E3068" t="s">
        <v>6132</v>
      </c>
    </row>
    <row r="3069" spans="1:5" x14ac:dyDescent="0.35">
      <c r="A3069" t="s">
        <v>101</v>
      </c>
      <c r="B3069" s="16">
        <v>45832</v>
      </c>
      <c r="C3069">
        <v>5.7</v>
      </c>
      <c r="D3069">
        <v>2</v>
      </c>
      <c r="E3069" t="s">
        <v>6132</v>
      </c>
    </row>
    <row r="3070" spans="1:5" x14ac:dyDescent="0.35">
      <c r="A3070" t="s">
        <v>101</v>
      </c>
      <c r="B3070" s="16">
        <v>45834</v>
      </c>
      <c r="C3070">
        <v>5.2</v>
      </c>
      <c r="D3070">
        <v>0</v>
      </c>
      <c r="E3070" t="s">
        <v>6132</v>
      </c>
    </row>
    <row r="3071" spans="1:5" x14ac:dyDescent="0.35">
      <c r="A3071" t="s">
        <v>101</v>
      </c>
      <c r="B3071" s="16">
        <v>45838</v>
      </c>
      <c r="C3071">
        <v>7.8</v>
      </c>
      <c r="D3071">
        <v>4</v>
      </c>
      <c r="E3071" t="s">
        <v>6132</v>
      </c>
    </row>
    <row r="3072" spans="1:5" x14ac:dyDescent="0.35">
      <c r="A3072" t="s">
        <v>101</v>
      </c>
      <c r="B3072" s="16">
        <v>45839</v>
      </c>
      <c r="C3072">
        <v>7.2</v>
      </c>
      <c r="D3072">
        <v>1</v>
      </c>
      <c r="E3072" t="s">
        <v>6132</v>
      </c>
    </row>
    <row r="3073" spans="1:5" x14ac:dyDescent="0.35">
      <c r="A3073" t="s">
        <v>101</v>
      </c>
      <c r="B3073" s="16">
        <v>45840</v>
      </c>
      <c r="C3073">
        <v>7.7</v>
      </c>
      <c r="D3073">
        <v>1</v>
      </c>
      <c r="E3073" t="s">
        <v>6132</v>
      </c>
    </row>
    <row r="3074" spans="1:5" x14ac:dyDescent="0.35">
      <c r="A3074" t="s">
        <v>101</v>
      </c>
      <c r="B3074" s="16">
        <v>45845</v>
      </c>
      <c r="C3074">
        <v>4.9000000000000004</v>
      </c>
      <c r="D3074">
        <v>0</v>
      </c>
      <c r="E3074" t="s">
        <v>6132</v>
      </c>
    </row>
    <row r="3075" spans="1:5" x14ac:dyDescent="0.35">
      <c r="A3075" t="s">
        <v>101</v>
      </c>
      <c r="B3075" s="16">
        <v>45846</v>
      </c>
      <c r="C3075">
        <v>6.9</v>
      </c>
      <c r="D3075">
        <v>1</v>
      </c>
      <c r="E3075" t="s">
        <v>6132</v>
      </c>
    </row>
    <row r="3076" spans="1:5" x14ac:dyDescent="0.35">
      <c r="A3076" t="s">
        <v>101</v>
      </c>
      <c r="B3076" s="16">
        <v>45847</v>
      </c>
      <c r="C3076">
        <v>8.8000000000000007</v>
      </c>
      <c r="D3076">
        <v>2</v>
      </c>
      <c r="E3076" t="s">
        <v>6132</v>
      </c>
    </row>
    <row r="3077" spans="1:5" x14ac:dyDescent="0.35">
      <c r="A3077" t="s">
        <v>101</v>
      </c>
      <c r="B3077" s="16">
        <v>45848</v>
      </c>
      <c r="C3077">
        <v>7.7</v>
      </c>
      <c r="D3077">
        <v>0</v>
      </c>
      <c r="E3077" t="s">
        <v>6132</v>
      </c>
    </row>
    <row r="3078" spans="1:5" x14ac:dyDescent="0.35">
      <c r="A3078" t="s">
        <v>101</v>
      </c>
      <c r="B3078" s="16">
        <v>45852</v>
      </c>
      <c r="C3078">
        <v>8.9</v>
      </c>
      <c r="D3078">
        <v>3</v>
      </c>
      <c r="E3078" t="s">
        <v>6132</v>
      </c>
    </row>
    <row r="3079" spans="1:5" x14ac:dyDescent="0.35">
      <c r="A3079" t="s">
        <v>101</v>
      </c>
      <c r="B3079" s="16">
        <v>45856</v>
      </c>
      <c r="C3079">
        <v>7.4</v>
      </c>
      <c r="D3079">
        <v>0</v>
      </c>
      <c r="E3079" t="s">
        <v>6133</v>
      </c>
    </row>
    <row r="3080" spans="1:5" x14ac:dyDescent="0.35">
      <c r="A3080" t="s">
        <v>101</v>
      </c>
      <c r="B3080" s="16">
        <v>45859</v>
      </c>
      <c r="C3080">
        <v>6.9</v>
      </c>
      <c r="D3080">
        <v>1</v>
      </c>
      <c r="E3080" t="s">
        <v>6132</v>
      </c>
    </row>
    <row r="3081" spans="1:5" x14ac:dyDescent="0.35">
      <c r="A3081" t="s">
        <v>101</v>
      </c>
      <c r="B3081" s="16">
        <v>45861</v>
      </c>
      <c r="C3081">
        <v>7.6</v>
      </c>
      <c r="D3081">
        <v>2</v>
      </c>
      <c r="E3081" t="s">
        <v>6132</v>
      </c>
    </row>
    <row r="3082" spans="1:5" x14ac:dyDescent="0.35">
      <c r="A3082" t="s">
        <v>101</v>
      </c>
      <c r="B3082" s="16">
        <v>45863</v>
      </c>
      <c r="C3082">
        <v>8.3000000000000007</v>
      </c>
      <c r="D3082">
        <v>3</v>
      </c>
      <c r="E3082" t="s">
        <v>6132</v>
      </c>
    </row>
    <row r="3083" spans="1:5" x14ac:dyDescent="0.35">
      <c r="A3083" t="s">
        <v>101</v>
      </c>
      <c r="B3083" s="16">
        <v>45868</v>
      </c>
      <c r="C3083">
        <v>6.8</v>
      </c>
      <c r="D3083">
        <v>0</v>
      </c>
      <c r="E3083" t="s">
        <v>6132</v>
      </c>
    </row>
    <row r="3084" spans="1:5" x14ac:dyDescent="0.35">
      <c r="A3084" t="s">
        <v>101</v>
      </c>
      <c r="B3084" s="16">
        <v>45869</v>
      </c>
      <c r="C3084">
        <v>4.5999999999999996</v>
      </c>
      <c r="D3084">
        <v>1</v>
      </c>
      <c r="E3084" t="s">
        <v>6132</v>
      </c>
    </row>
    <row r="3085" spans="1:5" x14ac:dyDescent="0.35">
      <c r="A3085" t="s">
        <v>101</v>
      </c>
      <c r="B3085" s="16">
        <v>45873</v>
      </c>
      <c r="D3085">
        <v>1</v>
      </c>
      <c r="E3085" t="s">
        <v>6132</v>
      </c>
    </row>
    <row r="3086" spans="1:5" x14ac:dyDescent="0.35">
      <c r="A3086" t="s">
        <v>101</v>
      </c>
      <c r="B3086" s="16">
        <v>45874</v>
      </c>
      <c r="C3086">
        <v>8.8000000000000007</v>
      </c>
      <c r="D3086">
        <v>2</v>
      </c>
      <c r="E3086" t="s">
        <v>6132</v>
      </c>
    </row>
    <row r="3087" spans="1:5" x14ac:dyDescent="0.35">
      <c r="A3087" t="s">
        <v>101</v>
      </c>
      <c r="B3087" s="16">
        <v>45876</v>
      </c>
      <c r="D3087">
        <v>1</v>
      </c>
      <c r="E3087" t="s">
        <v>6132</v>
      </c>
    </row>
    <row r="3088" spans="1:5" x14ac:dyDescent="0.35">
      <c r="A3088" t="s">
        <v>101</v>
      </c>
      <c r="B3088" s="16">
        <v>45877</v>
      </c>
      <c r="C3088">
        <v>8.1</v>
      </c>
      <c r="D3088">
        <v>0</v>
      </c>
      <c r="E3088" t="s">
        <v>6132</v>
      </c>
    </row>
    <row r="3089" spans="1:5" x14ac:dyDescent="0.35">
      <c r="A3089" t="s">
        <v>101</v>
      </c>
      <c r="B3089" s="16">
        <v>45880</v>
      </c>
      <c r="C3089">
        <v>6.7</v>
      </c>
      <c r="D3089">
        <v>1</v>
      </c>
      <c r="E3089" t="s">
        <v>6132</v>
      </c>
    </row>
    <row r="3090" spans="1:5" x14ac:dyDescent="0.35">
      <c r="A3090" t="s">
        <v>101</v>
      </c>
      <c r="B3090" s="16">
        <v>45883</v>
      </c>
      <c r="C3090">
        <v>7.8</v>
      </c>
      <c r="D3090">
        <v>4</v>
      </c>
      <c r="E3090" t="s">
        <v>6132</v>
      </c>
    </row>
    <row r="3091" spans="1:5" x14ac:dyDescent="0.35">
      <c r="A3091" t="s">
        <v>101</v>
      </c>
      <c r="B3091" s="16">
        <v>45884</v>
      </c>
      <c r="C3091">
        <v>7.3</v>
      </c>
      <c r="D3091">
        <v>0</v>
      </c>
      <c r="E3091" t="s">
        <v>6133</v>
      </c>
    </row>
    <row r="3092" spans="1:5" x14ac:dyDescent="0.35">
      <c r="A3092" t="s">
        <v>101</v>
      </c>
      <c r="B3092" s="16">
        <v>45888</v>
      </c>
      <c r="C3092">
        <v>8.4</v>
      </c>
      <c r="D3092">
        <v>3</v>
      </c>
      <c r="E3092" t="s">
        <v>6132</v>
      </c>
    </row>
    <row r="3093" spans="1:5" x14ac:dyDescent="0.35">
      <c r="A3093" t="s">
        <v>101</v>
      </c>
      <c r="B3093" s="16">
        <v>45889</v>
      </c>
      <c r="C3093">
        <v>6.1</v>
      </c>
      <c r="D3093">
        <v>2</v>
      </c>
      <c r="E3093" t="s">
        <v>6132</v>
      </c>
    </row>
    <row r="3094" spans="1:5" x14ac:dyDescent="0.35">
      <c r="A3094" t="s">
        <v>101</v>
      </c>
      <c r="B3094" s="16">
        <v>45890</v>
      </c>
      <c r="C3094">
        <v>6.9</v>
      </c>
      <c r="D3094">
        <v>1</v>
      </c>
      <c r="E3094" t="s">
        <v>6132</v>
      </c>
    </row>
    <row r="3095" spans="1:5" x14ac:dyDescent="0.35">
      <c r="A3095" t="s">
        <v>101</v>
      </c>
      <c r="B3095" s="16">
        <v>45894</v>
      </c>
      <c r="C3095">
        <v>8.8000000000000007</v>
      </c>
      <c r="D3095">
        <v>0</v>
      </c>
      <c r="E3095" t="s">
        <v>6134</v>
      </c>
    </row>
    <row r="3096" spans="1:5" x14ac:dyDescent="0.35">
      <c r="A3096" t="s">
        <v>101</v>
      </c>
      <c r="B3096" s="16">
        <v>45895</v>
      </c>
      <c r="C3096">
        <v>4.4000000000000004</v>
      </c>
      <c r="D3096">
        <v>0</v>
      </c>
      <c r="E3096" t="s">
        <v>6132</v>
      </c>
    </row>
    <row r="3097" spans="1:5" x14ac:dyDescent="0.35">
      <c r="A3097" t="s">
        <v>101</v>
      </c>
      <c r="B3097" s="16">
        <v>45896</v>
      </c>
      <c r="C3097">
        <v>8</v>
      </c>
      <c r="D3097">
        <v>0</v>
      </c>
      <c r="E3097" t="s">
        <v>6132</v>
      </c>
    </row>
    <row r="3098" spans="1:5" x14ac:dyDescent="0.35">
      <c r="A3098" t="s">
        <v>101</v>
      </c>
      <c r="B3098" s="16">
        <v>45898</v>
      </c>
      <c r="C3098">
        <v>7.3</v>
      </c>
      <c r="D3098">
        <v>1</v>
      </c>
      <c r="E3098" t="s">
        <v>6132</v>
      </c>
    </row>
    <row r="3099" spans="1:5" x14ac:dyDescent="0.35">
      <c r="A3099" t="s">
        <v>101</v>
      </c>
      <c r="B3099" s="16">
        <v>45902</v>
      </c>
      <c r="C3099">
        <v>6.4</v>
      </c>
      <c r="D3099">
        <v>0</v>
      </c>
      <c r="E3099" t="s">
        <v>6132</v>
      </c>
    </row>
    <row r="3100" spans="1:5" x14ac:dyDescent="0.35">
      <c r="A3100" t="s">
        <v>101</v>
      </c>
      <c r="B3100" s="16">
        <v>45903</v>
      </c>
      <c r="C3100">
        <v>4</v>
      </c>
      <c r="D3100">
        <v>0</v>
      </c>
      <c r="E3100" t="s">
        <v>6132</v>
      </c>
    </row>
    <row r="3101" spans="1:5" x14ac:dyDescent="0.35">
      <c r="A3101" t="s">
        <v>101</v>
      </c>
      <c r="B3101" s="16">
        <v>45908</v>
      </c>
      <c r="C3101">
        <v>5.8</v>
      </c>
      <c r="D3101">
        <v>0</v>
      </c>
      <c r="E3101" t="s">
        <v>6132</v>
      </c>
    </row>
    <row r="3102" spans="1:5" x14ac:dyDescent="0.35">
      <c r="A3102" t="s">
        <v>101</v>
      </c>
      <c r="B3102" s="16">
        <v>45909</v>
      </c>
      <c r="C3102">
        <v>7.6</v>
      </c>
      <c r="D3102">
        <v>0</v>
      </c>
      <c r="E3102" t="s">
        <v>6134</v>
      </c>
    </row>
    <row r="3103" spans="1:5" x14ac:dyDescent="0.35">
      <c r="A3103" t="s">
        <v>101</v>
      </c>
      <c r="B3103" s="16">
        <v>45911</v>
      </c>
      <c r="C3103">
        <v>7.8</v>
      </c>
      <c r="D3103">
        <v>3</v>
      </c>
      <c r="E3103" t="s">
        <v>6132</v>
      </c>
    </row>
    <row r="3104" spans="1:5" x14ac:dyDescent="0.35">
      <c r="A3104" t="s">
        <v>101</v>
      </c>
      <c r="B3104" s="16">
        <v>45923</v>
      </c>
      <c r="C3104">
        <v>7.1</v>
      </c>
      <c r="D3104">
        <v>1</v>
      </c>
      <c r="E3104" t="s">
        <v>6132</v>
      </c>
    </row>
    <row r="3105" spans="1:5" x14ac:dyDescent="0.35">
      <c r="A3105" t="s">
        <v>101</v>
      </c>
      <c r="B3105" s="16">
        <v>45924</v>
      </c>
      <c r="C3105">
        <v>6.4</v>
      </c>
      <c r="D3105">
        <v>0</v>
      </c>
      <c r="E3105" t="s">
        <v>6133</v>
      </c>
    </row>
    <row r="3106" spans="1:5" x14ac:dyDescent="0.35">
      <c r="A3106" t="s">
        <v>101</v>
      </c>
      <c r="B3106" s="16">
        <v>45929</v>
      </c>
      <c r="C3106">
        <v>5.7</v>
      </c>
      <c r="D3106">
        <v>2</v>
      </c>
      <c r="E3106" t="s">
        <v>6132</v>
      </c>
    </row>
    <row r="3107" spans="1:5" x14ac:dyDescent="0.35">
      <c r="A3107" t="s">
        <v>101</v>
      </c>
      <c r="B3107" s="16">
        <v>45932</v>
      </c>
      <c r="C3107">
        <v>8.4</v>
      </c>
      <c r="D3107">
        <v>1</v>
      </c>
      <c r="E3107" t="s">
        <v>6132</v>
      </c>
    </row>
    <row r="3108" spans="1:5" x14ac:dyDescent="0.35">
      <c r="A3108" t="s">
        <v>101</v>
      </c>
      <c r="B3108" s="16">
        <v>45933</v>
      </c>
      <c r="C3108">
        <v>4.5999999999999996</v>
      </c>
      <c r="D3108">
        <v>1</v>
      </c>
      <c r="E3108" t="s">
        <v>6132</v>
      </c>
    </row>
    <row r="3109" spans="1:5" x14ac:dyDescent="0.35">
      <c r="A3109" t="s">
        <v>101</v>
      </c>
      <c r="B3109" s="16">
        <v>45936</v>
      </c>
      <c r="D3109">
        <v>2</v>
      </c>
      <c r="E3109" t="s">
        <v>6132</v>
      </c>
    </row>
    <row r="3110" spans="1:5" x14ac:dyDescent="0.35">
      <c r="A3110" t="s">
        <v>101</v>
      </c>
      <c r="B3110" s="16">
        <v>45937</v>
      </c>
      <c r="C3110">
        <v>4.4000000000000004</v>
      </c>
      <c r="D3110">
        <v>5</v>
      </c>
      <c r="E3110" t="s">
        <v>6132</v>
      </c>
    </row>
    <row r="3111" spans="1:5" x14ac:dyDescent="0.35">
      <c r="A3111" t="s">
        <v>101</v>
      </c>
      <c r="B3111" s="16">
        <v>45938</v>
      </c>
      <c r="C3111">
        <v>6.4</v>
      </c>
      <c r="D3111">
        <v>0</v>
      </c>
      <c r="E3111" t="s">
        <v>6132</v>
      </c>
    </row>
    <row r="3112" spans="1:5" x14ac:dyDescent="0.35">
      <c r="A3112" t="s">
        <v>101</v>
      </c>
      <c r="B3112" s="16">
        <v>45939</v>
      </c>
      <c r="C3112">
        <v>6.2</v>
      </c>
      <c r="D3112">
        <v>1</v>
      </c>
      <c r="E3112" t="s">
        <v>6132</v>
      </c>
    </row>
    <row r="3113" spans="1:5" x14ac:dyDescent="0.35">
      <c r="A3113" t="s">
        <v>101</v>
      </c>
      <c r="B3113" s="16">
        <v>45943</v>
      </c>
      <c r="C3113">
        <v>4.5</v>
      </c>
      <c r="D3113">
        <v>0</v>
      </c>
      <c r="E3113" t="s">
        <v>6132</v>
      </c>
    </row>
    <row r="3114" spans="1:5" x14ac:dyDescent="0.35">
      <c r="A3114" t="s">
        <v>101</v>
      </c>
      <c r="B3114" s="16">
        <v>45944</v>
      </c>
      <c r="C3114">
        <v>6.4</v>
      </c>
      <c r="D3114">
        <v>1</v>
      </c>
      <c r="E3114" t="s">
        <v>6132</v>
      </c>
    </row>
    <row r="3115" spans="1:5" x14ac:dyDescent="0.35">
      <c r="A3115" t="s">
        <v>101</v>
      </c>
      <c r="B3115" s="16">
        <v>45946</v>
      </c>
      <c r="C3115">
        <v>5.7</v>
      </c>
      <c r="D3115">
        <v>0</v>
      </c>
      <c r="E3115" t="s">
        <v>6134</v>
      </c>
    </row>
    <row r="3116" spans="1:5" x14ac:dyDescent="0.35">
      <c r="A3116" t="s">
        <v>101</v>
      </c>
      <c r="B3116" s="16">
        <v>45947</v>
      </c>
      <c r="C3116">
        <v>5.9</v>
      </c>
      <c r="D3116">
        <v>1</v>
      </c>
      <c r="E3116" t="s">
        <v>6132</v>
      </c>
    </row>
    <row r="3117" spans="1:5" x14ac:dyDescent="0.35">
      <c r="A3117" t="s">
        <v>101</v>
      </c>
      <c r="B3117" s="16">
        <v>45950</v>
      </c>
      <c r="C3117">
        <v>6</v>
      </c>
      <c r="D3117">
        <v>1</v>
      </c>
      <c r="E3117" t="s">
        <v>6132</v>
      </c>
    </row>
    <row r="3118" spans="1:5" x14ac:dyDescent="0.35">
      <c r="A3118" t="s">
        <v>101</v>
      </c>
      <c r="B3118" s="16">
        <v>45951</v>
      </c>
      <c r="C3118">
        <v>6.6</v>
      </c>
      <c r="D3118">
        <v>2</v>
      </c>
      <c r="E3118" t="s">
        <v>6132</v>
      </c>
    </row>
    <row r="3119" spans="1:5" x14ac:dyDescent="0.35">
      <c r="A3119" t="s">
        <v>101</v>
      </c>
      <c r="B3119" s="16">
        <v>45952</v>
      </c>
      <c r="C3119">
        <v>8.3000000000000007</v>
      </c>
      <c r="D3119">
        <v>3</v>
      </c>
      <c r="E3119" t="s">
        <v>6132</v>
      </c>
    </row>
    <row r="3120" spans="1:5" x14ac:dyDescent="0.35">
      <c r="A3120" t="s">
        <v>101</v>
      </c>
      <c r="B3120" s="16">
        <v>45954</v>
      </c>
      <c r="D3120">
        <v>1</v>
      </c>
      <c r="E3120" t="s">
        <v>6132</v>
      </c>
    </row>
    <row r="3121" spans="1:5" x14ac:dyDescent="0.35">
      <c r="A3121" t="s">
        <v>101</v>
      </c>
      <c r="B3121" s="16">
        <v>45957</v>
      </c>
      <c r="C3121">
        <v>5.9</v>
      </c>
      <c r="D3121">
        <v>2</v>
      </c>
      <c r="E3121" t="s">
        <v>6132</v>
      </c>
    </row>
    <row r="3122" spans="1:5" x14ac:dyDescent="0.35">
      <c r="A3122" t="s">
        <v>101</v>
      </c>
      <c r="B3122" s="16">
        <v>45958</v>
      </c>
      <c r="C3122">
        <v>7.1</v>
      </c>
      <c r="D3122">
        <v>1</v>
      </c>
      <c r="E3122" t="s">
        <v>6132</v>
      </c>
    </row>
    <row r="3123" spans="1:5" x14ac:dyDescent="0.35">
      <c r="A3123" t="s">
        <v>101</v>
      </c>
      <c r="B3123" s="16">
        <v>45959</v>
      </c>
      <c r="C3123">
        <v>7.7</v>
      </c>
      <c r="D3123">
        <v>0</v>
      </c>
      <c r="E3123" t="s">
        <v>6132</v>
      </c>
    </row>
    <row r="3124" spans="1:5" x14ac:dyDescent="0.35">
      <c r="A3124" t="s">
        <v>101</v>
      </c>
      <c r="B3124" s="16">
        <v>45960</v>
      </c>
      <c r="C3124">
        <v>8.6</v>
      </c>
      <c r="D3124">
        <v>1</v>
      </c>
      <c r="E3124" t="s">
        <v>6132</v>
      </c>
    </row>
    <row r="3125" spans="1:5" x14ac:dyDescent="0.35">
      <c r="A3125" t="s">
        <v>101</v>
      </c>
      <c r="B3125" s="16">
        <v>45961</v>
      </c>
      <c r="C3125">
        <v>8.5</v>
      </c>
      <c r="D3125">
        <v>1</v>
      </c>
      <c r="E3125" t="s">
        <v>6132</v>
      </c>
    </row>
    <row r="3126" spans="1:5" x14ac:dyDescent="0.35">
      <c r="A3126" t="s">
        <v>101</v>
      </c>
      <c r="B3126" s="16">
        <v>45964</v>
      </c>
      <c r="C3126">
        <v>8</v>
      </c>
      <c r="D3126">
        <v>0</v>
      </c>
      <c r="E3126" t="s">
        <v>6132</v>
      </c>
    </row>
    <row r="3127" spans="1:5" x14ac:dyDescent="0.35">
      <c r="A3127" t="s">
        <v>101</v>
      </c>
      <c r="B3127" s="16">
        <v>45971</v>
      </c>
      <c r="C3127">
        <v>8.6999999999999993</v>
      </c>
      <c r="D3127">
        <v>1</v>
      </c>
      <c r="E3127" t="s">
        <v>6132</v>
      </c>
    </row>
    <row r="3128" spans="1:5" x14ac:dyDescent="0.35">
      <c r="A3128" t="s">
        <v>101</v>
      </c>
      <c r="B3128" s="16">
        <v>45973</v>
      </c>
      <c r="D3128">
        <v>1</v>
      </c>
      <c r="E3128" t="s">
        <v>6132</v>
      </c>
    </row>
    <row r="3129" spans="1:5" x14ac:dyDescent="0.35">
      <c r="A3129" t="s">
        <v>101</v>
      </c>
      <c r="B3129" s="16">
        <v>45974</v>
      </c>
      <c r="C3129">
        <v>5.4</v>
      </c>
      <c r="D3129">
        <v>4</v>
      </c>
      <c r="E3129" t="s">
        <v>6132</v>
      </c>
    </row>
    <row r="3130" spans="1:5" x14ac:dyDescent="0.35">
      <c r="A3130" t="s">
        <v>101</v>
      </c>
      <c r="B3130" s="16">
        <v>45975</v>
      </c>
      <c r="C3130">
        <v>5.3</v>
      </c>
      <c r="D3130">
        <v>0</v>
      </c>
      <c r="E3130" t="s">
        <v>6132</v>
      </c>
    </row>
    <row r="3131" spans="1:5" x14ac:dyDescent="0.35">
      <c r="A3131" t="s">
        <v>101</v>
      </c>
      <c r="B3131" s="16">
        <v>45978</v>
      </c>
      <c r="C3131">
        <v>5.7</v>
      </c>
      <c r="D3131">
        <v>0</v>
      </c>
      <c r="E3131" t="s">
        <v>6132</v>
      </c>
    </row>
    <row r="3132" spans="1:5" x14ac:dyDescent="0.35">
      <c r="A3132" t="s">
        <v>101</v>
      </c>
      <c r="B3132" s="16">
        <v>45981</v>
      </c>
      <c r="D3132">
        <v>0</v>
      </c>
      <c r="E3132" t="s">
        <v>6132</v>
      </c>
    </row>
    <row r="3133" spans="1:5" x14ac:dyDescent="0.35">
      <c r="A3133" t="s">
        <v>101</v>
      </c>
      <c r="B3133" s="16">
        <v>45986</v>
      </c>
      <c r="C3133">
        <v>7.1</v>
      </c>
      <c r="D3133">
        <v>0</v>
      </c>
      <c r="E3133" t="s">
        <v>6132</v>
      </c>
    </row>
    <row r="3134" spans="1:5" x14ac:dyDescent="0.35">
      <c r="A3134" t="s">
        <v>101</v>
      </c>
      <c r="B3134" s="16">
        <v>45988</v>
      </c>
      <c r="C3134">
        <v>5.0999999999999996</v>
      </c>
      <c r="D3134">
        <v>0</v>
      </c>
      <c r="E3134" t="s">
        <v>6134</v>
      </c>
    </row>
    <row r="3135" spans="1:5" x14ac:dyDescent="0.35">
      <c r="A3135" t="s">
        <v>101</v>
      </c>
      <c r="B3135" s="16">
        <v>45989</v>
      </c>
      <c r="C3135">
        <v>6.1</v>
      </c>
      <c r="D3135">
        <v>0</v>
      </c>
      <c r="E3135" t="s">
        <v>6132</v>
      </c>
    </row>
    <row r="3136" spans="1:5" x14ac:dyDescent="0.35">
      <c r="A3136" t="s">
        <v>101</v>
      </c>
      <c r="B3136" s="16">
        <v>45993</v>
      </c>
      <c r="C3136">
        <v>5.0999999999999996</v>
      </c>
      <c r="D3136">
        <v>1</v>
      </c>
      <c r="E3136" t="s">
        <v>6132</v>
      </c>
    </row>
    <row r="3137" spans="1:5" x14ac:dyDescent="0.35">
      <c r="A3137" t="s">
        <v>101</v>
      </c>
      <c r="B3137" s="16">
        <v>45996</v>
      </c>
      <c r="C3137">
        <v>4.4000000000000004</v>
      </c>
      <c r="D3137">
        <v>0</v>
      </c>
      <c r="E3137" t="s">
        <v>6132</v>
      </c>
    </row>
    <row r="3138" spans="1:5" x14ac:dyDescent="0.35">
      <c r="A3138" t="s">
        <v>101</v>
      </c>
      <c r="B3138" s="16">
        <v>45999</v>
      </c>
      <c r="C3138">
        <v>8.5</v>
      </c>
      <c r="D3138">
        <v>0</v>
      </c>
      <c r="E3138" t="s">
        <v>6132</v>
      </c>
    </row>
    <row r="3139" spans="1:5" x14ac:dyDescent="0.35">
      <c r="A3139" t="s">
        <v>101</v>
      </c>
      <c r="B3139" s="16">
        <v>46007</v>
      </c>
      <c r="C3139">
        <v>8.6</v>
      </c>
      <c r="D3139">
        <v>0</v>
      </c>
      <c r="E3139" t="s">
        <v>6132</v>
      </c>
    </row>
    <row r="3140" spans="1:5" x14ac:dyDescent="0.35">
      <c r="A3140" t="s">
        <v>101</v>
      </c>
      <c r="B3140" s="16">
        <v>46008</v>
      </c>
      <c r="D3140">
        <v>0</v>
      </c>
      <c r="E3140" t="s">
        <v>6132</v>
      </c>
    </row>
    <row r="3141" spans="1:5" x14ac:dyDescent="0.35">
      <c r="A3141" t="s">
        <v>101</v>
      </c>
      <c r="B3141" s="16">
        <v>46009</v>
      </c>
      <c r="C3141">
        <v>5.0999999999999996</v>
      </c>
      <c r="D3141">
        <v>1</v>
      </c>
      <c r="E3141" t="s">
        <v>6132</v>
      </c>
    </row>
    <row r="3142" spans="1:5" x14ac:dyDescent="0.35">
      <c r="A3142" t="s">
        <v>101</v>
      </c>
      <c r="B3142" s="16">
        <v>46014</v>
      </c>
      <c r="C3142">
        <v>6.3</v>
      </c>
      <c r="D3142">
        <v>0</v>
      </c>
      <c r="E3142" t="s">
        <v>6132</v>
      </c>
    </row>
    <row r="3143" spans="1:5" x14ac:dyDescent="0.35">
      <c r="A3143" t="s">
        <v>101</v>
      </c>
      <c r="B3143" s="16">
        <v>46016</v>
      </c>
      <c r="C3143">
        <v>7.3</v>
      </c>
      <c r="D3143">
        <v>3</v>
      </c>
      <c r="E3143" t="s">
        <v>6132</v>
      </c>
    </row>
    <row r="3144" spans="1:5" x14ac:dyDescent="0.35">
      <c r="A3144" t="s">
        <v>101</v>
      </c>
      <c r="B3144" s="16">
        <v>46017</v>
      </c>
      <c r="C3144">
        <v>7.2</v>
      </c>
      <c r="D3144">
        <v>1</v>
      </c>
      <c r="E3144" t="s">
        <v>6132</v>
      </c>
    </row>
    <row r="3145" spans="1:5" x14ac:dyDescent="0.35">
      <c r="A3145" t="s">
        <v>34</v>
      </c>
      <c r="B3145" s="16">
        <v>45658</v>
      </c>
      <c r="C3145">
        <v>5.8</v>
      </c>
      <c r="D3145">
        <v>2</v>
      </c>
      <c r="E3145" t="s">
        <v>6132</v>
      </c>
    </row>
    <row r="3146" spans="1:5" x14ac:dyDescent="0.35">
      <c r="A3146" t="s">
        <v>34</v>
      </c>
      <c r="B3146" s="16">
        <v>45658</v>
      </c>
      <c r="C3146">
        <v>5.7</v>
      </c>
      <c r="D3146">
        <v>0</v>
      </c>
      <c r="E3146" t="s">
        <v>6132</v>
      </c>
    </row>
    <row r="3147" spans="1:5" x14ac:dyDescent="0.35">
      <c r="A3147" t="s">
        <v>34</v>
      </c>
      <c r="B3147" s="16">
        <v>45660</v>
      </c>
      <c r="C3147">
        <v>8.6999999999999993</v>
      </c>
      <c r="D3147">
        <v>1</v>
      </c>
      <c r="E3147" t="s">
        <v>6132</v>
      </c>
    </row>
    <row r="3148" spans="1:5" x14ac:dyDescent="0.35">
      <c r="A3148" t="s">
        <v>34</v>
      </c>
      <c r="B3148" s="16">
        <v>45663</v>
      </c>
      <c r="C3148">
        <v>5.5</v>
      </c>
      <c r="D3148">
        <v>1</v>
      </c>
      <c r="E3148" t="s">
        <v>6132</v>
      </c>
    </row>
    <row r="3149" spans="1:5" x14ac:dyDescent="0.35">
      <c r="A3149" t="s">
        <v>34</v>
      </c>
      <c r="B3149" s="16">
        <v>45664</v>
      </c>
      <c r="C3149">
        <v>5.5</v>
      </c>
      <c r="D3149">
        <v>3</v>
      </c>
      <c r="E3149" t="s">
        <v>6132</v>
      </c>
    </row>
    <row r="3150" spans="1:5" x14ac:dyDescent="0.35">
      <c r="A3150" t="s">
        <v>34</v>
      </c>
      <c r="B3150" s="16">
        <v>45665</v>
      </c>
      <c r="C3150">
        <v>6.5</v>
      </c>
      <c r="D3150">
        <v>1</v>
      </c>
      <c r="E3150" t="s">
        <v>6132</v>
      </c>
    </row>
    <row r="3151" spans="1:5" x14ac:dyDescent="0.35">
      <c r="A3151" t="s">
        <v>34</v>
      </c>
      <c r="B3151" s="16">
        <v>45666</v>
      </c>
      <c r="C3151">
        <v>6.2</v>
      </c>
      <c r="D3151">
        <v>0</v>
      </c>
      <c r="E3151" t="s">
        <v>6132</v>
      </c>
    </row>
    <row r="3152" spans="1:5" x14ac:dyDescent="0.35">
      <c r="A3152" t="s">
        <v>34</v>
      </c>
      <c r="B3152" s="16">
        <v>45670</v>
      </c>
      <c r="C3152">
        <v>6.5</v>
      </c>
      <c r="D3152">
        <v>3</v>
      </c>
      <c r="E3152" t="s">
        <v>6132</v>
      </c>
    </row>
    <row r="3153" spans="1:5" x14ac:dyDescent="0.35">
      <c r="A3153" t="s">
        <v>34</v>
      </c>
      <c r="B3153" s="16">
        <v>45672</v>
      </c>
      <c r="C3153">
        <v>4.7</v>
      </c>
      <c r="D3153">
        <v>1</v>
      </c>
      <c r="E3153" t="s">
        <v>6132</v>
      </c>
    </row>
    <row r="3154" spans="1:5" x14ac:dyDescent="0.35">
      <c r="A3154" t="s">
        <v>34</v>
      </c>
      <c r="B3154" s="16">
        <v>45673</v>
      </c>
      <c r="C3154">
        <v>6.2</v>
      </c>
      <c r="D3154">
        <v>0</v>
      </c>
      <c r="E3154" t="s">
        <v>6132</v>
      </c>
    </row>
    <row r="3155" spans="1:5" x14ac:dyDescent="0.35">
      <c r="A3155" t="s">
        <v>34</v>
      </c>
      <c r="B3155" s="16">
        <v>45674</v>
      </c>
      <c r="C3155">
        <v>8.3000000000000007</v>
      </c>
      <c r="D3155">
        <v>0</v>
      </c>
      <c r="E3155" t="s">
        <v>6132</v>
      </c>
    </row>
    <row r="3156" spans="1:5" x14ac:dyDescent="0.35">
      <c r="A3156" t="s">
        <v>34</v>
      </c>
      <c r="B3156" s="16">
        <v>45677</v>
      </c>
      <c r="C3156">
        <v>5.9</v>
      </c>
      <c r="D3156">
        <v>0</v>
      </c>
      <c r="E3156" t="s">
        <v>6134</v>
      </c>
    </row>
    <row r="3157" spans="1:5" x14ac:dyDescent="0.35">
      <c r="A3157" t="s">
        <v>34</v>
      </c>
      <c r="B3157" s="16">
        <v>45679</v>
      </c>
      <c r="C3157">
        <v>8.4</v>
      </c>
      <c r="D3157">
        <v>2</v>
      </c>
      <c r="E3157" t="s">
        <v>6132</v>
      </c>
    </row>
    <row r="3158" spans="1:5" x14ac:dyDescent="0.35">
      <c r="A3158" t="s">
        <v>34</v>
      </c>
      <c r="B3158" s="16">
        <v>45681</v>
      </c>
      <c r="C3158">
        <v>4.4000000000000004</v>
      </c>
      <c r="D3158">
        <v>6</v>
      </c>
      <c r="E3158" t="s">
        <v>6132</v>
      </c>
    </row>
    <row r="3159" spans="1:5" x14ac:dyDescent="0.35">
      <c r="A3159" t="s">
        <v>34</v>
      </c>
      <c r="B3159" s="16">
        <v>45684</v>
      </c>
      <c r="C3159">
        <v>8.6999999999999993</v>
      </c>
      <c r="D3159">
        <v>0</v>
      </c>
      <c r="E3159" t="s">
        <v>6132</v>
      </c>
    </row>
    <row r="3160" spans="1:5" x14ac:dyDescent="0.35">
      <c r="A3160" t="s">
        <v>34</v>
      </c>
      <c r="B3160" s="16">
        <v>45685</v>
      </c>
      <c r="C3160">
        <v>5.5</v>
      </c>
      <c r="D3160">
        <v>1</v>
      </c>
      <c r="E3160" t="s">
        <v>6132</v>
      </c>
    </row>
    <row r="3161" spans="1:5" x14ac:dyDescent="0.35">
      <c r="A3161" t="s">
        <v>34</v>
      </c>
      <c r="B3161" s="16">
        <v>45685</v>
      </c>
      <c r="C3161">
        <v>7.5</v>
      </c>
      <c r="D3161">
        <v>1</v>
      </c>
      <c r="E3161" t="s">
        <v>6132</v>
      </c>
    </row>
    <row r="3162" spans="1:5" x14ac:dyDescent="0.35">
      <c r="A3162" t="s">
        <v>34</v>
      </c>
      <c r="B3162" s="16">
        <v>45693</v>
      </c>
      <c r="C3162">
        <v>4.5999999999999996</v>
      </c>
      <c r="D3162">
        <v>0</v>
      </c>
      <c r="E3162" t="s">
        <v>6133</v>
      </c>
    </row>
    <row r="3163" spans="1:5" x14ac:dyDescent="0.35">
      <c r="A3163" t="s">
        <v>34</v>
      </c>
      <c r="B3163" s="16">
        <v>45694</v>
      </c>
      <c r="C3163">
        <v>7.3</v>
      </c>
      <c r="D3163">
        <v>3</v>
      </c>
      <c r="E3163" t="s">
        <v>6132</v>
      </c>
    </row>
    <row r="3164" spans="1:5" x14ac:dyDescent="0.35">
      <c r="A3164" t="s">
        <v>34</v>
      </c>
      <c r="B3164" s="16">
        <v>45701</v>
      </c>
      <c r="C3164">
        <v>6.6</v>
      </c>
      <c r="D3164">
        <v>0</v>
      </c>
      <c r="E3164" t="s">
        <v>6133</v>
      </c>
    </row>
    <row r="3165" spans="1:5" x14ac:dyDescent="0.35">
      <c r="A3165" t="s">
        <v>34</v>
      </c>
      <c r="B3165" s="16">
        <v>45702</v>
      </c>
      <c r="C3165">
        <v>5.8</v>
      </c>
      <c r="D3165">
        <v>1</v>
      </c>
      <c r="E3165" t="s">
        <v>6132</v>
      </c>
    </row>
    <row r="3166" spans="1:5" x14ac:dyDescent="0.35">
      <c r="A3166" t="s">
        <v>34</v>
      </c>
      <c r="B3166" s="16">
        <v>45705</v>
      </c>
      <c r="C3166">
        <v>8.3000000000000007</v>
      </c>
      <c r="D3166">
        <v>0</v>
      </c>
      <c r="E3166" t="s">
        <v>6132</v>
      </c>
    </row>
    <row r="3167" spans="1:5" x14ac:dyDescent="0.35">
      <c r="A3167" t="s">
        <v>34</v>
      </c>
      <c r="B3167" s="16">
        <v>45707</v>
      </c>
      <c r="C3167">
        <v>5.6</v>
      </c>
      <c r="D3167">
        <v>0</v>
      </c>
      <c r="E3167" t="s">
        <v>6132</v>
      </c>
    </row>
    <row r="3168" spans="1:5" x14ac:dyDescent="0.35">
      <c r="A3168" t="s">
        <v>34</v>
      </c>
      <c r="B3168" s="16">
        <v>45709</v>
      </c>
      <c r="C3168">
        <v>5.7</v>
      </c>
      <c r="D3168">
        <v>1</v>
      </c>
      <c r="E3168" t="s">
        <v>6132</v>
      </c>
    </row>
    <row r="3169" spans="1:5" x14ac:dyDescent="0.35">
      <c r="A3169" t="s">
        <v>34</v>
      </c>
      <c r="B3169" s="16">
        <v>45713</v>
      </c>
      <c r="C3169">
        <v>7.9</v>
      </c>
      <c r="D3169">
        <v>2</v>
      </c>
      <c r="E3169" t="s">
        <v>6132</v>
      </c>
    </row>
    <row r="3170" spans="1:5" x14ac:dyDescent="0.35">
      <c r="A3170" t="s">
        <v>34</v>
      </c>
      <c r="B3170" s="16">
        <v>45714</v>
      </c>
      <c r="D3170">
        <v>0</v>
      </c>
      <c r="E3170" t="s">
        <v>6134</v>
      </c>
    </row>
    <row r="3171" spans="1:5" x14ac:dyDescent="0.35">
      <c r="A3171" t="s">
        <v>34</v>
      </c>
      <c r="B3171" s="16">
        <v>45715</v>
      </c>
      <c r="C3171">
        <v>4.0999999999999996</v>
      </c>
      <c r="D3171">
        <v>3</v>
      </c>
      <c r="E3171" t="s">
        <v>6132</v>
      </c>
    </row>
    <row r="3172" spans="1:5" x14ac:dyDescent="0.35">
      <c r="A3172" t="s">
        <v>34</v>
      </c>
      <c r="B3172" s="16">
        <v>45721</v>
      </c>
      <c r="C3172">
        <v>7.8</v>
      </c>
      <c r="D3172">
        <v>1</v>
      </c>
      <c r="E3172" t="s">
        <v>6132</v>
      </c>
    </row>
    <row r="3173" spans="1:5" x14ac:dyDescent="0.35">
      <c r="A3173" t="s">
        <v>34</v>
      </c>
      <c r="B3173" s="16">
        <v>45721</v>
      </c>
      <c r="C3173">
        <v>7.9</v>
      </c>
      <c r="D3173">
        <v>1</v>
      </c>
      <c r="E3173" t="s">
        <v>6132</v>
      </c>
    </row>
    <row r="3174" spans="1:5" x14ac:dyDescent="0.35">
      <c r="A3174" t="s">
        <v>34</v>
      </c>
      <c r="B3174" s="16">
        <v>45722</v>
      </c>
      <c r="C3174">
        <v>6.9</v>
      </c>
      <c r="D3174">
        <v>3</v>
      </c>
      <c r="E3174" t="s">
        <v>6132</v>
      </c>
    </row>
    <row r="3175" spans="1:5" x14ac:dyDescent="0.35">
      <c r="A3175" t="s">
        <v>34</v>
      </c>
      <c r="B3175" s="16">
        <v>45723</v>
      </c>
      <c r="C3175">
        <v>7.2</v>
      </c>
      <c r="D3175">
        <v>3</v>
      </c>
      <c r="E3175" t="s">
        <v>6132</v>
      </c>
    </row>
    <row r="3176" spans="1:5" x14ac:dyDescent="0.35">
      <c r="A3176" t="s">
        <v>34</v>
      </c>
      <c r="B3176" s="16">
        <v>45728</v>
      </c>
      <c r="C3176">
        <v>7.8</v>
      </c>
      <c r="D3176">
        <v>2</v>
      </c>
      <c r="E3176" t="s">
        <v>6132</v>
      </c>
    </row>
    <row r="3177" spans="1:5" x14ac:dyDescent="0.35">
      <c r="A3177" t="s">
        <v>34</v>
      </c>
      <c r="B3177" s="16">
        <v>45729</v>
      </c>
      <c r="C3177">
        <v>4.8</v>
      </c>
      <c r="D3177">
        <v>3</v>
      </c>
      <c r="E3177" t="s">
        <v>6132</v>
      </c>
    </row>
    <row r="3178" spans="1:5" x14ac:dyDescent="0.35">
      <c r="A3178" t="s">
        <v>34</v>
      </c>
      <c r="B3178" s="16">
        <v>45730</v>
      </c>
      <c r="C3178">
        <v>5.5</v>
      </c>
      <c r="D3178">
        <v>1</v>
      </c>
      <c r="E3178" t="s">
        <v>6132</v>
      </c>
    </row>
    <row r="3179" spans="1:5" x14ac:dyDescent="0.35">
      <c r="A3179" t="s">
        <v>34</v>
      </c>
      <c r="B3179" s="16">
        <v>45733</v>
      </c>
      <c r="C3179">
        <v>8.1</v>
      </c>
      <c r="D3179">
        <v>0</v>
      </c>
      <c r="E3179" t="s">
        <v>6133</v>
      </c>
    </row>
    <row r="3180" spans="1:5" x14ac:dyDescent="0.35">
      <c r="A3180" t="s">
        <v>34</v>
      </c>
      <c r="B3180" s="16">
        <v>45736</v>
      </c>
      <c r="C3180">
        <v>5.0999999999999996</v>
      </c>
      <c r="D3180">
        <v>3</v>
      </c>
      <c r="E3180" t="s">
        <v>6132</v>
      </c>
    </row>
    <row r="3181" spans="1:5" x14ac:dyDescent="0.35">
      <c r="A3181" t="s">
        <v>34</v>
      </c>
      <c r="B3181" s="16">
        <v>45737</v>
      </c>
      <c r="C3181">
        <v>6</v>
      </c>
      <c r="D3181">
        <v>2</v>
      </c>
      <c r="E3181" t="s">
        <v>6132</v>
      </c>
    </row>
    <row r="3182" spans="1:5" x14ac:dyDescent="0.35">
      <c r="A3182" t="s">
        <v>34</v>
      </c>
      <c r="B3182" s="16">
        <v>45740</v>
      </c>
      <c r="C3182">
        <v>7.8</v>
      </c>
      <c r="D3182">
        <v>1</v>
      </c>
      <c r="E3182" t="s">
        <v>6132</v>
      </c>
    </row>
    <row r="3183" spans="1:5" x14ac:dyDescent="0.35">
      <c r="A3183" t="s">
        <v>34</v>
      </c>
      <c r="B3183" s="16">
        <v>45741</v>
      </c>
      <c r="C3183">
        <v>4.0999999999999996</v>
      </c>
      <c r="D3183">
        <v>2</v>
      </c>
      <c r="E3183" t="s">
        <v>6132</v>
      </c>
    </row>
    <row r="3184" spans="1:5" x14ac:dyDescent="0.35">
      <c r="A3184" t="s">
        <v>34</v>
      </c>
      <c r="B3184" s="16">
        <v>45743</v>
      </c>
      <c r="C3184">
        <v>5.9</v>
      </c>
      <c r="D3184">
        <v>1</v>
      </c>
      <c r="E3184" t="s">
        <v>6132</v>
      </c>
    </row>
    <row r="3185" spans="1:5" x14ac:dyDescent="0.35">
      <c r="A3185" t="s">
        <v>34</v>
      </c>
      <c r="B3185" s="16">
        <v>45744</v>
      </c>
      <c r="C3185">
        <v>6.4</v>
      </c>
      <c r="D3185">
        <v>0</v>
      </c>
      <c r="E3185" t="s">
        <v>6132</v>
      </c>
    </row>
    <row r="3186" spans="1:5" x14ac:dyDescent="0.35">
      <c r="A3186" t="s">
        <v>34</v>
      </c>
      <c r="B3186" s="16">
        <v>45749</v>
      </c>
      <c r="C3186">
        <v>5.4</v>
      </c>
      <c r="D3186">
        <v>0</v>
      </c>
      <c r="E3186" t="s">
        <v>6132</v>
      </c>
    </row>
    <row r="3187" spans="1:5" x14ac:dyDescent="0.35">
      <c r="A3187" t="s">
        <v>34</v>
      </c>
      <c r="B3187" s="16">
        <v>45750</v>
      </c>
      <c r="C3187">
        <v>6.1</v>
      </c>
      <c r="D3187">
        <v>2</v>
      </c>
      <c r="E3187" t="s">
        <v>6132</v>
      </c>
    </row>
    <row r="3188" spans="1:5" x14ac:dyDescent="0.35">
      <c r="A3188" t="s">
        <v>34</v>
      </c>
      <c r="B3188" s="16">
        <v>45751</v>
      </c>
      <c r="C3188">
        <v>8.6999999999999993</v>
      </c>
      <c r="D3188">
        <v>1</v>
      </c>
      <c r="E3188" t="s">
        <v>6132</v>
      </c>
    </row>
    <row r="3189" spans="1:5" x14ac:dyDescent="0.35">
      <c r="A3189" t="s">
        <v>34</v>
      </c>
      <c r="B3189" s="16">
        <v>45754</v>
      </c>
      <c r="C3189">
        <v>4.0999999999999996</v>
      </c>
      <c r="D3189">
        <v>4</v>
      </c>
      <c r="E3189" t="s">
        <v>6132</v>
      </c>
    </row>
    <row r="3190" spans="1:5" x14ac:dyDescent="0.35">
      <c r="A3190" t="s">
        <v>34</v>
      </c>
      <c r="B3190" s="16">
        <v>45755</v>
      </c>
      <c r="C3190">
        <v>8.5</v>
      </c>
      <c r="D3190">
        <v>2</v>
      </c>
      <c r="E3190" t="s">
        <v>6132</v>
      </c>
    </row>
    <row r="3191" spans="1:5" x14ac:dyDescent="0.35">
      <c r="A3191" t="s">
        <v>34</v>
      </c>
      <c r="B3191" s="16">
        <v>45755</v>
      </c>
      <c r="C3191">
        <v>9</v>
      </c>
      <c r="D3191">
        <v>5</v>
      </c>
      <c r="E3191" t="s">
        <v>6132</v>
      </c>
    </row>
    <row r="3192" spans="1:5" x14ac:dyDescent="0.35">
      <c r="A3192" t="s">
        <v>34</v>
      </c>
      <c r="B3192" s="16">
        <v>45756</v>
      </c>
      <c r="C3192">
        <v>7.1</v>
      </c>
      <c r="D3192">
        <v>2</v>
      </c>
      <c r="E3192" t="s">
        <v>6132</v>
      </c>
    </row>
    <row r="3193" spans="1:5" x14ac:dyDescent="0.35">
      <c r="A3193" t="s">
        <v>34</v>
      </c>
      <c r="B3193" s="16">
        <v>45758</v>
      </c>
      <c r="C3193">
        <v>5.7</v>
      </c>
      <c r="D3193">
        <v>0</v>
      </c>
      <c r="E3193" t="s">
        <v>6134</v>
      </c>
    </row>
    <row r="3194" spans="1:5" x14ac:dyDescent="0.35">
      <c r="A3194" t="s">
        <v>34</v>
      </c>
      <c r="B3194" s="16">
        <v>45761</v>
      </c>
      <c r="C3194">
        <v>4.4000000000000004</v>
      </c>
      <c r="D3194">
        <v>2</v>
      </c>
      <c r="E3194" t="s">
        <v>6132</v>
      </c>
    </row>
    <row r="3195" spans="1:5" x14ac:dyDescent="0.35">
      <c r="A3195" t="s">
        <v>34</v>
      </c>
      <c r="B3195" s="16">
        <v>45762</v>
      </c>
      <c r="C3195">
        <v>7.8</v>
      </c>
      <c r="D3195">
        <v>0</v>
      </c>
      <c r="E3195" t="s">
        <v>6134</v>
      </c>
    </row>
    <row r="3196" spans="1:5" x14ac:dyDescent="0.35">
      <c r="A3196" t="s">
        <v>34</v>
      </c>
      <c r="B3196" s="16">
        <v>45763</v>
      </c>
      <c r="C3196">
        <v>6.1</v>
      </c>
      <c r="D3196">
        <v>3</v>
      </c>
      <c r="E3196" t="s">
        <v>6132</v>
      </c>
    </row>
    <row r="3197" spans="1:5" x14ac:dyDescent="0.35">
      <c r="A3197" t="s">
        <v>34</v>
      </c>
      <c r="B3197" s="16">
        <v>45764</v>
      </c>
      <c r="D3197">
        <v>0</v>
      </c>
      <c r="E3197" t="s">
        <v>6132</v>
      </c>
    </row>
    <row r="3198" spans="1:5" x14ac:dyDescent="0.35">
      <c r="A3198" t="s">
        <v>34</v>
      </c>
      <c r="B3198" s="16">
        <v>45764</v>
      </c>
      <c r="C3198">
        <v>5</v>
      </c>
      <c r="D3198">
        <v>0</v>
      </c>
      <c r="E3198" t="s">
        <v>6134</v>
      </c>
    </row>
    <row r="3199" spans="1:5" x14ac:dyDescent="0.35">
      <c r="A3199" t="s">
        <v>34</v>
      </c>
      <c r="B3199" s="16">
        <v>45765</v>
      </c>
      <c r="C3199">
        <v>4.2</v>
      </c>
      <c r="D3199">
        <v>0</v>
      </c>
      <c r="E3199" t="s">
        <v>6132</v>
      </c>
    </row>
    <row r="3200" spans="1:5" x14ac:dyDescent="0.35">
      <c r="A3200" t="s">
        <v>34</v>
      </c>
      <c r="B3200" s="16">
        <v>45768</v>
      </c>
      <c r="C3200">
        <v>8.6</v>
      </c>
      <c r="D3200">
        <v>1</v>
      </c>
      <c r="E3200" t="s">
        <v>6132</v>
      </c>
    </row>
    <row r="3201" spans="1:5" x14ac:dyDescent="0.35">
      <c r="A3201" t="s">
        <v>34</v>
      </c>
      <c r="B3201" s="16">
        <v>45769</v>
      </c>
      <c r="C3201">
        <v>4.5999999999999996</v>
      </c>
      <c r="D3201">
        <v>1</v>
      </c>
      <c r="E3201" t="s">
        <v>6132</v>
      </c>
    </row>
    <row r="3202" spans="1:5" x14ac:dyDescent="0.35">
      <c r="A3202" t="s">
        <v>34</v>
      </c>
      <c r="B3202" s="16">
        <v>45770</v>
      </c>
      <c r="C3202">
        <v>4.2</v>
      </c>
      <c r="D3202">
        <v>1</v>
      </c>
      <c r="E3202" t="s">
        <v>6132</v>
      </c>
    </row>
    <row r="3203" spans="1:5" x14ac:dyDescent="0.35">
      <c r="A3203" t="s">
        <v>34</v>
      </c>
      <c r="B3203" s="16">
        <v>45771</v>
      </c>
      <c r="D3203">
        <v>0</v>
      </c>
      <c r="E3203" t="s">
        <v>6132</v>
      </c>
    </row>
    <row r="3204" spans="1:5" x14ac:dyDescent="0.35">
      <c r="A3204" t="s">
        <v>34</v>
      </c>
      <c r="B3204" s="16">
        <v>45772</v>
      </c>
      <c r="D3204">
        <v>0</v>
      </c>
      <c r="E3204" t="s">
        <v>6132</v>
      </c>
    </row>
    <row r="3205" spans="1:5" x14ac:dyDescent="0.35">
      <c r="A3205" t="s">
        <v>34</v>
      </c>
      <c r="B3205" s="16">
        <v>45776</v>
      </c>
      <c r="C3205">
        <v>7.5</v>
      </c>
      <c r="D3205">
        <v>3</v>
      </c>
      <c r="E3205" t="s">
        <v>6132</v>
      </c>
    </row>
    <row r="3206" spans="1:5" x14ac:dyDescent="0.35">
      <c r="A3206" t="s">
        <v>34</v>
      </c>
      <c r="B3206" s="16">
        <v>45778</v>
      </c>
      <c r="C3206">
        <v>8.6</v>
      </c>
      <c r="D3206">
        <v>6</v>
      </c>
      <c r="E3206" t="s">
        <v>6132</v>
      </c>
    </row>
    <row r="3207" spans="1:5" x14ac:dyDescent="0.35">
      <c r="A3207" t="s">
        <v>34</v>
      </c>
      <c r="B3207" s="16">
        <v>45782</v>
      </c>
      <c r="D3207">
        <v>2</v>
      </c>
      <c r="E3207" t="s">
        <v>6132</v>
      </c>
    </row>
    <row r="3208" spans="1:5" x14ac:dyDescent="0.35">
      <c r="A3208" t="s">
        <v>34</v>
      </c>
      <c r="B3208" s="16">
        <v>45783</v>
      </c>
      <c r="C3208">
        <v>7.8</v>
      </c>
      <c r="D3208">
        <v>0</v>
      </c>
      <c r="E3208" t="s">
        <v>6132</v>
      </c>
    </row>
    <row r="3209" spans="1:5" x14ac:dyDescent="0.35">
      <c r="A3209" t="s">
        <v>34</v>
      </c>
      <c r="B3209" s="16">
        <v>45791</v>
      </c>
      <c r="D3209">
        <v>2</v>
      </c>
      <c r="E3209" t="s">
        <v>6132</v>
      </c>
    </row>
    <row r="3210" spans="1:5" x14ac:dyDescent="0.35">
      <c r="A3210" t="s">
        <v>34</v>
      </c>
      <c r="B3210" s="16">
        <v>45793</v>
      </c>
      <c r="C3210">
        <v>4.8</v>
      </c>
      <c r="D3210">
        <v>3</v>
      </c>
      <c r="E3210" t="s">
        <v>6132</v>
      </c>
    </row>
    <row r="3211" spans="1:5" x14ac:dyDescent="0.35">
      <c r="A3211" t="s">
        <v>34</v>
      </c>
      <c r="B3211" s="16">
        <v>45796</v>
      </c>
      <c r="C3211">
        <v>7.4</v>
      </c>
      <c r="D3211">
        <v>1</v>
      </c>
      <c r="E3211" t="s">
        <v>6132</v>
      </c>
    </row>
    <row r="3212" spans="1:5" x14ac:dyDescent="0.35">
      <c r="A3212" t="s">
        <v>34</v>
      </c>
      <c r="B3212" s="16">
        <v>45805</v>
      </c>
      <c r="C3212">
        <v>5.8</v>
      </c>
      <c r="D3212">
        <v>1</v>
      </c>
      <c r="E3212" t="s">
        <v>6132</v>
      </c>
    </row>
    <row r="3213" spans="1:5" x14ac:dyDescent="0.35">
      <c r="A3213" t="s">
        <v>34</v>
      </c>
      <c r="B3213" s="16">
        <v>45806</v>
      </c>
      <c r="C3213">
        <v>5.5</v>
      </c>
      <c r="D3213">
        <v>0</v>
      </c>
      <c r="E3213" t="s">
        <v>6132</v>
      </c>
    </row>
    <row r="3214" spans="1:5" x14ac:dyDescent="0.35">
      <c r="A3214" t="s">
        <v>34</v>
      </c>
      <c r="B3214" s="16">
        <v>45807</v>
      </c>
      <c r="C3214">
        <v>8.5</v>
      </c>
      <c r="D3214">
        <v>1</v>
      </c>
      <c r="E3214" t="s">
        <v>6132</v>
      </c>
    </row>
    <row r="3215" spans="1:5" x14ac:dyDescent="0.35">
      <c r="A3215" t="s">
        <v>34</v>
      </c>
      <c r="B3215" s="16">
        <v>45812</v>
      </c>
      <c r="C3215">
        <v>5.6</v>
      </c>
      <c r="D3215">
        <v>0</v>
      </c>
      <c r="E3215" t="s">
        <v>6132</v>
      </c>
    </row>
    <row r="3216" spans="1:5" x14ac:dyDescent="0.35">
      <c r="A3216" t="s">
        <v>34</v>
      </c>
      <c r="B3216" s="16">
        <v>45814</v>
      </c>
      <c r="C3216">
        <v>6.2</v>
      </c>
      <c r="D3216">
        <v>0</v>
      </c>
      <c r="E3216" t="s">
        <v>6132</v>
      </c>
    </row>
    <row r="3217" spans="1:5" x14ac:dyDescent="0.35">
      <c r="A3217" t="s">
        <v>34</v>
      </c>
      <c r="B3217" s="16">
        <v>45817</v>
      </c>
      <c r="C3217">
        <v>6.3</v>
      </c>
      <c r="D3217">
        <v>3</v>
      </c>
      <c r="E3217" t="s">
        <v>6132</v>
      </c>
    </row>
    <row r="3218" spans="1:5" x14ac:dyDescent="0.35">
      <c r="A3218" t="s">
        <v>34</v>
      </c>
      <c r="B3218" s="16">
        <v>45819</v>
      </c>
      <c r="C3218">
        <v>4.5</v>
      </c>
      <c r="D3218">
        <v>0</v>
      </c>
      <c r="E3218" t="s">
        <v>6132</v>
      </c>
    </row>
    <row r="3219" spans="1:5" x14ac:dyDescent="0.35">
      <c r="A3219" t="s">
        <v>34</v>
      </c>
      <c r="B3219" s="16">
        <v>45820</v>
      </c>
      <c r="C3219">
        <v>8.4</v>
      </c>
      <c r="D3219">
        <v>0</v>
      </c>
      <c r="E3219" t="s">
        <v>6132</v>
      </c>
    </row>
    <row r="3220" spans="1:5" x14ac:dyDescent="0.35">
      <c r="A3220" t="s">
        <v>34</v>
      </c>
      <c r="B3220" s="16">
        <v>45825</v>
      </c>
      <c r="C3220">
        <v>5.5</v>
      </c>
      <c r="D3220">
        <v>0</v>
      </c>
      <c r="E3220" t="s">
        <v>6132</v>
      </c>
    </row>
    <row r="3221" spans="1:5" x14ac:dyDescent="0.35">
      <c r="A3221" t="s">
        <v>34</v>
      </c>
      <c r="B3221" s="16">
        <v>45826</v>
      </c>
      <c r="C3221">
        <v>8.5</v>
      </c>
      <c r="D3221">
        <v>7</v>
      </c>
      <c r="E3221" t="s">
        <v>6132</v>
      </c>
    </row>
    <row r="3222" spans="1:5" x14ac:dyDescent="0.35">
      <c r="A3222" t="s">
        <v>34</v>
      </c>
      <c r="B3222" s="16">
        <v>45827</v>
      </c>
      <c r="C3222">
        <v>5.8</v>
      </c>
      <c r="D3222">
        <v>0</v>
      </c>
      <c r="E3222" t="s">
        <v>6132</v>
      </c>
    </row>
    <row r="3223" spans="1:5" x14ac:dyDescent="0.35">
      <c r="A3223" t="s">
        <v>34</v>
      </c>
      <c r="B3223" s="16">
        <v>45827</v>
      </c>
      <c r="D3223">
        <v>0</v>
      </c>
      <c r="E3223" t="s">
        <v>6134</v>
      </c>
    </row>
    <row r="3224" spans="1:5" x14ac:dyDescent="0.35">
      <c r="A3224" t="s">
        <v>34</v>
      </c>
      <c r="B3224" s="16">
        <v>45828</v>
      </c>
      <c r="C3224">
        <v>6.8</v>
      </c>
      <c r="D3224">
        <v>2</v>
      </c>
      <c r="E3224" t="s">
        <v>6132</v>
      </c>
    </row>
    <row r="3225" spans="1:5" x14ac:dyDescent="0.35">
      <c r="A3225" t="s">
        <v>34</v>
      </c>
      <c r="B3225" s="16">
        <v>45831</v>
      </c>
      <c r="C3225">
        <v>4.0999999999999996</v>
      </c>
      <c r="D3225">
        <v>0</v>
      </c>
      <c r="E3225" t="s">
        <v>6132</v>
      </c>
    </row>
    <row r="3226" spans="1:5" x14ac:dyDescent="0.35">
      <c r="A3226" t="s">
        <v>34</v>
      </c>
      <c r="B3226" s="16">
        <v>45833</v>
      </c>
      <c r="C3226">
        <v>5.3</v>
      </c>
      <c r="D3226">
        <v>0</v>
      </c>
      <c r="E3226" t="s">
        <v>6132</v>
      </c>
    </row>
    <row r="3227" spans="1:5" x14ac:dyDescent="0.35">
      <c r="A3227" t="s">
        <v>34</v>
      </c>
      <c r="B3227" s="16">
        <v>45834</v>
      </c>
      <c r="C3227">
        <v>7.6</v>
      </c>
      <c r="D3227">
        <v>0</v>
      </c>
      <c r="E3227" t="s">
        <v>6132</v>
      </c>
    </row>
    <row r="3228" spans="1:5" x14ac:dyDescent="0.35">
      <c r="A3228" t="s">
        <v>34</v>
      </c>
      <c r="B3228" s="16">
        <v>45840</v>
      </c>
      <c r="C3228">
        <v>8.5</v>
      </c>
      <c r="D3228">
        <v>0</v>
      </c>
      <c r="E3228" t="s">
        <v>6134</v>
      </c>
    </row>
    <row r="3229" spans="1:5" x14ac:dyDescent="0.35">
      <c r="A3229" t="s">
        <v>34</v>
      </c>
      <c r="B3229" s="16">
        <v>45840</v>
      </c>
      <c r="C3229">
        <v>4.5</v>
      </c>
      <c r="D3229">
        <v>1</v>
      </c>
      <c r="E3229" t="s">
        <v>6132</v>
      </c>
    </row>
    <row r="3230" spans="1:5" x14ac:dyDescent="0.35">
      <c r="A3230" t="s">
        <v>34</v>
      </c>
      <c r="B3230" s="16">
        <v>45841</v>
      </c>
      <c r="C3230">
        <v>7</v>
      </c>
      <c r="D3230">
        <v>1</v>
      </c>
      <c r="E3230" t="s">
        <v>6132</v>
      </c>
    </row>
    <row r="3231" spans="1:5" x14ac:dyDescent="0.35">
      <c r="A3231" t="s">
        <v>34</v>
      </c>
      <c r="B3231" s="16">
        <v>45842</v>
      </c>
      <c r="C3231">
        <v>4.7</v>
      </c>
      <c r="D3231">
        <v>2</v>
      </c>
      <c r="E3231" t="s">
        <v>6132</v>
      </c>
    </row>
    <row r="3232" spans="1:5" x14ac:dyDescent="0.35">
      <c r="A3232" t="s">
        <v>34</v>
      </c>
      <c r="B3232" s="16">
        <v>45845</v>
      </c>
      <c r="C3232">
        <v>6.8</v>
      </c>
      <c r="D3232">
        <v>2</v>
      </c>
      <c r="E3232" t="s">
        <v>6132</v>
      </c>
    </row>
    <row r="3233" spans="1:5" x14ac:dyDescent="0.35">
      <c r="A3233" t="s">
        <v>34</v>
      </c>
      <c r="B3233" s="16">
        <v>45846</v>
      </c>
      <c r="C3233">
        <v>7.7</v>
      </c>
      <c r="D3233">
        <v>1</v>
      </c>
      <c r="E3233" t="s">
        <v>6132</v>
      </c>
    </row>
    <row r="3234" spans="1:5" x14ac:dyDescent="0.35">
      <c r="A3234" t="s">
        <v>34</v>
      </c>
      <c r="B3234" s="16">
        <v>45854</v>
      </c>
      <c r="C3234">
        <v>6.4</v>
      </c>
      <c r="D3234">
        <v>1</v>
      </c>
      <c r="E3234" t="s">
        <v>6132</v>
      </c>
    </row>
    <row r="3235" spans="1:5" x14ac:dyDescent="0.35">
      <c r="A3235" t="s">
        <v>34</v>
      </c>
      <c r="B3235" s="16">
        <v>45854</v>
      </c>
      <c r="C3235">
        <v>5.4</v>
      </c>
      <c r="D3235">
        <v>3</v>
      </c>
      <c r="E3235" t="s">
        <v>6132</v>
      </c>
    </row>
    <row r="3236" spans="1:5" x14ac:dyDescent="0.35">
      <c r="A3236" t="s">
        <v>34</v>
      </c>
      <c r="B3236" s="16">
        <v>45855</v>
      </c>
      <c r="C3236">
        <v>6.4</v>
      </c>
      <c r="D3236">
        <v>0</v>
      </c>
      <c r="E3236" t="s">
        <v>6132</v>
      </c>
    </row>
    <row r="3237" spans="1:5" x14ac:dyDescent="0.35">
      <c r="A3237" t="s">
        <v>34</v>
      </c>
      <c r="B3237" s="16">
        <v>45860</v>
      </c>
      <c r="D3237">
        <v>2</v>
      </c>
      <c r="E3237" t="s">
        <v>6132</v>
      </c>
    </row>
    <row r="3238" spans="1:5" x14ac:dyDescent="0.35">
      <c r="A3238" t="s">
        <v>34</v>
      </c>
      <c r="B3238" s="16">
        <v>45863</v>
      </c>
      <c r="C3238">
        <v>6.7</v>
      </c>
      <c r="D3238">
        <v>0</v>
      </c>
      <c r="E3238" t="s">
        <v>6132</v>
      </c>
    </row>
    <row r="3239" spans="1:5" x14ac:dyDescent="0.35">
      <c r="A3239" t="s">
        <v>34</v>
      </c>
      <c r="B3239" s="16">
        <v>45868</v>
      </c>
      <c r="C3239">
        <v>7.4</v>
      </c>
      <c r="D3239">
        <v>1</v>
      </c>
      <c r="E3239" t="s">
        <v>6132</v>
      </c>
    </row>
    <row r="3240" spans="1:5" x14ac:dyDescent="0.35">
      <c r="A3240" t="s">
        <v>34</v>
      </c>
      <c r="B3240" s="16">
        <v>45870</v>
      </c>
      <c r="C3240">
        <v>8.3000000000000007</v>
      </c>
      <c r="D3240">
        <v>3</v>
      </c>
      <c r="E3240" t="s">
        <v>6132</v>
      </c>
    </row>
    <row r="3241" spans="1:5" x14ac:dyDescent="0.35">
      <c r="A3241" t="s">
        <v>34</v>
      </c>
      <c r="B3241" s="16">
        <v>45873</v>
      </c>
      <c r="C3241">
        <v>8.3000000000000007</v>
      </c>
      <c r="D3241">
        <v>0</v>
      </c>
      <c r="E3241" t="s">
        <v>6132</v>
      </c>
    </row>
    <row r="3242" spans="1:5" x14ac:dyDescent="0.35">
      <c r="A3242" t="s">
        <v>34</v>
      </c>
      <c r="B3242" s="16">
        <v>45874</v>
      </c>
      <c r="C3242">
        <v>8.6</v>
      </c>
      <c r="D3242">
        <v>4</v>
      </c>
      <c r="E3242" t="s">
        <v>6132</v>
      </c>
    </row>
    <row r="3243" spans="1:5" x14ac:dyDescent="0.35">
      <c r="A3243" t="s">
        <v>34</v>
      </c>
      <c r="B3243" s="16">
        <v>45875</v>
      </c>
      <c r="C3243">
        <v>7.7</v>
      </c>
      <c r="D3243">
        <v>1</v>
      </c>
      <c r="E3243" t="s">
        <v>6132</v>
      </c>
    </row>
    <row r="3244" spans="1:5" x14ac:dyDescent="0.35">
      <c r="A3244" t="s">
        <v>34</v>
      </c>
      <c r="B3244" s="16">
        <v>45876</v>
      </c>
      <c r="C3244">
        <v>6.1</v>
      </c>
      <c r="D3244">
        <v>1</v>
      </c>
      <c r="E3244" t="s">
        <v>6132</v>
      </c>
    </row>
    <row r="3245" spans="1:5" x14ac:dyDescent="0.35">
      <c r="A3245" t="s">
        <v>34</v>
      </c>
      <c r="B3245" s="16">
        <v>45877</v>
      </c>
      <c r="C3245">
        <v>4</v>
      </c>
      <c r="D3245">
        <v>0</v>
      </c>
      <c r="E3245" t="s">
        <v>6133</v>
      </c>
    </row>
    <row r="3246" spans="1:5" x14ac:dyDescent="0.35">
      <c r="A3246" t="s">
        <v>34</v>
      </c>
      <c r="B3246" s="16">
        <v>45880</v>
      </c>
      <c r="C3246">
        <v>5.6</v>
      </c>
      <c r="D3246">
        <v>1</v>
      </c>
      <c r="E3246" t="s">
        <v>6132</v>
      </c>
    </row>
    <row r="3247" spans="1:5" x14ac:dyDescent="0.35">
      <c r="A3247" t="s">
        <v>34</v>
      </c>
      <c r="B3247" s="16">
        <v>45881</v>
      </c>
      <c r="C3247">
        <v>4.5999999999999996</v>
      </c>
      <c r="D3247">
        <v>1</v>
      </c>
      <c r="E3247" t="s">
        <v>6132</v>
      </c>
    </row>
    <row r="3248" spans="1:5" x14ac:dyDescent="0.35">
      <c r="A3248" t="s">
        <v>34</v>
      </c>
      <c r="B3248" s="16">
        <v>45882</v>
      </c>
      <c r="C3248">
        <v>6.6</v>
      </c>
      <c r="D3248">
        <v>0</v>
      </c>
      <c r="E3248" t="s">
        <v>6132</v>
      </c>
    </row>
    <row r="3249" spans="1:5" x14ac:dyDescent="0.35">
      <c r="A3249" t="s">
        <v>34</v>
      </c>
      <c r="B3249" s="16">
        <v>45884</v>
      </c>
      <c r="C3249">
        <v>4.7</v>
      </c>
      <c r="D3249">
        <v>5</v>
      </c>
      <c r="E3249" t="s">
        <v>6132</v>
      </c>
    </row>
    <row r="3250" spans="1:5" x14ac:dyDescent="0.35">
      <c r="A3250" t="s">
        <v>34</v>
      </c>
      <c r="B3250" s="16">
        <v>45887</v>
      </c>
      <c r="C3250">
        <v>5.6</v>
      </c>
      <c r="D3250">
        <v>0</v>
      </c>
      <c r="E3250" t="s">
        <v>6132</v>
      </c>
    </row>
    <row r="3251" spans="1:5" x14ac:dyDescent="0.35">
      <c r="A3251" t="s">
        <v>34</v>
      </c>
      <c r="B3251" s="16">
        <v>45889</v>
      </c>
      <c r="C3251">
        <v>6.9</v>
      </c>
      <c r="D3251">
        <v>5</v>
      </c>
      <c r="E3251" t="s">
        <v>6132</v>
      </c>
    </row>
    <row r="3252" spans="1:5" x14ac:dyDescent="0.35">
      <c r="A3252" t="s">
        <v>34</v>
      </c>
      <c r="B3252" s="16">
        <v>45890</v>
      </c>
      <c r="C3252">
        <v>6</v>
      </c>
      <c r="D3252">
        <v>0</v>
      </c>
      <c r="E3252" t="s">
        <v>6132</v>
      </c>
    </row>
    <row r="3253" spans="1:5" x14ac:dyDescent="0.35">
      <c r="A3253" t="s">
        <v>34</v>
      </c>
      <c r="B3253" s="16">
        <v>45894</v>
      </c>
      <c r="C3253">
        <v>4</v>
      </c>
      <c r="D3253">
        <v>1</v>
      </c>
      <c r="E3253" t="s">
        <v>6132</v>
      </c>
    </row>
    <row r="3254" spans="1:5" x14ac:dyDescent="0.35">
      <c r="A3254" t="s">
        <v>34</v>
      </c>
      <c r="B3254" s="16">
        <v>45895</v>
      </c>
      <c r="C3254">
        <v>7.6</v>
      </c>
      <c r="D3254">
        <v>4</v>
      </c>
      <c r="E3254" t="s">
        <v>6132</v>
      </c>
    </row>
    <row r="3255" spans="1:5" x14ac:dyDescent="0.35">
      <c r="A3255" t="s">
        <v>34</v>
      </c>
      <c r="B3255" s="16">
        <v>45896</v>
      </c>
      <c r="C3255">
        <v>7.2</v>
      </c>
      <c r="D3255">
        <v>0</v>
      </c>
      <c r="E3255" t="s">
        <v>6132</v>
      </c>
    </row>
    <row r="3256" spans="1:5" x14ac:dyDescent="0.35">
      <c r="A3256" t="s">
        <v>34</v>
      </c>
      <c r="B3256" s="16">
        <v>45898</v>
      </c>
      <c r="C3256">
        <v>4.5</v>
      </c>
      <c r="D3256">
        <v>0</v>
      </c>
      <c r="E3256" t="s">
        <v>6132</v>
      </c>
    </row>
    <row r="3257" spans="1:5" x14ac:dyDescent="0.35">
      <c r="A3257" t="s">
        <v>34</v>
      </c>
      <c r="B3257" s="16">
        <v>45903</v>
      </c>
      <c r="C3257">
        <v>5.5</v>
      </c>
      <c r="D3257">
        <v>3</v>
      </c>
      <c r="E3257" t="s">
        <v>6132</v>
      </c>
    </row>
    <row r="3258" spans="1:5" x14ac:dyDescent="0.35">
      <c r="A3258" t="s">
        <v>34</v>
      </c>
      <c r="B3258" s="16">
        <v>45908</v>
      </c>
      <c r="C3258">
        <v>8.6999999999999993</v>
      </c>
      <c r="D3258">
        <v>0</v>
      </c>
      <c r="E3258" t="s">
        <v>6132</v>
      </c>
    </row>
    <row r="3259" spans="1:5" x14ac:dyDescent="0.35">
      <c r="A3259" t="s">
        <v>34</v>
      </c>
      <c r="B3259" s="16">
        <v>45909</v>
      </c>
      <c r="C3259">
        <v>5.9</v>
      </c>
      <c r="D3259">
        <v>0</v>
      </c>
      <c r="E3259" t="s">
        <v>6132</v>
      </c>
    </row>
    <row r="3260" spans="1:5" x14ac:dyDescent="0.35">
      <c r="A3260" t="s">
        <v>34</v>
      </c>
      <c r="B3260" s="16">
        <v>45910</v>
      </c>
      <c r="C3260">
        <v>4.4000000000000004</v>
      </c>
      <c r="D3260">
        <v>0</v>
      </c>
      <c r="E3260" t="s">
        <v>6132</v>
      </c>
    </row>
    <row r="3261" spans="1:5" x14ac:dyDescent="0.35">
      <c r="A3261" t="s">
        <v>34</v>
      </c>
      <c r="B3261" s="16">
        <v>45911</v>
      </c>
      <c r="C3261">
        <v>6.7</v>
      </c>
      <c r="D3261">
        <v>0</v>
      </c>
      <c r="E3261" t="s">
        <v>6132</v>
      </c>
    </row>
    <row r="3262" spans="1:5" x14ac:dyDescent="0.35">
      <c r="A3262" t="s">
        <v>34</v>
      </c>
      <c r="B3262" s="16">
        <v>45912</v>
      </c>
      <c r="C3262">
        <v>4.5999999999999996</v>
      </c>
      <c r="D3262">
        <v>1</v>
      </c>
      <c r="E3262" t="s">
        <v>6132</v>
      </c>
    </row>
    <row r="3263" spans="1:5" x14ac:dyDescent="0.35">
      <c r="A3263" t="s">
        <v>34</v>
      </c>
      <c r="B3263" s="16">
        <v>45912</v>
      </c>
      <c r="C3263">
        <v>6.5</v>
      </c>
      <c r="D3263">
        <v>5</v>
      </c>
      <c r="E3263" t="s">
        <v>6132</v>
      </c>
    </row>
    <row r="3264" spans="1:5" x14ac:dyDescent="0.35">
      <c r="A3264" t="s">
        <v>34</v>
      </c>
      <c r="B3264" s="16">
        <v>45915</v>
      </c>
      <c r="C3264">
        <v>5.6</v>
      </c>
      <c r="D3264">
        <v>2</v>
      </c>
      <c r="E3264" t="s">
        <v>6132</v>
      </c>
    </row>
    <row r="3265" spans="1:5" x14ac:dyDescent="0.35">
      <c r="A3265" t="s">
        <v>34</v>
      </c>
      <c r="B3265" s="16">
        <v>45916</v>
      </c>
      <c r="C3265">
        <v>8</v>
      </c>
      <c r="D3265">
        <v>0</v>
      </c>
      <c r="E3265" t="s">
        <v>6133</v>
      </c>
    </row>
    <row r="3266" spans="1:5" x14ac:dyDescent="0.35">
      <c r="A3266" t="s">
        <v>34</v>
      </c>
      <c r="B3266" s="16">
        <v>45918</v>
      </c>
      <c r="C3266">
        <v>7</v>
      </c>
      <c r="D3266">
        <v>4</v>
      </c>
      <c r="E3266" t="s">
        <v>6132</v>
      </c>
    </row>
    <row r="3267" spans="1:5" x14ac:dyDescent="0.35">
      <c r="A3267" t="s">
        <v>34</v>
      </c>
      <c r="B3267" s="16">
        <v>45924</v>
      </c>
      <c r="C3267">
        <v>8.6</v>
      </c>
      <c r="D3267">
        <v>0</v>
      </c>
      <c r="E3267" t="s">
        <v>6133</v>
      </c>
    </row>
    <row r="3268" spans="1:5" x14ac:dyDescent="0.35">
      <c r="A3268" t="s">
        <v>34</v>
      </c>
      <c r="B3268" s="16">
        <v>45925</v>
      </c>
      <c r="C3268">
        <v>6.3</v>
      </c>
      <c r="D3268">
        <v>0</v>
      </c>
      <c r="E3268" t="s">
        <v>6132</v>
      </c>
    </row>
    <row r="3269" spans="1:5" x14ac:dyDescent="0.35">
      <c r="A3269" t="s">
        <v>34</v>
      </c>
      <c r="B3269" s="16">
        <v>45926</v>
      </c>
      <c r="C3269">
        <v>7.7</v>
      </c>
      <c r="D3269">
        <v>0</v>
      </c>
      <c r="E3269" t="s">
        <v>6132</v>
      </c>
    </row>
    <row r="3270" spans="1:5" x14ac:dyDescent="0.35">
      <c r="A3270" t="s">
        <v>34</v>
      </c>
      <c r="B3270" s="16">
        <v>45929</v>
      </c>
      <c r="C3270">
        <v>4.3</v>
      </c>
      <c r="D3270">
        <v>1</v>
      </c>
      <c r="E3270" t="s">
        <v>6132</v>
      </c>
    </row>
    <row r="3271" spans="1:5" x14ac:dyDescent="0.35">
      <c r="A3271" t="s">
        <v>34</v>
      </c>
      <c r="B3271" s="16">
        <v>45929</v>
      </c>
      <c r="C3271">
        <v>4</v>
      </c>
      <c r="D3271">
        <v>1</v>
      </c>
      <c r="E3271" t="s">
        <v>6132</v>
      </c>
    </row>
    <row r="3272" spans="1:5" x14ac:dyDescent="0.35">
      <c r="A3272" t="s">
        <v>34</v>
      </c>
      <c r="B3272" s="16">
        <v>45930</v>
      </c>
      <c r="C3272">
        <v>6.9</v>
      </c>
      <c r="D3272">
        <v>4</v>
      </c>
      <c r="E3272" t="s">
        <v>6132</v>
      </c>
    </row>
    <row r="3273" spans="1:5" x14ac:dyDescent="0.35">
      <c r="A3273" t="s">
        <v>34</v>
      </c>
      <c r="B3273" s="16">
        <v>45931</v>
      </c>
      <c r="D3273">
        <v>2</v>
      </c>
      <c r="E3273" t="s">
        <v>6132</v>
      </c>
    </row>
    <row r="3274" spans="1:5" x14ac:dyDescent="0.35">
      <c r="A3274" t="s">
        <v>34</v>
      </c>
      <c r="B3274" s="16">
        <v>45933</v>
      </c>
      <c r="C3274">
        <v>7.4</v>
      </c>
      <c r="D3274">
        <v>0</v>
      </c>
      <c r="E3274" t="s">
        <v>6133</v>
      </c>
    </row>
    <row r="3275" spans="1:5" x14ac:dyDescent="0.35">
      <c r="A3275" t="s">
        <v>34</v>
      </c>
      <c r="B3275" s="16">
        <v>45937</v>
      </c>
      <c r="D3275">
        <v>2</v>
      </c>
      <c r="E3275" t="s">
        <v>6132</v>
      </c>
    </row>
    <row r="3276" spans="1:5" x14ac:dyDescent="0.35">
      <c r="A3276" t="s">
        <v>34</v>
      </c>
      <c r="B3276" s="16">
        <v>45938</v>
      </c>
      <c r="C3276">
        <v>5.8</v>
      </c>
      <c r="D3276">
        <v>0</v>
      </c>
      <c r="E3276" t="s">
        <v>6132</v>
      </c>
    </row>
    <row r="3277" spans="1:5" x14ac:dyDescent="0.35">
      <c r="A3277" t="s">
        <v>34</v>
      </c>
      <c r="B3277" s="16">
        <v>45944</v>
      </c>
      <c r="C3277">
        <v>6.1</v>
      </c>
      <c r="D3277">
        <v>2</v>
      </c>
      <c r="E3277" t="s">
        <v>6132</v>
      </c>
    </row>
    <row r="3278" spans="1:5" x14ac:dyDescent="0.35">
      <c r="A3278" t="s">
        <v>34</v>
      </c>
      <c r="B3278" s="16">
        <v>45945</v>
      </c>
      <c r="C3278">
        <v>8</v>
      </c>
      <c r="D3278">
        <v>1</v>
      </c>
      <c r="E3278" t="s">
        <v>6132</v>
      </c>
    </row>
    <row r="3279" spans="1:5" x14ac:dyDescent="0.35">
      <c r="A3279" t="s">
        <v>34</v>
      </c>
      <c r="B3279" s="16">
        <v>45950</v>
      </c>
      <c r="C3279">
        <v>8.1999999999999993</v>
      </c>
      <c r="D3279">
        <v>2</v>
      </c>
      <c r="E3279" t="s">
        <v>6132</v>
      </c>
    </row>
    <row r="3280" spans="1:5" x14ac:dyDescent="0.35">
      <c r="A3280" t="s">
        <v>34</v>
      </c>
      <c r="B3280" s="16">
        <v>45951</v>
      </c>
      <c r="C3280">
        <v>7.3</v>
      </c>
      <c r="D3280">
        <v>1</v>
      </c>
      <c r="E3280" t="s">
        <v>6132</v>
      </c>
    </row>
    <row r="3281" spans="1:5" x14ac:dyDescent="0.35">
      <c r="A3281" t="s">
        <v>34</v>
      </c>
      <c r="B3281" s="16">
        <v>45952</v>
      </c>
      <c r="C3281">
        <v>5.9</v>
      </c>
      <c r="D3281">
        <v>0</v>
      </c>
      <c r="E3281" t="s">
        <v>6132</v>
      </c>
    </row>
    <row r="3282" spans="1:5" x14ac:dyDescent="0.35">
      <c r="A3282" t="s">
        <v>34</v>
      </c>
      <c r="B3282" s="16">
        <v>45953</v>
      </c>
      <c r="C3282">
        <v>8.3000000000000007</v>
      </c>
      <c r="D3282">
        <v>1</v>
      </c>
      <c r="E3282" t="s">
        <v>6132</v>
      </c>
    </row>
    <row r="3283" spans="1:5" x14ac:dyDescent="0.35">
      <c r="A3283" t="s">
        <v>34</v>
      </c>
      <c r="B3283" s="16">
        <v>45954</v>
      </c>
      <c r="C3283">
        <v>6.5</v>
      </c>
      <c r="D3283">
        <v>1</v>
      </c>
      <c r="E3283" t="s">
        <v>6132</v>
      </c>
    </row>
    <row r="3284" spans="1:5" x14ac:dyDescent="0.35">
      <c r="A3284" t="s">
        <v>34</v>
      </c>
      <c r="B3284" s="16">
        <v>45958</v>
      </c>
      <c r="C3284">
        <v>5.8</v>
      </c>
      <c r="D3284">
        <v>0</v>
      </c>
      <c r="E3284" t="s">
        <v>6132</v>
      </c>
    </row>
    <row r="3285" spans="1:5" x14ac:dyDescent="0.35">
      <c r="A3285" t="s">
        <v>34</v>
      </c>
      <c r="B3285" s="16">
        <v>45958</v>
      </c>
      <c r="C3285">
        <v>8.6999999999999993</v>
      </c>
      <c r="D3285">
        <v>1</v>
      </c>
      <c r="E3285" t="s">
        <v>6132</v>
      </c>
    </row>
    <row r="3286" spans="1:5" x14ac:dyDescent="0.35">
      <c r="A3286" t="s">
        <v>34</v>
      </c>
      <c r="B3286" s="16">
        <v>45961</v>
      </c>
      <c r="C3286">
        <v>7.6</v>
      </c>
      <c r="D3286">
        <v>0</v>
      </c>
      <c r="E3286" t="s">
        <v>6132</v>
      </c>
    </row>
    <row r="3287" spans="1:5" x14ac:dyDescent="0.35">
      <c r="A3287" t="s">
        <v>34</v>
      </c>
      <c r="B3287" s="16">
        <v>45964</v>
      </c>
      <c r="C3287">
        <v>7</v>
      </c>
      <c r="D3287">
        <v>0</v>
      </c>
      <c r="E3287" t="s">
        <v>6134</v>
      </c>
    </row>
    <row r="3288" spans="1:5" x14ac:dyDescent="0.35">
      <c r="A3288" t="s">
        <v>34</v>
      </c>
      <c r="B3288" s="16">
        <v>45965</v>
      </c>
      <c r="C3288">
        <v>5.7</v>
      </c>
      <c r="D3288">
        <v>5</v>
      </c>
      <c r="E3288" t="s">
        <v>6132</v>
      </c>
    </row>
    <row r="3289" spans="1:5" x14ac:dyDescent="0.35">
      <c r="A3289" t="s">
        <v>34</v>
      </c>
      <c r="B3289" s="16">
        <v>45965</v>
      </c>
      <c r="C3289">
        <v>5.9</v>
      </c>
      <c r="D3289">
        <v>0</v>
      </c>
      <c r="E3289" t="s">
        <v>6132</v>
      </c>
    </row>
    <row r="3290" spans="1:5" x14ac:dyDescent="0.35">
      <c r="A3290" t="s">
        <v>34</v>
      </c>
      <c r="B3290" s="16">
        <v>45966</v>
      </c>
      <c r="C3290">
        <v>4</v>
      </c>
      <c r="D3290">
        <v>2</v>
      </c>
      <c r="E3290" t="s">
        <v>6132</v>
      </c>
    </row>
    <row r="3291" spans="1:5" x14ac:dyDescent="0.35">
      <c r="A3291" t="s">
        <v>34</v>
      </c>
      <c r="B3291" s="16">
        <v>45966</v>
      </c>
      <c r="C3291">
        <v>5.5</v>
      </c>
      <c r="D3291">
        <v>1</v>
      </c>
      <c r="E3291" t="s">
        <v>6132</v>
      </c>
    </row>
    <row r="3292" spans="1:5" x14ac:dyDescent="0.35">
      <c r="A3292" t="s">
        <v>34</v>
      </c>
      <c r="B3292" s="16">
        <v>45967</v>
      </c>
      <c r="C3292">
        <v>5.3</v>
      </c>
      <c r="D3292">
        <v>0</v>
      </c>
      <c r="E3292" t="s">
        <v>6133</v>
      </c>
    </row>
    <row r="3293" spans="1:5" x14ac:dyDescent="0.35">
      <c r="A3293" t="s">
        <v>34</v>
      </c>
      <c r="B3293" s="16">
        <v>45967</v>
      </c>
      <c r="D3293">
        <v>1</v>
      </c>
      <c r="E3293" t="s">
        <v>6132</v>
      </c>
    </row>
    <row r="3294" spans="1:5" x14ac:dyDescent="0.35">
      <c r="A3294" t="s">
        <v>34</v>
      </c>
      <c r="B3294" s="16">
        <v>45971</v>
      </c>
      <c r="C3294">
        <v>4.5999999999999996</v>
      </c>
      <c r="D3294">
        <v>0</v>
      </c>
      <c r="E3294" t="s">
        <v>6132</v>
      </c>
    </row>
    <row r="3295" spans="1:5" x14ac:dyDescent="0.35">
      <c r="A3295" t="s">
        <v>34</v>
      </c>
      <c r="B3295" s="16">
        <v>45973</v>
      </c>
      <c r="C3295">
        <v>7</v>
      </c>
      <c r="D3295">
        <v>1</v>
      </c>
      <c r="E3295" t="s">
        <v>6132</v>
      </c>
    </row>
    <row r="3296" spans="1:5" x14ac:dyDescent="0.35">
      <c r="A3296" t="s">
        <v>34</v>
      </c>
      <c r="B3296" s="16">
        <v>45973</v>
      </c>
      <c r="C3296">
        <v>7.6</v>
      </c>
      <c r="D3296">
        <v>0</v>
      </c>
      <c r="E3296" t="s">
        <v>6134</v>
      </c>
    </row>
    <row r="3297" spans="1:5" x14ac:dyDescent="0.35">
      <c r="A3297" t="s">
        <v>34</v>
      </c>
      <c r="B3297" s="16">
        <v>45978</v>
      </c>
      <c r="C3297">
        <v>5.2</v>
      </c>
      <c r="D3297">
        <v>4</v>
      </c>
      <c r="E3297" t="s">
        <v>6132</v>
      </c>
    </row>
    <row r="3298" spans="1:5" x14ac:dyDescent="0.35">
      <c r="A3298" t="s">
        <v>34</v>
      </c>
      <c r="B3298" s="16">
        <v>45978</v>
      </c>
      <c r="C3298">
        <v>4.8</v>
      </c>
      <c r="D3298">
        <v>2</v>
      </c>
      <c r="E3298" t="s">
        <v>6132</v>
      </c>
    </row>
    <row r="3299" spans="1:5" x14ac:dyDescent="0.35">
      <c r="A3299" t="s">
        <v>34</v>
      </c>
      <c r="B3299" s="16">
        <v>45979</v>
      </c>
      <c r="C3299">
        <v>6.1</v>
      </c>
      <c r="D3299">
        <v>3</v>
      </c>
      <c r="E3299" t="s">
        <v>6132</v>
      </c>
    </row>
    <row r="3300" spans="1:5" x14ac:dyDescent="0.35">
      <c r="A3300" t="s">
        <v>34</v>
      </c>
      <c r="B3300" s="16">
        <v>45980</v>
      </c>
      <c r="C3300">
        <v>8.9</v>
      </c>
      <c r="D3300">
        <v>0</v>
      </c>
      <c r="E3300" t="s">
        <v>6132</v>
      </c>
    </row>
    <row r="3301" spans="1:5" x14ac:dyDescent="0.35">
      <c r="A3301" t="s">
        <v>34</v>
      </c>
      <c r="B3301" s="16">
        <v>45981</v>
      </c>
      <c r="C3301">
        <v>5</v>
      </c>
      <c r="D3301">
        <v>0</v>
      </c>
      <c r="E3301" t="s">
        <v>6132</v>
      </c>
    </row>
    <row r="3302" spans="1:5" x14ac:dyDescent="0.35">
      <c r="A3302" t="s">
        <v>34</v>
      </c>
      <c r="B3302" s="16">
        <v>45982</v>
      </c>
      <c r="C3302">
        <v>5.4</v>
      </c>
      <c r="D3302">
        <v>1</v>
      </c>
      <c r="E3302" t="s">
        <v>6132</v>
      </c>
    </row>
    <row r="3303" spans="1:5" x14ac:dyDescent="0.35">
      <c r="A3303" t="s">
        <v>34</v>
      </c>
      <c r="B3303" s="16">
        <v>45985</v>
      </c>
      <c r="C3303">
        <v>8.5</v>
      </c>
      <c r="D3303">
        <v>4</v>
      </c>
      <c r="E3303" t="s">
        <v>6132</v>
      </c>
    </row>
    <row r="3304" spans="1:5" x14ac:dyDescent="0.35">
      <c r="A3304" t="s">
        <v>34</v>
      </c>
      <c r="B3304" s="16">
        <v>45987</v>
      </c>
      <c r="C3304">
        <v>4.4000000000000004</v>
      </c>
      <c r="D3304">
        <v>5</v>
      </c>
      <c r="E3304" t="s">
        <v>6132</v>
      </c>
    </row>
    <row r="3305" spans="1:5" x14ac:dyDescent="0.35">
      <c r="A3305" t="s">
        <v>34</v>
      </c>
      <c r="B3305" s="16">
        <v>45989</v>
      </c>
      <c r="C3305">
        <v>4.9000000000000004</v>
      </c>
      <c r="D3305">
        <v>0</v>
      </c>
      <c r="E3305" t="s">
        <v>6132</v>
      </c>
    </row>
    <row r="3306" spans="1:5" x14ac:dyDescent="0.35">
      <c r="A3306" t="s">
        <v>34</v>
      </c>
      <c r="B3306" s="16">
        <v>45994</v>
      </c>
      <c r="C3306">
        <v>7.5</v>
      </c>
      <c r="D3306">
        <v>5</v>
      </c>
      <c r="E3306" t="s">
        <v>6132</v>
      </c>
    </row>
    <row r="3307" spans="1:5" x14ac:dyDescent="0.35">
      <c r="A3307" t="s">
        <v>34</v>
      </c>
      <c r="B3307" s="16">
        <v>45995</v>
      </c>
      <c r="C3307">
        <v>5.9</v>
      </c>
      <c r="D3307">
        <v>1</v>
      </c>
      <c r="E3307" t="s">
        <v>6132</v>
      </c>
    </row>
    <row r="3308" spans="1:5" x14ac:dyDescent="0.35">
      <c r="A3308" t="s">
        <v>34</v>
      </c>
      <c r="B3308" s="16">
        <v>45999</v>
      </c>
      <c r="C3308">
        <v>8.1</v>
      </c>
      <c r="D3308">
        <v>3</v>
      </c>
      <c r="E3308" t="s">
        <v>6132</v>
      </c>
    </row>
    <row r="3309" spans="1:5" x14ac:dyDescent="0.35">
      <c r="A3309" t="s">
        <v>34</v>
      </c>
      <c r="B3309" s="16">
        <v>46001</v>
      </c>
      <c r="C3309">
        <v>7.7</v>
      </c>
      <c r="D3309">
        <v>0</v>
      </c>
      <c r="E3309" t="s">
        <v>6132</v>
      </c>
    </row>
    <row r="3310" spans="1:5" x14ac:dyDescent="0.35">
      <c r="A3310" t="s">
        <v>34</v>
      </c>
      <c r="B3310" s="16">
        <v>46006</v>
      </c>
      <c r="C3310">
        <v>4.4000000000000004</v>
      </c>
      <c r="D3310">
        <v>1</v>
      </c>
      <c r="E3310" t="s">
        <v>6132</v>
      </c>
    </row>
    <row r="3311" spans="1:5" x14ac:dyDescent="0.35">
      <c r="A3311" t="s">
        <v>34</v>
      </c>
      <c r="B3311" s="16">
        <v>46007</v>
      </c>
      <c r="C3311">
        <v>7.7</v>
      </c>
      <c r="D3311">
        <v>4</v>
      </c>
      <c r="E3311" t="s">
        <v>6132</v>
      </c>
    </row>
    <row r="3312" spans="1:5" x14ac:dyDescent="0.35">
      <c r="A3312" t="s">
        <v>34</v>
      </c>
      <c r="B3312" s="16">
        <v>46008</v>
      </c>
      <c r="C3312">
        <v>8.5</v>
      </c>
      <c r="D3312">
        <v>2</v>
      </c>
      <c r="E3312" t="s">
        <v>6132</v>
      </c>
    </row>
    <row r="3313" spans="1:5" x14ac:dyDescent="0.35">
      <c r="A3313" t="s">
        <v>34</v>
      </c>
      <c r="B3313" s="16">
        <v>46009</v>
      </c>
      <c r="C3313">
        <v>7.1</v>
      </c>
      <c r="D3313">
        <v>5</v>
      </c>
      <c r="E3313" t="s">
        <v>6132</v>
      </c>
    </row>
    <row r="3314" spans="1:5" x14ac:dyDescent="0.35">
      <c r="A3314" t="s">
        <v>34</v>
      </c>
      <c r="B3314" s="16">
        <v>46013</v>
      </c>
      <c r="C3314">
        <v>4.0999999999999996</v>
      </c>
      <c r="D3314">
        <v>1</v>
      </c>
      <c r="E3314" t="s">
        <v>6132</v>
      </c>
    </row>
    <row r="3315" spans="1:5" x14ac:dyDescent="0.35">
      <c r="A3315" t="s">
        <v>34</v>
      </c>
      <c r="B3315" s="16">
        <v>46014</v>
      </c>
      <c r="C3315">
        <v>5.7</v>
      </c>
      <c r="D3315">
        <v>2</v>
      </c>
      <c r="E3315" t="s">
        <v>6132</v>
      </c>
    </row>
    <row r="3316" spans="1:5" x14ac:dyDescent="0.35">
      <c r="A3316" t="s">
        <v>34</v>
      </c>
      <c r="B3316" s="16">
        <v>46015</v>
      </c>
      <c r="C3316">
        <v>4.2</v>
      </c>
      <c r="D3316">
        <v>5</v>
      </c>
      <c r="E3316" t="s">
        <v>6132</v>
      </c>
    </row>
    <row r="3317" spans="1:5" x14ac:dyDescent="0.35">
      <c r="A3317" t="s">
        <v>34</v>
      </c>
      <c r="B3317" s="16">
        <v>46017</v>
      </c>
      <c r="C3317">
        <v>7.2</v>
      </c>
      <c r="D3317">
        <v>0</v>
      </c>
      <c r="E3317" t="s">
        <v>6132</v>
      </c>
    </row>
    <row r="3318" spans="1:5" x14ac:dyDescent="0.35">
      <c r="A3318" t="s">
        <v>18</v>
      </c>
      <c r="B3318" s="16">
        <v>45658</v>
      </c>
      <c r="C3318">
        <v>6.2</v>
      </c>
      <c r="D3318">
        <v>3</v>
      </c>
      <c r="E3318" t="s">
        <v>6132</v>
      </c>
    </row>
    <row r="3319" spans="1:5" x14ac:dyDescent="0.35">
      <c r="A3319" t="s">
        <v>18</v>
      </c>
      <c r="B3319" s="16">
        <v>45663</v>
      </c>
      <c r="C3319">
        <v>5</v>
      </c>
      <c r="D3319">
        <v>1</v>
      </c>
      <c r="E3319" t="s">
        <v>6132</v>
      </c>
    </row>
    <row r="3320" spans="1:5" x14ac:dyDescent="0.35">
      <c r="A3320" t="s">
        <v>18</v>
      </c>
      <c r="B3320" s="16">
        <v>45664</v>
      </c>
      <c r="C3320">
        <v>6.6</v>
      </c>
      <c r="D3320">
        <v>0</v>
      </c>
      <c r="E3320" t="s">
        <v>6133</v>
      </c>
    </row>
    <row r="3321" spans="1:5" x14ac:dyDescent="0.35">
      <c r="A3321" t="s">
        <v>18</v>
      </c>
      <c r="B3321" s="16">
        <v>45665</v>
      </c>
      <c r="C3321">
        <v>7.4</v>
      </c>
      <c r="D3321">
        <v>1</v>
      </c>
      <c r="E3321" t="s">
        <v>6132</v>
      </c>
    </row>
    <row r="3322" spans="1:5" x14ac:dyDescent="0.35">
      <c r="A3322" t="s">
        <v>18</v>
      </c>
      <c r="B3322" s="16">
        <v>45667</v>
      </c>
      <c r="C3322">
        <v>7.7</v>
      </c>
      <c r="D3322">
        <v>4</v>
      </c>
      <c r="E3322" t="s">
        <v>6132</v>
      </c>
    </row>
    <row r="3323" spans="1:5" x14ac:dyDescent="0.35">
      <c r="A3323" t="s">
        <v>18</v>
      </c>
      <c r="B3323" s="16">
        <v>45670</v>
      </c>
      <c r="C3323">
        <v>6.7</v>
      </c>
      <c r="D3323">
        <v>4</v>
      </c>
      <c r="E3323" t="s">
        <v>6132</v>
      </c>
    </row>
    <row r="3324" spans="1:5" x14ac:dyDescent="0.35">
      <c r="A3324" t="s">
        <v>18</v>
      </c>
      <c r="B3324" s="16">
        <v>45672</v>
      </c>
      <c r="C3324">
        <v>5.9</v>
      </c>
      <c r="D3324">
        <v>5</v>
      </c>
      <c r="E3324" t="s">
        <v>6132</v>
      </c>
    </row>
    <row r="3325" spans="1:5" x14ac:dyDescent="0.35">
      <c r="A3325" t="s">
        <v>18</v>
      </c>
      <c r="B3325" s="16">
        <v>45674</v>
      </c>
      <c r="C3325">
        <v>5.7</v>
      </c>
      <c r="D3325">
        <v>1</v>
      </c>
      <c r="E3325" t="s">
        <v>6132</v>
      </c>
    </row>
    <row r="3326" spans="1:5" x14ac:dyDescent="0.35">
      <c r="A3326" t="s">
        <v>18</v>
      </c>
      <c r="B3326" s="16">
        <v>45679</v>
      </c>
      <c r="C3326">
        <v>6.5</v>
      </c>
      <c r="D3326">
        <v>1</v>
      </c>
      <c r="E3326" t="s">
        <v>6132</v>
      </c>
    </row>
    <row r="3327" spans="1:5" x14ac:dyDescent="0.35">
      <c r="A3327" t="s">
        <v>18</v>
      </c>
      <c r="B3327" s="16">
        <v>45680</v>
      </c>
      <c r="C3327">
        <v>8.1</v>
      </c>
      <c r="D3327">
        <v>2</v>
      </c>
      <c r="E3327" t="s">
        <v>6132</v>
      </c>
    </row>
    <row r="3328" spans="1:5" x14ac:dyDescent="0.35">
      <c r="A3328" t="s">
        <v>18</v>
      </c>
      <c r="B3328" s="16">
        <v>45684</v>
      </c>
      <c r="C3328">
        <v>5.6</v>
      </c>
      <c r="D3328">
        <v>4</v>
      </c>
      <c r="E3328" t="s">
        <v>6132</v>
      </c>
    </row>
    <row r="3329" spans="1:5" x14ac:dyDescent="0.35">
      <c r="A3329" t="s">
        <v>18</v>
      </c>
      <c r="B3329" s="16">
        <v>45685</v>
      </c>
      <c r="C3329">
        <v>6.5</v>
      </c>
      <c r="D3329">
        <v>1</v>
      </c>
      <c r="E3329" t="s">
        <v>6132</v>
      </c>
    </row>
    <row r="3330" spans="1:5" x14ac:dyDescent="0.35">
      <c r="A3330" t="s">
        <v>18</v>
      </c>
      <c r="B3330" s="16">
        <v>45687</v>
      </c>
      <c r="C3330">
        <v>5.6</v>
      </c>
      <c r="D3330">
        <v>0</v>
      </c>
      <c r="E3330" t="s">
        <v>6132</v>
      </c>
    </row>
    <row r="3331" spans="1:5" x14ac:dyDescent="0.35">
      <c r="A3331" t="s">
        <v>18</v>
      </c>
      <c r="B3331" s="16">
        <v>45688</v>
      </c>
      <c r="C3331">
        <v>7.1</v>
      </c>
      <c r="D3331">
        <v>2</v>
      </c>
      <c r="E3331" t="s">
        <v>6132</v>
      </c>
    </row>
    <row r="3332" spans="1:5" x14ac:dyDescent="0.35">
      <c r="A3332" t="s">
        <v>18</v>
      </c>
      <c r="B3332" s="16">
        <v>45691</v>
      </c>
      <c r="C3332">
        <v>7.4</v>
      </c>
      <c r="D3332">
        <v>0</v>
      </c>
      <c r="E3332" t="s">
        <v>6132</v>
      </c>
    </row>
    <row r="3333" spans="1:5" x14ac:dyDescent="0.35">
      <c r="A3333" t="s">
        <v>18</v>
      </c>
      <c r="B3333" s="16">
        <v>45692</v>
      </c>
      <c r="C3333">
        <v>4.2</v>
      </c>
      <c r="D3333">
        <v>3</v>
      </c>
      <c r="E3333" t="s">
        <v>6132</v>
      </c>
    </row>
    <row r="3334" spans="1:5" x14ac:dyDescent="0.35">
      <c r="A3334" t="s">
        <v>18</v>
      </c>
      <c r="B3334" s="16">
        <v>45693</v>
      </c>
      <c r="C3334">
        <v>6.3</v>
      </c>
      <c r="D3334">
        <v>1</v>
      </c>
      <c r="E3334" t="s">
        <v>6132</v>
      </c>
    </row>
    <row r="3335" spans="1:5" x14ac:dyDescent="0.35">
      <c r="A3335" t="s">
        <v>18</v>
      </c>
      <c r="B3335" s="16">
        <v>45694</v>
      </c>
      <c r="C3335">
        <v>6.4</v>
      </c>
      <c r="D3335">
        <v>0</v>
      </c>
      <c r="E3335" t="s">
        <v>6132</v>
      </c>
    </row>
    <row r="3336" spans="1:5" x14ac:dyDescent="0.35">
      <c r="A3336" t="s">
        <v>18</v>
      </c>
      <c r="B3336" s="16">
        <v>45698</v>
      </c>
      <c r="C3336">
        <v>4.7</v>
      </c>
      <c r="D3336">
        <v>2</v>
      </c>
      <c r="E3336" t="s">
        <v>6132</v>
      </c>
    </row>
    <row r="3337" spans="1:5" x14ac:dyDescent="0.35">
      <c r="A3337" t="s">
        <v>18</v>
      </c>
      <c r="B3337" s="16">
        <v>45699</v>
      </c>
      <c r="C3337">
        <v>5.6</v>
      </c>
      <c r="D3337">
        <v>3</v>
      </c>
      <c r="E3337" t="s">
        <v>6132</v>
      </c>
    </row>
    <row r="3338" spans="1:5" x14ac:dyDescent="0.35">
      <c r="A3338" t="s">
        <v>18</v>
      </c>
      <c r="B3338" s="16">
        <v>45701</v>
      </c>
      <c r="C3338">
        <v>8.1</v>
      </c>
      <c r="D3338">
        <v>6</v>
      </c>
      <c r="E3338" t="s">
        <v>6132</v>
      </c>
    </row>
    <row r="3339" spans="1:5" x14ac:dyDescent="0.35">
      <c r="A3339" t="s">
        <v>18</v>
      </c>
      <c r="B3339" s="16">
        <v>45707</v>
      </c>
      <c r="C3339">
        <v>5</v>
      </c>
      <c r="D3339">
        <v>0</v>
      </c>
      <c r="E3339" t="s">
        <v>6134</v>
      </c>
    </row>
    <row r="3340" spans="1:5" x14ac:dyDescent="0.35">
      <c r="A3340" t="s">
        <v>18</v>
      </c>
      <c r="B3340" s="16">
        <v>45709</v>
      </c>
      <c r="D3340">
        <v>1</v>
      </c>
      <c r="E3340" t="s">
        <v>6132</v>
      </c>
    </row>
    <row r="3341" spans="1:5" x14ac:dyDescent="0.35">
      <c r="A3341" t="s">
        <v>18</v>
      </c>
      <c r="B3341" s="16">
        <v>45714</v>
      </c>
      <c r="C3341">
        <v>4.0999999999999996</v>
      </c>
      <c r="D3341">
        <v>1</v>
      </c>
      <c r="E3341" t="s">
        <v>6132</v>
      </c>
    </row>
    <row r="3342" spans="1:5" x14ac:dyDescent="0.35">
      <c r="A3342" t="s">
        <v>18</v>
      </c>
      <c r="B3342" s="16">
        <v>45715</v>
      </c>
      <c r="C3342">
        <v>5.9</v>
      </c>
      <c r="D3342">
        <v>0</v>
      </c>
      <c r="E3342" t="s">
        <v>6132</v>
      </c>
    </row>
    <row r="3343" spans="1:5" x14ac:dyDescent="0.35">
      <c r="A3343" t="s">
        <v>18</v>
      </c>
      <c r="B3343" s="16">
        <v>45719</v>
      </c>
      <c r="C3343">
        <v>7.7</v>
      </c>
      <c r="D3343">
        <v>0</v>
      </c>
      <c r="E3343" t="s">
        <v>6133</v>
      </c>
    </row>
    <row r="3344" spans="1:5" x14ac:dyDescent="0.35">
      <c r="A3344" t="s">
        <v>18</v>
      </c>
      <c r="B3344" s="16">
        <v>45721</v>
      </c>
      <c r="C3344">
        <v>8.1999999999999993</v>
      </c>
      <c r="D3344">
        <v>4</v>
      </c>
      <c r="E3344" t="s">
        <v>6132</v>
      </c>
    </row>
    <row r="3345" spans="1:5" x14ac:dyDescent="0.35">
      <c r="A3345" t="s">
        <v>18</v>
      </c>
      <c r="B3345" s="16">
        <v>45723</v>
      </c>
      <c r="C3345">
        <v>7.6</v>
      </c>
      <c r="D3345">
        <v>2</v>
      </c>
      <c r="E3345" t="s">
        <v>6132</v>
      </c>
    </row>
    <row r="3346" spans="1:5" x14ac:dyDescent="0.35">
      <c r="A3346" t="s">
        <v>18</v>
      </c>
      <c r="B3346" s="16">
        <v>45726</v>
      </c>
      <c r="C3346">
        <v>9</v>
      </c>
      <c r="D3346">
        <v>0</v>
      </c>
      <c r="E3346" t="s">
        <v>6132</v>
      </c>
    </row>
    <row r="3347" spans="1:5" x14ac:dyDescent="0.35">
      <c r="A3347" t="s">
        <v>18</v>
      </c>
      <c r="B3347" s="16">
        <v>45727</v>
      </c>
      <c r="C3347">
        <v>4.4000000000000004</v>
      </c>
      <c r="D3347">
        <v>0</v>
      </c>
      <c r="E3347" t="s">
        <v>6132</v>
      </c>
    </row>
    <row r="3348" spans="1:5" x14ac:dyDescent="0.35">
      <c r="A3348" t="s">
        <v>18</v>
      </c>
      <c r="B3348" s="16">
        <v>45729</v>
      </c>
      <c r="C3348">
        <v>4.2</v>
      </c>
      <c r="D3348">
        <v>0</v>
      </c>
      <c r="E3348" t="s">
        <v>6132</v>
      </c>
    </row>
    <row r="3349" spans="1:5" x14ac:dyDescent="0.35">
      <c r="A3349" t="s">
        <v>18</v>
      </c>
      <c r="B3349" s="16">
        <v>45736</v>
      </c>
      <c r="C3349">
        <v>7.5</v>
      </c>
      <c r="D3349">
        <v>4</v>
      </c>
      <c r="E3349" t="s">
        <v>6132</v>
      </c>
    </row>
    <row r="3350" spans="1:5" x14ac:dyDescent="0.35">
      <c r="A3350" t="s">
        <v>18</v>
      </c>
      <c r="B3350" s="16">
        <v>45737</v>
      </c>
      <c r="C3350">
        <v>7</v>
      </c>
      <c r="D3350">
        <v>5</v>
      </c>
      <c r="E3350" t="s">
        <v>6132</v>
      </c>
    </row>
    <row r="3351" spans="1:5" x14ac:dyDescent="0.35">
      <c r="A3351" t="s">
        <v>18</v>
      </c>
      <c r="B3351" s="16">
        <v>45740</v>
      </c>
      <c r="C3351">
        <v>4.5999999999999996</v>
      </c>
      <c r="D3351">
        <v>0</v>
      </c>
      <c r="E3351" t="s">
        <v>6132</v>
      </c>
    </row>
    <row r="3352" spans="1:5" x14ac:dyDescent="0.35">
      <c r="A3352" t="s">
        <v>18</v>
      </c>
      <c r="B3352" s="16">
        <v>45741</v>
      </c>
      <c r="C3352">
        <v>5.3</v>
      </c>
      <c r="D3352">
        <v>2</v>
      </c>
      <c r="E3352" t="s">
        <v>6132</v>
      </c>
    </row>
    <row r="3353" spans="1:5" x14ac:dyDescent="0.35">
      <c r="A3353" t="s">
        <v>18</v>
      </c>
      <c r="B3353" s="16">
        <v>45742</v>
      </c>
      <c r="C3353">
        <v>7.3</v>
      </c>
      <c r="D3353">
        <v>3</v>
      </c>
      <c r="E3353" t="s">
        <v>6132</v>
      </c>
    </row>
    <row r="3354" spans="1:5" x14ac:dyDescent="0.35">
      <c r="A3354" t="s">
        <v>18</v>
      </c>
      <c r="B3354" s="16">
        <v>45748</v>
      </c>
      <c r="C3354">
        <v>7.1</v>
      </c>
      <c r="D3354">
        <v>1</v>
      </c>
      <c r="E3354" t="s">
        <v>6132</v>
      </c>
    </row>
    <row r="3355" spans="1:5" x14ac:dyDescent="0.35">
      <c r="A3355" t="s">
        <v>18</v>
      </c>
      <c r="B3355" s="16">
        <v>45750</v>
      </c>
      <c r="C3355">
        <v>8.5</v>
      </c>
      <c r="D3355">
        <v>3</v>
      </c>
      <c r="E3355" t="s">
        <v>6132</v>
      </c>
    </row>
    <row r="3356" spans="1:5" x14ac:dyDescent="0.35">
      <c r="A3356" t="s">
        <v>18</v>
      </c>
      <c r="B3356" s="16">
        <v>45751</v>
      </c>
      <c r="C3356">
        <v>4.5</v>
      </c>
      <c r="D3356">
        <v>0</v>
      </c>
      <c r="E3356" t="s">
        <v>6133</v>
      </c>
    </row>
    <row r="3357" spans="1:5" x14ac:dyDescent="0.35">
      <c r="A3357" t="s">
        <v>18</v>
      </c>
      <c r="B3357" s="16">
        <v>45754</v>
      </c>
      <c r="C3357">
        <v>7.1</v>
      </c>
      <c r="D3357">
        <v>0</v>
      </c>
      <c r="E3357" t="s">
        <v>6134</v>
      </c>
    </row>
    <row r="3358" spans="1:5" x14ac:dyDescent="0.35">
      <c r="A3358" t="s">
        <v>18</v>
      </c>
      <c r="B3358" s="16">
        <v>45762</v>
      </c>
      <c r="C3358">
        <v>6.1</v>
      </c>
      <c r="D3358">
        <v>0</v>
      </c>
      <c r="E3358" t="s">
        <v>6133</v>
      </c>
    </row>
    <row r="3359" spans="1:5" x14ac:dyDescent="0.35">
      <c r="A3359" t="s">
        <v>18</v>
      </c>
      <c r="B3359" s="16">
        <v>45763</v>
      </c>
      <c r="C3359">
        <v>6.6</v>
      </c>
      <c r="D3359">
        <v>2</v>
      </c>
      <c r="E3359" t="s">
        <v>6132</v>
      </c>
    </row>
    <row r="3360" spans="1:5" x14ac:dyDescent="0.35">
      <c r="A3360" t="s">
        <v>18</v>
      </c>
      <c r="B3360" s="16">
        <v>45765</v>
      </c>
      <c r="C3360">
        <v>4.3</v>
      </c>
      <c r="D3360">
        <v>1</v>
      </c>
      <c r="E3360" t="s">
        <v>6132</v>
      </c>
    </row>
    <row r="3361" spans="1:5" x14ac:dyDescent="0.35">
      <c r="A3361" t="s">
        <v>18</v>
      </c>
      <c r="B3361" s="16">
        <v>45768</v>
      </c>
      <c r="C3361">
        <v>4.5999999999999996</v>
      </c>
      <c r="D3361">
        <v>1</v>
      </c>
      <c r="E3361" t="s">
        <v>6132</v>
      </c>
    </row>
    <row r="3362" spans="1:5" x14ac:dyDescent="0.35">
      <c r="A3362" t="s">
        <v>18</v>
      </c>
      <c r="B3362" s="16">
        <v>45772</v>
      </c>
      <c r="C3362">
        <v>8.4</v>
      </c>
      <c r="D3362">
        <v>0</v>
      </c>
      <c r="E3362" t="s">
        <v>6132</v>
      </c>
    </row>
    <row r="3363" spans="1:5" x14ac:dyDescent="0.35">
      <c r="A3363" t="s">
        <v>18</v>
      </c>
      <c r="B3363" s="16">
        <v>45775</v>
      </c>
      <c r="C3363">
        <v>8</v>
      </c>
      <c r="D3363">
        <v>0</v>
      </c>
      <c r="E3363" t="s">
        <v>6132</v>
      </c>
    </row>
    <row r="3364" spans="1:5" x14ac:dyDescent="0.35">
      <c r="A3364" t="s">
        <v>18</v>
      </c>
      <c r="B3364" s="16">
        <v>45776</v>
      </c>
      <c r="C3364">
        <v>4.7</v>
      </c>
      <c r="D3364">
        <v>1</v>
      </c>
      <c r="E3364" t="s">
        <v>6132</v>
      </c>
    </row>
    <row r="3365" spans="1:5" x14ac:dyDescent="0.35">
      <c r="A3365" t="s">
        <v>18</v>
      </c>
      <c r="B3365" s="16">
        <v>45778</v>
      </c>
      <c r="C3365">
        <v>4.3</v>
      </c>
      <c r="D3365">
        <v>0</v>
      </c>
      <c r="E3365" t="s">
        <v>6133</v>
      </c>
    </row>
    <row r="3366" spans="1:5" x14ac:dyDescent="0.35">
      <c r="A3366" t="s">
        <v>18</v>
      </c>
      <c r="B3366" s="16">
        <v>45783</v>
      </c>
      <c r="C3366">
        <v>4.0999999999999996</v>
      </c>
      <c r="D3366">
        <v>1</v>
      </c>
      <c r="E3366" t="s">
        <v>6132</v>
      </c>
    </row>
    <row r="3367" spans="1:5" x14ac:dyDescent="0.35">
      <c r="A3367" t="s">
        <v>18</v>
      </c>
      <c r="B3367" s="16">
        <v>45785</v>
      </c>
      <c r="D3367">
        <v>0</v>
      </c>
      <c r="E3367" t="s">
        <v>6132</v>
      </c>
    </row>
    <row r="3368" spans="1:5" x14ac:dyDescent="0.35">
      <c r="A3368" t="s">
        <v>18</v>
      </c>
      <c r="B3368" s="16">
        <v>45792</v>
      </c>
      <c r="C3368">
        <v>5.6</v>
      </c>
      <c r="D3368">
        <v>0</v>
      </c>
      <c r="E3368" t="s">
        <v>6132</v>
      </c>
    </row>
    <row r="3369" spans="1:5" x14ac:dyDescent="0.35">
      <c r="A3369" t="s">
        <v>18</v>
      </c>
      <c r="B3369" s="16">
        <v>45793</v>
      </c>
      <c r="C3369">
        <v>4.9000000000000004</v>
      </c>
      <c r="D3369">
        <v>1</v>
      </c>
      <c r="E3369" t="s">
        <v>6132</v>
      </c>
    </row>
    <row r="3370" spans="1:5" x14ac:dyDescent="0.35">
      <c r="A3370" t="s">
        <v>18</v>
      </c>
      <c r="B3370" s="16">
        <v>45796</v>
      </c>
      <c r="C3370">
        <v>9</v>
      </c>
      <c r="D3370">
        <v>3</v>
      </c>
      <c r="E3370" t="s">
        <v>6132</v>
      </c>
    </row>
    <row r="3371" spans="1:5" x14ac:dyDescent="0.35">
      <c r="A3371" t="s">
        <v>18</v>
      </c>
      <c r="B3371" s="16">
        <v>45799</v>
      </c>
      <c r="C3371">
        <v>6.3</v>
      </c>
      <c r="D3371">
        <v>0</v>
      </c>
      <c r="E3371" t="s">
        <v>6132</v>
      </c>
    </row>
    <row r="3372" spans="1:5" x14ac:dyDescent="0.35">
      <c r="A3372" t="s">
        <v>18</v>
      </c>
      <c r="B3372" s="16">
        <v>45800</v>
      </c>
      <c r="C3372">
        <v>7.9</v>
      </c>
      <c r="D3372">
        <v>0</v>
      </c>
      <c r="E3372" t="s">
        <v>6132</v>
      </c>
    </row>
    <row r="3373" spans="1:5" x14ac:dyDescent="0.35">
      <c r="A3373" t="s">
        <v>18</v>
      </c>
      <c r="B3373" s="16">
        <v>45803</v>
      </c>
      <c r="C3373">
        <v>4.2</v>
      </c>
      <c r="D3373">
        <v>1</v>
      </c>
      <c r="E3373" t="s">
        <v>6132</v>
      </c>
    </row>
    <row r="3374" spans="1:5" x14ac:dyDescent="0.35">
      <c r="A3374" t="s">
        <v>18</v>
      </c>
      <c r="B3374" s="16">
        <v>45807</v>
      </c>
      <c r="C3374">
        <v>4.3</v>
      </c>
      <c r="D3374">
        <v>0</v>
      </c>
      <c r="E3374" t="s">
        <v>6132</v>
      </c>
    </row>
    <row r="3375" spans="1:5" x14ac:dyDescent="0.35">
      <c r="A3375" t="s">
        <v>18</v>
      </c>
      <c r="B3375" s="16">
        <v>45810</v>
      </c>
      <c r="C3375">
        <v>6.2</v>
      </c>
      <c r="D3375">
        <v>0</v>
      </c>
      <c r="E3375" t="s">
        <v>6133</v>
      </c>
    </row>
    <row r="3376" spans="1:5" x14ac:dyDescent="0.35">
      <c r="A3376" t="s">
        <v>18</v>
      </c>
      <c r="B3376" s="16">
        <v>45812</v>
      </c>
      <c r="C3376">
        <v>6.8</v>
      </c>
      <c r="D3376">
        <v>0</v>
      </c>
      <c r="E3376" t="s">
        <v>6132</v>
      </c>
    </row>
    <row r="3377" spans="1:5" x14ac:dyDescent="0.35">
      <c r="A3377" t="s">
        <v>18</v>
      </c>
      <c r="B3377" s="16">
        <v>45813</v>
      </c>
      <c r="C3377">
        <v>8</v>
      </c>
      <c r="D3377">
        <v>4</v>
      </c>
      <c r="E3377" t="s">
        <v>6132</v>
      </c>
    </row>
    <row r="3378" spans="1:5" x14ac:dyDescent="0.35">
      <c r="A3378" t="s">
        <v>18</v>
      </c>
      <c r="B3378" s="16">
        <v>45818</v>
      </c>
      <c r="C3378">
        <v>7.1</v>
      </c>
      <c r="D3378">
        <v>1</v>
      </c>
      <c r="E3378" t="s">
        <v>6132</v>
      </c>
    </row>
    <row r="3379" spans="1:5" x14ac:dyDescent="0.35">
      <c r="A3379" t="s">
        <v>18</v>
      </c>
      <c r="B3379" s="16">
        <v>45820</v>
      </c>
      <c r="C3379">
        <v>4.2</v>
      </c>
      <c r="D3379">
        <v>1</v>
      </c>
      <c r="E3379" t="s">
        <v>6132</v>
      </c>
    </row>
    <row r="3380" spans="1:5" x14ac:dyDescent="0.35">
      <c r="A3380" t="s">
        <v>18</v>
      </c>
      <c r="B3380" s="16">
        <v>45821</v>
      </c>
      <c r="C3380">
        <v>5.5</v>
      </c>
      <c r="D3380">
        <v>1</v>
      </c>
      <c r="E3380" t="s">
        <v>6132</v>
      </c>
    </row>
    <row r="3381" spans="1:5" x14ac:dyDescent="0.35">
      <c r="A3381" t="s">
        <v>18</v>
      </c>
      <c r="B3381" s="16">
        <v>45824</v>
      </c>
      <c r="D3381">
        <v>0</v>
      </c>
      <c r="E3381" t="s">
        <v>6134</v>
      </c>
    </row>
    <row r="3382" spans="1:5" x14ac:dyDescent="0.35">
      <c r="A3382" t="s">
        <v>18</v>
      </c>
      <c r="B3382" s="16">
        <v>45826</v>
      </c>
      <c r="C3382">
        <v>7.8</v>
      </c>
      <c r="D3382">
        <v>0</v>
      </c>
      <c r="E3382" t="s">
        <v>6133</v>
      </c>
    </row>
    <row r="3383" spans="1:5" x14ac:dyDescent="0.35">
      <c r="A3383" t="s">
        <v>18</v>
      </c>
      <c r="B3383" s="16">
        <v>45827</v>
      </c>
      <c r="C3383">
        <v>5.8</v>
      </c>
      <c r="D3383">
        <v>0</v>
      </c>
      <c r="E3383" t="s">
        <v>6132</v>
      </c>
    </row>
    <row r="3384" spans="1:5" x14ac:dyDescent="0.35">
      <c r="A3384" t="s">
        <v>18</v>
      </c>
      <c r="B3384" s="16">
        <v>45828</v>
      </c>
      <c r="C3384">
        <v>6</v>
      </c>
      <c r="D3384">
        <v>3</v>
      </c>
      <c r="E3384" t="s">
        <v>6132</v>
      </c>
    </row>
    <row r="3385" spans="1:5" x14ac:dyDescent="0.35">
      <c r="A3385" t="s">
        <v>18</v>
      </c>
      <c r="B3385" s="16">
        <v>45831</v>
      </c>
      <c r="C3385">
        <v>7.3</v>
      </c>
      <c r="D3385">
        <v>4</v>
      </c>
      <c r="E3385" t="s">
        <v>6132</v>
      </c>
    </row>
    <row r="3386" spans="1:5" x14ac:dyDescent="0.35">
      <c r="A3386" t="s">
        <v>18</v>
      </c>
      <c r="B3386" s="16">
        <v>45833</v>
      </c>
      <c r="C3386">
        <v>4.5999999999999996</v>
      </c>
      <c r="D3386">
        <v>1</v>
      </c>
      <c r="E3386" t="s">
        <v>6132</v>
      </c>
    </row>
    <row r="3387" spans="1:5" x14ac:dyDescent="0.35">
      <c r="A3387" t="s">
        <v>18</v>
      </c>
      <c r="B3387" s="16">
        <v>45835</v>
      </c>
      <c r="C3387">
        <v>6.8</v>
      </c>
      <c r="D3387">
        <v>1</v>
      </c>
      <c r="E3387" t="s">
        <v>6132</v>
      </c>
    </row>
    <row r="3388" spans="1:5" x14ac:dyDescent="0.35">
      <c r="A3388" t="s">
        <v>18</v>
      </c>
      <c r="B3388" s="16">
        <v>45839</v>
      </c>
      <c r="C3388">
        <v>6.9</v>
      </c>
      <c r="D3388">
        <v>2</v>
      </c>
      <c r="E3388" t="s">
        <v>6132</v>
      </c>
    </row>
    <row r="3389" spans="1:5" x14ac:dyDescent="0.35">
      <c r="A3389" t="s">
        <v>18</v>
      </c>
      <c r="B3389" s="16">
        <v>45840</v>
      </c>
      <c r="C3389">
        <v>8.3000000000000007</v>
      </c>
      <c r="D3389">
        <v>0</v>
      </c>
      <c r="E3389" t="s">
        <v>6132</v>
      </c>
    </row>
    <row r="3390" spans="1:5" x14ac:dyDescent="0.35">
      <c r="A3390" t="s">
        <v>18</v>
      </c>
      <c r="B3390" s="16">
        <v>45841</v>
      </c>
      <c r="C3390">
        <v>6.7</v>
      </c>
      <c r="D3390">
        <v>0</v>
      </c>
      <c r="E3390" t="s">
        <v>6132</v>
      </c>
    </row>
    <row r="3391" spans="1:5" x14ac:dyDescent="0.35">
      <c r="A3391" t="s">
        <v>18</v>
      </c>
      <c r="B3391" s="16">
        <v>45845</v>
      </c>
      <c r="C3391">
        <v>4.7</v>
      </c>
      <c r="D3391">
        <v>2</v>
      </c>
      <c r="E3391" t="s">
        <v>6132</v>
      </c>
    </row>
    <row r="3392" spans="1:5" x14ac:dyDescent="0.35">
      <c r="A3392" t="s">
        <v>18</v>
      </c>
      <c r="B3392" s="16">
        <v>45847</v>
      </c>
      <c r="C3392">
        <v>5.7</v>
      </c>
      <c r="D3392">
        <v>3</v>
      </c>
      <c r="E3392" t="s">
        <v>6132</v>
      </c>
    </row>
    <row r="3393" spans="1:5" x14ac:dyDescent="0.35">
      <c r="A3393" t="s">
        <v>18</v>
      </c>
      <c r="B3393" s="16">
        <v>45849</v>
      </c>
      <c r="C3393">
        <v>6.4</v>
      </c>
      <c r="D3393">
        <v>0</v>
      </c>
      <c r="E3393" t="s">
        <v>6132</v>
      </c>
    </row>
    <row r="3394" spans="1:5" x14ac:dyDescent="0.35">
      <c r="A3394" t="s">
        <v>18</v>
      </c>
      <c r="B3394" s="16">
        <v>45854</v>
      </c>
      <c r="C3394">
        <v>7.4</v>
      </c>
      <c r="D3394">
        <v>0</v>
      </c>
      <c r="E3394" t="s">
        <v>6133</v>
      </c>
    </row>
    <row r="3395" spans="1:5" x14ac:dyDescent="0.35">
      <c r="A3395" t="s">
        <v>18</v>
      </c>
      <c r="B3395" s="16">
        <v>45855</v>
      </c>
      <c r="D3395">
        <v>0</v>
      </c>
      <c r="E3395" t="s">
        <v>6134</v>
      </c>
    </row>
    <row r="3396" spans="1:5" x14ac:dyDescent="0.35">
      <c r="A3396" t="s">
        <v>18</v>
      </c>
      <c r="B3396" s="16">
        <v>45856</v>
      </c>
      <c r="C3396">
        <v>8.1999999999999993</v>
      </c>
      <c r="D3396">
        <v>0</v>
      </c>
      <c r="E3396" t="s">
        <v>6132</v>
      </c>
    </row>
    <row r="3397" spans="1:5" x14ac:dyDescent="0.35">
      <c r="A3397" t="s">
        <v>18</v>
      </c>
      <c r="B3397" s="16">
        <v>45859</v>
      </c>
      <c r="C3397">
        <v>7.4</v>
      </c>
      <c r="D3397">
        <v>1</v>
      </c>
      <c r="E3397" t="s">
        <v>6132</v>
      </c>
    </row>
    <row r="3398" spans="1:5" x14ac:dyDescent="0.35">
      <c r="A3398" t="s">
        <v>18</v>
      </c>
      <c r="B3398" s="16">
        <v>45860</v>
      </c>
      <c r="C3398">
        <v>7.8</v>
      </c>
      <c r="D3398">
        <v>1</v>
      </c>
      <c r="E3398" t="s">
        <v>6132</v>
      </c>
    </row>
    <row r="3399" spans="1:5" x14ac:dyDescent="0.35">
      <c r="A3399" t="s">
        <v>18</v>
      </c>
      <c r="B3399" s="16">
        <v>45862</v>
      </c>
      <c r="C3399">
        <v>4.3</v>
      </c>
      <c r="D3399">
        <v>1</v>
      </c>
      <c r="E3399" t="s">
        <v>6132</v>
      </c>
    </row>
    <row r="3400" spans="1:5" x14ac:dyDescent="0.35">
      <c r="A3400" t="s">
        <v>18</v>
      </c>
      <c r="B3400" s="16">
        <v>45866</v>
      </c>
      <c r="C3400">
        <v>4.8</v>
      </c>
      <c r="D3400">
        <v>4</v>
      </c>
      <c r="E3400" t="s">
        <v>6132</v>
      </c>
    </row>
    <row r="3401" spans="1:5" x14ac:dyDescent="0.35">
      <c r="A3401" t="s">
        <v>18</v>
      </c>
      <c r="B3401" s="16">
        <v>45867</v>
      </c>
      <c r="C3401">
        <v>8</v>
      </c>
      <c r="D3401">
        <v>3</v>
      </c>
      <c r="E3401" t="s">
        <v>6132</v>
      </c>
    </row>
    <row r="3402" spans="1:5" x14ac:dyDescent="0.35">
      <c r="A3402" t="s">
        <v>18</v>
      </c>
      <c r="B3402" s="16">
        <v>45870</v>
      </c>
      <c r="C3402">
        <v>8.5</v>
      </c>
      <c r="D3402">
        <v>0</v>
      </c>
      <c r="E3402" t="s">
        <v>6133</v>
      </c>
    </row>
    <row r="3403" spans="1:5" x14ac:dyDescent="0.35">
      <c r="A3403" t="s">
        <v>18</v>
      </c>
      <c r="B3403" s="16">
        <v>45880</v>
      </c>
      <c r="C3403">
        <v>4.5</v>
      </c>
      <c r="D3403">
        <v>1</v>
      </c>
      <c r="E3403" t="s">
        <v>6132</v>
      </c>
    </row>
    <row r="3404" spans="1:5" x14ac:dyDescent="0.35">
      <c r="A3404" t="s">
        <v>18</v>
      </c>
      <c r="B3404" s="16">
        <v>45881</v>
      </c>
      <c r="C3404">
        <v>6.3</v>
      </c>
      <c r="D3404">
        <v>0</v>
      </c>
      <c r="E3404" t="s">
        <v>6132</v>
      </c>
    </row>
    <row r="3405" spans="1:5" x14ac:dyDescent="0.35">
      <c r="A3405" t="s">
        <v>18</v>
      </c>
      <c r="B3405" s="16">
        <v>45884</v>
      </c>
      <c r="C3405">
        <v>5</v>
      </c>
      <c r="D3405">
        <v>0</v>
      </c>
      <c r="E3405" t="s">
        <v>6132</v>
      </c>
    </row>
    <row r="3406" spans="1:5" x14ac:dyDescent="0.35">
      <c r="A3406" t="s">
        <v>18</v>
      </c>
      <c r="B3406" s="16">
        <v>45888</v>
      </c>
      <c r="C3406">
        <v>6.7</v>
      </c>
      <c r="D3406">
        <v>0</v>
      </c>
      <c r="E3406" t="s">
        <v>6132</v>
      </c>
    </row>
    <row r="3407" spans="1:5" x14ac:dyDescent="0.35">
      <c r="A3407" t="s">
        <v>18</v>
      </c>
      <c r="B3407" s="16">
        <v>45889</v>
      </c>
      <c r="C3407">
        <v>7.7</v>
      </c>
      <c r="D3407">
        <v>0</v>
      </c>
      <c r="E3407" t="s">
        <v>6132</v>
      </c>
    </row>
    <row r="3408" spans="1:5" x14ac:dyDescent="0.35">
      <c r="A3408" t="s">
        <v>18</v>
      </c>
      <c r="B3408" s="16">
        <v>45891</v>
      </c>
      <c r="C3408">
        <v>6.1</v>
      </c>
      <c r="D3408">
        <v>1</v>
      </c>
      <c r="E3408" t="s">
        <v>6132</v>
      </c>
    </row>
    <row r="3409" spans="1:5" x14ac:dyDescent="0.35">
      <c r="A3409" t="s">
        <v>18</v>
      </c>
      <c r="B3409" s="16">
        <v>45898</v>
      </c>
      <c r="C3409">
        <v>4.4000000000000004</v>
      </c>
      <c r="D3409">
        <v>0</v>
      </c>
      <c r="E3409" t="s">
        <v>6132</v>
      </c>
    </row>
    <row r="3410" spans="1:5" x14ac:dyDescent="0.35">
      <c r="A3410" t="s">
        <v>18</v>
      </c>
      <c r="B3410" s="16">
        <v>45901</v>
      </c>
      <c r="C3410">
        <v>5.3</v>
      </c>
      <c r="D3410">
        <v>1</v>
      </c>
      <c r="E3410" t="s">
        <v>6132</v>
      </c>
    </row>
    <row r="3411" spans="1:5" x14ac:dyDescent="0.35">
      <c r="A3411" t="s">
        <v>18</v>
      </c>
      <c r="B3411" s="16">
        <v>45902</v>
      </c>
      <c r="C3411">
        <v>5.3</v>
      </c>
      <c r="D3411">
        <v>2</v>
      </c>
      <c r="E3411" t="s">
        <v>6132</v>
      </c>
    </row>
    <row r="3412" spans="1:5" x14ac:dyDescent="0.35">
      <c r="A3412" t="s">
        <v>18</v>
      </c>
      <c r="B3412" s="16">
        <v>45903</v>
      </c>
      <c r="D3412">
        <v>4</v>
      </c>
      <c r="E3412" t="s">
        <v>6132</v>
      </c>
    </row>
    <row r="3413" spans="1:5" x14ac:dyDescent="0.35">
      <c r="A3413" t="s">
        <v>18</v>
      </c>
      <c r="B3413" s="16">
        <v>45904</v>
      </c>
      <c r="C3413">
        <v>8.3000000000000007</v>
      </c>
      <c r="D3413">
        <v>2</v>
      </c>
      <c r="E3413" t="s">
        <v>6132</v>
      </c>
    </row>
    <row r="3414" spans="1:5" x14ac:dyDescent="0.35">
      <c r="A3414" t="s">
        <v>18</v>
      </c>
      <c r="B3414" s="16">
        <v>45905</v>
      </c>
      <c r="C3414">
        <v>5.2</v>
      </c>
      <c r="D3414">
        <v>1</v>
      </c>
      <c r="E3414" t="s">
        <v>6132</v>
      </c>
    </row>
    <row r="3415" spans="1:5" x14ac:dyDescent="0.35">
      <c r="A3415" t="s">
        <v>18</v>
      </c>
      <c r="B3415" s="16">
        <v>45909</v>
      </c>
      <c r="C3415">
        <v>7.3</v>
      </c>
      <c r="D3415">
        <v>4</v>
      </c>
      <c r="E3415" t="s">
        <v>6132</v>
      </c>
    </row>
    <row r="3416" spans="1:5" x14ac:dyDescent="0.35">
      <c r="A3416" t="s">
        <v>18</v>
      </c>
      <c r="B3416" s="16">
        <v>45910</v>
      </c>
      <c r="C3416">
        <v>4.8</v>
      </c>
      <c r="D3416">
        <v>0</v>
      </c>
      <c r="E3416" t="s">
        <v>6133</v>
      </c>
    </row>
    <row r="3417" spans="1:5" x14ac:dyDescent="0.35">
      <c r="A3417" t="s">
        <v>18</v>
      </c>
      <c r="B3417" s="16">
        <v>45911</v>
      </c>
      <c r="C3417">
        <v>5.8</v>
      </c>
      <c r="D3417">
        <v>0</v>
      </c>
      <c r="E3417" t="s">
        <v>6132</v>
      </c>
    </row>
    <row r="3418" spans="1:5" x14ac:dyDescent="0.35">
      <c r="A3418" t="s">
        <v>18</v>
      </c>
      <c r="B3418" s="16">
        <v>45912</v>
      </c>
      <c r="C3418">
        <v>4.5999999999999996</v>
      </c>
      <c r="D3418">
        <v>0</v>
      </c>
      <c r="E3418" t="s">
        <v>6132</v>
      </c>
    </row>
    <row r="3419" spans="1:5" x14ac:dyDescent="0.35">
      <c r="A3419" t="s">
        <v>18</v>
      </c>
      <c r="B3419" s="16">
        <v>45916</v>
      </c>
      <c r="D3419">
        <v>1</v>
      </c>
      <c r="E3419" t="s">
        <v>6132</v>
      </c>
    </row>
    <row r="3420" spans="1:5" x14ac:dyDescent="0.35">
      <c r="A3420" t="s">
        <v>18</v>
      </c>
      <c r="B3420" s="16">
        <v>45919</v>
      </c>
      <c r="C3420">
        <v>6.8</v>
      </c>
      <c r="D3420">
        <v>0</v>
      </c>
      <c r="E3420" t="s">
        <v>6133</v>
      </c>
    </row>
    <row r="3421" spans="1:5" x14ac:dyDescent="0.35">
      <c r="A3421" t="s">
        <v>18</v>
      </c>
      <c r="B3421" s="16">
        <v>45922</v>
      </c>
      <c r="C3421">
        <v>6.1</v>
      </c>
      <c r="D3421">
        <v>2</v>
      </c>
      <c r="E3421" t="s">
        <v>6132</v>
      </c>
    </row>
    <row r="3422" spans="1:5" x14ac:dyDescent="0.35">
      <c r="A3422" t="s">
        <v>18</v>
      </c>
      <c r="B3422" s="16">
        <v>45925</v>
      </c>
      <c r="C3422">
        <v>4.8</v>
      </c>
      <c r="D3422">
        <v>2</v>
      </c>
      <c r="E3422" t="s">
        <v>6132</v>
      </c>
    </row>
    <row r="3423" spans="1:5" x14ac:dyDescent="0.35">
      <c r="A3423" t="s">
        <v>18</v>
      </c>
      <c r="B3423" s="16">
        <v>45926</v>
      </c>
      <c r="C3423">
        <v>6.9</v>
      </c>
      <c r="D3423">
        <v>1</v>
      </c>
      <c r="E3423" t="s">
        <v>6132</v>
      </c>
    </row>
    <row r="3424" spans="1:5" x14ac:dyDescent="0.35">
      <c r="A3424" t="s">
        <v>18</v>
      </c>
      <c r="B3424" s="16">
        <v>45932</v>
      </c>
      <c r="C3424">
        <v>8.4</v>
      </c>
      <c r="D3424">
        <v>0</v>
      </c>
      <c r="E3424" t="s">
        <v>6132</v>
      </c>
    </row>
    <row r="3425" spans="1:5" x14ac:dyDescent="0.35">
      <c r="A3425" t="s">
        <v>18</v>
      </c>
      <c r="B3425" s="16">
        <v>45936</v>
      </c>
      <c r="C3425">
        <v>8.4</v>
      </c>
      <c r="D3425">
        <v>0</v>
      </c>
      <c r="E3425" t="s">
        <v>6133</v>
      </c>
    </row>
    <row r="3426" spans="1:5" x14ac:dyDescent="0.35">
      <c r="A3426" t="s">
        <v>18</v>
      </c>
      <c r="B3426" s="16">
        <v>45947</v>
      </c>
      <c r="C3426">
        <v>7.8</v>
      </c>
      <c r="D3426">
        <v>0</v>
      </c>
      <c r="E3426" t="s">
        <v>6132</v>
      </c>
    </row>
    <row r="3427" spans="1:5" x14ac:dyDescent="0.35">
      <c r="A3427" t="s">
        <v>18</v>
      </c>
      <c r="B3427" s="16">
        <v>45950</v>
      </c>
      <c r="C3427">
        <v>5.6</v>
      </c>
      <c r="D3427">
        <v>1</v>
      </c>
      <c r="E3427" t="s">
        <v>6132</v>
      </c>
    </row>
    <row r="3428" spans="1:5" x14ac:dyDescent="0.35">
      <c r="A3428" t="s">
        <v>18</v>
      </c>
      <c r="B3428" s="16">
        <v>45960</v>
      </c>
      <c r="C3428">
        <v>8.8000000000000007</v>
      </c>
      <c r="D3428">
        <v>0</v>
      </c>
      <c r="E3428" t="s">
        <v>6132</v>
      </c>
    </row>
    <row r="3429" spans="1:5" x14ac:dyDescent="0.35">
      <c r="A3429" t="s">
        <v>18</v>
      </c>
      <c r="B3429" s="16">
        <v>45961</v>
      </c>
      <c r="C3429">
        <v>8.6999999999999993</v>
      </c>
      <c r="D3429">
        <v>4</v>
      </c>
      <c r="E3429" t="s">
        <v>6132</v>
      </c>
    </row>
    <row r="3430" spans="1:5" x14ac:dyDescent="0.35">
      <c r="A3430" t="s">
        <v>18</v>
      </c>
      <c r="B3430" s="16">
        <v>45964</v>
      </c>
      <c r="C3430">
        <v>7.1</v>
      </c>
      <c r="D3430">
        <v>1</v>
      </c>
      <c r="E3430" t="s">
        <v>6132</v>
      </c>
    </row>
    <row r="3431" spans="1:5" x14ac:dyDescent="0.35">
      <c r="A3431" t="s">
        <v>18</v>
      </c>
      <c r="B3431" s="16">
        <v>45966</v>
      </c>
      <c r="C3431">
        <v>6.9</v>
      </c>
      <c r="D3431">
        <v>1</v>
      </c>
      <c r="E3431" t="s">
        <v>6132</v>
      </c>
    </row>
    <row r="3432" spans="1:5" x14ac:dyDescent="0.35">
      <c r="A3432" t="s">
        <v>18</v>
      </c>
      <c r="B3432" s="16">
        <v>45967</v>
      </c>
      <c r="C3432">
        <v>5.9</v>
      </c>
      <c r="D3432">
        <v>4</v>
      </c>
      <c r="E3432" t="s">
        <v>6132</v>
      </c>
    </row>
    <row r="3433" spans="1:5" x14ac:dyDescent="0.35">
      <c r="A3433" t="s">
        <v>18</v>
      </c>
      <c r="B3433" s="16">
        <v>45971</v>
      </c>
      <c r="C3433">
        <v>6.9</v>
      </c>
      <c r="D3433">
        <v>0</v>
      </c>
      <c r="E3433" t="s">
        <v>6132</v>
      </c>
    </row>
    <row r="3434" spans="1:5" x14ac:dyDescent="0.35">
      <c r="A3434" t="s">
        <v>18</v>
      </c>
      <c r="B3434" s="16">
        <v>45973</v>
      </c>
      <c r="C3434">
        <v>6.3</v>
      </c>
      <c r="D3434">
        <v>1</v>
      </c>
      <c r="E3434" t="s">
        <v>6132</v>
      </c>
    </row>
    <row r="3435" spans="1:5" x14ac:dyDescent="0.35">
      <c r="A3435" t="s">
        <v>18</v>
      </c>
      <c r="B3435" s="16">
        <v>45979</v>
      </c>
      <c r="C3435">
        <v>5</v>
      </c>
      <c r="D3435">
        <v>1</v>
      </c>
      <c r="E3435" t="s">
        <v>6132</v>
      </c>
    </row>
    <row r="3436" spans="1:5" x14ac:dyDescent="0.35">
      <c r="A3436" t="s">
        <v>18</v>
      </c>
      <c r="B3436" s="16">
        <v>45980</v>
      </c>
      <c r="C3436">
        <v>7.1</v>
      </c>
      <c r="D3436">
        <v>2</v>
      </c>
      <c r="E3436" t="s">
        <v>6132</v>
      </c>
    </row>
    <row r="3437" spans="1:5" x14ac:dyDescent="0.35">
      <c r="A3437" t="s">
        <v>18</v>
      </c>
      <c r="B3437" s="16">
        <v>45982</v>
      </c>
      <c r="D3437">
        <v>1</v>
      </c>
      <c r="E3437" t="s">
        <v>6132</v>
      </c>
    </row>
    <row r="3438" spans="1:5" x14ac:dyDescent="0.35">
      <c r="A3438" t="s">
        <v>18</v>
      </c>
      <c r="B3438" s="16">
        <v>45985</v>
      </c>
      <c r="C3438">
        <v>8.6</v>
      </c>
      <c r="D3438">
        <v>0</v>
      </c>
      <c r="E3438" t="s">
        <v>6134</v>
      </c>
    </row>
    <row r="3439" spans="1:5" x14ac:dyDescent="0.35">
      <c r="A3439" t="s">
        <v>18</v>
      </c>
      <c r="B3439" s="16">
        <v>45986</v>
      </c>
      <c r="C3439">
        <v>5.7</v>
      </c>
      <c r="D3439">
        <v>0</v>
      </c>
      <c r="E3439" t="s">
        <v>6132</v>
      </c>
    </row>
    <row r="3440" spans="1:5" x14ac:dyDescent="0.35">
      <c r="A3440" t="s">
        <v>18</v>
      </c>
      <c r="B3440" s="16">
        <v>45989</v>
      </c>
      <c r="C3440">
        <v>4.0999999999999996</v>
      </c>
      <c r="D3440">
        <v>0</v>
      </c>
      <c r="E3440" t="s">
        <v>6132</v>
      </c>
    </row>
    <row r="3441" spans="1:5" x14ac:dyDescent="0.35">
      <c r="A3441" t="s">
        <v>18</v>
      </c>
      <c r="B3441" s="16">
        <v>45994</v>
      </c>
      <c r="C3441">
        <v>6</v>
      </c>
      <c r="D3441">
        <v>2</v>
      </c>
      <c r="E3441" t="s">
        <v>6132</v>
      </c>
    </row>
    <row r="3442" spans="1:5" x14ac:dyDescent="0.35">
      <c r="A3442" t="s">
        <v>18</v>
      </c>
      <c r="B3442" s="16">
        <v>45995</v>
      </c>
      <c r="C3442">
        <v>7.3</v>
      </c>
      <c r="D3442">
        <v>0</v>
      </c>
      <c r="E3442" t="s">
        <v>6134</v>
      </c>
    </row>
    <row r="3443" spans="1:5" x14ac:dyDescent="0.35">
      <c r="A3443" t="s">
        <v>18</v>
      </c>
      <c r="B3443" s="16">
        <v>45999</v>
      </c>
      <c r="C3443">
        <v>4.5</v>
      </c>
      <c r="D3443">
        <v>2</v>
      </c>
      <c r="E3443" t="s">
        <v>6132</v>
      </c>
    </row>
    <row r="3444" spans="1:5" x14ac:dyDescent="0.35">
      <c r="A3444" t="s">
        <v>18</v>
      </c>
      <c r="B3444" s="16">
        <v>46000</v>
      </c>
      <c r="C3444">
        <v>4.4000000000000004</v>
      </c>
      <c r="D3444">
        <v>1</v>
      </c>
      <c r="E3444" t="s">
        <v>6132</v>
      </c>
    </row>
    <row r="3445" spans="1:5" x14ac:dyDescent="0.35">
      <c r="A3445" t="s">
        <v>18</v>
      </c>
      <c r="B3445" s="16">
        <v>46002</v>
      </c>
      <c r="C3445">
        <v>7.7</v>
      </c>
      <c r="D3445">
        <v>4</v>
      </c>
      <c r="E3445" t="s">
        <v>6132</v>
      </c>
    </row>
    <row r="3446" spans="1:5" x14ac:dyDescent="0.35">
      <c r="A3446" t="s">
        <v>18</v>
      </c>
      <c r="B3446" s="16">
        <v>46006</v>
      </c>
      <c r="D3446">
        <v>2</v>
      </c>
      <c r="E3446" t="s">
        <v>6132</v>
      </c>
    </row>
    <row r="3447" spans="1:5" x14ac:dyDescent="0.35">
      <c r="A3447" t="s">
        <v>18</v>
      </c>
      <c r="B3447" s="16">
        <v>46009</v>
      </c>
      <c r="C3447">
        <v>5.4</v>
      </c>
      <c r="D3447">
        <v>1</v>
      </c>
      <c r="E3447" t="s">
        <v>6132</v>
      </c>
    </row>
    <row r="3448" spans="1:5" x14ac:dyDescent="0.35">
      <c r="A3448" t="s">
        <v>18</v>
      </c>
      <c r="B3448" s="16">
        <v>46013</v>
      </c>
      <c r="C3448">
        <v>8.6999999999999993</v>
      </c>
      <c r="D3448">
        <v>1</v>
      </c>
      <c r="E3448" t="s">
        <v>6132</v>
      </c>
    </row>
    <row r="3449" spans="1:5" x14ac:dyDescent="0.35">
      <c r="A3449" t="s">
        <v>18</v>
      </c>
      <c r="B3449" s="16">
        <v>46020</v>
      </c>
      <c r="C3449">
        <v>7.6</v>
      </c>
      <c r="D3449">
        <v>1</v>
      </c>
      <c r="E3449" t="s">
        <v>6132</v>
      </c>
    </row>
    <row r="3450" spans="1:5" x14ac:dyDescent="0.35">
      <c r="A3450" t="s">
        <v>18</v>
      </c>
      <c r="B3450" s="16">
        <v>46021</v>
      </c>
      <c r="C3450">
        <v>6.5</v>
      </c>
      <c r="D3450">
        <v>0</v>
      </c>
      <c r="E3450" t="s">
        <v>6133</v>
      </c>
    </row>
    <row r="3451" spans="1:5" x14ac:dyDescent="0.35">
      <c r="A3451" t="s">
        <v>18</v>
      </c>
      <c r="B3451" s="16">
        <v>46022</v>
      </c>
      <c r="C3451">
        <v>7.4</v>
      </c>
      <c r="D3451">
        <v>1</v>
      </c>
      <c r="E3451" t="s">
        <v>6132</v>
      </c>
    </row>
    <row r="3452" spans="1:5" x14ac:dyDescent="0.35">
      <c r="A3452" t="s">
        <v>104</v>
      </c>
      <c r="B3452" s="16">
        <v>45658</v>
      </c>
      <c r="C3452">
        <v>5.5</v>
      </c>
      <c r="D3452">
        <v>3</v>
      </c>
      <c r="E3452" t="s">
        <v>6132</v>
      </c>
    </row>
    <row r="3453" spans="1:5" x14ac:dyDescent="0.35">
      <c r="A3453" t="s">
        <v>104</v>
      </c>
      <c r="B3453" s="16">
        <v>45659</v>
      </c>
      <c r="C3453">
        <v>6.9</v>
      </c>
      <c r="D3453">
        <v>1</v>
      </c>
      <c r="E3453" t="s">
        <v>6132</v>
      </c>
    </row>
    <row r="3454" spans="1:5" x14ac:dyDescent="0.35">
      <c r="A3454" t="s">
        <v>104</v>
      </c>
      <c r="B3454" s="16">
        <v>45660</v>
      </c>
      <c r="C3454">
        <v>5.3</v>
      </c>
      <c r="D3454">
        <v>0</v>
      </c>
      <c r="E3454" t="s">
        <v>6132</v>
      </c>
    </row>
    <row r="3455" spans="1:5" x14ac:dyDescent="0.35">
      <c r="A3455" t="s">
        <v>104</v>
      </c>
      <c r="B3455" s="16">
        <v>45665</v>
      </c>
      <c r="C3455">
        <v>7.5</v>
      </c>
      <c r="D3455">
        <v>1</v>
      </c>
      <c r="E3455" t="s">
        <v>6132</v>
      </c>
    </row>
    <row r="3456" spans="1:5" x14ac:dyDescent="0.35">
      <c r="A3456" t="s">
        <v>104</v>
      </c>
      <c r="B3456" s="16">
        <v>45667</v>
      </c>
      <c r="C3456">
        <v>4</v>
      </c>
      <c r="D3456">
        <v>2</v>
      </c>
      <c r="E3456" t="s">
        <v>6132</v>
      </c>
    </row>
    <row r="3457" spans="1:5" x14ac:dyDescent="0.35">
      <c r="A3457" t="s">
        <v>104</v>
      </c>
      <c r="B3457" s="16">
        <v>45672</v>
      </c>
      <c r="C3457">
        <v>7.2</v>
      </c>
      <c r="D3457">
        <v>0</v>
      </c>
      <c r="E3457" t="s">
        <v>6132</v>
      </c>
    </row>
    <row r="3458" spans="1:5" x14ac:dyDescent="0.35">
      <c r="A3458" t="s">
        <v>104</v>
      </c>
      <c r="B3458" s="16">
        <v>45673</v>
      </c>
      <c r="C3458">
        <v>8.9</v>
      </c>
      <c r="D3458">
        <v>0</v>
      </c>
      <c r="E3458" t="s">
        <v>6132</v>
      </c>
    </row>
    <row r="3459" spans="1:5" x14ac:dyDescent="0.35">
      <c r="A3459" t="s">
        <v>104</v>
      </c>
      <c r="B3459" s="16">
        <v>45674</v>
      </c>
      <c r="C3459">
        <v>8.8000000000000007</v>
      </c>
      <c r="D3459">
        <v>0</v>
      </c>
      <c r="E3459" t="s">
        <v>6132</v>
      </c>
    </row>
    <row r="3460" spans="1:5" x14ac:dyDescent="0.35">
      <c r="A3460" t="s">
        <v>104</v>
      </c>
      <c r="B3460" s="16">
        <v>45677</v>
      </c>
      <c r="C3460">
        <v>7.7</v>
      </c>
      <c r="D3460">
        <v>0</v>
      </c>
      <c r="E3460" t="s">
        <v>6132</v>
      </c>
    </row>
    <row r="3461" spans="1:5" x14ac:dyDescent="0.35">
      <c r="A3461" t="s">
        <v>104</v>
      </c>
      <c r="B3461" s="16">
        <v>45679</v>
      </c>
      <c r="C3461">
        <v>7.8</v>
      </c>
      <c r="D3461">
        <v>0</v>
      </c>
      <c r="E3461" t="s">
        <v>6132</v>
      </c>
    </row>
    <row r="3462" spans="1:5" x14ac:dyDescent="0.35">
      <c r="A3462" t="s">
        <v>104</v>
      </c>
      <c r="B3462" s="16">
        <v>45680</v>
      </c>
      <c r="C3462">
        <v>6.2</v>
      </c>
      <c r="D3462">
        <v>2</v>
      </c>
      <c r="E3462" t="s">
        <v>6132</v>
      </c>
    </row>
    <row r="3463" spans="1:5" x14ac:dyDescent="0.35">
      <c r="A3463" t="s">
        <v>104</v>
      </c>
      <c r="B3463" s="16">
        <v>45687</v>
      </c>
      <c r="C3463">
        <v>5.9</v>
      </c>
      <c r="D3463">
        <v>3</v>
      </c>
      <c r="E3463" t="s">
        <v>6132</v>
      </c>
    </row>
    <row r="3464" spans="1:5" x14ac:dyDescent="0.35">
      <c r="A3464" t="s">
        <v>104</v>
      </c>
      <c r="B3464" s="16">
        <v>45693</v>
      </c>
      <c r="C3464">
        <v>8</v>
      </c>
      <c r="D3464">
        <v>0</v>
      </c>
      <c r="E3464" t="s">
        <v>6134</v>
      </c>
    </row>
    <row r="3465" spans="1:5" x14ac:dyDescent="0.35">
      <c r="A3465" t="s">
        <v>104</v>
      </c>
      <c r="B3465" s="16">
        <v>45694</v>
      </c>
      <c r="C3465">
        <v>6.6</v>
      </c>
      <c r="D3465">
        <v>0</v>
      </c>
      <c r="E3465" t="s">
        <v>6132</v>
      </c>
    </row>
    <row r="3466" spans="1:5" x14ac:dyDescent="0.35">
      <c r="A3466" t="s">
        <v>104</v>
      </c>
      <c r="B3466" s="16">
        <v>45695</v>
      </c>
      <c r="C3466">
        <v>6.9</v>
      </c>
      <c r="D3466">
        <v>1</v>
      </c>
      <c r="E3466" t="s">
        <v>6132</v>
      </c>
    </row>
    <row r="3467" spans="1:5" x14ac:dyDescent="0.35">
      <c r="A3467" t="s">
        <v>104</v>
      </c>
      <c r="B3467" s="16">
        <v>45698</v>
      </c>
      <c r="C3467">
        <v>7.3</v>
      </c>
      <c r="D3467">
        <v>4</v>
      </c>
      <c r="E3467" t="s">
        <v>6132</v>
      </c>
    </row>
    <row r="3468" spans="1:5" x14ac:dyDescent="0.35">
      <c r="A3468" t="s">
        <v>104</v>
      </c>
      <c r="B3468" s="16">
        <v>45699</v>
      </c>
      <c r="C3468">
        <v>7.1</v>
      </c>
      <c r="D3468">
        <v>0</v>
      </c>
      <c r="E3468" t="s">
        <v>6134</v>
      </c>
    </row>
    <row r="3469" spans="1:5" x14ac:dyDescent="0.35">
      <c r="A3469" t="s">
        <v>104</v>
      </c>
      <c r="B3469" s="16">
        <v>45702</v>
      </c>
      <c r="C3469">
        <v>8.4</v>
      </c>
      <c r="D3469">
        <v>1</v>
      </c>
      <c r="E3469" t="s">
        <v>6132</v>
      </c>
    </row>
    <row r="3470" spans="1:5" x14ac:dyDescent="0.35">
      <c r="A3470" t="s">
        <v>104</v>
      </c>
      <c r="B3470" s="16">
        <v>45705</v>
      </c>
      <c r="C3470">
        <v>7.5</v>
      </c>
      <c r="D3470">
        <v>0</v>
      </c>
      <c r="E3470" t="s">
        <v>6132</v>
      </c>
    </row>
    <row r="3471" spans="1:5" x14ac:dyDescent="0.35">
      <c r="A3471" t="s">
        <v>104</v>
      </c>
      <c r="B3471" s="16">
        <v>45706</v>
      </c>
      <c r="C3471">
        <v>6.6</v>
      </c>
      <c r="D3471">
        <v>1</v>
      </c>
      <c r="E3471" t="s">
        <v>6132</v>
      </c>
    </row>
    <row r="3472" spans="1:5" x14ac:dyDescent="0.35">
      <c r="A3472" t="s">
        <v>104</v>
      </c>
      <c r="B3472" s="16">
        <v>45714</v>
      </c>
      <c r="C3472">
        <v>5.2</v>
      </c>
      <c r="D3472">
        <v>1</v>
      </c>
      <c r="E3472" t="s">
        <v>6132</v>
      </c>
    </row>
    <row r="3473" spans="1:5" x14ac:dyDescent="0.35">
      <c r="A3473" t="s">
        <v>104</v>
      </c>
      <c r="B3473" s="16">
        <v>45716</v>
      </c>
      <c r="C3473">
        <v>6.4</v>
      </c>
      <c r="D3473">
        <v>2</v>
      </c>
      <c r="E3473" t="s">
        <v>6132</v>
      </c>
    </row>
    <row r="3474" spans="1:5" x14ac:dyDescent="0.35">
      <c r="A3474" t="s">
        <v>104</v>
      </c>
      <c r="B3474" s="16">
        <v>45730</v>
      </c>
      <c r="C3474">
        <v>4.3</v>
      </c>
      <c r="D3474">
        <v>0</v>
      </c>
      <c r="E3474" t="s">
        <v>6134</v>
      </c>
    </row>
    <row r="3475" spans="1:5" x14ac:dyDescent="0.35">
      <c r="A3475" t="s">
        <v>104</v>
      </c>
      <c r="B3475" s="16">
        <v>45733</v>
      </c>
      <c r="C3475">
        <v>7.2</v>
      </c>
      <c r="D3475">
        <v>1</v>
      </c>
      <c r="E3475" t="s">
        <v>6132</v>
      </c>
    </row>
    <row r="3476" spans="1:5" x14ac:dyDescent="0.35">
      <c r="A3476" t="s">
        <v>104</v>
      </c>
      <c r="B3476" s="16">
        <v>45735</v>
      </c>
      <c r="C3476">
        <v>4.4000000000000004</v>
      </c>
      <c r="D3476">
        <v>3</v>
      </c>
      <c r="E3476" t="s">
        <v>6132</v>
      </c>
    </row>
    <row r="3477" spans="1:5" x14ac:dyDescent="0.35">
      <c r="A3477" t="s">
        <v>104</v>
      </c>
      <c r="B3477" s="16">
        <v>45736</v>
      </c>
      <c r="C3477">
        <v>6.5</v>
      </c>
      <c r="D3477">
        <v>0</v>
      </c>
      <c r="E3477" t="s">
        <v>6132</v>
      </c>
    </row>
    <row r="3478" spans="1:5" x14ac:dyDescent="0.35">
      <c r="A3478" t="s">
        <v>104</v>
      </c>
      <c r="B3478" s="16">
        <v>45740</v>
      </c>
      <c r="C3478">
        <v>7.3</v>
      </c>
      <c r="D3478">
        <v>0</v>
      </c>
      <c r="E3478" t="s">
        <v>6132</v>
      </c>
    </row>
    <row r="3479" spans="1:5" x14ac:dyDescent="0.35">
      <c r="A3479" t="s">
        <v>104</v>
      </c>
      <c r="B3479" s="16">
        <v>45743</v>
      </c>
      <c r="C3479">
        <v>5.6</v>
      </c>
      <c r="D3479">
        <v>0</v>
      </c>
      <c r="E3479" t="s">
        <v>6132</v>
      </c>
    </row>
    <row r="3480" spans="1:5" x14ac:dyDescent="0.35">
      <c r="A3480" t="s">
        <v>104</v>
      </c>
      <c r="B3480" s="16">
        <v>45747</v>
      </c>
      <c r="C3480">
        <v>6.4</v>
      </c>
      <c r="D3480">
        <v>1</v>
      </c>
      <c r="E3480" t="s">
        <v>6132</v>
      </c>
    </row>
    <row r="3481" spans="1:5" x14ac:dyDescent="0.35">
      <c r="A3481" t="s">
        <v>104</v>
      </c>
      <c r="B3481" s="16">
        <v>45751</v>
      </c>
      <c r="C3481">
        <v>8.3000000000000007</v>
      </c>
      <c r="D3481">
        <v>0</v>
      </c>
      <c r="E3481" t="s">
        <v>6132</v>
      </c>
    </row>
    <row r="3482" spans="1:5" x14ac:dyDescent="0.35">
      <c r="A3482" t="s">
        <v>104</v>
      </c>
      <c r="B3482" s="16">
        <v>45754</v>
      </c>
      <c r="C3482">
        <v>7.1</v>
      </c>
      <c r="D3482">
        <v>5</v>
      </c>
      <c r="E3482" t="s">
        <v>6132</v>
      </c>
    </row>
    <row r="3483" spans="1:5" x14ac:dyDescent="0.35">
      <c r="A3483" t="s">
        <v>104</v>
      </c>
      <c r="B3483" s="16">
        <v>45755</v>
      </c>
      <c r="C3483">
        <v>6.8</v>
      </c>
      <c r="D3483">
        <v>5</v>
      </c>
      <c r="E3483" t="s">
        <v>6132</v>
      </c>
    </row>
    <row r="3484" spans="1:5" x14ac:dyDescent="0.35">
      <c r="A3484" t="s">
        <v>104</v>
      </c>
      <c r="B3484" s="16">
        <v>45756</v>
      </c>
      <c r="C3484">
        <v>4.2</v>
      </c>
      <c r="D3484">
        <v>2</v>
      </c>
      <c r="E3484" t="s">
        <v>6132</v>
      </c>
    </row>
    <row r="3485" spans="1:5" x14ac:dyDescent="0.35">
      <c r="A3485" t="s">
        <v>104</v>
      </c>
      <c r="B3485" s="16">
        <v>45757</v>
      </c>
      <c r="C3485">
        <v>5</v>
      </c>
      <c r="D3485">
        <v>1</v>
      </c>
      <c r="E3485" t="s">
        <v>6132</v>
      </c>
    </row>
    <row r="3486" spans="1:5" x14ac:dyDescent="0.35">
      <c r="A3486" t="s">
        <v>104</v>
      </c>
      <c r="B3486" s="16">
        <v>45761</v>
      </c>
      <c r="C3486">
        <v>5.8</v>
      </c>
      <c r="D3486">
        <v>0</v>
      </c>
      <c r="E3486" t="s">
        <v>6132</v>
      </c>
    </row>
    <row r="3487" spans="1:5" x14ac:dyDescent="0.35">
      <c r="A3487" t="s">
        <v>104</v>
      </c>
      <c r="B3487" s="16">
        <v>45762</v>
      </c>
      <c r="D3487">
        <v>0</v>
      </c>
      <c r="E3487" t="s">
        <v>6132</v>
      </c>
    </row>
    <row r="3488" spans="1:5" x14ac:dyDescent="0.35">
      <c r="A3488" t="s">
        <v>104</v>
      </c>
      <c r="B3488" s="16">
        <v>45763</v>
      </c>
      <c r="C3488">
        <v>8.6</v>
      </c>
      <c r="D3488">
        <v>2</v>
      </c>
      <c r="E3488" t="s">
        <v>6132</v>
      </c>
    </row>
    <row r="3489" spans="1:5" x14ac:dyDescent="0.35">
      <c r="A3489" t="s">
        <v>104</v>
      </c>
      <c r="B3489" s="16">
        <v>45764</v>
      </c>
      <c r="C3489">
        <v>7.1</v>
      </c>
      <c r="D3489">
        <v>1</v>
      </c>
      <c r="E3489" t="s">
        <v>6132</v>
      </c>
    </row>
    <row r="3490" spans="1:5" x14ac:dyDescent="0.35">
      <c r="A3490" t="s">
        <v>104</v>
      </c>
      <c r="B3490" s="16">
        <v>45765</v>
      </c>
      <c r="C3490">
        <v>5.3</v>
      </c>
      <c r="D3490">
        <v>0</v>
      </c>
      <c r="E3490" t="s">
        <v>6132</v>
      </c>
    </row>
    <row r="3491" spans="1:5" x14ac:dyDescent="0.35">
      <c r="A3491" t="s">
        <v>104</v>
      </c>
      <c r="B3491" s="16">
        <v>45770</v>
      </c>
      <c r="C3491">
        <v>7.2</v>
      </c>
      <c r="D3491">
        <v>0</v>
      </c>
      <c r="E3491" t="s">
        <v>6132</v>
      </c>
    </row>
    <row r="3492" spans="1:5" x14ac:dyDescent="0.35">
      <c r="A3492" t="s">
        <v>104</v>
      </c>
      <c r="B3492" s="16">
        <v>45771</v>
      </c>
      <c r="D3492">
        <v>2</v>
      </c>
      <c r="E3492" t="s">
        <v>6132</v>
      </c>
    </row>
    <row r="3493" spans="1:5" x14ac:dyDescent="0.35">
      <c r="A3493" t="s">
        <v>104</v>
      </c>
      <c r="B3493" s="16">
        <v>45772</v>
      </c>
      <c r="C3493">
        <v>7.7</v>
      </c>
      <c r="D3493">
        <v>1</v>
      </c>
      <c r="E3493" t="s">
        <v>6132</v>
      </c>
    </row>
    <row r="3494" spans="1:5" x14ac:dyDescent="0.35">
      <c r="A3494" t="s">
        <v>104</v>
      </c>
      <c r="B3494" s="16">
        <v>45776</v>
      </c>
      <c r="C3494">
        <v>5.5</v>
      </c>
      <c r="D3494">
        <v>0</v>
      </c>
      <c r="E3494" t="s">
        <v>6133</v>
      </c>
    </row>
    <row r="3495" spans="1:5" x14ac:dyDescent="0.35">
      <c r="A3495" t="s">
        <v>104</v>
      </c>
      <c r="B3495" s="16">
        <v>45779</v>
      </c>
      <c r="C3495">
        <v>4.9000000000000004</v>
      </c>
      <c r="D3495">
        <v>3</v>
      </c>
      <c r="E3495" t="s">
        <v>6132</v>
      </c>
    </row>
    <row r="3496" spans="1:5" x14ac:dyDescent="0.35">
      <c r="A3496" t="s">
        <v>104</v>
      </c>
      <c r="B3496" s="16">
        <v>45782</v>
      </c>
      <c r="C3496">
        <v>6.3</v>
      </c>
      <c r="D3496">
        <v>4</v>
      </c>
      <c r="E3496" t="s">
        <v>6132</v>
      </c>
    </row>
    <row r="3497" spans="1:5" x14ac:dyDescent="0.35">
      <c r="A3497" t="s">
        <v>104</v>
      </c>
      <c r="B3497" s="16">
        <v>45785</v>
      </c>
      <c r="C3497">
        <v>5</v>
      </c>
      <c r="D3497">
        <v>0</v>
      </c>
      <c r="E3497" t="s">
        <v>6132</v>
      </c>
    </row>
    <row r="3498" spans="1:5" x14ac:dyDescent="0.35">
      <c r="A3498" t="s">
        <v>104</v>
      </c>
      <c r="B3498" s="16">
        <v>45793</v>
      </c>
      <c r="C3498">
        <v>6.8</v>
      </c>
      <c r="D3498">
        <v>0</v>
      </c>
      <c r="E3498" t="s">
        <v>6132</v>
      </c>
    </row>
    <row r="3499" spans="1:5" x14ac:dyDescent="0.35">
      <c r="A3499" t="s">
        <v>104</v>
      </c>
      <c r="B3499" s="16">
        <v>45796</v>
      </c>
      <c r="C3499">
        <v>8.8000000000000007</v>
      </c>
      <c r="D3499">
        <v>4</v>
      </c>
      <c r="E3499" t="s">
        <v>6132</v>
      </c>
    </row>
    <row r="3500" spans="1:5" x14ac:dyDescent="0.35">
      <c r="A3500" t="s">
        <v>104</v>
      </c>
      <c r="B3500" s="16">
        <v>45797</v>
      </c>
      <c r="C3500">
        <v>6.8</v>
      </c>
      <c r="D3500">
        <v>1</v>
      </c>
      <c r="E3500" t="s">
        <v>6132</v>
      </c>
    </row>
    <row r="3501" spans="1:5" x14ac:dyDescent="0.35">
      <c r="A3501" t="s">
        <v>104</v>
      </c>
      <c r="B3501" s="16">
        <v>45804</v>
      </c>
      <c r="C3501">
        <v>4.0999999999999996</v>
      </c>
      <c r="D3501">
        <v>1</v>
      </c>
      <c r="E3501" t="s">
        <v>6132</v>
      </c>
    </row>
    <row r="3502" spans="1:5" x14ac:dyDescent="0.35">
      <c r="A3502" t="s">
        <v>104</v>
      </c>
      <c r="B3502" s="16">
        <v>45806</v>
      </c>
      <c r="C3502">
        <v>8.5</v>
      </c>
      <c r="D3502">
        <v>0</v>
      </c>
      <c r="E3502" t="s">
        <v>6132</v>
      </c>
    </row>
    <row r="3503" spans="1:5" x14ac:dyDescent="0.35">
      <c r="A3503" t="s">
        <v>104</v>
      </c>
      <c r="B3503" s="16">
        <v>45812</v>
      </c>
      <c r="C3503">
        <v>5.3</v>
      </c>
      <c r="D3503">
        <v>0</v>
      </c>
      <c r="E3503" t="s">
        <v>6133</v>
      </c>
    </row>
    <row r="3504" spans="1:5" x14ac:dyDescent="0.35">
      <c r="A3504" t="s">
        <v>104</v>
      </c>
      <c r="B3504" s="16">
        <v>45821</v>
      </c>
      <c r="C3504">
        <v>6.7</v>
      </c>
      <c r="D3504">
        <v>2</v>
      </c>
      <c r="E3504" t="s">
        <v>6132</v>
      </c>
    </row>
    <row r="3505" spans="1:5" x14ac:dyDescent="0.35">
      <c r="A3505" t="s">
        <v>104</v>
      </c>
      <c r="B3505" s="16">
        <v>45828</v>
      </c>
      <c r="C3505">
        <v>4.9000000000000004</v>
      </c>
      <c r="D3505">
        <v>3</v>
      </c>
      <c r="E3505" t="s">
        <v>6132</v>
      </c>
    </row>
    <row r="3506" spans="1:5" x14ac:dyDescent="0.35">
      <c r="A3506" t="s">
        <v>104</v>
      </c>
      <c r="B3506" s="16">
        <v>45832</v>
      </c>
      <c r="C3506">
        <v>4</v>
      </c>
      <c r="D3506">
        <v>1</v>
      </c>
      <c r="E3506" t="s">
        <v>6132</v>
      </c>
    </row>
    <row r="3507" spans="1:5" x14ac:dyDescent="0.35">
      <c r="A3507" t="s">
        <v>104</v>
      </c>
      <c r="B3507" s="16">
        <v>45833</v>
      </c>
      <c r="C3507">
        <v>8</v>
      </c>
      <c r="D3507">
        <v>0</v>
      </c>
      <c r="E3507" t="s">
        <v>6132</v>
      </c>
    </row>
    <row r="3508" spans="1:5" x14ac:dyDescent="0.35">
      <c r="A3508" t="s">
        <v>104</v>
      </c>
      <c r="B3508" s="16">
        <v>45834</v>
      </c>
      <c r="C3508">
        <v>7.7</v>
      </c>
      <c r="D3508">
        <v>3</v>
      </c>
      <c r="E3508" t="s">
        <v>6132</v>
      </c>
    </row>
    <row r="3509" spans="1:5" x14ac:dyDescent="0.35">
      <c r="A3509" t="s">
        <v>104</v>
      </c>
      <c r="B3509" s="16">
        <v>45835</v>
      </c>
      <c r="C3509">
        <v>5</v>
      </c>
      <c r="D3509">
        <v>1</v>
      </c>
      <c r="E3509" t="s">
        <v>6132</v>
      </c>
    </row>
    <row r="3510" spans="1:5" x14ac:dyDescent="0.35">
      <c r="A3510" t="s">
        <v>104</v>
      </c>
      <c r="B3510" s="16">
        <v>45840</v>
      </c>
      <c r="C3510">
        <v>9</v>
      </c>
      <c r="D3510">
        <v>1</v>
      </c>
      <c r="E3510" t="s">
        <v>6132</v>
      </c>
    </row>
    <row r="3511" spans="1:5" x14ac:dyDescent="0.35">
      <c r="A3511" t="s">
        <v>104</v>
      </c>
      <c r="B3511" s="16">
        <v>45841</v>
      </c>
      <c r="C3511">
        <v>6</v>
      </c>
      <c r="D3511">
        <v>0</v>
      </c>
      <c r="E3511" t="s">
        <v>6134</v>
      </c>
    </row>
    <row r="3512" spans="1:5" x14ac:dyDescent="0.35">
      <c r="A3512" t="s">
        <v>104</v>
      </c>
      <c r="B3512" s="16">
        <v>45842</v>
      </c>
      <c r="C3512">
        <v>4.2</v>
      </c>
      <c r="D3512">
        <v>1</v>
      </c>
      <c r="E3512" t="s">
        <v>6132</v>
      </c>
    </row>
    <row r="3513" spans="1:5" x14ac:dyDescent="0.35">
      <c r="A3513" t="s">
        <v>104</v>
      </c>
      <c r="B3513" s="16">
        <v>45845</v>
      </c>
      <c r="C3513">
        <v>6.5</v>
      </c>
      <c r="D3513">
        <v>1</v>
      </c>
      <c r="E3513" t="s">
        <v>6132</v>
      </c>
    </row>
    <row r="3514" spans="1:5" x14ac:dyDescent="0.35">
      <c r="A3514" t="s">
        <v>104</v>
      </c>
      <c r="B3514" s="16">
        <v>45848</v>
      </c>
      <c r="C3514">
        <v>6.4</v>
      </c>
      <c r="D3514">
        <v>0</v>
      </c>
      <c r="E3514" t="s">
        <v>6133</v>
      </c>
    </row>
    <row r="3515" spans="1:5" x14ac:dyDescent="0.35">
      <c r="A3515" t="s">
        <v>104</v>
      </c>
      <c r="B3515" s="16">
        <v>45854</v>
      </c>
      <c r="C3515">
        <v>6.5</v>
      </c>
      <c r="D3515">
        <v>1</v>
      </c>
      <c r="E3515" t="s">
        <v>6132</v>
      </c>
    </row>
    <row r="3516" spans="1:5" x14ac:dyDescent="0.35">
      <c r="A3516" t="s">
        <v>104</v>
      </c>
      <c r="B3516" s="16">
        <v>45855</v>
      </c>
      <c r="C3516">
        <v>5.4</v>
      </c>
      <c r="D3516">
        <v>1</v>
      </c>
      <c r="E3516" t="s">
        <v>6132</v>
      </c>
    </row>
    <row r="3517" spans="1:5" x14ac:dyDescent="0.35">
      <c r="A3517" t="s">
        <v>104</v>
      </c>
      <c r="B3517" s="16">
        <v>45856</v>
      </c>
      <c r="C3517">
        <v>6.3</v>
      </c>
      <c r="D3517">
        <v>0</v>
      </c>
      <c r="E3517" t="s">
        <v>6133</v>
      </c>
    </row>
    <row r="3518" spans="1:5" x14ac:dyDescent="0.35">
      <c r="A3518" t="s">
        <v>104</v>
      </c>
      <c r="B3518" s="16">
        <v>45860</v>
      </c>
      <c r="C3518">
        <v>7.7</v>
      </c>
      <c r="D3518">
        <v>0</v>
      </c>
      <c r="E3518" t="s">
        <v>6132</v>
      </c>
    </row>
    <row r="3519" spans="1:5" x14ac:dyDescent="0.35">
      <c r="A3519" t="s">
        <v>104</v>
      </c>
      <c r="B3519" s="16">
        <v>45861</v>
      </c>
      <c r="D3519">
        <v>1</v>
      </c>
      <c r="E3519" t="s">
        <v>6132</v>
      </c>
    </row>
    <row r="3520" spans="1:5" x14ac:dyDescent="0.35">
      <c r="A3520" t="s">
        <v>104</v>
      </c>
      <c r="B3520" s="16">
        <v>45862</v>
      </c>
      <c r="C3520">
        <v>5.9</v>
      </c>
      <c r="D3520">
        <v>3</v>
      </c>
      <c r="E3520" t="s">
        <v>6132</v>
      </c>
    </row>
    <row r="3521" spans="1:5" x14ac:dyDescent="0.35">
      <c r="A3521" t="s">
        <v>104</v>
      </c>
      <c r="B3521" s="16">
        <v>45863</v>
      </c>
      <c r="C3521">
        <v>6</v>
      </c>
      <c r="D3521">
        <v>2</v>
      </c>
      <c r="E3521" t="s">
        <v>6132</v>
      </c>
    </row>
    <row r="3522" spans="1:5" x14ac:dyDescent="0.35">
      <c r="A3522" t="s">
        <v>104</v>
      </c>
      <c r="B3522" s="16">
        <v>45866</v>
      </c>
      <c r="C3522">
        <v>7.2</v>
      </c>
      <c r="D3522">
        <v>2</v>
      </c>
      <c r="E3522" t="s">
        <v>6132</v>
      </c>
    </row>
    <row r="3523" spans="1:5" x14ac:dyDescent="0.35">
      <c r="A3523" t="s">
        <v>104</v>
      </c>
      <c r="B3523" s="16">
        <v>45867</v>
      </c>
      <c r="C3523">
        <v>4.5999999999999996</v>
      </c>
      <c r="D3523">
        <v>0</v>
      </c>
      <c r="E3523" t="s">
        <v>6132</v>
      </c>
    </row>
    <row r="3524" spans="1:5" x14ac:dyDescent="0.35">
      <c r="A3524" t="s">
        <v>104</v>
      </c>
      <c r="B3524" s="16">
        <v>45869</v>
      </c>
      <c r="C3524">
        <v>7.5</v>
      </c>
      <c r="D3524">
        <v>1</v>
      </c>
      <c r="E3524" t="s">
        <v>6132</v>
      </c>
    </row>
    <row r="3525" spans="1:5" x14ac:dyDescent="0.35">
      <c r="A3525" t="s">
        <v>104</v>
      </c>
      <c r="B3525" s="16">
        <v>45870</v>
      </c>
      <c r="C3525">
        <v>8.1999999999999993</v>
      </c>
      <c r="D3525">
        <v>1</v>
      </c>
      <c r="E3525" t="s">
        <v>6132</v>
      </c>
    </row>
    <row r="3526" spans="1:5" x14ac:dyDescent="0.35">
      <c r="A3526" t="s">
        <v>104</v>
      </c>
      <c r="B3526" s="16">
        <v>45874</v>
      </c>
      <c r="C3526">
        <v>7.3</v>
      </c>
      <c r="D3526">
        <v>3</v>
      </c>
      <c r="E3526" t="s">
        <v>6132</v>
      </c>
    </row>
    <row r="3527" spans="1:5" x14ac:dyDescent="0.35">
      <c r="A3527" t="s">
        <v>104</v>
      </c>
      <c r="B3527" s="16">
        <v>45876</v>
      </c>
      <c r="C3527">
        <v>5.0999999999999996</v>
      </c>
      <c r="D3527">
        <v>0</v>
      </c>
      <c r="E3527" t="s">
        <v>6132</v>
      </c>
    </row>
    <row r="3528" spans="1:5" x14ac:dyDescent="0.35">
      <c r="A3528" t="s">
        <v>104</v>
      </c>
      <c r="B3528" s="16">
        <v>45877</v>
      </c>
      <c r="D3528">
        <v>1</v>
      </c>
      <c r="E3528" t="s">
        <v>6132</v>
      </c>
    </row>
    <row r="3529" spans="1:5" x14ac:dyDescent="0.35">
      <c r="A3529" t="s">
        <v>104</v>
      </c>
      <c r="B3529" s="16">
        <v>45880</v>
      </c>
      <c r="C3529">
        <v>7</v>
      </c>
      <c r="D3529">
        <v>2</v>
      </c>
      <c r="E3529" t="s">
        <v>6132</v>
      </c>
    </row>
    <row r="3530" spans="1:5" x14ac:dyDescent="0.35">
      <c r="A3530" t="s">
        <v>104</v>
      </c>
      <c r="B3530" s="16">
        <v>45881</v>
      </c>
      <c r="C3530">
        <v>7.1</v>
      </c>
      <c r="D3530">
        <v>4</v>
      </c>
      <c r="E3530" t="s">
        <v>6132</v>
      </c>
    </row>
    <row r="3531" spans="1:5" x14ac:dyDescent="0.35">
      <c r="A3531" t="s">
        <v>104</v>
      </c>
      <c r="B3531" s="16">
        <v>45887</v>
      </c>
      <c r="C3531">
        <v>4.0999999999999996</v>
      </c>
      <c r="D3531">
        <v>0</v>
      </c>
      <c r="E3531" t="s">
        <v>6132</v>
      </c>
    </row>
    <row r="3532" spans="1:5" x14ac:dyDescent="0.35">
      <c r="A3532" t="s">
        <v>104</v>
      </c>
      <c r="B3532" s="16">
        <v>45888</v>
      </c>
      <c r="C3532">
        <v>8.5</v>
      </c>
      <c r="D3532">
        <v>0</v>
      </c>
      <c r="E3532" t="s">
        <v>6132</v>
      </c>
    </row>
    <row r="3533" spans="1:5" x14ac:dyDescent="0.35">
      <c r="A3533" t="s">
        <v>104</v>
      </c>
      <c r="B3533" s="16">
        <v>45889</v>
      </c>
      <c r="C3533">
        <v>5.6</v>
      </c>
      <c r="D3533">
        <v>2</v>
      </c>
      <c r="E3533" t="s">
        <v>6132</v>
      </c>
    </row>
    <row r="3534" spans="1:5" x14ac:dyDescent="0.35">
      <c r="A3534" t="s">
        <v>104</v>
      </c>
      <c r="B3534" s="16">
        <v>45890</v>
      </c>
      <c r="D3534">
        <v>1</v>
      </c>
      <c r="E3534" t="s">
        <v>6132</v>
      </c>
    </row>
    <row r="3535" spans="1:5" x14ac:dyDescent="0.35">
      <c r="A3535" t="s">
        <v>104</v>
      </c>
      <c r="B3535" s="16">
        <v>45894</v>
      </c>
      <c r="C3535">
        <v>8.5</v>
      </c>
      <c r="D3535">
        <v>0</v>
      </c>
      <c r="E3535" t="s">
        <v>6132</v>
      </c>
    </row>
    <row r="3536" spans="1:5" x14ac:dyDescent="0.35">
      <c r="A3536" t="s">
        <v>104</v>
      </c>
      <c r="B3536" s="16">
        <v>45896</v>
      </c>
      <c r="C3536">
        <v>6</v>
      </c>
      <c r="D3536">
        <v>0</v>
      </c>
      <c r="E3536" t="s">
        <v>6134</v>
      </c>
    </row>
    <row r="3537" spans="1:5" x14ac:dyDescent="0.35">
      <c r="A3537" t="s">
        <v>104</v>
      </c>
      <c r="B3537" s="16">
        <v>45898</v>
      </c>
      <c r="C3537">
        <v>4.8</v>
      </c>
      <c r="D3537">
        <v>1</v>
      </c>
      <c r="E3537" t="s">
        <v>6132</v>
      </c>
    </row>
    <row r="3538" spans="1:5" x14ac:dyDescent="0.35">
      <c r="A3538" t="s">
        <v>104</v>
      </c>
      <c r="B3538" s="16">
        <v>45901</v>
      </c>
      <c r="C3538">
        <v>8.6999999999999993</v>
      </c>
      <c r="D3538">
        <v>1</v>
      </c>
      <c r="E3538" t="s">
        <v>6132</v>
      </c>
    </row>
    <row r="3539" spans="1:5" x14ac:dyDescent="0.35">
      <c r="A3539" t="s">
        <v>104</v>
      </c>
      <c r="B3539" s="16">
        <v>45908</v>
      </c>
      <c r="C3539">
        <v>7</v>
      </c>
      <c r="D3539">
        <v>0</v>
      </c>
      <c r="E3539" t="s">
        <v>6133</v>
      </c>
    </row>
    <row r="3540" spans="1:5" x14ac:dyDescent="0.35">
      <c r="A3540" t="s">
        <v>104</v>
      </c>
      <c r="B3540" s="16">
        <v>45909</v>
      </c>
      <c r="C3540">
        <v>8.6999999999999993</v>
      </c>
      <c r="D3540">
        <v>0</v>
      </c>
      <c r="E3540" t="s">
        <v>6132</v>
      </c>
    </row>
    <row r="3541" spans="1:5" x14ac:dyDescent="0.35">
      <c r="A3541" t="s">
        <v>104</v>
      </c>
      <c r="B3541" s="16">
        <v>45910</v>
      </c>
      <c r="C3541">
        <v>6.3</v>
      </c>
      <c r="D3541">
        <v>1</v>
      </c>
      <c r="E3541" t="s">
        <v>6132</v>
      </c>
    </row>
    <row r="3542" spans="1:5" x14ac:dyDescent="0.35">
      <c r="A3542" t="s">
        <v>104</v>
      </c>
      <c r="B3542" s="16">
        <v>45911</v>
      </c>
      <c r="C3542">
        <v>7.2</v>
      </c>
      <c r="D3542">
        <v>3</v>
      </c>
      <c r="E3542" t="s">
        <v>6132</v>
      </c>
    </row>
    <row r="3543" spans="1:5" x14ac:dyDescent="0.35">
      <c r="A3543" t="s">
        <v>104</v>
      </c>
      <c r="B3543" s="16">
        <v>45912</v>
      </c>
      <c r="C3543">
        <v>5.8</v>
      </c>
      <c r="D3543">
        <v>1</v>
      </c>
      <c r="E3543" t="s">
        <v>6132</v>
      </c>
    </row>
    <row r="3544" spans="1:5" x14ac:dyDescent="0.35">
      <c r="A3544" t="s">
        <v>104</v>
      </c>
      <c r="B3544" s="16">
        <v>45916</v>
      </c>
      <c r="C3544">
        <v>8</v>
      </c>
      <c r="D3544">
        <v>2</v>
      </c>
      <c r="E3544" t="s">
        <v>6132</v>
      </c>
    </row>
    <row r="3545" spans="1:5" x14ac:dyDescent="0.35">
      <c r="A3545" t="s">
        <v>104</v>
      </c>
      <c r="B3545" s="16">
        <v>45919</v>
      </c>
      <c r="C3545">
        <v>8.3000000000000007</v>
      </c>
      <c r="D3545">
        <v>0</v>
      </c>
      <c r="E3545" t="s">
        <v>6132</v>
      </c>
    </row>
    <row r="3546" spans="1:5" x14ac:dyDescent="0.35">
      <c r="A3546" t="s">
        <v>104</v>
      </c>
      <c r="B3546" s="16">
        <v>45922</v>
      </c>
      <c r="C3546">
        <v>5.6</v>
      </c>
      <c r="D3546">
        <v>1</v>
      </c>
      <c r="E3546" t="s">
        <v>6132</v>
      </c>
    </row>
    <row r="3547" spans="1:5" x14ac:dyDescent="0.35">
      <c r="A3547" t="s">
        <v>104</v>
      </c>
      <c r="B3547" s="16">
        <v>45923</v>
      </c>
      <c r="C3547">
        <v>6.6</v>
      </c>
      <c r="D3547">
        <v>0</v>
      </c>
      <c r="E3547" t="s">
        <v>6132</v>
      </c>
    </row>
    <row r="3548" spans="1:5" x14ac:dyDescent="0.35">
      <c r="A3548" t="s">
        <v>104</v>
      </c>
      <c r="B3548" s="16">
        <v>45925</v>
      </c>
      <c r="C3548">
        <v>8.4</v>
      </c>
      <c r="D3548">
        <v>0</v>
      </c>
      <c r="E3548" t="s">
        <v>6132</v>
      </c>
    </row>
    <row r="3549" spans="1:5" x14ac:dyDescent="0.35">
      <c r="A3549" t="s">
        <v>104</v>
      </c>
      <c r="B3549" s="16">
        <v>45926</v>
      </c>
      <c r="C3549">
        <v>5</v>
      </c>
      <c r="D3549">
        <v>1</v>
      </c>
      <c r="E3549" t="s">
        <v>6132</v>
      </c>
    </row>
    <row r="3550" spans="1:5" x14ac:dyDescent="0.35">
      <c r="A3550" t="s">
        <v>104</v>
      </c>
      <c r="B3550" s="16">
        <v>45930</v>
      </c>
      <c r="C3550">
        <v>4.0999999999999996</v>
      </c>
      <c r="D3550">
        <v>4</v>
      </c>
      <c r="E3550" t="s">
        <v>6132</v>
      </c>
    </row>
    <row r="3551" spans="1:5" x14ac:dyDescent="0.35">
      <c r="A3551" t="s">
        <v>104</v>
      </c>
      <c r="B3551" s="16">
        <v>45932</v>
      </c>
      <c r="C3551">
        <v>6.3</v>
      </c>
      <c r="D3551">
        <v>1</v>
      </c>
      <c r="E3551" t="s">
        <v>6132</v>
      </c>
    </row>
    <row r="3552" spans="1:5" x14ac:dyDescent="0.35">
      <c r="A3552" t="s">
        <v>104</v>
      </c>
      <c r="B3552" s="16">
        <v>45933</v>
      </c>
      <c r="C3552">
        <v>4.5</v>
      </c>
      <c r="D3552">
        <v>1</v>
      </c>
      <c r="E3552" t="s">
        <v>6132</v>
      </c>
    </row>
    <row r="3553" spans="1:5" x14ac:dyDescent="0.35">
      <c r="A3553" t="s">
        <v>104</v>
      </c>
      <c r="B3553" s="16">
        <v>45937</v>
      </c>
      <c r="C3553">
        <v>6.6</v>
      </c>
      <c r="D3553">
        <v>0</v>
      </c>
      <c r="E3553" t="s">
        <v>6132</v>
      </c>
    </row>
    <row r="3554" spans="1:5" x14ac:dyDescent="0.35">
      <c r="A3554" t="s">
        <v>104</v>
      </c>
      <c r="B3554" s="16">
        <v>45943</v>
      </c>
      <c r="C3554">
        <v>8.6999999999999993</v>
      </c>
      <c r="D3554">
        <v>0</v>
      </c>
      <c r="E3554" t="s">
        <v>6132</v>
      </c>
    </row>
    <row r="3555" spans="1:5" x14ac:dyDescent="0.35">
      <c r="A3555" t="s">
        <v>104</v>
      </c>
      <c r="B3555" s="16">
        <v>45945</v>
      </c>
      <c r="C3555">
        <v>4.3</v>
      </c>
      <c r="D3555">
        <v>2</v>
      </c>
      <c r="E3555" t="s">
        <v>6132</v>
      </c>
    </row>
    <row r="3556" spans="1:5" x14ac:dyDescent="0.35">
      <c r="A3556" t="s">
        <v>104</v>
      </c>
      <c r="B3556" s="16">
        <v>45951</v>
      </c>
      <c r="C3556">
        <v>7.9</v>
      </c>
      <c r="D3556">
        <v>2</v>
      </c>
      <c r="E3556" t="s">
        <v>6132</v>
      </c>
    </row>
    <row r="3557" spans="1:5" x14ac:dyDescent="0.35">
      <c r="A3557" t="s">
        <v>104</v>
      </c>
      <c r="B3557" s="16">
        <v>45953</v>
      </c>
      <c r="C3557">
        <v>6.5</v>
      </c>
      <c r="D3557">
        <v>0</v>
      </c>
      <c r="E3557" t="s">
        <v>6134</v>
      </c>
    </row>
    <row r="3558" spans="1:5" x14ac:dyDescent="0.35">
      <c r="A3558" t="s">
        <v>104</v>
      </c>
      <c r="B3558" s="16">
        <v>45954</v>
      </c>
      <c r="C3558">
        <v>8.5</v>
      </c>
      <c r="D3558">
        <v>0</v>
      </c>
      <c r="E3558" t="s">
        <v>6132</v>
      </c>
    </row>
    <row r="3559" spans="1:5" x14ac:dyDescent="0.35">
      <c r="A3559" t="s">
        <v>104</v>
      </c>
      <c r="B3559" s="16">
        <v>45958</v>
      </c>
      <c r="C3559">
        <v>5</v>
      </c>
      <c r="D3559">
        <v>0</v>
      </c>
      <c r="E3559" t="s">
        <v>6132</v>
      </c>
    </row>
    <row r="3560" spans="1:5" x14ac:dyDescent="0.35">
      <c r="A3560" t="s">
        <v>104</v>
      </c>
      <c r="B3560" s="16">
        <v>45960</v>
      </c>
      <c r="C3560">
        <v>6.5</v>
      </c>
      <c r="D3560">
        <v>2</v>
      </c>
      <c r="E3560" t="s">
        <v>6132</v>
      </c>
    </row>
    <row r="3561" spans="1:5" x14ac:dyDescent="0.35">
      <c r="A3561" t="s">
        <v>104</v>
      </c>
      <c r="B3561" s="16">
        <v>45964</v>
      </c>
      <c r="C3561">
        <v>4.2</v>
      </c>
      <c r="D3561">
        <v>2</v>
      </c>
      <c r="E3561" t="s">
        <v>6132</v>
      </c>
    </row>
    <row r="3562" spans="1:5" x14ac:dyDescent="0.35">
      <c r="A3562" t="s">
        <v>104</v>
      </c>
      <c r="B3562" s="16">
        <v>45965</v>
      </c>
      <c r="C3562">
        <v>6.4</v>
      </c>
      <c r="D3562">
        <v>0</v>
      </c>
      <c r="E3562" t="s">
        <v>6132</v>
      </c>
    </row>
    <row r="3563" spans="1:5" x14ac:dyDescent="0.35">
      <c r="A3563" t="s">
        <v>104</v>
      </c>
      <c r="B3563" s="16">
        <v>45966</v>
      </c>
      <c r="C3563">
        <v>7.9</v>
      </c>
      <c r="D3563">
        <v>1</v>
      </c>
      <c r="E3563" t="s">
        <v>6132</v>
      </c>
    </row>
    <row r="3564" spans="1:5" x14ac:dyDescent="0.35">
      <c r="A3564" t="s">
        <v>104</v>
      </c>
      <c r="B3564" s="16">
        <v>45967</v>
      </c>
      <c r="C3564">
        <v>4.0999999999999996</v>
      </c>
      <c r="D3564">
        <v>1</v>
      </c>
      <c r="E3564" t="s">
        <v>6132</v>
      </c>
    </row>
    <row r="3565" spans="1:5" x14ac:dyDescent="0.35">
      <c r="A3565" t="s">
        <v>104</v>
      </c>
      <c r="B3565" s="16">
        <v>45971</v>
      </c>
      <c r="C3565">
        <v>4.5999999999999996</v>
      </c>
      <c r="D3565">
        <v>0</v>
      </c>
      <c r="E3565" t="s">
        <v>6132</v>
      </c>
    </row>
    <row r="3566" spans="1:5" x14ac:dyDescent="0.35">
      <c r="A3566" t="s">
        <v>104</v>
      </c>
      <c r="B3566" s="16">
        <v>45972</v>
      </c>
      <c r="C3566">
        <v>7.6</v>
      </c>
      <c r="D3566">
        <v>0</v>
      </c>
      <c r="E3566" t="s">
        <v>6132</v>
      </c>
    </row>
    <row r="3567" spans="1:5" x14ac:dyDescent="0.35">
      <c r="A3567" t="s">
        <v>104</v>
      </c>
      <c r="B3567" s="16">
        <v>45973</v>
      </c>
      <c r="C3567">
        <v>8.5</v>
      </c>
      <c r="D3567">
        <v>1</v>
      </c>
      <c r="E3567" t="s">
        <v>6132</v>
      </c>
    </row>
    <row r="3568" spans="1:5" x14ac:dyDescent="0.35">
      <c r="A3568" t="s">
        <v>104</v>
      </c>
      <c r="B3568" s="16">
        <v>45974</v>
      </c>
      <c r="C3568">
        <v>8.5</v>
      </c>
      <c r="D3568">
        <v>5</v>
      </c>
      <c r="E3568" t="s">
        <v>6132</v>
      </c>
    </row>
    <row r="3569" spans="1:5" x14ac:dyDescent="0.35">
      <c r="A3569" t="s">
        <v>104</v>
      </c>
      <c r="B3569" s="16">
        <v>45978</v>
      </c>
      <c r="C3569">
        <v>5.5</v>
      </c>
      <c r="D3569">
        <v>0</v>
      </c>
      <c r="E3569" t="s">
        <v>6132</v>
      </c>
    </row>
    <row r="3570" spans="1:5" x14ac:dyDescent="0.35">
      <c r="A3570" t="s">
        <v>104</v>
      </c>
      <c r="B3570" s="16">
        <v>45979</v>
      </c>
      <c r="C3570">
        <v>6.3</v>
      </c>
      <c r="D3570">
        <v>1</v>
      </c>
      <c r="E3570" t="s">
        <v>6132</v>
      </c>
    </row>
    <row r="3571" spans="1:5" x14ac:dyDescent="0.35">
      <c r="A3571" t="s">
        <v>104</v>
      </c>
      <c r="B3571" s="16">
        <v>45980</v>
      </c>
      <c r="C3571">
        <v>6.5</v>
      </c>
      <c r="D3571">
        <v>1</v>
      </c>
      <c r="E3571" t="s">
        <v>6132</v>
      </c>
    </row>
    <row r="3572" spans="1:5" x14ac:dyDescent="0.35">
      <c r="A3572" t="s">
        <v>104</v>
      </c>
      <c r="B3572" s="16">
        <v>45982</v>
      </c>
      <c r="C3572">
        <v>7.1</v>
      </c>
      <c r="D3572">
        <v>4</v>
      </c>
      <c r="E3572" t="s">
        <v>6132</v>
      </c>
    </row>
    <row r="3573" spans="1:5" x14ac:dyDescent="0.35">
      <c r="A3573" t="s">
        <v>104</v>
      </c>
      <c r="B3573" s="16">
        <v>45987</v>
      </c>
      <c r="C3573">
        <v>7.9</v>
      </c>
      <c r="D3573">
        <v>0</v>
      </c>
      <c r="E3573" t="s">
        <v>6132</v>
      </c>
    </row>
    <row r="3574" spans="1:5" x14ac:dyDescent="0.35">
      <c r="A3574" t="s">
        <v>104</v>
      </c>
      <c r="B3574" s="16">
        <v>45988</v>
      </c>
      <c r="C3574">
        <v>7</v>
      </c>
      <c r="D3574">
        <v>1</v>
      </c>
      <c r="E3574" t="s">
        <v>6132</v>
      </c>
    </row>
    <row r="3575" spans="1:5" x14ac:dyDescent="0.35">
      <c r="A3575" t="s">
        <v>104</v>
      </c>
      <c r="B3575" s="16">
        <v>45989</v>
      </c>
      <c r="C3575">
        <v>8</v>
      </c>
      <c r="D3575">
        <v>1</v>
      </c>
      <c r="E3575" t="s">
        <v>6132</v>
      </c>
    </row>
    <row r="3576" spans="1:5" x14ac:dyDescent="0.35">
      <c r="A3576" t="s">
        <v>104</v>
      </c>
      <c r="B3576" s="16">
        <v>45992</v>
      </c>
      <c r="C3576">
        <v>7.2</v>
      </c>
      <c r="D3576">
        <v>3</v>
      </c>
      <c r="E3576" t="s">
        <v>6132</v>
      </c>
    </row>
    <row r="3577" spans="1:5" x14ac:dyDescent="0.35">
      <c r="A3577" t="s">
        <v>104</v>
      </c>
      <c r="B3577" s="16">
        <v>45994</v>
      </c>
      <c r="D3577">
        <v>0</v>
      </c>
      <c r="E3577" t="s">
        <v>6132</v>
      </c>
    </row>
    <row r="3578" spans="1:5" x14ac:dyDescent="0.35">
      <c r="A3578" t="s">
        <v>104</v>
      </c>
      <c r="B3578" s="16">
        <v>45995</v>
      </c>
      <c r="C3578">
        <v>4.5</v>
      </c>
      <c r="D3578">
        <v>0</v>
      </c>
      <c r="E3578" t="s">
        <v>6132</v>
      </c>
    </row>
    <row r="3579" spans="1:5" x14ac:dyDescent="0.35">
      <c r="A3579" t="s">
        <v>104</v>
      </c>
      <c r="B3579" s="16">
        <v>45999</v>
      </c>
      <c r="C3579">
        <v>6.5</v>
      </c>
      <c r="D3579">
        <v>1</v>
      </c>
      <c r="E3579" t="s">
        <v>6132</v>
      </c>
    </row>
    <row r="3580" spans="1:5" x14ac:dyDescent="0.35">
      <c r="A3580" t="s">
        <v>104</v>
      </c>
      <c r="B3580" s="16">
        <v>46006</v>
      </c>
      <c r="C3580">
        <v>5.4</v>
      </c>
      <c r="D3580">
        <v>1</v>
      </c>
      <c r="E3580" t="s">
        <v>6132</v>
      </c>
    </row>
    <row r="3581" spans="1:5" x14ac:dyDescent="0.35">
      <c r="A3581" t="s">
        <v>104</v>
      </c>
      <c r="B3581" s="16">
        <v>46007</v>
      </c>
      <c r="C3581">
        <v>4.8</v>
      </c>
      <c r="D3581">
        <v>1</v>
      </c>
      <c r="E3581" t="s">
        <v>6132</v>
      </c>
    </row>
    <row r="3582" spans="1:5" x14ac:dyDescent="0.35">
      <c r="A3582" t="s">
        <v>104</v>
      </c>
      <c r="B3582" s="16">
        <v>46009</v>
      </c>
      <c r="C3582">
        <v>5.0999999999999996</v>
      </c>
      <c r="D3582">
        <v>0</v>
      </c>
      <c r="E3582" t="s">
        <v>6132</v>
      </c>
    </row>
    <row r="3583" spans="1:5" x14ac:dyDescent="0.35">
      <c r="A3583" t="s">
        <v>104</v>
      </c>
      <c r="B3583" s="16">
        <v>46014</v>
      </c>
      <c r="C3583">
        <v>8.6</v>
      </c>
      <c r="D3583">
        <v>0</v>
      </c>
      <c r="E3583" t="s">
        <v>6132</v>
      </c>
    </row>
    <row r="3584" spans="1:5" x14ac:dyDescent="0.35">
      <c r="A3584" t="s">
        <v>104</v>
      </c>
      <c r="B3584" s="16">
        <v>46017</v>
      </c>
      <c r="C3584">
        <v>6</v>
      </c>
      <c r="D3584">
        <v>4</v>
      </c>
      <c r="E3584" t="s">
        <v>6132</v>
      </c>
    </row>
    <row r="3585" spans="1:5" x14ac:dyDescent="0.35">
      <c r="A3585" t="s">
        <v>104</v>
      </c>
      <c r="B3585" s="16">
        <v>46020</v>
      </c>
      <c r="C3585">
        <v>4.5</v>
      </c>
      <c r="D3585">
        <v>1</v>
      </c>
      <c r="E3585" t="s">
        <v>6132</v>
      </c>
    </row>
    <row r="3586" spans="1:5" x14ac:dyDescent="0.35">
      <c r="A3586" t="s">
        <v>104</v>
      </c>
      <c r="B3586" s="16">
        <v>46021</v>
      </c>
      <c r="C3586">
        <v>7.1</v>
      </c>
      <c r="D3586">
        <v>1</v>
      </c>
      <c r="E3586" t="s">
        <v>6132</v>
      </c>
    </row>
    <row r="3587" spans="1:5" x14ac:dyDescent="0.35">
      <c r="A3587" t="s">
        <v>104</v>
      </c>
      <c r="B3587" s="16">
        <v>46022</v>
      </c>
      <c r="C3587">
        <v>4.0999999999999996</v>
      </c>
      <c r="D3587">
        <v>5</v>
      </c>
      <c r="E3587" t="s">
        <v>6132</v>
      </c>
    </row>
    <row r="3588" spans="1:5" x14ac:dyDescent="0.35">
      <c r="A3588" t="s">
        <v>85</v>
      </c>
      <c r="B3588" s="16">
        <v>45658</v>
      </c>
      <c r="D3588">
        <v>0</v>
      </c>
      <c r="E3588" t="s">
        <v>6132</v>
      </c>
    </row>
    <row r="3589" spans="1:5" x14ac:dyDescent="0.35">
      <c r="A3589" t="s">
        <v>85</v>
      </c>
      <c r="B3589" s="16">
        <v>45660</v>
      </c>
      <c r="C3589">
        <v>7.6</v>
      </c>
      <c r="D3589">
        <v>0</v>
      </c>
      <c r="E3589" t="s">
        <v>6132</v>
      </c>
    </row>
    <row r="3590" spans="1:5" x14ac:dyDescent="0.35">
      <c r="A3590" t="s">
        <v>85</v>
      </c>
      <c r="B3590" s="16">
        <v>45663</v>
      </c>
      <c r="C3590">
        <v>4.0999999999999996</v>
      </c>
      <c r="D3590">
        <v>1</v>
      </c>
      <c r="E3590" t="s">
        <v>6132</v>
      </c>
    </row>
    <row r="3591" spans="1:5" x14ac:dyDescent="0.35">
      <c r="A3591" t="s">
        <v>85</v>
      </c>
      <c r="B3591" s="16">
        <v>45666</v>
      </c>
      <c r="C3591">
        <v>6</v>
      </c>
      <c r="D3591">
        <v>0</v>
      </c>
      <c r="E3591" t="s">
        <v>6132</v>
      </c>
    </row>
    <row r="3592" spans="1:5" x14ac:dyDescent="0.35">
      <c r="A3592" t="s">
        <v>85</v>
      </c>
      <c r="B3592" s="16">
        <v>45671</v>
      </c>
      <c r="C3592">
        <v>4.5</v>
      </c>
      <c r="D3592">
        <v>0</v>
      </c>
      <c r="E3592" t="s">
        <v>6132</v>
      </c>
    </row>
    <row r="3593" spans="1:5" x14ac:dyDescent="0.35">
      <c r="A3593" t="s">
        <v>85</v>
      </c>
      <c r="B3593" s="16">
        <v>45674</v>
      </c>
      <c r="C3593">
        <v>6.1</v>
      </c>
      <c r="D3593">
        <v>0</v>
      </c>
      <c r="E3593" t="s">
        <v>6132</v>
      </c>
    </row>
    <row r="3594" spans="1:5" x14ac:dyDescent="0.35">
      <c r="A3594" t="s">
        <v>85</v>
      </c>
      <c r="B3594" s="16">
        <v>45677</v>
      </c>
      <c r="C3594">
        <v>5.9</v>
      </c>
      <c r="D3594">
        <v>0</v>
      </c>
      <c r="E3594" t="s">
        <v>6132</v>
      </c>
    </row>
    <row r="3595" spans="1:5" x14ac:dyDescent="0.35">
      <c r="A3595" t="s">
        <v>85</v>
      </c>
      <c r="B3595" s="16">
        <v>45678</v>
      </c>
      <c r="C3595">
        <v>7.6</v>
      </c>
      <c r="D3595">
        <v>2</v>
      </c>
      <c r="E3595" t="s">
        <v>6132</v>
      </c>
    </row>
    <row r="3596" spans="1:5" x14ac:dyDescent="0.35">
      <c r="A3596" t="s">
        <v>85</v>
      </c>
      <c r="B3596" s="16">
        <v>45680</v>
      </c>
      <c r="C3596">
        <v>7.9</v>
      </c>
      <c r="D3596">
        <v>0</v>
      </c>
      <c r="E3596" t="s">
        <v>6132</v>
      </c>
    </row>
    <row r="3597" spans="1:5" x14ac:dyDescent="0.35">
      <c r="A3597" t="s">
        <v>85</v>
      </c>
      <c r="B3597" s="16">
        <v>45687</v>
      </c>
      <c r="C3597">
        <v>4.2</v>
      </c>
      <c r="D3597">
        <v>4</v>
      </c>
      <c r="E3597" t="s">
        <v>6132</v>
      </c>
    </row>
    <row r="3598" spans="1:5" x14ac:dyDescent="0.35">
      <c r="A3598" t="s">
        <v>85</v>
      </c>
      <c r="B3598" s="16">
        <v>45693</v>
      </c>
      <c r="C3598">
        <v>7.9</v>
      </c>
      <c r="D3598">
        <v>0</v>
      </c>
      <c r="E3598" t="s">
        <v>6132</v>
      </c>
    </row>
    <row r="3599" spans="1:5" x14ac:dyDescent="0.35">
      <c r="A3599" t="s">
        <v>85</v>
      </c>
      <c r="B3599" s="16">
        <v>45694</v>
      </c>
      <c r="C3599">
        <v>5</v>
      </c>
      <c r="D3599">
        <v>0</v>
      </c>
      <c r="E3599" t="s">
        <v>6132</v>
      </c>
    </row>
    <row r="3600" spans="1:5" x14ac:dyDescent="0.35">
      <c r="A3600" t="s">
        <v>85</v>
      </c>
      <c r="B3600" s="16">
        <v>45695</v>
      </c>
      <c r="C3600">
        <v>7.4</v>
      </c>
      <c r="D3600">
        <v>0</v>
      </c>
      <c r="E3600" t="s">
        <v>6134</v>
      </c>
    </row>
    <row r="3601" spans="1:5" x14ac:dyDescent="0.35">
      <c r="A3601" t="s">
        <v>85</v>
      </c>
      <c r="B3601" s="16">
        <v>45699</v>
      </c>
      <c r="C3601">
        <v>4.0999999999999996</v>
      </c>
      <c r="D3601">
        <v>1</v>
      </c>
      <c r="E3601" t="s">
        <v>6132</v>
      </c>
    </row>
    <row r="3602" spans="1:5" x14ac:dyDescent="0.35">
      <c r="A3602" t="s">
        <v>85</v>
      </c>
      <c r="B3602" s="16">
        <v>45700</v>
      </c>
      <c r="C3602">
        <v>6.6</v>
      </c>
      <c r="D3602">
        <v>3</v>
      </c>
      <c r="E3602" t="s">
        <v>6132</v>
      </c>
    </row>
    <row r="3603" spans="1:5" x14ac:dyDescent="0.35">
      <c r="A3603" t="s">
        <v>85</v>
      </c>
      <c r="B3603" s="16">
        <v>45701</v>
      </c>
      <c r="C3603">
        <v>6</v>
      </c>
      <c r="D3603">
        <v>0</v>
      </c>
      <c r="E3603" t="s">
        <v>6132</v>
      </c>
    </row>
    <row r="3604" spans="1:5" x14ac:dyDescent="0.35">
      <c r="A3604" t="s">
        <v>85</v>
      </c>
      <c r="B3604" s="16">
        <v>45702</v>
      </c>
      <c r="C3604">
        <v>7.5</v>
      </c>
      <c r="D3604">
        <v>0</v>
      </c>
      <c r="E3604" t="s">
        <v>6132</v>
      </c>
    </row>
    <row r="3605" spans="1:5" x14ac:dyDescent="0.35">
      <c r="A3605" t="s">
        <v>85</v>
      </c>
      <c r="B3605" s="16">
        <v>45705</v>
      </c>
      <c r="C3605">
        <v>5.8</v>
      </c>
      <c r="D3605">
        <v>2</v>
      </c>
      <c r="E3605" t="s">
        <v>6132</v>
      </c>
    </row>
    <row r="3606" spans="1:5" x14ac:dyDescent="0.35">
      <c r="A3606" t="s">
        <v>85</v>
      </c>
      <c r="B3606" s="16">
        <v>45706</v>
      </c>
      <c r="C3606">
        <v>4.5999999999999996</v>
      </c>
      <c r="D3606">
        <v>0</v>
      </c>
      <c r="E3606" t="s">
        <v>6133</v>
      </c>
    </row>
    <row r="3607" spans="1:5" x14ac:dyDescent="0.35">
      <c r="A3607" t="s">
        <v>85</v>
      </c>
      <c r="B3607" s="16">
        <v>45707</v>
      </c>
      <c r="C3607">
        <v>6.5</v>
      </c>
      <c r="D3607">
        <v>0</v>
      </c>
      <c r="E3607" t="s">
        <v>6132</v>
      </c>
    </row>
    <row r="3608" spans="1:5" x14ac:dyDescent="0.35">
      <c r="A3608" t="s">
        <v>85</v>
      </c>
      <c r="B3608" s="16">
        <v>45712</v>
      </c>
      <c r="C3608">
        <v>4.4000000000000004</v>
      </c>
      <c r="D3608">
        <v>4</v>
      </c>
      <c r="E3608" t="s">
        <v>6132</v>
      </c>
    </row>
    <row r="3609" spans="1:5" x14ac:dyDescent="0.35">
      <c r="A3609" t="s">
        <v>85</v>
      </c>
      <c r="B3609" s="16">
        <v>45715</v>
      </c>
      <c r="C3609">
        <v>5.3</v>
      </c>
      <c r="D3609">
        <v>0</v>
      </c>
      <c r="E3609" t="s">
        <v>6134</v>
      </c>
    </row>
    <row r="3610" spans="1:5" x14ac:dyDescent="0.35">
      <c r="A3610" t="s">
        <v>85</v>
      </c>
      <c r="B3610" s="16">
        <v>45719</v>
      </c>
      <c r="C3610">
        <v>5</v>
      </c>
      <c r="D3610">
        <v>0</v>
      </c>
      <c r="E3610" t="s">
        <v>6133</v>
      </c>
    </row>
    <row r="3611" spans="1:5" x14ac:dyDescent="0.35">
      <c r="A3611" t="s">
        <v>85</v>
      </c>
      <c r="B3611" s="16">
        <v>45721</v>
      </c>
      <c r="C3611">
        <v>4.5</v>
      </c>
      <c r="D3611">
        <v>0</v>
      </c>
      <c r="E3611" t="s">
        <v>6133</v>
      </c>
    </row>
    <row r="3612" spans="1:5" x14ac:dyDescent="0.35">
      <c r="A3612" t="s">
        <v>85</v>
      </c>
      <c r="B3612" s="16">
        <v>45723</v>
      </c>
      <c r="C3612">
        <v>7.1</v>
      </c>
      <c r="D3612">
        <v>2</v>
      </c>
      <c r="E3612" t="s">
        <v>6132</v>
      </c>
    </row>
    <row r="3613" spans="1:5" x14ac:dyDescent="0.35">
      <c r="A3613" t="s">
        <v>85</v>
      </c>
      <c r="B3613" s="16">
        <v>45726</v>
      </c>
      <c r="C3613">
        <v>5</v>
      </c>
      <c r="D3613">
        <v>0</v>
      </c>
      <c r="E3613" t="s">
        <v>6132</v>
      </c>
    </row>
    <row r="3614" spans="1:5" x14ac:dyDescent="0.35">
      <c r="A3614" t="s">
        <v>85</v>
      </c>
      <c r="B3614" s="16">
        <v>45728</v>
      </c>
      <c r="C3614">
        <v>7</v>
      </c>
      <c r="D3614">
        <v>2</v>
      </c>
      <c r="E3614" t="s">
        <v>6132</v>
      </c>
    </row>
    <row r="3615" spans="1:5" x14ac:dyDescent="0.35">
      <c r="A3615" t="s">
        <v>85</v>
      </c>
      <c r="B3615" s="16">
        <v>45729</v>
      </c>
      <c r="C3615">
        <v>8.6</v>
      </c>
      <c r="D3615">
        <v>0</v>
      </c>
      <c r="E3615" t="s">
        <v>6132</v>
      </c>
    </row>
    <row r="3616" spans="1:5" x14ac:dyDescent="0.35">
      <c r="A3616" t="s">
        <v>85</v>
      </c>
      <c r="B3616" s="16">
        <v>45730</v>
      </c>
      <c r="C3616">
        <v>4.5</v>
      </c>
      <c r="D3616">
        <v>2</v>
      </c>
      <c r="E3616" t="s">
        <v>6132</v>
      </c>
    </row>
    <row r="3617" spans="1:5" x14ac:dyDescent="0.35">
      <c r="A3617" t="s">
        <v>85</v>
      </c>
      <c r="B3617" s="16">
        <v>45735</v>
      </c>
      <c r="C3617">
        <v>7.6</v>
      </c>
      <c r="D3617">
        <v>1</v>
      </c>
      <c r="E3617" t="s">
        <v>6132</v>
      </c>
    </row>
    <row r="3618" spans="1:5" x14ac:dyDescent="0.35">
      <c r="A3618" t="s">
        <v>85</v>
      </c>
      <c r="B3618" s="16">
        <v>45736</v>
      </c>
      <c r="C3618">
        <v>6.4</v>
      </c>
      <c r="D3618">
        <v>0</v>
      </c>
      <c r="E3618" t="s">
        <v>6132</v>
      </c>
    </row>
    <row r="3619" spans="1:5" x14ac:dyDescent="0.35">
      <c r="A3619" t="s">
        <v>85</v>
      </c>
      <c r="B3619" s="16">
        <v>45741</v>
      </c>
      <c r="C3619">
        <v>8.8000000000000007</v>
      </c>
      <c r="D3619">
        <v>0</v>
      </c>
      <c r="E3619" t="s">
        <v>6132</v>
      </c>
    </row>
    <row r="3620" spans="1:5" x14ac:dyDescent="0.35">
      <c r="A3620" t="s">
        <v>85</v>
      </c>
      <c r="B3620" s="16">
        <v>45743</v>
      </c>
      <c r="C3620">
        <v>5.8</v>
      </c>
      <c r="D3620">
        <v>1</v>
      </c>
      <c r="E3620" t="s">
        <v>6132</v>
      </c>
    </row>
    <row r="3621" spans="1:5" x14ac:dyDescent="0.35">
      <c r="A3621" t="s">
        <v>85</v>
      </c>
      <c r="B3621" s="16">
        <v>45747</v>
      </c>
      <c r="C3621">
        <v>4</v>
      </c>
      <c r="D3621">
        <v>0</v>
      </c>
      <c r="E3621" t="s">
        <v>6133</v>
      </c>
    </row>
    <row r="3622" spans="1:5" x14ac:dyDescent="0.35">
      <c r="A3622" t="s">
        <v>85</v>
      </c>
      <c r="B3622" s="16">
        <v>45748</v>
      </c>
      <c r="C3622">
        <v>6.4</v>
      </c>
      <c r="D3622">
        <v>2</v>
      </c>
      <c r="E3622" t="s">
        <v>6132</v>
      </c>
    </row>
    <row r="3623" spans="1:5" x14ac:dyDescent="0.35">
      <c r="A3623" t="s">
        <v>85</v>
      </c>
      <c r="B3623" s="16">
        <v>45754</v>
      </c>
      <c r="C3623">
        <v>4.3</v>
      </c>
      <c r="D3623">
        <v>3</v>
      </c>
      <c r="E3623" t="s">
        <v>6132</v>
      </c>
    </row>
    <row r="3624" spans="1:5" x14ac:dyDescent="0.35">
      <c r="A3624" t="s">
        <v>85</v>
      </c>
      <c r="B3624" s="16">
        <v>45756</v>
      </c>
      <c r="C3624">
        <v>4.2</v>
      </c>
      <c r="D3624">
        <v>0</v>
      </c>
      <c r="E3624" t="s">
        <v>6132</v>
      </c>
    </row>
    <row r="3625" spans="1:5" x14ac:dyDescent="0.35">
      <c r="A3625" t="s">
        <v>85</v>
      </c>
      <c r="B3625" s="16">
        <v>45758</v>
      </c>
      <c r="C3625">
        <v>5.6</v>
      </c>
      <c r="D3625">
        <v>2</v>
      </c>
      <c r="E3625" t="s">
        <v>6132</v>
      </c>
    </row>
    <row r="3626" spans="1:5" x14ac:dyDescent="0.35">
      <c r="A3626" t="s">
        <v>85</v>
      </c>
      <c r="B3626" s="16">
        <v>45761</v>
      </c>
      <c r="C3626">
        <v>7.8</v>
      </c>
      <c r="D3626">
        <v>1</v>
      </c>
      <c r="E3626" t="s">
        <v>6132</v>
      </c>
    </row>
    <row r="3627" spans="1:5" x14ac:dyDescent="0.35">
      <c r="A3627" t="s">
        <v>85</v>
      </c>
      <c r="B3627" s="16">
        <v>45764</v>
      </c>
      <c r="C3627">
        <v>8.6</v>
      </c>
      <c r="D3627">
        <v>0</v>
      </c>
      <c r="E3627" t="s">
        <v>6132</v>
      </c>
    </row>
    <row r="3628" spans="1:5" x14ac:dyDescent="0.35">
      <c r="A3628" t="s">
        <v>85</v>
      </c>
      <c r="B3628" s="16">
        <v>45769</v>
      </c>
      <c r="C3628">
        <v>7.2</v>
      </c>
      <c r="D3628">
        <v>1</v>
      </c>
      <c r="E3628" t="s">
        <v>6132</v>
      </c>
    </row>
    <row r="3629" spans="1:5" x14ac:dyDescent="0.35">
      <c r="A3629" t="s">
        <v>85</v>
      </c>
      <c r="B3629" s="16">
        <v>45770</v>
      </c>
      <c r="C3629">
        <v>6.3</v>
      </c>
      <c r="D3629">
        <v>0</v>
      </c>
      <c r="E3629" t="s">
        <v>6132</v>
      </c>
    </row>
    <row r="3630" spans="1:5" x14ac:dyDescent="0.35">
      <c r="A3630" t="s">
        <v>85</v>
      </c>
      <c r="B3630" s="16">
        <v>45771</v>
      </c>
      <c r="C3630">
        <v>8</v>
      </c>
      <c r="D3630">
        <v>1</v>
      </c>
      <c r="E3630" t="s">
        <v>6132</v>
      </c>
    </row>
    <row r="3631" spans="1:5" x14ac:dyDescent="0.35">
      <c r="A3631" t="s">
        <v>85</v>
      </c>
      <c r="B3631" s="16">
        <v>45775</v>
      </c>
      <c r="C3631">
        <v>7</v>
      </c>
      <c r="D3631">
        <v>1</v>
      </c>
      <c r="E3631" t="s">
        <v>6132</v>
      </c>
    </row>
    <row r="3632" spans="1:5" x14ac:dyDescent="0.35">
      <c r="A3632" t="s">
        <v>85</v>
      </c>
      <c r="B3632" s="16">
        <v>45776</v>
      </c>
      <c r="C3632">
        <v>4.2</v>
      </c>
      <c r="D3632">
        <v>2</v>
      </c>
      <c r="E3632" t="s">
        <v>6132</v>
      </c>
    </row>
    <row r="3633" spans="1:5" x14ac:dyDescent="0.35">
      <c r="A3633" t="s">
        <v>85</v>
      </c>
      <c r="B3633" s="16">
        <v>45777</v>
      </c>
      <c r="C3633">
        <v>4.2</v>
      </c>
      <c r="D3633">
        <v>3</v>
      </c>
      <c r="E3633" t="s">
        <v>6132</v>
      </c>
    </row>
    <row r="3634" spans="1:5" x14ac:dyDescent="0.35">
      <c r="A3634" t="s">
        <v>85</v>
      </c>
      <c r="B3634" s="16">
        <v>45779</v>
      </c>
      <c r="C3634">
        <v>4.5</v>
      </c>
      <c r="D3634">
        <v>0</v>
      </c>
      <c r="E3634" t="s">
        <v>6132</v>
      </c>
    </row>
    <row r="3635" spans="1:5" x14ac:dyDescent="0.35">
      <c r="A3635" t="s">
        <v>85</v>
      </c>
      <c r="B3635" s="16">
        <v>45783</v>
      </c>
      <c r="C3635">
        <v>4.2</v>
      </c>
      <c r="D3635">
        <v>0</v>
      </c>
      <c r="E3635" t="s">
        <v>6132</v>
      </c>
    </row>
    <row r="3636" spans="1:5" x14ac:dyDescent="0.35">
      <c r="A3636" t="s">
        <v>85</v>
      </c>
      <c r="B3636" s="16">
        <v>45784</v>
      </c>
      <c r="C3636">
        <v>7.3</v>
      </c>
      <c r="D3636">
        <v>2</v>
      </c>
      <c r="E3636" t="s">
        <v>6132</v>
      </c>
    </row>
    <row r="3637" spans="1:5" x14ac:dyDescent="0.35">
      <c r="A3637" t="s">
        <v>85</v>
      </c>
      <c r="B3637" s="16">
        <v>45785</v>
      </c>
      <c r="C3637">
        <v>7.1</v>
      </c>
      <c r="D3637">
        <v>0</v>
      </c>
      <c r="E3637" t="s">
        <v>6133</v>
      </c>
    </row>
    <row r="3638" spans="1:5" x14ac:dyDescent="0.35">
      <c r="A3638" t="s">
        <v>85</v>
      </c>
      <c r="B3638" s="16">
        <v>45791</v>
      </c>
      <c r="C3638">
        <v>4.3</v>
      </c>
      <c r="D3638">
        <v>2</v>
      </c>
      <c r="E3638" t="s">
        <v>6132</v>
      </c>
    </row>
    <row r="3639" spans="1:5" x14ac:dyDescent="0.35">
      <c r="A3639" t="s">
        <v>85</v>
      </c>
      <c r="B3639" s="16">
        <v>45793</v>
      </c>
      <c r="C3639">
        <v>8.6</v>
      </c>
      <c r="D3639">
        <v>0</v>
      </c>
      <c r="E3639" t="s">
        <v>6132</v>
      </c>
    </row>
    <row r="3640" spans="1:5" x14ac:dyDescent="0.35">
      <c r="A3640" t="s">
        <v>85</v>
      </c>
      <c r="B3640" s="16">
        <v>45796</v>
      </c>
      <c r="C3640">
        <v>5.8</v>
      </c>
      <c r="D3640">
        <v>2</v>
      </c>
      <c r="E3640" t="s">
        <v>6132</v>
      </c>
    </row>
    <row r="3641" spans="1:5" x14ac:dyDescent="0.35">
      <c r="A3641" t="s">
        <v>85</v>
      </c>
      <c r="B3641" s="16">
        <v>45797</v>
      </c>
      <c r="C3641">
        <v>6.4</v>
      </c>
      <c r="D3641">
        <v>3</v>
      </c>
      <c r="E3641" t="s">
        <v>6132</v>
      </c>
    </row>
    <row r="3642" spans="1:5" x14ac:dyDescent="0.35">
      <c r="A3642" t="s">
        <v>85</v>
      </c>
      <c r="B3642" s="16">
        <v>45798</v>
      </c>
      <c r="C3642">
        <v>4.8</v>
      </c>
      <c r="D3642">
        <v>0</v>
      </c>
      <c r="E3642" t="s">
        <v>6132</v>
      </c>
    </row>
    <row r="3643" spans="1:5" x14ac:dyDescent="0.35">
      <c r="A3643" t="s">
        <v>85</v>
      </c>
      <c r="B3643" s="16">
        <v>45803</v>
      </c>
      <c r="C3643">
        <v>4.4000000000000004</v>
      </c>
      <c r="D3643">
        <v>1</v>
      </c>
      <c r="E3643" t="s">
        <v>6132</v>
      </c>
    </row>
    <row r="3644" spans="1:5" x14ac:dyDescent="0.35">
      <c r="A3644" t="s">
        <v>85</v>
      </c>
      <c r="B3644" s="16">
        <v>45804</v>
      </c>
      <c r="C3644">
        <v>8.5</v>
      </c>
      <c r="D3644">
        <v>0</v>
      </c>
      <c r="E3644" t="s">
        <v>6132</v>
      </c>
    </row>
    <row r="3645" spans="1:5" x14ac:dyDescent="0.35">
      <c r="A3645" t="s">
        <v>85</v>
      </c>
      <c r="B3645" s="16">
        <v>45807</v>
      </c>
      <c r="C3645">
        <v>6.3</v>
      </c>
      <c r="D3645">
        <v>1</v>
      </c>
      <c r="E3645" t="s">
        <v>6132</v>
      </c>
    </row>
    <row r="3646" spans="1:5" x14ac:dyDescent="0.35">
      <c r="A3646" t="s">
        <v>85</v>
      </c>
      <c r="B3646" s="16">
        <v>45810</v>
      </c>
      <c r="C3646">
        <v>4.5</v>
      </c>
      <c r="D3646">
        <v>1</v>
      </c>
      <c r="E3646" t="s">
        <v>6132</v>
      </c>
    </row>
    <row r="3647" spans="1:5" x14ac:dyDescent="0.35">
      <c r="A3647" t="s">
        <v>85</v>
      </c>
      <c r="B3647" s="16">
        <v>45818</v>
      </c>
      <c r="C3647">
        <v>7.1</v>
      </c>
      <c r="D3647">
        <v>1</v>
      </c>
      <c r="E3647" t="s">
        <v>6132</v>
      </c>
    </row>
    <row r="3648" spans="1:5" x14ac:dyDescent="0.35">
      <c r="A3648" t="s">
        <v>85</v>
      </c>
      <c r="B3648" s="16">
        <v>45820</v>
      </c>
      <c r="C3648">
        <v>5.7</v>
      </c>
      <c r="D3648">
        <v>2</v>
      </c>
      <c r="E3648" t="s">
        <v>6132</v>
      </c>
    </row>
    <row r="3649" spans="1:5" x14ac:dyDescent="0.35">
      <c r="A3649" t="s">
        <v>85</v>
      </c>
      <c r="B3649" s="16">
        <v>45831</v>
      </c>
      <c r="C3649">
        <v>8.5</v>
      </c>
      <c r="D3649">
        <v>1</v>
      </c>
      <c r="E3649" t="s">
        <v>6132</v>
      </c>
    </row>
    <row r="3650" spans="1:5" x14ac:dyDescent="0.35">
      <c r="A3650" t="s">
        <v>85</v>
      </c>
      <c r="B3650" s="16">
        <v>45833</v>
      </c>
      <c r="C3650">
        <v>7.5</v>
      </c>
      <c r="D3650">
        <v>2</v>
      </c>
      <c r="E3650" t="s">
        <v>6132</v>
      </c>
    </row>
    <row r="3651" spans="1:5" x14ac:dyDescent="0.35">
      <c r="A3651" t="s">
        <v>85</v>
      </c>
      <c r="B3651" s="16">
        <v>45834</v>
      </c>
      <c r="C3651">
        <v>8.1</v>
      </c>
      <c r="D3651">
        <v>0</v>
      </c>
      <c r="E3651" t="s">
        <v>6133</v>
      </c>
    </row>
    <row r="3652" spans="1:5" x14ac:dyDescent="0.35">
      <c r="A3652" t="s">
        <v>85</v>
      </c>
      <c r="B3652" s="16">
        <v>45835</v>
      </c>
      <c r="C3652">
        <v>6.5</v>
      </c>
      <c r="D3652">
        <v>1</v>
      </c>
      <c r="E3652" t="s">
        <v>6132</v>
      </c>
    </row>
    <row r="3653" spans="1:5" x14ac:dyDescent="0.35">
      <c r="A3653" t="s">
        <v>85</v>
      </c>
      <c r="B3653" s="16">
        <v>45840</v>
      </c>
      <c r="C3653">
        <v>7</v>
      </c>
      <c r="D3653">
        <v>0</v>
      </c>
      <c r="E3653" t="s">
        <v>6132</v>
      </c>
    </row>
    <row r="3654" spans="1:5" x14ac:dyDescent="0.35">
      <c r="A3654" t="s">
        <v>85</v>
      </c>
      <c r="B3654" s="16">
        <v>45841</v>
      </c>
      <c r="D3654">
        <v>1</v>
      </c>
      <c r="E3654" t="s">
        <v>6132</v>
      </c>
    </row>
    <row r="3655" spans="1:5" x14ac:dyDescent="0.35">
      <c r="A3655" t="s">
        <v>85</v>
      </c>
      <c r="B3655" s="16">
        <v>45842</v>
      </c>
      <c r="C3655">
        <v>7.3</v>
      </c>
      <c r="D3655">
        <v>0</v>
      </c>
      <c r="E3655" t="s">
        <v>6132</v>
      </c>
    </row>
    <row r="3656" spans="1:5" x14ac:dyDescent="0.35">
      <c r="A3656" t="s">
        <v>85</v>
      </c>
      <c r="B3656" s="16">
        <v>45846</v>
      </c>
      <c r="C3656">
        <v>6.3</v>
      </c>
      <c r="D3656">
        <v>1</v>
      </c>
      <c r="E3656" t="s">
        <v>6132</v>
      </c>
    </row>
    <row r="3657" spans="1:5" x14ac:dyDescent="0.35">
      <c r="A3657" t="s">
        <v>85</v>
      </c>
      <c r="B3657" s="16">
        <v>45847</v>
      </c>
      <c r="C3657">
        <v>7.7</v>
      </c>
      <c r="D3657">
        <v>2</v>
      </c>
      <c r="E3657" t="s">
        <v>6132</v>
      </c>
    </row>
    <row r="3658" spans="1:5" x14ac:dyDescent="0.35">
      <c r="A3658" t="s">
        <v>85</v>
      </c>
      <c r="B3658" s="16">
        <v>45848</v>
      </c>
      <c r="D3658">
        <v>1</v>
      </c>
      <c r="E3658" t="s">
        <v>6132</v>
      </c>
    </row>
    <row r="3659" spans="1:5" x14ac:dyDescent="0.35">
      <c r="A3659" t="s">
        <v>85</v>
      </c>
      <c r="B3659" s="16">
        <v>45852</v>
      </c>
      <c r="C3659">
        <v>5.0999999999999996</v>
      </c>
      <c r="D3659">
        <v>0</v>
      </c>
      <c r="E3659" t="s">
        <v>6132</v>
      </c>
    </row>
    <row r="3660" spans="1:5" x14ac:dyDescent="0.35">
      <c r="A3660" t="s">
        <v>85</v>
      </c>
      <c r="B3660" s="16">
        <v>45853</v>
      </c>
      <c r="C3660">
        <v>5.0999999999999996</v>
      </c>
      <c r="D3660">
        <v>0</v>
      </c>
      <c r="E3660" t="s">
        <v>6132</v>
      </c>
    </row>
    <row r="3661" spans="1:5" x14ac:dyDescent="0.35">
      <c r="A3661" t="s">
        <v>85</v>
      </c>
      <c r="B3661" s="16">
        <v>45855</v>
      </c>
      <c r="C3661">
        <v>5.7</v>
      </c>
      <c r="D3661">
        <v>4</v>
      </c>
      <c r="E3661" t="s">
        <v>6132</v>
      </c>
    </row>
    <row r="3662" spans="1:5" x14ac:dyDescent="0.35">
      <c r="A3662" t="s">
        <v>85</v>
      </c>
      <c r="B3662" s="16">
        <v>45856</v>
      </c>
      <c r="C3662">
        <v>4.4000000000000004</v>
      </c>
      <c r="D3662">
        <v>0</v>
      </c>
      <c r="E3662" t="s">
        <v>6133</v>
      </c>
    </row>
    <row r="3663" spans="1:5" x14ac:dyDescent="0.35">
      <c r="A3663" t="s">
        <v>85</v>
      </c>
      <c r="B3663" s="16">
        <v>45860</v>
      </c>
      <c r="C3663">
        <v>9</v>
      </c>
      <c r="D3663">
        <v>1</v>
      </c>
      <c r="E3663" t="s">
        <v>6132</v>
      </c>
    </row>
    <row r="3664" spans="1:5" x14ac:dyDescent="0.35">
      <c r="A3664" t="s">
        <v>85</v>
      </c>
      <c r="B3664" s="16">
        <v>45861</v>
      </c>
      <c r="C3664">
        <v>5.9</v>
      </c>
      <c r="D3664">
        <v>0</v>
      </c>
      <c r="E3664" t="s">
        <v>6134</v>
      </c>
    </row>
    <row r="3665" spans="1:5" x14ac:dyDescent="0.35">
      <c r="A3665" t="s">
        <v>85</v>
      </c>
      <c r="B3665" s="16">
        <v>45866</v>
      </c>
      <c r="C3665">
        <v>7.4</v>
      </c>
      <c r="D3665">
        <v>1</v>
      </c>
      <c r="E3665" t="s">
        <v>6132</v>
      </c>
    </row>
    <row r="3666" spans="1:5" x14ac:dyDescent="0.35">
      <c r="A3666" t="s">
        <v>85</v>
      </c>
      <c r="B3666" s="16">
        <v>45867</v>
      </c>
      <c r="C3666">
        <v>6.9</v>
      </c>
      <c r="D3666">
        <v>0</v>
      </c>
      <c r="E3666" t="s">
        <v>6132</v>
      </c>
    </row>
    <row r="3667" spans="1:5" x14ac:dyDescent="0.35">
      <c r="A3667" t="s">
        <v>85</v>
      </c>
      <c r="B3667" s="16">
        <v>45869</v>
      </c>
      <c r="C3667">
        <v>8.3000000000000007</v>
      </c>
      <c r="D3667">
        <v>2</v>
      </c>
      <c r="E3667" t="s">
        <v>6132</v>
      </c>
    </row>
    <row r="3668" spans="1:5" x14ac:dyDescent="0.35">
      <c r="A3668" t="s">
        <v>85</v>
      </c>
      <c r="B3668" s="16">
        <v>45870</v>
      </c>
      <c r="C3668">
        <v>4.2</v>
      </c>
      <c r="D3668">
        <v>0</v>
      </c>
      <c r="E3668" t="s">
        <v>6132</v>
      </c>
    </row>
    <row r="3669" spans="1:5" x14ac:dyDescent="0.35">
      <c r="A3669" t="s">
        <v>85</v>
      </c>
      <c r="B3669" s="16">
        <v>45875</v>
      </c>
      <c r="C3669">
        <v>6.2</v>
      </c>
      <c r="D3669">
        <v>0</v>
      </c>
      <c r="E3669" t="s">
        <v>6132</v>
      </c>
    </row>
    <row r="3670" spans="1:5" x14ac:dyDescent="0.35">
      <c r="A3670" t="s">
        <v>85</v>
      </c>
      <c r="B3670" s="16">
        <v>45876</v>
      </c>
      <c r="C3670">
        <v>7.6</v>
      </c>
      <c r="D3670">
        <v>0</v>
      </c>
      <c r="E3670" t="s">
        <v>6132</v>
      </c>
    </row>
    <row r="3671" spans="1:5" x14ac:dyDescent="0.35">
      <c r="A3671" t="s">
        <v>85</v>
      </c>
      <c r="B3671" s="16">
        <v>45877</v>
      </c>
      <c r="C3671">
        <v>6</v>
      </c>
      <c r="D3671">
        <v>1</v>
      </c>
      <c r="E3671" t="s">
        <v>6132</v>
      </c>
    </row>
    <row r="3672" spans="1:5" x14ac:dyDescent="0.35">
      <c r="A3672" t="s">
        <v>85</v>
      </c>
      <c r="B3672" s="16">
        <v>45880</v>
      </c>
      <c r="C3672">
        <v>6.1</v>
      </c>
      <c r="D3672">
        <v>4</v>
      </c>
      <c r="E3672" t="s">
        <v>6132</v>
      </c>
    </row>
    <row r="3673" spans="1:5" x14ac:dyDescent="0.35">
      <c r="A3673" t="s">
        <v>85</v>
      </c>
      <c r="B3673" s="16">
        <v>45881</v>
      </c>
      <c r="C3673">
        <v>5.7</v>
      </c>
      <c r="D3673">
        <v>2</v>
      </c>
      <c r="E3673" t="s">
        <v>6132</v>
      </c>
    </row>
    <row r="3674" spans="1:5" x14ac:dyDescent="0.35">
      <c r="A3674" t="s">
        <v>85</v>
      </c>
      <c r="B3674" s="16">
        <v>45884</v>
      </c>
      <c r="C3674">
        <v>4.4000000000000004</v>
      </c>
      <c r="D3674">
        <v>0</v>
      </c>
      <c r="E3674" t="s">
        <v>6134</v>
      </c>
    </row>
    <row r="3675" spans="1:5" x14ac:dyDescent="0.35">
      <c r="A3675" t="s">
        <v>85</v>
      </c>
      <c r="B3675" s="16">
        <v>45888</v>
      </c>
      <c r="C3675">
        <v>4.9000000000000004</v>
      </c>
      <c r="D3675">
        <v>0</v>
      </c>
      <c r="E3675" t="s">
        <v>6132</v>
      </c>
    </row>
    <row r="3676" spans="1:5" x14ac:dyDescent="0.35">
      <c r="A3676" t="s">
        <v>85</v>
      </c>
      <c r="B3676" s="16">
        <v>45894</v>
      </c>
      <c r="C3676">
        <v>4.8</v>
      </c>
      <c r="D3676">
        <v>1</v>
      </c>
      <c r="E3676" t="s">
        <v>6132</v>
      </c>
    </row>
    <row r="3677" spans="1:5" x14ac:dyDescent="0.35">
      <c r="A3677" t="s">
        <v>85</v>
      </c>
      <c r="B3677" s="16">
        <v>45896</v>
      </c>
      <c r="C3677">
        <v>4.7</v>
      </c>
      <c r="D3677">
        <v>1</v>
      </c>
      <c r="E3677" t="s">
        <v>6132</v>
      </c>
    </row>
    <row r="3678" spans="1:5" x14ac:dyDescent="0.35">
      <c r="A3678" t="s">
        <v>85</v>
      </c>
      <c r="B3678" s="16">
        <v>45901</v>
      </c>
      <c r="C3678">
        <v>4.3</v>
      </c>
      <c r="D3678">
        <v>0</v>
      </c>
      <c r="E3678" t="s">
        <v>6134</v>
      </c>
    </row>
    <row r="3679" spans="1:5" x14ac:dyDescent="0.35">
      <c r="A3679" t="s">
        <v>85</v>
      </c>
      <c r="B3679" s="16">
        <v>45902</v>
      </c>
      <c r="C3679">
        <v>8.4</v>
      </c>
      <c r="D3679">
        <v>0</v>
      </c>
      <c r="E3679" t="s">
        <v>6132</v>
      </c>
    </row>
    <row r="3680" spans="1:5" x14ac:dyDescent="0.35">
      <c r="A3680" t="s">
        <v>85</v>
      </c>
      <c r="B3680" s="16">
        <v>45903</v>
      </c>
      <c r="C3680">
        <v>6.8</v>
      </c>
      <c r="D3680">
        <v>0</v>
      </c>
      <c r="E3680" t="s">
        <v>6132</v>
      </c>
    </row>
    <row r="3681" spans="1:5" x14ac:dyDescent="0.35">
      <c r="A3681" t="s">
        <v>85</v>
      </c>
      <c r="B3681" s="16">
        <v>45905</v>
      </c>
      <c r="C3681">
        <v>5.5</v>
      </c>
      <c r="D3681">
        <v>0</v>
      </c>
      <c r="E3681" t="s">
        <v>6133</v>
      </c>
    </row>
    <row r="3682" spans="1:5" x14ac:dyDescent="0.35">
      <c r="A3682" t="s">
        <v>85</v>
      </c>
      <c r="B3682" s="16">
        <v>45908</v>
      </c>
      <c r="C3682">
        <v>8</v>
      </c>
      <c r="D3682">
        <v>1</v>
      </c>
      <c r="E3682" t="s">
        <v>6132</v>
      </c>
    </row>
    <row r="3683" spans="1:5" x14ac:dyDescent="0.35">
      <c r="A3683" t="s">
        <v>85</v>
      </c>
      <c r="B3683" s="16">
        <v>45909</v>
      </c>
      <c r="C3683">
        <v>4.2</v>
      </c>
      <c r="D3683">
        <v>3</v>
      </c>
      <c r="E3683" t="s">
        <v>6132</v>
      </c>
    </row>
    <row r="3684" spans="1:5" x14ac:dyDescent="0.35">
      <c r="A3684" t="s">
        <v>85</v>
      </c>
      <c r="B3684" s="16">
        <v>45911</v>
      </c>
      <c r="C3684">
        <v>8.5</v>
      </c>
      <c r="D3684">
        <v>2</v>
      </c>
      <c r="E3684" t="s">
        <v>6132</v>
      </c>
    </row>
    <row r="3685" spans="1:5" x14ac:dyDescent="0.35">
      <c r="A3685" t="s">
        <v>85</v>
      </c>
      <c r="B3685" s="16">
        <v>45916</v>
      </c>
      <c r="C3685">
        <v>5.0999999999999996</v>
      </c>
      <c r="D3685">
        <v>1</v>
      </c>
      <c r="E3685" t="s">
        <v>6132</v>
      </c>
    </row>
    <row r="3686" spans="1:5" x14ac:dyDescent="0.35">
      <c r="A3686" t="s">
        <v>85</v>
      </c>
      <c r="B3686" s="16">
        <v>45917</v>
      </c>
      <c r="C3686">
        <v>5.5</v>
      </c>
      <c r="D3686">
        <v>1</v>
      </c>
      <c r="E3686" t="s">
        <v>6132</v>
      </c>
    </row>
    <row r="3687" spans="1:5" x14ac:dyDescent="0.35">
      <c r="A3687" t="s">
        <v>85</v>
      </c>
      <c r="B3687" s="16">
        <v>45918</v>
      </c>
      <c r="C3687">
        <v>6.8</v>
      </c>
      <c r="D3687">
        <v>1</v>
      </c>
      <c r="E3687" t="s">
        <v>6132</v>
      </c>
    </row>
    <row r="3688" spans="1:5" x14ac:dyDescent="0.35">
      <c r="A3688" t="s">
        <v>85</v>
      </c>
      <c r="B3688" s="16">
        <v>45919</v>
      </c>
      <c r="C3688">
        <v>8.5</v>
      </c>
      <c r="D3688">
        <v>1</v>
      </c>
      <c r="E3688" t="s">
        <v>6132</v>
      </c>
    </row>
    <row r="3689" spans="1:5" x14ac:dyDescent="0.35">
      <c r="A3689" t="s">
        <v>85</v>
      </c>
      <c r="B3689" s="16">
        <v>45923</v>
      </c>
      <c r="C3689">
        <v>8.6999999999999993</v>
      </c>
      <c r="D3689">
        <v>2</v>
      </c>
      <c r="E3689" t="s">
        <v>6132</v>
      </c>
    </row>
    <row r="3690" spans="1:5" x14ac:dyDescent="0.35">
      <c r="A3690" t="s">
        <v>85</v>
      </c>
      <c r="B3690" s="16">
        <v>45925</v>
      </c>
      <c r="C3690">
        <v>5.6</v>
      </c>
      <c r="D3690">
        <v>2</v>
      </c>
      <c r="E3690" t="s">
        <v>6132</v>
      </c>
    </row>
    <row r="3691" spans="1:5" x14ac:dyDescent="0.35">
      <c r="A3691" t="s">
        <v>85</v>
      </c>
      <c r="B3691" s="16">
        <v>45930</v>
      </c>
      <c r="C3691">
        <v>5.8</v>
      </c>
      <c r="D3691">
        <v>1</v>
      </c>
      <c r="E3691" t="s">
        <v>6132</v>
      </c>
    </row>
    <row r="3692" spans="1:5" x14ac:dyDescent="0.35">
      <c r="A3692" t="s">
        <v>85</v>
      </c>
      <c r="B3692" s="16">
        <v>45932</v>
      </c>
      <c r="C3692">
        <v>6.3</v>
      </c>
      <c r="D3692">
        <v>0</v>
      </c>
      <c r="E3692" t="s">
        <v>6132</v>
      </c>
    </row>
    <row r="3693" spans="1:5" x14ac:dyDescent="0.35">
      <c r="A3693" t="s">
        <v>85</v>
      </c>
      <c r="B3693" s="16">
        <v>45933</v>
      </c>
      <c r="C3693">
        <v>5.7</v>
      </c>
      <c r="D3693">
        <v>0</v>
      </c>
      <c r="E3693" t="s">
        <v>6132</v>
      </c>
    </row>
    <row r="3694" spans="1:5" x14ac:dyDescent="0.35">
      <c r="A3694" t="s">
        <v>85</v>
      </c>
      <c r="B3694" s="16">
        <v>45937</v>
      </c>
      <c r="C3694">
        <v>6.8</v>
      </c>
      <c r="D3694">
        <v>1</v>
      </c>
      <c r="E3694" t="s">
        <v>6132</v>
      </c>
    </row>
    <row r="3695" spans="1:5" x14ac:dyDescent="0.35">
      <c r="A3695" t="s">
        <v>85</v>
      </c>
      <c r="B3695" s="16">
        <v>45938</v>
      </c>
      <c r="C3695">
        <v>7.5</v>
      </c>
      <c r="D3695">
        <v>3</v>
      </c>
      <c r="E3695" t="s">
        <v>6132</v>
      </c>
    </row>
    <row r="3696" spans="1:5" x14ac:dyDescent="0.35">
      <c r="A3696" t="s">
        <v>85</v>
      </c>
      <c r="B3696" s="16">
        <v>45943</v>
      </c>
      <c r="C3696">
        <v>8.3000000000000007</v>
      </c>
      <c r="D3696">
        <v>1</v>
      </c>
      <c r="E3696" t="s">
        <v>6132</v>
      </c>
    </row>
    <row r="3697" spans="1:5" x14ac:dyDescent="0.35">
      <c r="A3697" t="s">
        <v>85</v>
      </c>
      <c r="B3697" s="16">
        <v>45945</v>
      </c>
      <c r="D3697">
        <v>0</v>
      </c>
      <c r="E3697" t="s">
        <v>6132</v>
      </c>
    </row>
    <row r="3698" spans="1:5" x14ac:dyDescent="0.35">
      <c r="A3698" t="s">
        <v>85</v>
      </c>
      <c r="B3698" s="16">
        <v>45946</v>
      </c>
      <c r="C3698">
        <v>4.4000000000000004</v>
      </c>
      <c r="D3698">
        <v>1</v>
      </c>
      <c r="E3698" t="s">
        <v>6132</v>
      </c>
    </row>
    <row r="3699" spans="1:5" x14ac:dyDescent="0.35">
      <c r="A3699" t="s">
        <v>85</v>
      </c>
      <c r="B3699" s="16">
        <v>45950</v>
      </c>
      <c r="C3699">
        <v>5.7</v>
      </c>
      <c r="D3699">
        <v>1</v>
      </c>
      <c r="E3699" t="s">
        <v>6132</v>
      </c>
    </row>
    <row r="3700" spans="1:5" x14ac:dyDescent="0.35">
      <c r="A3700" t="s">
        <v>85</v>
      </c>
      <c r="B3700" s="16">
        <v>45954</v>
      </c>
      <c r="C3700">
        <v>5.6</v>
      </c>
      <c r="D3700">
        <v>3</v>
      </c>
      <c r="E3700" t="s">
        <v>6132</v>
      </c>
    </row>
    <row r="3701" spans="1:5" x14ac:dyDescent="0.35">
      <c r="A3701" t="s">
        <v>85</v>
      </c>
      <c r="B3701" s="16">
        <v>45958</v>
      </c>
      <c r="C3701">
        <v>7.2</v>
      </c>
      <c r="D3701">
        <v>0</v>
      </c>
      <c r="E3701" t="s">
        <v>6132</v>
      </c>
    </row>
    <row r="3702" spans="1:5" x14ac:dyDescent="0.35">
      <c r="A3702" t="s">
        <v>85</v>
      </c>
      <c r="B3702" s="16">
        <v>45959</v>
      </c>
      <c r="C3702">
        <v>7.2</v>
      </c>
      <c r="D3702">
        <v>0</v>
      </c>
      <c r="E3702" t="s">
        <v>6133</v>
      </c>
    </row>
    <row r="3703" spans="1:5" x14ac:dyDescent="0.35">
      <c r="A3703" t="s">
        <v>85</v>
      </c>
      <c r="B3703" s="16">
        <v>45966</v>
      </c>
      <c r="C3703">
        <v>6.4</v>
      </c>
      <c r="D3703">
        <v>0</v>
      </c>
      <c r="E3703" t="s">
        <v>6132</v>
      </c>
    </row>
    <row r="3704" spans="1:5" x14ac:dyDescent="0.35">
      <c r="A3704" t="s">
        <v>85</v>
      </c>
      <c r="B3704" s="16">
        <v>45968</v>
      </c>
      <c r="C3704">
        <v>7.7</v>
      </c>
      <c r="D3704">
        <v>0</v>
      </c>
      <c r="E3704" t="s">
        <v>6132</v>
      </c>
    </row>
    <row r="3705" spans="1:5" x14ac:dyDescent="0.35">
      <c r="A3705" t="s">
        <v>85</v>
      </c>
      <c r="B3705" s="16">
        <v>45971</v>
      </c>
      <c r="C3705">
        <v>7.6</v>
      </c>
      <c r="D3705">
        <v>0</v>
      </c>
      <c r="E3705" t="s">
        <v>6132</v>
      </c>
    </row>
    <row r="3706" spans="1:5" x14ac:dyDescent="0.35">
      <c r="A3706" t="s">
        <v>85</v>
      </c>
      <c r="B3706" s="16">
        <v>45972</v>
      </c>
      <c r="C3706">
        <v>7.5</v>
      </c>
      <c r="D3706">
        <v>2</v>
      </c>
      <c r="E3706" t="s">
        <v>6132</v>
      </c>
    </row>
    <row r="3707" spans="1:5" x14ac:dyDescent="0.35">
      <c r="A3707" t="s">
        <v>85</v>
      </c>
      <c r="B3707" s="16">
        <v>45973</v>
      </c>
      <c r="C3707">
        <v>8.1999999999999993</v>
      </c>
      <c r="D3707">
        <v>0</v>
      </c>
      <c r="E3707" t="s">
        <v>6134</v>
      </c>
    </row>
    <row r="3708" spans="1:5" x14ac:dyDescent="0.35">
      <c r="A3708" t="s">
        <v>85</v>
      </c>
      <c r="B3708" s="16">
        <v>45974</v>
      </c>
      <c r="C3708">
        <v>6.2</v>
      </c>
      <c r="D3708">
        <v>0</v>
      </c>
      <c r="E3708" t="s">
        <v>6134</v>
      </c>
    </row>
    <row r="3709" spans="1:5" x14ac:dyDescent="0.35">
      <c r="A3709" t="s">
        <v>85</v>
      </c>
      <c r="B3709" s="16">
        <v>45982</v>
      </c>
      <c r="C3709">
        <v>4.2</v>
      </c>
      <c r="D3709">
        <v>0</v>
      </c>
      <c r="E3709" t="s">
        <v>6132</v>
      </c>
    </row>
    <row r="3710" spans="1:5" x14ac:dyDescent="0.35">
      <c r="A3710" t="s">
        <v>85</v>
      </c>
      <c r="B3710" s="16">
        <v>45985</v>
      </c>
      <c r="C3710">
        <v>6.3</v>
      </c>
      <c r="D3710">
        <v>0</v>
      </c>
      <c r="E3710" t="s">
        <v>6132</v>
      </c>
    </row>
    <row r="3711" spans="1:5" x14ac:dyDescent="0.35">
      <c r="A3711" t="s">
        <v>85</v>
      </c>
      <c r="B3711" s="16">
        <v>45986</v>
      </c>
      <c r="C3711">
        <v>6.3</v>
      </c>
      <c r="D3711">
        <v>0</v>
      </c>
      <c r="E3711" t="s">
        <v>6132</v>
      </c>
    </row>
    <row r="3712" spans="1:5" x14ac:dyDescent="0.35">
      <c r="A3712" t="s">
        <v>85</v>
      </c>
      <c r="B3712" s="16">
        <v>45988</v>
      </c>
      <c r="C3712">
        <v>6.8</v>
      </c>
      <c r="D3712">
        <v>1</v>
      </c>
      <c r="E3712" t="s">
        <v>6132</v>
      </c>
    </row>
    <row r="3713" spans="1:5" x14ac:dyDescent="0.35">
      <c r="A3713" t="s">
        <v>85</v>
      </c>
      <c r="B3713" s="16">
        <v>45989</v>
      </c>
      <c r="C3713">
        <v>4</v>
      </c>
      <c r="D3713">
        <v>1</v>
      </c>
      <c r="E3713" t="s">
        <v>6132</v>
      </c>
    </row>
    <row r="3714" spans="1:5" x14ac:dyDescent="0.35">
      <c r="A3714" t="s">
        <v>85</v>
      </c>
      <c r="B3714" s="16">
        <v>45994</v>
      </c>
      <c r="C3714">
        <v>6.9</v>
      </c>
      <c r="D3714">
        <v>3</v>
      </c>
      <c r="E3714" t="s">
        <v>6132</v>
      </c>
    </row>
    <row r="3715" spans="1:5" x14ac:dyDescent="0.35">
      <c r="A3715" t="s">
        <v>85</v>
      </c>
      <c r="B3715" s="16">
        <v>45995</v>
      </c>
      <c r="D3715">
        <v>0</v>
      </c>
      <c r="E3715" t="s">
        <v>6132</v>
      </c>
    </row>
    <row r="3716" spans="1:5" x14ac:dyDescent="0.35">
      <c r="A3716" t="s">
        <v>85</v>
      </c>
      <c r="B3716" s="16">
        <v>45996</v>
      </c>
      <c r="D3716">
        <v>3</v>
      </c>
      <c r="E3716" t="s">
        <v>6132</v>
      </c>
    </row>
    <row r="3717" spans="1:5" x14ac:dyDescent="0.35">
      <c r="A3717" t="s">
        <v>85</v>
      </c>
      <c r="B3717" s="16">
        <v>45999</v>
      </c>
      <c r="D3717">
        <v>1</v>
      </c>
      <c r="E3717" t="s">
        <v>6132</v>
      </c>
    </row>
    <row r="3718" spans="1:5" x14ac:dyDescent="0.35">
      <c r="A3718" t="s">
        <v>85</v>
      </c>
      <c r="B3718" s="16">
        <v>46000</v>
      </c>
      <c r="C3718">
        <v>7.5</v>
      </c>
      <c r="D3718">
        <v>0</v>
      </c>
      <c r="E3718" t="s">
        <v>6132</v>
      </c>
    </row>
    <row r="3719" spans="1:5" x14ac:dyDescent="0.35">
      <c r="A3719" t="s">
        <v>85</v>
      </c>
      <c r="B3719" s="16">
        <v>46001</v>
      </c>
      <c r="C3719">
        <v>5.6</v>
      </c>
      <c r="D3719">
        <v>0</v>
      </c>
      <c r="E3719" t="s">
        <v>6132</v>
      </c>
    </row>
    <row r="3720" spans="1:5" x14ac:dyDescent="0.35">
      <c r="A3720" t="s">
        <v>85</v>
      </c>
      <c r="B3720" s="16">
        <v>46002</v>
      </c>
      <c r="C3720">
        <v>4.0999999999999996</v>
      </c>
      <c r="D3720">
        <v>0</v>
      </c>
      <c r="E3720" t="s">
        <v>6132</v>
      </c>
    </row>
    <row r="3721" spans="1:5" x14ac:dyDescent="0.35">
      <c r="A3721" t="s">
        <v>85</v>
      </c>
      <c r="B3721" s="16">
        <v>46003</v>
      </c>
      <c r="C3721">
        <v>5</v>
      </c>
      <c r="D3721">
        <v>0</v>
      </c>
      <c r="E3721" t="s">
        <v>6132</v>
      </c>
    </row>
    <row r="3722" spans="1:5" x14ac:dyDescent="0.35">
      <c r="A3722" t="s">
        <v>85</v>
      </c>
      <c r="B3722" s="16">
        <v>46007</v>
      </c>
      <c r="C3722">
        <v>8.1999999999999993</v>
      </c>
      <c r="D3722">
        <v>0</v>
      </c>
      <c r="E3722" t="s">
        <v>6132</v>
      </c>
    </row>
    <row r="3723" spans="1:5" x14ac:dyDescent="0.35">
      <c r="A3723" t="s">
        <v>85</v>
      </c>
      <c r="B3723" s="16">
        <v>46009</v>
      </c>
      <c r="C3723">
        <v>7.1</v>
      </c>
      <c r="D3723">
        <v>0</v>
      </c>
      <c r="E3723" t="s">
        <v>6132</v>
      </c>
    </row>
    <row r="3724" spans="1:5" x14ac:dyDescent="0.35">
      <c r="A3724" t="s">
        <v>85</v>
      </c>
      <c r="B3724" s="16">
        <v>46013</v>
      </c>
      <c r="C3724">
        <v>4.4000000000000004</v>
      </c>
      <c r="D3724">
        <v>0</v>
      </c>
      <c r="E3724" t="s">
        <v>6132</v>
      </c>
    </row>
    <row r="3725" spans="1:5" x14ac:dyDescent="0.35">
      <c r="A3725" t="s">
        <v>85</v>
      </c>
      <c r="B3725" s="16">
        <v>46021</v>
      </c>
      <c r="C3725">
        <v>8.9</v>
      </c>
      <c r="D3725">
        <v>1</v>
      </c>
      <c r="E3725" t="s">
        <v>6132</v>
      </c>
    </row>
    <row r="3726" spans="1:5" x14ac:dyDescent="0.35">
      <c r="A3726" t="s">
        <v>41</v>
      </c>
      <c r="B3726" s="16">
        <v>45658</v>
      </c>
      <c r="C3726">
        <v>6.2</v>
      </c>
      <c r="D3726">
        <v>2</v>
      </c>
      <c r="E3726" t="s">
        <v>6132</v>
      </c>
    </row>
    <row r="3727" spans="1:5" x14ac:dyDescent="0.35">
      <c r="A3727" t="s">
        <v>41</v>
      </c>
      <c r="B3727" s="16">
        <v>45660</v>
      </c>
      <c r="C3727">
        <v>6.6</v>
      </c>
      <c r="D3727">
        <v>0</v>
      </c>
      <c r="E3727" t="s">
        <v>6134</v>
      </c>
    </row>
    <row r="3728" spans="1:5" x14ac:dyDescent="0.35">
      <c r="A3728" t="s">
        <v>41</v>
      </c>
      <c r="B3728" s="16">
        <v>45665</v>
      </c>
      <c r="C3728">
        <v>6.7</v>
      </c>
      <c r="D3728">
        <v>0</v>
      </c>
      <c r="E3728" t="s">
        <v>6132</v>
      </c>
    </row>
    <row r="3729" spans="1:5" x14ac:dyDescent="0.35">
      <c r="A3729" t="s">
        <v>41</v>
      </c>
      <c r="B3729" s="16">
        <v>45670</v>
      </c>
      <c r="C3729">
        <v>7.4</v>
      </c>
      <c r="D3729">
        <v>0</v>
      </c>
      <c r="E3729" t="s">
        <v>6132</v>
      </c>
    </row>
    <row r="3730" spans="1:5" x14ac:dyDescent="0.35">
      <c r="A3730" t="s">
        <v>41</v>
      </c>
      <c r="B3730" s="16">
        <v>45671</v>
      </c>
      <c r="C3730">
        <v>8</v>
      </c>
      <c r="D3730">
        <v>0</v>
      </c>
      <c r="E3730" t="s">
        <v>6134</v>
      </c>
    </row>
    <row r="3731" spans="1:5" x14ac:dyDescent="0.35">
      <c r="A3731" t="s">
        <v>41</v>
      </c>
      <c r="B3731" s="16">
        <v>45673</v>
      </c>
      <c r="C3731">
        <v>8.1</v>
      </c>
      <c r="D3731">
        <v>1</v>
      </c>
      <c r="E3731" t="s">
        <v>6132</v>
      </c>
    </row>
    <row r="3732" spans="1:5" x14ac:dyDescent="0.35">
      <c r="A3732" t="s">
        <v>41</v>
      </c>
      <c r="B3732" s="16">
        <v>45674</v>
      </c>
      <c r="C3732">
        <v>9</v>
      </c>
      <c r="D3732">
        <v>0</v>
      </c>
      <c r="E3732" t="s">
        <v>6132</v>
      </c>
    </row>
    <row r="3733" spans="1:5" x14ac:dyDescent="0.35">
      <c r="A3733" t="s">
        <v>41</v>
      </c>
      <c r="B3733" s="16">
        <v>45679</v>
      </c>
      <c r="C3733">
        <v>6.8</v>
      </c>
      <c r="D3733">
        <v>1</v>
      </c>
      <c r="E3733" t="s">
        <v>6132</v>
      </c>
    </row>
    <row r="3734" spans="1:5" x14ac:dyDescent="0.35">
      <c r="A3734" t="s">
        <v>41</v>
      </c>
      <c r="B3734" s="16">
        <v>45680</v>
      </c>
      <c r="C3734">
        <v>4.8</v>
      </c>
      <c r="D3734">
        <v>1</v>
      </c>
      <c r="E3734" t="s">
        <v>6132</v>
      </c>
    </row>
    <row r="3735" spans="1:5" x14ac:dyDescent="0.35">
      <c r="A3735" t="s">
        <v>41</v>
      </c>
      <c r="B3735" s="16">
        <v>45684</v>
      </c>
      <c r="C3735">
        <v>8.6999999999999993</v>
      </c>
      <c r="D3735">
        <v>3</v>
      </c>
      <c r="E3735" t="s">
        <v>6132</v>
      </c>
    </row>
    <row r="3736" spans="1:5" x14ac:dyDescent="0.35">
      <c r="A3736" t="s">
        <v>41</v>
      </c>
      <c r="B3736" s="16">
        <v>45687</v>
      </c>
      <c r="C3736">
        <v>8.9</v>
      </c>
      <c r="D3736">
        <v>1</v>
      </c>
      <c r="E3736" t="s">
        <v>6132</v>
      </c>
    </row>
    <row r="3737" spans="1:5" x14ac:dyDescent="0.35">
      <c r="A3737" t="s">
        <v>41</v>
      </c>
      <c r="B3737" s="16">
        <v>45692</v>
      </c>
      <c r="C3737">
        <v>5</v>
      </c>
      <c r="D3737">
        <v>0</v>
      </c>
      <c r="E3737" t="s">
        <v>6132</v>
      </c>
    </row>
    <row r="3738" spans="1:5" x14ac:dyDescent="0.35">
      <c r="A3738" t="s">
        <v>41</v>
      </c>
      <c r="B3738" s="16">
        <v>45693</v>
      </c>
      <c r="C3738">
        <v>4.7</v>
      </c>
      <c r="D3738">
        <v>0</v>
      </c>
      <c r="E3738" t="s">
        <v>6132</v>
      </c>
    </row>
    <row r="3739" spans="1:5" x14ac:dyDescent="0.35">
      <c r="A3739" t="s">
        <v>41</v>
      </c>
      <c r="B3739" s="16">
        <v>45694</v>
      </c>
      <c r="C3739">
        <v>4.2</v>
      </c>
      <c r="D3739">
        <v>0</v>
      </c>
      <c r="E3739" t="s">
        <v>6132</v>
      </c>
    </row>
    <row r="3740" spans="1:5" x14ac:dyDescent="0.35">
      <c r="A3740" t="s">
        <v>41</v>
      </c>
      <c r="B3740" s="16">
        <v>45699</v>
      </c>
      <c r="C3740">
        <v>7</v>
      </c>
      <c r="D3740">
        <v>4</v>
      </c>
      <c r="E3740" t="s">
        <v>6132</v>
      </c>
    </row>
    <row r="3741" spans="1:5" x14ac:dyDescent="0.35">
      <c r="A3741" t="s">
        <v>41</v>
      </c>
      <c r="B3741" s="16">
        <v>45701</v>
      </c>
      <c r="C3741">
        <v>7.2</v>
      </c>
      <c r="D3741">
        <v>0</v>
      </c>
      <c r="E3741" t="s">
        <v>6132</v>
      </c>
    </row>
    <row r="3742" spans="1:5" x14ac:dyDescent="0.35">
      <c r="A3742" t="s">
        <v>41</v>
      </c>
      <c r="B3742" s="16">
        <v>45706</v>
      </c>
      <c r="C3742">
        <v>7.6</v>
      </c>
      <c r="D3742">
        <v>0</v>
      </c>
      <c r="E3742" t="s">
        <v>6132</v>
      </c>
    </row>
    <row r="3743" spans="1:5" x14ac:dyDescent="0.35">
      <c r="A3743" t="s">
        <v>41</v>
      </c>
      <c r="B3743" s="16">
        <v>45707</v>
      </c>
      <c r="C3743">
        <v>7.3</v>
      </c>
      <c r="D3743">
        <v>2</v>
      </c>
      <c r="E3743" t="s">
        <v>6132</v>
      </c>
    </row>
    <row r="3744" spans="1:5" x14ac:dyDescent="0.35">
      <c r="A3744" t="s">
        <v>41</v>
      </c>
      <c r="B3744" s="16">
        <v>45709</v>
      </c>
      <c r="C3744">
        <v>7</v>
      </c>
      <c r="D3744">
        <v>5</v>
      </c>
      <c r="E3744" t="s">
        <v>6132</v>
      </c>
    </row>
    <row r="3745" spans="1:5" x14ac:dyDescent="0.35">
      <c r="A3745" t="s">
        <v>41</v>
      </c>
      <c r="B3745" s="16">
        <v>45714</v>
      </c>
      <c r="C3745">
        <v>7.3</v>
      </c>
      <c r="D3745">
        <v>0</v>
      </c>
      <c r="E3745" t="s">
        <v>6132</v>
      </c>
    </row>
    <row r="3746" spans="1:5" x14ac:dyDescent="0.35">
      <c r="A3746" t="s">
        <v>41</v>
      </c>
      <c r="B3746" s="16">
        <v>45719</v>
      </c>
      <c r="C3746">
        <v>8.1999999999999993</v>
      </c>
      <c r="D3746">
        <v>1</v>
      </c>
      <c r="E3746" t="s">
        <v>6132</v>
      </c>
    </row>
    <row r="3747" spans="1:5" x14ac:dyDescent="0.35">
      <c r="A3747" t="s">
        <v>41</v>
      </c>
      <c r="B3747" s="16">
        <v>45721</v>
      </c>
      <c r="C3747">
        <v>4.8</v>
      </c>
      <c r="D3747">
        <v>0</v>
      </c>
      <c r="E3747" t="s">
        <v>6133</v>
      </c>
    </row>
    <row r="3748" spans="1:5" x14ac:dyDescent="0.35">
      <c r="A3748" t="s">
        <v>41</v>
      </c>
      <c r="B3748" s="16">
        <v>45722</v>
      </c>
      <c r="C3748">
        <v>8.3000000000000007</v>
      </c>
      <c r="D3748">
        <v>1</v>
      </c>
      <c r="E3748" t="s">
        <v>6132</v>
      </c>
    </row>
    <row r="3749" spans="1:5" x14ac:dyDescent="0.35">
      <c r="A3749" t="s">
        <v>41</v>
      </c>
      <c r="B3749" s="16">
        <v>45723</v>
      </c>
      <c r="C3749">
        <v>4</v>
      </c>
      <c r="D3749">
        <v>0</v>
      </c>
      <c r="E3749" t="s">
        <v>6132</v>
      </c>
    </row>
    <row r="3750" spans="1:5" x14ac:dyDescent="0.35">
      <c r="A3750" t="s">
        <v>41</v>
      </c>
      <c r="B3750" s="16">
        <v>45729</v>
      </c>
      <c r="C3750">
        <v>4.8</v>
      </c>
      <c r="D3750">
        <v>1</v>
      </c>
      <c r="E3750" t="s">
        <v>6132</v>
      </c>
    </row>
    <row r="3751" spans="1:5" x14ac:dyDescent="0.35">
      <c r="A3751" t="s">
        <v>41</v>
      </c>
      <c r="B3751" s="16">
        <v>45733</v>
      </c>
      <c r="C3751">
        <v>4.2</v>
      </c>
      <c r="D3751">
        <v>0</v>
      </c>
      <c r="E3751" t="s">
        <v>6133</v>
      </c>
    </row>
    <row r="3752" spans="1:5" x14ac:dyDescent="0.35">
      <c r="A3752" t="s">
        <v>41</v>
      </c>
      <c r="B3752" s="16">
        <v>45740</v>
      </c>
      <c r="C3752">
        <v>6.3</v>
      </c>
      <c r="D3752">
        <v>0</v>
      </c>
      <c r="E3752" t="s">
        <v>6133</v>
      </c>
    </row>
    <row r="3753" spans="1:5" x14ac:dyDescent="0.35">
      <c r="A3753" t="s">
        <v>41</v>
      </c>
      <c r="B3753" s="16">
        <v>45743</v>
      </c>
      <c r="C3753">
        <v>5</v>
      </c>
      <c r="D3753">
        <v>0</v>
      </c>
      <c r="E3753" t="s">
        <v>6132</v>
      </c>
    </row>
    <row r="3754" spans="1:5" x14ac:dyDescent="0.35">
      <c r="A3754" t="s">
        <v>41</v>
      </c>
      <c r="B3754" s="16">
        <v>45748</v>
      </c>
      <c r="C3754">
        <v>8.9</v>
      </c>
      <c r="D3754">
        <v>0</v>
      </c>
      <c r="E3754" t="s">
        <v>6132</v>
      </c>
    </row>
    <row r="3755" spans="1:5" x14ac:dyDescent="0.35">
      <c r="A3755" t="s">
        <v>41</v>
      </c>
      <c r="B3755" s="16">
        <v>45750</v>
      </c>
      <c r="C3755">
        <v>8.5</v>
      </c>
      <c r="D3755">
        <v>2</v>
      </c>
      <c r="E3755" t="s">
        <v>6132</v>
      </c>
    </row>
    <row r="3756" spans="1:5" x14ac:dyDescent="0.35">
      <c r="A3756" t="s">
        <v>41</v>
      </c>
      <c r="B3756" s="16">
        <v>45751</v>
      </c>
      <c r="C3756">
        <v>8</v>
      </c>
      <c r="D3756">
        <v>0</v>
      </c>
      <c r="E3756" t="s">
        <v>6132</v>
      </c>
    </row>
    <row r="3757" spans="1:5" x14ac:dyDescent="0.35">
      <c r="A3757" t="s">
        <v>41</v>
      </c>
      <c r="B3757" s="16">
        <v>45754</v>
      </c>
      <c r="C3757">
        <v>5.3</v>
      </c>
      <c r="D3757">
        <v>5</v>
      </c>
      <c r="E3757" t="s">
        <v>6132</v>
      </c>
    </row>
    <row r="3758" spans="1:5" x14ac:dyDescent="0.35">
      <c r="A3758" t="s">
        <v>41</v>
      </c>
      <c r="B3758" s="16">
        <v>45755</v>
      </c>
      <c r="C3758">
        <v>7.8</v>
      </c>
      <c r="D3758">
        <v>0</v>
      </c>
      <c r="E3758" t="s">
        <v>6132</v>
      </c>
    </row>
    <row r="3759" spans="1:5" x14ac:dyDescent="0.35">
      <c r="A3759" t="s">
        <v>41</v>
      </c>
      <c r="B3759" s="16">
        <v>45756</v>
      </c>
      <c r="C3759">
        <v>6.8</v>
      </c>
      <c r="D3759">
        <v>0</v>
      </c>
      <c r="E3759" t="s">
        <v>6132</v>
      </c>
    </row>
    <row r="3760" spans="1:5" x14ac:dyDescent="0.35">
      <c r="A3760" t="s">
        <v>41</v>
      </c>
      <c r="B3760" s="16">
        <v>45758</v>
      </c>
      <c r="C3760">
        <v>4.3</v>
      </c>
      <c r="D3760">
        <v>2</v>
      </c>
      <c r="E3760" t="s">
        <v>6132</v>
      </c>
    </row>
    <row r="3761" spans="1:5" x14ac:dyDescent="0.35">
      <c r="A3761" t="s">
        <v>41</v>
      </c>
      <c r="B3761" s="16">
        <v>45761</v>
      </c>
      <c r="C3761">
        <v>5.2</v>
      </c>
      <c r="D3761">
        <v>2</v>
      </c>
      <c r="E3761" t="s">
        <v>6132</v>
      </c>
    </row>
    <row r="3762" spans="1:5" x14ac:dyDescent="0.35">
      <c r="A3762" t="s">
        <v>41</v>
      </c>
      <c r="B3762" s="16">
        <v>45762</v>
      </c>
      <c r="C3762">
        <v>7</v>
      </c>
      <c r="D3762">
        <v>3</v>
      </c>
      <c r="E3762" t="s">
        <v>6132</v>
      </c>
    </row>
    <row r="3763" spans="1:5" x14ac:dyDescent="0.35">
      <c r="A3763" t="s">
        <v>41</v>
      </c>
      <c r="B3763" s="16">
        <v>45775</v>
      </c>
      <c r="C3763">
        <v>5.8</v>
      </c>
      <c r="D3763">
        <v>8</v>
      </c>
      <c r="E3763" t="s">
        <v>6132</v>
      </c>
    </row>
    <row r="3764" spans="1:5" x14ac:dyDescent="0.35">
      <c r="A3764" t="s">
        <v>41</v>
      </c>
      <c r="B3764" s="16">
        <v>45776</v>
      </c>
      <c r="C3764">
        <v>7.2</v>
      </c>
      <c r="D3764">
        <v>4</v>
      </c>
      <c r="E3764" t="s">
        <v>6132</v>
      </c>
    </row>
    <row r="3765" spans="1:5" x14ac:dyDescent="0.35">
      <c r="A3765" t="s">
        <v>41</v>
      </c>
      <c r="B3765" s="16">
        <v>45778</v>
      </c>
      <c r="C3765">
        <v>4.9000000000000004</v>
      </c>
      <c r="D3765">
        <v>1</v>
      </c>
      <c r="E3765" t="s">
        <v>6132</v>
      </c>
    </row>
    <row r="3766" spans="1:5" x14ac:dyDescent="0.35">
      <c r="A3766" t="s">
        <v>41</v>
      </c>
      <c r="B3766" s="16">
        <v>45779</v>
      </c>
      <c r="C3766">
        <v>6.9</v>
      </c>
      <c r="D3766">
        <v>0</v>
      </c>
      <c r="E3766" t="s">
        <v>6132</v>
      </c>
    </row>
    <row r="3767" spans="1:5" x14ac:dyDescent="0.35">
      <c r="A3767" t="s">
        <v>41</v>
      </c>
      <c r="B3767" s="16">
        <v>45782</v>
      </c>
      <c r="C3767">
        <v>4</v>
      </c>
      <c r="D3767">
        <v>1</v>
      </c>
      <c r="E3767" t="s">
        <v>6132</v>
      </c>
    </row>
    <row r="3768" spans="1:5" x14ac:dyDescent="0.35">
      <c r="A3768" t="s">
        <v>41</v>
      </c>
      <c r="B3768" s="16">
        <v>45783</v>
      </c>
      <c r="C3768">
        <v>7.4</v>
      </c>
      <c r="D3768">
        <v>2</v>
      </c>
      <c r="E3768" t="s">
        <v>6132</v>
      </c>
    </row>
    <row r="3769" spans="1:5" x14ac:dyDescent="0.35">
      <c r="A3769" t="s">
        <v>41</v>
      </c>
      <c r="B3769" s="16">
        <v>45786</v>
      </c>
      <c r="C3769">
        <v>5.4</v>
      </c>
      <c r="D3769">
        <v>0</v>
      </c>
      <c r="E3769" t="s">
        <v>6132</v>
      </c>
    </row>
    <row r="3770" spans="1:5" x14ac:dyDescent="0.35">
      <c r="A3770" t="s">
        <v>41</v>
      </c>
      <c r="B3770" s="16">
        <v>45790</v>
      </c>
      <c r="C3770">
        <v>4.5999999999999996</v>
      </c>
      <c r="D3770">
        <v>5</v>
      </c>
      <c r="E3770" t="s">
        <v>6132</v>
      </c>
    </row>
    <row r="3771" spans="1:5" x14ac:dyDescent="0.35">
      <c r="A3771" t="s">
        <v>41</v>
      </c>
      <c r="B3771" s="16">
        <v>45791</v>
      </c>
      <c r="C3771">
        <v>5.5</v>
      </c>
      <c r="D3771">
        <v>0</v>
      </c>
      <c r="E3771" t="s">
        <v>6132</v>
      </c>
    </row>
    <row r="3772" spans="1:5" x14ac:dyDescent="0.35">
      <c r="A3772" t="s">
        <v>41</v>
      </c>
      <c r="B3772" s="16">
        <v>45792</v>
      </c>
      <c r="C3772">
        <v>6.8</v>
      </c>
      <c r="D3772">
        <v>0</v>
      </c>
      <c r="E3772" t="s">
        <v>6132</v>
      </c>
    </row>
    <row r="3773" spans="1:5" x14ac:dyDescent="0.35">
      <c r="A3773" t="s">
        <v>41</v>
      </c>
      <c r="B3773" s="16">
        <v>45800</v>
      </c>
      <c r="C3773">
        <v>7.8</v>
      </c>
      <c r="D3773">
        <v>3</v>
      </c>
      <c r="E3773" t="s">
        <v>6132</v>
      </c>
    </row>
    <row r="3774" spans="1:5" x14ac:dyDescent="0.35">
      <c r="A3774" t="s">
        <v>41</v>
      </c>
      <c r="B3774" s="16">
        <v>45804</v>
      </c>
      <c r="C3774">
        <v>6.7</v>
      </c>
      <c r="D3774">
        <v>2</v>
      </c>
      <c r="E3774" t="s">
        <v>6132</v>
      </c>
    </row>
    <row r="3775" spans="1:5" x14ac:dyDescent="0.35">
      <c r="A3775" t="s">
        <v>41</v>
      </c>
      <c r="B3775" s="16">
        <v>45807</v>
      </c>
      <c r="C3775">
        <v>5.8</v>
      </c>
      <c r="D3775">
        <v>0</v>
      </c>
      <c r="E3775" t="s">
        <v>6134</v>
      </c>
    </row>
    <row r="3776" spans="1:5" x14ac:dyDescent="0.35">
      <c r="A3776" t="s">
        <v>41</v>
      </c>
      <c r="B3776" s="16">
        <v>45810</v>
      </c>
      <c r="C3776">
        <v>8.1999999999999993</v>
      </c>
      <c r="D3776">
        <v>3</v>
      </c>
      <c r="E3776" t="s">
        <v>6132</v>
      </c>
    </row>
    <row r="3777" spans="1:5" x14ac:dyDescent="0.35">
      <c r="A3777" t="s">
        <v>41</v>
      </c>
      <c r="B3777" s="16">
        <v>45817</v>
      </c>
      <c r="D3777">
        <v>0</v>
      </c>
      <c r="E3777" t="s">
        <v>6132</v>
      </c>
    </row>
    <row r="3778" spans="1:5" x14ac:dyDescent="0.35">
      <c r="A3778" t="s">
        <v>41</v>
      </c>
      <c r="B3778" s="16">
        <v>45818</v>
      </c>
      <c r="C3778">
        <v>5.4</v>
      </c>
      <c r="D3778">
        <v>1</v>
      </c>
      <c r="E3778" t="s">
        <v>6132</v>
      </c>
    </row>
    <row r="3779" spans="1:5" x14ac:dyDescent="0.35">
      <c r="A3779" t="s">
        <v>41</v>
      </c>
      <c r="B3779" s="16">
        <v>45819</v>
      </c>
      <c r="C3779">
        <v>5.5</v>
      </c>
      <c r="D3779">
        <v>0</v>
      </c>
      <c r="E3779" t="s">
        <v>6134</v>
      </c>
    </row>
    <row r="3780" spans="1:5" x14ac:dyDescent="0.35">
      <c r="A3780" t="s">
        <v>41</v>
      </c>
      <c r="B3780" s="16">
        <v>45820</v>
      </c>
      <c r="C3780">
        <v>4.0999999999999996</v>
      </c>
      <c r="D3780">
        <v>0</v>
      </c>
      <c r="E3780" t="s">
        <v>6132</v>
      </c>
    </row>
    <row r="3781" spans="1:5" x14ac:dyDescent="0.35">
      <c r="A3781" t="s">
        <v>41</v>
      </c>
      <c r="B3781" s="16">
        <v>45821</v>
      </c>
      <c r="C3781">
        <v>7.4</v>
      </c>
      <c r="D3781">
        <v>4</v>
      </c>
      <c r="E3781" t="s">
        <v>6132</v>
      </c>
    </row>
    <row r="3782" spans="1:5" x14ac:dyDescent="0.35">
      <c r="A3782" t="s">
        <v>41</v>
      </c>
      <c r="B3782" s="16">
        <v>45825</v>
      </c>
      <c r="C3782">
        <v>8.1999999999999993</v>
      </c>
      <c r="D3782">
        <v>0</v>
      </c>
      <c r="E3782" t="s">
        <v>6133</v>
      </c>
    </row>
    <row r="3783" spans="1:5" x14ac:dyDescent="0.35">
      <c r="A3783" t="s">
        <v>41</v>
      </c>
      <c r="B3783" s="16">
        <v>45828</v>
      </c>
      <c r="C3783">
        <v>6.8</v>
      </c>
      <c r="D3783">
        <v>2</v>
      </c>
      <c r="E3783" t="s">
        <v>6132</v>
      </c>
    </row>
    <row r="3784" spans="1:5" x14ac:dyDescent="0.35">
      <c r="A3784" t="s">
        <v>41</v>
      </c>
      <c r="B3784" s="16">
        <v>45831</v>
      </c>
      <c r="C3784">
        <v>6.8</v>
      </c>
      <c r="D3784">
        <v>2</v>
      </c>
      <c r="E3784" t="s">
        <v>6132</v>
      </c>
    </row>
    <row r="3785" spans="1:5" x14ac:dyDescent="0.35">
      <c r="A3785" t="s">
        <v>41</v>
      </c>
      <c r="B3785" s="16">
        <v>45832</v>
      </c>
      <c r="C3785">
        <v>5.2</v>
      </c>
      <c r="D3785">
        <v>0</v>
      </c>
      <c r="E3785" t="s">
        <v>6132</v>
      </c>
    </row>
    <row r="3786" spans="1:5" x14ac:dyDescent="0.35">
      <c r="A3786" t="s">
        <v>41</v>
      </c>
      <c r="B3786" s="16">
        <v>45833</v>
      </c>
      <c r="C3786">
        <v>9</v>
      </c>
      <c r="D3786">
        <v>0</v>
      </c>
      <c r="E3786" t="s">
        <v>6132</v>
      </c>
    </row>
    <row r="3787" spans="1:5" x14ac:dyDescent="0.35">
      <c r="A3787" t="s">
        <v>41</v>
      </c>
      <c r="B3787" s="16">
        <v>45835</v>
      </c>
      <c r="C3787">
        <v>7.9</v>
      </c>
      <c r="D3787">
        <v>0</v>
      </c>
      <c r="E3787" t="s">
        <v>6132</v>
      </c>
    </row>
    <row r="3788" spans="1:5" x14ac:dyDescent="0.35">
      <c r="A3788" t="s">
        <v>41</v>
      </c>
      <c r="B3788" s="16">
        <v>45838</v>
      </c>
      <c r="C3788">
        <v>7.4</v>
      </c>
      <c r="D3788">
        <v>0</v>
      </c>
      <c r="E3788" t="s">
        <v>6132</v>
      </c>
    </row>
    <row r="3789" spans="1:5" x14ac:dyDescent="0.35">
      <c r="A3789" t="s">
        <v>41</v>
      </c>
      <c r="B3789" s="16">
        <v>45839</v>
      </c>
      <c r="D3789">
        <v>2</v>
      </c>
      <c r="E3789" t="s">
        <v>6132</v>
      </c>
    </row>
    <row r="3790" spans="1:5" x14ac:dyDescent="0.35">
      <c r="A3790" t="s">
        <v>41</v>
      </c>
      <c r="B3790" s="16">
        <v>45846</v>
      </c>
      <c r="C3790">
        <v>8.1999999999999993</v>
      </c>
      <c r="D3790">
        <v>2</v>
      </c>
      <c r="E3790" t="s">
        <v>6132</v>
      </c>
    </row>
    <row r="3791" spans="1:5" x14ac:dyDescent="0.35">
      <c r="A3791" t="s">
        <v>41</v>
      </c>
      <c r="B3791" s="16">
        <v>45849</v>
      </c>
      <c r="C3791">
        <v>6.2</v>
      </c>
      <c r="D3791">
        <v>1</v>
      </c>
      <c r="E3791" t="s">
        <v>6132</v>
      </c>
    </row>
    <row r="3792" spans="1:5" x14ac:dyDescent="0.35">
      <c r="A3792" t="s">
        <v>41</v>
      </c>
      <c r="B3792" s="16">
        <v>45852</v>
      </c>
      <c r="C3792">
        <v>5.9</v>
      </c>
      <c r="D3792">
        <v>3</v>
      </c>
      <c r="E3792" t="s">
        <v>6132</v>
      </c>
    </row>
    <row r="3793" spans="1:5" x14ac:dyDescent="0.35">
      <c r="A3793" t="s">
        <v>41</v>
      </c>
      <c r="B3793" s="16">
        <v>45861</v>
      </c>
      <c r="D3793">
        <v>2</v>
      </c>
      <c r="E3793" t="s">
        <v>6132</v>
      </c>
    </row>
    <row r="3794" spans="1:5" x14ac:dyDescent="0.35">
      <c r="A3794" t="s">
        <v>41</v>
      </c>
      <c r="B3794" s="16">
        <v>45862</v>
      </c>
      <c r="C3794">
        <v>9</v>
      </c>
      <c r="D3794">
        <v>3</v>
      </c>
      <c r="E3794" t="s">
        <v>6132</v>
      </c>
    </row>
    <row r="3795" spans="1:5" x14ac:dyDescent="0.35">
      <c r="A3795" t="s">
        <v>41</v>
      </c>
      <c r="B3795" s="16">
        <v>45866</v>
      </c>
      <c r="C3795">
        <v>6.1</v>
      </c>
      <c r="D3795">
        <v>0</v>
      </c>
      <c r="E3795" t="s">
        <v>6133</v>
      </c>
    </row>
    <row r="3796" spans="1:5" x14ac:dyDescent="0.35">
      <c r="A3796" t="s">
        <v>41</v>
      </c>
      <c r="B3796" s="16">
        <v>45869</v>
      </c>
      <c r="C3796">
        <v>6</v>
      </c>
      <c r="D3796">
        <v>0</v>
      </c>
      <c r="E3796" t="s">
        <v>6134</v>
      </c>
    </row>
    <row r="3797" spans="1:5" x14ac:dyDescent="0.35">
      <c r="A3797" t="s">
        <v>41</v>
      </c>
      <c r="B3797" s="16">
        <v>45874</v>
      </c>
      <c r="C3797">
        <v>6.1</v>
      </c>
      <c r="D3797">
        <v>1</v>
      </c>
      <c r="E3797" t="s">
        <v>6132</v>
      </c>
    </row>
    <row r="3798" spans="1:5" x14ac:dyDescent="0.35">
      <c r="A3798" t="s">
        <v>41</v>
      </c>
      <c r="B3798" s="16">
        <v>45875</v>
      </c>
      <c r="C3798">
        <v>7</v>
      </c>
      <c r="D3798">
        <v>2</v>
      </c>
      <c r="E3798" t="s">
        <v>6132</v>
      </c>
    </row>
    <row r="3799" spans="1:5" x14ac:dyDescent="0.35">
      <c r="A3799" t="s">
        <v>41</v>
      </c>
      <c r="B3799" s="16">
        <v>45881</v>
      </c>
      <c r="C3799">
        <v>4.0999999999999996</v>
      </c>
      <c r="D3799">
        <v>5</v>
      </c>
      <c r="E3799" t="s">
        <v>6132</v>
      </c>
    </row>
    <row r="3800" spans="1:5" x14ac:dyDescent="0.35">
      <c r="A3800" t="s">
        <v>41</v>
      </c>
      <c r="B3800" s="16">
        <v>45887</v>
      </c>
      <c r="C3800">
        <v>5.7</v>
      </c>
      <c r="D3800">
        <v>4</v>
      </c>
      <c r="E3800" t="s">
        <v>6132</v>
      </c>
    </row>
    <row r="3801" spans="1:5" x14ac:dyDescent="0.35">
      <c r="A3801" t="s">
        <v>41</v>
      </c>
      <c r="B3801" s="16">
        <v>45889</v>
      </c>
      <c r="C3801">
        <v>6.5</v>
      </c>
      <c r="D3801">
        <v>6</v>
      </c>
      <c r="E3801" t="s">
        <v>6132</v>
      </c>
    </row>
    <row r="3802" spans="1:5" x14ac:dyDescent="0.35">
      <c r="A3802" t="s">
        <v>41</v>
      </c>
      <c r="B3802" s="16">
        <v>45891</v>
      </c>
      <c r="D3802">
        <v>2</v>
      </c>
      <c r="E3802" t="s">
        <v>6132</v>
      </c>
    </row>
    <row r="3803" spans="1:5" x14ac:dyDescent="0.35">
      <c r="A3803" t="s">
        <v>41</v>
      </c>
      <c r="B3803" s="16">
        <v>45894</v>
      </c>
      <c r="C3803">
        <v>8</v>
      </c>
      <c r="D3803">
        <v>3</v>
      </c>
      <c r="E3803" t="s">
        <v>6132</v>
      </c>
    </row>
    <row r="3804" spans="1:5" x14ac:dyDescent="0.35">
      <c r="A3804" t="s">
        <v>41</v>
      </c>
      <c r="B3804" s="16">
        <v>45896</v>
      </c>
      <c r="C3804">
        <v>5.9</v>
      </c>
      <c r="D3804">
        <v>1</v>
      </c>
      <c r="E3804" t="s">
        <v>6132</v>
      </c>
    </row>
    <row r="3805" spans="1:5" x14ac:dyDescent="0.35">
      <c r="A3805" t="s">
        <v>41</v>
      </c>
      <c r="B3805" s="16">
        <v>45897</v>
      </c>
      <c r="C3805">
        <v>8.1</v>
      </c>
      <c r="D3805">
        <v>1</v>
      </c>
      <c r="E3805" t="s">
        <v>6132</v>
      </c>
    </row>
    <row r="3806" spans="1:5" x14ac:dyDescent="0.35">
      <c r="A3806" t="s">
        <v>41</v>
      </c>
      <c r="B3806" s="16">
        <v>45902</v>
      </c>
      <c r="C3806">
        <v>6.5</v>
      </c>
      <c r="D3806">
        <v>1</v>
      </c>
      <c r="E3806" t="s">
        <v>6132</v>
      </c>
    </row>
    <row r="3807" spans="1:5" x14ac:dyDescent="0.35">
      <c r="A3807" t="s">
        <v>41</v>
      </c>
      <c r="B3807" s="16">
        <v>45904</v>
      </c>
      <c r="C3807">
        <v>4.9000000000000004</v>
      </c>
      <c r="D3807">
        <v>2</v>
      </c>
      <c r="E3807" t="s">
        <v>6132</v>
      </c>
    </row>
    <row r="3808" spans="1:5" x14ac:dyDescent="0.35">
      <c r="A3808" t="s">
        <v>41</v>
      </c>
      <c r="B3808" s="16">
        <v>45905</v>
      </c>
      <c r="C3808">
        <v>4.5999999999999996</v>
      </c>
      <c r="D3808">
        <v>4</v>
      </c>
      <c r="E3808" t="s">
        <v>6132</v>
      </c>
    </row>
    <row r="3809" spans="1:5" x14ac:dyDescent="0.35">
      <c r="A3809" t="s">
        <v>41</v>
      </c>
      <c r="B3809" s="16">
        <v>45908</v>
      </c>
      <c r="C3809">
        <v>5.0999999999999996</v>
      </c>
      <c r="D3809">
        <v>5</v>
      </c>
      <c r="E3809" t="s">
        <v>6132</v>
      </c>
    </row>
    <row r="3810" spans="1:5" x14ac:dyDescent="0.35">
      <c r="A3810" t="s">
        <v>41</v>
      </c>
      <c r="B3810" s="16">
        <v>45911</v>
      </c>
      <c r="C3810">
        <v>5.5</v>
      </c>
      <c r="D3810">
        <v>1</v>
      </c>
      <c r="E3810" t="s">
        <v>6132</v>
      </c>
    </row>
    <row r="3811" spans="1:5" x14ac:dyDescent="0.35">
      <c r="A3811" t="s">
        <v>41</v>
      </c>
      <c r="B3811" s="16">
        <v>45915</v>
      </c>
      <c r="C3811">
        <v>7.4</v>
      </c>
      <c r="D3811">
        <v>0</v>
      </c>
      <c r="E3811" t="s">
        <v>6132</v>
      </c>
    </row>
    <row r="3812" spans="1:5" x14ac:dyDescent="0.35">
      <c r="A3812" t="s">
        <v>41</v>
      </c>
      <c r="B3812" s="16">
        <v>45916</v>
      </c>
      <c r="C3812">
        <v>7.3</v>
      </c>
      <c r="D3812">
        <v>0</v>
      </c>
      <c r="E3812" t="s">
        <v>6132</v>
      </c>
    </row>
    <row r="3813" spans="1:5" x14ac:dyDescent="0.35">
      <c r="A3813" t="s">
        <v>41</v>
      </c>
      <c r="B3813" s="16">
        <v>45917</v>
      </c>
      <c r="C3813">
        <v>5.0999999999999996</v>
      </c>
      <c r="D3813">
        <v>0</v>
      </c>
      <c r="E3813" t="s">
        <v>6133</v>
      </c>
    </row>
    <row r="3814" spans="1:5" x14ac:dyDescent="0.35">
      <c r="A3814" t="s">
        <v>41</v>
      </c>
      <c r="B3814" s="16">
        <v>45918</v>
      </c>
      <c r="C3814">
        <v>8.5</v>
      </c>
      <c r="D3814">
        <v>1</v>
      </c>
      <c r="E3814" t="s">
        <v>6132</v>
      </c>
    </row>
    <row r="3815" spans="1:5" x14ac:dyDescent="0.35">
      <c r="A3815" t="s">
        <v>41</v>
      </c>
      <c r="B3815" s="16">
        <v>45922</v>
      </c>
      <c r="C3815">
        <v>7.3</v>
      </c>
      <c r="D3815">
        <v>3</v>
      </c>
      <c r="E3815" t="s">
        <v>6132</v>
      </c>
    </row>
    <row r="3816" spans="1:5" x14ac:dyDescent="0.35">
      <c r="A3816" t="s">
        <v>41</v>
      </c>
      <c r="B3816" s="16">
        <v>45924</v>
      </c>
      <c r="C3816">
        <v>8.6999999999999993</v>
      </c>
      <c r="D3816">
        <v>0</v>
      </c>
      <c r="E3816" t="s">
        <v>6132</v>
      </c>
    </row>
    <row r="3817" spans="1:5" x14ac:dyDescent="0.35">
      <c r="A3817" t="s">
        <v>41</v>
      </c>
      <c r="B3817" s="16">
        <v>45929</v>
      </c>
      <c r="C3817">
        <v>7</v>
      </c>
      <c r="D3817">
        <v>1</v>
      </c>
      <c r="E3817" t="s">
        <v>6132</v>
      </c>
    </row>
    <row r="3818" spans="1:5" x14ac:dyDescent="0.35">
      <c r="A3818" t="s">
        <v>41</v>
      </c>
      <c r="B3818" s="16">
        <v>45930</v>
      </c>
      <c r="C3818">
        <v>5.4</v>
      </c>
      <c r="D3818">
        <v>1</v>
      </c>
      <c r="E3818" t="s">
        <v>6132</v>
      </c>
    </row>
    <row r="3819" spans="1:5" x14ac:dyDescent="0.35">
      <c r="A3819" t="s">
        <v>41</v>
      </c>
      <c r="B3819" s="16">
        <v>45931</v>
      </c>
      <c r="C3819">
        <v>4.9000000000000004</v>
      </c>
      <c r="D3819">
        <v>0</v>
      </c>
      <c r="E3819" t="s">
        <v>6132</v>
      </c>
    </row>
    <row r="3820" spans="1:5" x14ac:dyDescent="0.35">
      <c r="A3820" t="s">
        <v>41</v>
      </c>
      <c r="B3820" s="16">
        <v>45933</v>
      </c>
      <c r="C3820">
        <v>4.0999999999999996</v>
      </c>
      <c r="D3820">
        <v>1</v>
      </c>
      <c r="E3820" t="s">
        <v>6132</v>
      </c>
    </row>
    <row r="3821" spans="1:5" x14ac:dyDescent="0.35">
      <c r="A3821" t="s">
        <v>41</v>
      </c>
      <c r="B3821" s="16">
        <v>45936</v>
      </c>
      <c r="C3821">
        <v>6.2</v>
      </c>
      <c r="D3821">
        <v>0</v>
      </c>
      <c r="E3821" t="s">
        <v>6132</v>
      </c>
    </row>
    <row r="3822" spans="1:5" x14ac:dyDescent="0.35">
      <c r="A3822" t="s">
        <v>41</v>
      </c>
      <c r="B3822" s="16">
        <v>45937</v>
      </c>
      <c r="C3822">
        <v>4.9000000000000004</v>
      </c>
      <c r="D3822">
        <v>1</v>
      </c>
      <c r="E3822" t="s">
        <v>6132</v>
      </c>
    </row>
    <row r="3823" spans="1:5" x14ac:dyDescent="0.35">
      <c r="A3823" t="s">
        <v>41</v>
      </c>
      <c r="B3823" s="16">
        <v>45938</v>
      </c>
      <c r="C3823">
        <v>7.9</v>
      </c>
      <c r="D3823">
        <v>1</v>
      </c>
      <c r="E3823" t="s">
        <v>6132</v>
      </c>
    </row>
    <row r="3824" spans="1:5" x14ac:dyDescent="0.35">
      <c r="A3824" t="s">
        <v>41</v>
      </c>
      <c r="B3824" s="16">
        <v>45939</v>
      </c>
      <c r="C3824">
        <v>5</v>
      </c>
      <c r="D3824">
        <v>4</v>
      </c>
      <c r="E3824" t="s">
        <v>6132</v>
      </c>
    </row>
    <row r="3825" spans="1:5" x14ac:dyDescent="0.35">
      <c r="A3825" t="s">
        <v>41</v>
      </c>
      <c r="B3825" s="16">
        <v>45940</v>
      </c>
      <c r="C3825">
        <v>5.8</v>
      </c>
      <c r="D3825">
        <v>0</v>
      </c>
      <c r="E3825" t="s">
        <v>6132</v>
      </c>
    </row>
    <row r="3826" spans="1:5" x14ac:dyDescent="0.35">
      <c r="A3826" t="s">
        <v>41</v>
      </c>
      <c r="B3826" s="16">
        <v>45943</v>
      </c>
      <c r="C3826">
        <v>7.4</v>
      </c>
      <c r="D3826">
        <v>1</v>
      </c>
      <c r="E3826" t="s">
        <v>6132</v>
      </c>
    </row>
    <row r="3827" spans="1:5" x14ac:dyDescent="0.35">
      <c r="A3827" t="s">
        <v>41</v>
      </c>
      <c r="B3827" s="16">
        <v>45947</v>
      </c>
      <c r="C3827">
        <v>8.5</v>
      </c>
      <c r="D3827">
        <v>1</v>
      </c>
      <c r="E3827" t="s">
        <v>6132</v>
      </c>
    </row>
    <row r="3828" spans="1:5" x14ac:dyDescent="0.35">
      <c r="A3828" t="s">
        <v>41</v>
      </c>
      <c r="B3828" s="16">
        <v>45950</v>
      </c>
      <c r="C3828">
        <v>6.3</v>
      </c>
      <c r="D3828">
        <v>0</v>
      </c>
      <c r="E3828" t="s">
        <v>6132</v>
      </c>
    </row>
    <row r="3829" spans="1:5" x14ac:dyDescent="0.35">
      <c r="A3829" t="s">
        <v>41</v>
      </c>
      <c r="B3829" s="16">
        <v>45952</v>
      </c>
      <c r="C3829">
        <v>7.5</v>
      </c>
      <c r="D3829">
        <v>0</v>
      </c>
      <c r="E3829" t="s">
        <v>6132</v>
      </c>
    </row>
    <row r="3830" spans="1:5" x14ac:dyDescent="0.35">
      <c r="A3830" t="s">
        <v>41</v>
      </c>
      <c r="B3830" s="16">
        <v>45958</v>
      </c>
      <c r="C3830">
        <v>4.9000000000000004</v>
      </c>
      <c r="D3830">
        <v>1</v>
      </c>
      <c r="E3830" t="s">
        <v>6132</v>
      </c>
    </row>
    <row r="3831" spans="1:5" x14ac:dyDescent="0.35">
      <c r="A3831" t="s">
        <v>41</v>
      </c>
      <c r="B3831" s="16">
        <v>45959</v>
      </c>
      <c r="C3831">
        <v>4</v>
      </c>
      <c r="D3831">
        <v>0</v>
      </c>
      <c r="E3831" t="s">
        <v>6132</v>
      </c>
    </row>
    <row r="3832" spans="1:5" x14ac:dyDescent="0.35">
      <c r="A3832" t="s">
        <v>41</v>
      </c>
      <c r="B3832" s="16">
        <v>45965</v>
      </c>
      <c r="C3832">
        <v>6.7</v>
      </c>
      <c r="D3832">
        <v>0</v>
      </c>
      <c r="E3832" t="s">
        <v>6132</v>
      </c>
    </row>
    <row r="3833" spans="1:5" x14ac:dyDescent="0.35">
      <c r="A3833" t="s">
        <v>41</v>
      </c>
      <c r="B3833" s="16">
        <v>45967</v>
      </c>
      <c r="C3833">
        <v>8.5</v>
      </c>
      <c r="D3833">
        <v>4</v>
      </c>
      <c r="E3833" t="s">
        <v>6132</v>
      </c>
    </row>
    <row r="3834" spans="1:5" x14ac:dyDescent="0.35">
      <c r="A3834" t="s">
        <v>41</v>
      </c>
      <c r="B3834" s="16">
        <v>45968</v>
      </c>
      <c r="C3834">
        <v>5.4</v>
      </c>
      <c r="D3834">
        <v>1</v>
      </c>
      <c r="E3834" t="s">
        <v>6132</v>
      </c>
    </row>
    <row r="3835" spans="1:5" x14ac:dyDescent="0.35">
      <c r="A3835" t="s">
        <v>41</v>
      </c>
      <c r="B3835" s="16">
        <v>45972</v>
      </c>
      <c r="C3835">
        <v>7.1</v>
      </c>
      <c r="D3835">
        <v>0</v>
      </c>
      <c r="E3835" t="s">
        <v>6132</v>
      </c>
    </row>
    <row r="3836" spans="1:5" x14ac:dyDescent="0.35">
      <c r="A3836" t="s">
        <v>41</v>
      </c>
      <c r="B3836" s="16">
        <v>45978</v>
      </c>
      <c r="C3836">
        <v>7.2</v>
      </c>
      <c r="D3836">
        <v>1</v>
      </c>
      <c r="E3836" t="s">
        <v>6132</v>
      </c>
    </row>
    <row r="3837" spans="1:5" x14ac:dyDescent="0.35">
      <c r="A3837" t="s">
        <v>41</v>
      </c>
      <c r="B3837" s="16">
        <v>45979</v>
      </c>
      <c r="C3837">
        <v>7.1</v>
      </c>
      <c r="D3837">
        <v>2</v>
      </c>
      <c r="E3837" t="s">
        <v>6132</v>
      </c>
    </row>
    <row r="3838" spans="1:5" x14ac:dyDescent="0.35">
      <c r="A3838" t="s">
        <v>41</v>
      </c>
      <c r="B3838" s="16">
        <v>45980</v>
      </c>
      <c r="C3838">
        <v>4.5</v>
      </c>
      <c r="D3838">
        <v>0</v>
      </c>
      <c r="E3838" t="s">
        <v>6132</v>
      </c>
    </row>
    <row r="3839" spans="1:5" x14ac:dyDescent="0.35">
      <c r="A3839" t="s">
        <v>41</v>
      </c>
      <c r="B3839" s="16">
        <v>45981</v>
      </c>
      <c r="C3839">
        <v>5.4</v>
      </c>
      <c r="D3839">
        <v>2</v>
      </c>
      <c r="E3839" t="s">
        <v>6132</v>
      </c>
    </row>
    <row r="3840" spans="1:5" x14ac:dyDescent="0.35">
      <c r="A3840" t="s">
        <v>41</v>
      </c>
      <c r="B3840" s="16">
        <v>45982</v>
      </c>
      <c r="C3840">
        <v>8.6</v>
      </c>
      <c r="D3840">
        <v>1</v>
      </c>
      <c r="E3840" t="s">
        <v>6132</v>
      </c>
    </row>
    <row r="3841" spans="1:5" x14ac:dyDescent="0.35">
      <c r="A3841" t="s">
        <v>41</v>
      </c>
      <c r="B3841" s="16">
        <v>45986</v>
      </c>
      <c r="C3841">
        <v>9</v>
      </c>
      <c r="D3841">
        <v>0</v>
      </c>
      <c r="E3841" t="s">
        <v>6133</v>
      </c>
    </row>
    <row r="3842" spans="1:5" x14ac:dyDescent="0.35">
      <c r="A3842" t="s">
        <v>41</v>
      </c>
      <c r="B3842" s="16">
        <v>45987</v>
      </c>
      <c r="C3842">
        <v>5.7</v>
      </c>
      <c r="D3842">
        <v>0</v>
      </c>
      <c r="E3842" t="s">
        <v>6132</v>
      </c>
    </row>
    <row r="3843" spans="1:5" x14ac:dyDescent="0.35">
      <c r="A3843" t="s">
        <v>41</v>
      </c>
      <c r="B3843" s="16">
        <v>45994</v>
      </c>
      <c r="D3843">
        <v>2</v>
      </c>
      <c r="E3843" t="s">
        <v>6132</v>
      </c>
    </row>
    <row r="3844" spans="1:5" x14ac:dyDescent="0.35">
      <c r="A3844" t="s">
        <v>41</v>
      </c>
      <c r="B3844" s="16">
        <v>45995</v>
      </c>
      <c r="C3844">
        <v>4.8</v>
      </c>
      <c r="D3844">
        <v>3</v>
      </c>
      <c r="E3844" t="s">
        <v>6132</v>
      </c>
    </row>
    <row r="3845" spans="1:5" x14ac:dyDescent="0.35">
      <c r="A3845" t="s">
        <v>41</v>
      </c>
      <c r="B3845" s="16">
        <v>45996</v>
      </c>
      <c r="C3845">
        <v>4.8</v>
      </c>
      <c r="D3845">
        <v>0</v>
      </c>
      <c r="E3845" t="s">
        <v>6132</v>
      </c>
    </row>
    <row r="3846" spans="1:5" x14ac:dyDescent="0.35">
      <c r="A3846" t="s">
        <v>41</v>
      </c>
      <c r="B3846" s="16">
        <v>45999</v>
      </c>
      <c r="C3846">
        <v>6.9</v>
      </c>
      <c r="D3846">
        <v>4</v>
      </c>
      <c r="E3846" t="s">
        <v>6132</v>
      </c>
    </row>
    <row r="3847" spans="1:5" x14ac:dyDescent="0.35">
      <c r="A3847" t="s">
        <v>41</v>
      </c>
      <c r="B3847" s="16">
        <v>46000</v>
      </c>
      <c r="C3847">
        <v>5.4</v>
      </c>
      <c r="D3847">
        <v>0</v>
      </c>
      <c r="E3847" t="s">
        <v>6134</v>
      </c>
    </row>
    <row r="3848" spans="1:5" x14ac:dyDescent="0.35">
      <c r="A3848" t="s">
        <v>41</v>
      </c>
      <c r="B3848" s="16">
        <v>46002</v>
      </c>
      <c r="C3848">
        <v>4.5</v>
      </c>
      <c r="D3848">
        <v>1</v>
      </c>
      <c r="E3848" t="s">
        <v>6132</v>
      </c>
    </row>
    <row r="3849" spans="1:5" x14ac:dyDescent="0.35">
      <c r="A3849" t="s">
        <v>41</v>
      </c>
      <c r="B3849" s="16">
        <v>46003</v>
      </c>
      <c r="C3849">
        <v>5.0999999999999996</v>
      </c>
      <c r="D3849">
        <v>3</v>
      </c>
      <c r="E3849" t="s">
        <v>6132</v>
      </c>
    </row>
    <row r="3850" spans="1:5" x14ac:dyDescent="0.35">
      <c r="A3850" t="s">
        <v>41</v>
      </c>
      <c r="B3850" s="16">
        <v>46009</v>
      </c>
      <c r="C3850">
        <v>6.4</v>
      </c>
      <c r="D3850">
        <v>0</v>
      </c>
      <c r="E3850" t="s">
        <v>6133</v>
      </c>
    </row>
    <row r="3851" spans="1:5" x14ac:dyDescent="0.35">
      <c r="A3851" t="s">
        <v>41</v>
      </c>
      <c r="B3851" s="16">
        <v>46010</v>
      </c>
      <c r="C3851">
        <v>7.4</v>
      </c>
      <c r="D3851">
        <v>2</v>
      </c>
      <c r="E3851" t="s">
        <v>6132</v>
      </c>
    </row>
    <row r="3852" spans="1:5" x14ac:dyDescent="0.35">
      <c r="A3852" t="s">
        <v>41</v>
      </c>
      <c r="B3852" s="16">
        <v>46014</v>
      </c>
      <c r="C3852">
        <v>7.9</v>
      </c>
      <c r="D3852">
        <v>0</v>
      </c>
      <c r="E3852" t="s">
        <v>6132</v>
      </c>
    </row>
    <row r="3853" spans="1:5" x14ac:dyDescent="0.35">
      <c r="A3853" t="s">
        <v>41</v>
      </c>
      <c r="B3853" s="16">
        <v>46017</v>
      </c>
      <c r="C3853">
        <v>5.5</v>
      </c>
      <c r="D3853">
        <v>3</v>
      </c>
      <c r="E3853" t="s">
        <v>6132</v>
      </c>
    </row>
    <row r="3854" spans="1:5" x14ac:dyDescent="0.35">
      <c r="A3854" t="s">
        <v>41</v>
      </c>
      <c r="B3854" s="16">
        <v>46020</v>
      </c>
      <c r="C3854">
        <v>8.6999999999999993</v>
      </c>
      <c r="D3854">
        <v>0</v>
      </c>
      <c r="E3854" t="s">
        <v>6132</v>
      </c>
    </row>
    <row r="3855" spans="1:5" x14ac:dyDescent="0.35">
      <c r="A3855" t="s">
        <v>41</v>
      </c>
      <c r="B3855" s="16">
        <v>46021</v>
      </c>
      <c r="C3855">
        <v>7.2</v>
      </c>
      <c r="D3855">
        <v>1</v>
      </c>
      <c r="E3855" t="s">
        <v>6132</v>
      </c>
    </row>
    <row r="3856" spans="1:5" x14ac:dyDescent="0.35">
      <c r="A3856" t="s">
        <v>6118</v>
      </c>
      <c r="B3856" s="16">
        <v>45664</v>
      </c>
      <c r="C3856">
        <v>5.5</v>
      </c>
      <c r="D3856">
        <v>0</v>
      </c>
      <c r="E3856" t="s">
        <v>6132</v>
      </c>
    </row>
    <row r="3857" spans="1:5" x14ac:dyDescent="0.35">
      <c r="A3857" t="s">
        <v>6118</v>
      </c>
      <c r="B3857" s="16">
        <v>45673</v>
      </c>
      <c r="C3857">
        <v>5.9</v>
      </c>
      <c r="D3857">
        <v>0</v>
      </c>
      <c r="E3857" t="s">
        <v>6132</v>
      </c>
    </row>
    <row r="3858" spans="1:5" x14ac:dyDescent="0.35">
      <c r="A3858" t="s">
        <v>6118</v>
      </c>
      <c r="B3858" s="16">
        <v>45674</v>
      </c>
      <c r="C3858">
        <v>5.4</v>
      </c>
      <c r="D3858">
        <v>0</v>
      </c>
      <c r="E3858" t="s">
        <v>6132</v>
      </c>
    </row>
    <row r="3859" spans="1:5" x14ac:dyDescent="0.35">
      <c r="A3859" t="s">
        <v>6118</v>
      </c>
      <c r="B3859" s="16">
        <v>45678</v>
      </c>
      <c r="C3859">
        <v>8.9</v>
      </c>
      <c r="D3859">
        <v>0</v>
      </c>
      <c r="E3859" t="s">
        <v>6132</v>
      </c>
    </row>
    <row r="3860" spans="1:5" x14ac:dyDescent="0.35">
      <c r="A3860" t="s">
        <v>6118</v>
      </c>
      <c r="B3860" s="16">
        <v>45681</v>
      </c>
      <c r="C3860">
        <v>5.9</v>
      </c>
      <c r="D3860">
        <v>0</v>
      </c>
      <c r="E3860" t="s">
        <v>6132</v>
      </c>
    </row>
    <row r="3861" spans="1:5" x14ac:dyDescent="0.35">
      <c r="A3861" t="s">
        <v>6118</v>
      </c>
      <c r="B3861" s="16">
        <v>45687</v>
      </c>
      <c r="C3861">
        <v>7</v>
      </c>
      <c r="D3861">
        <v>0</v>
      </c>
      <c r="E3861" t="s">
        <v>6132</v>
      </c>
    </row>
    <row r="3862" spans="1:5" x14ac:dyDescent="0.35">
      <c r="A3862" t="s">
        <v>6118</v>
      </c>
      <c r="B3862" s="16">
        <v>45688</v>
      </c>
      <c r="C3862">
        <v>5.0999999999999996</v>
      </c>
      <c r="D3862">
        <v>0</v>
      </c>
      <c r="E3862" t="s">
        <v>6132</v>
      </c>
    </row>
    <row r="3863" spans="1:5" x14ac:dyDescent="0.35">
      <c r="A3863" t="s">
        <v>6118</v>
      </c>
      <c r="B3863" s="16">
        <v>45698</v>
      </c>
      <c r="C3863">
        <v>8.3000000000000007</v>
      </c>
      <c r="D3863">
        <v>0</v>
      </c>
      <c r="E3863" t="s">
        <v>6132</v>
      </c>
    </row>
    <row r="3864" spans="1:5" x14ac:dyDescent="0.35">
      <c r="A3864" t="s">
        <v>6118</v>
      </c>
      <c r="B3864" s="16">
        <v>45699</v>
      </c>
      <c r="C3864">
        <v>8.1999999999999993</v>
      </c>
      <c r="D3864">
        <v>0</v>
      </c>
      <c r="E3864" t="s">
        <v>6132</v>
      </c>
    </row>
    <row r="3865" spans="1:5" x14ac:dyDescent="0.35">
      <c r="A3865" t="s">
        <v>6118</v>
      </c>
      <c r="B3865" s="16">
        <v>45706</v>
      </c>
      <c r="C3865">
        <v>4.5999999999999996</v>
      </c>
      <c r="D3865">
        <v>0</v>
      </c>
      <c r="E3865" t="s">
        <v>6132</v>
      </c>
    </row>
    <row r="3866" spans="1:5" x14ac:dyDescent="0.35">
      <c r="A3866" t="s">
        <v>6118</v>
      </c>
      <c r="B3866" s="16">
        <v>45709</v>
      </c>
      <c r="D3866">
        <v>0</v>
      </c>
      <c r="E3866" t="s">
        <v>6133</v>
      </c>
    </row>
    <row r="3867" spans="1:5" x14ac:dyDescent="0.35">
      <c r="A3867" t="s">
        <v>6118</v>
      </c>
      <c r="B3867" s="16">
        <v>45712</v>
      </c>
      <c r="C3867">
        <v>6.5</v>
      </c>
      <c r="D3867">
        <v>0</v>
      </c>
      <c r="E3867" t="s">
        <v>6132</v>
      </c>
    </row>
    <row r="3868" spans="1:5" x14ac:dyDescent="0.35">
      <c r="A3868" t="s">
        <v>6118</v>
      </c>
      <c r="B3868" s="16">
        <v>45713</v>
      </c>
      <c r="C3868">
        <v>7.9</v>
      </c>
      <c r="D3868">
        <v>0</v>
      </c>
      <c r="E3868" t="s">
        <v>6132</v>
      </c>
    </row>
    <row r="3869" spans="1:5" x14ac:dyDescent="0.35">
      <c r="A3869" t="s">
        <v>6118</v>
      </c>
      <c r="B3869" s="16">
        <v>45715</v>
      </c>
      <c r="C3869">
        <v>8.6</v>
      </c>
      <c r="D3869">
        <v>0</v>
      </c>
      <c r="E3869" t="s">
        <v>6132</v>
      </c>
    </row>
    <row r="3870" spans="1:5" x14ac:dyDescent="0.35">
      <c r="A3870" t="s">
        <v>6118</v>
      </c>
      <c r="B3870" s="16">
        <v>45727</v>
      </c>
      <c r="C3870">
        <v>7.3</v>
      </c>
      <c r="D3870">
        <v>0</v>
      </c>
      <c r="E3870" t="s">
        <v>6132</v>
      </c>
    </row>
    <row r="3871" spans="1:5" x14ac:dyDescent="0.35">
      <c r="A3871" t="s">
        <v>6118</v>
      </c>
      <c r="B3871" s="16">
        <v>45728</v>
      </c>
      <c r="C3871">
        <v>7.1</v>
      </c>
      <c r="D3871">
        <v>0</v>
      </c>
      <c r="E3871" t="s">
        <v>6132</v>
      </c>
    </row>
    <row r="3872" spans="1:5" x14ac:dyDescent="0.35">
      <c r="A3872" t="s">
        <v>6118</v>
      </c>
      <c r="B3872" s="16">
        <v>45729</v>
      </c>
      <c r="C3872">
        <v>5.9</v>
      </c>
      <c r="D3872">
        <v>0</v>
      </c>
      <c r="E3872" t="s">
        <v>6132</v>
      </c>
    </row>
    <row r="3873" spans="1:5" x14ac:dyDescent="0.35">
      <c r="A3873" t="s">
        <v>6118</v>
      </c>
      <c r="B3873" s="16">
        <v>45734</v>
      </c>
      <c r="C3873">
        <v>5.0999999999999996</v>
      </c>
      <c r="D3873">
        <v>0</v>
      </c>
      <c r="E3873" t="s">
        <v>6132</v>
      </c>
    </row>
    <row r="3874" spans="1:5" x14ac:dyDescent="0.35">
      <c r="A3874" t="s">
        <v>6118</v>
      </c>
      <c r="B3874" s="16">
        <v>45740</v>
      </c>
      <c r="C3874">
        <v>7.1</v>
      </c>
      <c r="D3874">
        <v>0</v>
      </c>
      <c r="E3874" t="s">
        <v>6132</v>
      </c>
    </row>
    <row r="3875" spans="1:5" x14ac:dyDescent="0.35">
      <c r="A3875" t="s">
        <v>6118</v>
      </c>
      <c r="B3875" s="16">
        <v>45741</v>
      </c>
      <c r="C3875">
        <v>6.5</v>
      </c>
      <c r="D3875">
        <v>0</v>
      </c>
      <c r="E3875" t="s">
        <v>6134</v>
      </c>
    </row>
    <row r="3876" spans="1:5" x14ac:dyDescent="0.35">
      <c r="A3876" t="s">
        <v>6118</v>
      </c>
      <c r="B3876" s="16">
        <v>45742</v>
      </c>
      <c r="C3876">
        <v>5.8</v>
      </c>
      <c r="D3876">
        <v>0</v>
      </c>
      <c r="E3876" t="s">
        <v>6132</v>
      </c>
    </row>
    <row r="3877" spans="1:5" x14ac:dyDescent="0.35">
      <c r="A3877" t="s">
        <v>6118</v>
      </c>
      <c r="B3877" s="16">
        <v>45743</v>
      </c>
      <c r="C3877">
        <v>6.9</v>
      </c>
      <c r="D3877">
        <v>0</v>
      </c>
      <c r="E3877" t="s">
        <v>6133</v>
      </c>
    </row>
    <row r="3878" spans="1:5" x14ac:dyDescent="0.35">
      <c r="A3878" t="s">
        <v>6118</v>
      </c>
      <c r="B3878" s="16">
        <v>45747</v>
      </c>
      <c r="C3878">
        <v>6.6</v>
      </c>
      <c r="D3878">
        <v>0</v>
      </c>
      <c r="E3878" t="s">
        <v>6134</v>
      </c>
    </row>
    <row r="3879" spans="1:5" x14ac:dyDescent="0.35">
      <c r="A3879" t="s">
        <v>6118</v>
      </c>
      <c r="B3879" s="16">
        <v>45749</v>
      </c>
      <c r="C3879">
        <v>7.2</v>
      </c>
      <c r="D3879">
        <v>0</v>
      </c>
      <c r="E3879" t="s">
        <v>6132</v>
      </c>
    </row>
    <row r="3880" spans="1:5" x14ac:dyDescent="0.35">
      <c r="A3880" t="s">
        <v>6118</v>
      </c>
      <c r="B3880" s="16">
        <v>45754</v>
      </c>
      <c r="C3880">
        <v>7.3</v>
      </c>
      <c r="D3880">
        <v>0</v>
      </c>
      <c r="E3880" t="s">
        <v>6132</v>
      </c>
    </row>
    <row r="3881" spans="1:5" x14ac:dyDescent="0.35">
      <c r="A3881" t="s">
        <v>6118</v>
      </c>
      <c r="B3881" s="16">
        <v>45756</v>
      </c>
      <c r="C3881">
        <v>5.6</v>
      </c>
      <c r="D3881">
        <v>0</v>
      </c>
      <c r="E3881" t="s">
        <v>6132</v>
      </c>
    </row>
    <row r="3882" spans="1:5" x14ac:dyDescent="0.35">
      <c r="A3882" t="s">
        <v>6118</v>
      </c>
      <c r="B3882" s="16">
        <v>45757</v>
      </c>
      <c r="C3882">
        <v>6.7</v>
      </c>
      <c r="D3882">
        <v>0</v>
      </c>
      <c r="E3882" t="s">
        <v>6132</v>
      </c>
    </row>
    <row r="3883" spans="1:5" x14ac:dyDescent="0.35">
      <c r="A3883" t="s">
        <v>6118</v>
      </c>
      <c r="B3883" s="16">
        <v>45761</v>
      </c>
      <c r="C3883">
        <v>4.5</v>
      </c>
      <c r="D3883">
        <v>0</v>
      </c>
      <c r="E3883" t="s">
        <v>6132</v>
      </c>
    </row>
    <row r="3884" spans="1:5" x14ac:dyDescent="0.35">
      <c r="A3884" t="s">
        <v>6118</v>
      </c>
      <c r="B3884" s="16">
        <v>45765</v>
      </c>
      <c r="D3884">
        <v>0</v>
      </c>
      <c r="E3884" t="s">
        <v>6132</v>
      </c>
    </row>
    <row r="3885" spans="1:5" x14ac:dyDescent="0.35">
      <c r="A3885" t="s">
        <v>6118</v>
      </c>
      <c r="B3885" s="16">
        <v>45769</v>
      </c>
      <c r="D3885">
        <v>0</v>
      </c>
      <c r="E3885" t="s">
        <v>6132</v>
      </c>
    </row>
    <row r="3886" spans="1:5" x14ac:dyDescent="0.35">
      <c r="A3886" t="s">
        <v>6118</v>
      </c>
      <c r="B3886" s="16">
        <v>45771</v>
      </c>
      <c r="C3886">
        <v>7</v>
      </c>
      <c r="D3886">
        <v>0</v>
      </c>
      <c r="E3886" t="s">
        <v>6132</v>
      </c>
    </row>
    <row r="3887" spans="1:5" x14ac:dyDescent="0.35">
      <c r="A3887" t="s">
        <v>6118</v>
      </c>
      <c r="B3887" s="16">
        <v>45772</v>
      </c>
      <c r="C3887">
        <v>5.2</v>
      </c>
      <c r="D3887">
        <v>0</v>
      </c>
      <c r="E3887" t="s">
        <v>6132</v>
      </c>
    </row>
    <row r="3888" spans="1:5" x14ac:dyDescent="0.35">
      <c r="A3888" t="s">
        <v>6118</v>
      </c>
      <c r="B3888" s="16">
        <v>45775</v>
      </c>
      <c r="C3888">
        <v>7.4</v>
      </c>
      <c r="D3888">
        <v>0</v>
      </c>
      <c r="E3888" t="s">
        <v>6132</v>
      </c>
    </row>
    <row r="3889" spans="1:5" x14ac:dyDescent="0.35">
      <c r="A3889" t="s">
        <v>6118</v>
      </c>
      <c r="B3889" s="16">
        <v>45776</v>
      </c>
      <c r="C3889">
        <v>6.2</v>
      </c>
      <c r="D3889">
        <v>0</v>
      </c>
      <c r="E3889" t="s">
        <v>6132</v>
      </c>
    </row>
    <row r="3890" spans="1:5" x14ac:dyDescent="0.35">
      <c r="A3890" t="s">
        <v>6118</v>
      </c>
      <c r="B3890" s="16">
        <v>45783</v>
      </c>
      <c r="C3890">
        <v>5.4</v>
      </c>
      <c r="D3890">
        <v>0</v>
      </c>
      <c r="E3890" t="s">
        <v>6132</v>
      </c>
    </row>
    <row r="3891" spans="1:5" x14ac:dyDescent="0.35">
      <c r="A3891" t="s">
        <v>6118</v>
      </c>
      <c r="B3891" s="16">
        <v>45785</v>
      </c>
      <c r="C3891">
        <v>7.4</v>
      </c>
      <c r="D3891">
        <v>0</v>
      </c>
      <c r="E3891" t="s">
        <v>6132</v>
      </c>
    </row>
    <row r="3892" spans="1:5" x14ac:dyDescent="0.35">
      <c r="A3892" t="s">
        <v>6118</v>
      </c>
      <c r="B3892" s="16">
        <v>45786</v>
      </c>
      <c r="C3892">
        <v>8.1999999999999993</v>
      </c>
      <c r="D3892">
        <v>0</v>
      </c>
      <c r="E3892" t="s">
        <v>6132</v>
      </c>
    </row>
    <row r="3893" spans="1:5" x14ac:dyDescent="0.35">
      <c r="A3893" t="s">
        <v>6118</v>
      </c>
      <c r="B3893" s="16">
        <v>45790</v>
      </c>
      <c r="C3893">
        <v>8.6</v>
      </c>
      <c r="D3893">
        <v>0</v>
      </c>
      <c r="E3893" t="s">
        <v>6132</v>
      </c>
    </row>
    <row r="3894" spans="1:5" x14ac:dyDescent="0.35">
      <c r="A3894" t="s">
        <v>6118</v>
      </c>
      <c r="B3894" s="16">
        <v>45797</v>
      </c>
      <c r="C3894">
        <v>4.3</v>
      </c>
      <c r="D3894">
        <v>0</v>
      </c>
      <c r="E3894" t="s">
        <v>6132</v>
      </c>
    </row>
    <row r="3895" spans="1:5" x14ac:dyDescent="0.35">
      <c r="A3895" t="s">
        <v>6118</v>
      </c>
      <c r="B3895" s="16">
        <v>45799</v>
      </c>
      <c r="C3895">
        <v>8.1999999999999993</v>
      </c>
      <c r="D3895">
        <v>0</v>
      </c>
      <c r="E3895" t="s">
        <v>6132</v>
      </c>
    </row>
    <row r="3896" spans="1:5" x14ac:dyDescent="0.35">
      <c r="A3896" t="s">
        <v>6118</v>
      </c>
      <c r="B3896" s="16">
        <v>45805</v>
      </c>
      <c r="C3896">
        <v>8.6</v>
      </c>
      <c r="D3896">
        <v>0</v>
      </c>
      <c r="E3896" t="s">
        <v>6132</v>
      </c>
    </row>
    <row r="3897" spans="1:5" x14ac:dyDescent="0.35">
      <c r="A3897" t="s">
        <v>6118</v>
      </c>
      <c r="B3897" s="16">
        <v>45810</v>
      </c>
      <c r="C3897">
        <v>7.6</v>
      </c>
      <c r="D3897">
        <v>0</v>
      </c>
      <c r="E3897" t="s">
        <v>6132</v>
      </c>
    </row>
    <row r="3898" spans="1:5" x14ac:dyDescent="0.35">
      <c r="A3898" t="s">
        <v>6118</v>
      </c>
      <c r="B3898" s="16">
        <v>45811</v>
      </c>
      <c r="C3898">
        <v>7.4</v>
      </c>
      <c r="D3898">
        <v>0</v>
      </c>
      <c r="E3898" t="s">
        <v>6132</v>
      </c>
    </row>
    <row r="3899" spans="1:5" x14ac:dyDescent="0.35">
      <c r="A3899" t="s">
        <v>6118</v>
      </c>
      <c r="B3899" s="16">
        <v>45814</v>
      </c>
      <c r="C3899">
        <v>7.1</v>
      </c>
      <c r="D3899">
        <v>0</v>
      </c>
      <c r="E3899" t="s">
        <v>6132</v>
      </c>
    </row>
    <row r="3900" spans="1:5" x14ac:dyDescent="0.35">
      <c r="A3900" t="s">
        <v>6118</v>
      </c>
      <c r="B3900" s="16">
        <v>45817</v>
      </c>
      <c r="C3900">
        <v>4.8</v>
      </c>
      <c r="D3900">
        <v>0</v>
      </c>
      <c r="E3900" t="s">
        <v>6132</v>
      </c>
    </row>
    <row r="3901" spans="1:5" x14ac:dyDescent="0.35">
      <c r="A3901" t="s">
        <v>6118</v>
      </c>
      <c r="B3901" s="16">
        <v>45820</v>
      </c>
      <c r="C3901">
        <v>4.2</v>
      </c>
      <c r="D3901">
        <v>0</v>
      </c>
      <c r="E3901" t="s">
        <v>6132</v>
      </c>
    </row>
    <row r="3902" spans="1:5" x14ac:dyDescent="0.35">
      <c r="A3902" t="s">
        <v>6118</v>
      </c>
      <c r="B3902" s="16">
        <v>45821</v>
      </c>
      <c r="D3902">
        <v>0</v>
      </c>
      <c r="E3902" t="s">
        <v>6132</v>
      </c>
    </row>
    <row r="3903" spans="1:5" x14ac:dyDescent="0.35">
      <c r="A3903" t="s">
        <v>6118</v>
      </c>
      <c r="B3903" s="16">
        <v>45824</v>
      </c>
      <c r="C3903">
        <v>4.7</v>
      </c>
      <c r="D3903">
        <v>0</v>
      </c>
      <c r="E3903" t="s">
        <v>6132</v>
      </c>
    </row>
    <row r="3904" spans="1:5" x14ac:dyDescent="0.35">
      <c r="A3904" t="s">
        <v>6118</v>
      </c>
      <c r="B3904" s="16">
        <v>45826</v>
      </c>
      <c r="C3904">
        <v>8.6999999999999993</v>
      </c>
      <c r="D3904">
        <v>0</v>
      </c>
      <c r="E3904" t="s">
        <v>6133</v>
      </c>
    </row>
    <row r="3905" spans="1:5" x14ac:dyDescent="0.35">
      <c r="A3905" t="s">
        <v>6118</v>
      </c>
      <c r="B3905" s="16">
        <v>45828</v>
      </c>
      <c r="C3905">
        <v>7.8</v>
      </c>
      <c r="D3905">
        <v>0</v>
      </c>
      <c r="E3905" t="s">
        <v>6132</v>
      </c>
    </row>
    <row r="3906" spans="1:5" x14ac:dyDescent="0.35">
      <c r="A3906" t="s">
        <v>6118</v>
      </c>
      <c r="B3906" s="16">
        <v>45832</v>
      </c>
      <c r="C3906">
        <v>5</v>
      </c>
      <c r="D3906">
        <v>0</v>
      </c>
      <c r="E3906" t="s">
        <v>6132</v>
      </c>
    </row>
    <row r="3907" spans="1:5" x14ac:dyDescent="0.35">
      <c r="A3907" t="s">
        <v>6118</v>
      </c>
      <c r="B3907" s="16">
        <v>45835</v>
      </c>
      <c r="C3907">
        <v>6.3</v>
      </c>
      <c r="D3907">
        <v>0</v>
      </c>
      <c r="E3907" t="s">
        <v>6132</v>
      </c>
    </row>
    <row r="3908" spans="1:5" x14ac:dyDescent="0.35">
      <c r="A3908" t="s">
        <v>6118</v>
      </c>
      <c r="B3908" s="16">
        <v>45841</v>
      </c>
      <c r="D3908">
        <v>0</v>
      </c>
      <c r="E3908" t="s">
        <v>6132</v>
      </c>
    </row>
    <row r="3909" spans="1:5" x14ac:dyDescent="0.35">
      <c r="A3909" t="s">
        <v>6118</v>
      </c>
      <c r="B3909" s="16">
        <v>45847</v>
      </c>
      <c r="C3909">
        <v>6.7</v>
      </c>
      <c r="D3909">
        <v>0</v>
      </c>
      <c r="E3909" t="s">
        <v>6132</v>
      </c>
    </row>
    <row r="3910" spans="1:5" x14ac:dyDescent="0.35">
      <c r="A3910" t="s">
        <v>6118</v>
      </c>
      <c r="B3910" s="16">
        <v>45852</v>
      </c>
      <c r="C3910">
        <v>4.0999999999999996</v>
      </c>
      <c r="D3910">
        <v>0</v>
      </c>
      <c r="E3910" t="s">
        <v>6132</v>
      </c>
    </row>
    <row r="3911" spans="1:5" x14ac:dyDescent="0.35">
      <c r="A3911" t="s">
        <v>6118</v>
      </c>
      <c r="B3911" s="16">
        <v>45854</v>
      </c>
      <c r="C3911">
        <v>8.4</v>
      </c>
      <c r="D3911">
        <v>0</v>
      </c>
      <c r="E3911" t="s">
        <v>6132</v>
      </c>
    </row>
    <row r="3912" spans="1:5" x14ac:dyDescent="0.35">
      <c r="A3912" t="s">
        <v>6118</v>
      </c>
      <c r="B3912" s="16">
        <v>45856</v>
      </c>
      <c r="C3912">
        <v>5.5</v>
      </c>
      <c r="D3912">
        <v>0</v>
      </c>
      <c r="E3912" t="s">
        <v>6132</v>
      </c>
    </row>
    <row r="3913" spans="1:5" x14ac:dyDescent="0.35">
      <c r="A3913" t="s">
        <v>6118</v>
      </c>
      <c r="B3913" s="16">
        <v>45862</v>
      </c>
      <c r="C3913">
        <v>8.1999999999999993</v>
      </c>
      <c r="D3913">
        <v>0</v>
      </c>
      <c r="E3913" t="s">
        <v>6132</v>
      </c>
    </row>
    <row r="3914" spans="1:5" x14ac:dyDescent="0.35">
      <c r="A3914" t="s">
        <v>6118</v>
      </c>
      <c r="B3914" s="16">
        <v>45873</v>
      </c>
      <c r="C3914">
        <v>6.6</v>
      </c>
      <c r="D3914">
        <v>0</v>
      </c>
      <c r="E3914" t="s">
        <v>6132</v>
      </c>
    </row>
    <row r="3915" spans="1:5" x14ac:dyDescent="0.35">
      <c r="A3915" t="s">
        <v>6118</v>
      </c>
      <c r="B3915" s="16">
        <v>45875</v>
      </c>
      <c r="C3915">
        <v>8</v>
      </c>
      <c r="D3915">
        <v>0</v>
      </c>
      <c r="E3915" t="s">
        <v>6132</v>
      </c>
    </row>
    <row r="3916" spans="1:5" x14ac:dyDescent="0.35">
      <c r="A3916" t="s">
        <v>6118</v>
      </c>
      <c r="B3916" s="16">
        <v>45877</v>
      </c>
      <c r="C3916">
        <v>7.3</v>
      </c>
      <c r="D3916">
        <v>0</v>
      </c>
      <c r="E3916" t="s">
        <v>6132</v>
      </c>
    </row>
    <row r="3917" spans="1:5" x14ac:dyDescent="0.35">
      <c r="A3917" t="s">
        <v>6118</v>
      </c>
      <c r="B3917" s="16">
        <v>45881</v>
      </c>
      <c r="C3917">
        <v>4.5</v>
      </c>
      <c r="D3917">
        <v>0</v>
      </c>
      <c r="E3917" t="s">
        <v>6132</v>
      </c>
    </row>
    <row r="3918" spans="1:5" x14ac:dyDescent="0.35">
      <c r="A3918" t="s">
        <v>6118</v>
      </c>
      <c r="B3918" s="16">
        <v>45883</v>
      </c>
      <c r="C3918">
        <v>4.5</v>
      </c>
      <c r="D3918">
        <v>0</v>
      </c>
      <c r="E3918" t="s">
        <v>6132</v>
      </c>
    </row>
    <row r="3919" spans="1:5" x14ac:dyDescent="0.35">
      <c r="A3919" t="s">
        <v>6118</v>
      </c>
      <c r="B3919" s="16">
        <v>45884</v>
      </c>
      <c r="C3919">
        <v>4.8</v>
      </c>
      <c r="D3919">
        <v>0</v>
      </c>
      <c r="E3919" t="s">
        <v>6132</v>
      </c>
    </row>
    <row r="3920" spans="1:5" x14ac:dyDescent="0.35">
      <c r="A3920" t="s">
        <v>6118</v>
      </c>
      <c r="B3920" s="16">
        <v>45887</v>
      </c>
      <c r="D3920">
        <v>0</v>
      </c>
      <c r="E3920" t="s">
        <v>6132</v>
      </c>
    </row>
    <row r="3921" spans="1:5" x14ac:dyDescent="0.35">
      <c r="A3921" t="s">
        <v>6118</v>
      </c>
      <c r="B3921" s="16">
        <v>45889</v>
      </c>
      <c r="C3921">
        <v>8</v>
      </c>
      <c r="D3921">
        <v>0</v>
      </c>
      <c r="E3921" t="s">
        <v>6132</v>
      </c>
    </row>
    <row r="3922" spans="1:5" x14ac:dyDescent="0.35">
      <c r="A3922" t="s">
        <v>6118</v>
      </c>
      <c r="B3922" s="16">
        <v>45890</v>
      </c>
      <c r="C3922">
        <v>8.1</v>
      </c>
      <c r="D3922">
        <v>0</v>
      </c>
      <c r="E3922" t="s">
        <v>6132</v>
      </c>
    </row>
    <row r="3923" spans="1:5" x14ac:dyDescent="0.35">
      <c r="A3923" t="s">
        <v>6118</v>
      </c>
      <c r="B3923" s="16">
        <v>45891</v>
      </c>
      <c r="C3923">
        <v>7</v>
      </c>
      <c r="D3923">
        <v>0</v>
      </c>
      <c r="E3923" t="s">
        <v>6132</v>
      </c>
    </row>
    <row r="3924" spans="1:5" x14ac:dyDescent="0.35">
      <c r="A3924" t="s">
        <v>6118</v>
      </c>
      <c r="B3924" s="16">
        <v>45894</v>
      </c>
      <c r="C3924">
        <v>7.9</v>
      </c>
      <c r="D3924">
        <v>0</v>
      </c>
      <c r="E3924" t="s">
        <v>6132</v>
      </c>
    </row>
    <row r="3925" spans="1:5" x14ac:dyDescent="0.35">
      <c r="A3925" t="s">
        <v>6118</v>
      </c>
      <c r="B3925" s="16">
        <v>45895</v>
      </c>
      <c r="C3925">
        <v>7</v>
      </c>
      <c r="D3925">
        <v>0</v>
      </c>
      <c r="E3925" t="s">
        <v>6132</v>
      </c>
    </row>
    <row r="3926" spans="1:5" x14ac:dyDescent="0.35">
      <c r="A3926" t="s">
        <v>6118</v>
      </c>
      <c r="B3926" s="16">
        <v>45901</v>
      </c>
      <c r="C3926">
        <v>7.1</v>
      </c>
      <c r="D3926">
        <v>0</v>
      </c>
      <c r="E3926" t="s">
        <v>6132</v>
      </c>
    </row>
    <row r="3927" spans="1:5" x14ac:dyDescent="0.35">
      <c r="A3927" t="s">
        <v>6118</v>
      </c>
      <c r="B3927" s="16">
        <v>45902</v>
      </c>
      <c r="C3927">
        <v>7</v>
      </c>
      <c r="D3927">
        <v>0</v>
      </c>
      <c r="E3927" t="s">
        <v>6132</v>
      </c>
    </row>
    <row r="3928" spans="1:5" x14ac:dyDescent="0.35">
      <c r="A3928" t="s">
        <v>6118</v>
      </c>
      <c r="B3928" s="16">
        <v>45904</v>
      </c>
      <c r="C3928">
        <v>6.4</v>
      </c>
      <c r="D3928">
        <v>0</v>
      </c>
      <c r="E3928" t="s">
        <v>6132</v>
      </c>
    </row>
    <row r="3929" spans="1:5" x14ac:dyDescent="0.35">
      <c r="A3929" t="s">
        <v>6118</v>
      </c>
      <c r="B3929" s="16">
        <v>45905</v>
      </c>
      <c r="C3929">
        <v>8.9</v>
      </c>
      <c r="D3929">
        <v>0</v>
      </c>
      <c r="E3929" t="s">
        <v>6132</v>
      </c>
    </row>
    <row r="3930" spans="1:5" x14ac:dyDescent="0.35">
      <c r="A3930" t="s">
        <v>6118</v>
      </c>
      <c r="B3930" s="16">
        <v>45908</v>
      </c>
      <c r="C3930">
        <v>7</v>
      </c>
      <c r="D3930">
        <v>0</v>
      </c>
      <c r="E3930" t="s">
        <v>6132</v>
      </c>
    </row>
    <row r="3931" spans="1:5" x14ac:dyDescent="0.35">
      <c r="A3931" t="s">
        <v>6118</v>
      </c>
      <c r="B3931" s="16">
        <v>45909</v>
      </c>
      <c r="D3931">
        <v>0</v>
      </c>
      <c r="E3931" t="s">
        <v>6132</v>
      </c>
    </row>
    <row r="3932" spans="1:5" x14ac:dyDescent="0.35">
      <c r="A3932" t="s">
        <v>6118</v>
      </c>
      <c r="B3932" s="16">
        <v>45910</v>
      </c>
      <c r="C3932">
        <v>4.7</v>
      </c>
      <c r="D3932">
        <v>0</v>
      </c>
      <c r="E3932" t="s">
        <v>6132</v>
      </c>
    </row>
    <row r="3933" spans="1:5" x14ac:dyDescent="0.35">
      <c r="A3933" t="s">
        <v>6118</v>
      </c>
      <c r="B3933" s="16">
        <v>45911</v>
      </c>
      <c r="C3933">
        <v>7.2</v>
      </c>
      <c r="D3933">
        <v>0</v>
      </c>
      <c r="E3933" t="s">
        <v>6132</v>
      </c>
    </row>
    <row r="3934" spans="1:5" x14ac:dyDescent="0.35">
      <c r="A3934" t="s">
        <v>6118</v>
      </c>
      <c r="B3934" s="16">
        <v>45915</v>
      </c>
      <c r="C3934">
        <v>8.4</v>
      </c>
      <c r="D3934">
        <v>0</v>
      </c>
      <c r="E3934" t="s">
        <v>6134</v>
      </c>
    </row>
    <row r="3935" spans="1:5" x14ac:dyDescent="0.35">
      <c r="A3935" t="s">
        <v>6118</v>
      </c>
      <c r="B3935" s="16">
        <v>45929</v>
      </c>
      <c r="C3935">
        <v>7.2</v>
      </c>
      <c r="D3935">
        <v>0</v>
      </c>
      <c r="E3935" t="s">
        <v>6132</v>
      </c>
    </row>
    <row r="3936" spans="1:5" x14ac:dyDescent="0.35">
      <c r="A3936" t="s">
        <v>6118</v>
      </c>
      <c r="B3936" s="16">
        <v>45931</v>
      </c>
      <c r="C3936">
        <v>8.1</v>
      </c>
      <c r="D3936">
        <v>0</v>
      </c>
      <c r="E3936" t="s">
        <v>6132</v>
      </c>
    </row>
    <row r="3937" spans="1:5" x14ac:dyDescent="0.35">
      <c r="A3937" t="s">
        <v>6118</v>
      </c>
      <c r="B3937" s="16">
        <v>45933</v>
      </c>
      <c r="C3937">
        <v>7.3</v>
      </c>
      <c r="D3937">
        <v>0</v>
      </c>
      <c r="E3937" t="s">
        <v>6132</v>
      </c>
    </row>
    <row r="3938" spans="1:5" x14ac:dyDescent="0.35">
      <c r="A3938" t="s">
        <v>6118</v>
      </c>
      <c r="B3938" s="16">
        <v>45937</v>
      </c>
      <c r="C3938">
        <v>8.6</v>
      </c>
      <c r="D3938">
        <v>0</v>
      </c>
      <c r="E3938" t="s">
        <v>6132</v>
      </c>
    </row>
    <row r="3939" spans="1:5" x14ac:dyDescent="0.35">
      <c r="A3939" t="s">
        <v>6118</v>
      </c>
      <c r="B3939" s="16">
        <v>45939</v>
      </c>
      <c r="C3939">
        <v>7.7</v>
      </c>
      <c r="D3939">
        <v>0</v>
      </c>
      <c r="E3939" t="s">
        <v>6132</v>
      </c>
    </row>
    <row r="3940" spans="1:5" x14ac:dyDescent="0.35">
      <c r="A3940" t="s">
        <v>6118</v>
      </c>
      <c r="B3940" s="16">
        <v>45943</v>
      </c>
      <c r="C3940">
        <v>5.3</v>
      </c>
      <c r="D3940">
        <v>0</v>
      </c>
      <c r="E3940" t="s">
        <v>6132</v>
      </c>
    </row>
    <row r="3941" spans="1:5" x14ac:dyDescent="0.35">
      <c r="A3941" t="s">
        <v>6118</v>
      </c>
      <c r="B3941" s="16">
        <v>45944</v>
      </c>
      <c r="C3941">
        <v>7.5</v>
      </c>
      <c r="D3941">
        <v>0</v>
      </c>
      <c r="E3941" t="s">
        <v>6132</v>
      </c>
    </row>
    <row r="3942" spans="1:5" x14ac:dyDescent="0.35">
      <c r="A3942" t="s">
        <v>6118</v>
      </c>
      <c r="B3942" s="16">
        <v>45946</v>
      </c>
      <c r="C3942">
        <v>4.9000000000000004</v>
      </c>
      <c r="D3942">
        <v>0</v>
      </c>
      <c r="E3942" t="s">
        <v>6134</v>
      </c>
    </row>
    <row r="3943" spans="1:5" x14ac:dyDescent="0.35">
      <c r="A3943" t="s">
        <v>6118</v>
      </c>
      <c r="B3943" s="16">
        <v>45947</v>
      </c>
      <c r="C3943">
        <v>6</v>
      </c>
      <c r="D3943">
        <v>0</v>
      </c>
      <c r="E3943" t="s">
        <v>6132</v>
      </c>
    </row>
    <row r="3944" spans="1:5" x14ac:dyDescent="0.35">
      <c r="A3944" t="s">
        <v>6118</v>
      </c>
      <c r="B3944" s="16">
        <v>45964</v>
      </c>
      <c r="C3944">
        <v>8.9</v>
      </c>
      <c r="D3944">
        <v>0</v>
      </c>
      <c r="E3944" t="s">
        <v>6132</v>
      </c>
    </row>
    <row r="3945" spans="1:5" x14ac:dyDescent="0.35">
      <c r="A3945" t="s">
        <v>6118</v>
      </c>
      <c r="B3945" s="16">
        <v>45972</v>
      </c>
      <c r="C3945">
        <v>7.8</v>
      </c>
      <c r="D3945">
        <v>0</v>
      </c>
      <c r="E3945" t="s">
        <v>6132</v>
      </c>
    </row>
    <row r="3946" spans="1:5" x14ac:dyDescent="0.35">
      <c r="A3946" t="s">
        <v>6118</v>
      </c>
      <c r="B3946" s="16">
        <v>45981</v>
      </c>
      <c r="C3946">
        <v>6.7</v>
      </c>
      <c r="D3946">
        <v>0</v>
      </c>
      <c r="E3946" t="s">
        <v>6132</v>
      </c>
    </row>
    <row r="3947" spans="1:5" x14ac:dyDescent="0.35">
      <c r="A3947" t="s">
        <v>6118</v>
      </c>
      <c r="B3947" s="16">
        <v>45982</v>
      </c>
      <c r="C3947">
        <v>8.6</v>
      </c>
      <c r="D3947">
        <v>0</v>
      </c>
      <c r="E3947" t="s">
        <v>6132</v>
      </c>
    </row>
    <row r="3948" spans="1:5" x14ac:dyDescent="0.35">
      <c r="A3948" t="s">
        <v>6118</v>
      </c>
      <c r="B3948" s="16">
        <v>45985</v>
      </c>
      <c r="D3948">
        <v>0</v>
      </c>
      <c r="E3948" t="s">
        <v>6132</v>
      </c>
    </row>
    <row r="3949" spans="1:5" x14ac:dyDescent="0.35">
      <c r="A3949" t="s">
        <v>6118</v>
      </c>
      <c r="B3949" s="16">
        <v>45989</v>
      </c>
      <c r="C3949">
        <v>8.8000000000000007</v>
      </c>
      <c r="D3949">
        <v>0</v>
      </c>
      <c r="E3949" t="s">
        <v>6132</v>
      </c>
    </row>
    <row r="3950" spans="1:5" x14ac:dyDescent="0.35">
      <c r="A3950" t="s">
        <v>6118</v>
      </c>
      <c r="B3950" s="16">
        <v>45995</v>
      </c>
      <c r="C3950">
        <v>6.5</v>
      </c>
      <c r="D3950">
        <v>0</v>
      </c>
      <c r="E3950" t="s">
        <v>6132</v>
      </c>
    </row>
    <row r="3951" spans="1:5" x14ac:dyDescent="0.35">
      <c r="A3951" t="s">
        <v>6118</v>
      </c>
      <c r="B3951" s="16">
        <v>45999</v>
      </c>
      <c r="C3951">
        <v>7.4</v>
      </c>
      <c r="D3951">
        <v>0</v>
      </c>
      <c r="E3951" t="s">
        <v>6132</v>
      </c>
    </row>
    <row r="3952" spans="1:5" x14ac:dyDescent="0.35">
      <c r="A3952" t="s">
        <v>6118</v>
      </c>
      <c r="B3952" s="16">
        <v>46002</v>
      </c>
      <c r="C3952">
        <v>4.2</v>
      </c>
      <c r="D3952">
        <v>0</v>
      </c>
      <c r="E3952" t="s">
        <v>6132</v>
      </c>
    </row>
    <row r="3953" spans="1:5" x14ac:dyDescent="0.35">
      <c r="A3953" t="s">
        <v>6118</v>
      </c>
      <c r="B3953" s="16">
        <v>46003</v>
      </c>
      <c r="C3953">
        <v>8</v>
      </c>
      <c r="D3953">
        <v>0</v>
      </c>
      <c r="E3953" t="s">
        <v>6133</v>
      </c>
    </row>
    <row r="3954" spans="1:5" x14ac:dyDescent="0.35">
      <c r="A3954" t="s">
        <v>6118</v>
      </c>
      <c r="B3954" s="16">
        <v>46008</v>
      </c>
      <c r="D3954">
        <v>0</v>
      </c>
      <c r="E3954" t="s">
        <v>6132</v>
      </c>
    </row>
    <row r="3955" spans="1:5" x14ac:dyDescent="0.35">
      <c r="A3955" t="s">
        <v>6118</v>
      </c>
      <c r="B3955" s="16">
        <v>46010</v>
      </c>
      <c r="C3955">
        <v>6.7</v>
      </c>
      <c r="D3955">
        <v>0</v>
      </c>
      <c r="E3955" t="s">
        <v>6132</v>
      </c>
    </row>
    <row r="3956" spans="1:5" x14ac:dyDescent="0.35">
      <c r="A3956" t="s">
        <v>6118</v>
      </c>
      <c r="B3956" s="16">
        <v>46015</v>
      </c>
      <c r="C3956">
        <v>7.5</v>
      </c>
      <c r="D3956">
        <v>0</v>
      </c>
      <c r="E3956" t="s">
        <v>6134</v>
      </c>
    </row>
    <row r="3957" spans="1:5" x14ac:dyDescent="0.35">
      <c r="A3957" t="s">
        <v>6118</v>
      </c>
      <c r="B3957" s="16">
        <v>46021</v>
      </c>
      <c r="C3957">
        <v>7.2</v>
      </c>
      <c r="D3957">
        <v>0</v>
      </c>
      <c r="E3957" t="s">
        <v>6132</v>
      </c>
    </row>
    <row r="3958" spans="1:5" x14ac:dyDescent="0.35">
      <c r="A3958" t="s">
        <v>6118</v>
      </c>
      <c r="B3958" s="16">
        <v>46022</v>
      </c>
      <c r="C3958">
        <v>4.3</v>
      </c>
      <c r="D3958">
        <v>0</v>
      </c>
      <c r="E3958" t="s">
        <v>6132</v>
      </c>
    </row>
    <row r="3959" spans="1:5" x14ac:dyDescent="0.35">
      <c r="A3959" t="s">
        <v>181</v>
      </c>
      <c r="B3959" s="16">
        <v>45658</v>
      </c>
      <c r="C3959">
        <v>8.3000000000000007</v>
      </c>
      <c r="D3959">
        <v>3</v>
      </c>
      <c r="E3959" t="s">
        <v>6132</v>
      </c>
    </row>
    <row r="3960" spans="1:5" x14ac:dyDescent="0.35">
      <c r="A3960" t="s">
        <v>181</v>
      </c>
      <c r="B3960" s="16">
        <v>45664</v>
      </c>
      <c r="C3960">
        <v>6.9</v>
      </c>
      <c r="D3960">
        <v>0</v>
      </c>
      <c r="E3960" t="s">
        <v>6132</v>
      </c>
    </row>
    <row r="3961" spans="1:5" x14ac:dyDescent="0.35">
      <c r="A3961" t="s">
        <v>181</v>
      </c>
      <c r="B3961" s="16">
        <v>45666</v>
      </c>
      <c r="C3961">
        <v>7.2</v>
      </c>
      <c r="D3961">
        <v>1</v>
      </c>
      <c r="E3961" t="s">
        <v>6132</v>
      </c>
    </row>
    <row r="3962" spans="1:5" x14ac:dyDescent="0.35">
      <c r="A3962" t="s">
        <v>181</v>
      </c>
      <c r="B3962" s="16">
        <v>45670</v>
      </c>
      <c r="C3962">
        <v>7.7</v>
      </c>
      <c r="D3962">
        <v>0</v>
      </c>
      <c r="E3962" t="s">
        <v>6132</v>
      </c>
    </row>
    <row r="3963" spans="1:5" x14ac:dyDescent="0.35">
      <c r="A3963" t="s">
        <v>181</v>
      </c>
      <c r="B3963" s="16">
        <v>45673</v>
      </c>
      <c r="C3963">
        <v>7.6</v>
      </c>
      <c r="D3963">
        <v>0</v>
      </c>
      <c r="E3963" t="s">
        <v>6132</v>
      </c>
    </row>
    <row r="3964" spans="1:5" x14ac:dyDescent="0.35">
      <c r="A3964" t="s">
        <v>181</v>
      </c>
      <c r="B3964" s="16">
        <v>45674</v>
      </c>
      <c r="C3964">
        <v>7.5</v>
      </c>
      <c r="D3964">
        <v>1</v>
      </c>
      <c r="E3964" t="s">
        <v>6132</v>
      </c>
    </row>
    <row r="3965" spans="1:5" x14ac:dyDescent="0.35">
      <c r="A3965" t="s">
        <v>181</v>
      </c>
      <c r="B3965" s="16">
        <v>45684</v>
      </c>
      <c r="C3965">
        <v>8.6</v>
      </c>
      <c r="D3965">
        <v>0</v>
      </c>
      <c r="E3965" t="s">
        <v>6134</v>
      </c>
    </row>
    <row r="3966" spans="1:5" x14ac:dyDescent="0.35">
      <c r="A3966" t="s">
        <v>181</v>
      </c>
      <c r="B3966" s="16">
        <v>45685</v>
      </c>
      <c r="C3966">
        <v>5.5</v>
      </c>
      <c r="D3966">
        <v>0</v>
      </c>
      <c r="E3966" t="s">
        <v>6133</v>
      </c>
    </row>
    <row r="3967" spans="1:5" x14ac:dyDescent="0.35">
      <c r="A3967" t="s">
        <v>181</v>
      </c>
      <c r="B3967" s="16">
        <v>45686</v>
      </c>
      <c r="C3967">
        <v>8.1999999999999993</v>
      </c>
      <c r="D3967">
        <v>0</v>
      </c>
      <c r="E3967" t="s">
        <v>6132</v>
      </c>
    </row>
    <row r="3968" spans="1:5" x14ac:dyDescent="0.35">
      <c r="A3968" t="s">
        <v>181</v>
      </c>
      <c r="B3968" s="16">
        <v>45687</v>
      </c>
      <c r="C3968">
        <v>6</v>
      </c>
      <c r="D3968">
        <v>0</v>
      </c>
      <c r="E3968" t="s">
        <v>6134</v>
      </c>
    </row>
    <row r="3969" spans="1:5" x14ac:dyDescent="0.35">
      <c r="A3969" t="s">
        <v>181</v>
      </c>
      <c r="B3969" s="16">
        <v>45691</v>
      </c>
      <c r="C3969">
        <v>8.5</v>
      </c>
      <c r="D3969">
        <v>0</v>
      </c>
      <c r="E3969" t="s">
        <v>6133</v>
      </c>
    </row>
    <row r="3970" spans="1:5" x14ac:dyDescent="0.35">
      <c r="A3970" t="s">
        <v>181</v>
      </c>
      <c r="B3970" s="16">
        <v>45693</v>
      </c>
      <c r="C3970">
        <v>8.5</v>
      </c>
      <c r="D3970">
        <v>1</v>
      </c>
      <c r="E3970" t="s">
        <v>6132</v>
      </c>
    </row>
    <row r="3971" spans="1:5" x14ac:dyDescent="0.35">
      <c r="A3971" t="s">
        <v>181</v>
      </c>
      <c r="B3971" s="16">
        <v>45695</v>
      </c>
      <c r="C3971">
        <v>7.2</v>
      </c>
      <c r="D3971">
        <v>0</v>
      </c>
      <c r="E3971" t="s">
        <v>6132</v>
      </c>
    </row>
    <row r="3972" spans="1:5" x14ac:dyDescent="0.35">
      <c r="A3972" t="s">
        <v>181</v>
      </c>
      <c r="B3972" s="16">
        <v>45702</v>
      </c>
      <c r="C3972">
        <v>6.7</v>
      </c>
      <c r="D3972">
        <v>4</v>
      </c>
      <c r="E3972" t="s">
        <v>6132</v>
      </c>
    </row>
    <row r="3973" spans="1:5" x14ac:dyDescent="0.35">
      <c r="A3973" t="s">
        <v>181</v>
      </c>
      <c r="B3973" s="16">
        <v>45705</v>
      </c>
      <c r="C3973">
        <v>7.2</v>
      </c>
      <c r="D3973">
        <v>1</v>
      </c>
      <c r="E3973" t="s">
        <v>6132</v>
      </c>
    </row>
    <row r="3974" spans="1:5" x14ac:dyDescent="0.35">
      <c r="A3974" t="s">
        <v>181</v>
      </c>
      <c r="B3974" s="16">
        <v>45706</v>
      </c>
      <c r="C3974">
        <v>8.3000000000000007</v>
      </c>
      <c r="D3974">
        <v>0</v>
      </c>
      <c r="E3974" t="s">
        <v>6132</v>
      </c>
    </row>
    <row r="3975" spans="1:5" x14ac:dyDescent="0.35">
      <c r="A3975" t="s">
        <v>181</v>
      </c>
      <c r="B3975" s="16">
        <v>45708</v>
      </c>
      <c r="C3975">
        <v>6.9</v>
      </c>
      <c r="D3975">
        <v>0</v>
      </c>
      <c r="E3975" t="s">
        <v>6132</v>
      </c>
    </row>
    <row r="3976" spans="1:5" x14ac:dyDescent="0.35">
      <c r="A3976" t="s">
        <v>181</v>
      </c>
      <c r="B3976" s="16">
        <v>45709</v>
      </c>
      <c r="C3976">
        <v>7.1</v>
      </c>
      <c r="D3976">
        <v>1</v>
      </c>
      <c r="E3976" t="s">
        <v>6132</v>
      </c>
    </row>
    <row r="3977" spans="1:5" x14ac:dyDescent="0.35">
      <c r="A3977" t="s">
        <v>181</v>
      </c>
      <c r="B3977" s="16">
        <v>45713</v>
      </c>
      <c r="C3977">
        <v>4.7</v>
      </c>
      <c r="D3977">
        <v>1</v>
      </c>
      <c r="E3977" t="s">
        <v>6132</v>
      </c>
    </row>
    <row r="3978" spans="1:5" x14ac:dyDescent="0.35">
      <c r="A3978" t="s">
        <v>181</v>
      </c>
      <c r="B3978" s="16">
        <v>45716</v>
      </c>
      <c r="C3978">
        <v>5.4</v>
      </c>
      <c r="D3978">
        <v>0</v>
      </c>
      <c r="E3978" t="s">
        <v>6132</v>
      </c>
    </row>
    <row r="3979" spans="1:5" x14ac:dyDescent="0.35">
      <c r="A3979" t="s">
        <v>181</v>
      </c>
      <c r="B3979" s="16">
        <v>45721</v>
      </c>
      <c r="C3979">
        <v>4.5999999999999996</v>
      </c>
      <c r="D3979">
        <v>2</v>
      </c>
      <c r="E3979" t="s">
        <v>6132</v>
      </c>
    </row>
    <row r="3980" spans="1:5" x14ac:dyDescent="0.35">
      <c r="A3980" t="s">
        <v>181</v>
      </c>
      <c r="B3980" s="16">
        <v>45723</v>
      </c>
      <c r="C3980">
        <v>7.8</v>
      </c>
      <c r="D3980">
        <v>1</v>
      </c>
      <c r="E3980" t="s">
        <v>6132</v>
      </c>
    </row>
    <row r="3981" spans="1:5" x14ac:dyDescent="0.35">
      <c r="A3981" t="s">
        <v>181</v>
      </c>
      <c r="B3981" s="16">
        <v>45728</v>
      </c>
      <c r="C3981">
        <v>8.6999999999999993</v>
      </c>
      <c r="D3981">
        <v>1</v>
      </c>
      <c r="E3981" t="s">
        <v>6132</v>
      </c>
    </row>
    <row r="3982" spans="1:5" x14ac:dyDescent="0.35">
      <c r="A3982" t="s">
        <v>181</v>
      </c>
      <c r="B3982" s="16">
        <v>45729</v>
      </c>
      <c r="C3982">
        <v>8.5</v>
      </c>
      <c r="D3982">
        <v>1</v>
      </c>
      <c r="E3982" t="s">
        <v>6132</v>
      </c>
    </row>
    <row r="3983" spans="1:5" x14ac:dyDescent="0.35">
      <c r="A3983" t="s">
        <v>181</v>
      </c>
      <c r="B3983" s="16">
        <v>45733</v>
      </c>
      <c r="C3983">
        <v>6.2</v>
      </c>
      <c r="D3983">
        <v>1</v>
      </c>
      <c r="E3983" t="s">
        <v>6132</v>
      </c>
    </row>
    <row r="3984" spans="1:5" x14ac:dyDescent="0.35">
      <c r="A3984" t="s">
        <v>181</v>
      </c>
      <c r="B3984" s="16">
        <v>45737</v>
      </c>
      <c r="C3984">
        <v>4.8</v>
      </c>
      <c r="D3984">
        <v>0</v>
      </c>
      <c r="E3984" t="s">
        <v>6132</v>
      </c>
    </row>
    <row r="3985" spans="1:5" x14ac:dyDescent="0.35">
      <c r="A3985" t="s">
        <v>181</v>
      </c>
      <c r="B3985" s="16">
        <v>45740</v>
      </c>
      <c r="C3985">
        <v>7.6</v>
      </c>
      <c r="D3985">
        <v>0</v>
      </c>
      <c r="E3985" t="s">
        <v>6132</v>
      </c>
    </row>
    <row r="3986" spans="1:5" x14ac:dyDescent="0.35">
      <c r="A3986" t="s">
        <v>181</v>
      </c>
      <c r="B3986" s="16">
        <v>45742</v>
      </c>
      <c r="C3986">
        <v>6.6</v>
      </c>
      <c r="D3986">
        <v>0</v>
      </c>
      <c r="E3986" t="s">
        <v>6134</v>
      </c>
    </row>
    <row r="3987" spans="1:5" x14ac:dyDescent="0.35">
      <c r="A3987" t="s">
        <v>181</v>
      </c>
      <c r="B3987" s="16">
        <v>45747</v>
      </c>
      <c r="C3987">
        <v>7.8</v>
      </c>
      <c r="D3987">
        <v>0</v>
      </c>
      <c r="E3987" t="s">
        <v>6134</v>
      </c>
    </row>
    <row r="3988" spans="1:5" x14ac:dyDescent="0.35">
      <c r="A3988" t="s">
        <v>181</v>
      </c>
      <c r="B3988" s="16">
        <v>45748</v>
      </c>
      <c r="C3988">
        <v>5.5</v>
      </c>
      <c r="D3988">
        <v>1</v>
      </c>
      <c r="E3988" t="s">
        <v>6132</v>
      </c>
    </row>
    <row r="3989" spans="1:5" x14ac:dyDescent="0.35">
      <c r="A3989" t="s">
        <v>181</v>
      </c>
      <c r="B3989" s="16">
        <v>45749</v>
      </c>
      <c r="C3989">
        <v>6</v>
      </c>
      <c r="D3989">
        <v>0</v>
      </c>
      <c r="E3989" t="s">
        <v>6132</v>
      </c>
    </row>
    <row r="3990" spans="1:5" x14ac:dyDescent="0.35">
      <c r="A3990" t="s">
        <v>181</v>
      </c>
      <c r="B3990" s="16">
        <v>45751</v>
      </c>
      <c r="C3990">
        <v>6.7</v>
      </c>
      <c r="D3990">
        <v>0</v>
      </c>
      <c r="E3990" t="s">
        <v>6132</v>
      </c>
    </row>
    <row r="3991" spans="1:5" x14ac:dyDescent="0.35">
      <c r="A3991" t="s">
        <v>181</v>
      </c>
      <c r="B3991" s="16">
        <v>45755</v>
      </c>
      <c r="C3991">
        <v>5.9</v>
      </c>
      <c r="D3991">
        <v>1</v>
      </c>
      <c r="E3991" t="s">
        <v>6132</v>
      </c>
    </row>
    <row r="3992" spans="1:5" x14ac:dyDescent="0.35">
      <c r="A3992" t="s">
        <v>181</v>
      </c>
      <c r="B3992" s="16">
        <v>45756</v>
      </c>
      <c r="C3992">
        <v>7.4</v>
      </c>
      <c r="D3992">
        <v>0</v>
      </c>
      <c r="E3992" t="s">
        <v>6132</v>
      </c>
    </row>
    <row r="3993" spans="1:5" x14ac:dyDescent="0.35">
      <c r="A3993" t="s">
        <v>181</v>
      </c>
      <c r="B3993" s="16">
        <v>45757</v>
      </c>
      <c r="C3993">
        <v>7</v>
      </c>
      <c r="D3993">
        <v>0</v>
      </c>
      <c r="E3993" t="s">
        <v>6132</v>
      </c>
    </row>
    <row r="3994" spans="1:5" x14ac:dyDescent="0.35">
      <c r="A3994" t="s">
        <v>181</v>
      </c>
      <c r="B3994" s="16">
        <v>45761</v>
      </c>
      <c r="C3994">
        <v>4.9000000000000004</v>
      </c>
      <c r="D3994">
        <v>1</v>
      </c>
      <c r="E3994" t="s">
        <v>6132</v>
      </c>
    </row>
    <row r="3995" spans="1:5" x14ac:dyDescent="0.35">
      <c r="A3995" t="s">
        <v>181</v>
      </c>
      <c r="B3995" s="16">
        <v>45762</v>
      </c>
      <c r="C3995">
        <v>5.4</v>
      </c>
      <c r="D3995">
        <v>0</v>
      </c>
      <c r="E3995" t="s">
        <v>6132</v>
      </c>
    </row>
    <row r="3996" spans="1:5" x14ac:dyDescent="0.35">
      <c r="A3996" t="s">
        <v>181</v>
      </c>
      <c r="B3996" s="16">
        <v>45764</v>
      </c>
      <c r="C3996">
        <v>8.1999999999999993</v>
      </c>
      <c r="D3996">
        <v>1</v>
      </c>
      <c r="E3996" t="s">
        <v>6132</v>
      </c>
    </row>
    <row r="3997" spans="1:5" x14ac:dyDescent="0.35">
      <c r="A3997" t="s">
        <v>181</v>
      </c>
      <c r="B3997" s="16">
        <v>45765</v>
      </c>
      <c r="C3997">
        <v>7</v>
      </c>
      <c r="D3997">
        <v>1</v>
      </c>
      <c r="E3997" t="s">
        <v>6132</v>
      </c>
    </row>
    <row r="3998" spans="1:5" x14ac:dyDescent="0.35">
      <c r="A3998" t="s">
        <v>181</v>
      </c>
      <c r="B3998" s="16">
        <v>45768</v>
      </c>
      <c r="C3998">
        <v>5.8</v>
      </c>
      <c r="D3998">
        <v>4</v>
      </c>
      <c r="E3998" t="s">
        <v>6132</v>
      </c>
    </row>
    <row r="3999" spans="1:5" x14ac:dyDescent="0.35">
      <c r="A3999" t="s">
        <v>181</v>
      </c>
      <c r="B3999" s="16">
        <v>45769</v>
      </c>
      <c r="C3999">
        <v>4.5</v>
      </c>
      <c r="D3999">
        <v>0</v>
      </c>
      <c r="E3999" t="s">
        <v>6132</v>
      </c>
    </row>
    <row r="4000" spans="1:5" x14ac:dyDescent="0.35">
      <c r="A4000" t="s">
        <v>181</v>
      </c>
      <c r="B4000" s="16">
        <v>45770</v>
      </c>
      <c r="C4000">
        <v>7.2</v>
      </c>
      <c r="D4000">
        <v>2</v>
      </c>
      <c r="E4000" t="s">
        <v>6132</v>
      </c>
    </row>
    <row r="4001" spans="1:5" x14ac:dyDescent="0.35">
      <c r="A4001" t="s">
        <v>181</v>
      </c>
      <c r="B4001" s="16">
        <v>45776</v>
      </c>
      <c r="C4001">
        <v>5.3</v>
      </c>
      <c r="D4001">
        <v>0</v>
      </c>
      <c r="E4001" t="s">
        <v>6132</v>
      </c>
    </row>
    <row r="4002" spans="1:5" x14ac:dyDescent="0.35">
      <c r="A4002" t="s">
        <v>181</v>
      </c>
      <c r="B4002" s="16">
        <v>45778</v>
      </c>
      <c r="C4002">
        <v>7.8</v>
      </c>
      <c r="D4002">
        <v>0</v>
      </c>
      <c r="E4002" t="s">
        <v>6134</v>
      </c>
    </row>
    <row r="4003" spans="1:5" x14ac:dyDescent="0.35">
      <c r="A4003" t="s">
        <v>181</v>
      </c>
      <c r="B4003" s="16">
        <v>45779</v>
      </c>
      <c r="C4003">
        <v>7.9</v>
      </c>
      <c r="D4003">
        <v>0</v>
      </c>
      <c r="E4003" t="s">
        <v>6132</v>
      </c>
    </row>
    <row r="4004" spans="1:5" x14ac:dyDescent="0.35">
      <c r="A4004" t="s">
        <v>181</v>
      </c>
      <c r="B4004" s="16">
        <v>45782</v>
      </c>
      <c r="C4004">
        <v>4.7</v>
      </c>
      <c r="D4004">
        <v>2</v>
      </c>
      <c r="E4004" t="s">
        <v>6132</v>
      </c>
    </row>
    <row r="4005" spans="1:5" x14ac:dyDescent="0.35">
      <c r="A4005" t="s">
        <v>181</v>
      </c>
      <c r="B4005" s="16">
        <v>45783</v>
      </c>
      <c r="C4005">
        <v>7.2</v>
      </c>
      <c r="D4005">
        <v>0</v>
      </c>
      <c r="E4005" t="s">
        <v>6132</v>
      </c>
    </row>
    <row r="4006" spans="1:5" x14ac:dyDescent="0.35">
      <c r="A4006" t="s">
        <v>181</v>
      </c>
      <c r="B4006" s="16">
        <v>45784</v>
      </c>
      <c r="C4006">
        <v>5.4</v>
      </c>
      <c r="D4006">
        <v>0</v>
      </c>
      <c r="E4006" t="s">
        <v>6132</v>
      </c>
    </row>
    <row r="4007" spans="1:5" x14ac:dyDescent="0.35">
      <c r="A4007" t="s">
        <v>181</v>
      </c>
      <c r="B4007" s="16">
        <v>45792</v>
      </c>
      <c r="C4007">
        <v>4.7</v>
      </c>
      <c r="D4007">
        <v>1</v>
      </c>
      <c r="E4007" t="s">
        <v>6132</v>
      </c>
    </row>
    <row r="4008" spans="1:5" x14ac:dyDescent="0.35">
      <c r="A4008" t="s">
        <v>181</v>
      </c>
      <c r="B4008" s="16">
        <v>45793</v>
      </c>
      <c r="C4008">
        <v>5.6</v>
      </c>
      <c r="D4008">
        <v>0</v>
      </c>
      <c r="E4008" t="s">
        <v>6132</v>
      </c>
    </row>
    <row r="4009" spans="1:5" x14ac:dyDescent="0.35">
      <c r="A4009" t="s">
        <v>181</v>
      </c>
      <c r="B4009" s="16">
        <v>45797</v>
      </c>
      <c r="C4009">
        <v>5.2</v>
      </c>
      <c r="D4009">
        <v>0</v>
      </c>
      <c r="E4009" t="s">
        <v>6132</v>
      </c>
    </row>
    <row r="4010" spans="1:5" x14ac:dyDescent="0.35">
      <c r="A4010" t="s">
        <v>181</v>
      </c>
      <c r="B4010" s="16">
        <v>45798</v>
      </c>
      <c r="C4010">
        <v>4.7</v>
      </c>
      <c r="D4010">
        <v>0</v>
      </c>
      <c r="E4010" t="s">
        <v>6132</v>
      </c>
    </row>
    <row r="4011" spans="1:5" x14ac:dyDescent="0.35">
      <c r="A4011" t="s">
        <v>181</v>
      </c>
      <c r="B4011" s="16">
        <v>45800</v>
      </c>
      <c r="C4011">
        <v>8.3000000000000007</v>
      </c>
      <c r="D4011">
        <v>0</v>
      </c>
      <c r="E4011" t="s">
        <v>6133</v>
      </c>
    </row>
    <row r="4012" spans="1:5" x14ac:dyDescent="0.35">
      <c r="A4012" t="s">
        <v>181</v>
      </c>
      <c r="B4012" s="16">
        <v>45805</v>
      </c>
      <c r="C4012">
        <v>5.2</v>
      </c>
      <c r="D4012">
        <v>0</v>
      </c>
      <c r="E4012" t="s">
        <v>6132</v>
      </c>
    </row>
    <row r="4013" spans="1:5" x14ac:dyDescent="0.35">
      <c r="A4013" t="s">
        <v>181</v>
      </c>
      <c r="B4013" s="16">
        <v>45810</v>
      </c>
      <c r="C4013">
        <v>5.8</v>
      </c>
      <c r="D4013">
        <v>0</v>
      </c>
      <c r="E4013" t="s">
        <v>6132</v>
      </c>
    </row>
    <row r="4014" spans="1:5" x14ac:dyDescent="0.35">
      <c r="A4014" t="s">
        <v>181</v>
      </c>
      <c r="B4014" s="16">
        <v>45811</v>
      </c>
      <c r="C4014">
        <v>5.9</v>
      </c>
      <c r="D4014">
        <v>2</v>
      </c>
      <c r="E4014" t="s">
        <v>6132</v>
      </c>
    </row>
    <row r="4015" spans="1:5" x14ac:dyDescent="0.35">
      <c r="A4015" t="s">
        <v>181</v>
      </c>
      <c r="B4015" s="16">
        <v>45812</v>
      </c>
      <c r="C4015">
        <v>5.6</v>
      </c>
      <c r="D4015">
        <v>1</v>
      </c>
      <c r="E4015" t="s">
        <v>6132</v>
      </c>
    </row>
    <row r="4016" spans="1:5" x14ac:dyDescent="0.35">
      <c r="A4016" t="s">
        <v>181</v>
      </c>
      <c r="B4016" s="16">
        <v>45814</v>
      </c>
      <c r="C4016">
        <v>6.2</v>
      </c>
      <c r="D4016">
        <v>0</v>
      </c>
      <c r="E4016" t="s">
        <v>6132</v>
      </c>
    </row>
    <row r="4017" spans="1:5" x14ac:dyDescent="0.35">
      <c r="A4017" t="s">
        <v>181</v>
      </c>
      <c r="B4017" s="16">
        <v>45833</v>
      </c>
      <c r="C4017">
        <v>5</v>
      </c>
      <c r="D4017">
        <v>0</v>
      </c>
      <c r="E4017" t="s">
        <v>6132</v>
      </c>
    </row>
    <row r="4018" spans="1:5" x14ac:dyDescent="0.35">
      <c r="A4018" t="s">
        <v>181</v>
      </c>
      <c r="B4018" s="16">
        <v>45834</v>
      </c>
      <c r="C4018">
        <v>6.5</v>
      </c>
      <c r="D4018">
        <v>1</v>
      </c>
      <c r="E4018" t="s">
        <v>6132</v>
      </c>
    </row>
    <row r="4019" spans="1:5" x14ac:dyDescent="0.35">
      <c r="A4019" t="s">
        <v>181</v>
      </c>
      <c r="B4019" s="16">
        <v>45835</v>
      </c>
      <c r="C4019">
        <v>6.9</v>
      </c>
      <c r="D4019">
        <v>0</v>
      </c>
      <c r="E4019" t="s">
        <v>6133</v>
      </c>
    </row>
    <row r="4020" spans="1:5" x14ac:dyDescent="0.35">
      <c r="A4020" t="s">
        <v>181</v>
      </c>
      <c r="B4020" s="16">
        <v>45839</v>
      </c>
      <c r="C4020">
        <v>5</v>
      </c>
      <c r="D4020">
        <v>2</v>
      </c>
      <c r="E4020" t="s">
        <v>6132</v>
      </c>
    </row>
    <row r="4021" spans="1:5" x14ac:dyDescent="0.35">
      <c r="A4021" t="s">
        <v>181</v>
      </c>
      <c r="B4021" s="16">
        <v>45841</v>
      </c>
      <c r="C4021">
        <v>4.3</v>
      </c>
      <c r="D4021">
        <v>0</v>
      </c>
      <c r="E4021" t="s">
        <v>6132</v>
      </c>
    </row>
    <row r="4022" spans="1:5" x14ac:dyDescent="0.35">
      <c r="A4022" t="s">
        <v>181</v>
      </c>
      <c r="B4022" s="16">
        <v>45845</v>
      </c>
      <c r="C4022">
        <v>5.9</v>
      </c>
      <c r="D4022">
        <v>1</v>
      </c>
      <c r="E4022" t="s">
        <v>6132</v>
      </c>
    </row>
    <row r="4023" spans="1:5" x14ac:dyDescent="0.35">
      <c r="A4023" t="s">
        <v>181</v>
      </c>
      <c r="B4023" s="16">
        <v>45847</v>
      </c>
      <c r="C4023">
        <v>8.9</v>
      </c>
      <c r="D4023">
        <v>0</v>
      </c>
      <c r="E4023" t="s">
        <v>6132</v>
      </c>
    </row>
    <row r="4024" spans="1:5" x14ac:dyDescent="0.35">
      <c r="A4024" t="s">
        <v>181</v>
      </c>
      <c r="B4024" s="16">
        <v>45848</v>
      </c>
      <c r="C4024">
        <v>6.5</v>
      </c>
      <c r="D4024">
        <v>0</v>
      </c>
      <c r="E4024" t="s">
        <v>6132</v>
      </c>
    </row>
    <row r="4025" spans="1:5" x14ac:dyDescent="0.35">
      <c r="A4025" t="s">
        <v>181</v>
      </c>
      <c r="B4025" s="16">
        <v>45852</v>
      </c>
      <c r="C4025">
        <v>5.8</v>
      </c>
      <c r="D4025">
        <v>0</v>
      </c>
      <c r="E4025" t="s">
        <v>6132</v>
      </c>
    </row>
    <row r="4026" spans="1:5" x14ac:dyDescent="0.35">
      <c r="A4026" t="s">
        <v>181</v>
      </c>
      <c r="B4026" s="16">
        <v>45854</v>
      </c>
      <c r="C4026">
        <v>6.8</v>
      </c>
      <c r="D4026">
        <v>0</v>
      </c>
      <c r="E4026" t="s">
        <v>6132</v>
      </c>
    </row>
    <row r="4027" spans="1:5" x14ac:dyDescent="0.35">
      <c r="A4027" t="s">
        <v>181</v>
      </c>
      <c r="B4027" s="16">
        <v>45855</v>
      </c>
      <c r="C4027">
        <v>4.8</v>
      </c>
      <c r="D4027">
        <v>2</v>
      </c>
      <c r="E4027" t="s">
        <v>6132</v>
      </c>
    </row>
    <row r="4028" spans="1:5" x14ac:dyDescent="0.35">
      <c r="A4028" t="s">
        <v>181</v>
      </c>
      <c r="B4028" s="16">
        <v>45856</v>
      </c>
      <c r="C4028">
        <v>8.4</v>
      </c>
      <c r="D4028">
        <v>1</v>
      </c>
      <c r="E4028" t="s">
        <v>6132</v>
      </c>
    </row>
    <row r="4029" spans="1:5" x14ac:dyDescent="0.35">
      <c r="A4029" t="s">
        <v>181</v>
      </c>
      <c r="B4029" s="16">
        <v>45859</v>
      </c>
      <c r="C4029">
        <v>5.3</v>
      </c>
      <c r="D4029">
        <v>3</v>
      </c>
      <c r="E4029" t="s">
        <v>6132</v>
      </c>
    </row>
    <row r="4030" spans="1:5" x14ac:dyDescent="0.35">
      <c r="A4030" t="s">
        <v>181</v>
      </c>
      <c r="B4030" s="16">
        <v>45861</v>
      </c>
      <c r="C4030">
        <v>4.5</v>
      </c>
      <c r="D4030">
        <v>3</v>
      </c>
      <c r="E4030" t="s">
        <v>6132</v>
      </c>
    </row>
    <row r="4031" spans="1:5" x14ac:dyDescent="0.35">
      <c r="A4031" t="s">
        <v>181</v>
      </c>
      <c r="B4031" s="16">
        <v>45862</v>
      </c>
      <c r="C4031">
        <v>4.4000000000000004</v>
      </c>
      <c r="D4031">
        <v>1</v>
      </c>
      <c r="E4031" t="s">
        <v>6132</v>
      </c>
    </row>
    <row r="4032" spans="1:5" x14ac:dyDescent="0.35">
      <c r="A4032" t="s">
        <v>181</v>
      </c>
      <c r="B4032" s="16">
        <v>45863</v>
      </c>
      <c r="D4032">
        <v>0</v>
      </c>
      <c r="E4032" t="s">
        <v>6132</v>
      </c>
    </row>
    <row r="4033" spans="1:5" x14ac:dyDescent="0.35">
      <c r="A4033" t="s">
        <v>181</v>
      </c>
      <c r="B4033" s="16">
        <v>45866</v>
      </c>
      <c r="C4033">
        <v>4.4000000000000004</v>
      </c>
      <c r="D4033">
        <v>1</v>
      </c>
      <c r="E4033" t="s">
        <v>6132</v>
      </c>
    </row>
    <row r="4034" spans="1:5" x14ac:dyDescent="0.35">
      <c r="A4034" t="s">
        <v>181</v>
      </c>
      <c r="B4034" s="16">
        <v>45868</v>
      </c>
      <c r="C4034">
        <v>4.9000000000000004</v>
      </c>
      <c r="D4034">
        <v>3</v>
      </c>
      <c r="E4034" t="s">
        <v>6132</v>
      </c>
    </row>
    <row r="4035" spans="1:5" x14ac:dyDescent="0.35">
      <c r="A4035" t="s">
        <v>181</v>
      </c>
      <c r="B4035" s="16">
        <v>45873</v>
      </c>
      <c r="C4035">
        <v>7.6</v>
      </c>
      <c r="D4035">
        <v>0</v>
      </c>
      <c r="E4035" t="s">
        <v>6132</v>
      </c>
    </row>
    <row r="4036" spans="1:5" x14ac:dyDescent="0.35">
      <c r="A4036" t="s">
        <v>181</v>
      </c>
      <c r="B4036" s="16">
        <v>45874</v>
      </c>
      <c r="C4036">
        <v>8.5</v>
      </c>
      <c r="D4036">
        <v>1</v>
      </c>
      <c r="E4036" t="s">
        <v>6132</v>
      </c>
    </row>
    <row r="4037" spans="1:5" x14ac:dyDescent="0.35">
      <c r="A4037" t="s">
        <v>181</v>
      </c>
      <c r="B4037" s="16">
        <v>45875</v>
      </c>
      <c r="C4037">
        <v>8.4</v>
      </c>
      <c r="D4037">
        <v>3</v>
      </c>
      <c r="E4037" t="s">
        <v>6132</v>
      </c>
    </row>
    <row r="4038" spans="1:5" x14ac:dyDescent="0.35">
      <c r="A4038" t="s">
        <v>181</v>
      </c>
      <c r="B4038" s="16">
        <v>45876</v>
      </c>
      <c r="C4038">
        <v>6.3</v>
      </c>
      <c r="D4038">
        <v>0</v>
      </c>
      <c r="E4038" t="s">
        <v>6132</v>
      </c>
    </row>
    <row r="4039" spans="1:5" x14ac:dyDescent="0.35">
      <c r="A4039" t="s">
        <v>181</v>
      </c>
      <c r="B4039" s="16">
        <v>45877</v>
      </c>
      <c r="C4039">
        <v>8</v>
      </c>
      <c r="D4039">
        <v>0</v>
      </c>
      <c r="E4039" t="s">
        <v>6133</v>
      </c>
    </row>
    <row r="4040" spans="1:5" x14ac:dyDescent="0.35">
      <c r="A4040" t="s">
        <v>181</v>
      </c>
      <c r="B4040" s="16">
        <v>45880</v>
      </c>
      <c r="C4040">
        <v>6.9</v>
      </c>
      <c r="D4040">
        <v>0</v>
      </c>
      <c r="E4040" t="s">
        <v>6132</v>
      </c>
    </row>
    <row r="4041" spans="1:5" x14ac:dyDescent="0.35">
      <c r="A4041" t="s">
        <v>181</v>
      </c>
      <c r="B4041" s="16">
        <v>45881</v>
      </c>
      <c r="C4041">
        <v>4.9000000000000004</v>
      </c>
      <c r="D4041">
        <v>2</v>
      </c>
      <c r="E4041" t="s">
        <v>6132</v>
      </c>
    </row>
    <row r="4042" spans="1:5" x14ac:dyDescent="0.35">
      <c r="A4042" t="s">
        <v>181</v>
      </c>
      <c r="B4042" s="16">
        <v>45883</v>
      </c>
      <c r="C4042">
        <v>4.2</v>
      </c>
      <c r="D4042">
        <v>2</v>
      </c>
      <c r="E4042" t="s">
        <v>6132</v>
      </c>
    </row>
    <row r="4043" spans="1:5" x14ac:dyDescent="0.35">
      <c r="A4043" t="s">
        <v>181</v>
      </c>
      <c r="B4043" s="16">
        <v>45884</v>
      </c>
      <c r="C4043">
        <v>4.0999999999999996</v>
      </c>
      <c r="D4043">
        <v>1</v>
      </c>
      <c r="E4043" t="s">
        <v>6132</v>
      </c>
    </row>
    <row r="4044" spans="1:5" x14ac:dyDescent="0.35">
      <c r="A4044" t="s">
        <v>181</v>
      </c>
      <c r="B4044" s="16">
        <v>45889</v>
      </c>
      <c r="C4044">
        <v>4</v>
      </c>
      <c r="D4044">
        <v>0</v>
      </c>
      <c r="E4044" t="s">
        <v>6134</v>
      </c>
    </row>
    <row r="4045" spans="1:5" x14ac:dyDescent="0.35">
      <c r="A4045" t="s">
        <v>181</v>
      </c>
      <c r="B4045" s="16">
        <v>45891</v>
      </c>
      <c r="C4045">
        <v>6.7</v>
      </c>
      <c r="D4045">
        <v>1</v>
      </c>
      <c r="E4045" t="s">
        <v>6132</v>
      </c>
    </row>
    <row r="4046" spans="1:5" x14ac:dyDescent="0.35">
      <c r="A4046" t="s">
        <v>181</v>
      </c>
      <c r="B4046" s="16">
        <v>45894</v>
      </c>
      <c r="C4046">
        <v>6.7</v>
      </c>
      <c r="D4046">
        <v>0</v>
      </c>
      <c r="E4046" t="s">
        <v>6132</v>
      </c>
    </row>
    <row r="4047" spans="1:5" x14ac:dyDescent="0.35">
      <c r="A4047" t="s">
        <v>181</v>
      </c>
      <c r="B4047" s="16">
        <v>45896</v>
      </c>
      <c r="C4047">
        <v>5.2</v>
      </c>
      <c r="D4047">
        <v>2</v>
      </c>
      <c r="E4047" t="s">
        <v>6132</v>
      </c>
    </row>
    <row r="4048" spans="1:5" x14ac:dyDescent="0.35">
      <c r="A4048" t="s">
        <v>181</v>
      </c>
      <c r="B4048" s="16">
        <v>45902</v>
      </c>
      <c r="C4048">
        <v>6</v>
      </c>
      <c r="D4048">
        <v>0</v>
      </c>
      <c r="E4048" t="s">
        <v>6133</v>
      </c>
    </row>
    <row r="4049" spans="1:5" x14ac:dyDescent="0.35">
      <c r="A4049" t="s">
        <v>181</v>
      </c>
      <c r="B4049" s="16">
        <v>45903</v>
      </c>
      <c r="C4049">
        <v>8.4</v>
      </c>
      <c r="D4049">
        <v>0</v>
      </c>
      <c r="E4049" t="s">
        <v>6132</v>
      </c>
    </row>
    <row r="4050" spans="1:5" x14ac:dyDescent="0.35">
      <c r="A4050" t="s">
        <v>181</v>
      </c>
      <c r="B4050" s="16">
        <v>45904</v>
      </c>
      <c r="D4050">
        <v>0</v>
      </c>
      <c r="E4050" t="s">
        <v>6132</v>
      </c>
    </row>
    <row r="4051" spans="1:5" x14ac:dyDescent="0.35">
      <c r="A4051" t="s">
        <v>181</v>
      </c>
      <c r="B4051" s="16">
        <v>45910</v>
      </c>
      <c r="C4051">
        <v>7.3</v>
      </c>
      <c r="D4051">
        <v>0</v>
      </c>
      <c r="E4051" t="s">
        <v>6132</v>
      </c>
    </row>
    <row r="4052" spans="1:5" x14ac:dyDescent="0.35">
      <c r="A4052" t="s">
        <v>181</v>
      </c>
      <c r="B4052" s="16">
        <v>45915</v>
      </c>
      <c r="C4052">
        <v>5</v>
      </c>
      <c r="D4052">
        <v>2</v>
      </c>
      <c r="E4052" t="s">
        <v>6132</v>
      </c>
    </row>
    <row r="4053" spans="1:5" x14ac:dyDescent="0.35">
      <c r="A4053" t="s">
        <v>181</v>
      </c>
      <c r="B4053" s="16">
        <v>45918</v>
      </c>
      <c r="C4053">
        <v>4.5999999999999996</v>
      </c>
      <c r="D4053">
        <v>1</v>
      </c>
      <c r="E4053" t="s">
        <v>6132</v>
      </c>
    </row>
    <row r="4054" spans="1:5" x14ac:dyDescent="0.35">
      <c r="A4054" t="s">
        <v>181</v>
      </c>
      <c r="B4054" s="16">
        <v>45919</v>
      </c>
      <c r="C4054">
        <v>8.3000000000000007</v>
      </c>
      <c r="D4054">
        <v>1</v>
      </c>
      <c r="E4054" t="s">
        <v>6132</v>
      </c>
    </row>
    <row r="4055" spans="1:5" x14ac:dyDescent="0.35">
      <c r="A4055" t="s">
        <v>181</v>
      </c>
      <c r="B4055" s="16">
        <v>45922</v>
      </c>
      <c r="C4055">
        <v>6.2</v>
      </c>
      <c r="D4055">
        <v>2</v>
      </c>
      <c r="E4055" t="s">
        <v>6132</v>
      </c>
    </row>
    <row r="4056" spans="1:5" x14ac:dyDescent="0.35">
      <c r="A4056" t="s">
        <v>181</v>
      </c>
      <c r="B4056" s="16">
        <v>45923</v>
      </c>
      <c r="C4056">
        <v>5.7</v>
      </c>
      <c r="D4056">
        <v>0</v>
      </c>
      <c r="E4056" t="s">
        <v>6132</v>
      </c>
    </row>
    <row r="4057" spans="1:5" x14ac:dyDescent="0.35">
      <c r="A4057" t="s">
        <v>181</v>
      </c>
      <c r="B4057" s="16">
        <v>45924</v>
      </c>
      <c r="C4057">
        <v>5.3</v>
      </c>
      <c r="D4057">
        <v>1</v>
      </c>
      <c r="E4057" t="s">
        <v>6132</v>
      </c>
    </row>
    <row r="4058" spans="1:5" x14ac:dyDescent="0.35">
      <c r="A4058" t="s">
        <v>181</v>
      </c>
      <c r="B4058" s="16">
        <v>45926</v>
      </c>
      <c r="C4058">
        <v>7.1</v>
      </c>
      <c r="D4058">
        <v>2</v>
      </c>
      <c r="E4058" t="s">
        <v>6132</v>
      </c>
    </row>
    <row r="4059" spans="1:5" x14ac:dyDescent="0.35">
      <c r="A4059" t="s">
        <v>181</v>
      </c>
      <c r="B4059" s="16">
        <v>45929</v>
      </c>
      <c r="C4059">
        <v>7.9</v>
      </c>
      <c r="D4059">
        <v>1</v>
      </c>
      <c r="E4059" t="s">
        <v>6132</v>
      </c>
    </row>
    <row r="4060" spans="1:5" x14ac:dyDescent="0.35">
      <c r="A4060" t="s">
        <v>181</v>
      </c>
      <c r="B4060" s="16">
        <v>45930</v>
      </c>
      <c r="D4060">
        <v>1</v>
      </c>
      <c r="E4060" t="s">
        <v>6132</v>
      </c>
    </row>
    <row r="4061" spans="1:5" x14ac:dyDescent="0.35">
      <c r="A4061" t="s">
        <v>181</v>
      </c>
      <c r="B4061" s="16">
        <v>45932</v>
      </c>
      <c r="C4061">
        <v>7.8</v>
      </c>
      <c r="D4061">
        <v>0</v>
      </c>
      <c r="E4061" t="s">
        <v>6134</v>
      </c>
    </row>
    <row r="4062" spans="1:5" x14ac:dyDescent="0.35">
      <c r="A4062" t="s">
        <v>181</v>
      </c>
      <c r="B4062" s="16">
        <v>45933</v>
      </c>
      <c r="C4062">
        <v>4</v>
      </c>
      <c r="D4062">
        <v>0</v>
      </c>
      <c r="E4062" t="s">
        <v>6132</v>
      </c>
    </row>
    <row r="4063" spans="1:5" x14ac:dyDescent="0.35">
      <c r="A4063" t="s">
        <v>181</v>
      </c>
      <c r="B4063" s="16">
        <v>45936</v>
      </c>
      <c r="C4063">
        <v>5</v>
      </c>
      <c r="D4063">
        <v>1</v>
      </c>
      <c r="E4063" t="s">
        <v>6132</v>
      </c>
    </row>
    <row r="4064" spans="1:5" x14ac:dyDescent="0.35">
      <c r="A4064" t="s">
        <v>181</v>
      </c>
      <c r="B4064" s="16">
        <v>45944</v>
      </c>
      <c r="C4064">
        <v>6.4</v>
      </c>
      <c r="D4064">
        <v>2</v>
      </c>
      <c r="E4064" t="s">
        <v>6132</v>
      </c>
    </row>
    <row r="4065" spans="1:5" x14ac:dyDescent="0.35">
      <c r="A4065" t="s">
        <v>181</v>
      </c>
      <c r="B4065" s="16">
        <v>45946</v>
      </c>
      <c r="C4065">
        <v>8.1</v>
      </c>
      <c r="D4065">
        <v>0</v>
      </c>
      <c r="E4065" t="s">
        <v>6132</v>
      </c>
    </row>
    <row r="4066" spans="1:5" x14ac:dyDescent="0.35">
      <c r="A4066" t="s">
        <v>181</v>
      </c>
      <c r="B4066" s="16">
        <v>45947</v>
      </c>
      <c r="C4066">
        <v>4.4000000000000004</v>
      </c>
      <c r="D4066">
        <v>2</v>
      </c>
      <c r="E4066" t="s">
        <v>6132</v>
      </c>
    </row>
    <row r="4067" spans="1:5" x14ac:dyDescent="0.35">
      <c r="A4067" t="s">
        <v>181</v>
      </c>
      <c r="B4067" s="16">
        <v>45950</v>
      </c>
      <c r="C4067">
        <v>7.8</v>
      </c>
      <c r="D4067">
        <v>0</v>
      </c>
      <c r="E4067" t="s">
        <v>6134</v>
      </c>
    </row>
    <row r="4068" spans="1:5" x14ac:dyDescent="0.35">
      <c r="A4068" t="s">
        <v>181</v>
      </c>
      <c r="B4068" s="16">
        <v>45952</v>
      </c>
      <c r="C4068">
        <v>4.0999999999999996</v>
      </c>
      <c r="D4068">
        <v>2</v>
      </c>
      <c r="E4068" t="s">
        <v>6132</v>
      </c>
    </row>
    <row r="4069" spans="1:5" x14ac:dyDescent="0.35">
      <c r="A4069" t="s">
        <v>181</v>
      </c>
      <c r="B4069" s="16">
        <v>45953</v>
      </c>
      <c r="C4069">
        <v>5.5</v>
      </c>
      <c r="D4069">
        <v>0</v>
      </c>
      <c r="E4069" t="s">
        <v>6132</v>
      </c>
    </row>
    <row r="4070" spans="1:5" x14ac:dyDescent="0.35">
      <c r="A4070" t="s">
        <v>181</v>
      </c>
      <c r="B4070" s="16">
        <v>45959</v>
      </c>
      <c r="C4070">
        <v>4.5999999999999996</v>
      </c>
      <c r="D4070">
        <v>0</v>
      </c>
      <c r="E4070" t="s">
        <v>6133</v>
      </c>
    </row>
    <row r="4071" spans="1:5" x14ac:dyDescent="0.35">
      <c r="A4071" t="s">
        <v>181</v>
      </c>
      <c r="B4071" s="16">
        <v>45961</v>
      </c>
      <c r="C4071">
        <v>7.8</v>
      </c>
      <c r="D4071">
        <v>2</v>
      </c>
      <c r="E4071" t="s">
        <v>6132</v>
      </c>
    </row>
    <row r="4072" spans="1:5" x14ac:dyDescent="0.35">
      <c r="A4072" t="s">
        <v>181</v>
      </c>
      <c r="B4072" s="16">
        <v>45966</v>
      </c>
      <c r="C4072">
        <v>7.2</v>
      </c>
      <c r="D4072">
        <v>0</v>
      </c>
      <c r="E4072" t="s">
        <v>6132</v>
      </c>
    </row>
    <row r="4073" spans="1:5" x14ac:dyDescent="0.35">
      <c r="A4073" t="s">
        <v>181</v>
      </c>
      <c r="B4073" s="16">
        <v>45967</v>
      </c>
      <c r="C4073">
        <v>9</v>
      </c>
      <c r="D4073">
        <v>2</v>
      </c>
      <c r="E4073" t="s">
        <v>6132</v>
      </c>
    </row>
    <row r="4074" spans="1:5" x14ac:dyDescent="0.35">
      <c r="A4074" t="s">
        <v>181</v>
      </c>
      <c r="B4074" s="16">
        <v>45968</v>
      </c>
      <c r="C4074">
        <v>8</v>
      </c>
      <c r="D4074">
        <v>0</v>
      </c>
      <c r="E4074" t="s">
        <v>6132</v>
      </c>
    </row>
    <row r="4075" spans="1:5" x14ac:dyDescent="0.35">
      <c r="A4075" t="s">
        <v>181</v>
      </c>
      <c r="B4075" s="16">
        <v>45971</v>
      </c>
      <c r="C4075">
        <v>8.6999999999999993</v>
      </c>
      <c r="D4075">
        <v>2</v>
      </c>
      <c r="E4075" t="s">
        <v>6132</v>
      </c>
    </row>
    <row r="4076" spans="1:5" x14ac:dyDescent="0.35">
      <c r="A4076" t="s">
        <v>181</v>
      </c>
      <c r="B4076" s="16">
        <v>45972</v>
      </c>
      <c r="C4076">
        <v>5.8</v>
      </c>
      <c r="D4076">
        <v>1</v>
      </c>
      <c r="E4076" t="s">
        <v>6132</v>
      </c>
    </row>
    <row r="4077" spans="1:5" x14ac:dyDescent="0.35">
      <c r="A4077" t="s">
        <v>181</v>
      </c>
      <c r="B4077" s="16">
        <v>45973</v>
      </c>
      <c r="C4077">
        <v>7.1</v>
      </c>
      <c r="D4077">
        <v>1</v>
      </c>
      <c r="E4077" t="s">
        <v>6132</v>
      </c>
    </row>
    <row r="4078" spans="1:5" x14ac:dyDescent="0.35">
      <c r="A4078" t="s">
        <v>181</v>
      </c>
      <c r="B4078" s="16">
        <v>45974</v>
      </c>
      <c r="C4078">
        <v>4.2</v>
      </c>
      <c r="D4078">
        <v>0</v>
      </c>
      <c r="E4078" t="s">
        <v>6132</v>
      </c>
    </row>
    <row r="4079" spans="1:5" x14ac:dyDescent="0.35">
      <c r="A4079" t="s">
        <v>181</v>
      </c>
      <c r="B4079" s="16">
        <v>45975</v>
      </c>
      <c r="C4079">
        <v>8.8000000000000007</v>
      </c>
      <c r="D4079">
        <v>0</v>
      </c>
      <c r="E4079" t="s">
        <v>6132</v>
      </c>
    </row>
    <row r="4080" spans="1:5" x14ac:dyDescent="0.35">
      <c r="A4080" t="s">
        <v>181</v>
      </c>
      <c r="B4080" s="16">
        <v>45978</v>
      </c>
      <c r="C4080">
        <v>5.5</v>
      </c>
      <c r="D4080">
        <v>1</v>
      </c>
      <c r="E4080" t="s">
        <v>6132</v>
      </c>
    </row>
    <row r="4081" spans="1:5" x14ac:dyDescent="0.35">
      <c r="A4081" t="s">
        <v>181</v>
      </c>
      <c r="B4081" s="16">
        <v>45979</v>
      </c>
      <c r="C4081">
        <v>8.3000000000000007</v>
      </c>
      <c r="D4081">
        <v>2</v>
      </c>
      <c r="E4081" t="s">
        <v>6132</v>
      </c>
    </row>
    <row r="4082" spans="1:5" x14ac:dyDescent="0.35">
      <c r="A4082" t="s">
        <v>181</v>
      </c>
      <c r="B4082" s="16">
        <v>45985</v>
      </c>
      <c r="C4082">
        <v>5.4</v>
      </c>
      <c r="D4082">
        <v>0</v>
      </c>
      <c r="E4082" t="s">
        <v>6134</v>
      </c>
    </row>
    <row r="4083" spans="1:5" x14ac:dyDescent="0.35">
      <c r="A4083" t="s">
        <v>181</v>
      </c>
      <c r="B4083" s="16">
        <v>45986</v>
      </c>
      <c r="C4083">
        <v>6.7</v>
      </c>
      <c r="D4083">
        <v>0</v>
      </c>
      <c r="E4083" t="s">
        <v>6132</v>
      </c>
    </row>
    <row r="4084" spans="1:5" x14ac:dyDescent="0.35">
      <c r="A4084" t="s">
        <v>181</v>
      </c>
      <c r="B4084" s="16">
        <v>45987</v>
      </c>
      <c r="C4084">
        <v>4.3</v>
      </c>
      <c r="D4084">
        <v>0</v>
      </c>
      <c r="E4084" t="s">
        <v>6132</v>
      </c>
    </row>
    <row r="4085" spans="1:5" x14ac:dyDescent="0.35">
      <c r="A4085" t="s">
        <v>181</v>
      </c>
      <c r="B4085" s="16">
        <v>45989</v>
      </c>
      <c r="C4085">
        <v>7.6</v>
      </c>
      <c r="D4085">
        <v>1</v>
      </c>
      <c r="E4085" t="s">
        <v>6132</v>
      </c>
    </row>
    <row r="4086" spans="1:5" x14ac:dyDescent="0.35">
      <c r="A4086" t="s">
        <v>181</v>
      </c>
      <c r="B4086" s="16">
        <v>45993</v>
      </c>
      <c r="C4086">
        <v>5.4</v>
      </c>
      <c r="D4086">
        <v>2</v>
      </c>
      <c r="E4086" t="s">
        <v>6132</v>
      </c>
    </row>
    <row r="4087" spans="1:5" x14ac:dyDescent="0.35">
      <c r="A4087" t="s">
        <v>181</v>
      </c>
      <c r="B4087" s="16">
        <v>45994</v>
      </c>
      <c r="C4087">
        <v>8</v>
      </c>
      <c r="D4087">
        <v>0</v>
      </c>
      <c r="E4087" t="s">
        <v>6132</v>
      </c>
    </row>
    <row r="4088" spans="1:5" x14ac:dyDescent="0.35">
      <c r="A4088" t="s">
        <v>181</v>
      </c>
      <c r="B4088" s="16">
        <v>45999</v>
      </c>
      <c r="C4088">
        <v>6.1</v>
      </c>
      <c r="D4088">
        <v>1</v>
      </c>
      <c r="E4088" t="s">
        <v>6132</v>
      </c>
    </row>
    <row r="4089" spans="1:5" x14ac:dyDescent="0.35">
      <c r="A4089" t="s">
        <v>181</v>
      </c>
      <c r="B4089" s="16">
        <v>46000</v>
      </c>
      <c r="C4089">
        <v>7.7</v>
      </c>
      <c r="D4089">
        <v>0</v>
      </c>
      <c r="E4089" t="s">
        <v>6132</v>
      </c>
    </row>
    <row r="4090" spans="1:5" x14ac:dyDescent="0.35">
      <c r="A4090" t="s">
        <v>181</v>
      </c>
      <c r="B4090" s="16">
        <v>46001</v>
      </c>
      <c r="C4090">
        <v>8.9</v>
      </c>
      <c r="D4090">
        <v>0</v>
      </c>
      <c r="E4090" t="s">
        <v>6132</v>
      </c>
    </row>
    <row r="4091" spans="1:5" x14ac:dyDescent="0.35">
      <c r="A4091" t="s">
        <v>181</v>
      </c>
      <c r="B4091" s="16">
        <v>46003</v>
      </c>
      <c r="C4091">
        <v>7.1</v>
      </c>
      <c r="D4091">
        <v>0</v>
      </c>
      <c r="E4091" t="s">
        <v>6132</v>
      </c>
    </row>
    <row r="4092" spans="1:5" x14ac:dyDescent="0.35">
      <c r="A4092" t="s">
        <v>181</v>
      </c>
      <c r="B4092" s="16">
        <v>46013</v>
      </c>
      <c r="C4092">
        <v>6.9</v>
      </c>
      <c r="D4092">
        <v>0</v>
      </c>
      <c r="E4092" t="s">
        <v>6132</v>
      </c>
    </row>
    <row r="4093" spans="1:5" x14ac:dyDescent="0.35">
      <c r="A4093" t="s">
        <v>181</v>
      </c>
      <c r="B4093" s="16">
        <v>46014</v>
      </c>
      <c r="C4093">
        <v>5.7</v>
      </c>
      <c r="D4093">
        <v>0</v>
      </c>
      <c r="E4093" t="s">
        <v>6134</v>
      </c>
    </row>
    <row r="4094" spans="1:5" x14ac:dyDescent="0.35">
      <c r="A4094" t="s">
        <v>181</v>
      </c>
      <c r="B4094" s="16">
        <v>46015</v>
      </c>
      <c r="C4094">
        <v>8.1999999999999993</v>
      </c>
      <c r="D4094">
        <v>1</v>
      </c>
      <c r="E4094" t="s">
        <v>6132</v>
      </c>
    </row>
    <row r="4095" spans="1:5" x14ac:dyDescent="0.35">
      <c r="A4095" t="s">
        <v>181</v>
      </c>
      <c r="B4095" s="16">
        <v>46022</v>
      </c>
      <c r="C4095">
        <v>7.3</v>
      </c>
      <c r="D4095">
        <v>0</v>
      </c>
      <c r="E4095" t="s">
        <v>6132</v>
      </c>
    </row>
    <row r="4096" spans="1:5" x14ac:dyDescent="0.35">
      <c r="A4096" t="s">
        <v>81</v>
      </c>
      <c r="B4096" s="16">
        <v>45659</v>
      </c>
      <c r="C4096">
        <v>4.3</v>
      </c>
      <c r="D4096">
        <v>1</v>
      </c>
      <c r="E4096" t="s">
        <v>6132</v>
      </c>
    </row>
    <row r="4097" spans="1:5" x14ac:dyDescent="0.35">
      <c r="A4097" t="s">
        <v>81</v>
      </c>
      <c r="B4097" s="16">
        <v>45663</v>
      </c>
      <c r="C4097">
        <v>5.4</v>
      </c>
      <c r="D4097">
        <v>2</v>
      </c>
      <c r="E4097" t="s">
        <v>6132</v>
      </c>
    </row>
    <row r="4098" spans="1:5" x14ac:dyDescent="0.35">
      <c r="A4098" t="s">
        <v>81</v>
      </c>
      <c r="B4098" s="16">
        <v>45666</v>
      </c>
      <c r="C4098">
        <v>4.9000000000000004</v>
      </c>
      <c r="D4098">
        <v>1</v>
      </c>
      <c r="E4098" t="s">
        <v>6132</v>
      </c>
    </row>
    <row r="4099" spans="1:5" x14ac:dyDescent="0.35">
      <c r="A4099" t="s">
        <v>81</v>
      </c>
      <c r="B4099" s="16">
        <v>45667</v>
      </c>
      <c r="C4099">
        <v>4.9000000000000004</v>
      </c>
      <c r="D4099">
        <v>1</v>
      </c>
      <c r="E4099" t="s">
        <v>6132</v>
      </c>
    </row>
    <row r="4100" spans="1:5" x14ac:dyDescent="0.35">
      <c r="A4100" t="s">
        <v>81</v>
      </c>
      <c r="B4100" s="16">
        <v>45670</v>
      </c>
      <c r="C4100">
        <v>6.1</v>
      </c>
      <c r="D4100">
        <v>1</v>
      </c>
      <c r="E4100" t="s">
        <v>6132</v>
      </c>
    </row>
    <row r="4101" spans="1:5" x14ac:dyDescent="0.35">
      <c r="A4101" t="s">
        <v>81</v>
      </c>
      <c r="B4101" s="16">
        <v>45671</v>
      </c>
      <c r="C4101">
        <v>4.2</v>
      </c>
      <c r="D4101">
        <v>0</v>
      </c>
      <c r="E4101" t="s">
        <v>6132</v>
      </c>
    </row>
    <row r="4102" spans="1:5" x14ac:dyDescent="0.35">
      <c r="A4102" t="s">
        <v>81</v>
      </c>
      <c r="B4102" s="16">
        <v>45672</v>
      </c>
      <c r="C4102">
        <v>5.3</v>
      </c>
      <c r="D4102">
        <v>1</v>
      </c>
      <c r="E4102" t="s">
        <v>6132</v>
      </c>
    </row>
    <row r="4103" spans="1:5" x14ac:dyDescent="0.35">
      <c r="A4103" t="s">
        <v>81</v>
      </c>
      <c r="B4103" s="16">
        <v>45674</v>
      </c>
      <c r="C4103">
        <v>7.4</v>
      </c>
      <c r="D4103">
        <v>3</v>
      </c>
      <c r="E4103" t="s">
        <v>6132</v>
      </c>
    </row>
    <row r="4104" spans="1:5" x14ac:dyDescent="0.35">
      <c r="A4104" t="s">
        <v>81</v>
      </c>
      <c r="B4104" s="16">
        <v>45677</v>
      </c>
      <c r="C4104">
        <v>8.3000000000000007</v>
      </c>
      <c r="D4104">
        <v>7</v>
      </c>
      <c r="E4104" t="s">
        <v>6132</v>
      </c>
    </row>
    <row r="4105" spans="1:5" x14ac:dyDescent="0.35">
      <c r="A4105" t="s">
        <v>81</v>
      </c>
      <c r="B4105" s="16">
        <v>45680</v>
      </c>
      <c r="C4105">
        <v>7.5</v>
      </c>
      <c r="D4105">
        <v>0</v>
      </c>
      <c r="E4105" t="s">
        <v>6132</v>
      </c>
    </row>
    <row r="4106" spans="1:5" x14ac:dyDescent="0.35">
      <c r="A4106" t="s">
        <v>81</v>
      </c>
      <c r="B4106" s="16">
        <v>45681</v>
      </c>
      <c r="C4106">
        <v>5.0999999999999996</v>
      </c>
      <c r="D4106">
        <v>4</v>
      </c>
      <c r="E4106" t="s">
        <v>6132</v>
      </c>
    </row>
    <row r="4107" spans="1:5" x14ac:dyDescent="0.35">
      <c r="A4107" t="s">
        <v>81</v>
      </c>
      <c r="B4107" s="16">
        <v>45685</v>
      </c>
      <c r="C4107">
        <v>6.6</v>
      </c>
      <c r="D4107">
        <v>4</v>
      </c>
      <c r="E4107" t="s">
        <v>6132</v>
      </c>
    </row>
    <row r="4108" spans="1:5" x14ac:dyDescent="0.35">
      <c r="A4108" t="s">
        <v>81</v>
      </c>
      <c r="B4108" s="16">
        <v>45686</v>
      </c>
      <c r="C4108">
        <v>7.6</v>
      </c>
      <c r="D4108">
        <v>2</v>
      </c>
      <c r="E4108" t="s">
        <v>6132</v>
      </c>
    </row>
    <row r="4109" spans="1:5" x14ac:dyDescent="0.35">
      <c r="A4109" t="s">
        <v>81</v>
      </c>
      <c r="B4109" s="16">
        <v>45691</v>
      </c>
      <c r="C4109">
        <v>7.1</v>
      </c>
      <c r="D4109">
        <v>2</v>
      </c>
      <c r="E4109" t="s">
        <v>6132</v>
      </c>
    </row>
    <row r="4110" spans="1:5" x14ac:dyDescent="0.35">
      <c r="A4110" t="s">
        <v>81</v>
      </c>
      <c r="B4110" s="16">
        <v>45692</v>
      </c>
      <c r="C4110">
        <v>5.6</v>
      </c>
      <c r="D4110">
        <v>0</v>
      </c>
      <c r="E4110" t="s">
        <v>6132</v>
      </c>
    </row>
    <row r="4111" spans="1:5" x14ac:dyDescent="0.35">
      <c r="A4111" t="s">
        <v>81</v>
      </c>
      <c r="B4111" s="16">
        <v>45694</v>
      </c>
      <c r="C4111">
        <v>6.9</v>
      </c>
      <c r="D4111">
        <v>1</v>
      </c>
      <c r="E4111" t="s">
        <v>6132</v>
      </c>
    </row>
    <row r="4112" spans="1:5" x14ac:dyDescent="0.35">
      <c r="A4112" t="s">
        <v>81</v>
      </c>
      <c r="B4112" s="16">
        <v>45698</v>
      </c>
      <c r="C4112">
        <v>4.4000000000000004</v>
      </c>
      <c r="D4112">
        <v>2</v>
      </c>
      <c r="E4112" t="s">
        <v>6132</v>
      </c>
    </row>
    <row r="4113" spans="1:5" x14ac:dyDescent="0.35">
      <c r="A4113" t="s">
        <v>81</v>
      </c>
      <c r="B4113" s="16">
        <v>45699</v>
      </c>
      <c r="C4113">
        <v>7.5</v>
      </c>
      <c r="D4113">
        <v>1</v>
      </c>
      <c r="E4113" t="s">
        <v>6132</v>
      </c>
    </row>
    <row r="4114" spans="1:5" x14ac:dyDescent="0.35">
      <c r="A4114" t="s">
        <v>81</v>
      </c>
      <c r="B4114" s="16">
        <v>45701</v>
      </c>
      <c r="C4114">
        <v>8.8000000000000007</v>
      </c>
      <c r="D4114">
        <v>0</v>
      </c>
      <c r="E4114" t="s">
        <v>6133</v>
      </c>
    </row>
    <row r="4115" spans="1:5" x14ac:dyDescent="0.35">
      <c r="A4115" t="s">
        <v>81</v>
      </c>
      <c r="B4115" s="16">
        <v>45702</v>
      </c>
      <c r="C4115">
        <v>5.2</v>
      </c>
      <c r="D4115">
        <v>1</v>
      </c>
      <c r="E4115" t="s">
        <v>6132</v>
      </c>
    </row>
    <row r="4116" spans="1:5" x14ac:dyDescent="0.35">
      <c r="A4116" t="s">
        <v>81</v>
      </c>
      <c r="B4116" s="16">
        <v>45705</v>
      </c>
      <c r="C4116">
        <v>6</v>
      </c>
      <c r="D4116">
        <v>1</v>
      </c>
      <c r="E4116" t="s">
        <v>6132</v>
      </c>
    </row>
    <row r="4117" spans="1:5" x14ac:dyDescent="0.35">
      <c r="A4117" t="s">
        <v>81</v>
      </c>
      <c r="B4117" s="16">
        <v>45706</v>
      </c>
      <c r="C4117">
        <v>5</v>
      </c>
      <c r="D4117">
        <v>3</v>
      </c>
      <c r="E4117" t="s">
        <v>6132</v>
      </c>
    </row>
    <row r="4118" spans="1:5" x14ac:dyDescent="0.35">
      <c r="A4118" t="s">
        <v>81</v>
      </c>
      <c r="B4118" s="16">
        <v>45707</v>
      </c>
      <c r="C4118">
        <v>4.8</v>
      </c>
      <c r="D4118">
        <v>0</v>
      </c>
      <c r="E4118" t="s">
        <v>6133</v>
      </c>
    </row>
    <row r="4119" spans="1:5" x14ac:dyDescent="0.35">
      <c r="A4119" t="s">
        <v>81</v>
      </c>
      <c r="B4119" s="16">
        <v>45712</v>
      </c>
      <c r="C4119">
        <v>8.8000000000000007</v>
      </c>
      <c r="D4119">
        <v>1</v>
      </c>
      <c r="E4119" t="s">
        <v>6132</v>
      </c>
    </row>
    <row r="4120" spans="1:5" x14ac:dyDescent="0.35">
      <c r="A4120" t="s">
        <v>81</v>
      </c>
      <c r="B4120" s="16">
        <v>45714</v>
      </c>
      <c r="C4120">
        <v>5.3</v>
      </c>
      <c r="D4120">
        <v>0</v>
      </c>
      <c r="E4120" t="s">
        <v>6132</v>
      </c>
    </row>
    <row r="4121" spans="1:5" x14ac:dyDescent="0.35">
      <c r="A4121" t="s">
        <v>81</v>
      </c>
      <c r="B4121" s="16">
        <v>45716</v>
      </c>
      <c r="C4121">
        <v>6.2</v>
      </c>
      <c r="D4121">
        <v>1</v>
      </c>
      <c r="E4121" t="s">
        <v>6132</v>
      </c>
    </row>
    <row r="4122" spans="1:5" x14ac:dyDescent="0.35">
      <c r="A4122" t="s">
        <v>81</v>
      </c>
      <c r="B4122" s="16">
        <v>45728</v>
      </c>
      <c r="C4122">
        <v>4.8</v>
      </c>
      <c r="D4122">
        <v>1</v>
      </c>
      <c r="E4122" t="s">
        <v>6132</v>
      </c>
    </row>
    <row r="4123" spans="1:5" x14ac:dyDescent="0.35">
      <c r="A4123" t="s">
        <v>81</v>
      </c>
      <c r="B4123" s="16">
        <v>45734</v>
      </c>
      <c r="C4123">
        <v>5.4</v>
      </c>
      <c r="D4123">
        <v>2</v>
      </c>
      <c r="E4123" t="s">
        <v>6132</v>
      </c>
    </row>
    <row r="4124" spans="1:5" x14ac:dyDescent="0.35">
      <c r="A4124" t="s">
        <v>81</v>
      </c>
      <c r="B4124" s="16">
        <v>45735</v>
      </c>
      <c r="C4124">
        <v>8.9</v>
      </c>
      <c r="D4124">
        <v>3</v>
      </c>
      <c r="E4124" t="s">
        <v>6132</v>
      </c>
    </row>
    <row r="4125" spans="1:5" x14ac:dyDescent="0.35">
      <c r="A4125" t="s">
        <v>81</v>
      </c>
      <c r="B4125" s="16">
        <v>45736</v>
      </c>
      <c r="C4125">
        <v>5.3</v>
      </c>
      <c r="D4125">
        <v>1</v>
      </c>
      <c r="E4125" t="s">
        <v>6132</v>
      </c>
    </row>
    <row r="4126" spans="1:5" x14ac:dyDescent="0.35">
      <c r="A4126" t="s">
        <v>81</v>
      </c>
      <c r="B4126" s="16">
        <v>45737</v>
      </c>
      <c r="C4126">
        <v>5.2</v>
      </c>
      <c r="D4126">
        <v>4</v>
      </c>
      <c r="E4126" t="s">
        <v>6132</v>
      </c>
    </row>
    <row r="4127" spans="1:5" x14ac:dyDescent="0.35">
      <c r="A4127" t="s">
        <v>81</v>
      </c>
      <c r="B4127" s="16">
        <v>45742</v>
      </c>
      <c r="C4127">
        <v>8.9</v>
      </c>
      <c r="D4127">
        <v>4</v>
      </c>
      <c r="E4127" t="s">
        <v>6132</v>
      </c>
    </row>
    <row r="4128" spans="1:5" x14ac:dyDescent="0.35">
      <c r="A4128" t="s">
        <v>81</v>
      </c>
      <c r="B4128" s="16">
        <v>45744</v>
      </c>
      <c r="C4128">
        <v>8.9</v>
      </c>
      <c r="D4128">
        <v>2</v>
      </c>
      <c r="E4128" t="s">
        <v>6132</v>
      </c>
    </row>
    <row r="4129" spans="1:5" x14ac:dyDescent="0.35">
      <c r="A4129" t="s">
        <v>81</v>
      </c>
      <c r="B4129" s="16">
        <v>45747</v>
      </c>
      <c r="C4129">
        <v>4.3</v>
      </c>
      <c r="D4129">
        <v>0</v>
      </c>
      <c r="E4129" t="s">
        <v>6132</v>
      </c>
    </row>
    <row r="4130" spans="1:5" x14ac:dyDescent="0.35">
      <c r="A4130" t="s">
        <v>81</v>
      </c>
      <c r="B4130" s="16">
        <v>45748</v>
      </c>
      <c r="C4130">
        <v>4.7</v>
      </c>
      <c r="D4130">
        <v>3</v>
      </c>
      <c r="E4130" t="s">
        <v>6132</v>
      </c>
    </row>
    <row r="4131" spans="1:5" x14ac:dyDescent="0.35">
      <c r="A4131" t="s">
        <v>81</v>
      </c>
      <c r="B4131" s="16">
        <v>45749</v>
      </c>
      <c r="C4131">
        <v>4.9000000000000004</v>
      </c>
      <c r="D4131">
        <v>0</v>
      </c>
      <c r="E4131" t="s">
        <v>6132</v>
      </c>
    </row>
    <row r="4132" spans="1:5" x14ac:dyDescent="0.35">
      <c r="A4132" t="s">
        <v>81</v>
      </c>
      <c r="B4132" s="16">
        <v>45750</v>
      </c>
      <c r="C4132">
        <v>8.5</v>
      </c>
      <c r="D4132">
        <v>0</v>
      </c>
      <c r="E4132" t="s">
        <v>6132</v>
      </c>
    </row>
    <row r="4133" spans="1:5" x14ac:dyDescent="0.35">
      <c r="A4133" t="s">
        <v>81</v>
      </c>
      <c r="B4133" s="16">
        <v>45754</v>
      </c>
      <c r="C4133">
        <v>7.3</v>
      </c>
      <c r="D4133">
        <v>1</v>
      </c>
      <c r="E4133" t="s">
        <v>6132</v>
      </c>
    </row>
    <row r="4134" spans="1:5" x14ac:dyDescent="0.35">
      <c r="A4134" t="s">
        <v>81</v>
      </c>
      <c r="B4134" s="16">
        <v>45755</v>
      </c>
      <c r="C4134">
        <v>7.3</v>
      </c>
      <c r="D4134">
        <v>1</v>
      </c>
      <c r="E4134" t="s">
        <v>6132</v>
      </c>
    </row>
    <row r="4135" spans="1:5" x14ac:dyDescent="0.35">
      <c r="A4135" t="s">
        <v>81</v>
      </c>
      <c r="B4135" s="16">
        <v>45757</v>
      </c>
      <c r="C4135">
        <v>8.3000000000000007</v>
      </c>
      <c r="D4135">
        <v>3</v>
      </c>
      <c r="E4135" t="s">
        <v>6132</v>
      </c>
    </row>
    <row r="4136" spans="1:5" x14ac:dyDescent="0.35">
      <c r="A4136" t="s">
        <v>81</v>
      </c>
      <c r="B4136" s="16">
        <v>45758</v>
      </c>
      <c r="C4136">
        <v>7.7</v>
      </c>
      <c r="D4136">
        <v>1</v>
      </c>
      <c r="E4136" t="s">
        <v>6132</v>
      </c>
    </row>
    <row r="4137" spans="1:5" x14ac:dyDescent="0.35">
      <c r="A4137" t="s">
        <v>81</v>
      </c>
      <c r="B4137" s="16">
        <v>45762</v>
      </c>
      <c r="C4137">
        <v>7.1</v>
      </c>
      <c r="D4137">
        <v>1</v>
      </c>
      <c r="E4137" t="s">
        <v>6132</v>
      </c>
    </row>
    <row r="4138" spans="1:5" x14ac:dyDescent="0.35">
      <c r="A4138" t="s">
        <v>81</v>
      </c>
      <c r="B4138" s="16">
        <v>45771</v>
      </c>
      <c r="C4138">
        <v>6.6</v>
      </c>
      <c r="D4138">
        <v>3</v>
      </c>
      <c r="E4138" t="s">
        <v>6132</v>
      </c>
    </row>
    <row r="4139" spans="1:5" x14ac:dyDescent="0.35">
      <c r="A4139" t="s">
        <v>81</v>
      </c>
      <c r="B4139" s="16">
        <v>45772</v>
      </c>
      <c r="C4139">
        <v>4.7</v>
      </c>
      <c r="D4139">
        <v>0</v>
      </c>
      <c r="E4139" t="s">
        <v>6132</v>
      </c>
    </row>
    <row r="4140" spans="1:5" x14ac:dyDescent="0.35">
      <c r="A4140" t="s">
        <v>81</v>
      </c>
      <c r="B4140" s="16">
        <v>45775</v>
      </c>
      <c r="C4140">
        <v>7</v>
      </c>
      <c r="D4140">
        <v>2</v>
      </c>
      <c r="E4140" t="s">
        <v>6132</v>
      </c>
    </row>
    <row r="4141" spans="1:5" x14ac:dyDescent="0.35">
      <c r="A4141" t="s">
        <v>81</v>
      </c>
      <c r="B4141" s="16">
        <v>45777</v>
      </c>
      <c r="C4141">
        <v>4.4000000000000004</v>
      </c>
      <c r="D4141">
        <v>1</v>
      </c>
      <c r="E4141" t="s">
        <v>6132</v>
      </c>
    </row>
    <row r="4142" spans="1:5" x14ac:dyDescent="0.35">
      <c r="A4142" t="s">
        <v>81</v>
      </c>
      <c r="B4142" s="16">
        <v>45779</v>
      </c>
      <c r="C4142">
        <v>7.2</v>
      </c>
      <c r="D4142">
        <v>0</v>
      </c>
      <c r="E4142" t="s">
        <v>6132</v>
      </c>
    </row>
    <row r="4143" spans="1:5" x14ac:dyDescent="0.35">
      <c r="A4143" t="s">
        <v>81</v>
      </c>
      <c r="B4143" s="16">
        <v>45782</v>
      </c>
      <c r="C4143">
        <v>6.2</v>
      </c>
      <c r="D4143">
        <v>1</v>
      </c>
      <c r="E4143" t="s">
        <v>6132</v>
      </c>
    </row>
    <row r="4144" spans="1:5" x14ac:dyDescent="0.35">
      <c r="A4144" t="s">
        <v>81</v>
      </c>
      <c r="B4144" s="16">
        <v>45785</v>
      </c>
      <c r="C4144">
        <v>7.7</v>
      </c>
      <c r="D4144">
        <v>0</v>
      </c>
      <c r="E4144" t="s">
        <v>6132</v>
      </c>
    </row>
    <row r="4145" spans="1:5" x14ac:dyDescent="0.35">
      <c r="A4145" t="s">
        <v>81</v>
      </c>
      <c r="B4145" s="16">
        <v>45786</v>
      </c>
      <c r="C4145">
        <v>5.9</v>
      </c>
      <c r="D4145">
        <v>1</v>
      </c>
      <c r="E4145" t="s">
        <v>6132</v>
      </c>
    </row>
    <row r="4146" spans="1:5" x14ac:dyDescent="0.35">
      <c r="A4146" t="s">
        <v>81</v>
      </c>
      <c r="B4146" s="16">
        <v>45791</v>
      </c>
      <c r="C4146">
        <v>7.8</v>
      </c>
      <c r="D4146">
        <v>0</v>
      </c>
      <c r="E4146" t="s">
        <v>6132</v>
      </c>
    </row>
    <row r="4147" spans="1:5" x14ac:dyDescent="0.35">
      <c r="A4147" t="s">
        <v>81</v>
      </c>
      <c r="B4147" s="16">
        <v>45792</v>
      </c>
      <c r="C4147">
        <v>7.5</v>
      </c>
      <c r="D4147">
        <v>3</v>
      </c>
      <c r="E4147" t="s">
        <v>6132</v>
      </c>
    </row>
    <row r="4148" spans="1:5" x14ac:dyDescent="0.35">
      <c r="A4148" t="s">
        <v>81</v>
      </c>
      <c r="B4148" s="16">
        <v>45798</v>
      </c>
      <c r="C4148">
        <v>8.3000000000000007</v>
      </c>
      <c r="D4148">
        <v>1</v>
      </c>
      <c r="E4148" t="s">
        <v>6132</v>
      </c>
    </row>
    <row r="4149" spans="1:5" x14ac:dyDescent="0.35">
      <c r="A4149" t="s">
        <v>81</v>
      </c>
      <c r="B4149" s="16">
        <v>45799</v>
      </c>
      <c r="C4149">
        <v>7.1</v>
      </c>
      <c r="D4149">
        <v>1</v>
      </c>
      <c r="E4149" t="s">
        <v>6132</v>
      </c>
    </row>
    <row r="4150" spans="1:5" x14ac:dyDescent="0.35">
      <c r="A4150" t="s">
        <v>81</v>
      </c>
      <c r="B4150" s="16">
        <v>45800</v>
      </c>
      <c r="C4150">
        <v>8.1999999999999993</v>
      </c>
      <c r="D4150">
        <v>1</v>
      </c>
      <c r="E4150" t="s">
        <v>6132</v>
      </c>
    </row>
    <row r="4151" spans="1:5" x14ac:dyDescent="0.35">
      <c r="A4151" t="s">
        <v>81</v>
      </c>
      <c r="B4151" s="16">
        <v>45803</v>
      </c>
      <c r="C4151">
        <v>5.5</v>
      </c>
      <c r="D4151">
        <v>0</v>
      </c>
      <c r="E4151" t="s">
        <v>6132</v>
      </c>
    </row>
    <row r="4152" spans="1:5" x14ac:dyDescent="0.35">
      <c r="A4152" t="s">
        <v>81</v>
      </c>
      <c r="B4152" s="16">
        <v>45804</v>
      </c>
      <c r="C4152">
        <v>8.1</v>
      </c>
      <c r="D4152">
        <v>0</v>
      </c>
      <c r="E4152" t="s">
        <v>6134</v>
      </c>
    </row>
    <row r="4153" spans="1:5" x14ac:dyDescent="0.35">
      <c r="A4153" t="s">
        <v>81</v>
      </c>
      <c r="B4153" s="16">
        <v>45807</v>
      </c>
      <c r="C4153">
        <v>7.5</v>
      </c>
      <c r="D4153">
        <v>2</v>
      </c>
      <c r="E4153" t="s">
        <v>6132</v>
      </c>
    </row>
    <row r="4154" spans="1:5" x14ac:dyDescent="0.35">
      <c r="A4154" t="s">
        <v>81</v>
      </c>
      <c r="B4154" s="16">
        <v>45812</v>
      </c>
      <c r="C4154">
        <v>8.8000000000000007</v>
      </c>
      <c r="D4154">
        <v>2</v>
      </c>
      <c r="E4154" t="s">
        <v>6132</v>
      </c>
    </row>
    <row r="4155" spans="1:5" x14ac:dyDescent="0.35">
      <c r="A4155" t="s">
        <v>81</v>
      </c>
      <c r="B4155" s="16">
        <v>45814</v>
      </c>
      <c r="C4155">
        <v>5.0999999999999996</v>
      </c>
      <c r="D4155">
        <v>1</v>
      </c>
      <c r="E4155" t="s">
        <v>6132</v>
      </c>
    </row>
    <row r="4156" spans="1:5" x14ac:dyDescent="0.35">
      <c r="A4156" t="s">
        <v>81</v>
      </c>
      <c r="B4156" s="16">
        <v>45817</v>
      </c>
      <c r="C4156">
        <v>8.3000000000000007</v>
      </c>
      <c r="D4156">
        <v>2</v>
      </c>
      <c r="E4156" t="s">
        <v>6132</v>
      </c>
    </row>
    <row r="4157" spans="1:5" x14ac:dyDescent="0.35">
      <c r="A4157" t="s">
        <v>81</v>
      </c>
      <c r="B4157" s="16">
        <v>45820</v>
      </c>
      <c r="C4157">
        <v>8.5</v>
      </c>
      <c r="D4157">
        <v>2</v>
      </c>
      <c r="E4157" t="s">
        <v>6132</v>
      </c>
    </row>
    <row r="4158" spans="1:5" x14ac:dyDescent="0.35">
      <c r="A4158" t="s">
        <v>81</v>
      </c>
      <c r="B4158" s="16">
        <v>45824</v>
      </c>
      <c r="C4158">
        <v>6.7</v>
      </c>
      <c r="D4158">
        <v>0</v>
      </c>
      <c r="E4158" t="s">
        <v>6132</v>
      </c>
    </row>
    <row r="4159" spans="1:5" x14ac:dyDescent="0.35">
      <c r="A4159" t="s">
        <v>81</v>
      </c>
      <c r="B4159" s="16">
        <v>45825</v>
      </c>
      <c r="C4159">
        <v>4.0999999999999996</v>
      </c>
      <c r="D4159">
        <v>1</v>
      </c>
      <c r="E4159" t="s">
        <v>6132</v>
      </c>
    </row>
    <row r="4160" spans="1:5" x14ac:dyDescent="0.35">
      <c r="A4160" t="s">
        <v>81</v>
      </c>
      <c r="B4160" s="16">
        <v>45827</v>
      </c>
      <c r="C4160">
        <v>6.5</v>
      </c>
      <c r="D4160">
        <v>2</v>
      </c>
      <c r="E4160" t="s">
        <v>6132</v>
      </c>
    </row>
    <row r="4161" spans="1:5" x14ac:dyDescent="0.35">
      <c r="A4161" t="s">
        <v>81</v>
      </c>
      <c r="B4161" s="16">
        <v>45828</v>
      </c>
      <c r="C4161">
        <v>8.1</v>
      </c>
      <c r="D4161">
        <v>0</v>
      </c>
      <c r="E4161" t="s">
        <v>6134</v>
      </c>
    </row>
    <row r="4162" spans="1:5" x14ac:dyDescent="0.35">
      <c r="A4162" t="s">
        <v>81</v>
      </c>
      <c r="B4162" s="16">
        <v>45831</v>
      </c>
      <c r="C4162">
        <v>6</v>
      </c>
      <c r="D4162">
        <v>0</v>
      </c>
      <c r="E4162" t="s">
        <v>6132</v>
      </c>
    </row>
    <row r="4163" spans="1:5" x14ac:dyDescent="0.35">
      <c r="A4163" t="s">
        <v>81</v>
      </c>
      <c r="B4163" s="16">
        <v>45834</v>
      </c>
      <c r="D4163">
        <v>0</v>
      </c>
      <c r="E4163" t="s">
        <v>6132</v>
      </c>
    </row>
    <row r="4164" spans="1:5" x14ac:dyDescent="0.35">
      <c r="A4164" t="s">
        <v>81</v>
      </c>
      <c r="B4164" s="16">
        <v>45835</v>
      </c>
      <c r="C4164">
        <v>7.6</v>
      </c>
      <c r="D4164">
        <v>1</v>
      </c>
      <c r="E4164" t="s">
        <v>6132</v>
      </c>
    </row>
    <row r="4165" spans="1:5" x14ac:dyDescent="0.35">
      <c r="A4165" t="s">
        <v>81</v>
      </c>
      <c r="B4165" s="16">
        <v>45840</v>
      </c>
      <c r="C4165">
        <v>7.1</v>
      </c>
      <c r="D4165">
        <v>1</v>
      </c>
      <c r="E4165" t="s">
        <v>6132</v>
      </c>
    </row>
    <row r="4166" spans="1:5" x14ac:dyDescent="0.35">
      <c r="A4166" t="s">
        <v>81</v>
      </c>
      <c r="B4166" s="16">
        <v>45841</v>
      </c>
      <c r="D4166">
        <v>1</v>
      </c>
      <c r="E4166" t="s">
        <v>6132</v>
      </c>
    </row>
    <row r="4167" spans="1:5" x14ac:dyDescent="0.35">
      <c r="A4167" t="s">
        <v>81</v>
      </c>
      <c r="B4167" s="16">
        <v>45845</v>
      </c>
      <c r="C4167">
        <v>6.4</v>
      </c>
      <c r="D4167">
        <v>1</v>
      </c>
      <c r="E4167" t="s">
        <v>6132</v>
      </c>
    </row>
    <row r="4168" spans="1:5" x14ac:dyDescent="0.35">
      <c r="A4168" t="s">
        <v>81</v>
      </c>
      <c r="B4168" s="16">
        <v>45846</v>
      </c>
      <c r="C4168">
        <v>4.5</v>
      </c>
      <c r="D4168">
        <v>2</v>
      </c>
      <c r="E4168" t="s">
        <v>6132</v>
      </c>
    </row>
    <row r="4169" spans="1:5" x14ac:dyDescent="0.35">
      <c r="A4169" t="s">
        <v>81</v>
      </c>
      <c r="B4169" s="16">
        <v>45847</v>
      </c>
      <c r="C4169">
        <v>5.8</v>
      </c>
      <c r="D4169">
        <v>2</v>
      </c>
      <c r="E4169" t="s">
        <v>6132</v>
      </c>
    </row>
    <row r="4170" spans="1:5" x14ac:dyDescent="0.35">
      <c r="A4170" t="s">
        <v>81</v>
      </c>
      <c r="B4170" s="16">
        <v>45852</v>
      </c>
      <c r="C4170">
        <v>6.9</v>
      </c>
      <c r="D4170">
        <v>2</v>
      </c>
      <c r="E4170" t="s">
        <v>6132</v>
      </c>
    </row>
    <row r="4171" spans="1:5" x14ac:dyDescent="0.35">
      <c r="A4171" t="s">
        <v>81</v>
      </c>
      <c r="B4171" s="16">
        <v>45855</v>
      </c>
      <c r="C4171">
        <v>8.5</v>
      </c>
      <c r="D4171">
        <v>3</v>
      </c>
      <c r="E4171" t="s">
        <v>6132</v>
      </c>
    </row>
    <row r="4172" spans="1:5" x14ac:dyDescent="0.35">
      <c r="A4172" t="s">
        <v>81</v>
      </c>
      <c r="B4172" s="16">
        <v>45859</v>
      </c>
      <c r="C4172">
        <v>6.9</v>
      </c>
      <c r="D4172">
        <v>0</v>
      </c>
      <c r="E4172" t="s">
        <v>6132</v>
      </c>
    </row>
    <row r="4173" spans="1:5" x14ac:dyDescent="0.35">
      <c r="A4173" t="s">
        <v>81</v>
      </c>
      <c r="B4173" s="16">
        <v>45860</v>
      </c>
      <c r="C4173">
        <v>4.8</v>
      </c>
      <c r="D4173">
        <v>1</v>
      </c>
      <c r="E4173" t="s">
        <v>6132</v>
      </c>
    </row>
    <row r="4174" spans="1:5" x14ac:dyDescent="0.35">
      <c r="A4174" t="s">
        <v>81</v>
      </c>
      <c r="B4174" s="16">
        <v>45861</v>
      </c>
      <c r="C4174">
        <v>8.1</v>
      </c>
      <c r="D4174">
        <v>2</v>
      </c>
      <c r="E4174" t="s">
        <v>6132</v>
      </c>
    </row>
    <row r="4175" spans="1:5" x14ac:dyDescent="0.35">
      <c r="A4175" t="s">
        <v>81</v>
      </c>
      <c r="B4175" s="16">
        <v>45862</v>
      </c>
      <c r="C4175">
        <v>6</v>
      </c>
      <c r="D4175">
        <v>0</v>
      </c>
      <c r="E4175" t="s">
        <v>6132</v>
      </c>
    </row>
    <row r="4176" spans="1:5" x14ac:dyDescent="0.35">
      <c r="A4176" t="s">
        <v>81</v>
      </c>
      <c r="B4176" s="16">
        <v>45869</v>
      </c>
      <c r="C4176">
        <v>4.7</v>
      </c>
      <c r="D4176">
        <v>0</v>
      </c>
      <c r="E4176" t="s">
        <v>6132</v>
      </c>
    </row>
    <row r="4177" spans="1:5" x14ac:dyDescent="0.35">
      <c r="A4177" t="s">
        <v>81</v>
      </c>
      <c r="B4177" s="16">
        <v>45873</v>
      </c>
      <c r="C4177">
        <v>6.9</v>
      </c>
      <c r="D4177">
        <v>0</v>
      </c>
      <c r="E4177" t="s">
        <v>6134</v>
      </c>
    </row>
    <row r="4178" spans="1:5" x14ac:dyDescent="0.35">
      <c r="A4178" t="s">
        <v>81</v>
      </c>
      <c r="B4178" s="16">
        <v>45874</v>
      </c>
      <c r="C4178">
        <v>8</v>
      </c>
      <c r="D4178">
        <v>0</v>
      </c>
      <c r="E4178" t="s">
        <v>6133</v>
      </c>
    </row>
    <row r="4179" spans="1:5" x14ac:dyDescent="0.35">
      <c r="A4179" t="s">
        <v>81</v>
      </c>
      <c r="B4179" s="16">
        <v>45875</v>
      </c>
      <c r="D4179">
        <v>0</v>
      </c>
      <c r="E4179" t="s">
        <v>6134</v>
      </c>
    </row>
    <row r="4180" spans="1:5" x14ac:dyDescent="0.35">
      <c r="A4180" t="s">
        <v>81</v>
      </c>
      <c r="B4180" s="16">
        <v>45876</v>
      </c>
      <c r="C4180">
        <v>6.2</v>
      </c>
      <c r="D4180">
        <v>1</v>
      </c>
      <c r="E4180" t="s">
        <v>6132</v>
      </c>
    </row>
    <row r="4181" spans="1:5" x14ac:dyDescent="0.35">
      <c r="A4181" t="s">
        <v>81</v>
      </c>
      <c r="B4181" s="16">
        <v>45881</v>
      </c>
      <c r="C4181">
        <v>6.2</v>
      </c>
      <c r="D4181">
        <v>0</v>
      </c>
      <c r="E4181" t="s">
        <v>6132</v>
      </c>
    </row>
    <row r="4182" spans="1:5" x14ac:dyDescent="0.35">
      <c r="A4182" t="s">
        <v>81</v>
      </c>
      <c r="B4182" s="16">
        <v>45882</v>
      </c>
      <c r="C4182">
        <v>7.5</v>
      </c>
      <c r="D4182">
        <v>3</v>
      </c>
      <c r="E4182" t="s">
        <v>6132</v>
      </c>
    </row>
    <row r="4183" spans="1:5" x14ac:dyDescent="0.35">
      <c r="A4183" t="s">
        <v>81</v>
      </c>
      <c r="B4183" s="16">
        <v>45883</v>
      </c>
      <c r="C4183">
        <v>5.9</v>
      </c>
      <c r="D4183">
        <v>2</v>
      </c>
      <c r="E4183" t="s">
        <v>6132</v>
      </c>
    </row>
    <row r="4184" spans="1:5" x14ac:dyDescent="0.35">
      <c r="A4184" t="s">
        <v>81</v>
      </c>
      <c r="B4184" s="16">
        <v>45884</v>
      </c>
      <c r="C4184">
        <v>4.4000000000000004</v>
      </c>
      <c r="D4184">
        <v>5</v>
      </c>
      <c r="E4184" t="s">
        <v>6132</v>
      </c>
    </row>
    <row r="4185" spans="1:5" x14ac:dyDescent="0.35">
      <c r="A4185" t="s">
        <v>81</v>
      </c>
      <c r="B4185" s="16">
        <v>45887</v>
      </c>
      <c r="C4185">
        <v>7</v>
      </c>
      <c r="D4185">
        <v>3</v>
      </c>
      <c r="E4185" t="s">
        <v>6132</v>
      </c>
    </row>
    <row r="4186" spans="1:5" x14ac:dyDescent="0.35">
      <c r="A4186" t="s">
        <v>81</v>
      </c>
      <c r="B4186" s="16">
        <v>45888</v>
      </c>
      <c r="C4186">
        <v>6.9</v>
      </c>
      <c r="D4186">
        <v>4</v>
      </c>
      <c r="E4186" t="s">
        <v>6132</v>
      </c>
    </row>
    <row r="4187" spans="1:5" x14ac:dyDescent="0.35">
      <c r="A4187" t="s">
        <v>81</v>
      </c>
      <c r="B4187" s="16">
        <v>45889</v>
      </c>
      <c r="C4187">
        <v>7.1</v>
      </c>
      <c r="D4187">
        <v>0</v>
      </c>
      <c r="E4187" t="s">
        <v>6132</v>
      </c>
    </row>
    <row r="4188" spans="1:5" x14ac:dyDescent="0.35">
      <c r="A4188" t="s">
        <v>81</v>
      </c>
      <c r="B4188" s="16">
        <v>45890</v>
      </c>
      <c r="C4188">
        <v>4.5</v>
      </c>
      <c r="D4188">
        <v>0</v>
      </c>
      <c r="E4188" t="s">
        <v>6132</v>
      </c>
    </row>
    <row r="4189" spans="1:5" x14ac:dyDescent="0.35">
      <c r="A4189" t="s">
        <v>81</v>
      </c>
      <c r="B4189" s="16">
        <v>45891</v>
      </c>
      <c r="C4189">
        <v>7.9</v>
      </c>
      <c r="D4189">
        <v>3</v>
      </c>
      <c r="E4189" t="s">
        <v>6132</v>
      </c>
    </row>
    <row r="4190" spans="1:5" x14ac:dyDescent="0.35">
      <c r="A4190" t="s">
        <v>81</v>
      </c>
      <c r="B4190" s="16">
        <v>45895</v>
      </c>
      <c r="C4190">
        <v>7.8</v>
      </c>
      <c r="D4190">
        <v>0</v>
      </c>
      <c r="E4190" t="s">
        <v>6132</v>
      </c>
    </row>
    <row r="4191" spans="1:5" x14ac:dyDescent="0.35">
      <c r="A4191" t="s">
        <v>81</v>
      </c>
      <c r="B4191" s="16">
        <v>45903</v>
      </c>
      <c r="C4191">
        <v>8.5</v>
      </c>
      <c r="D4191">
        <v>0</v>
      </c>
      <c r="E4191" t="s">
        <v>6134</v>
      </c>
    </row>
    <row r="4192" spans="1:5" x14ac:dyDescent="0.35">
      <c r="A4192" t="s">
        <v>81</v>
      </c>
      <c r="B4192" s="16">
        <v>45904</v>
      </c>
      <c r="C4192">
        <v>6.9</v>
      </c>
      <c r="D4192">
        <v>0</v>
      </c>
      <c r="E4192" t="s">
        <v>6132</v>
      </c>
    </row>
    <row r="4193" spans="1:5" x14ac:dyDescent="0.35">
      <c r="A4193" t="s">
        <v>81</v>
      </c>
      <c r="B4193" s="16">
        <v>45909</v>
      </c>
      <c r="C4193">
        <v>8</v>
      </c>
      <c r="D4193">
        <v>0</v>
      </c>
      <c r="E4193" t="s">
        <v>6132</v>
      </c>
    </row>
    <row r="4194" spans="1:5" x14ac:dyDescent="0.35">
      <c r="A4194" t="s">
        <v>81</v>
      </c>
      <c r="B4194" s="16">
        <v>45910</v>
      </c>
      <c r="C4194">
        <v>7.4</v>
      </c>
      <c r="D4194">
        <v>0</v>
      </c>
      <c r="E4194" t="s">
        <v>6134</v>
      </c>
    </row>
    <row r="4195" spans="1:5" x14ac:dyDescent="0.35">
      <c r="A4195" t="s">
        <v>81</v>
      </c>
      <c r="B4195" s="16">
        <v>45915</v>
      </c>
      <c r="C4195">
        <v>5.6</v>
      </c>
      <c r="D4195">
        <v>1</v>
      </c>
      <c r="E4195" t="s">
        <v>6132</v>
      </c>
    </row>
    <row r="4196" spans="1:5" x14ac:dyDescent="0.35">
      <c r="A4196" t="s">
        <v>81</v>
      </c>
      <c r="B4196" s="16">
        <v>45916</v>
      </c>
      <c r="C4196">
        <v>6.3</v>
      </c>
      <c r="D4196">
        <v>0</v>
      </c>
      <c r="E4196" t="s">
        <v>6132</v>
      </c>
    </row>
    <row r="4197" spans="1:5" x14ac:dyDescent="0.35">
      <c r="A4197" t="s">
        <v>81</v>
      </c>
      <c r="B4197" s="16">
        <v>45917</v>
      </c>
      <c r="C4197">
        <v>5.3</v>
      </c>
      <c r="D4197">
        <v>0</v>
      </c>
      <c r="E4197" t="s">
        <v>6132</v>
      </c>
    </row>
    <row r="4198" spans="1:5" x14ac:dyDescent="0.35">
      <c r="A4198" t="s">
        <v>81</v>
      </c>
      <c r="B4198" s="16">
        <v>45919</v>
      </c>
      <c r="C4198">
        <v>8</v>
      </c>
      <c r="D4198">
        <v>2</v>
      </c>
      <c r="E4198" t="s">
        <v>6132</v>
      </c>
    </row>
    <row r="4199" spans="1:5" x14ac:dyDescent="0.35">
      <c r="A4199" t="s">
        <v>81</v>
      </c>
      <c r="B4199" s="16">
        <v>45925</v>
      </c>
      <c r="C4199">
        <v>5.5</v>
      </c>
      <c r="D4199">
        <v>1</v>
      </c>
      <c r="E4199" t="s">
        <v>6132</v>
      </c>
    </row>
    <row r="4200" spans="1:5" x14ac:dyDescent="0.35">
      <c r="A4200" t="s">
        <v>81</v>
      </c>
      <c r="B4200" s="16">
        <v>45929</v>
      </c>
      <c r="C4200">
        <v>7.3</v>
      </c>
      <c r="D4200">
        <v>4</v>
      </c>
      <c r="E4200" t="s">
        <v>6132</v>
      </c>
    </row>
    <row r="4201" spans="1:5" x14ac:dyDescent="0.35">
      <c r="A4201" t="s">
        <v>81</v>
      </c>
      <c r="B4201" s="16">
        <v>45931</v>
      </c>
      <c r="C4201">
        <v>7.4</v>
      </c>
      <c r="D4201">
        <v>0</v>
      </c>
      <c r="E4201" t="s">
        <v>6132</v>
      </c>
    </row>
    <row r="4202" spans="1:5" x14ac:dyDescent="0.35">
      <c r="A4202" t="s">
        <v>81</v>
      </c>
      <c r="B4202" s="16">
        <v>45940</v>
      </c>
      <c r="C4202">
        <v>6</v>
      </c>
      <c r="D4202">
        <v>2</v>
      </c>
      <c r="E4202" t="s">
        <v>6132</v>
      </c>
    </row>
    <row r="4203" spans="1:5" x14ac:dyDescent="0.35">
      <c r="A4203" t="s">
        <v>81</v>
      </c>
      <c r="B4203" s="16">
        <v>45946</v>
      </c>
      <c r="C4203">
        <v>6.4</v>
      </c>
      <c r="D4203">
        <v>1</v>
      </c>
      <c r="E4203" t="s">
        <v>6132</v>
      </c>
    </row>
    <row r="4204" spans="1:5" x14ac:dyDescent="0.35">
      <c r="A4204" t="s">
        <v>81</v>
      </c>
      <c r="B4204" s="16">
        <v>45950</v>
      </c>
      <c r="C4204">
        <v>4.8</v>
      </c>
      <c r="D4204">
        <v>1</v>
      </c>
      <c r="E4204" t="s">
        <v>6132</v>
      </c>
    </row>
    <row r="4205" spans="1:5" x14ac:dyDescent="0.35">
      <c r="A4205" t="s">
        <v>81</v>
      </c>
      <c r="B4205" s="16">
        <v>45953</v>
      </c>
      <c r="C4205">
        <v>6.9</v>
      </c>
      <c r="D4205">
        <v>0</v>
      </c>
      <c r="E4205" t="s">
        <v>6132</v>
      </c>
    </row>
    <row r="4206" spans="1:5" x14ac:dyDescent="0.35">
      <c r="A4206" t="s">
        <v>81</v>
      </c>
      <c r="B4206" s="16">
        <v>45954</v>
      </c>
      <c r="C4206">
        <v>5.2</v>
      </c>
      <c r="D4206">
        <v>2</v>
      </c>
      <c r="E4206" t="s">
        <v>6132</v>
      </c>
    </row>
    <row r="4207" spans="1:5" x14ac:dyDescent="0.35">
      <c r="A4207" t="s">
        <v>81</v>
      </c>
      <c r="B4207" s="16">
        <v>45958</v>
      </c>
      <c r="C4207">
        <v>4.3</v>
      </c>
      <c r="D4207">
        <v>0</v>
      </c>
      <c r="E4207" t="s">
        <v>6132</v>
      </c>
    </row>
    <row r="4208" spans="1:5" x14ac:dyDescent="0.35">
      <c r="A4208" t="s">
        <v>81</v>
      </c>
      <c r="B4208" s="16">
        <v>45966</v>
      </c>
      <c r="C4208">
        <v>7.9</v>
      </c>
      <c r="D4208">
        <v>0</v>
      </c>
      <c r="E4208" t="s">
        <v>6134</v>
      </c>
    </row>
    <row r="4209" spans="1:5" x14ac:dyDescent="0.35">
      <c r="A4209" t="s">
        <v>81</v>
      </c>
      <c r="B4209" s="16">
        <v>45968</v>
      </c>
      <c r="C4209">
        <v>6.7</v>
      </c>
      <c r="D4209">
        <v>1</v>
      </c>
      <c r="E4209" t="s">
        <v>6132</v>
      </c>
    </row>
    <row r="4210" spans="1:5" x14ac:dyDescent="0.35">
      <c r="A4210" t="s">
        <v>81</v>
      </c>
      <c r="B4210" s="16">
        <v>45971</v>
      </c>
      <c r="C4210">
        <v>8.6999999999999993</v>
      </c>
      <c r="D4210">
        <v>0</v>
      </c>
      <c r="E4210" t="s">
        <v>6132</v>
      </c>
    </row>
    <row r="4211" spans="1:5" x14ac:dyDescent="0.35">
      <c r="A4211" t="s">
        <v>81</v>
      </c>
      <c r="B4211" s="16">
        <v>45972</v>
      </c>
      <c r="C4211">
        <v>6.6</v>
      </c>
      <c r="D4211">
        <v>4</v>
      </c>
      <c r="E4211" t="s">
        <v>6132</v>
      </c>
    </row>
    <row r="4212" spans="1:5" x14ac:dyDescent="0.35">
      <c r="A4212" t="s">
        <v>81</v>
      </c>
      <c r="B4212" s="16">
        <v>45975</v>
      </c>
      <c r="C4212">
        <v>6.1</v>
      </c>
      <c r="D4212">
        <v>0</v>
      </c>
      <c r="E4212" t="s">
        <v>6133</v>
      </c>
    </row>
    <row r="4213" spans="1:5" x14ac:dyDescent="0.35">
      <c r="A4213" t="s">
        <v>81</v>
      </c>
      <c r="B4213" s="16">
        <v>45978</v>
      </c>
      <c r="C4213">
        <v>8.5</v>
      </c>
      <c r="D4213">
        <v>7</v>
      </c>
      <c r="E4213" t="s">
        <v>6132</v>
      </c>
    </row>
    <row r="4214" spans="1:5" x14ac:dyDescent="0.35">
      <c r="A4214" t="s">
        <v>81</v>
      </c>
      <c r="B4214" s="16">
        <v>45981</v>
      </c>
      <c r="C4214">
        <v>8.1999999999999993</v>
      </c>
      <c r="D4214">
        <v>2</v>
      </c>
      <c r="E4214" t="s">
        <v>6132</v>
      </c>
    </row>
    <row r="4215" spans="1:5" x14ac:dyDescent="0.35">
      <c r="A4215" t="s">
        <v>81</v>
      </c>
      <c r="B4215" s="16">
        <v>45982</v>
      </c>
      <c r="C4215">
        <v>6.5</v>
      </c>
      <c r="D4215">
        <v>0</v>
      </c>
      <c r="E4215" t="s">
        <v>6133</v>
      </c>
    </row>
    <row r="4216" spans="1:5" x14ac:dyDescent="0.35">
      <c r="A4216" t="s">
        <v>81</v>
      </c>
      <c r="B4216" s="16">
        <v>45985</v>
      </c>
      <c r="C4216">
        <v>5.3</v>
      </c>
      <c r="D4216">
        <v>3</v>
      </c>
      <c r="E4216" t="s">
        <v>6132</v>
      </c>
    </row>
    <row r="4217" spans="1:5" x14ac:dyDescent="0.35">
      <c r="A4217" t="s">
        <v>81</v>
      </c>
      <c r="B4217" s="16">
        <v>45986</v>
      </c>
      <c r="C4217">
        <v>5.3</v>
      </c>
      <c r="D4217">
        <v>3</v>
      </c>
      <c r="E4217" t="s">
        <v>6132</v>
      </c>
    </row>
    <row r="4218" spans="1:5" x14ac:dyDescent="0.35">
      <c r="A4218" t="s">
        <v>81</v>
      </c>
      <c r="B4218" s="16">
        <v>45987</v>
      </c>
      <c r="C4218">
        <v>6.4</v>
      </c>
      <c r="D4218">
        <v>1</v>
      </c>
      <c r="E4218" t="s">
        <v>6132</v>
      </c>
    </row>
    <row r="4219" spans="1:5" x14ac:dyDescent="0.35">
      <c r="A4219" t="s">
        <v>81</v>
      </c>
      <c r="B4219" s="16">
        <v>45999</v>
      </c>
      <c r="C4219">
        <v>8.9</v>
      </c>
      <c r="D4219">
        <v>1</v>
      </c>
      <c r="E4219" t="s">
        <v>6132</v>
      </c>
    </row>
    <row r="4220" spans="1:5" x14ac:dyDescent="0.35">
      <c r="A4220" t="s">
        <v>81</v>
      </c>
      <c r="B4220" s="16">
        <v>46000</v>
      </c>
      <c r="C4220">
        <v>4.5999999999999996</v>
      </c>
      <c r="D4220">
        <v>1</v>
      </c>
      <c r="E4220" t="s">
        <v>6132</v>
      </c>
    </row>
    <row r="4221" spans="1:5" x14ac:dyDescent="0.35">
      <c r="A4221" t="s">
        <v>81</v>
      </c>
      <c r="B4221" s="16">
        <v>46001</v>
      </c>
      <c r="C4221">
        <v>8.6999999999999993</v>
      </c>
      <c r="D4221">
        <v>1</v>
      </c>
      <c r="E4221" t="s">
        <v>6132</v>
      </c>
    </row>
    <row r="4222" spans="1:5" x14ac:dyDescent="0.35">
      <c r="A4222" t="s">
        <v>81</v>
      </c>
      <c r="B4222" s="16">
        <v>46006</v>
      </c>
      <c r="C4222">
        <v>4.7</v>
      </c>
      <c r="D4222">
        <v>1</v>
      </c>
      <c r="E4222" t="s">
        <v>6132</v>
      </c>
    </row>
    <row r="4223" spans="1:5" x14ac:dyDescent="0.35">
      <c r="A4223" t="s">
        <v>81</v>
      </c>
      <c r="B4223" s="16">
        <v>46008</v>
      </c>
      <c r="C4223">
        <v>4.5999999999999996</v>
      </c>
      <c r="D4223">
        <v>1</v>
      </c>
      <c r="E4223" t="s">
        <v>6132</v>
      </c>
    </row>
    <row r="4224" spans="1:5" x14ac:dyDescent="0.35">
      <c r="A4224" t="s">
        <v>81</v>
      </c>
      <c r="B4224" s="16">
        <v>46009</v>
      </c>
      <c r="C4224">
        <v>5.9</v>
      </c>
      <c r="D4224">
        <v>1</v>
      </c>
      <c r="E4224" t="s">
        <v>6132</v>
      </c>
    </row>
    <row r="4225" spans="1:5" x14ac:dyDescent="0.35">
      <c r="A4225" t="s">
        <v>81</v>
      </c>
      <c r="B4225" s="16">
        <v>46013</v>
      </c>
      <c r="C4225">
        <v>6</v>
      </c>
      <c r="D4225">
        <v>0</v>
      </c>
      <c r="E4225" t="s">
        <v>6132</v>
      </c>
    </row>
    <row r="4226" spans="1:5" x14ac:dyDescent="0.35">
      <c r="A4226" t="s">
        <v>81</v>
      </c>
      <c r="B4226" s="16">
        <v>46015</v>
      </c>
      <c r="C4226">
        <v>4.7</v>
      </c>
      <c r="D4226">
        <v>0</v>
      </c>
      <c r="E4226" t="s">
        <v>6134</v>
      </c>
    </row>
    <row r="4227" spans="1:5" x14ac:dyDescent="0.35">
      <c r="A4227" t="s">
        <v>81</v>
      </c>
      <c r="B4227" s="16">
        <v>46016</v>
      </c>
      <c r="C4227">
        <v>7.1</v>
      </c>
      <c r="D4227">
        <v>1</v>
      </c>
      <c r="E4227" t="s">
        <v>6132</v>
      </c>
    </row>
    <row r="4228" spans="1:5" x14ac:dyDescent="0.35">
      <c r="A4228" t="s">
        <v>51</v>
      </c>
      <c r="B4228" s="16">
        <v>45658</v>
      </c>
      <c r="C4228">
        <v>8.8000000000000007</v>
      </c>
      <c r="D4228">
        <v>2</v>
      </c>
      <c r="E4228" t="s">
        <v>6132</v>
      </c>
    </row>
    <row r="4229" spans="1:5" x14ac:dyDescent="0.35">
      <c r="A4229" t="s">
        <v>51</v>
      </c>
      <c r="B4229" s="16">
        <v>45664</v>
      </c>
      <c r="C4229">
        <v>6.5</v>
      </c>
      <c r="D4229">
        <v>3</v>
      </c>
      <c r="E4229" t="s">
        <v>6132</v>
      </c>
    </row>
    <row r="4230" spans="1:5" x14ac:dyDescent="0.35">
      <c r="A4230" t="s">
        <v>51</v>
      </c>
      <c r="B4230" s="16">
        <v>45666</v>
      </c>
      <c r="C4230">
        <v>8.4</v>
      </c>
      <c r="D4230">
        <v>2</v>
      </c>
      <c r="E4230" t="s">
        <v>6132</v>
      </c>
    </row>
    <row r="4231" spans="1:5" x14ac:dyDescent="0.35">
      <c r="A4231" t="s">
        <v>51</v>
      </c>
      <c r="B4231" s="16">
        <v>45670</v>
      </c>
      <c r="C4231">
        <v>4.8</v>
      </c>
      <c r="D4231">
        <v>1</v>
      </c>
      <c r="E4231" t="s">
        <v>6132</v>
      </c>
    </row>
    <row r="4232" spans="1:5" x14ac:dyDescent="0.35">
      <c r="A4232" t="s">
        <v>51</v>
      </c>
      <c r="B4232" s="16">
        <v>45674</v>
      </c>
      <c r="C4232">
        <v>5.5</v>
      </c>
      <c r="D4232">
        <v>0</v>
      </c>
      <c r="E4232" t="s">
        <v>6132</v>
      </c>
    </row>
    <row r="4233" spans="1:5" x14ac:dyDescent="0.35">
      <c r="A4233" t="s">
        <v>51</v>
      </c>
      <c r="B4233" s="16">
        <v>45678</v>
      </c>
      <c r="D4233">
        <v>0</v>
      </c>
      <c r="E4233" t="s">
        <v>6132</v>
      </c>
    </row>
    <row r="4234" spans="1:5" x14ac:dyDescent="0.35">
      <c r="A4234" t="s">
        <v>51</v>
      </c>
      <c r="B4234" s="16">
        <v>45681</v>
      </c>
      <c r="C4234">
        <v>8.5</v>
      </c>
      <c r="D4234">
        <v>0</v>
      </c>
      <c r="E4234" t="s">
        <v>6132</v>
      </c>
    </row>
    <row r="4235" spans="1:5" x14ac:dyDescent="0.35">
      <c r="A4235" t="s">
        <v>51</v>
      </c>
      <c r="B4235" s="16">
        <v>45686</v>
      </c>
      <c r="C4235">
        <v>7.3</v>
      </c>
      <c r="D4235">
        <v>2</v>
      </c>
      <c r="E4235" t="s">
        <v>6132</v>
      </c>
    </row>
    <row r="4236" spans="1:5" x14ac:dyDescent="0.35">
      <c r="A4236" t="s">
        <v>51</v>
      </c>
      <c r="B4236" s="16">
        <v>45687</v>
      </c>
      <c r="C4236">
        <v>4.3</v>
      </c>
      <c r="D4236">
        <v>1</v>
      </c>
      <c r="E4236" t="s">
        <v>6132</v>
      </c>
    </row>
    <row r="4237" spans="1:5" x14ac:dyDescent="0.35">
      <c r="A4237" t="s">
        <v>51</v>
      </c>
      <c r="B4237" s="16">
        <v>45688</v>
      </c>
      <c r="C4237">
        <v>6</v>
      </c>
      <c r="D4237">
        <v>1</v>
      </c>
      <c r="E4237" t="s">
        <v>6132</v>
      </c>
    </row>
    <row r="4238" spans="1:5" x14ac:dyDescent="0.35">
      <c r="A4238" t="s">
        <v>51</v>
      </c>
      <c r="B4238" s="16">
        <v>45693</v>
      </c>
      <c r="C4238">
        <v>6.4</v>
      </c>
      <c r="D4238">
        <v>1</v>
      </c>
      <c r="E4238" t="s">
        <v>6132</v>
      </c>
    </row>
    <row r="4239" spans="1:5" x14ac:dyDescent="0.35">
      <c r="A4239" t="s">
        <v>51</v>
      </c>
      <c r="B4239" s="16">
        <v>45695</v>
      </c>
      <c r="C4239">
        <v>4.8</v>
      </c>
      <c r="D4239">
        <v>2</v>
      </c>
      <c r="E4239" t="s">
        <v>6132</v>
      </c>
    </row>
    <row r="4240" spans="1:5" x14ac:dyDescent="0.35">
      <c r="A4240" t="s">
        <v>51</v>
      </c>
      <c r="B4240" s="16">
        <v>45698</v>
      </c>
      <c r="C4240">
        <v>8.6999999999999993</v>
      </c>
      <c r="D4240">
        <v>1</v>
      </c>
      <c r="E4240" t="s">
        <v>6132</v>
      </c>
    </row>
    <row r="4241" spans="1:5" x14ac:dyDescent="0.35">
      <c r="A4241" t="s">
        <v>51</v>
      </c>
      <c r="B4241" s="16">
        <v>45701</v>
      </c>
      <c r="C4241">
        <v>8.3000000000000007</v>
      </c>
      <c r="D4241">
        <v>3</v>
      </c>
      <c r="E4241" t="s">
        <v>6132</v>
      </c>
    </row>
    <row r="4242" spans="1:5" x14ac:dyDescent="0.35">
      <c r="A4242" t="s">
        <v>51</v>
      </c>
      <c r="B4242" s="16">
        <v>45705</v>
      </c>
      <c r="C4242">
        <v>5.5</v>
      </c>
      <c r="D4242">
        <v>3</v>
      </c>
      <c r="E4242" t="s">
        <v>6132</v>
      </c>
    </row>
    <row r="4243" spans="1:5" x14ac:dyDescent="0.35">
      <c r="A4243" t="s">
        <v>51</v>
      </c>
      <c r="B4243" s="16">
        <v>45706</v>
      </c>
      <c r="C4243">
        <v>8</v>
      </c>
      <c r="D4243">
        <v>0</v>
      </c>
      <c r="E4243" t="s">
        <v>6132</v>
      </c>
    </row>
    <row r="4244" spans="1:5" x14ac:dyDescent="0.35">
      <c r="A4244" t="s">
        <v>51</v>
      </c>
      <c r="B4244" s="16">
        <v>45709</v>
      </c>
      <c r="C4244">
        <v>7</v>
      </c>
      <c r="D4244">
        <v>2</v>
      </c>
      <c r="E4244" t="s">
        <v>6132</v>
      </c>
    </row>
    <row r="4245" spans="1:5" x14ac:dyDescent="0.35">
      <c r="A4245" t="s">
        <v>51</v>
      </c>
      <c r="B4245" s="16">
        <v>45712</v>
      </c>
      <c r="C4245">
        <v>4.9000000000000004</v>
      </c>
      <c r="D4245">
        <v>0</v>
      </c>
      <c r="E4245" t="s">
        <v>6132</v>
      </c>
    </row>
    <row r="4246" spans="1:5" x14ac:dyDescent="0.35">
      <c r="A4246" t="s">
        <v>51</v>
      </c>
      <c r="B4246" s="16">
        <v>45713</v>
      </c>
      <c r="C4246">
        <v>5.8</v>
      </c>
      <c r="D4246">
        <v>2</v>
      </c>
      <c r="E4246" t="s">
        <v>6132</v>
      </c>
    </row>
    <row r="4247" spans="1:5" x14ac:dyDescent="0.35">
      <c r="A4247" t="s">
        <v>51</v>
      </c>
      <c r="B4247" s="16">
        <v>45714</v>
      </c>
      <c r="C4247">
        <v>5.3</v>
      </c>
      <c r="D4247">
        <v>4</v>
      </c>
      <c r="E4247" t="s">
        <v>6132</v>
      </c>
    </row>
    <row r="4248" spans="1:5" x14ac:dyDescent="0.35">
      <c r="A4248" t="s">
        <v>51</v>
      </c>
      <c r="B4248" s="16">
        <v>45715</v>
      </c>
      <c r="C4248">
        <v>7.6</v>
      </c>
      <c r="D4248">
        <v>6</v>
      </c>
      <c r="E4248" t="s">
        <v>6132</v>
      </c>
    </row>
    <row r="4249" spans="1:5" x14ac:dyDescent="0.35">
      <c r="A4249" t="s">
        <v>51</v>
      </c>
      <c r="B4249" s="16">
        <v>45716</v>
      </c>
      <c r="C4249">
        <v>5.8</v>
      </c>
      <c r="D4249">
        <v>0</v>
      </c>
      <c r="E4249" t="s">
        <v>6132</v>
      </c>
    </row>
    <row r="4250" spans="1:5" x14ac:dyDescent="0.35">
      <c r="A4250" t="s">
        <v>51</v>
      </c>
      <c r="B4250" s="16">
        <v>45720</v>
      </c>
      <c r="C4250">
        <v>6.3</v>
      </c>
      <c r="D4250">
        <v>1</v>
      </c>
      <c r="E4250" t="s">
        <v>6132</v>
      </c>
    </row>
    <row r="4251" spans="1:5" x14ac:dyDescent="0.35">
      <c r="A4251" t="s">
        <v>51</v>
      </c>
      <c r="B4251" s="16">
        <v>45722</v>
      </c>
      <c r="C4251">
        <v>5.5</v>
      </c>
      <c r="D4251">
        <v>0</v>
      </c>
      <c r="E4251" t="s">
        <v>6132</v>
      </c>
    </row>
    <row r="4252" spans="1:5" x14ac:dyDescent="0.35">
      <c r="A4252" t="s">
        <v>51</v>
      </c>
      <c r="B4252" s="16">
        <v>45723</v>
      </c>
      <c r="C4252">
        <v>5.7</v>
      </c>
      <c r="D4252">
        <v>2</v>
      </c>
      <c r="E4252" t="s">
        <v>6132</v>
      </c>
    </row>
    <row r="4253" spans="1:5" x14ac:dyDescent="0.35">
      <c r="A4253" t="s">
        <v>51</v>
      </c>
      <c r="B4253" s="16">
        <v>45728</v>
      </c>
      <c r="C4253">
        <v>4.7</v>
      </c>
      <c r="D4253">
        <v>3</v>
      </c>
      <c r="E4253" t="s">
        <v>6132</v>
      </c>
    </row>
    <row r="4254" spans="1:5" x14ac:dyDescent="0.35">
      <c r="A4254" t="s">
        <v>51</v>
      </c>
      <c r="B4254" s="16">
        <v>45729</v>
      </c>
      <c r="C4254">
        <v>8.6999999999999993</v>
      </c>
      <c r="D4254">
        <v>0</v>
      </c>
      <c r="E4254" t="s">
        <v>6132</v>
      </c>
    </row>
    <row r="4255" spans="1:5" x14ac:dyDescent="0.35">
      <c r="A4255" t="s">
        <v>51</v>
      </c>
      <c r="B4255" s="16">
        <v>45735</v>
      </c>
      <c r="C4255">
        <v>7.7</v>
      </c>
      <c r="D4255">
        <v>1</v>
      </c>
      <c r="E4255" t="s">
        <v>6132</v>
      </c>
    </row>
    <row r="4256" spans="1:5" x14ac:dyDescent="0.35">
      <c r="A4256" t="s">
        <v>51</v>
      </c>
      <c r="B4256" s="16">
        <v>45736</v>
      </c>
      <c r="C4256">
        <v>7.3</v>
      </c>
      <c r="D4256">
        <v>0</v>
      </c>
      <c r="E4256" t="s">
        <v>6132</v>
      </c>
    </row>
    <row r="4257" spans="1:5" x14ac:dyDescent="0.35">
      <c r="A4257" t="s">
        <v>51</v>
      </c>
      <c r="B4257" s="16">
        <v>45740</v>
      </c>
      <c r="C4257">
        <v>4.0999999999999996</v>
      </c>
      <c r="D4257">
        <v>0</v>
      </c>
      <c r="E4257" t="s">
        <v>6132</v>
      </c>
    </row>
    <row r="4258" spans="1:5" x14ac:dyDescent="0.35">
      <c r="A4258" t="s">
        <v>51</v>
      </c>
      <c r="B4258" s="16">
        <v>45741</v>
      </c>
      <c r="C4258">
        <v>7</v>
      </c>
      <c r="D4258">
        <v>0</v>
      </c>
      <c r="E4258" t="s">
        <v>6132</v>
      </c>
    </row>
    <row r="4259" spans="1:5" x14ac:dyDescent="0.35">
      <c r="A4259" t="s">
        <v>51</v>
      </c>
      <c r="B4259" s="16">
        <v>45743</v>
      </c>
      <c r="C4259">
        <v>7.4</v>
      </c>
      <c r="D4259">
        <v>0</v>
      </c>
      <c r="E4259" t="s">
        <v>6132</v>
      </c>
    </row>
    <row r="4260" spans="1:5" x14ac:dyDescent="0.35">
      <c r="A4260" t="s">
        <v>51</v>
      </c>
      <c r="B4260" s="16">
        <v>45744</v>
      </c>
      <c r="C4260">
        <v>8.5</v>
      </c>
      <c r="D4260">
        <v>0</v>
      </c>
      <c r="E4260" t="s">
        <v>6132</v>
      </c>
    </row>
    <row r="4261" spans="1:5" x14ac:dyDescent="0.35">
      <c r="A4261" t="s">
        <v>51</v>
      </c>
      <c r="B4261" s="16">
        <v>45749</v>
      </c>
      <c r="C4261">
        <v>8.6999999999999993</v>
      </c>
      <c r="D4261">
        <v>1</v>
      </c>
      <c r="E4261" t="s">
        <v>6132</v>
      </c>
    </row>
    <row r="4262" spans="1:5" x14ac:dyDescent="0.35">
      <c r="A4262" t="s">
        <v>51</v>
      </c>
      <c r="B4262" s="16">
        <v>45750</v>
      </c>
      <c r="D4262">
        <v>0</v>
      </c>
      <c r="E4262" t="s">
        <v>6133</v>
      </c>
    </row>
    <row r="4263" spans="1:5" x14ac:dyDescent="0.35">
      <c r="A4263" t="s">
        <v>51</v>
      </c>
      <c r="B4263" s="16">
        <v>45754</v>
      </c>
      <c r="C4263">
        <v>5.7</v>
      </c>
      <c r="D4263">
        <v>3</v>
      </c>
      <c r="E4263" t="s">
        <v>6132</v>
      </c>
    </row>
    <row r="4264" spans="1:5" x14ac:dyDescent="0.35">
      <c r="A4264" t="s">
        <v>51</v>
      </c>
      <c r="B4264" s="16">
        <v>45756</v>
      </c>
      <c r="C4264">
        <v>8</v>
      </c>
      <c r="D4264">
        <v>2</v>
      </c>
      <c r="E4264" t="s">
        <v>6132</v>
      </c>
    </row>
    <row r="4265" spans="1:5" x14ac:dyDescent="0.35">
      <c r="A4265" t="s">
        <v>51</v>
      </c>
      <c r="B4265" s="16">
        <v>45757</v>
      </c>
      <c r="C4265">
        <v>7.5</v>
      </c>
      <c r="D4265">
        <v>0</v>
      </c>
      <c r="E4265" t="s">
        <v>6132</v>
      </c>
    </row>
    <row r="4266" spans="1:5" x14ac:dyDescent="0.35">
      <c r="A4266" t="s">
        <v>51</v>
      </c>
      <c r="B4266" s="16">
        <v>45761</v>
      </c>
      <c r="C4266">
        <v>6.4</v>
      </c>
      <c r="D4266">
        <v>1</v>
      </c>
      <c r="E4266" t="s">
        <v>6132</v>
      </c>
    </row>
    <row r="4267" spans="1:5" x14ac:dyDescent="0.35">
      <c r="A4267" t="s">
        <v>51</v>
      </c>
      <c r="B4267" s="16">
        <v>45762</v>
      </c>
      <c r="C4267">
        <v>5.0999999999999996</v>
      </c>
      <c r="D4267">
        <v>0</v>
      </c>
      <c r="E4267" t="s">
        <v>6134</v>
      </c>
    </row>
    <row r="4268" spans="1:5" x14ac:dyDescent="0.35">
      <c r="A4268" t="s">
        <v>51</v>
      </c>
      <c r="B4268" s="16">
        <v>45764</v>
      </c>
      <c r="D4268">
        <v>2</v>
      </c>
      <c r="E4268" t="s">
        <v>6132</v>
      </c>
    </row>
    <row r="4269" spans="1:5" x14ac:dyDescent="0.35">
      <c r="A4269" t="s">
        <v>51</v>
      </c>
      <c r="B4269" s="16">
        <v>45768</v>
      </c>
      <c r="D4269">
        <v>0</v>
      </c>
      <c r="E4269" t="s">
        <v>6132</v>
      </c>
    </row>
    <row r="4270" spans="1:5" x14ac:dyDescent="0.35">
      <c r="A4270" t="s">
        <v>51</v>
      </c>
      <c r="B4270" s="16">
        <v>45769</v>
      </c>
      <c r="C4270">
        <v>5.3</v>
      </c>
      <c r="D4270">
        <v>8</v>
      </c>
      <c r="E4270" t="s">
        <v>6132</v>
      </c>
    </row>
    <row r="4271" spans="1:5" x14ac:dyDescent="0.35">
      <c r="A4271" t="s">
        <v>51</v>
      </c>
      <c r="B4271" s="16">
        <v>45770</v>
      </c>
      <c r="C4271">
        <v>4.5</v>
      </c>
      <c r="D4271">
        <v>0</v>
      </c>
      <c r="E4271" t="s">
        <v>6132</v>
      </c>
    </row>
    <row r="4272" spans="1:5" x14ac:dyDescent="0.35">
      <c r="A4272" t="s">
        <v>51</v>
      </c>
      <c r="B4272" s="16">
        <v>45771</v>
      </c>
      <c r="C4272">
        <v>4.5</v>
      </c>
      <c r="D4272">
        <v>0</v>
      </c>
      <c r="E4272" t="s">
        <v>6132</v>
      </c>
    </row>
    <row r="4273" spans="1:5" x14ac:dyDescent="0.35">
      <c r="A4273" t="s">
        <v>51</v>
      </c>
      <c r="B4273" s="16">
        <v>45775</v>
      </c>
      <c r="C4273">
        <v>8</v>
      </c>
      <c r="D4273">
        <v>0</v>
      </c>
      <c r="E4273" t="s">
        <v>6132</v>
      </c>
    </row>
    <row r="4274" spans="1:5" x14ac:dyDescent="0.35">
      <c r="A4274" t="s">
        <v>51</v>
      </c>
      <c r="B4274" s="16">
        <v>45777</v>
      </c>
      <c r="C4274">
        <v>7.7</v>
      </c>
      <c r="D4274">
        <v>0</v>
      </c>
      <c r="E4274" t="s">
        <v>6132</v>
      </c>
    </row>
    <row r="4275" spans="1:5" x14ac:dyDescent="0.35">
      <c r="A4275" t="s">
        <v>51</v>
      </c>
      <c r="B4275" s="16">
        <v>45778</v>
      </c>
      <c r="C4275">
        <v>8.6</v>
      </c>
      <c r="D4275">
        <v>0</v>
      </c>
      <c r="E4275" t="s">
        <v>6133</v>
      </c>
    </row>
    <row r="4276" spans="1:5" x14ac:dyDescent="0.35">
      <c r="A4276" t="s">
        <v>51</v>
      </c>
      <c r="B4276" s="16">
        <v>45779</v>
      </c>
      <c r="C4276">
        <v>8</v>
      </c>
      <c r="D4276">
        <v>1</v>
      </c>
      <c r="E4276" t="s">
        <v>6132</v>
      </c>
    </row>
    <row r="4277" spans="1:5" x14ac:dyDescent="0.35">
      <c r="A4277" t="s">
        <v>51</v>
      </c>
      <c r="B4277" s="16">
        <v>45782</v>
      </c>
      <c r="C4277">
        <v>8</v>
      </c>
      <c r="D4277">
        <v>4</v>
      </c>
      <c r="E4277" t="s">
        <v>6132</v>
      </c>
    </row>
    <row r="4278" spans="1:5" x14ac:dyDescent="0.35">
      <c r="A4278" t="s">
        <v>51</v>
      </c>
      <c r="B4278" s="16">
        <v>45784</v>
      </c>
      <c r="C4278">
        <v>4.5999999999999996</v>
      </c>
      <c r="D4278">
        <v>1</v>
      </c>
      <c r="E4278" t="s">
        <v>6132</v>
      </c>
    </row>
    <row r="4279" spans="1:5" x14ac:dyDescent="0.35">
      <c r="A4279" t="s">
        <v>51</v>
      </c>
      <c r="B4279" s="16">
        <v>45789</v>
      </c>
      <c r="C4279">
        <v>8.5</v>
      </c>
      <c r="D4279">
        <v>4</v>
      </c>
      <c r="E4279" t="s">
        <v>6132</v>
      </c>
    </row>
    <row r="4280" spans="1:5" x14ac:dyDescent="0.35">
      <c r="A4280" t="s">
        <v>51</v>
      </c>
      <c r="B4280" s="16">
        <v>45792</v>
      </c>
      <c r="C4280">
        <v>6</v>
      </c>
      <c r="D4280">
        <v>0</v>
      </c>
      <c r="E4280" t="s">
        <v>6132</v>
      </c>
    </row>
    <row r="4281" spans="1:5" x14ac:dyDescent="0.35">
      <c r="A4281" t="s">
        <v>51</v>
      </c>
      <c r="B4281" s="16">
        <v>45793</v>
      </c>
      <c r="C4281">
        <v>6</v>
      </c>
      <c r="D4281">
        <v>4</v>
      </c>
      <c r="E4281" t="s">
        <v>6132</v>
      </c>
    </row>
    <row r="4282" spans="1:5" x14ac:dyDescent="0.35">
      <c r="A4282" t="s">
        <v>51</v>
      </c>
      <c r="B4282" s="16">
        <v>45796</v>
      </c>
      <c r="C4282">
        <v>8.8000000000000007</v>
      </c>
      <c r="D4282">
        <v>2</v>
      </c>
      <c r="E4282" t="s">
        <v>6132</v>
      </c>
    </row>
    <row r="4283" spans="1:5" x14ac:dyDescent="0.35">
      <c r="A4283" t="s">
        <v>51</v>
      </c>
      <c r="B4283" s="16">
        <v>45797</v>
      </c>
      <c r="C4283">
        <v>6.9</v>
      </c>
      <c r="D4283">
        <v>2</v>
      </c>
      <c r="E4283" t="s">
        <v>6132</v>
      </c>
    </row>
    <row r="4284" spans="1:5" x14ac:dyDescent="0.35">
      <c r="A4284" t="s">
        <v>51</v>
      </c>
      <c r="B4284" s="16">
        <v>45799</v>
      </c>
      <c r="C4284">
        <v>5.8</v>
      </c>
      <c r="D4284">
        <v>2</v>
      </c>
      <c r="E4284" t="s">
        <v>6132</v>
      </c>
    </row>
    <row r="4285" spans="1:5" x14ac:dyDescent="0.35">
      <c r="A4285" t="s">
        <v>51</v>
      </c>
      <c r="B4285" s="16">
        <v>45800</v>
      </c>
      <c r="C4285">
        <v>7.2</v>
      </c>
      <c r="D4285">
        <v>1</v>
      </c>
      <c r="E4285" t="s">
        <v>6132</v>
      </c>
    </row>
    <row r="4286" spans="1:5" x14ac:dyDescent="0.35">
      <c r="A4286" t="s">
        <v>51</v>
      </c>
      <c r="B4286" s="16">
        <v>45805</v>
      </c>
      <c r="C4286">
        <v>6.3</v>
      </c>
      <c r="D4286">
        <v>1</v>
      </c>
      <c r="E4286" t="s">
        <v>6132</v>
      </c>
    </row>
    <row r="4287" spans="1:5" x14ac:dyDescent="0.35">
      <c r="A4287" t="s">
        <v>51</v>
      </c>
      <c r="B4287" s="16">
        <v>45806</v>
      </c>
      <c r="D4287">
        <v>4</v>
      </c>
      <c r="E4287" t="s">
        <v>6132</v>
      </c>
    </row>
    <row r="4288" spans="1:5" x14ac:dyDescent="0.35">
      <c r="A4288" t="s">
        <v>51</v>
      </c>
      <c r="B4288" s="16">
        <v>45807</v>
      </c>
      <c r="C4288">
        <v>4.4000000000000004</v>
      </c>
      <c r="D4288">
        <v>0</v>
      </c>
      <c r="E4288" t="s">
        <v>6132</v>
      </c>
    </row>
    <row r="4289" spans="1:5" x14ac:dyDescent="0.35">
      <c r="A4289" t="s">
        <v>51</v>
      </c>
      <c r="B4289" s="16">
        <v>45810</v>
      </c>
      <c r="C4289">
        <v>6.8</v>
      </c>
      <c r="D4289">
        <v>1</v>
      </c>
      <c r="E4289" t="s">
        <v>6132</v>
      </c>
    </row>
    <row r="4290" spans="1:5" x14ac:dyDescent="0.35">
      <c r="A4290" t="s">
        <v>51</v>
      </c>
      <c r="B4290" s="16">
        <v>45811</v>
      </c>
      <c r="C4290">
        <v>8.1999999999999993</v>
      </c>
      <c r="D4290">
        <v>1</v>
      </c>
      <c r="E4290" t="s">
        <v>6132</v>
      </c>
    </row>
    <row r="4291" spans="1:5" x14ac:dyDescent="0.35">
      <c r="A4291" t="s">
        <v>51</v>
      </c>
      <c r="B4291" s="16">
        <v>45812</v>
      </c>
      <c r="C4291">
        <v>7.4</v>
      </c>
      <c r="D4291">
        <v>1</v>
      </c>
      <c r="E4291" t="s">
        <v>6132</v>
      </c>
    </row>
    <row r="4292" spans="1:5" x14ac:dyDescent="0.35">
      <c r="A4292" t="s">
        <v>51</v>
      </c>
      <c r="B4292" s="16">
        <v>45817</v>
      </c>
      <c r="C4292">
        <v>5.3</v>
      </c>
      <c r="D4292">
        <v>3</v>
      </c>
      <c r="E4292" t="s">
        <v>6132</v>
      </c>
    </row>
    <row r="4293" spans="1:5" x14ac:dyDescent="0.35">
      <c r="A4293" t="s">
        <v>51</v>
      </c>
      <c r="B4293" s="16">
        <v>45820</v>
      </c>
      <c r="C4293">
        <v>8</v>
      </c>
      <c r="D4293">
        <v>2</v>
      </c>
      <c r="E4293" t="s">
        <v>6132</v>
      </c>
    </row>
    <row r="4294" spans="1:5" x14ac:dyDescent="0.35">
      <c r="A4294" t="s">
        <v>51</v>
      </c>
      <c r="B4294" s="16">
        <v>45821</v>
      </c>
      <c r="C4294">
        <v>7.6</v>
      </c>
      <c r="D4294">
        <v>0</v>
      </c>
      <c r="E4294" t="s">
        <v>6132</v>
      </c>
    </row>
    <row r="4295" spans="1:5" x14ac:dyDescent="0.35">
      <c r="A4295" t="s">
        <v>51</v>
      </c>
      <c r="B4295" s="16">
        <v>45824</v>
      </c>
      <c r="C4295">
        <v>6.9</v>
      </c>
      <c r="D4295">
        <v>1</v>
      </c>
      <c r="E4295" t="s">
        <v>6132</v>
      </c>
    </row>
    <row r="4296" spans="1:5" x14ac:dyDescent="0.35">
      <c r="A4296" t="s">
        <v>51</v>
      </c>
      <c r="B4296" s="16">
        <v>45825</v>
      </c>
      <c r="C4296">
        <v>6.5</v>
      </c>
      <c r="D4296">
        <v>0</v>
      </c>
      <c r="E4296" t="s">
        <v>6132</v>
      </c>
    </row>
    <row r="4297" spans="1:5" x14ac:dyDescent="0.35">
      <c r="A4297" t="s">
        <v>51</v>
      </c>
      <c r="B4297" s="16">
        <v>45826</v>
      </c>
      <c r="C4297">
        <v>6</v>
      </c>
      <c r="D4297">
        <v>0</v>
      </c>
      <c r="E4297" t="s">
        <v>6132</v>
      </c>
    </row>
    <row r="4298" spans="1:5" x14ac:dyDescent="0.35">
      <c r="A4298" t="s">
        <v>51</v>
      </c>
      <c r="B4298" s="16">
        <v>45827</v>
      </c>
      <c r="C4298">
        <v>5.2</v>
      </c>
      <c r="D4298">
        <v>0</v>
      </c>
      <c r="E4298" t="s">
        <v>6133</v>
      </c>
    </row>
    <row r="4299" spans="1:5" x14ac:dyDescent="0.35">
      <c r="A4299" t="s">
        <v>51</v>
      </c>
      <c r="B4299" s="16">
        <v>45832</v>
      </c>
      <c r="C4299">
        <v>6.9</v>
      </c>
      <c r="D4299">
        <v>0</v>
      </c>
      <c r="E4299" t="s">
        <v>6132</v>
      </c>
    </row>
    <row r="4300" spans="1:5" x14ac:dyDescent="0.35">
      <c r="A4300" t="s">
        <v>51</v>
      </c>
      <c r="B4300" s="16">
        <v>45833</v>
      </c>
      <c r="C4300">
        <v>5.6</v>
      </c>
      <c r="D4300">
        <v>2</v>
      </c>
      <c r="E4300" t="s">
        <v>6132</v>
      </c>
    </row>
    <row r="4301" spans="1:5" x14ac:dyDescent="0.35">
      <c r="A4301" t="s">
        <v>51</v>
      </c>
      <c r="B4301" s="16">
        <v>45834</v>
      </c>
      <c r="C4301">
        <v>4.3</v>
      </c>
      <c r="D4301">
        <v>1</v>
      </c>
      <c r="E4301" t="s">
        <v>6132</v>
      </c>
    </row>
    <row r="4302" spans="1:5" x14ac:dyDescent="0.35">
      <c r="A4302" t="s">
        <v>51</v>
      </c>
      <c r="B4302" s="16">
        <v>45838</v>
      </c>
      <c r="C4302">
        <v>6.5</v>
      </c>
      <c r="D4302">
        <v>2</v>
      </c>
      <c r="E4302" t="s">
        <v>6132</v>
      </c>
    </row>
    <row r="4303" spans="1:5" x14ac:dyDescent="0.35">
      <c r="A4303" t="s">
        <v>51</v>
      </c>
      <c r="B4303" s="16">
        <v>45839</v>
      </c>
      <c r="C4303">
        <v>7.3</v>
      </c>
      <c r="D4303">
        <v>0</v>
      </c>
      <c r="E4303" t="s">
        <v>6132</v>
      </c>
    </row>
    <row r="4304" spans="1:5" x14ac:dyDescent="0.35">
      <c r="A4304" t="s">
        <v>51</v>
      </c>
      <c r="B4304" s="16">
        <v>45841</v>
      </c>
      <c r="C4304">
        <v>7.3</v>
      </c>
      <c r="D4304">
        <v>0</v>
      </c>
      <c r="E4304" t="s">
        <v>6132</v>
      </c>
    </row>
    <row r="4305" spans="1:5" x14ac:dyDescent="0.35">
      <c r="A4305" t="s">
        <v>51</v>
      </c>
      <c r="B4305" s="16">
        <v>45845</v>
      </c>
      <c r="C4305">
        <v>4.2</v>
      </c>
      <c r="D4305">
        <v>0</v>
      </c>
      <c r="E4305" t="s">
        <v>6133</v>
      </c>
    </row>
    <row r="4306" spans="1:5" x14ac:dyDescent="0.35">
      <c r="A4306" t="s">
        <v>51</v>
      </c>
      <c r="B4306" s="16">
        <v>45849</v>
      </c>
      <c r="C4306">
        <v>5.5</v>
      </c>
      <c r="D4306">
        <v>0</v>
      </c>
      <c r="E4306" t="s">
        <v>6133</v>
      </c>
    </row>
    <row r="4307" spans="1:5" x14ac:dyDescent="0.35">
      <c r="A4307" t="s">
        <v>51</v>
      </c>
      <c r="B4307" s="16">
        <v>45866</v>
      </c>
      <c r="C4307">
        <v>5.5</v>
      </c>
      <c r="D4307">
        <v>1</v>
      </c>
      <c r="E4307" t="s">
        <v>6132</v>
      </c>
    </row>
    <row r="4308" spans="1:5" x14ac:dyDescent="0.35">
      <c r="A4308" t="s">
        <v>51</v>
      </c>
      <c r="B4308" s="16">
        <v>45867</v>
      </c>
      <c r="C4308">
        <v>5.2</v>
      </c>
      <c r="D4308">
        <v>0</v>
      </c>
      <c r="E4308" t="s">
        <v>6132</v>
      </c>
    </row>
    <row r="4309" spans="1:5" x14ac:dyDescent="0.35">
      <c r="A4309" t="s">
        <v>51</v>
      </c>
      <c r="B4309" s="16">
        <v>45869</v>
      </c>
      <c r="C4309">
        <v>6.4</v>
      </c>
      <c r="D4309">
        <v>1</v>
      </c>
      <c r="E4309" t="s">
        <v>6132</v>
      </c>
    </row>
    <row r="4310" spans="1:5" x14ac:dyDescent="0.35">
      <c r="A4310" t="s">
        <v>51</v>
      </c>
      <c r="B4310" s="16">
        <v>45880</v>
      </c>
      <c r="C4310">
        <v>8.4</v>
      </c>
      <c r="D4310">
        <v>2</v>
      </c>
      <c r="E4310" t="s">
        <v>6132</v>
      </c>
    </row>
    <row r="4311" spans="1:5" x14ac:dyDescent="0.35">
      <c r="A4311" t="s">
        <v>51</v>
      </c>
      <c r="B4311" s="16">
        <v>45881</v>
      </c>
      <c r="C4311">
        <v>4.5</v>
      </c>
      <c r="D4311">
        <v>2</v>
      </c>
      <c r="E4311" t="s">
        <v>6132</v>
      </c>
    </row>
    <row r="4312" spans="1:5" x14ac:dyDescent="0.35">
      <c r="A4312" t="s">
        <v>51</v>
      </c>
      <c r="B4312" s="16">
        <v>45884</v>
      </c>
      <c r="C4312">
        <v>5.6</v>
      </c>
      <c r="D4312">
        <v>1</v>
      </c>
      <c r="E4312" t="s">
        <v>6132</v>
      </c>
    </row>
    <row r="4313" spans="1:5" x14ac:dyDescent="0.35">
      <c r="A4313" t="s">
        <v>51</v>
      </c>
      <c r="B4313" s="16">
        <v>45887</v>
      </c>
      <c r="C4313">
        <v>5.7</v>
      </c>
      <c r="D4313">
        <v>2</v>
      </c>
      <c r="E4313" t="s">
        <v>6132</v>
      </c>
    </row>
    <row r="4314" spans="1:5" x14ac:dyDescent="0.35">
      <c r="A4314" t="s">
        <v>51</v>
      </c>
      <c r="B4314" s="16">
        <v>45888</v>
      </c>
      <c r="C4314">
        <v>7.5</v>
      </c>
      <c r="D4314">
        <v>4</v>
      </c>
      <c r="E4314" t="s">
        <v>6132</v>
      </c>
    </row>
    <row r="4315" spans="1:5" x14ac:dyDescent="0.35">
      <c r="A4315" t="s">
        <v>51</v>
      </c>
      <c r="B4315" s="16">
        <v>45889</v>
      </c>
      <c r="C4315">
        <v>4</v>
      </c>
      <c r="D4315">
        <v>0</v>
      </c>
      <c r="E4315" t="s">
        <v>6134</v>
      </c>
    </row>
    <row r="4316" spans="1:5" x14ac:dyDescent="0.35">
      <c r="A4316" t="s">
        <v>51</v>
      </c>
      <c r="B4316" s="16">
        <v>45894</v>
      </c>
      <c r="C4316">
        <v>7.1</v>
      </c>
      <c r="D4316">
        <v>5</v>
      </c>
      <c r="E4316" t="s">
        <v>6132</v>
      </c>
    </row>
    <row r="4317" spans="1:5" x14ac:dyDescent="0.35">
      <c r="A4317" t="s">
        <v>51</v>
      </c>
      <c r="B4317" s="16">
        <v>45898</v>
      </c>
      <c r="C4317">
        <v>8.6</v>
      </c>
      <c r="D4317">
        <v>1</v>
      </c>
      <c r="E4317" t="s">
        <v>6132</v>
      </c>
    </row>
    <row r="4318" spans="1:5" x14ac:dyDescent="0.35">
      <c r="A4318" t="s">
        <v>51</v>
      </c>
      <c r="B4318" s="16">
        <v>45903</v>
      </c>
      <c r="C4318">
        <v>8.1999999999999993</v>
      </c>
      <c r="D4318">
        <v>2</v>
      </c>
      <c r="E4318" t="s">
        <v>6132</v>
      </c>
    </row>
    <row r="4319" spans="1:5" x14ac:dyDescent="0.35">
      <c r="A4319" t="s">
        <v>51</v>
      </c>
      <c r="B4319" s="16">
        <v>45904</v>
      </c>
      <c r="C4319">
        <v>7.8</v>
      </c>
      <c r="D4319">
        <v>2</v>
      </c>
      <c r="E4319" t="s">
        <v>6132</v>
      </c>
    </row>
    <row r="4320" spans="1:5" x14ac:dyDescent="0.35">
      <c r="A4320" t="s">
        <v>51</v>
      </c>
      <c r="B4320" s="16">
        <v>45908</v>
      </c>
      <c r="C4320">
        <v>5.2</v>
      </c>
      <c r="D4320">
        <v>0</v>
      </c>
      <c r="E4320" t="s">
        <v>6132</v>
      </c>
    </row>
    <row r="4321" spans="1:5" x14ac:dyDescent="0.35">
      <c r="A4321" t="s">
        <v>51</v>
      </c>
      <c r="B4321" s="16">
        <v>45910</v>
      </c>
      <c r="C4321">
        <v>6.9</v>
      </c>
      <c r="D4321">
        <v>2</v>
      </c>
      <c r="E4321" t="s">
        <v>6132</v>
      </c>
    </row>
    <row r="4322" spans="1:5" x14ac:dyDescent="0.35">
      <c r="A4322" t="s">
        <v>51</v>
      </c>
      <c r="B4322" s="16">
        <v>45912</v>
      </c>
      <c r="D4322">
        <v>5</v>
      </c>
      <c r="E4322" t="s">
        <v>6132</v>
      </c>
    </row>
    <row r="4323" spans="1:5" x14ac:dyDescent="0.35">
      <c r="A4323" t="s">
        <v>51</v>
      </c>
      <c r="B4323" s="16">
        <v>45915</v>
      </c>
      <c r="C4323">
        <v>4.3</v>
      </c>
      <c r="D4323">
        <v>0</v>
      </c>
      <c r="E4323" t="s">
        <v>6132</v>
      </c>
    </row>
    <row r="4324" spans="1:5" x14ac:dyDescent="0.35">
      <c r="A4324" t="s">
        <v>51</v>
      </c>
      <c r="B4324" s="16">
        <v>45916</v>
      </c>
      <c r="C4324">
        <v>4.8</v>
      </c>
      <c r="D4324">
        <v>0</v>
      </c>
      <c r="E4324" t="s">
        <v>6133</v>
      </c>
    </row>
    <row r="4325" spans="1:5" x14ac:dyDescent="0.35">
      <c r="A4325" t="s">
        <v>51</v>
      </c>
      <c r="B4325" s="16">
        <v>45917</v>
      </c>
      <c r="C4325">
        <v>6.1</v>
      </c>
      <c r="D4325">
        <v>4</v>
      </c>
      <c r="E4325" t="s">
        <v>6132</v>
      </c>
    </row>
    <row r="4326" spans="1:5" x14ac:dyDescent="0.35">
      <c r="A4326" t="s">
        <v>51</v>
      </c>
      <c r="B4326" s="16">
        <v>45923</v>
      </c>
      <c r="C4326">
        <v>5.7</v>
      </c>
      <c r="D4326">
        <v>3</v>
      </c>
      <c r="E4326" t="s">
        <v>6132</v>
      </c>
    </row>
    <row r="4327" spans="1:5" x14ac:dyDescent="0.35">
      <c r="A4327" t="s">
        <v>51</v>
      </c>
      <c r="B4327" s="16">
        <v>45924</v>
      </c>
      <c r="C4327">
        <v>4.5999999999999996</v>
      </c>
      <c r="D4327">
        <v>3</v>
      </c>
      <c r="E4327" t="s">
        <v>6132</v>
      </c>
    </row>
    <row r="4328" spans="1:5" x14ac:dyDescent="0.35">
      <c r="A4328" t="s">
        <v>51</v>
      </c>
      <c r="B4328" s="16">
        <v>45925</v>
      </c>
      <c r="C4328">
        <v>5.6</v>
      </c>
      <c r="D4328">
        <v>1</v>
      </c>
      <c r="E4328" t="s">
        <v>6132</v>
      </c>
    </row>
    <row r="4329" spans="1:5" x14ac:dyDescent="0.35">
      <c r="A4329" t="s">
        <v>51</v>
      </c>
      <c r="B4329" s="16">
        <v>45926</v>
      </c>
      <c r="C4329">
        <v>5.8</v>
      </c>
      <c r="D4329">
        <v>4</v>
      </c>
      <c r="E4329" t="s">
        <v>6132</v>
      </c>
    </row>
    <row r="4330" spans="1:5" x14ac:dyDescent="0.35">
      <c r="A4330" t="s">
        <v>51</v>
      </c>
      <c r="B4330" s="16">
        <v>45931</v>
      </c>
      <c r="C4330">
        <v>8.1999999999999993</v>
      </c>
      <c r="D4330">
        <v>0</v>
      </c>
      <c r="E4330" t="s">
        <v>6132</v>
      </c>
    </row>
    <row r="4331" spans="1:5" x14ac:dyDescent="0.35">
      <c r="A4331" t="s">
        <v>51</v>
      </c>
      <c r="B4331" s="16">
        <v>45936</v>
      </c>
      <c r="C4331">
        <v>7.4</v>
      </c>
      <c r="D4331">
        <v>1</v>
      </c>
      <c r="E4331" t="s">
        <v>6132</v>
      </c>
    </row>
    <row r="4332" spans="1:5" x14ac:dyDescent="0.35">
      <c r="A4332" t="s">
        <v>51</v>
      </c>
      <c r="B4332" s="16">
        <v>45939</v>
      </c>
      <c r="C4332">
        <v>7.8</v>
      </c>
      <c r="D4332">
        <v>0</v>
      </c>
      <c r="E4332" t="s">
        <v>6134</v>
      </c>
    </row>
    <row r="4333" spans="1:5" x14ac:dyDescent="0.35">
      <c r="A4333" t="s">
        <v>51</v>
      </c>
      <c r="B4333" s="16">
        <v>45940</v>
      </c>
      <c r="C4333">
        <v>7</v>
      </c>
      <c r="D4333">
        <v>0</v>
      </c>
      <c r="E4333" t="s">
        <v>6132</v>
      </c>
    </row>
    <row r="4334" spans="1:5" x14ac:dyDescent="0.35">
      <c r="A4334" t="s">
        <v>51</v>
      </c>
      <c r="B4334" s="16">
        <v>45943</v>
      </c>
      <c r="C4334">
        <v>8.1999999999999993</v>
      </c>
      <c r="D4334">
        <v>3</v>
      </c>
      <c r="E4334" t="s">
        <v>6132</v>
      </c>
    </row>
    <row r="4335" spans="1:5" x14ac:dyDescent="0.35">
      <c r="A4335" t="s">
        <v>51</v>
      </c>
      <c r="B4335" s="16">
        <v>45944</v>
      </c>
      <c r="C4335">
        <v>6.2</v>
      </c>
      <c r="D4335">
        <v>0</v>
      </c>
      <c r="E4335" t="s">
        <v>6132</v>
      </c>
    </row>
    <row r="4336" spans="1:5" x14ac:dyDescent="0.35">
      <c r="A4336" t="s">
        <v>51</v>
      </c>
      <c r="B4336" s="16">
        <v>45946</v>
      </c>
      <c r="C4336">
        <v>8.3000000000000007</v>
      </c>
      <c r="D4336">
        <v>1</v>
      </c>
      <c r="E4336" t="s">
        <v>6132</v>
      </c>
    </row>
    <row r="4337" spans="1:5" x14ac:dyDescent="0.35">
      <c r="A4337" t="s">
        <v>51</v>
      </c>
      <c r="B4337" s="16">
        <v>45950</v>
      </c>
      <c r="C4337">
        <v>4.4000000000000004</v>
      </c>
      <c r="D4337">
        <v>1</v>
      </c>
      <c r="E4337" t="s">
        <v>6132</v>
      </c>
    </row>
    <row r="4338" spans="1:5" x14ac:dyDescent="0.35">
      <c r="A4338" t="s">
        <v>51</v>
      </c>
      <c r="B4338" s="16">
        <v>45952</v>
      </c>
      <c r="C4338">
        <v>4.2</v>
      </c>
      <c r="D4338">
        <v>0</v>
      </c>
      <c r="E4338" t="s">
        <v>6132</v>
      </c>
    </row>
    <row r="4339" spans="1:5" x14ac:dyDescent="0.35">
      <c r="A4339" t="s">
        <v>51</v>
      </c>
      <c r="B4339" s="16">
        <v>45961</v>
      </c>
      <c r="C4339">
        <v>8.4</v>
      </c>
      <c r="D4339">
        <v>0</v>
      </c>
      <c r="E4339" t="s">
        <v>6132</v>
      </c>
    </row>
    <row r="4340" spans="1:5" x14ac:dyDescent="0.35">
      <c r="A4340" t="s">
        <v>51</v>
      </c>
      <c r="B4340" s="16">
        <v>45964</v>
      </c>
      <c r="C4340">
        <v>5.9</v>
      </c>
      <c r="D4340">
        <v>1</v>
      </c>
      <c r="E4340" t="s">
        <v>6132</v>
      </c>
    </row>
    <row r="4341" spans="1:5" x14ac:dyDescent="0.35">
      <c r="A4341" t="s">
        <v>51</v>
      </c>
      <c r="B4341" s="16">
        <v>45966</v>
      </c>
      <c r="C4341">
        <v>5.2</v>
      </c>
      <c r="D4341">
        <v>2</v>
      </c>
      <c r="E4341" t="s">
        <v>6132</v>
      </c>
    </row>
    <row r="4342" spans="1:5" x14ac:dyDescent="0.35">
      <c r="A4342" t="s">
        <v>51</v>
      </c>
      <c r="B4342" s="16">
        <v>45968</v>
      </c>
      <c r="C4342">
        <v>8.8000000000000007</v>
      </c>
      <c r="D4342">
        <v>0</v>
      </c>
      <c r="E4342" t="s">
        <v>6132</v>
      </c>
    </row>
    <row r="4343" spans="1:5" x14ac:dyDescent="0.35">
      <c r="A4343" t="s">
        <v>51</v>
      </c>
      <c r="B4343" s="16">
        <v>45972</v>
      </c>
      <c r="C4343">
        <v>8.9</v>
      </c>
      <c r="D4343">
        <v>1</v>
      </c>
      <c r="E4343" t="s">
        <v>6132</v>
      </c>
    </row>
    <row r="4344" spans="1:5" x14ac:dyDescent="0.35">
      <c r="A4344" t="s">
        <v>51</v>
      </c>
      <c r="B4344" s="16">
        <v>45974</v>
      </c>
      <c r="C4344">
        <v>8</v>
      </c>
      <c r="D4344">
        <v>0</v>
      </c>
      <c r="E4344" t="s">
        <v>6132</v>
      </c>
    </row>
    <row r="4345" spans="1:5" x14ac:dyDescent="0.35">
      <c r="A4345" t="s">
        <v>51</v>
      </c>
      <c r="B4345" s="16">
        <v>45975</v>
      </c>
      <c r="C4345">
        <v>7.3</v>
      </c>
      <c r="D4345">
        <v>4</v>
      </c>
      <c r="E4345" t="s">
        <v>6132</v>
      </c>
    </row>
    <row r="4346" spans="1:5" x14ac:dyDescent="0.35">
      <c r="A4346" t="s">
        <v>51</v>
      </c>
      <c r="B4346" s="16">
        <v>45978</v>
      </c>
      <c r="C4346">
        <v>8.1999999999999993</v>
      </c>
      <c r="D4346">
        <v>0</v>
      </c>
      <c r="E4346" t="s">
        <v>6133</v>
      </c>
    </row>
    <row r="4347" spans="1:5" x14ac:dyDescent="0.35">
      <c r="A4347" t="s">
        <v>51</v>
      </c>
      <c r="B4347" s="16">
        <v>45982</v>
      </c>
      <c r="D4347">
        <v>0</v>
      </c>
      <c r="E4347" t="s">
        <v>6132</v>
      </c>
    </row>
    <row r="4348" spans="1:5" x14ac:dyDescent="0.35">
      <c r="A4348" t="s">
        <v>51</v>
      </c>
      <c r="B4348" s="16">
        <v>45986</v>
      </c>
      <c r="C4348">
        <v>8.6</v>
      </c>
      <c r="D4348">
        <v>2</v>
      </c>
      <c r="E4348" t="s">
        <v>6132</v>
      </c>
    </row>
    <row r="4349" spans="1:5" x14ac:dyDescent="0.35">
      <c r="A4349" t="s">
        <v>51</v>
      </c>
      <c r="B4349" s="16">
        <v>45988</v>
      </c>
      <c r="C4349">
        <v>8.8000000000000007</v>
      </c>
      <c r="D4349">
        <v>1</v>
      </c>
      <c r="E4349" t="s">
        <v>6132</v>
      </c>
    </row>
    <row r="4350" spans="1:5" x14ac:dyDescent="0.35">
      <c r="A4350" t="s">
        <v>51</v>
      </c>
      <c r="B4350" s="16">
        <v>45992</v>
      </c>
      <c r="C4350">
        <v>5.7</v>
      </c>
      <c r="D4350">
        <v>1</v>
      </c>
      <c r="E4350" t="s">
        <v>6132</v>
      </c>
    </row>
    <row r="4351" spans="1:5" x14ac:dyDescent="0.35">
      <c r="A4351" t="s">
        <v>51</v>
      </c>
      <c r="B4351" s="16">
        <v>45993</v>
      </c>
      <c r="C4351">
        <v>6.5</v>
      </c>
      <c r="D4351">
        <v>1</v>
      </c>
      <c r="E4351" t="s">
        <v>6132</v>
      </c>
    </row>
    <row r="4352" spans="1:5" x14ac:dyDescent="0.35">
      <c r="A4352" t="s">
        <v>51</v>
      </c>
      <c r="B4352" s="16">
        <v>45995</v>
      </c>
      <c r="C4352">
        <v>7.5</v>
      </c>
      <c r="D4352">
        <v>4</v>
      </c>
      <c r="E4352" t="s">
        <v>6132</v>
      </c>
    </row>
    <row r="4353" spans="1:5" x14ac:dyDescent="0.35">
      <c r="A4353" t="s">
        <v>51</v>
      </c>
      <c r="B4353" s="16">
        <v>45996</v>
      </c>
      <c r="C4353">
        <v>5.9</v>
      </c>
      <c r="D4353">
        <v>2</v>
      </c>
      <c r="E4353" t="s">
        <v>6132</v>
      </c>
    </row>
    <row r="4354" spans="1:5" x14ac:dyDescent="0.35">
      <c r="A4354" t="s">
        <v>51</v>
      </c>
      <c r="B4354" s="16">
        <v>46001</v>
      </c>
      <c r="D4354">
        <v>7</v>
      </c>
      <c r="E4354" t="s">
        <v>6132</v>
      </c>
    </row>
    <row r="4355" spans="1:5" x14ac:dyDescent="0.35">
      <c r="A4355" t="s">
        <v>51</v>
      </c>
      <c r="B4355" s="16">
        <v>46006</v>
      </c>
      <c r="C4355">
        <v>7.1</v>
      </c>
      <c r="D4355">
        <v>1</v>
      </c>
      <c r="E4355" t="s">
        <v>6132</v>
      </c>
    </row>
    <row r="4356" spans="1:5" x14ac:dyDescent="0.35">
      <c r="A4356" t="s">
        <v>51</v>
      </c>
      <c r="B4356" s="16">
        <v>46014</v>
      </c>
      <c r="C4356">
        <v>5.4</v>
      </c>
      <c r="D4356">
        <v>1</v>
      </c>
      <c r="E4356" t="s">
        <v>6132</v>
      </c>
    </row>
    <row r="4357" spans="1:5" x14ac:dyDescent="0.35">
      <c r="A4357" t="s">
        <v>51</v>
      </c>
      <c r="B4357" s="16">
        <v>46015</v>
      </c>
      <c r="C4357">
        <v>6.9</v>
      </c>
      <c r="D4357">
        <v>3</v>
      </c>
      <c r="E4357" t="s">
        <v>6132</v>
      </c>
    </row>
    <row r="4358" spans="1:5" x14ac:dyDescent="0.35">
      <c r="A4358" t="s">
        <v>51</v>
      </c>
      <c r="B4358" s="16">
        <v>46016</v>
      </c>
      <c r="C4358">
        <v>7.9</v>
      </c>
      <c r="D4358">
        <v>3</v>
      </c>
      <c r="E4358" t="s">
        <v>6132</v>
      </c>
    </row>
    <row r="4359" spans="1:5" x14ac:dyDescent="0.35">
      <c r="A4359" t="s">
        <v>51</v>
      </c>
      <c r="B4359" s="16">
        <v>46020</v>
      </c>
      <c r="C4359">
        <v>5.5</v>
      </c>
      <c r="D4359">
        <v>1</v>
      </c>
      <c r="E4359" t="s">
        <v>6132</v>
      </c>
    </row>
    <row r="4360" spans="1:5" x14ac:dyDescent="0.35">
      <c r="A4360" t="s">
        <v>51</v>
      </c>
      <c r="B4360" s="16">
        <v>46021</v>
      </c>
      <c r="C4360">
        <v>5.4</v>
      </c>
      <c r="D4360">
        <v>0</v>
      </c>
      <c r="E4360" t="s">
        <v>6132</v>
      </c>
    </row>
    <row r="4361" spans="1:5" x14ac:dyDescent="0.35">
      <c r="A4361" t="s">
        <v>51</v>
      </c>
      <c r="B4361" s="16">
        <v>46022</v>
      </c>
      <c r="C4361">
        <v>5.9</v>
      </c>
      <c r="D4361">
        <v>0</v>
      </c>
      <c r="E4361" t="s">
        <v>6132</v>
      </c>
    </row>
    <row r="4362" spans="1:5" x14ac:dyDescent="0.35">
      <c r="A4362" t="s">
        <v>39</v>
      </c>
      <c r="B4362" s="16">
        <v>45658</v>
      </c>
      <c r="C4362">
        <v>4.8</v>
      </c>
      <c r="D4362">
        <v>0</v>
      </c>
      <c r="E4362" t="s">
        <v>6132</v>
      </c>
    </row>
    <row r="4363" spans="1:5" x14ac:dyDescent="0.35">
      <c r="A4363" t="s">
        <v>39</v>
      </c>
      <c r="B4363" s="16">
        <v>45659</v>
      </c>
      <c r="C4363">
        <v>7.2</v>
      </c>
      <c r="D4363">
        <v>0</v>
      </c>
      <c r="E4363" t="s">
        <v>6132</v>
      </c>
    </row>
    <row r="4364" spans="1:5" x14ac:dyDescent="0.35">
      <c r="A4364" t="s">
        <v>39</v>
      </c>
      <c r="B4364" s="16">
        <v>45660</v>
      </c>
      <c r="C4364">
        <v>5.8</v>
      </c>
      <c r="D4364">
        <v>1</v>
      </c>
      <c r="E4364" t="s">
        <v>6132</v>
      </c>
    </row>
    <row r="4365" spans="1:5" x14ac:dyDescent="0.35">
      <c r="A4365" t="s">
        <v>39</v>
      </c>
      <c r="B4365" s="16">
        <v>45664</v>
      </c>
      <c r="C4365">
        <v>4.5999999999999996</v>
      </c>
      <c r="D4365">
        <v>0</v>
      </c>
      <c r="E4365" t="s">
        <v>6132</v>
      </c>
    </row>
    <row r="4366" spans="1:5" x14ac:dyDescent="0.35">
      <c r="A4366" t="s">
        <v>39</v>
      </c>
      <c r="B4366" s="16">
        <v>45665</v>
      </c>
      <c r="C4366">
        <v>6.9</v>
      </c>
      <c r="D4366">
        <v>0</v>
      </c>
      <c r="E4366" t="s">
        <v>6132</v>
      </c>
    </row>
    <row r="4367" spans="1:5" x14ac:dyDescent="0.35">
      <c r="A4367" t="s">
        <v>39</v>
      </c>
      <c r="B4367" s="16">
        <v>45666</v>
      </c>
      <c r="C4367">
        <v>7.4</v>
      </c>
      <c r="D4367">
        <v>3</v>
      </c>
      <c r="E4367" t="s">
        <v>6132</v>
      </c>
    </row>
    <row r="4368" spans="1:5" x14ac:dyDescent="0.35">
      <c r="A4368" t="s">
        <v>39</v>
      </c>
      <c r="B4368" s="16">
        <v>45667</v>
      </c>
      <c r="C4368">
        <v>6.6</v>
      </c>
      <c r="D4368">
        <v>3</v>
      </c>
      <c r="E4368" t="s">
        <v>6132</v>
      </c>
    </row>
    <row r="4369" spans="1:5" x14ac:dyDescent="0.35">
      <c r="A4369" t="s">
        <v>39</v>
      </c>
      <c r="B4369" s="16">
        <v>45670</v>
      </c>
      <c r="C4369">
        <v>8.1999999999999993</v>
      </c>
      <c r="D4369">
        <v>0</v>
      </c>
      <c r="E4369" t="s">
        <v>6133</v>
      </c>
    </row>
    <row r="4370" spans="1:5" x14ac:dyDescent="0.35">
      <c r="A4370" t="s">
        <v>39</v>
      </c>
      <c r="B4370" s="16">
        <v>45673</v>
      </c>
      <c r="C4370">
        <v>9</v>
      </c>
      <c r="D4370">
        <v>3</v>
      </c>
      <c r="E4370" t="s">
        <v>6132</v>
      </c>
    </row>
    <row r="4371" spans="1:5" x14ac:dyDescent="0.35">
      <c r="A4371" t="s">
        <v>39</v>
      </c>
      <c r="B4371" s="16">
        <v>45677</v>
      </c>
      <c r="C4371">
        <v>9</v>
      </c>
      <c r="D4371">
        <v>6</v>
      </c>
      <c r="E4371" t="s">
        <v>6132</v>
      </c>
    </row>
    <row r="4372" spans="1:5" x14ac:dyDescent="0.35">
      <c r="A4372" t="s">
        <v>39</v>
      </c>
      <c r="B4372" s="16">
        <v>45685</v>
      </c>
      <c r="C4372">
        <v>7.3</v>
      </c>
      <c r="D4372">
        <v>1</v>
      </c>
      <c r="E4372" t="s">
        <v>6132</v>
      </c>
    </row>
    <row r="4373" spans="1:5" x14ac:dyDescent="0.35">
      <c r="A4373" t="s">
        <v>39</v>
      </c>
      <c r="B4373" s="16">
        <v>45686</v>
      </c>
      <c r="C4373">
        <v>6.1</v>
      </c>
      <c r="D4373">
        <v>1</v>
      </c>
      <c r="E4373" t="s">
        <v>6132</v>
      </c>
    </row>
    <row r="4374" spans="1:5" x14ac:dyDescent="0.35">
      <c r="A4374" t="s">
        <v>39</v>
      </c>
      <c r="B4374" s="16">
        <v>45687</v>
      </c>
      <c r="C4374">
        <v>8.5</v>
      </c>
      <c r="D4374">
        <v>0</v>
      </c>
      <c r="E4374" t="s">
        <v>6132</v>
      </c>
    </row>
    <row r="4375" spans="1:5" x14ac:dyDescent="0.35">
      <c r="A4375" t="s">
        <v>39</v>
      </c>
      <c r="B4375" s="16">
        <v>45688</v>
      </c>
      <c r="C4375">
        <v>4.9000000000000004</v>
      </c>
      <c r="D4375">
        <v>0</v>
      </c>
      <c r="E4375" t="s">
        <v>6132</v>
      </c>
    </row>
    <row r="4376" spans="1:5" x14ac:dyDescent="0.35">
      <c r="A4376" t="s">
        <v>39</v>
      </c>
      <c r="B4376" s="16">
        <v>45691</v>
      </c>
      <c r="C4376">
        <v>8.6999999999999993</v>
      </c>
      <c r="D4376">
        <v>0</v>
      </c>
      <c r="E4376" t="s">
        <v>6132</v>
      </c>
    </row>
    <row r="4377" spans="1:5" x14ac:dyDescent="0.35">
      <c r="A4377" t="s">
        <v>39</v>
      </c>
      <c r="B4377" s="16">
        <v>45694</v>
      </c>
      <c r="C4377">
        <v>4.4000000000000004</v>
      </c>
      <c r="D4377">
        <v>0</v>
      </c>
      <c r="E4377" t="s">
        <v>6132</v>
      </c>
    </row>
    <row r="4378" spans="1:5" x14ac:dyDescent="0.35">
      <c r="A4378" t="s">
        <v>39</v>
      </c>
      <c r="B4378" s="16">
        <v>45695</v>
      </c>
      <c r="C4378">
        <v>8.5</v>
      </c>
      <c r="D4378">
        <v>0</v>
      </c>
      <c r="E4378" t="s">
        <v>6132</v>
      </c>
    </row>
    <row r="4379" spans="1:5" x14ac:dyDescent="0.35">
      <c r="A4379" t="s">
        <v>39</v>
      </c>
      <c r="B4379" s="16">
        <v>45698</v>
      </c>
      <c r="C4379">
        <v>6.8</v>
      </c>
      <c r="D4379">
        <v>2</v>
      </c>
      <c r="E4379" t="s">
        <v>6132</v>
      </c>
    </row>
    <row r="4380" spans="1:5" x14ac:dyDescent="0.35">
      <c r="A4380" t="s">
        <v>39</v>
      </c>
      <c r="B4380" s="16">
        <v>45699</v>
      </c>
      <c r="C4380">
        <v>6.2</v>
      </c>
      <c r="D4380">
        <v>1</v>
      </c>
      <c r="E4380" t="s">
        <v>6132</v>
      </c>
    </row>
    <row r="4381" spans="1:5" x14ac:dyDescent="0.35">
      <c r="A4381" t="s">
        <v>39</v>
      </c>
      <c r="B4381" s="16">
        <v>45702</v>
      </c>
      <c r="C4381">
        <v>5.0999999999999996</v>
      </c>
      <c r="D4381">
        <v>0</v>
      </c>
      <c r="E4381" t="s">
        <v>6132</v>
      </c>
    </row>
    <row r="4382" spans="1:5" x14ac:dyDescent="0.35">
      <c r="A4382" t="s">
        <v>39</v>
      </c>
      <c r="B4382" s="16">
        <v>45706</v>
      </c>
      <c r="C4382">
        <v>4.2</v>
      </c>
      <c r="D4382">
        <v>2</v>
      </c>
      <c r="E4382" t="s">
        <v>6132</v>
      </c>
    </row>
    <row r="4383" spans="1:5" x14ac:dyDescent="0.35">
      <c r="A4383" t="s">
        <v>39</v>
      </c>
      <c r="B4383" s="16">
        <v>45707</v>
      </c>
      <c r="C4383">
        <v>8.1999999999999993</v>
      </c>
      <c r="D4383">
        <v>0</v>
      </c>
      <c r="E4383" t="s">
        <v>6133</v>
      </c>
    </row>
    <row r="4384" spans="1:5" x14ac:dyDescent="0.35">
      <c r="A4384" t="s">
        <v>39</v>
      </c>
      <c r="B4384" s="16">
        <v>45708</v>
      </c>
      <c r="C4384">
        <v>8.4</v>
      </c>
      <c r="D4384">
        <v>1</v>
      </c>
      <c r="E4384" t="s">
        <v>6132</v>
      </c>
    </row>
    <row r="4385" spans="1:5" x14ac:dyDescent="0.35">
      <c r="A4385" t="s">
        <v>39</v>
      </c>
      <c r="B4385" s="16">
        <v>45709</v>
      </c>
      <c r="C4385">
        <v>8.8000000000000007</v>
      </c>
      <c r="D4385">
        <v>0</v>
      </c>
      <c r="E4385" t="s">
        <v>6132</v>
      </c>
    </row>
    <row r="4386" spans="1:5" x14ac:dyDescent="0.35">
      <c r="A4386" t="s">
        <v>39</v>
      </c>
      <c r="B4386" s="16">
        <v>45712</v>
      </c>
      <c r="C4386">
        <v>5.0999999999999996</v>
      </c>
      <c r="D4386">
        <v>0</v>
      </c>
      <c r="E4386" t="s">
        <v>6132</v>
      </c>
    </row>
    <row r="4387" spans="1:5" x14ac:dyDescent="0.35">
      <c r="A4387" t="s">
        <v>39</v>
      </c>
      <c r="B4387" s="16">
        <v>45713</v>
      </c>
      <c r="C4387">
        <v>4.5</v>
      </c>
      <c r="D4387">
        <v>2</v>
      </c>
      <c r="E4387" t="s">
        <v>6132</v>
      </c>
    </row>
    <row r="4388" spans="1:5" x14ac:dyDescent="0.35">
      <c r="A4388" t="s">
        <v>39</v>
      </c>
      <c r="B4388" s="16">
        <v>45714</v>
      </c>
      <c r="C4388">
        <v>7.6</v>
      </c>
      <c r="D4388">
        <v>2</v>
      </c>
      <c r="E4388" t="s">
        <v>6132</v>
      </c>
    </row>
    <row r="4389" spans="1:5" x14ac:dyDescent="0.35">
      <c r="A4389" t="s">
        <v>39</v>
      </c>
      <c r="B4389" s="16">
        <v>45715</v>
      </c>
      <c r="C4389">
        <v>6</v>
      </c>
      <c r="D4389">
        <v>0</v>
      </c>
      <c r="E4389" t="s">
        <v>6132</v>
      </c>
    </row>
    <row r="4390" spans="1:5" x14ac:dyDescent="0.35">
      <c r="A4390" t="s">
        <v>39</v>
      </c>
      <c r="B4390" s="16">
        <v>45722</v>
      </c>
      <c r="C4390">
        <v>7.3</v>
      </c>
      <c r="D4390">
        <v>2</v>
      </c>
      <c r="E4390" t="s">
        <v>6132</v>
      </c>
    </row>
    <row r="4391" spans="1:5" x14ac:dyDescent="0.35">
      <c r="A4391" t="s">
        <v>39</v>
      </c>
      <c r="B4391" s="16">
        <v>45734</v>
      </c>
      <c r="C4391">
        <v>6.6</v>
      </c>
      <c r="D4391">
        <v>2</v>
      </c>
      <c r="E4391" t="s">
        <v>6132</v>
      </c>
    </row>
    <row r="4392" spans="1:5" x14ac:dyDescent="0.35">
      <c r="A4392" t="s">
        <v>39</v>
      </c>
      <c r="B4392" s="16">
        <v>45735</v>
      </c>
      <c r="C4392">
        <v>5.7</v>
      </c>
      <c r="D4392">
        <v>0</v>
      </c>
      <c r="E4392" t="s">
        <v>6132</v>
      </c>
    </row>
    <row r="4393" spans="1:5" x14ac:dyDescent="0.35">
      <c r="A4393" t="s">
        <v>39</v>
      </c>
      <c r="B4393" s="16">
        <v>45741</v>
      </c>
      <c r="C4393">
        <v>4.4000000000000004</v>
      </c>
      <c r="D4393">
        <v>0</v>
      </c>
      <c r="E4393" t="s">
        <v>6132</v>
      </c>
    </row>
    <row r="4394" spans="1:5" x14ac:dyDescent="0.35">
      <c r="A4394" t="s">
        <v>39</v>
      </c>
      <c r="B4394" s="16">
        <v>45742</v>
      </c>
      <c r="C4394">
        <v>6</v>
      </c>
      <c r="D4394">
        <v>0</v>
      </c>
      <c r="E4394" t="s">
        <v>6132</v>
      </c>
    </row>
    <row r="4395" spans="1:5" x14ac:dyDescent="0.35">
      <c r="A4395" t="s">
        <v>39</v>
      </c>
      <c r="B4395" s="16">
        <v>45744</v>
      </c>
      <c r="C4395">
        <v>4</v>
      </c>
      <c r="D4395">
        <v>0</v>
      </c>
      <c r="E4395" t="s">
        <v>6132</v>
      </c>
    </row>
    <row r="4396" spans="1:5" x14ac:dyDescent="0.35">
      <c r="A4396" t="s">
        <v>39</v>
      </c>
      <c r="B4396" s="16">
        <v>45748</v>
      </c>
      <c r="D4396">
        <v>0</v>
      </c>
      <c r="E4396" t="s">
        <v>6133</v>
      </c>
    </row>
    <row r="4397" spans="1:5" x14ac:dyDescent="0.35">
      <c r="A4397" t="s">
        <v>39</v>
      </c>
      <c r="B4397" s="16">
        <v>45751</v>
      </c>
      <c r="C4397">
        <v>8.8000000000000007</v>
      </c>
      <c r="D4397">
        <v>0</v>
      </c>
      <c r="E4397" t="s">
        <v>6132</v>
      </c>
    </row>
    <row r="4398" spans="1:5" x14ac:dyDescent="0.35">
      <c r="A4398" t="s">
        <v>39</v>
      </c>
      <c r="B4398" s="16">
        <v>45754</v>
      </c>
      <c r="C4398">
        <v>6.5</v>
      </c>
      <c r="D4398">
        <v>3</v>
      </c>
      <c r="E4398" t="s">
        <v>6132</v>
      </c>
    </row>
    <row r="4399" spans="1:5" x14ac:dyDescent="0.35">
      <c r="A4399" t="s">
        <v>39</v>
      </c>
      <c r="B4399" s="16">
        <v>45757</v>
      </c>
      <c r="C4399">
        <v>7.6</v>
      </c>
      <c r="D4399">
        <v>1</v>
      </c>
      <c r="E4399" t="s">
        <v>6132</v>
      </c>
    </row>
    <row r="4400" spans="1:5" x14ac:dyDescent="0.35">
      <c r="A4400" t="s">
        <v>39</v>
      </c>
      <c r="B4400" s="16">
        <v>45761</v>
      </c>
      <c r="C4400">
        <v>8.6</v>
      </c>
      <c r="D4400">
        <v>2</v>
      </c>
      <c r="E4400" t="s">
        <v>6132</v>
      </c>
    </row>
    <row r="4401" spans="1:5" x14ac:dyDescent="0.35">
      <c r="A4401" t="s">
        <v>39</v>
      </c>
      <c r="B4401" s="16">
        <v>45763</v>
      </c>
      <c r="C4401">
        <v>5.6</v>
      </c>
      <c r="D4401">
        <v>1</v>
      </c>
      <c r="E4401" t="s">
        <v>6132</v>
      </c>
    </row>
    <row r="4402" spans="1:5" x14ac:dyDescent="0.35">
      <c r="A4402" t="s">
        <v>39</v>
      </c>
      <c r="B4402" s="16">
        <v>45764</v>
      </c>
      <c r="C4402">
        <v>7.4</v>
      </c>
      <c r="D4402">
        <v>1</v>
      </c>
      <c r="E4402" t="s">
        <v>6132</v>
      </c>
    </row>
    <row r="4403" spans="1:5" x14ac:dyDescent="0.35">
      <c r="A4403" t="s">
        <v>39</v>
      </c>
      <c r="B4403" s="16">
        <v>45770</v>
      </c>
      <c r="C4403">
        <v>5.4</v>
      </c>
      <c r="D4403">
        <v>0</v>
      </c>
      <c r="E4403" t="s">
        <v>6132</v>
      </c>
    </row>
    <row r="4404" spans="1:5" x14ac:dyDescent="0.35">
      <c r="A4404" t="s">
        <v>39</v>
      </c>
      <c r="B4404" s="16">
        <v>45772</v>
      </c>
      <c r="C4404">
        <v>5.2</v>
      </c>
      <c r="D4404">
        <v>0</v>
      </c>
      <c r="E4404" t="s">
        <v>6132</v>
      </c>
    </row>
    <row r="4405" spans="1:5" x14ac:dyDescent="0.35">
      <c r="A4405" t="s">
        <v>39</v>
      </c>
      <c r="B4405" s="16">
        <v>45776</v>
      </c>
      <c r="C4405">
        <v>6.3</v>
      </c>
      <c r="D4405">
        <v>0</v>
      </c>
      <c r="E4405" t="s">
        <v>6132</v>
      </c>
    </row>
    <row r="4406" spans="1:5" x14ac:dyDescent="0.35">
      <c r="A4406" t="s">
        <v>39</v>
      </c>
      <c r="B4406" s="16">
        <v>45778</v>
      </c>
      <c r="C4406">
        <v>4.8</v>
      </c>
      <c r="D4406">
        <v>0</v>
      </c>
      <c r="E4406" t="s">
        <v>6132</v>
      </c>
    </row>
    <row r="4407" spans="1:5" x14ac:dyDescent="0.35">
      <c r="A4407" t="s">
        <v>39</v>
      </c>
      <c r="B4407" s="16">
        <v>45779</v>
      </c>
      <c r="C4407">
        <v>6.1</v>
      </c>
      <c r="D4407">
        <v>0</v>
      </c>
      <c r="E4407" t="s">
        <v>6134</v>
      </c>
    </row>
    <row r="4408" spans="1:5" x14ac:dyDescent="0.35">
      <c r="A4408" t="s">
        <v>39</v>
      </c>
      <c r="B4408" s="16">
        <v>45786</v>
      </c>
      <c r="C4408">
        <v>6.8</v>
      </c>
      <c r="D4408">
        <v>0</v>
      </c>
      <c r="E4408" t="s">
        <v>6132</v>
      </c>
    </row>
    <row r="4409" spans="1:5" x14ac:dyDescent="0.35">
      <c r="A4409" t="s">
        <v>39</v>
      </c>
      <c r="B4409" s="16">
        <v>45790</v>
      </c>
      <c r="C4409">
        <v>4.9000000000000004</v>
      </c>
      <c r="D4409">
        <v>0</v>
      </c>
      <c r="E4409" t="s">
        <v>6132</v>
      </c>
    </row>
    <row r="4410" spans="1:5" x14ac:dyDescent="0.35">
      <c r="A4410" t="s">
        <v>39</v>
      </c>
      <c r="B4410" s="16">
        <v>45791</v>
      </c>
      <c r="C4410">
        <v>5.7</v>
      </c>
      <c r="D4410">
        <v>1</v>
      </c>
      <c r="E4410" t="s">
        <v>6132</v>
      </c>
    </row>
    <row r="4411" spans="1:5" x14ac:dyDescent="0.35">
      <c r="A4411" t="s">
        <v>39</v>
      </c>
      <c r="B4411" s="16">
        <v>45792</v>
      </c>
      <c r="C4411">
        <v>5.9</v>
      </c>
      <c r="D4411">
        <v>1</v>
      </c>
      <c r="E4411" t="s">
        <v>6132</v>
      </c>
    </row>
    <row r="4412" spans="1:5" x14ac:dyDescent="0.35">
      <c r="A4412" t="s">
        <v>39</v>
      </c>
      <c r="B4412" s="16">
        <v>45793</v>
      </c>
      <c r="D4412">
        <v>2</v>
      </c>
      <c r="E4412" t="s">
        <v>6132</v>
      </c>
    </row>
    <row r="4413" spans="1:5" x14ac:dyDescent="0.35">
      <c r="A4413" t="s">
        <v>39</v>
      </c>
      <c r="B4413" s="16">
        <v>45796</v>
      </c>
      <c r="C4413">
        <v>4.3</v>
      </c>
      <c r="D4413">
        <v>2</v>
      </c>
      <c r="E4413" t="s">
        <v>6132</v>
      </c>
    </row>
    <row r="4414" spans="1:5" x14ac:dyDescent="0.35">
      <c r="A4414" t="s">
        <v>39</v>
      </c>
      <c r="B4414" s="16">
        <v>45803</v>
      </c>
      <c r="C4414">
        <v>7</v>
      </c>
      <c r="D4414">
        <v>2</v>
      </c>
      <c r="E4414" t="s">
        <v>6132</v>
      </c>
    </row>
    <row r="4415" spans="1:5" x14ac:dyDescent="0.35">
      <c r="A4415" t="s">
        <v>39</v>
      </c>
      <c r="B4415" s="16">
        <v>45807</v>
      </c>
      <c r="C4415">
        <v>4.5</v>
      </c>
      <c r="D4415">
        <v>1</v>
      </c>
      <c r="E4415" t="s">
        <v>6132</v>
      </c>
    </row>
    <row r="4416" spans="1:5" x14ac:dyDescent="0.35">
      <c r="A4416" t="s">
        <v>39</v>
      </c>
      <c r="B4416" s="16">
        <v>45812</v>
      </c>
      <c r="D4416">
        <v>2</v>
      </c>
      <c r="E4416" t="s">
        <v>6132</v>
      </c>
    </row>
    <row r="4417" spans="1:5" x14ac:dyDescent="0.35">
      <c r="A4417" t="s">
        <v>39</v>
      </c>
      <c r="B4417" s="16">
        <v>45813</v>
      </c>
      <c r="C4417">
        <v>8.1</v>
      </c>
      <c r="D4417">
        <v>1</v>
      </c>
      <c r="E4417" t="s">
        <v>6132</v>
      </c>
    </row>
    <row r="4418" spans="1:5" x14ac:dyDescent="0.35">
      <c r="A4418" t="s">
        <v>39</v>
      </c>
      <c r="B4418" s="16">
        <v>45818</v>
      </c>
      <c r="C4418">
        <v>6</v>
      </c>
      <c r="D4418">
        <v>4</v>
      </c>
      <c r="E4418" t="s">
        <v>6132</v>
      </c>
    </row>
    <row r="4419" spans="1:5" x14ac:dyDescent="0.35">
      <c r="A4419" t="s">
        <v>39</v>
      </c>
      <c r="B4419" s="16">
        <v>45824</v>
      </c>
      <c r="C4419">
        <v>5.2</v>
      </c>
      <c r="D4419">
        <v>2</v>
      </c>
      <c r="E4419" t="s">
        <v>6132</v>
      </c>
    </row>
    <row r="4420" spans="1:5" x14ac:dyDescent="0.35">
      <c r="A4420" t="s">
        <v>39</v>
      </c>
      <c r="B4420" s="16">
        <v>45825</v>
      </c>
      <c r="C4420">
        <v>6.7</v>
      </c>
      <c r="D4420">
        <v>3</v>
      </c>
      <c r="E4420" t="s">
        <v>6132</v>
      </c>
    </row>
    <row r="4421" spans="1:5" x14ac:dyDescent="0.35">
      <c r="A4421" t="s">
        <v>39</v>
      </c>
      <c r="B4421" s="16">
        <v>45831</v>
      </c>
      <c r="D4421">
        <v>1</v>
      </c>
      <c r="E4421" t="s">
        <v>6132</v>
      </c>
    </row>
    <row r="4422" spans="1:5" x14ac:dyDescent="0.35">
      <c r="A4422" t="s">
        <v>39</v>
      </c>
      <c r="B4422" s="16">
        <v>45832</v>
      </c>
      <c r="C4422">
        <v>6.4</v>
      </c>
      <c r="D4422">
        <v>0</v>
      </c>
      <c r="E4422" t="s">
        <v>6132</v>
      </c>
    </row>
    <row r="4423" spans="1:5" x14ac:dyDescent="0.35">
      <c r="A4423" t="s">
        <v>39</v>
      </c>
      <c r="B4423" s="16">
        <v>45833</v>
      </c>
      <c r="C4423">
        <v>6.2</v>
      </c>
      <c r="D4423">
        <v>0</v>
      </c>
      <c r="E4423" t="s">
        <v>6132</v>
      </c>
    </row>
    <row r="4424" spans="1:5" x14ac:dyDescent="0.35">
      <c r="A4424" t="s">
        <v>39</v>
      </c>
      <c r="B4424" s="16">
        <v>45834</v>
      </c>
      <c r="C4424">
        <v>8.1999999999999993</v>
      </c>
      <c r="D4424">
        <v>1</v>
      </c>
      <c r="E4424" t="s">
        <v>6132</v>
      </c>
    </row>
    <row r="4425" spans="1:5" x14ac:dyDescent="0.35">
      <c r="A4425" t="s">
        <v>39</v>
      </c>
      <c r="B4425" s="16">
        <v>45835</v>
      </c>
      <c r="C4425">
        <v>6.6</v>
      </c>
      <c r="D4425">
        <v>2</v>
      </c>
      <c r="E4425" t="s">
        <v>6132</v>
      </c>
    </row>
    <row r="4426" spans="1:5" x14ac:dyDescent="0.35">
      <c r="A4426" t="s">
        <v>39</v>
      </c>
      <c r="B4426" s="16">
        <v>45838</v>
      </c>
      <c r="C4426">
        <v>5.8</v>
      </c>
      <c r="D4426">
        <v>0</v>
      </c>
      <c r="E4426" t="s">
        <v>6132</v>
      </c>
    </row>
    <row r="4427" spans="1:5" x14ac:dyDescent="0.35">
      <c r="A4427" t="s">
        <v>39</v>
      </c>
      <c r="B4427" s="16">
        <v>45839</v>
      </c>
      <c r="C4427">
        <v>5.0999999999999996</v>
      </c>
      <c r="D4427">
        <v>3</v>
      </c>
      <c r="E4427" t="s">
        <v>6132</v>
      </c>
    </row>
    <row r="4428" spans="1:5" x14ac:dyDescent="0.35">
      <c r="A4428" t="s">
        <v>39</v>
      </c>
      <c r="B4428" s="16">
        <v>45842</v>
      </c>
      <c r="C4428">
        <v>8.9</v>
      </c>
      <c r="D4428">
        <v>1</v>
      </c>
      <c r="E4428" t="s">
        <v>6132</v>
      </c>
    </row>
    <row r="4429" spans="1:5" x14ac:dyDescent="0.35">
      <c r="A4429" t="s">
        <v>39</v>
      </c>
      <c r="B4429" s="16">
        <v>45845</v>
      </c>
      <c r="C4429">
        <v>5.0999999999999996</v>
      </c>
      <c r="D4429">
        <v>4</v>
      </c>
      <c r="E4429" t="s">
        <v>6132</v>
      </c>
    </row>
    <row r="4430" spans="1:5" x14ac:dyDescent="0.35">
      <c r="A4430" t="s">
        <v>39</v>
      </c>
      <c r="B4430" s="16">
        <v>45854</v>
      </c>
      <c r="C4430">
        <v>8.9</v>
      </c>
      <c r="D4430">
        <v>2</v>
      </c>
      <c r="E4430" t="s">
        <v>6132</v>
      </c>
    </row>
    <row r="4431" spans="1:5" x14ac:dyDescent="0.35">
      <c r="A4431" t="s">
        <v>39</v>
      </c>
      <c r="B4431" s="16">
        <v>45855</v>
      </c>
      <c r="C4431">
        <v>8.4</v>
      </c>
      <c r="D4431">
        <v>1</v>
      </c>
      <c r="E4431" t="s">
        <v>6132</v>
      </c>
    </row>
    <row r="4432" spans="1:5" x14ac:dyDescent="0.35">
      <c r="A4432" t="s">
        <v>39</v>
      </c>
      <c r="B4432" s="16">
        <v>45859</v>
      </c>
      <c r="C4432">
        <v>8.9</v>
      </c>
      <c r="D4432">
        <v>0</v>
      </c>
      <c r="E4432" t="s">
        <v>6134</v>
      </c>
    </row>
    <row r="4433" spans="1:5" x14ac:dyDescent="0.35">
      <c r="A4433" t="s">
        <v>39</v>
      </c>
      <c r="B4433" s="16">
        <v>45860</v>
      </c>
      <c r="C4433">
        <v>8</v>
      </c>
      <c r="D4433">
        <v>0</v>
      </c>
      <c r="E4433" t="s">
        <v>6132</v>
      </c>
    </row>
    <row r="4434" spans="1:5" x14ac:dyDescent="0.35">
      <c r="A4434" t="s">
        <v>39</v>
      </c>
      <c r="B4434" s="16">
        <v>45861</v>
      </c>
      <c r="C4434">
        <v>6.9</v>
      </c>
      <c r="D4434">
        <v>3</v>
      </c>
      <c r="E4434" t="s">
        <v>6132</v>
      </c>
    </row>
    <row r="4435" spans="1:5" x14ac:dyDescent="0.35">
      <c r="A4435" t="s">
        <v>39</v>
      </c>
      <c r="B4435" s="16">
        <v>45862</v>
      </c>
      <c r="C4435">
        <v>6</v>
      </c>
      <c r="D4435">
        <v>2</v>
      </c>
      <c r="E4435" t="s">
        <v>6132</v>
      </c>
    </row>
    <row r="4436" spans="1:5" x14ac:dyDescent="0.35">
      <c r="A4436" t="s">
        <v>39</v>
      </c>
      <c r="B4436" s="16">
        <v>45866</v>
      </c>
      <c r="C4436">
        <v>6.4</v>
      </c>
      <c r="D4436">
        <v>0</v>
      </c>
      <c r="E4436" t="s">
        <v>6132</v>
      </c>
    </row>
    <row r="4437" spans="1:5" x14ac:dyDescent="0.35">
      <c r="A4437" t="s">
        <v>39</v>
      </c>
      <c r="B4437" s="16">
        <v>45868</v>
      </c>
      <c r="C4437">
        <v>7.7</v>
      </c>
      <c r="D4437">
        <v>0</v>
      </c>
      <c r="E4437" t="s">
        <v>6132</v>
      </c>
    </row>
    <row r="4438" spans="1:5" x14ac:dyDescent="0.35">
      <c r="A4438" t="s">
        <v>39</v>
      </c>
      <c r="B4438" s="16">
        <v>45869</v>
      </c>
      <c r="C4438">
        <v>5.3</v>
      </c>
      <c r="D4438">
        <v>0</v>
      </c>
      <c r="E4438" t="s">
        <v>6134</v>
      </c>
    </row>
    <row r="4439" spans="1:5" x14ac:dyDescent="0.35">
      <c r="A4439" t="s">
        <v>39</v>
      </c>
      <c r="B4439" s="16">
        <v>45873</v>
      </c>
      <c r="C4439">
        <v>8.6</v>
      </c>
      <c r="D4439">
        <v>0</v>
      </c>
      <c r="E4439" t="s">
        <v>6133</v>
      </c>
    </row>
    <row r="4440" spans="1:5" x14ac:dyDescent="0.35">
      <c r="A4440" t="s">
        <v>39</v>
      </c>
      <c r="B4440" s="16">
        <v>45875</v>
      </c>
      <c r="C4440">
        <v>6.1</v>
      </c>
      <c r="D4440">
        <v>1</v>
      </c>
      <c r="E4440" t="s">
        <v>6132</v>
      </c>
    </row>
    <row r="4441" spans="1:5" x14ac:dyDescent="0.35">
      <c r="A4441" t="s">
        <v>39</v>
      </c>
      <c r="B4441" s="16">
        <v>45876</v>
      </c>
      <c r="C4441">
        <v>7.5</v>
      </c>
      <c r="D4441">
        <v>1</v>
      </c>
      <c r="E4441" t="s">
        <v>6132</v>
      </c>
    </row>
    <row r="4442" spans="1:5" x14ac:dyDescent="0.35">
      <c r="A4442" t="s">
        <v>39</v>
      </c>
      <c r="B4442" s="16">
        <v>45877</v>
      </c>
      <c r="C4442">
        <v>5.5</v>
      </c>
      <c r="D4442">
        <v>1</v>
      </c>
      <c r="E4442" t="s">
        <v>6132</v>
      </c>
    </row>
    <row r="4443" spans="1:5" x14ac:dyDescent="0.35">
      <c r="A4443" t="s">
        <v>39</v>
      </c>
      <c r="B4443" s="16">
        <v>45884</v>
      </c>
      <c r="C4443">
        <v>8.1999999999999993</v>
      </c>
      <c r="D4443">
        <v>1</v>
      </c>
      <c r="E4443" t="s">
        <v>6132</v>
      </c>
    </row>
    <row r="4444" spans="1:5" x14ac:dyDescent="0.35">
      <c r="A4444" t="s">
        <v>39</v>
      </c>
      <c r="B4444" s="16">
        <v>45887</v>
      </c>
      <c r="C4444">
        <v>4.3</v>
      </c>
      <c r="D4444">
        <v>0</v>
      </c>
      <c r="E4444" t="s">
        <v>6132</v>
      </c>
    </row>
    <row r="4445" spans="1:5" x14ac:dyDescent="0.35">
      <c r="A4445" t="s">
        <v>39</v>
      </c>
      <c r="B4445" s="16">
        <v>45889</v>
      </c>
      <c r="C4445">
        <v>8.3000000000000007</v>
      </c>
      <c r="D4445">
        <v>0</v>
      </c>
      <c r="E4445" t="s">
        <v>6132</v>
      </c>
    </row>
    <row r="4446" spans="1:5" x14ac:dyDescent="0.35">
      <c r="A4446" t="s">
        <v>39</v>
      </c>
      <c r="B4446" s="16">
        <v>45890</v>
      </c>
      <c r="C4446">
        <v>4.7</v>
      </c>
      <c r="D4446">
        <v>0</v>
      </c>
      <c r="E4446" t="s">
        <v>6132</v>
      </c>
    </row>
    <row r="4447" spans="1:5" x14ac:dyDescent="0.35">
      <c r="A4447" t="s">
        <v>39</v>
      </c>
      <c r="B4447" s="16">
        <v>45895</v>
      </c>
      <c r="C4447">
        <v>7.7</v>
      </c>
      <c r="D4447">
        <v>0</v>
      </c>
      <c r="E4447" t="s">
        <v>6132</v>
      </c>
    </row>
    <row r="4448" spans="1:5" x14ac:dyDescent="0.35">
      <c r="A4448" t="s">
        <v>39</v>
      </c>
      <c r="B4448" s="16">
        <v>45896</v>
      </c>
      <c r="C4448">
        <v>6.2</v>
      </c>
      <c r="D4448">
        <v>1</v>
      </c>
      <c r="E4448" t="s">
        <v>6132</v>
      </c>
    </row>
    <row r="4449" spans="1:5" x14ac:dyDescent="0.35">
      <c r="A4449" t="s">
        <v>39</v>
      </c>
      <c r="B4449" s="16">
        <v>45902</v>
      </c>
      <c r="C4449">
        <v>8.4</v>
      </c>
      <c r="D4449">
        <v>1</v>
      </c>
      <c r="E4449" t="s">
        <v>6132</v>
      </c>
    </row>
    <row r="4450" spans="1:5" x14ac:dyDescent="0.35">
      <c r="A4450" t="s">
        <v>39</v>
      </c>
      <c r="B4450" s="16">
        <v>45904</v>
      </c>
      <c r="C4450">
        <v>8.1999999999999993</v>
      </c>
      <c r="D4450">
        <v>3</v>
      </c>
      <c r="E4450" t="s">
        <v>6132</v>
      </c>
    </row>
    <row r="4451" spans="1:5" x14ac:dyDescent="0.35">
      <c r="A4451" t="s">
        <v>39</v>
      </c>
      <c r="B4451" s="16">
        <v>45905</v>
      </c>
      <c r="C4451">
        <v>9</v>
      </c>
      <c r="D4451">
        <v>0</v>
      </c>
      <c r="E4451" t="s">
        <v>6132</v>
      </c>
    </row>
    <row r="4452" spans="1:5" x14ac:dyDescent="0.35">
      <c r="A4452" t="s">
        <v>39</v>
      </c>
      <c r="B4452" s="16">
        <v>45910</v>
      </c>
      <c r="C4452">
        <v>7.7</v>
      </c>
      <c r="D4452">
        <v>2</v>
      </c>
      <c r="E4452" t="s">
        <v>6132</v>
      </c>
    </row>
    <row r="4453" spans="1:5" x14ac:dyDescent="0.35">
      <c r="A4453" t="s">
        <v>39</v>
      </c>
      <c r="B4453" s="16">
        <v>45911</v>
      </c>
      <c r="C4453">
        <v>7.2</v>
      </c>
      <c r="D4453">
        <v>1</v>
      </c>
      <c r="E4453" t="s">
        <v>6132</v>
      </c>
    </row>
    <row r="4454" spans="1:5" x14ac:dyDescent="0.35">
      <c r="A4454" t="s">
        <v>39</v>
      </c>
      <c r="B4454" s="16">
        <v>45912</v>
      </c>
      <c r="C4454">
        <v>4.8</v>
      </c>
      <c r="D4454">
        <v>0</v>
      </c>
      <c r="E4454" t="s">
        <v>6133</v>
      </c>
    </row>
    <row r="4455" spans="1:5" x14ac:dyDescent="0.35">
      <c r="A4455" t="s">
        <v>39</v>
      </c>
      <c r="B4455" s="16">
        <v>45915</v>
      </c>
      <c r="C4455">
        <v>6.9</v>
      </c>
      <c r="D4455">
        <v>0</v>
      </c>
      <c r="E4455" t="s">
        <v>6132</v>
      </c>
    </row>
    <row r="4456" spans="1:5" x14ac:dyDescent="0.35">
      <c r="A4456" t="s">
        <v>39</v>
      </c>
      <c r="B4456" s="16">
        <v>45917</v>
      </c>
      <c r="C4456">
        <v>8.4</v>
      </c>
      <c r="D4456">
        <v>1</v>
      </c>
      <c r="E4456" t="s">
        <v>6132</v>
      </c>
    </row>
    <row r="4457" spans="1:5" x14ac:dyDescent="0.35">
      <c r="A4457" t="s">
        <v>39</v>
      </c>
      <c r="B4457" s="16">
        <v>45919</v>
      </c>
      <c r="C4457">
        <v>5.5</v>
      </c>
      <c r="D4457">
        <v>1</v>
      </c>
      <c r="E4457" t="s">
        <v>6132</v>
      </c>
    </row>
    <row r="4458" spans="1:5" x14ac:dyDescent="0.35">
      <c r="A4458" t="s">
        <v>39</v>
      </c>
      <c r="B4458" s="16">
        <v>45926</v>
      </c>
      <c r="C4458">
        <v>7.8</v>
      </c>
      <c r="D4458">
        <v>0</v>
      </c>
      <c r="E4458" t="s">
        <v>6132</v>
      </c>
    </row>
    <row r="4459" spans="1:5" x14ac:dyDescent="0.35">
      <c r="A4459" t="s">
        <v>39</v>
      </c>
      <c r="B4459" s="16">
        <v>45930</v>
      </c>
      <c r="C4459">
        <v>6.3</v>
      </c>
      <c r="D4459">
        <v>0</v>
      </c>
      <c r="E4459" t="s">
        <v>6132</v>
      </c>
    </row>
    <row r="4460" spans="1:5" x14ac:dyDescent="0.35">
      <c r="A4460" t="s">
        <v>39</v>
      </c>
      <c r="B4460" s="16">
        <v>45932</v>
      </c>
      <c r="C4460">
        <v>4.7</v>
      </c>
      <c r="D4460">
        <v>0</v>
      </c>
      <c r="E4460" t="s">
        <v>6132</v>
      </c>
    </row>
    <row r="4461" spans="1:5" x14ac:dyDescent="0.35">
      <c r="A4461" t="s">
        <v>39</v>
      </c>
      <c r="B4461" s="16">
        <v>45933</v>
      </c>
      <c r="C4461">
        <v>4.7</v>
      </c>
      <c r="D4461">
        <v>3</v>
      </c>
      <c r="E4461" t="s">
        <v>6132</v>
      </c>
    </row>
    <row r="4462" spans="1:5" x14ac:dyDescent="0.35">
      <c r="A4462" t="s">
        <v>39</v>
      </c>
      <c r="B4462" s="16">
        <v>45936</v>
      </c>
      <c r="C4462">
        <v>5.4</v>
      </c>
      <c r="D4462">
        <v>6</v>
      </c>
      <c r="E4462" t="s">
        <v>6132</v>
      </c>
    </row>
    <row r="4463" spans="1:5" x14ac:dyDescent="0.35">
      <c r="A4463" t="s">
        <v>39</v>
      </c>
      <c r="B4463" s="16">
        <v>45937</v>
      </c>
      <c r="C4463">
        <v>4.5999999999999996</v>
      </c>
      <c r="D4463">
        <v>3</v>
      </c>
      <c r="E4463" t="s">
        <v>6132</v>
      </c>
    </row>
    <row r="4464" spans="1:5" x14ac:dyDescent="0.35">
      <c r="A4464" t="s">
        <v>39</v>
      </c>
      <c r="B4464" s="16">
        <v>45938</v>
      </c>
      <c r="C4464">
        <v>8.4</v>
      </c>
      <c r="D4464">
        <v>0</v>
      </c>
      <c r="E4464" t="s">
        <v>6132</v>
      </c>
    </row>
    <row r="4465" spans="1:5" x14ac:dyDescent="0.35">
      <c r="A4465" t="s">
        <v>39</v>
      </c>
      <c r="B4465" s="16">
        <v>45943</v>
      </c>
      <c r="C4465">
        <v>8</v>
      </c>
      <c r="D4465">
        <v>0</v>
      </c>
      <c r="E4465" t="s">
        <v>6132</v>
      </c>
    </row>
    <row r="4466" spans="1:5" x14ac:dyDescent="0.35">
      <c r="A4466" t="s">
        <v>39</v>
      </c>
      <c r="B4466" s="16">
        <v>45945</v>
      </c>
      <c r="C4466">
        <v>5.7</v>
      </c>
      <c r="D4466">
        <v>1</v>
      </c>
      <c r="E4466" t="s">
        <v>6132</v>
      </c>
    </row>
    <row r="4467" spans="1:5" x14ac:dyDescent="0.35">
      <c r="A4467" t="s">
        <v>39</v>
      </c>
      <c r="B4467" s="16">
        <v>45946</v>
      </c>
      <c r="C4467">
        <v>4.3</v>
      </c>
      <c r="D4467">
        <v>2</v>
      </c>
      <c r="E4467" t="s">
        <v>6132</v>
      </c>
    </row>
    <row r="4468" spans="1:5" x14ac:dyDescent="0.35">
      <c r="A4468" t="s">
        <v>39</v>
      </c>
      <c r="B4468" s="16">
        <v>45951</v>
      </c>
      <c r="C4468">
        <v>4.9000000000000004</v>
      </c>
      <c r="D4468">
        <v>0</v>
      </c>
      <c r="E4468" t="s">
        <v>6132</v>
      </c>
    </row>
    <row r="4469" spans="1:5" x14ac:dyDescent="0.35">
      <c r="A4469" t="s">
        <v>39</v>
      </c>
      <c r="B4469" s="16">
        <v>45952</v>
      </c>
      <c r="C4469">
        <v>7</v>
      </c>
      <c r="D4469">
        <v>0</v>
      </c>
      <c r="E4469" t="s">
        <v>6132</v>
      </c>
    </row>
    <row r="4470" spans="1:5" x14ac:dyDescent="0.35">
      <c r="A4470" t="s">
        <v>39</v>
      </c>
      <c r="B4470" s="16">
        <v>45959</v>
      </c>
      <c r="C4470">
        <v>8.6999999999999993</v>
      </c>
      <c r="D4470">
        <v>0</v>
      </c>
      <c r="E4470" t="s">
        <v>6132</v>
      </c>
    </row>
    <row r="4471" spans="1:5" x14ac:dyDescent="0.35">
      <c r="A4471" t="s">
        <v>39</v>
      </c>
      <c r="B4471" s="16">
        <v>45960</v>
      </c>
      <c r="C4471">
        <v>7.5</v>
      </c>
      <c r="D4471">
        <v>0</v>
      </c>
      <c r="E4471" t="s">
        <v>6132</v>
      </c>
    </row>
    <row r="4472" spans="1:5" x14ac:dyDescent="0.35">
      <c r="A4472" t="s">
        <v>39</v>
      </c>
      <c r="B4472" s="16">
        <v>45961</v>
      </c>
      <c r="C4472">
        <v>7.6</v>
      </c>
      <c r="D4472">
        <v>1</v>
      </c>
      <c r="E4472" t="s">
        <v>6132</v>
      </c>
    </row>
    <row r="4473" spans="1:5" x14ac:dyDescent="0.35">
      <c r="A4473" t="s">
        <v>39</v>
      </c>
      <c r="B4473" s="16">
        <v>45964</v>
      </c>
      <c r="C4473">
        <v>8.9</v>
      </c>
      <c r="D4473">
        <v>2</v>
      </c>
      <c r="E4473" t="s">
        <v>6132</v>
      </c>
    </row>
    <row r="4474" spans="1:5" x14ac:dyDescent="0.35">
      <c r="A4474" t="s">
        <v>39</v>
      </c>
      <c r="B4474" s="16">
        <v>45965</v>
      </c>
      <c r="C4474">
        <v>8.1999999999999993</v>
      </c>
      <c r="D4474">
        <v>1</v>
      </c>
      <c r="E4474" t="s">
        <v>6132</v>
      </c>
    </row>
    <row r="4475" spans="1:5" x14ac:dyDescent="0.35">
      <c r="A4475" t="s">
        <v>39</v>
      </c>
      <c r="B4475" s="16">
        <v>45966</v>
      </c>
      <c r="C4475">
        <v>8.5</v>
      </c>
      <c r="D4475">
        <v>2</v>
      </c>
      <c r="E4475" t="s">
        <v>6132</v>
      </c>
    </row>
    <row r="4476" spans="1:5" x14ac:dyDescent="0.35">
      <c r="A4476" t="s">
        <v>39</v>
      </c>
      <c r="B4476" s="16">
        <v>45973</v>
      </c>
      <c r="C4476">
        <v>7.9</v>
      </c>
      <c r="D4476">
        <v>5</v>
      </c>
      <c r="E4476" t="s">
        <v>6132</v>
      </c>
    </row>
    <row r="4477" spans="1:5" x14ac:dyDescent="0.35">
      <c r="A4477" t="s">
        <v>39</v>
      </c>
      <c r="B4477" s="16">
        <v>45975</v>
      </c>
      <c r="C4477">
        <v>5.2</v>
      </c>
      <c r="D4477">
        <v>0</v>
      </c>
      <c r="E4477" t="s">
        <v>6132</v>
      </c>
    </row>
    <row r="4478" spans="1:5" x14ac:dyDescent="0.35">
      <c r="A4478" t="s">
        <v>39</v>
      </c>
      <c r="B4478" s="16">
        <v>45978</v>
      </c>
      <c r="C4478">
        <v>5</v>
      </c>
      <c r="D4478">
        <v>0</v>
      </c>
      <c r="E4478" t="s">
        <v>6132</v>
      </c>
    </row>
    <row r="4479" spans="1:5" x14ac:dyDescent="0.35">
      <c r="A4479" t="s">
        <v>39</v>
      </c>
      <c r="B4479" s="16">
        <v>45980</v>
      </c>
      <c r="C4479">
        <v>4.0999999999999996</v>
      </c>
      <c r="D4479">
        <v>0</v>
      </c>
      <c r="E4479" t="s">
        <v>6132</v>
      </c>
    </row>
    <row r="4480" spans="1:5" x14ac:dyDescent="0.35">
      <c r="A4480" t="s">
        <v>39</v>
      </c>
      <c r="B4480" s="16">
        <v>45981</v>
      </c>
      <c r="C4480">
        <v>8.6</v>
      </c>
      <c r="D4480">
        <v>0</v>
      </c>
      <c r="E4480" t="s">
        <v>6132</v>
      </c>
    </row>
    <row r="4481" spans="1:5" x14ac:dyDescent="0.35">
      <c r="A4481" t="s">
        <v>39</v>
      </c>
      <c r="B4481" s="16">
        <v>45985</v>
      </c>
      <c r="C4481">
        <v>8.3000000000000007</v>
      </c>
      <c r="D4481">
        <v>0</v>
      </c>
      <c r="E4481" t="s">
        <v>6132</v>
      </c>
    </row>
    <row r="4482" spans="1:5" x14ac:dyDescent="0.35">
      <c r="A4482" t="s">
        <v>39</v>
      </c>
      <c r="B4482" s="16">
        <v>45994</v>
      </c>
      <c r="C4482">
        <v>8.4</v>
      </c>
      <c r="D4482">
        <v>1</v>
      </c>
      <c r="E4482" t="s">
        <v>6132</v>
      </c>
    </row>
    <row r="4483" spans="1:5" x14ac:dyDescent="0.35">
      <c r="A4483" t="s">
        <v>39</v>
      </c>
      <c r="B4483" s="16">
        <v>45995</v>
      </c>
      <c r="C4483">
        <v>6.8</v>
      </c>
      <c r="D4483">
        <v>0</v>
      </c>
      <c r="E4483" t="s">
        <v>6133</v>
      </c>
    </row>
    <row r="4484" spans="1:5" x14ac:dyDescent="0.35">
      <c r="A4484" t="s">
        <v>39</v>
      </c>
      <c r="B4484" s="16">
        <v>45999</v>
      </c>
      <c r="C4484">
        <v>7.3</v>
      </c>
      <c r="D4484">
        <v>3</v>
      </c>
      <c r="E4484" t="s">
        <v>6132</v>
      </c>
    </row>
    <row r="4485" spans="1:5" x14ac:dyDescent="0.35">
      <c r="A4485" t="s">
        <v>39</v>
      </c>
      <c r="B4485" s="16">
        <v>46001</v>
      </c>
      <c r="C4485">
        <v>5.9</v>
      </c>
      <c r="D4485">
        <v>1</v>
      </c>
      <c r="E4485" t="s">
        <v>6132</v>
      </c>
    </row>
    <row r="4486" spans="1:5" x14ac:dyDescent="0.35">
      <c r="A4486" t="s">
        <v>39</v>
      </c>
      <c r="B4486" s="16">
        <v>46003</v>
      </c>
      <c r="D4486">
        <v>0</v>
      </c>
      <c r="E4486" t="s">
        <v>6132</v>
      </c>
    </row>
    <row r="4487" spans="1:5" x14ac:dyDescent="0.35">
      <c r="A4487" t="s">
        <v>39</v>
      </c>
      <c r="B4487" s="16">
        <v>46006</v>
      </c>
      <c r="C4487">
        <v>4.2</v>
      </c>
      <c r="D4487">
        <v>1</v>
      </c>
      <c r="E4487" t="s">
        <v>6132</v>
      </c>
    </row>
    <row r="4488" spans="1:5" x14ac:dyDescent="0.35">
      <c r="A4488" t="s">
        <v>39</v>
      </c>
      <c r="B4488" s="16">
        <v>46009</v>
      </c>
      <c r="D4488">
        <v>0</v>
      </c>
      <c r="E4488" t="s">
        <v>6132</v>
      </c>
    </row>
    <row r="4489" spans="1:5" x14ac:dyDescent="0.35">
      <c r="A4489" t="s">
        <v>39</v>
      </c>
      <c r="B4489" s="16">
        <v>46010</v>
      </c>
      <c r="C4489">
        <v>8.4</v>
      </c>
      <c r="D4489">
        <v>0</v>
      </c>
      <c r="E4489" t="s">
        <v>6132</v>
      </c>
    </row>
    <row r="4490" spans="1:5" x14ac:dyDescent="0.35">
      <c r="A4490" t="s">
        <v>39</v>
      </c>
      <c r="B4490" s="16">
        <v>46014</v>
      </c>
      <c r="C4490">
        <v>5</v>
      </c>
      <c r="D4490">
        <v>0</v>
      </c>
      <c r="E4490" t="s">
        <v>6132</v>
      </c>
    </row>
    <row r="4491" spans="1:5" x14ac:dyDescent="0.35">
      <c r="A4491" t="s">
        <v>39</v>
      </c>
      <c r="B4491" s="16">
        <v>46016</v>
      </c>
      <c r="C4491">
        <v>4.3</v>
      </c>
      <c r="D4491">
        <v>2</v>
      </c>
      <c r="E4491" t="s">
        <v>6132</v>
      </c>
    </row>
    <row r="4492" spans="1:5" x14ac:dyDescent="0.35">
      <c r="A4492" t="s">
        <v>39</v>
      </c>
      <c r="B4492" s="16">
        <v>46017</v>
      </c>
      <c r="C4492">
        <v>7.3</v>
      </c>
      <c r="D4492">
        <v>0</v>
      </c>
      <c r="E4492" t="s">
        <v>6132</v>
      </c>
    </row>
    <row r="4493" spans="1:5" x14ac:dyDescent="0.35">
      <c r="A4493" t="s">
        <v>39</v>
      </c>
      <c r="B4493" s="16">
        <v>46020</v>
      </c>
      <c r="C4493">
        <v>5.8</v>
      </c>
      <c r="D4493">
        <v>4</v>
      </c>
      <c r="E4493" t="s">
        <v>6132</v>
      </c>
    </row>
    <row r="4494" spans="1:5" x14ac:dyDescent="0.35">
      <c r="A4494" t="s">
        <v>39</v>
      </c>
      <c r="B4494" s="16">
        <v>46021</v>
      </c>
      <c r="C4494">
        <v>6.3</v>
      </c>
      <c r="D4494">
        <v>0</v>
      </c>
      <c r="E4494" t="s">
        <v>6132</v>
      </c>
    </row>
    <row r="4495" spans="1:5" x14ac:dyDescent="0.35">
      <c r="A4495" t="s">
        <v>39</v>
      </c>
      <c r="B4495" s="16">
        <v>46022</v>
      </c>
      <c r="D4495">
        <v>3</v>
      </c>
      <c r="E4495" t="s">
        <v>6132</v>
      </c>
    </row>
    <row r="4496" spans="1:5" x14ac:dyDescent="0.35">
      <c r="A4496" t="s">
        <v>49</v>
      </c>
      <c r="B4496" s="16">
        <v>45658</v>
      </c>
      <c r="C4496">
        <v>8.1</v>
      </c>
      <c r="D4496">
        <v>1</v>
      </c>
      <c r="E4496" t="s">
        <v>6132</v>
      </c>
    </row>
    <row r="4497" spans="1:5" x14ac:dyDescent="0.35">
      <c r="A4497" t="s">
        <v>49</v>
      </c>
      <c r="B4497" s="16">
        <v>45659</v>
      </c>
      <c r="C4497">
        <v>5</v>
      </c>
      <c r="D4497">
        <v>0</v>
      </c>
      <c r="E4497" t="s">
        <v>6133</v>
      </c>
    </row>
    <row r="4498" spans="1:5" x14ac:dyDescent="0.35">
      <c r="A4498" t="s">
        <v>49</v>
      </c>
      <c r="B4498" s="16">
        <v>45660</v>
      </c>
      <c r="C4498">
        <v>4.5999999999999996</v>
      </c>
      <c r="D4498">
        <v>3</v>
      </c>
      <c r="E4498" t="s">
        <v>6132</v>
      </c>
    </row>
    <row r="4499" spans="1:5" x14ac:dyDescent="0.35">
      <c r="A4499" t="s">
        <v>49</v>
      </c>
      <c r="B4499" s="16">
        <v>45663</v>
      </c>
      <c r="C4499">
        <v>4.8</v>
      </c>
      <c r="D4499">
        <v>3</v>
      </c>
      <c r="E4499" t="s">
        <v>6132</v>
      </c>
    </row>
    <row r="4500" spans="1:5" x14ac:dyDescent="0.35">
      <c r="A4500" t="s">
        <v>49</v>
      </c>
      <c r="B4500" s="16">
        <v>45664</v>
      </c>
      <c r="C4500">
        <v>7.6</v>
      </c>
      <c r="D4500">
        <v>0</v>
      </c>
      <c r="E4500" t="s">
        <v>6133</v>
      </c>
    </row>
    <row r="4501" spans="1:5" x14ac:dyDescent="0.35">
      <c r="A4501" t="s">
        <v>49</v>
      </c>
      <c r="B4501" s="16">
        <v>45665</v>
      </c>
      <c r="C4501">
        <v>6.2</v>
      </c>
      <c r="D4501">
        <v>0</v>
      </c>
      <c r="E4501" t="s">
        <v>6132</v>
      </c>
    </row>
    <row r="4502" spans="1:5" x14ac:dyDescent="0.35">
      <c r="A4502" t="s">
        <v>49</v>
      </c>
      <c r="B4502" s="16">
        <v>45672</v>
      </c>
      <c r="C4502">
        <v>5.9</v>
      </c>
      <c r="D4502">
        <v>1</v>
      </c>
      <c r="E4502" t="s">
        <v>6132</v>
      </c>
    </row>
    <row r="4503" spans="1:5" x14ac:dyDescent="0.35">
      <c r="A4503" t="s">
        <v>49</v>
      </c>
      <c r="B4503" s="16">
        <v>45673</v>
      </c>
      <c r="C4503">
        <v>5.7</v>
      </c>
      <c r="D4503">
        <v>1</v>
      </c>
      <c r="E4503" t="s">
        <v>6132</v>
      </c>
    </row>
    <row r="4504" spans="1:5" x14ac:dyDescent="0.35">
      <c r="A4504" t="s">
        <v>49</v>
      </c>
      <c r="B4504" s="16">
        <v>45674</v>
      </c>
      <c r="C4504">
        <v>8.4</v>
      </c>
      <c r="D4504">
        <v>5</v>
      </c>
      <c r="E4504" t="s">
        <v>6132</v>
      </c>
    </row>
    <row r="4505" spans="1:5" x14ac:dyDescent="0.35">
      <c r="A4505" t="s">
        <v>49</v>
      </c>
      <c r="B4505" s="16">
        <v>45679</v>
      </c>
      <c r="C4505">
        <v>9</v>
      </c>
      <c r="D4505">
        <v>3</v>
      </c>
      <c r="E4505" t="s">
        <v>6132</v>
      </c>
    </row>
    <row r="4506" spans="1:5" x14ac:dyDescent="0.35">
      <c r="A4506" t="s">
        <v>49</v>
      </c>
      <c r="B4506" s="16">
        <v>45685</v>
      </c>
      <c r="C4506">
        <v>6.3</v>
      </c>
      <c r="D4506">
        <v>1</v>
      </c>
      <c r="E4506" t="s">
        <v>6132</v>
      </c>
    </row>
    <row r="4507" spans="1:5" x14ac:dyDescent="0.35">
      <c r="A4507" t="s">
        <v>49</v>
      </c>
      <c r="B4507" s="16">
        <v>45687</v>
      </c>
      <c r="C4507">
        <v>7.1</v>
      </c>
      <c r="D4507">
        <v>2</v>
      </c>
      <c r="E4507" t="s">
        <v>6132</v>
      </c>
    </row>
    <row r="4508" spans="1:5" x14ac:dyDescent="0.35">
      <c r="A4508" t="s">
        <v>49</v>
      </c>
      <c r="B4508" s="16">
        <v>45691</v>
      </c>
      <c r="C4508">
        <v>7.6</v>
      </c>
      <c r="D4508">
        <v>1</v>
      </c>
      <c r="E4508" t="s">
        <v>6132</v>
      </c>
    </row>
    <row r="4509" spans="1:5" x14ac:dyDescent="0.35">
      <c r="A4509" t="s">
        <v>49</v>
      </c>
      <c r="B4509" s="16">
        <v>45692</v>
      </c>
      <c r="C4509">
        <v>7.1</v>
      </c>
      <c r="D4509">
        <v>2</v>
      </c>
      <c r="E4509" t="s">
        <v>6132</v>
      </c>
    </row>
    <row r="4510" spans="1:5" x14ac:dyDescent="0.35">
      <c r="A4510" t="s">
        <v>49</v>
      </c>
      <c r="B4510" s="16">
        <v>45694</v>
      </c>
      <c r="C4510">
        <v>6.7</v>
      </c>
      <c r="D4510">
        <v>0</v>
      </c>
      <c r="E4510" t="s">
        <v>6134</v>
      </c>
    </row>
    <row r="4511" spans="1:5" x14ac:dyDescent="0.35">
      <c r="A4511" t="s">
        <v>49</v>
      </c>
      <c r="B4511" s="16">
        <v>45695</v>
      </c>
      <c r="C4511">
        <v>8.9</v>
      </c>
      <c r="D4511">
        <v>0</v>
      </c>
      <c r="E4511" t="s">
        <v>6132</v>
      </c>
    </row>
    <row r="4512" spans="1:5" x14ac:dyDescent="0.35">
      <c r="A4512" t="s">
        <v>49</v>
      </c>
      <c r="B4512" s="16">
        <v>45699</v>
      </c>
      <c r="C4512">
        <v>7.7</v>
      </c>
      <c r="D4512">
        <v>0</v>
      </c>
      <c r="E4512" t="s">
        <v>6134</v>
      </c>
    </row>
    <row r="4513" spans="1:5" x14ac:dyDescent="0.35">
      <c r="A4513" t="s">
        <v>49</v>
      </c>
      <c r="B4513" s="16">
        <v>45706</v>
      </c>
      <c r="C4513">
        <v>6.2</v>
      </c>
      <c r="D4513">
        <v>0</v>
      </c>
      <c r="E4513" t="s">
        <v>6132</v>
      </c>
    </row>
    <row r="4514" spans="1:5" x14ac:dyDescent="0.35">
      <c r="A4514" t="s">
        <v>49</v>
      </c>
      <c r="B4514" s="16">
        <v>45707</v>
      </c>
      <c r="D4514">
        <v>0</v>
      </c>
      <c r="E4514" t="s">
        <v>6132</v>
      </c>
    </row>
    <row r="4515" spans="1:5" x14ac:dyDescent="0.35">
      <c r="A4515" t="s">
        <v>49</v>
      </c>
      <c r="B4515" s="16">
        <v>45708</v>
      </c>
      <c r="C4515">
        <v>7.3</v>
      </c>
      <c r="D4515">
        <v>0</v>
      </c>
      <c r="E4515" t="s">
        <v>6132</v>
      </c>
    </row>
    <row r="4516" spans="1:5" x14ac:dyDescent="0.35">
      <c r="A4516" t="s">
        <v>49</v>
      </c>
      <c r="B4516" s="16">
        <v>45712</v>
      </c>
      <c r="C4516">
        <v>8.1</v>
      </c>
      <c r="D4516">
        <v>1</v>
      </c>
      <c r="E4516" t="s">
        <v>6132</v>
      </c>
    </row>
    <row r="4517" spans="1:5" x14ac:dyDescent="0.35">
      <c r="A4517" t="s">
        <v>49</v>
      </c>
      <c r="B4517" s="16">
        <v>45713</v>
      </c>
      <c r="C4517">
        <v>4.5</v>
      </c>
      <c r="D4517">
        <v>1</v>
      </c>
      <c r="E4517" t="s">
        <v>6132</v>
      </c>
    </row>
    <row r="4518" spans="1:5" x14ac:dyDescent="0.35">
      <c r="A4518" t="s">
        <v>49</v>
      </c>
      <c r="B4518" s="16">
        <v>45715</v>
      </c>
      <c r="C4518">
        <v>6.2</v>
      </c>
      <c r="D4518">
        <v>6</v>
      </c>
      <c r="E4518" t="s">
        <v>6132</v>
      </c>
    </row>
    <row r="4519" spans="1:5" x14ac:dyDescent="0.35">
      <c r="A4519" t="s">
        <v>49</v>
      </c>
      <c r="B4519" s="16">
        <v>45719</v>
      </c>
      <c r="C4519">
        <v>8</v>
      </c>
      <c r="D4519">
        <v>2</v>
      </c>
      <c r="E4519" t="s">
        <v>6132</v>
      </c>
    </row>
    <row r="4520" spans="1:5" x14ac:dyDescent="0.35">
      <c r="A4520" t="s">
        <v>49</v>
      </c>
      <c r="B4520" s="16">
        <v>45720</v>
      </c>
      <c r="C4520">
        <v>5</v>
      </c>
      <c r="D4520">
        <v>2</v>
      </c>
      <c r="E4520" t="s">
        <v>6132</v>
      </c>
    </row>
    <row r="4521" spans="1:5" x14ac:dyDescent="0.35">
      <c r="A4521" t="s">
        <v>49</v>
      </c>
      <c r="B4521" s="16">
        <v>45721</v>
      </c>
      <c r="C4521">
        <v>5.3</v>
      </c>
      <c r="D4521">
        <v>3</v>
      </c>
      <c r="E4521" t="s">
        <v>6132</v>
      </c>
    </row>
    <row r="4522" spans="1:5" x14ac:dyDescent="0.35">
      <c r="A4522" t="s">
        <v>49</v>
      </c>
      <c r="B4522" s="16">
        <v>45727</v>
      </c>
      <c r="C4522">
        <v>5.7</v>
      </c>
      <c r="D4522">
        <v>1</v>
      </c>
      <c r="E4522" t="s">
        <v>6132</v>
      </c>
    </row>
    <row r="4523" spans="1:5" x14ac:dyDescent="0.35">
      <c r="A4523" t="s">
        <v>49</v>
      </c>
      <c r="B4523" s="16">
        <v>45729</v>
      </c>
      <c r="C4523">
        <v>5.7</v>
      </c>
      <c r="D4523">
        <v>0</v>
      </c>
      <c r="E4523" t="s">
        <v>6132</v>
      </c>
    </row>
    <row r="4524" spans="1:5" x14ac:dyDescent="0.35">
      <c r="A4524" t="s">
        <v>49</v>
      </c>
      <c r="B4524" s="16">
        <v>45737</v>
      </c>
      <c r="C4524">
        <v>6.3</v>
      </c>
      <c r="D4524">
        <v>1</v>
      </c>
      <c r="E4524" t="s">
        <v>6132</v>
      </c>
    </row>
    <row r="4525" spans="1:5" x14ac:dyDescent="0.35">
      <c r="A4525" t="s">
        <v>49</v>
      </c>
      <c r="B4525" s="16">
        <v>45740</v>
      </c>
      <c r="C4525">
        <v>8.9</v>
      </c>
      <c r="D4525">
        <v>1</v>
      </c>
      <c r="E4525" t="s">
        <v>6132</v>
      </c>
    </row>
    <row r="4526" spans="1:5" x14ac:dyDescent="0.35">
      <c r="A4526" t="s">
        <v>49</v>
      </c>
      <c r="B4526" s="16">
        <v>45747</v>
      </c>
      <c r="C4526">
        <v>4.5</v>
      </c>
      <c r="D4526">
        <v>0</v>
      </c>
      <c r="E4526" t="s">
        <v>6132</v>
      </c>
    </row>
    <row r="4527" spans="1:5" x14ac:dyDescent="0.35">
      <c r="A4527" t="s">
        <v>49</v>
      </c>
      <c r="B4527" s="16">
        <v>45748</v>
      </c>
      <c r="C4527">
        <v>8.6999999999999993</v>
      </c>
      <c r="D4527">
        <v>0</v>
      </c>
      <c r="E4527" t="s">
        <v>6132</v>
      </c>
    </row>
    <row r="4528" spans="1:5" x14ac:dyDescent="0.35">
      <c r="A4528" t="s">
        <v>49</v>
      </c>
      <c r="B4528" s="16">
        <v>45749</v>
      </c>
      <c r="C4528">
        <v>5.5</v>
      </c>
      <c r="D4528">
        <v>1</v>
      </c>
      <c r="E4528" t="s">
        <v>6132</v>
      </c>
    </row>
    <row r="4529" spans="1:5" x14ac:dyDescent="0.35">
      <c r="A4529" t="s">
        <v>49</v>
      </c>
      <c r="B4529" s="16">
        <v>45750</v>
      </c>
      <c r="C4529">
        <v>5.3</v>
      </c>
      <c r="D4529">
        <v>0</v>
      </c>
      <c r="E4529" t="s">
        <v>6132</v>
      </c>
    </row>
    <row r="4530" spans="1:5" x14ac:dyDescent="0.35">
      <c r="A4530" t="s">
        <v>49</v>
      </c>
      <c r="B4530" s="16">
        <v>45754</v>
      </c>
      <c r="C4530">
        <v>7.2</v>
      </c>
      <c r="D4530">
        <v>1</v>
      </c>
      <c r="E4530" t="s">
        <v>6132</v>
      </c>
    </row>
    <row r="4531" spans="1:5" x14ac:dyDescent="0.35">
      <c r="A4531" t="s">
        <v>49</v>
      </c>
      <c r="B4531" s="16">
        <v>45755</v>
      </c>
      <c r="C4531">
        <v>6.9</v>
      </c>
      <c r="D4531">
        <v>2</v>
      </c>
      <c r="E4531" t="s">
        <v>6132</v>
      </c>
    </row>
    <row r="4532" spans="1:5" x14ac:dyDescent="0.35">
      <c r="A4532" t="s">
        <v>49</v>
      </c>
      <c r="B4532" s="16">
        <v>45756</v>
      </c>
      <c r="C4532">
        <v>4.9000000000000004</v>
      </c>
      <c r="D4532">
        <v>0</v>
      </c>
      <c r="E4532" t="s">
        <v>6132</v>
      </c>
    </row>
    <row r="4533" spans="1:5" x14ac:dyDescent="0.35">
      <c r="A4533" t="s">
        <v>49</v>
      </c>
      <c r="B4533" s="16">
        <v>45757</v>
      </c>
      <c r="C4533">
        <v>7.4</v>
      </c>
      <c r="D4533">
        <v>5</v>
      </c>
      <c r="E4533" t="s">
        <v>6132</v>
      </c>
    </row>
    <row r="4534" spans="1:5" x14ac:dyDescent="0.35">
      <c r="A4534" t="s">
        <v>49</v>
      </c>
      <c r="B4534" s="16">
        <v>45758</v>
      </c>
      <c r="C4534">
        <v>6.4</v>
      </c>
      <c r="D4534">
        <v>1</v>
      </c>
      <c r="E4534" t="s">
        <v>6132</v>
      </c>
    </row>
    <row r="4535" spans="1:5" x14ac:dyDescent="0.35">
      <c r="A4535" t="s">
        <v>49</v>
      </c>
      <c r="B4535" s="16">
        <v>45761</v>
      </c>
      <c r="C4535">
        <v>5.3</v>
      </c>
      <c r="D4535">
        <v>1</v>
      </c>
      <c r="E4535" t="s">
        <v>6132</v>
      </c>
    </row>
    <row r="4536" spans="1:5" x14ac:dyDescent="0.35">
      <c r="A4536" t="s">
        <v>49</v>
      </c>
      <c r="B4536" s="16">
        <v>45764</v>
      </c>
      <c r="C4536">
        <v>4.4000000000000004</v>
      </c>
      <c r="D4536">
        <v>0</v>
      </c>
      <c r="E4536" t="s">
        <v>6133</v>
      </c>
    </row>
    <row r="4537" spans="1:5" x14ac:dyDescent="0.35">
      <c r="A4537" t="s">
        <v>49</v>
      </c>
      <c r="B4537" s="16">
        <v>45765</v>
      </c>
      <c r="C4537">
        <v>5.9</v>
      </c>
      <c r="D4537">
        <v>0</v>
      </c>
      <c r="E4537" t="s">
        <v>6132</v>
      </c>
    </row>
    <row r="4538" spans="1:5" x14ac:dyDescent="0.35">
      <c r="A4538" t="s">
        <v>49</v>
      </c>
      <c r="B4538" s="16">
        <v>45769</v>
      </c>
      <c r="C4538">
        <v>4.5</v>
      </c>
      <c r="D4538">
        <v>4</v>
      </c>
      <c r="E4538" t="s">
        <v>6132</v>
      </c>
    </row>
    <row r="4539" spans="1:5" x14ac:dyDescent="0.35">
      <c r="A4539" t="s">
        <v>49</v>
      </c>
      <c r="B4539" s="16">
        <v>45772</v>
      </c>
      <c r="C4539">
        <v>5.8</v>
      </c>
      <c r="D4539">
        <v>2</v>
      </c>
      <c r="E4539" t="s">
        <v>6132</v>
      </c>
    </row>
    <row r="4540" spans="1:5" x14ac:dyDescent="0.35">
      <c r="A4540" t="s">
        <v>49</v>
      </c>
      <c r="B4540" s="16">
        <v>45775</v>
      </c>
      <c r="D4540">
        <v>1</v>
      </c>
      <c r="E4540" t="s">
        <v>6132</v>
      </c>
    </row>
    <row r="4541" spans="1:5" x14ac:dyDescent="0.35">
      <c r="A4541" t="s">
        <v>49</v>
      </c>
      <c r="B4541" s="16">
        <v>45777</v>
      </c>
      <c r="C4541">
        <v>8.3000000000000007</v>
      </c>
      <c r="D4541">
        <v>0</v>
      </c>
      <c r="E4541" t="s">
        <v>6132</v>
      </c>
    </row>
    <row r="4542" spans="1:5" x14ac:dyDescent="0.35">
      <c r="A4542" t="s">
        <v>49</v>
      </c>
      <c r="B4542" s="16">
        <v>45778</v>
      </c>
      <c r="C4542">
        <v>4.2</v>
      </c>
      <c r="D4542">
        <v>1</v>
      </c>
      <c r="E4542" t="s">
        <v>6132</v>
      </c>
    </row>
    <row r="4543" spans="1:5" x14ac:dyDescent="0.35">
      <c r="A4543" t="s">
        <v>49</v>
      </c>
      <c r="B4543" s="16">
        <v>45779</v>
      </c>
      <c r="C4543">
        <v>5.4</v>
      </c>
      <c r="D4543">
        <v>1</v>
      </c>
      <c r="E4543" t="s">
        <v>6132</v>
      </c>
    </row>
    <row r="4544" spans="1:5" x14ac:dyDescent="0.35">
      <c r="A4544" t="s">
        <v>49</v>
      </c>
      <c r="B4544" s="16">
        <v>45785</v>
      </c>
      <c r="C4544">
        <v>7.5</v>
      </c>
      <c r="D4544">
        <v>0</v>
      </c>
      <c r="E4544" t="s">
        <v>6132</v>
      </c>
    </row>
    <row r="4545" spans="1:5" x14ac:dyDescent="0.35">
      <c r="A4545" t="s">
        <v>49</v>
      </c>
      <c r="B4545" s="16">
        <v>45786</v>
      </c>
      <c r="C4545">
        <v>4.5999999999999996</v>
      </c>
      <c r="D4545">
        <v>0</v>
      </c>
      <c r="E4545" t="s">
        <v>6132</v>
      </c>
    </row>
    <row r="4546" spans="1:5" x14ac:dyDescent="0.35">
      <c r="A4546" t="s">
        <v>49</v>
      </c>
      <c r="B4546" s="16">
        <v>45797</v>
      </c>
      <c r="C4546">
        <v>6</v>
      </c>
      <c r="D4546">
        <v>0</v>
      </c>
      <c r="E4546" t="s">
        <v>6134</v>
      </c>
    </row>
    <row r="4547" spans="1:5" x14ac:dyDescent="0.35">
      <c r="A4547" t="s">
        <v>49</v>
      </c>
      <c r="B4547" s="16">
        <v>45799</v>
      </c>
      <c r="C4547">
        <v>4.5</v>
      </c>
      <c r="D4547">
        <v>2</v>
      </c>
      <c r="E4547" t="s">
        <v>6132</v>
      </c>
    </row>
    <row r="4548" spans="1:5" x14ac:dyDescent="0.35">
      <c r="A4548" t="s">
        <v>49</v>
      </c>
      <c r="B4548" s="16">
        <v>45805</v>
      </c>
      <c r="C4548">
        <v>6.8</v>
      </c>
      <c r="D4548">
        <v>1</v>
      </c>
      <c r="E4548" t="s">
        <v>6132</v>
      </c>
    </row>
    <row r="4549" spans="1:5" x14ac:dyDescent="0.35">
      <c r="A4549" t="s">
        <v>49</v>
      </c>
      <c r="B4549" s="16">
        <v>45806</v>
      </c>
      <c r="C4549">
        <v>4.2</v>
      </c>
      <c r="D4549">
        <v>1</v>
      </c>
      <c r="E4549" t="s">
        <v>6132</v>
      </c>
    </row>
    <row r="4550" spans="1:5" x14ac:dyDescent="0.35">
      <c r="A4550" t="s">
        <v>49</v>
      </c>
      <c r="B4550" s="16">
        <v>45811</v>
      </c>
      <c r="C4550">
        <v>6.9</v>
      </c>
      <c r="D4550">
        <v>0</v>
      </c>
      <c r="E4550" t="s">
        <v>6132</v>
      </c>
    </row>
    <row r="4551" spans="1:5" x14ac:dyDescent="0.35">
      <c r="A4551" t="s">
        <v>49</v>
      </c>
      <c r="B4551" s="16">
        <v>45813</v>
      </c>
      <c r="C4551">
        <v>8.1</v>
      </c>
      <c r="D4551">
        <v>0</v>
      </c>
      <c r="E4551" t="s">
        <v>6132</v>
      </c>
    </row>
    <row r="4552" spans="1:5" x14ac:dyDescent="0.35">
      <c r="A4552" t="s">
        <v>49</v>
      </c>
      <c r="B4552" s="16">
        <v>45820</v>
      </c>
      <c r="C4552">
        <v>7.5</v>
      </c>
      <c r="D4552">
        <v>0</v>
      </c>
      <c r="E4552" t="s">
        <v>6132</v>
      </c>
    </row>
    <row r="4553" spans="1:5" x14ac:dyDescent="0.35">
      <c r="A4553" t="s">
        <v>49</v>
      </c>
      <c r="B4553" s="16">
        <v>45821</v>
      </c>
      <c r="C4553">
        <v>7.4</v>
      </c>
      <c r="D4553">
        <v>2</v>
      </c>
      <c r="E4553" t="s">
        <v>6132</v>
      </c>
    </row>
    <row r="4554" spans="1:5" x14ac:dyDescent="0.35">
      <c r="A4554" t="s">
        <v>49</v>
      </c>
      <c r="B4554" s="16">
        <v>45824</v>
      </c>
      <c r="C4554">
        <v>8.1</v>
      </c>
      <c r="D4554">
        <v>1</v>
      </c>
      <c r="E4554" t="s">
        <v>6132</v>
      </c>
    </row>
    <row r="4555" spans="1:5" x14ac:dyDescent="0.35">
      <c r="A4555" t="s">
        <v>49</v>
      </c>
      <c r="B4555" s="16">
        <v>45825</v>
      </c>
      <c r="C4555">
        <v>8.9</v>
      </c>
      <c r="D4555">
        <v>3</v>
      </c>
      <c r="E4555" t="s">
        <v>6132</v>
      </c>
    </row>
    <row r="4556" spans="1:5" x14ac:dyDescent="0.35">
      <c r="A4556" t="s">
        <v>49</v>
      </c>
      <c r="B4556" s="16">
        <v>45827</v>
      </c>
      <c r="C4556">
        <v>4.8</v>
      </c>
      <c r="D4556">
        <v>1</v>
      </c>
      <c r="E4556" t="s">
        <v>6132</v>
      </c>
    </row>
    <row r="4557" spans="1:5" x14ac:dyDescent="0.35">
      <c r="A4557" t="s">
        <v>49</v>
      </c>
      <c r="B4557" s="16">
        <v>45831</v>
      </c>
      <c r="C4557">
        <v>5.5</v>
      </c>
      <c r="D4557">
        <v>3</v>
      </c>
      <c r="E4557" t="s">
        <v>6132</v>
      </c>
    </row>
    <row r="4558" spans="1:5" x14ac:dyDescent="0.35">
      <c r="A4558" t="s">
        <v>49</v>
      </c>
      <c r="B4558" s="16">
        <v>45832</v>
      </c>
      <c r="C4558">
        <v>6.4</v>
      </c>
      <c r="D4558">
        <v>3</v>
      </c>
      <c r="E4558" t="s">
        <v>6132</v>
      </c>
    </row>
    <row r="4559" spans="1:5" x14ac:dyDescent="0.35">
      <c r="A4559" t="s">
        <v>49</v>
      </c>
      <c r="B4559" s="16">
        <v>45834</v>
      </c>
      <c r="C4559">
        <v>8.4</v>
      </c>
      <c r="D4559">
        <v>1</v>
      </c>
      <c r="E4559" t="s">
        <v>6132</v>
      </c>
    </row>
    <row r="4560" spans="1:5" x14ac:dyDescent="0.35">
      <c r="A4560" t="s">
        <v>49</v>
      </c>
      <c r="B4560" s="16">
        <v>45835</v>
      </c>
      <c r="C4560">
        <v>6.7</v>
      </c>
      <c r="D4560">
        <v>3</v>
      </c>
      <c r="E4560" t="s">
        <v>6132</v>
      </c>
    </row>
    <row r="4561" spans="1:5" x14ac:dyDescent="0.35">
      <c r="A4561" t="s">
        <v>49</v>
      </c>
      <c r="B4561" s="16">
        <v>45839</v>
      </c>
      <c r="C4561">
        <v>7.1</v>
      </c>
      <c r="D4561">
        <v>0</v>
      </c>
      <c r="E4561" t="s">
        <v>6132</v>
      </c>
    </row>
    <row r="4562" spans="1:5" x14ac:dyDescent="0.35">
      <c r="A4562" t="s">
        <v>49</v>
      </c>
      <c r="B4562" s="16">
        <v>45841</v>
      </c>
      <c r="C4562">
        <v>8.8000000000000007</v>
      </c>
      <c r="D4562">
        <v>0</v>
      </c>
      <c r="E4562" t="s">
        <v>6132</v>
      </c>
    </row>
    <row r="4563" spans="1:5" x14ac:dyDescent="0.35">
      <c r="A4563" t="s">
        <v>49</v>
      </c>
      <c r="B4563" s="16">
        <v>45842</v>
      </c>
      <c r="C4563">
        <v>5</v>
      </c>
      <c r="D4563">
        <v>3</v>
      </c>
      <c r="E4563" t="s">
        <v>6132</v>
      </c>
    </row>
    <row r="4564" spans="1:5" x14ac:dyDescent="0.35">
      <c r="A4564" t="s">
        <v>49</v>
      </c>
      <c r="B4564" s="16">
        <v>45845</v>
      </c>
      <c r="C4564">
        <v>6.5</v>
      </c>
      <c r="D4564">
        <v>2</v>
      </c>
      <c r="E4564" t="s">
        <v>6132</v>
      </c>
    </row>
    <row r="4565" spans="1:5" x14ac:dyDescent="0.35">
      <c r="A4565" t="s">
        <v>49</v>
      </c>
      <c r="B4565" s="16">
        <v>45846</v>
      </c>
      <c r="C4565">
        <v>8.5</v>
      </c>
      <c r="D4565">
        <v>0</v>
      </c>
      <c r="E4565" t="s">
        <v>6133</v>
      </c>
    </row>
    <row r="4566" spans="1:5" x14ac:dyDescent="0.35">
      <c r="A4566" t="s">
        <v>49</v>
      </c>
      <c r="B4566" s="16">
        <v>45847</v>
      </c>
      <c r="C4566">
        <v>7</v>
      </c>
      <c r="D4566">
        <v>0</v>
      </c>
      <c r="E4566" t="s">
        <v>6132</v>
      </c>
    </row>
    <row r="4567" spans="1:5" x14ac:dyDescent="0.35">
      <c r="A4567" t="s">
        <v>49</v>
      </c>
      <c r="B4567" s="16">
        <v>45854</v>
      </c>
      <c r="C4567">
        <v>7.2</v>
      </c>
      <c r="D4567">
        <v>0</v>
      </c>
      <c r="E4567" t="s">
        <v>6132</v>
      </c>
    </row>
    <row r="4568" spans="1:5" x14ac:dyDescent="0.35">
      <c r="A4568" t="s">
        <v>49</v>
      </c>
      <c r="B4568" s="16">
        <v>45856</v>
      </c>
      <c r="C4568">
        <v>4.9000000000000004</v>
      </c>
      <c r="D4568">
        <v>1</v>
      </c>
      <c r="E4568" t="s">
        <v>6132</v>
      </c>
    </row>
    <row r="4569" spans="1:5" x14ac:dyDescent="0.35">
      <c r="A4569" t="s">
        <v>49</v>
      </c>
      <c r="B4569" s="16">
        <v>45860</v>
      </c>
      <c r="C4569">
        <v>8.1</v>
      </c>
      <c r="D4569">
        <v>2</v>
      </c>
      <c r="E4569" t="s">
        <v>6132</v>
      </c>
    </row>
    <row r="4570" spans="1:5" x14ac:dyDescent="0.35">
      <c r="A4570" t="s">
        <v>49</v>
      </c>
      <c r="B4570" s="16">
        <v>45862</v>
      </c>
      <c r="C4570">
        <v>6.6</v>
      </c>
      <c r="D4570">
        <v>2</v>
      </c>
      <c r="E4570" t="s">
        <v>6132</v>
      </c>
    </row>
    <row r="4571" spans="1:5" x14ac:dyDescent="0.35">
      <c r="A4571" t="s">
        <v>49</v>
      </c>
      <c r="B4571" s="16">
        <v>45863</v>
      </c>
      <c r="C4571">
        <v>8.4</v>
      </c>
      <c r="D4571">
        <v>1</v>
      </c>
      <c r="E4571" t="s">
        <v>6132</v>
      </c>
    </row>
    <row r="4572" spans="1:5" x14ac:dyDescent="0.35">
      <c r="A4572" t="s">
        <v>49</v>
      </c>
      <c r="B4572" s="16">
        <v>45868</v>
      </c>
      <c r="C4572">
        <v>6.3</v>
      </c>
      <c r="D4572">
        <v>2</v>
      </c>
      <c r="E4572" t="s">
        <v>6132</v>
      </c>
    </row>
    <row r="4573" spans="1:5" x14ac:dyDescent="0.35">
      <c r="A4573" t="s">
        <v>49</v>
      </c>
      <c r="B4573" s="16">
        <v>45870</v>
      </c>
      <c r="C4573">
        <v>7.8</v>
      </c>
      <c r="D4573">
        <v>0</v>
      </c>
      <c r="E4573" t="s">
        <v>6132</v>
      </c>
    </row>
    <row r="4574" spans="1:5" x14ac:dyDescent="0.35">
      <c r="A4574" t="s">
        <v>49</v>
      </c>
      <c r="B4574" s="16">
        <v>45880</v>
      </c>
      <c r="C4574">
        <v>6.8</v>
      </c>
      <c r="D4574">
        <v>1</v>
      </c>
      <c r="E4574" t="s">
        <v>6132</v>
      </c>
    </row>
    <row r="4575" spans="1:5" x14ac:dyDescent="0.35">
      <c r="A4575" t="s">
        <v>49</v>
      </c>
      <c r="B4575" s="16">
        <v>45881</v>
      </c>
      <c r="C4575">
        <v>4.5999999999999996</v>
      </c>
      <c r="D4575">
        <v>2</v>
      </c>
      <c r="E4575" t="s">
        <v>6132</v>
      </c>
    </row>
    <row r="4576" spans="1:5" x14ac:dyDescent="0.35">
      <c r="A4576" t="s">
        <v>49</v>
      </c>
      <c r="B4576" s="16">
        <v>45887</v>
      </c>
      <c r="C4576">
        <v>6</v>
      </c>
      <c r="D4576">
        <v>2</v>
      </c>
      <c r="E4576" t="s">
        <v>6132</v>
      </c>
    </row>
    <row r="4577" spans="1:5" x14ac:dyDescent="0.35">
      <c r="A4577" t="s">
        <v>49</v>
      </c>
      <c r="B4577" s="16">
        <v>45889</v>
      </c>
      <c r="C4577">
        <v>7.6</v>
      </c>
      <c r="D4577">
        <v>2</v>
      </c>
      <c r="E4577" t="s">
        <v>6132</v>
      </c>
    </row>
    <row r="4578" spans="1:5" x14ac:dyDescent="0.35">
      <c r="A4578" t="s">
        <v>49</v>
      </c>
      <c r="B4578" s="16">
        <v>45891</v>
      </c>
      <c r="C4578">
        <v>8</v>
      </c>
      <c r="D4578">
        <v>1</v>
      </c>
      <c r="E4578" t="s">
        <v>6132</v>
      </c>
    </row>
    <row r="4579" spans="1:5" x14ac:dyDescent="0.35">
      <c r="A4579" t="s">
        <v>49</v>
      </c>
      <c r="B4579" s="16">
        <v>45894</v>
      </c>
      <c r="D4579">
        <v>0</v>
      </c>
      <c r="E4579" t="s">
        <v>6132</v>
      </c>
    </row>
    <row r="4580" spans="1:5" x14ac:dyDescent="0.35">
      <c r="A4580" t="s">
        <v>49</v>
      </c>
      <c r="B4580" s="16">
        <v>45897</v>
      </c>
      <c r="C4580">
        <v>7.5</v>
      </c>
      <c r="D4580">
        <v>0</v>
      </c>
      <c r="E4580" t="s">
        <v>6133</v>
      </c>
    </row>
    <row r="4581" spans="1:5" x14ac:dyDescent="0.35">
      <c r="A4581" t="s">
        <v>49</v>
      </c>
      <c r="B4581" s="16">
        <v>45903</v>
      </c>
      <c r="C4581">
        <v>7</v>
      </c>
      <c r="D4581">
        <v>0</v>
      </c>
      <c r="E4581" t="s">
        <v>6132</v>
      </c>
    </row>
    <row r="4582" spans="1:5" x14ac:dyDescent="0.35">
      <c r="A4582" t="s">
        <v>49</v>
      </c>
      <c r="B4582" s="16">
        <v>45905</v>
      </c>
      <c r="C4582">
        <v>6.5</v>
      </c>
      <c r="D4582">
        <v>4</v>
      </c>
      <c r="E4582" t="s">
        <v>6132</v>
      </c>
    </row>
    <row r="4583" spans="1:5" x14ac:dyDescent="0.35">
      <c r="A4583" t="s">
        <v>49</v>
      </c>
      <c r="B4583" s="16">
        <v>45910</v>
      </c>
      <c r="C4583">
        <v>8.8000000000000007</v>
      </c>
      <c r="D4583">
        <v>0</v>
      </c>
      <c r="E4583" t="s">
        <v>6132</v>
      </c>
    </row>
    <row r="4584" spans="1:5" x14ac:dyDescent="0.35">
      <c r="A4584" t="s">
        <v>49</v>
      </c>
      <c r="B4584" s="16">
        <v>45911</v>
      </c>
      <c r="C4584">
        <v>5.5</v>
      </c>
      <c r="D4584">
        <v>1</v>
      </c>
      <c r="E4584" t="s">
        <v>6132</v>
      </c>
    </row>
    <row r="4585" spans="1:5" x14ac:dyDescent="0.35">
      <c r="A4585" t="s">
        <v>49</v>
      </c>
      <c r="B4585" s="16">
        <v>45915</v>
      </c>
      <c r="C4585">
        <v>8</v>
      </c>
      <c r="D4585">
        <v>1</v>
      </c>
      <c r="E4585" t="s">
        <v>6132</v>
      </c>
    </row>
    <row r="4586" spans="1:5" x14ac:dyDescent="0.35">
      <c r="A4586" t="s">
        <v>49</v>
      </c>
      <c r="B4586" s="16">
        <v>45916</v>
      </c>
      <c r="C4586">
        <v>5.9</v>
      </c>
      <c r="D4586">
        <v>1</v>
      </c>
      <c r="E4586" t="s">
        <v>6132</v>
      </c>
    </row>
    <row r="4587" spans="1:5" x14ac:dyDescent="0.35">
      <c r="A4587" t="s">
        <v>49</v>
      </c>
      <c r="B4587" s="16">
        <v>45918</v>
      </c>
      <c r="C4587">
        <v>8.3000000000000007</v>
      </c>
      <c r="D4587">
        <v>1</v>
      </c>
      <c r="E4587" t="s">
        <v>6132</v>
      </c>
    </row>
    <row r="4588" spans="1:5" x14ac:dyDescent="0.35">
      <c r="A4588" t="s">
        <v>49</v>
      </c>
      <c r="B4588" s="16">
        <v>45919</v>
      </c>
      <c r="C4588">
        <v>4.9000000000000004</v>
      </c>
      <c r="D4588">
        <v>0</v>
      </c>
      <c r="E4588" t="s">
        <v>6132</v>
      </c>
    </row>
    <row r="4589" spans="1:5" x14ac:dyDescent="0.35">
      <c r="A4589" t="s">
        <v>49</v>
      </c>
      <c r="B4589" s="16">
        <v>45922</v>
      </c>
      <c r="C4589">
        <v>6.2</v>
      </c>
      <c r="D4589">
        <v>3</v>
      </c>
      <c r="E4589" t="s">
        <v>6132</v>
      </c>
    </row>
    <row r="4590" spans="1:5" x14ac:dyDescent="0.35">
      <c r="A4590" t="s">
        <v>49</v>
      </c>
      <c r="B4590" s="16">
        <v>45923</v>
      </c>
      <c r="C4590">
        <v>4.5</v>
      </c>
      <c r="D4590">
        <v>5</v>
      </c>
      <c r="E4590" t="s">
        <v>6132</v>
      </c>
    </row>
    <row r="4591" spans="1:5" x14ac:dyDescent="0.35">
      <c r="A4591" t="s">
        <v>49</v>
      </c>
      <c r="B4591" s="16">
        <v>45929</v>
      </c>
      <c r="C4591">
        <v>6.5</v>
      </c>
      <c r="D4591">
        <v>1</v>
      </c>
      <c r="E4591" t="s">
        <v>6132</v>
      </c>
    </row>
    <row r="4592" spans="1:5" x14ac:dyDescent="0.35">
      <c r="A4592" t="s">
        <v>49</v>
      </c>
      <c r="B4592" s="16">
        <v>45931</v>
      </c>
      <c r="C4592">
        <v>6.3</v>
      </c>
      <c r="D4592">
        <v>0</v>
      </c>
      <c r="E4592" t="s">
        <v>6134</v>
      </c>
    </row>
    <row r="4593" spans="1:5" x14ac:dyDescent="0.35">
      <c r="A4593" t="s">
        <v>49</v>
      </c>
      <c r="B4593" s="16">
        <v>45933</v>
      </c>
      <c r="C4593">
        <v>7.3</v>
      </c>
      <c r="D4593">
        <v>0</v>
      </c>
      <c r="E4593" t="s">
        <v>6133</v>
      </c>
    </row>
    <row r="4594" spans="1:5" x14ac:dyDescent="0.35">
      <c r="A4594" t="s">
        <v>49</v>
      </c>
      <c r="B4594" s="16">
        <v>45938</v>
      </c>
      <c r="C4594">
        <v>4.9000000000000004</v>
      </c>
      <c r="D4594">
        <v>1</v>
      </c>
      <c r="E4594" t="s">
        <v>6132</v>
      </c>
    </row>
    <row r="4595" spans="1:5" x14ac:dyDescent="0.35">
      <c r="A4595" t="s">
        <v>49</v>
      </c>
      <c r="B4595" s="16">
        <v>45940</v>
      </c>
      <c r="C4595">
        <v>8.1999999999999993</v>
      </c>
      <c r="D4595">
        <v>2</v>
      </c>
      <c r="E4595" t="s">
        <v>6132</v>
      </c>
    </row>
    <row r="4596" spans="1:5" x14ac:dyDescent="0.35">
      <c r="A4596" t="s">
        <v>49</v>
      </c>
      <c r="B4596" s="16">
        <v>45946</v>
      </c>
      <c r="C4596">
        <v>5.6</v>
      </c>
      <c r="D4596">
        <v>0</v>
      </c>
      <c r="E4596" t="s">
        <v>6133</v>
      </c>
    </row>
    <row r="4597" spans="1:5" x14ac:dyDescent="0.35">
      <c r="A4597" t="s">
        <v>49</v>
      </c>
      <c r="B4597" s="16">
        <v>45952</v>
      </c>
      <c r="C4597">
        <v>4.7</v>
      </c>
      <c r="D4597">
        <v>1</v>
      </c>
      <c r="E4597" t="s">
        <v>6132</v>
      </c>
    </row>
    <row r="4598" spans="1:5" x14ac:dyDescent="0.35">
      <c r="A4598" t="s">
        <v>49</v>
      </c>
      <c r="B4598" s="16">
        <v>45957</v>
      </c>
      <c r="C4598">
        <v>4.7</v>
      </c>
      <c r="D4598">
        <v>1</v>
      </c>
      <c r="E4598" t="s">
        <v>6132</v>
      </c>
    </row>
    <row r="4599" spans="1:5" x14ac:dyDescent="0.35">
      <c r="A4599" t="s">
        <v>49</v>
      </c>
      <c r="B4599" s="16">
        <v>45964</v>
      </c>
      <c r="C4599">
        <v>8.8000000000000007</v>
      </c>
      <c r="D4599">
        <v>0</v>
      </c>
      <c r="E4599" t="s">
        <v>6132</v>
      </c>
    </row>
    <row r="4600" spans="1:5" x14ac:dyDescent="0.35">
      <c r="A4600" t="s">
        <v>49</v>
      </c>
      <c r="B4600" s="16">
        <v>45966</v>
      </c>
      <c r="C4600">
        <v>7.3</v>
      </c>
      <c r="D4600">
        <v>2</v>
      </c>
      <c r="E4600" t="s">
        <v>6132</v>
      </c>
    </row>
    <row r="4601" spans="1:5" x14ac:dyDescent="0.35">
      <c r="A4601" t="s">
        <v>49</v>
      </c>
      <c r="B4601" s="16">
        <v>45967</v>
      </c>
      <c r="C4601">
        <v>8.6</v>
      </c>
      <c r="D4601">
        <v>0</v>
      </c>
      <c r="E4601" t="s">
        <v>6132</v>
      </c>
    </row>
    <row r="4602" spans="1:5" x14ac:dyDescent="0.35">
      <c r="A4602" t="s">
        <v>49</v>
      </c>
      <c r="B4602" s="16">
        <v>45971</v>
      </c>
      <c r="C4602">
        <v>6.1</v>
      </c>
      <c r="D4602">
        <v>0</v>
      </c>
      <c r="E4602" t="s">
        <v>6132</v>
      </c>
    </row>
    <row r="4603" spans="1:5" x14ac:dyDescent="0.35">
      <c r="A4603" t="s">
        <v>49</v>
      </c>
      <c r="B4603" s="16">
        <v>45972</v>
      </c>
      <c r="C4603">
        <v>4.7</v>
      </c>
      <c r="D4603">
        <v>0</v>
      </c>
      <c r="E4603" t="s">
        <v>6133</v>
      </c>
    </row>
    <row r="4604" spans="1:5" x14ac:dyDescent="0.35">
      <c r="A4604" t="s">
        <v>49</v>
      </c>
      <c r="B4604" s="16">
        <v>45974</v>
      </c>
      <c r="C4604">
        <v>6.7</v>
      </c>
      <c r="D4604">
        <v>0</v>
      </c>
      <c r="E4604" t="s">
        <v>6132</v>
      </c>
    </row>
    <row r="4605" spans="1:5" x14ac:dyDescent="0.35">
      <c r="A4605" t="s">
        <v>49</v>
      </c>
      <c r="B4605" s="16">
        <v>45978</v>
      </c>
      <c r="C4605">
        <v>7.1</v>
      </c>
      <c r="D4605">
        <v>1</v>
      </c>
      <c r="E4605" t="s">
        <v>6132</v>
      </c>
    </row>
    <row r="4606" spans="1:5" x14ac:dyDescent="0.35">
      <c r="A4606" t="s">
        <v>49</v>
      </c>
      <c r="B4606" s="16">
        <v>45980</v>
      </c>
      <c r="D4606">
        <v>0</v>
      </c>
      <c r="E4606" t="s">
        <v>6132</v>
      </c>
    </row>
    <row r="4607" spans="1:5" x14ac:dyDescent="0.35">
      <c r="A4607" t="s">
        <v>49</v>
      </c>
      <c r="B4607" s="16">
        <v>45981</v>
      </c>
      <c r="C4607">
        <v>4.0999999999999996</v>
      </c>
      <c r="D4607">
        <v>1</v>
      </c>
      <c r="E4607" t="s">
        <v>6132</v>
      </c>
    </row>
    <row r="4608" spans="1:5" x14ac:dyDescent="0.35">
      <c r="A4608" t="s">
        <v>49</v>
      </c>
      <c r="B4608" s="16">
        <v>45985</v>
      </c>
      <c r="C4608">
        <v>6.3</v>
      </c>
      <c r="D4608">
        <v>2</v>
      </c>
      <c r="E4608" t="s">
        <v>6132</v>
      </c>
    </row>
    <row r="4609" spans="1:5" x14ac:dyDescent="0.35">
      <c r="A4609" t="s">
        <v>49</v>
      </c>
      <c r="B4609" s="16">
        <v>45986</v>
      </c>
      <c r="C4609">
        <v>8</v>
      </c>
      <c r="D4609">
        <v>3</v>
      </c>
      <c r="E4609" t="s">
        <v>6132</v>
      </c>
    </row>
    <row r="4610" spans="1:5" x14ac:dyDescent="0.35">
      <c r="A4610" t="s">
        <v>49</v>
      </c>
      <c r="B4610" s="16">
        <v>45989</v>
      </c>
      <c r="C4610">
        <v>7.4</v>
      </c>
      <c r="D4610">
        <v>1</v>
      </c>
      <c r="E4610" t="s">
        <v>6132</v>
      </c>
    </row>
    <row r="4611" spans="1:5" x14ac:dyDescent="0.35">
      <c r="A4611" t="s">
        <v>49</v>
      </c>
      <c r="B4611" s="16">
        <v>45992</v>
      </c>
      <c r="C4611">
        <v>4.8</v>
      </c>
      <c r="D4611">
        <v>0</v>
      </c>
      <c r="E4611" t="s">
        <v>6134</v>
      </c>
    </row>
    <row r="4612" spans="1:5" x14ac:dyDescent="0.35">
      <c r="A4612" t="s">
        <v>49</v>
      </c>
      <c r="B4612" s="16">
        <v>45994</v>
      </c>
      <c r="C4612">
        <v>6.8</v>
      </c>
      <c r="D4612">
        <v>0</v>
      </c>
      <c r="E4612" t="s">
        <v>6133</v>
      </c>
    </row>
    <row r="4613" spans="1:5" x14ac:dyDescent="0.35">
      <c r="A4613" t="s">
        <v>49</v>
      </c>
      <c r="B4613" s="16">
        <v>45995</v>
      </c>
      <c r="C4613">
        <v>7.4</v>
      </c>
      <c r="D4613">
        <v>0</v>
      </c>
      <c r="E4613" t="s">
        <v>6132</v>
      </c>
    </row>
    <row r="4614" spans="1:5" x14ac:dyDescent="0.35">
      <c r="A4614" t="s">
        <v>49</v>
      </c>
      <c r="B4614" s="16">
        <v>45996</v>
      </c>
      <c r="C4614">
        <v>6</v>
      </c>
      <c r="D4614">
        <v>4</v>
      </c>
      <c r="E4614" t="s">
        <v>6132</v>
      </c>
    </row>
    <row r="4615" spans="1:5" x14ac:dyDescent="0.35">
      <c r="A4615" t="s">
        <v>49</v>
      </c>
      <c r="B4615" s="16">
        <v>45999</v>
      </c>
      <c r="C4615">
        <v>4.0999999999999996</v>
      </c>
      <c r="D4615">
        <v>0</v>
      </c>
      <c r="E4615" t="s">
        <v>6132</v>
      </c>
    </row>
    <row r="4616" spans="1:5" x14ac:dyDescent="0.35">
      <c r="A4616" t="s">
        <v>49</v>
      </c>
      <c r="B4616" s="16">
        <v>46000</v>
      </c>
      <c r="C4616">
        <v>7.7</v>
      </c>
      <c r="D4616">
        <v>1</v>
      </c>
      <c r="E4616" t="s">
        <v>6132</v>
      </c>
    </row>
    <row r="4617" spans="1:5" x14ac:dyDescent="0.35">
      <c r="A4617" t="s">
        <v>49</v>
      </c>
      <c r="B4617" s="16">
        <v>46001</v>
      </c>
      <c r="C4617">
        <v>4.9000000000000004</v>
      </c>
      <c r="D4617">
        <v>0</v>
      </c>
      <c r="E4617" t="s">
        <v>6132</v>
      </c>
    </row>
    <row r="4618" spans="1:5" x14ac:dyDescent="0.35">
      <c r="A4618" t="s">
        <v>49</v>
      </c>
      <c r="B4618" s="16">
        <v>46003</v>
      </c>
      <c r="D4618">
        <v>0</v>
      </c>
      <c r="E4618" t="s">
        <v>6134</v>
      </c>
    </row>
    <row r="4619" spans="1:5" x14ac:dyDescent="0.35">
      <c r="A4619" t="s">
        <v>49</v>
      </c>
      <c r="B4619" s="16">
        <v>46006</v>
      </c>
      <c r="D4619">
        <v>1</v>
      </c>
      <c r="E4619" t="s">
        <v>6132</v>
      </c>
    </row>
    <row r="4620" spans="1:5" x14ac:dyDescent="0.35">
      <c r="A4620" t="s">
        <v>49</v>
      </c>
      <c r="B4620" s="16">
        <v>46007</v>
      </c>
      <c r="C4620">
        <v>5.7</v>
      </c>
      <c r="D4620">
        <v>2</v>
      </c>
      <c r="E4620" t="s">
        <v>6132</v>
      </c>
    </row>
    <row r="4621" spans="1:5" x14ac:dyDescent="0.35">
      <c r="A4621" t="s">
        <v>49</v>
      </c>
      <c r="B4621" s="16">
        <v>46008</v>
      </c>
      <c r="C4621">
        <v>7.5</v>
      </c>
      <c r="D4621">
        <v>2</v>
      </c>
      <c r="E4621" t="s">
        <v>6132</v>
      </c>
    </row>
    <row r="4622" spans="1:5" x14ac:dyDescent="0.35">
      <c r="A4622" t="s">
        <v>49</v>
      </c>
      <c r="B4622" s="16">
        <v>46009</v>
      </c>
      <c r="C4622">
        <v>7.7</v>
      </c>
      <c r="D4622">
        <v>0</v>
      </c>
      <c r="E4622" t="s">
        <v>6132</v>
      </c>
    </row>
    <row r="4623" spans="1:5" x14ac:dyDescent="0.35">
      <c r="A4623" t="s">
        <v>49</v>
      </c>
      <c r="B4623" s="16">
        <v>46010</v>
      </c>
      <c r="C4623">
        <v>7.3</v>
      </c>
      <c r="D4623">
        <v>0</v>
      </c>
      <c r="E4623" t="s">
        <v>6133</v>
      </c>
    </row>
    <row r="4624" spans="1:5" x14ac:dyDescent="0.35">
      <c r="A4624" t="s">
        <v>49</v>
      </c>
      <c r="B4624" s="16">
        <v>46013</v>
      </c>
      <c r="C4624">
        <v>9</v>
      </c>
      <c r="D4624">
        <v>0</v>
      </c>
      <c r="E4624" t="s">
        <v>6132</v>
      </c>
    </row>
    <row r="4625" spans="1:5" x14ac:dyDescent="0.35">
      <c r="A4625" t="s">
        <v>49</v>
      </c>
      <c r="B4625" s="16">
        <v>46014</v>
      </c>
      <c r="C4625">
        <v>5.7</v>
      </c>
      <c r="D4625">
        <v>1</v>
      </c>
      <c r="E4625" t="s">
        <v>6132</v>
      </c>
    </row>
    <row r="4626" spans="1:5" x14ac:dyDescent="0.35">
      <c r="A4626" t="s">
        <v>49</v>
      </c>
      <c r="B4626" s="16">
        <v>46015</v>
      </c>
      <c r="D4626">
        <v>2</v>
      </c>
      <c r="E4626" t="s">
        <v>6132</v>
      </c>
    </row>
    <row r="4627" spans="1:5" x14ac:dyDescent="0.35">
      <c r="A4627" t="s">
        <v>49</v>
      </c>
      <c r="B4627" s="16">
        <v>46016</v>
      </c>
      <c r="C4627">
        <v>4.2</v>
      </c>
      <c r="D4627">
        <v>2</v>
      </c>
      <c r="E4627" t="s">
        <v>6132</v>
      </c>
    </row>
    <row r="4628" spans="1:5" x14ac:dyDescent="0.35">
      <c r="A4628" t="s">
        <v>49</v>
      </c>
      <c r="B4628" s="16">
        <v>46017</v>
      </c>
      <c r="C4628">
        <v>8.8000000000000007</v>
      </c>
      <c r="D4628">
        <v>2</v>
      </c>
      <c r="E4628" t="s">
        <v>6132</v>
      </c>
    </row>
    <row r="4629" spans="1:5" x14ac:dyDescent="0.35">
      <c r="A4629" t="s">
        <v>49</v>
      </c>
      <c r="B4629" s="16">
        <v>46020</v>
      </c>
      <c r="C4629">
        <v>5.9</v>
      </c>
      <c r="D4629">
        <v>1</v>
      </c>
      <c r="E4629" t="s">
        <v>6132</v>
      </c>
    </row>
    <row r="4630" spans="1:5" x14ac:dyDescent="0.35">
      <c r="A4630" t="s">
        <v>92</v>
      </c>
      <c r="B4630" s="16">
        <v>45658</v>
      </c>
      <c r="C4630">
        <v>4.5</v>
      </c>
      <c r="D4630">
        <v>4</v>
      </c>
      <c r="E4630" t="s">
        <v>6132</v>
      </c>
    </row>
    <row r="4631" spans="1:5" x14ac:dyDescent="0.35">
      <c r="A4631" t="s">
        <v>92</v>
      </c>
      <c r="B4631" s="16">
        <v>45660</v>
      </c>
      <c r="C4631">
        <v>8.6</v>
      </c>
      <c r="D4631">
        <v>0</v>
      </c>
      <c r="E4631" t="s">
        <v>6132</v>
      </c>
    </row>
    <row r="4632" spans="1:5" x14ac:dyDescent="0.35">
      <c r="A4632" t="s">
        <v>92</v>
      </c>
      <c r="B4632" s="16">
        <v>45663</v>
      </c>
      <c r="C4632">
        <v>7.7</v>
      </c>
      <c r="D4632">
        <v>0</v>
      </c>
      <c r="E4632" t="s">
        <v>6132</v>
      </c>
    </row>
    <row r="4633" spans="1:5" x14ac:dyDescent="0.35">
      <c r="A4633" t="s">
        <v>92</v>
      </c>
      <c r="B4633" s="16">
        <v>45665</v>
      </c>
      <c r="C4633">
        <v>8.8000000000000007</v>
      </c>
      <c r="D4633">
        <v>0</v>
      </c>
      <c r="E4633" t="s">
        <v>6132</v>
      </c>
    </row>
    <row r="4634" spans="1:5" x14ac:dyDescent="0.35">
      <c r="A4634" t="s">
        <v>92</v>
      </c>
      <c r="B4634" s="16">
        <v>45666</v>
      </c>
      <c r="C4634">
        <v>7.8</v>
      </c>
      <c r="D4634">
        <v>1</v>
      </c>
      <c r="E4634" t="s">
        <v>6132</v>
      </c>
    </row>
    <row r="4635" spans="1:5" x14ac:dyDescent="0.35">
      <c r="A4635" t="s">
        <v>92</v>
      </c>
      <c r="B4635" s="16">
        <v>45667</v>
      </c>
      <c r="C4635">
        <v>8.6999999999999993</v>
      </c>
      <c r="D4635">
        <v>2</v>
      </c>
      <c r="E4635" t="s">
        <v>6132</v>
      </c>
    </row>
    <row r="4636" spans="1:5" x14ac:dyDescent="0.35">
      <c r="A4636" t="s">
        <v>92</v>
      </c>
      <c r="B4636" s="16">
        <v>45670</v>
      </c>
      <c r="C4636">
        <v>4.5</v>
      </c>
      <c r="D4636">
        <v>2</v>
      </c>
      <c r="E4636" t="s">
        <v>6132</v>
      </c>
    </row>
    <row r="4637" spans="1:5" x14ac:dyDescent="0.35">
      <c r="A4637" t="s">
        <v>92</v>
      </c>
      <c r="B4637" s="16">
        <v>45671</v>
      </c>
      <c r="C4637">
        <v>8</v>
      </c>
      <c r="D4637">
        <v>0</v>
      </c>
      <c r="E4637" t="s">
        <v>6133</v>
      </c>
    </row>
    <row r="4638" spans="1:5" x14ac:dyDescent="0.35">
      <c r="A4638" t="s">
        <v>92</v>
      </c>
      <c r="B4638" s="16">
        <v>45674</v>
      </c>
      <c r="D4638">
        <v>0</v>
      </c>
      <c r="E4638" t="s">
        <v>6133</v>
      </c>
    </row>
    <row r="4639" spans="1:5" x14ac:dyDescent="0.35">
      <c r="A4639" t="s">
        <v>92</v>
      </c>
      <c r="B4639" s="16">
        <v>45678</v>
      </c>
      <c r="C4639">
        <v>8.1999999999999993</v>
      </c>
      <c r="D4639">
        <v>0</v>
      </c>
      <c r="E4639" t="s">
        <v>6132</v>
      </c>
    </row>
    <row r="4640" spans="1:5" x14ac:dyDescent="0.35">
      <c r="A4640" t="s">
        <v>92</v>
      </c>
      <c r="B4640" s="16">
        <v>45679</v>
      </c>
      <c r="C4640">
        <v>4.9000000000000004</v>
      </c>
      <c r="D4640">
        <v>0</v>
      </c>
      <c r="E4640" t="s">
        <v>6132</v>
      </c>
    </row>
    <row r="4641" spans="1:5" x14ac:dyDescent="0.35">
      <c r="A4641" t="s">
        <v>92</v>
      </c>
      <c r="B4641" s="16">
        <v>45681</v>
      </c>
      <c r="C4641">
        <v>7.3</v>
      </c>
      <c r="D4641">
        <v>1</v>
      </c>
      <c r="E4641" t="s">
        <v>6132</v>
      </c>
    </row>
    <row r="4642" spans="1:5" x14ac:dyDescent="0.35">
      <c r="A4642" t="s">
        <v>92</v>
      </c>
      <c r="B4642" s="16">
        <v>45685</v>
      </c>
      <c r="C4642">
        <v>7.7</v>
      </c>
      <c r="D4642">
        <v>0</v>
      </c>
      <c r="E4642" t="s">
        <v>6132</v>
      </c>
    </row>
    <row r="4643" spans="1:5" x14ac:dyDescent="0.35">
      <c r="A4643" t="s">
        <v>92</v>
      </c>
      <c r="B4643" s="16">
        <v>45686</v>
      </c>
      <c r="C4643">
        <v>7.8</v>
      </c>
      <c r="D4643">
        <v>1</v>
      </c>
      <c r="E4643" t="s">
        <v>6132</v>
      </c>
    </row>
    <row r="4644" spans="1:5" x14ac:dyDescent="0.35">
      <c r="A4644" t="s">
        <v>92</v>
      </c>
      <c r="B4644" s="16">
        <v>45687</v>
      </c>
      <c r="C4644">
        <v>5.4</v>
      </c>
      <c r="D4644">
        <v>1</v>
      </c>
      <c r="E4644" t="s">
        <v>6132</v>
      </c>
    </row>
    <row r="4645" spans="1:5" x14ac:dyDescent="0.35">
      <c r="A4645" t="s">
        <v>92</v>
      </c>
      <c r="B4645" s="16">
        <v>45688</v>
      </c>
      <c r="C4645">
        <v>8.6999999999999993</v>
      </c>
      <c r="D4645">
        <v>0</v>
      </c>
      <c r="E4645" t="s">
        <v>6133</v>
      </c>
    </row>
    <row r="4646" spans="1:5" x14ac:dyDescent="0.35">
      <c r="A4646" t="s">
        <v>92</v>
      </c>
      <c r="B4646" s="16">
        <v>45692</v>
      </c>
      <c r="D4646">
        <v>1</v>
      </c>
      <c r="E4646" t="s">
        <v>6132</v>
      </c>
    </row>
    <row r="4647" spans="1:5" x14ac:dyDescent="0.35">
      <c r="A4647" t="s">
        <v>92</v>
      </c>
      <c r="B4647" s="16">
        <v>45695</v>
      </c>
      <c r="C4647">
        <v>6.5</v>
      </c>
      <c r="D4647">
        <v>1</v>
      </c>
      <c r="E4647" t="s">
        <v>6132</v>
      </c>
    </row>
    <row r="4648" spans="1:5" x14ac:dyDescent="0.35">
      <c r="A4648" t="s">
        <v>92</v>
      </c>
      <c r="B4648" s="16">
        <v>45700</v>
      </c>
      <c r="C4648">
        <v>9</v>
      </c>
      <c r="D4648">
        <v>1</v>
      </c>
      <c r="E4648" t="s">
        <v>6132</v>
      </c>
    </row>
    <row r="4649" spans="1:5" x14ac:dyDescent="0.35">
      <c r="A4649" t="s">
        <v>92</v>
      </c>
      <c r="B4649" s="16">
        <v>45702</v>
      </c>
      <c r="D4649">
        <v>1</v>
      </c>
      <c r="E4649" t="s">
        <v>6132</v>
      </c>
    </row>
    <row r="4650" spans="1:5" x14ac:dyDescent="0.35">
      <c r="A4650" t="s">
        <v>92</v>
      </c>
      <c r="B4650" s="16">
        <v>45706</v>
      </c>
      <c r="C4650">
        <v>5.8</v>
      </c>
      <c r="D4650">
        <v>3</v>
      </c>
      <c r="E4650" t="s">
        <v>6132</v>
      </c>
    </row>
    <row r="4651" spans="1:5" x14ac:dyDescent="0.35">
      <c r="A4651" t="s">
        <v>92</v>
      </c>
      <c r="B4651" s="16">
        <v>45708</v>
      </c>
      <c r="C4651">
        <v>4.9000000000000004</v>
      </c>
      <c r="D4651">
        <v>1</v>
      </c>
      <c r="E4651" t="s">
        <v>6132</v>
      </c>
    </row>
    <row r="4652" spans="1:5" x14ac:dyDescent="0.35">
      <c r="A4652" t="s">
        <v>92</v>
      </c>
      <c r="B4652" s="16">
        <v>45714</v>
      </c>
      <c r="C4652">
        <v>5.6</v>
      </c>
      <c r="D4652">
        <v>0</v>
      </c>
      <c r="E4652" t="s">
        <v>6132</v>
      </c>
    </row>
    <row r="4653" spans="1:5" x14ac:dyDescent="0.35">
      <c r="A4653" t="s">
        <v>92</v>
      </c>
      <c r="B4653" s="16">
        <v>45719</v>
      </c>
      <c r="C4653">
        <v>5.5</v>
      </c>
      <c r="D4653">
        <v>0</v>
      </c>
      <c r="E4653" t="s">
        <v>6132</v>
      </c>
    </row>
    <row r="4654" spans="1:5" x14ac:dyDescent="0.35">
      <c r="A4654" t="s">
        <v>92</v>
      </c>
      <c r="B4654" s="16">
        <v>45729</v>
      </c>
      <c r="C4654">
        <v>7</v>
      </c>
      <c r="D4654">
        <v>0</v>
      </c>
      <c r="E4654" t="s">
        <v>6132</v>
      </c>
    </row>
    <row r="4655" spans="1:5" x14ac:dyDescent="0.35">
      <c r="A4655" t="s">
        <v>92</v>
      </c>
      <c r="B4655" s="16">
        <v>45730</v>
      </c>
      <c r="C4655">
        <v>4.0999999999999996</v>
      </c>
      <c r="D4655">
        <v>2</v>
      </c>
      <c r="E4655" t="s">
        <v>6132</v>
      </c>
    </row>
    <row r="4656" spans="1:5" x14ac:dyDescent="0.35">
      <c r="A4656" t="s">
        <v>92</v>
      </c>
      <c r="B4656" s="16">
        <v>45735</v>
      </c>
      <c r="C4656">
        <v>6.1</v>
      </c>
      <c r="D4656">
        <v>0</v>
      </c>
      <c r="E4656" t="s">
        <v>6132</v>
      </c>
    </row>
    <row r="4657" spans="1:5" x14ac:dyDescent="0.35">
      <c r="A4657" t="s">
        <v>92</v>
      </c>
      <c r="B4657" s="16">
        <v>45736</v>
      </c>
      <c r="C4657">
        <v>6.7</v>
      </c>
      <c r="D4657">
        <v>0</v>
      </c>
      <c r="E4657" t="s">
        <v>6132</v>
      </c>
    </row>
    <row r="4658" spans="1:5" x14ac:dyDescent="0.35">
      <c r="A4658" t="s">
        <v>92</v>
      </c>
      <c r="B4658" s="16">
        <v>45741</v>
      </c>
      <c r="C4658">
        <v>8.1</v>
      </c>
      <c r="D4658">
        <v>1</v>
      </c>
      <c r="E4658" t="s">
        <v>6132</v>
      </c>
    </row>
    <row r="4659" spans="1:5" x14ac:dyDescent="0.35">
      <c r="A4659" t="s">
        <v>92</v>
      </c>
      <c r="B4659" s="16">
        <v>45744</v>
      </c>
      <c r="C4659">
        <v>4.8</v>
      </c>
      <c r="D4659">
        <v>1</v>
      </c>
      <c r="E4659" t="s">
        <v>6132</v>
      </c>
    </row>
    <row r="4660" spans="1:5" x14ac:dyDescent="0.35">
      <c r="A4660" t="s">
        <v>92</v>
      </c>
      <c r="B4660" s="16">
        <v>45751</v>
      </c>
      <c r="C4660">
        <v>8</v>
      </c>
      <c r="D4660">
        <v>2</v>
      </c>
      <c r="E4660" t="s">
        <v>6132</v>
      </c>
    </row>
    <row r="4661" spans="1:5" x14ac:dyDescent="0.35">
      <c r="A4661" t="s">
        <v>92</v>
      </c>
      <c r="B4661" s="16">
        <v>45754</v>
      </c>
      <c r="C4661">
        <v>9</v>
      </c>
      <c r="D4661">
        <v>0</v>
      </c>
      <c r="E4661" t="s">
        <v>6132</v>
      </c>
    </row>
    <row r="4662" spans="1:5" x14ac:dyDescent="0.35">
      <c r="A4662" t="s">
        <v>92</v>
      </c>
      <c r="B4662" s="16">
        <v>45755</v>
      </c>
      <c r="C4662">
        <v>7.9</v>
      </c>
      <c r="D4662">
        <v>1</v>
      </c>
      <c r="E4662" t="s">
        <v>6132</v>
      </c>
    </row>
    <row r="4663" spans="1:5" x14ac:dyDescent="0.35">
      <c r="A4663" t="s">
        <v>92</v>
      </c>
      <c r="B4663" s="16">
        <v>45757</v>
      </c>
      <c r="C4663">
        <v>7.7</v>
      </c>
      <c r="D4663">
        <v>0</v>
      </c>
      <c r="E4663" t="s">
        <v>6132</v>
      </c>
    </row>
    <row r="4664" spans="1:5" x14ac:dyDescent="0.35">
      <c r="A4664" t="s">
        <v>92</v>
      </c>
      <c r="B4664" s="16">
        <v>45758</v>
      </c>
      <c r="C4664">
        <v>6.3</v>
      </c>
      <c r="D4664">
        <v>1</v>
      </c>
      <c r="E4664" t="s">
        <v>6132</v>
      </c>
    </row>
    <row r="4665" spans="1:5" x14ac:dyDescent="0.35">
      <c r="A4665" t="s">
        <v>92</v>
      </c>
      <c r="B4665" s="16">
        <v>45763</v>
      </c>
      <c r="C4665">
        <v>7.3</v>
      </c>
      <c r="D4665">
        <v>1</v>
      </c>
      <c r="E4665" t="s">
        <v>6132</v>
      </c>
    </row>
    <row r="4666" spans="1:5" x14ac:dyDescent="0.35">
      <c r="A4666" t="s">
        <v>92</v>
      </c>
      <c r="B4666" s="16">
        <v>45769</v>
      </c>
      <c r="C4666">
        <v>6.7</v>
      </c>
      <c r="D4666">
        <v>0</v>
      </c>
      <c r="E4666" t="s">
        <v>6132</v>
      </c>
    </row>
    <row r="4667" spans="1:5" x14ac:dyDescent="0.35">
      <c r="A4667" t="s">
        <v>92</v>
      </c>
      <c r="B4667" s="16">
        <v>45770</v>
      </c>
      <c r="C4667">
        <v>9</v>
      </c>
      <c r="D4667">
        <v>0</v>
      </c>
      <c r="E4667" t="s">
        <v>6133</v>
      </c>
    </row>
    <row r="4668" spans="1:5" x14ac:dyDescent="0.35">
      <c r="A4668" t="s">
        <v>92</v>
      </c>
      <c r="B4668" s="16">
        <v>45778</v>
      </c>
      <c r="C4668">
        <v>5.0999999999999996</v>
      </c>
      <c r="D4668">
        <v>0</v>
      </c>
      <c r="E4668" t="s">
        <v>6132</v>
      </c>
    </row>
    <row r="4669" spans="1:5" x14ac:dyDescent="0.35">
      <c r="A4669" t="s">
        <v>92</v>
      </c>
      <c r="B4669" s="16">
        <v>45779</v>
      </c>
      <c r="C4669">
        <v>7.5</v>
      </c>
      <c r="D4669">
        <v>2</v>
      </c>
      <c r="E4669" t="s">
        <v>6132</v>
      </c>
    </row>
    <row r="4670" spans="1:5" x14ac:dyDescent="0.35">
      <c r="A4670" t="s">
        <v>92</v>
      </c>
      <c r="B4670" s="16">
        <v>45790</v>
      </c>
      <c r="C4670">
        <v>4.5999999999999996</v>
      </c>
      <c r="D4670">
        <v>0</v>
      </c>
      <c r="E4670" t="s">
        <v>6132</v>
      </c>
    </row>
    <row r="4671" spans="1:5" x14ac:dyDescent="0.35">
      <c r="A4671" t="s">
        <v>92</v>
      </c>
      <c r="B4671" s="16">
        <v>45792</v>
      </c>
      <c r="D4671">
        <v>0</v>
      </c>
      <c r="E4671" t="s">
        <v>6133</v>
      </c>
    </row>
    <row r="4672" spans="1:5" x14ac:dyDescent="0.35">
      <c r="A4672" t="s">
        <v>92</v>
      </c>
      <c r="B4672" s="16">
        <v>45796</v>
      </c>
      <c r="C4672">
        <v>6.6</v>
      </c>
      <c r="D4672">
        <v>1</v>
      </c>
      <c r="E4672" t="s">
        <v>6132</v>
      </c>
    </row>
    <row r="4673" spans="1:5" x14ac:dyDescent="0.35">
      <c r="A4673" t="s">
        <v>92</v>
      </c>
      <c r="B4673" s="16">
        <v>45797</v>
      </c>
      <c r="C4673">
        <v>8.9</v>
      </c>
      <c r="D4673">
        <v>1</v>
      </c>
      <c r="E4673" t="s">
        <v>6132</v>
      </c>
    </row>
    <row r="4674" spans="1:5" x14ac:dyDescent="0.35">
      <c r="A4674" t="s">
        <v>92</v>
      </c>
      <c r="B4674" s="16">
        <v>45800</v>
      </c>
      <c r="C4674">
        <v>8.1</v>
      </c>
      <c r="D4674">
        <v>1</v>
      </c>
      <c r="E4674" t="s">
        <v>6132</v>
      </c>
    </row>
    <row r="4675" spans="1:5" x14ac:dyDescent="0.35">
      <c r="A4675" t="s">
        <v>92</v>
      </c>
      <c r="B4675" s="16">
        <v>45803</v>
      </c>
      <c r="C4675">
        <v>5.4</v>
      </c>
      <c r="D4675">
        <v>1</v>
      </c>
      <c r="E4675" t="s">
        <v>6132</v>
      </c>
    </row>
    <row r="4676" spans="1:5" x14ac:dyDescent="0.35">
      <c r="A4676" t="s">
        <v>92</v>
      </c>
      <c r="B4676" s="16">
        <v>45806</v>
      </c>
      <c r="C4676">
        <v>5.8</v>
      </c>
      <c r="D4676">
        <v>1</v>
      </c>
      <c r="E4676" t="s">
        <v>6132</v>
      </c>
    </row>
    <row r="4677" spans="1:5" x14ac:dyDescent="0.35">
      <c r="A4677" t="s">
        <v>92</v>
      </c>
      <c r="B4677" s="16">
        <v>45810</v>
      </c>
      <c r="C4677">
        <v>6.1</v>
      </c>
      <c r="D4677">
        <v>0</v>
      </c>
      <c r="E4677" t="s">
        <v>6132</v>
      </c>
    </row>
    <row r="4678" spans="1:5" x14ac:dyDescent="0.35">
      <c r="A4678" t="s">
        <v>92</v>
      </c>
      <c r="B4678" s="16">
        <v>45817</v>
      </c>
      <c r="C4678">
        <v>5.9</v>
      </c>
      <c r="D4678">
        <v>0</v>
      </c>
      <c r="E4678" t="s">
        <v>6132</v>
      </c>
    </row>
    <row r="4679" spans="1:5" x14ac:dyDescent="0.35">
      <c r="A4679" t="s">
        <v>92</v>
      </c>
      <c r="B4679" s="16">
        <v>45819</v>
      </c>
      <c r="C4679">
        <v>8.3000000000000007</v>
      </c>
      <c r="D4679">
        <v>0</v>
      </c>
      <c r="E4679" t="s">
        <v>6134</v>
      </c>
    </row>
    <row r="4680" spans="1:5" x14ac:dyDescent="0.35">
      <c r="A4680" t="s">
        <v>92</v>
      </c>
      <c r="B4680" s="16">
        <v>45821</v>
      </c>
      <c r="C4680">
        <v>5.2</v>
      </c>
      <c r="D4680">
        <v>1</v>
      </c>
      <c r="E4680" t="s">
        <v>6132</v>
      </c>
    </row>
    <row r="4681" spans="1:5" x14ac:dyDescent="0.35">
      <c r="A4681" t="s">
        <v>92</v>
      </c>
      <c r="B4681" s="16">
        <v>45824</v>
      </c>
      <c r="C4681">
        <v>6.7</v>
      </c>
      <c r="D4681">
        <v>0</v>
      </c>
      <c r="E4681" t="s">
        <v>6132</v>
      </c>
    </row>
    <row r="4682" spans="1:5" x14ac:dyDescent="0.35">
      <c r="A4682" t="s">
        <v>92</v>
      </c>
      <c r="B4682" s="16">
        <v>45826</v>
      </c>
      <c r="C4682">
        <v>8.8000000000000007</v>
      </c>
      <c r="D4682">
        <v>3</v>
      </c>
      <c r="E4682" t="s">
        <v>6132</v>
      </c>
    </row>
    <row r="4683" spans="1:5" x14ac:dyDescent="0.35">
      <c r="A4683" t="s">
        <v>92</v>
      </c>
      <c r="B4683" s="16">
        <v>45828</v>
      </c>
      <c r="C4683">
        <v>7.4</v>
      </c>
      <c r="D4683">
        <v>2</v>
      </c>
      <c r="E4683" t="s">
        <v>6132</v>
      </c>
    </row>
    <row r="4684" spans="1:5" x14ac:dyDescent="0.35">
      <c r="A4684" t="s">
        <v>92</v>
      </c>
      <c r="B4684" s="16">
        <v>45831</v>
      </c>
      <c r="C4684">
        <v>4</v>
      </c>
      <c r="D4684">
        <v>0</v>
      </c>
      <c r="E4684" t="s">
        <v>6134</v>
      </c>
    </row>
    <row r="4685" spans="1:5" x14ac:dyDescent="0.35">
      <c r="A4685" t="s">
        <v>92</v>
      </c>
      <c r="B4685" s="16">
        <v>45832</v>
      </c>
      <c r="C4685">
        <v>6.5</v>
      </c>
      <c r="D4685">
        <v>2</v>
      </c>
      <c r="E4685" t="s">
        <v>6132</v>
      </c>
    </row>
    <row r="4686" spans="1:5" x14ac:dyDescent="0.35">
      <c r="A4686" t="s">
        <v>92</v>
      </c>
      <c r="B4686" s="16">
        <v>45835</v>
      </c>
      <c r="C4686">
        <v>4.5</v>
      </c>
      <c r="D4686">
        <v>0</v>
      </c>
      <c r="E4686" t="s">
        <v>6132</v>
      </c>
    </row>
    <row r="4687" spans="1:5" x14ac:dyDescent="0.35">
      <c r="A4687" t="s">
        <v>92</v>
      </c>
      <c r="B4687" s="16">
        <v>45838</v>
      </c>
      <c r="C4687">
        <v>6.3</v>
      </c>
      <c r="D4687">
        <v>0</v>
      </c>
      <c r="E4687" t="s">
        <v>6132</v>
      </c>
    </row>
    <row r="4688" spans="1:5" x14ac:dyDescent="0.35">
      <c r="A4688" t="s">
        <v>92</v>
      </c>
      <c r="B4688" s="16">
        <v>45840</v>
      </c>
      <c r="C4688">
        <v>6.3</v>
      </c>
      <c r="D4688">
        <v>1</v>
      </c>
      <c r="E4688" t="s">
        <v>6132</v>
      </c>
    </row>
    <row r="4689" spans="1:5" x14ac:dyDescent="0.35">
      <c r="A4689" t="s">
        <v>92</v>
      </c>
      <c r="B4689" s="16">
        <v>45842</v>
      </c>
      <c r="C4689">
        <v>7.4</v>
      </c>
      <c r="D4689">
        <v>2</v>
      </c>
      <c r="E4689" t="s">
        <v>6132</v>
      </c>
    </row>
    <row r="4690" spans="1:5" x14ac:dyDescent="0.35">
      <c r="A4690" t="s">
        <v>92</v>
      </c>
      <c r="B4690" s="16">
        <v>45845</v>
      </c>
      <c r="C4690">
        <v>6.4</v>
      </c>
      <c r="D4690">
        <v>1</v>
      </c>
      <c r="E4690" t="s">
        <v>6132</v>
      </c>
    </row>
    <row r="4691" spans="1:5" x14ac:dyDescent="0.35">
      <c r="A4691" t="s">
        <v>92</v>
      </c>
      <c r="B4691" s="16">
        <v>45847</v>
      </c>
      <c r="C4691">
        <v>4.5</v>
      </c>
      <c r="D4691">
        <v>2</v>
      </c>
      <c r="E4691" t="s">
        <v>6132</v>
      </c>
    </row>
    <row r="4692" spans="1:5" x14ac:dyDescent="0.35">
      <c r="A4692" t="s">
        <v>92</v>
      </c>
      <c r="B4692" s="16">
        <v>45849</v>
      </c>
      <c r="C4692">
        <v>6.9</v>
      </c>
      <c r="D4692">
        <v>0</v>
      </c>
      <c r="E4692" t="s">
        <v>6132</v>
      </c>
    </row>
    <row r="4693" spans="1:5" x14ac:dyDescent="0.35">
      <c r="A4693" t="s">
        <v>92</v>
      </c>
      <c r="B4693" s="16">
        <v>45852</v>
      </c>
      <c r="C4693">
        <v>7.2</v>
      </c>
      <c r="D4693">
        <v>0</v>
      </c>
      <c r="E4693" t="s">
        <v>6132</v>
      </c>
    </row>
    <row r="4694" spans="1:5" x14ac:dyDescent="0.35">
      <c r="A4694" t="s">
        <v>92</v>
      </c>
      <c r="B4694" s="16">
        <v>45855</v>
      </c>
      <c r="C4694">
        <v>4.7</v>
      </c>
      <c r="D4694">
        <v>2</v>
      </c>
      <c r="E4694" t="s">
        <v>6132</v>
      </c>
    </row>
    <row r="4695" spans="1:5" x14ac:dyDescent="0.35">
      <c r="A4695" t="s">
        <v>92</v>
      </c>
      <c r="B4695" s="16">
        <v>45861</v>
      </c>
      <c r="C4695">
        <v>8</v>
      </c>
      <c r="D4695">
        <v>0</v>
      </c>
      <c r="E4695" t="s">
        <v>6132</v>
      </c>
    </row>
    <row r="4696" spans="1:5" x14ac:dyDescent="0.35">
      <c r="A4696" t="s">
        <v>92</v>
      </c>
      <c r="B4696" s="16">
        <v>45862</v>
      </c>
      <c r="C4696">
        <v>8.9</v>
      </c>
      <c r="D4696">
        <v>1</v>
      </c>
      <c r="E4696" t="s">
        <v>6132</v>
      </c>
    </row>
    <row r="4697" spans="1:5" x14ac:dyDescent="0.35">
      <c r="A4697" t="s">
        <v>92</v>
      </c>
      <c r="B4697" s="16">
        <v>45866</v>
      </c>
      <c r="C4697">
        <v>6</v>
      </c>
      <c r="D4697">
        <v>1</v>
      </c>
      <c r="E4697" t="s">
        <v>6132</v>
      </c>
    </row>
    <row r="4698" spans="1:5" x14ac:dyDescent="0.35">
      <c r="A4698" t="s">
        <v>92</v>
      </c>
      <c r="B4698" s="16">
        <v>45867</v>
      </c>
      <c r="C4698">
        <v>6.4</v>
      </c>
      <c r="D4698">
        <v>0</v>
      </c>
      <c r="E4698" t="s">
        <v>6132</v>
      </c>
    </row>
    <row r="4699" spans="1:5" x14ac:dyDescent="0.35">
      <c r="A4699" t="s">
        <v>92</v>
      </c>
      <c r="B4699" s="16">
        <v>45870</v>
      </c>
      <c r="C4699">
        <v>5.0999999999999996</v>
      </c>
      <c r="D4699">
        <v>0</v>
      </c>
      <c r="E4699" t="s">
        <v>6132</v>
      </c>
    </row>
    <row r="4700" spans="1:5" x14ac:dyDescent="0.35">
      <c r="A4700" t="s">
        <v>92</v>
      </c>
      <c r="B4700" s="16">
        <v>45873</v>
      </c>
      <c r="C4700">
        <v>6</v>
      </c>
      <c r="D4700">
        <v>1</v>
      </c>
      <c r="E4700" t="s">
        <v>6132</v>
      </c>
    </row>
    <row r="4701" spans="1:5" x14ac:dyDescent="0.35">
      <c r="A4701" t="s">
        <v>92</v>
      </c>
      <c r="B4701" s="16">
        <v>45880</v>
      </c>
      <c r="C4701">
        <v>4.0999999999999996</v>
      </c>
      <c r="D4701">
        <v>0</v>
      </c>
      <c r="E4701" t="s">
        <v>6132</v>
      </c>
    </row>
    <row r="4702" spans="1:5" x14ac:dyDescent="0.35">
      <c r="A4702" t="s">
        <v>92</v>
      </c>
      <c r="B4702" s="16">
        <v>45882</v>
      </c>
      <c r="C4702">
        <v>8.1</v>
      </c>
      <c r="D4702">
        <v>1</v>
      </c>
      <c r="E4702" t="s">
        <v>6132</v>
      </c>
    </row>
    <row r="4703" spans="1:5" x14ac:dyDescent="0.35">
      <c r="A4703" t="s">
        <v>92</v>
      </c>
      <c r="B4703" s="16">
        <v>45884</v>
      </c>
      <c r="C4703">
        <v>7.9</v>
      </c>
      <c r="D4703">
        <v>2</v>
      </c>
      <c r="E4703" t="s">
        <v>6132</v>
      </c>
    </row>
    <row r="4704" spans="1:5" x14ac:dyDescent="0.35">
      <c r="A4704" t="s">
        <v>92</v>
      </c>
      <c r="B4704" s="16">
        <v>45888</v>
      </c>
      <c r="C4704">
        <v>7.7</v>
      </c>
      <c r="D4704">
        <v>0</v>
      </c>
      <c r="E4704" t="s">
        <v>6132</v>
      </c>
    </row>
    <row r="4705" spans="1:5" x14ac:dyDescent="0.35">
      <c r="A4705" t="s">
        <v>92</v>
      </c>
      <c r="B4705" s="16">
        <v>45890</v>
      </c>
      <c r="C4705">
        <v>7.9</v>
      </c>
      <c r="D4705">
        <v>5</v>
      </c>
      <c r="E4705" t="s">
        <v>6132</v>
      </c>
    </row>
    <row r="4706" spans="1:5" x14ac:dyDescent="0.35">
      <c r="A4706" t="s">
        <v>92</v>
      </c>
      <c r="B4706" s="16">
        <v>45891</v>
      </c>
      <c r="C4706">
        <v>7.1</v>
      </c>
      <c r="D4706">
        <v>2</v>
      </c>
      <c r="E4706" t="s">
        <v>6132</v>
      </c>
    </row>
    <row r="4707" spans="1:5" x14ac:dyDescent="0.35">
      <c r="A4707" t="s">
        <v>92</v>
      </c>
      <c r="B4707" s="16">
        <v>45898</v>
      </c>
      <c r="C4707">
        <v>4.7</v>
      </c>
      <c r="D4707">
        <v>1</v>
      </c>
      <c r="E4707" t="s">
        <v>6132</v>
      </c>
    </row>
    <row r="4708" spans="1:5" x14ac:dyDescent="0.35">
      <c r="A4708" t="s">
        <v>92</v>
      </c>
      <c r="B4708" s="16">
        <v>45902</v>
      </c>
      <c r="C4708">
        <v>8.4</v>
      </c>
      <c r="D4708">
        <v>0</v>
      </c>
      <c r="E4708" t="s">
        <v>6132</v>
      </c>
    </row>
    <row r="4709" spans="1:5" x14ac:dyDescent="0.35">
      <c r="A4709" t="s">
        <v>92</v>
      </c>
      <c r="B4709" s="16">
        <v>45903</v>
      </c>
      <c r="C4709">
        <v>6.7</v>
      </c>
      <c r="D4709">
        <v>4</v>
      </c>
      <c r="E4709" t="s">
        <v>6132</v>
      </c>
    </row>
    <row r="4710" spans="1:5" x14ac:dyDescent="0.35">
      <c r="A4710" t="s">
        <v>92</v>
      </c>
      <c r="B4710" s="16">
        <v>45905</v>
      </c>
      <c r="C4710">
        <v>4.3</v>
      </c>
      <c r="D4710">
        <v>0</v>
      </c>
      <c r="E4710" t="s">
        <v>6132</v>
      </c>
    </row>
    <row r="4711" spans="1:5" x14ac:dyDescent="0.35">
      <c r="A4711" t="s">
        <v>92</v>
      </c>
      <c r="B4711" s="16">
        <v>45911</v>
      </c>
      <c r="C4711">
        <v>7.2</v>
      </c>
      <c r="D4711">
        <v>3</v>
      </c>
      <c r="E4711" t="s">
        <v>6132</v>
      </c>
    </row>
    <row r="4712" spans="1:5" x14ac:dyDescent="0.35">
      <c r="A4712" t="s">
        <v>92</v>
      </c>
      <c r="B4712" s="16">
        <v>45922</v>
      </c>
      <c r="C4712">
        <v>5.7</v>
      </c>
      <c r="D4712">
        <v>0</v>
      </c>
      <c r="E4712" t="s">
        <v>6132</v>
      </c>
    </row>
    <row r="4713" spans="1:5" x14ac:dyDescent="0.35">
      <c r="A4713" t="s">
        <v>92</v>
      </c>
      <c r="B4713" s="16">
        <v>45923</v>
      </c>
      <c r="C4713">
        <v>7.9</v>
      </c>
      <c r="D4713">
        <v>0</v>
      </c>
      <c r="E4713" t="s">
        <v>6132</v>
      </c>
    </row>
    <row r="4714" spans="1:5" x14ac:dyDescent="0.35">
      <c r="A4714" t="s">
        <v>92</v>
      </c>
      <c r="B4714" s="16">
        <v>45926</v>
      </c>
      <c r="C4714">
        <v>8.9</v>
      </c>
      <c r="D4714">
        <v>0</v>
      </c>
      <c r="E4714" t="s">
        <v>6132</v>
      </c>
    </row>
    <row r="4715" spans="1:5" x14ac:dyDescent="0.35">
      <c r="A4715" t="s">
        <v>92</v>
      </c>
      <c r="B4715" s="16">
        <v>45929</v>
      </c>
      <c r="C4715">
        <v>5.2</v>
      </c>
      <c r="D4715">
        <v>1</v>
      </c>
      <c r="E4715" t="s">
        <v>6132</v>
      </c>
    </row>
    <row r="4716" spans="1:5" x14ac:dyDescent="0.35">
      <c r="A4716" t="s">
        <v>92</v>
      </c>
      <c r="B4716" s="16">
        <v>45930</v>
      </c>
      <c r="D4716">
        <v>0</v>
      </c>
      <c r="E4716" t="s">
        <v>6134</v>
      </c>
    </row>
    <row r="4717" spans="1:5" x14ac:dyDescent="0.35">
      <c r="A4717" t="s">
        <v>92</v>
      </c>
      <c r="B4717" s="16">
        <v>45931</v>
      </c>
      <c r="C4717">
        <v>6.5</v>
      </c>
      <c r="D4717">
        <v>2</v>
      </c>
      <c r="E4717" t="s">
        <v>6132</v>
      </c>
    </row>
    <row r="4718" spans="1:5" x14ac:dyDescent="0.35">
      <c r="A4718" t="s">
        <v>92</v>
      </c>
      <c r="B4718" s="16">
        <v>45937</v>
      </c>
      <c r="C4718">
        <v>5.2</v>
      </c>
      <c r="D4718">
        <v>0</v>
      </c>
      <c r="E4718" t="s">
        <v>6132</v>
      </c>
    </row>
    <row r="4719" spans="1:5" x14ac:dyDescent="0.35">
      <c r="A4719" t="s">
        <v>92</v>
      </c>
      <c r="B4719" s="16">
        <v>45939</v>
      </c>
      <c r="C4719">
        <v>5.3</v>
      </c>
      <c r="D4719">
        <v>0</v>
      </c>
      <c r="E4719" t="s">
        <v>6133</v>
      </c>
    </row>
    <row r="4720" spans="1:5" x14ac:dyDescent="0.35">
      <c r="A4720" t="s">
        <v>92</v>
      </c>
      <c r="B4720" s="16">
        <v>45943</v>
      </c>
      <c r="D4720">
        <v>0</v>
      </c>
      <c r="E4720" t="s">
        <v>6132</v>
      </c>
    </row>
    <row r="4721" spans="1:5" x14ac:dyDescent="0.35">
      <c r="A4721" t="s">
        <v>92</v>
      </c>
      <c r="B4721" s="16">
        <v>45946</v>
      </c>
      <c r="C4721">
        <v>4.5999999999999996</v>
      </c>
      <c r="D4721">
        <v>0</v>
      </c>
      <c r="E4721" t="s">
        <v>6132</v>
      </c>
    </row>
    <row r="4722" spans="1:5" x14ac:dyDescent="0.35">
      <c r="A4722" t="s">
        <v>92</v>
      </c>
      <c r="B4722" s="16">
        <v>45950</v>
      </c>
      <c r="C4722">
        <v>7.3</v>
      </c>
      <c r="D4722">
        <v>0</v>
      </c>
      <c r="E4722" t="s">
        <v>6132</v>
      </c>
    </row>
    <row r="4723" spans="1:5" x14ac:dyDescent="0.35">
      <c r="A4723" t="s">
        <v>92</v>
      </c>
      <c r="B4723" s="16">
        <v>45951</v>
      </c>
      <c r="C4723">
        <v>7.9</v>
      </c>
      <c r="D4723">
        <v>0</v>
      </c>
      <c r="E4723" t="s">
        <v>6132</v>
      </c>
    </row>
    <row r="4724" spans="1:5" x14ac:dyDescent="0.35">
      <c r="A4724" t="s">
        <v>92</v>
      </c>
      <c r="B4724" s="16">
        <v>45953</v>
      </c>
      <c r="C4724">
        <v>7.9</v>
      </c>
      <c r="D4724">
        <v>0</v>
      </c>
      <c r="E4724" t="s">
        <v>6132</v>
      </c>
    </row>
    <row r="4725" spans="1:5" x14ac:dyDescent="0.35">
      <c r="A4725" t="s">
        <v>92</v>
      </c>
      <c r="B4725" s="16">
        <v>45958</v>
      </c>
      <c r="C4725">
        <v>7.3</v>
      </c>
      <c r="D4725">
        <v>0</v>
      </c>
      <c r="E4725" t="s">
        <v>6132</v>
      </c>
    </row>
    <row r="4726" spans="1:5" x14ac:dyDescent="0.35">
      <c r="A4726" t="s">
        <v>92</v>
      </c>
      <c r="B4726" s="16">
        <v>45959</v>
      </c>
      <c r="C4726">
        <v>7.7</v>
      </c>
      <c r="D4726">
        <v>0</v>
      </c>
      <c r="E4726" t="s">
        <v>6132</v>
      </c>
    </row>
    <row r="4727" spans="1:5" x14ac:dyDescent="0.35">
      <c r="A4727" t="s">
        <v>92</v>
      </c>
      <c r="B4727" s="16">
        <v>45960</v>
      </c>
      <c r="C4727">
        <v>6.7</v>
      </c>
      <c r="D4727">
        <v>1</v>
      </c>
      <c r="E4727" t="s">
        <v>6132</v>
      </c>
    </row>
    <row r="4728" spans="1:5" x14ac:dyDescent="0.35">
      <c r="A4728" t="s">
        <v>92</v>
      </c>
      <c r="B4728" s="16">
        <v>45961</v>
      </c>
      <c r="C4728">
        <v>7.9</v>
      </c>
      <c r="D4728">
        <v>1</v>
      </c>
      <c r="E4728" t="s">
        <v>6132</v>
      </c>
    </row>
    <row r="4729" spans="1:5" x14ac:dyDescent="0.35">
      <c r="A4729" t="s">
        <v>92</v>
      </c>
      <c r="B4729" s="16">
        <v>45964</v>
      </c>
      <c r="C4729">
        <v>5.3</v>
      </c>
      <c r="D4729">
        <v>1</v>
      </c>
      <c r="E4729" t="s">
        <v>6132</v>
      </c>
    </row>
    <row r="4730" spans="1:5" x14ac:dyDescent="0.35">
      <c r="A4730" t="s">
        <v>92</v>
      </c>
      <c r="B4730" s="16">
        <v>45965</v>
      </c>
      <c r="C4730">
        <v>6</v>
      </c>
      <c r="D4730">
        <v>3</v>
      </c>
      <c r="E4730" t="s">
        <v>6132</v>
      </c>
    </row>
    <row r="4731" spans="1:5" x14ac:dyDescent="0.35">
      <c r="A4731" t="s">
        <v>92</v>
      </c>
      <c r="B4731" s="16">
        <v>45966</v>
      </c>
      <c r="C4731">
        <v>4.5999999999999996</v>
      </c>
      <c r="D4731">
        <v>1</v>
      </c>
      <c r="E4731" t="s">
        <v>6132</v>
      </c>
    </row>
    <row r="4732" spans="1:5" x14ac:dyDescent="0.35">
      <c r="A4732" t="s">
        <v>92</v>
      </c>
      <c r="B4732" s="16">
        <v>45967</v>
      </c>
      <c r="C4732">
        <v>7</v>
      </c>
      <c r="D4732">
        <v>0</v>
      </c>
      <c r="E4732" t="s">
        <v>6133</v>
      </c>
    </row>
    <row r="4733" spans="1:5" x14ac:dyDescent="0.35">
      <c r="A4733" t="s">
        <v>92</v>
      </c>
      <c r="B4733" s="16">
        <v>45968</v>
      </c>
      <c r="C4733">
        <v>6.8</v>
      </c>
      <c r="D4733">
        <v>0</v>
      </c>
      <c r="E4733" t="s">
        <v>6133</v>
      </c>
    </row>
    <row r="4734" spans="1:5" x14ac:dyDescent="0.35">
      <c r="A4734" t="s">
        <v>92</v>
      </c>
      <c r="B4734" s="16">
        <v>45974</v>
      </c>
      <c r="C4734">
        <v>4.5</v>
      </c>
      <c r="D4734">
        <v>0</v>
      </c>
      <c r="E4734" t="s">
        <v>6132</v>
      </c>
    </row>
    <row r="4735" spans="1:5" x14ac:dyDescent="0.35">
      <c r="A4735" t="s">
        <v>92</v>
      </c>
      <c r="B4735" s="16">
        <v>45975</v>
      </c>
      <c r="C4735">
        <v>7.8</v>
      </c>
      <c r="D4735">
        <v>2</v>
      </c>
      <c r="E4735" t="s">
        <v>6132</v>
      </c>
    </row>
    <row r="4736" spans="1:5" x14ac:dyDescent="0.35">
      <c r="A4736" t="s">
        <v>92</v>
      </c>
      <c r="B4736" s="16">
        <v>45978</v>
      </c>
      <c r="C4736">
        <v>4.9000000000000004</v>
      </c>
      <c r="D4736">
        <v>0</v>
      </c>
      <c r="E4736" t="s">
        <v>6133</v>
      </c>
    </row>
    <row r="4737" spans="1:5" x14ac:dyDescent="0.35">
      <c r="A4737" t="s">
        <v>92</v>
      </c>
      <c r="B4737" s="16">
        <v>45979</v>
      </c>
      <c r="C4737">
        <v>8.6999999999999993</v>
      </c>
      <c r="D4737">
        <v>0</v>
      </c>
      <c r="E4737" t="s">
        <v>6132</v>
      </c>
    </row>
    <row r="4738" spans="1:5" x14ac:dyDescent="0.35">
      <c r="A4738" t="s">
        <v>92</v>
      </c>
      <c r="B4738" s="16">
        <v>45980</v>
      </c>
      <c r="C4738">
        <v>5.7</v>
      </c>
      <c r="D4738">
        <v>0</v>
      </c>
      <c r="E4738" t="s">
        <v>6133</v>
      </c>
    </row>
    <row r="4739" spans="1:5" x14ac:dyDescent="0.35">
      <c r="A4739" t="s">
        <v>92</v>
      </c>
      <c r="B4739" s="16">
        <v>45985</v>
      </c>
      <c r="C4739">
        <v>7.4</v>
      </c>
      <c r="D4739">
        <v>0</v>
      </c>
      <c r="E4739" t="s">
        <v>6133</v>
      </c>
    </row>
    <row r="4740" spans="1:5" x14ac:dyDescent="0.35">
      <c r="A4740" t="s">
        <v>92</v>
      </c>
      <c r="B4740" s="16">
        <v>45988</v>
      </c>
      <c r="C4740">
        <v>8.1999999999999993</v>
      </c>
      <c r="D4740">
        <v>3</v>
      </c>
      <c r="E4740" t="s">
        <v>6132</v>
      </c>
    </row>
    <row r="4741" spans="1:5" x14ac:dyDescent="0.35">
      <c r="A4741" t="s">
        <v>92</v>
      </c>
      <c r="B4741" s="16">
        <v>45989</v>
      </c>
      <c r="C4741">
        <v>8.5</v>
      </c>
      <c r="D4741">
        <v>0</v>
      </c>
      <c r="E4741" t="s">
        <v>6133</v>
      </c>
    </row>
    <row r="4742" spans="1:5" x14ac:dyDescent="0.35">
      <c r="A4742" t="s">
        <v>92</v>
      </c>
      <c r="B4742" s="16">
        <v>45992</v>
      </c>
      <c r="C4742">
        <v>6.6</v>
      </c>
      <c r="D4742">
        <v>1</v>
      </c>
      <c r="E4742" t="s">
        <v>6132</v>
      </c>
    </row>
    <row r="4743" spans="1:5" x14ac:dyDescent="0.35">
      <c r="A4743" t="s">
        <v>92</v>
      </c>
      <c r="B4743" s="16">
        <v>45993</v>
      </c>
      <c r="C4743">
        <v>6.7</v>
      </c>
      <c r="D4743">
        <v>2</v>
      </c>
      <c r="E4743" t="s">
        <v>6132</v>
      </c>
    </row>
    <row r="4744" spans="1:5" x14ac:dyDescent="0.35">
      <c r="A4744" t="s">
        <v>92</v>
      </c>
      <c r="B4744" s="16">
        <v>45994</v>
      </c>
      <c r="C4744">
        <v>8.5</v>
      </c>
      <c r="D4744">
        <v>6</v>
      </c>
      <c r="E4744" t="s">
        <v>6132</v>
      </c>
    </row>
    <row r="4745" spans="1:5" x14ac:dyDescent="0.35">
      <c r="A4745" t="s">
        <v>92</v>
      </c>
      <c r="B4745" s="16">
        <v>45999</v>
      </c>
      <c r="C4745">
        <v>4.5999999999999996</v>
      </c>
      <c r="D4745">
        <v>3</v>
      </c>
      <c r="E4745" t="s">
        <v>6132</v>
      </c>
    </row>
    <row r="4746" spans="1:5" x14ac:dyDescent="0.35">
      <c r="A4746" t="s">
        <v>92</v>
      </c>
      <c r="B4746" s="16">
        <v>46000</v>
      </c>
      <c r="C4746">
        <v>5.6</v>
      </c>
      <c r="D4746">
        <v>0</v>
      </c>
      <c r="E4746" t="s">
        <v>6132</v>
      </c>
    </row>
    <row r="4747" spans="1:5" x14ac:dyDescent="0.35">
      <c r="A4747" t="s">
        <v>92</v>
      </c>
      <c r="B4747" s="16">
        <v>46002</v>
      </c>
      <c r="C4747">
        <v>6.6</v>
      </c>
      <c r="D4747">
        <v>0</v>
      </c>
      <c r="E4747" t="s">
        <v>6132</v>
      </c>
    </row>
    <row r="4748" spans="1:5" x14ac:dyDescent="0.35">
      <c r="A4748" t="s">
        <v>92</v>
      </c>
      <c r="B4748" s="16">
        <v>46003</v>
      </c>
      <c r="C4748">
        <v>5</v>
      </c>
      <c r="D4748">
        <v>0</v>
      </c>
      <c r="E4748" t="s">
        <v>6132</v>
      </c>
    </row>
    <row r="4749" spans="1:5" x14ac:dyDescent="0.35">
      <c r="A4749" t="s">
        <v>92</v>
      </c>
      <c r="B4749" s="16">
        <v>46006</v>
      </c>
      <c r="C4749">
        <v>8.6</v>
      </c>
      <c r="D4749">
        <v>1</v>
      </c>
      <c r="E4749" t="s">
        <v>6132</v>
      </c>
    </row>
    <row r="4750" spans="1:5" x14ac:dyDescent="0.35">
      <c r="A4750" t="s">
        <v>92</v>
      </c>
      <c r="B4750" s="16">
        <v>46008</v>
      </c>
      <c r="C4750">
        <v>6.7</v>
      </c>
      <c r="D4750">
        <v>0</v>
      </c>
      <c r="E4750" t="s">
        <v>6132</v>
      </c>
    </row>
    <row r="4751" spans="1:5" x14ac:dyDescent="0.35">
      <c r="A4751" t="s">
        <v>92</v>
      </c>
      <c r="B4751" s="16">
        <v>46009</v>
      </c>
      <c r="C4751">
        <v>8</v>
      </c>
      <c r="D4751">
        <v>0</v>
      </c>
      <c r="E4751" t="s">
        <v>6132</v>
      </c>
    </row>
    <row r="4752" spans="1:5" x14ac:dyDescent="0.35">
      <c r="A4752" t="s">
        <v>92</v>
      </c>
      <c r="B4752" s="16">
        <v>46010</v>
      </c>
      <c r="C4752">
        <v>7.7</v>
      </c>
      <c r="D4752">
        <v>0</v>
      </c>
      <c r="E4752" t="s">
        <v>6133</v>
      </c>
    </row>
    <row r="4753" spans="1:5" x14ac:dyDescent="0.35">
      <c r="A4753" t="s">
        <v>92</v>
      </c>
      <c r="B4753" s="16">
        <v>46014</v>
      </c>
      <c r="C4753">
        <v>4.8</v>
      </c>
      <c r="D4753">
        <v>0</v>
      </c>
      <c r="E4753" t="s">
        <v>6132</v>
      </c>
    </row>
    <row r="4754" spans="1:5" x14ac:dyDescent="0.35">
      <c r="A4754" t="s">
        <v>92</v>
      </c>
      <c r="B4754" s="16">
        <v>46015</v>
      </c>
      <c r="C4754">
        <v>4.3</v>
      </c>
      <c r="D4754">
        <v>1</v>
      </c>
      <c r="E4754" t="s">
        <v>6132</v>
      </c>
    </row>
    <row r="4755" spans="1:5" x14ac:dyDescent="0.35">
      <c r="A4755" t="s">
        <v>92</v>
      </c>
      <c r="B4755" s="16">
        <v>46016</v>
      </c>
      <c r="C4755">
        <v>6.7</v>
      </c>
      <c r="D4755">
        <v>0</v>
      </c>
      <c r="E4755" t="s">
        <v>6132</v>
      </c>
    </row>
    <row r="4756" spans="1:5" x14ac:dyDescent="0.35">
      <c r="A4756" t="s">
        <v>92</v>
      </c>
      <c r="B4756" s="16">
        <v>46017</v>
      </c>
      <c r="C4756">
        <v>7.2</v>
      </c>
      <c r="D4756">
        <v>1</v>
      </c>
      <c r="E4756" t="s">
        <v>6132</v>
      </c>
    </row>
    <row r="4757" spans="1:5" x14ac:dyDescent="0.35">
      <c r="A4757" t="s">
        <v>92</v>
      </c>
      <c r="B4757" s="16">
        <v>46020</v>
      </c>
      <c r="C4757">
        <v>4.9000000000000004</v>
      </c>
      <c r="D4757">
        <v>0</v>
      </c>
      <c r="E4757" t="s">
        <v>6132</v>
      </c>
    </row>
    <row r="4758" spans="1:5" x14ac:dyDescent="0.35">
      <c r="A4758" t="s">
        <v>92</v>
      </c>
      <c r="B4758" s="16">
        <v>46021</v>
      </c>
      <c r="C4758">
        <v>4.9000000000000004</v>
      </c>
      <c r="D4758">
        <v>0</v>
      </c>
      <c r="E4758" t="s">
        <v>6132</v>
      </c>
    </row>
    <row r="4759" spans="1:5" x14ac:dyDescent="0.35">
      <c r="A4759" t="s">
        <v>92</v>
      </c>
      <c r="B4759" s="16">
        <v>46022</v>
      </c>
      <c r="C4759">
        <v>6.5</v>
      </c>
      <c r="D4759">
        <v>2</v>
      </c>
      <c r="E4759" t="s">
        <v>6132</v>
      </c>
    </row>
    <row r="4760" spans="1:5" x14ac:dyDescent="0.35">
      <c r="A4760" t="s">
        <v>47</v>
      </c>
      <c r="B4760" s="16">
        <v>45658</v>
      </c>
      <c r="C4760">
        <v>5.7</v>
      </c>
      <c r="D4760">
        <v>2</v>
      </c>
      <c r="E4760" t="s">
        <v>6132</v>
      </c>
    </row>
    <row r="4761" spans="1:5" x14ac:dyDescent="0.35">
      <c r="A4761" t="s">
        <v>47</v>
      </c>
      <c r="B4761" s="16">
        <v>45659</v>
      </c>
      <c r="C4761">
        <v>5.0999999999999996</v>
      </c>
      <c r="D4761">
        <v>1</v>
      </c>
      <c r="E4761" t="s">
        <v>6132</v>
      </c>
    </row>
    <row r="4762" spans="1:5" x14ac:dyDescent="0.35">
      <c r="A4762" t="s">
        <v>47</v>
      </c>
      <c r="B4762" s="16">
        <v>45666</v>
      </c>
      <c r="C4762">
        <v>5.6</v>
      </c>
      <c r="D4762">
        <v>0</v>
      </c>
      <c r="E4762" t="s">
        <v>6132</v>
      </c>
    </row>
    <row r="4763" spans="1:5" x14ac:dyDescent="0.35">
      <c r="A4763" t="s">
        <v>47</v>
      </c>
      <c r="B4763" s="16">
        <v>45667</v>
      </c>
      <c r="C4763">
        <v>6.4</v>
      </c>
      <c r="D4763">
        <v>0</v>
      </c>
      <c r="E4763" t="s">
        <v>6132</v>
      </c>
    </row>
    <row r="4764" spans="1:5" x14ac:dyDescent="0.35">
      <c r="A4764" t="s">
        <v>47</v>
      </c>
      <c r="B4764" s="16">
        <v>45672</v>
      </c>
      <c r="C4764">
        <v>6.1</v>
      </c>
      <c r="D4764">
        <v>1</v>
      </c>
      <c r="E4764" t="s">
        <v>6132</v>
      </c>
    </row>
    <row r="4765" spans="1:5" x14ac:dyDescent="0.35">
      <c r="A4765" t="s">
        <v>47</v>
      </c>
      <c r="B4765" s="16">
        <v>45673</v>
      </c>
      <c r="C4765">
        <v>4.0999999999999996</v>
      </c>
      <c r="D4765">
        <v>0</v>
      </c>
      <c r="E4765" t="s">
        <v>6134</v>
      </c>
    </row>
    <row r="4766" spans="1:5" x14ac:dyDescent="0.35">
      <c r="A4766" t="s">
        <v>47</v>
      </c>
      <c r="B4766" s="16">
        <v>45674</v>
      </c>
      <c r="C4766">
        <v>5.2</v>
      </c>
      <c r="D4766">
        <v>3</v>
      </c>
      <c r="E4766" t="s">
        <v>6132</v>
      </c>
    </row>
    <row r="4767" spans="1:5" x14ac:dyDescent="0.35">
      <c r="A4767" t="s">
        <v>47</v>
      </c>
      <c r="B4767" s="16">
        <v>45678</v>
      </c>
      <c r="C4767">
        <v>4.2</v>
      </c>
      <c r="D4767">
        <v>4</v>
      </c>
      <c r="E4767" t="s">
        <v>6132</v>
      </c>
    </row>
    <row r="4768" spans="1:5" x14ac:dyDescent="0.35">
      <c r="A4768" t="s">
        <v>47</v>
      </c>
      <c r="B4768" s="16">
        <v>45679</v>
      </c>
      <c r="C4768">
        <v>4.3</v>
      </c>
      <c r="D4768">
        <v>1</v>
      </c>
      <c r="E4768" t="s">
        <v>6132</v>
      </c>
    </row>
    <row r="4769" spans="1:5" x14ac:dyDescent="0.35">
      <c r="A4769" t="s">
        <v>47</v>
      </c>
      <c r="B4769" s="16">
        <v>45679</v>
      </c>
      <c r="D4769">
        <v>1</v>
      </c>
      <c r="E4769" t="s">
        <v>6132</v>
      </c>
    </row>
    <row r="4770" spans="1:5" x14ac:dyDescent="0.35">
      <c r="A4770" t="s">
        <v>47</v>
      </c>
      <c r="B4770" s="16">
        <v>45680</v>
      </c>
      <c r="C4770">
        <v>4.4000000000000004</v>
      </c>
      <c r="D4770">
        <v>0</v>
      </c>
      <c r="E4770" t="s">
        <v>6134</v>
      </c>
    </row>
    <row r="4771" spans="1:5" x14ac:dyDescent="0.35">
      <c r="A4771" t="s">
        <v>47</v>
      </c>
      <c r="B4771" s="16">
        <v>45681</v>
      </c>
      <c r="C4771">
        <v>7.5</v>
      </c>
      <c r="D4771">
        <v>0</v>
      </c>
      <c r="E4771" t="s">
        <v>6132</v>
      </c>
    </row>
    <row r="4772" spans="1:5" x14ac:dyDescent="0.35">
      <c r="A4772" t="s">
        <v>47</v>
      </c>
      <c r="B4772" s="16">
        <v>45681</v>
      </c>
      <c r="C4772">
        <v>4.7</v>
      </c>
      <c r="D4772">
        <v>3</v>
      </c>
      <c r="E4772" t="s">
        <v>6132</v>
      </c>
    </row>
    <row r="4773" spans="1:5" x14ac:dyDescent="0.35">
      <c r="A4773" t="s">
        <v>47</v>
      </c>
      <c r="B4773" s="16">
        <v>45686</v>
      </c>
      <c r="C4773">
        <v>4.5</v>
      </c>
      <c r="D4773">
        <v>3</v>
      </c>
      <c r="E4773" t="s">
        <v>6132</v>
      </c>
    </row>
    <row r="4774" spans="1:5" x14ac:dyDescent="0.35">
      <c r="A4774" t="s">
        <v>47</v>
      </c>
      <c r="B4774" s="16">
        <v>45692</v>
      </c>
      <c r="C4774">
        <v>6.7</v>
      </c>
      <c r="D4774">
        <v>0</v>
      </c>
      <c r="E4774" t="s">
        <v>6132</v>
      </c>
    </row>
    <row r="4775" spans="1:5" x14ac:dyDescent="0.35">
      <c r="A4775" t="s">
        <v>47</v>
      </c>
      <c r="B4775" s="16">
        <v>45693</v>
      </c>
      <c r="C4775">
        <v>6.7</v>
      </c>
      <c r="D4775">
        <v>5</v>
      </c>
      <c r="E4775" t="s">
        <v>6132</v>
      </c>
    </row>
    <row r="4776" spans="1:5" x14ac:dyDescent="0.35">
      <c r="A4776" t="s">
        <v>47</v>
      </c>
      <c r="B4776" s="16">
        <v>45694</v>
      </c>
      <c r="C4776">
        <v>4</v>
      </c>
      <c r="D4776">
        <v>0</v>
      </c>
      <c r="E4776" t="s">
        <v>6133</v>
      </c>
    </row>
    <row r="4777" spans="1:5" x14ac:dyDescent="0.35">
      <c r="A4777" t="s">
        <v>47</v>
      </c>
      <c r="B4777" s="16">
        <v>45694</v>
      </c>
      <c r="C4777">
        <v>5.6</v>
      </c>
      <c r="D4777">
        <v>0</v>
      </c>
      <c r="E4777" t="s">
        <v>6133</v>
      </c>
    </row>
    <row r="4778" spans="1:5" x14ac:dyDescent="0.35">
      <c r="A4778" t="s">
        <v>47</v>
      </c>
      <c r="B4778" s="16">
        <v>45695</v>
      </c>
      <c r="C4778">
        <v>7.7</v>
      </c>
      <c r="D4778">
        <v>0</v>
      </c>
      <c r="E4778" t="s">
        <v>6132</v>
      </c>
    </row>
    <row r="4779" spans="1:5" x14ac:dyDescent="0.35">
      <c r="A4779" t="s">
        <v>47</v>
      </c>
      <c r="B4779" s="16">
        <v>45698</v>
      </c>
      <c r="C4779">
        <v>6.5</v>
      </c>
      <c r="D4779">
        <v>0</v>
      </c>
      <c r="E4779" t="s">
        <v>6134</v>
      </c>
    </row>
    <row r="4780" spans="1:5" x14ac:dyDescent="0.35">
      <c r="A4780" t="s">
        <v>47</v>
      </c>
      <c r="B4780" s="16">
        <v>45699</v>
      </c>
      <c r="C4780">
        <v>7.4</v>
      </c>
      <c r="D4780">
        <v>3</v>
      </c>
      <c r="E4780" t="s">
        <v>6132</v>
      </c>
    </row>
    <row r="4781" spans="1:5" x14ac:dyDescent="0.35">
      <c r="A4781" t="s">
        <v>47</v>
      </c>
      <c r="B4781" s="16">
        <v>45706</v>
      </c>
      <c r="C4781">
        <v>4.2</v>
      </c>
      <c r="D4781">
        <v>0</v>
      </c>
      <c r="E4781" t="s">
        <v>6133</v>
      </c>
    </row>
    <row r="4782" spans="1:5" x14ac:dyDescent="0.35">
      <c r="A4782" t="s">
        <v>47</v>
      </c>
      <c r="B4782" s="16">
        <v>45715</v>
      </c>
      <c r="C4782">
        <v>8</v>
      </c>
      <c r="D4782">
        <v>2</v>
      </c>
      <c r="E4782" t="s">
        <v>6132</v>
      </c>
    </row>
    <row r="4783" spans="1:5" x14ac:dyDescent="0.35">
      <c r="A4783" t="s">
        <v>47</v>
      </c>
      <c r="B4783" s="16">
        <v>45715</v>
      </c>
      <c r="C4783">
        <v>9</v>
      </c>
      <c r="D4783">
        <v>3</v>
      </c>
      <c r="E4783" t="s">
        <v>6132</v>
      </c>
    </row>
    <row r="4784" spans="1:5" x14ac:dyDescent="0.35">
      <c r="A4784" t="s">
        <v>47</v>
      </c>
      <c r="B4784" s="16">
        <v>45721</v>
      </c>
      <c r="C4784">
        <v>8.1</v>
      </c>
      <c r="D4784">
        <v>0</v>
      </c>
      <c r="E4784" t="s">
        <v>6132</v>
      </c>
    </row>
    <row r="4785" spans="1:5" x14ac:dyDescent="0.35">
      <c r="A4785" t="s">
        <v>47</v>
      </c>
      <c r="B4785" s="16">
        <v>45721</v>
      </c>
      <c r="C4785">
        <v>7.9</v>
      </c>
      <c r="D4785">
        <v>1</v>
      </c>
      <c r="E4785" t="s">
        <v>6132</v>
      </c>
    </row>
    <row r="4786" spans="1:5" x14ac:dyDescent="0.35">
      <c r="A4786" t="s">
        <v>47</v>
      </c>
      <c r="B4786" s="16">
        <v>45722</v>
      </c>
      <c r="C4786">
        <v>5</v>
      </c>
      <c r="D4786">
        <v>4</v>
      </c>
      <c r="E4786" t="s">
        <v>6132</v>
      </c>
    </row>
    <row r="4787" spans="1:5" x14ac:dyDescent="0.35">
      <c r="A4787" t="s">
        <v>47</v>
      </c>
      <c r="B4787" s="16">
        <v>45723</v>
      </c>
      <c r="C4787">
        <v>5.4</v>
      </c>
      <c r="D4787">
        <v>1</v>
      </c>
      <c r="E4787" t="s">
        <v>6132</v>
      </c>
    </row>
    <row r="4788" spans="1:5" x14ac:dyDescent="0.35">
      <c r="A4788" t="s">
        <v>47</v>
      </c>
      <c r="B4788" s="16">
        <v>45727</v>
      </c>
      <c r="C4788">
        <v>8</v>
      </c>
      <c r="D4788">
        <v>0</v>
      </c>
      <c r="E4788" t="s">
        <v>6133</v>
      </c>
    </row>
    <row r="4789" spans="1:5" x14ac:dyDescent="0.35">
      <c r="A4789" t="s">
        <v>47</v>
      </c>
      <c r="B4789" s="16">
        <v>45728</v>
      </c>
      <c r="C4789">
        <v>8</v>
      </c>
      <c r="D4789">
        <v>0</v>
      </c>
      <c r="E4789" t="s">
        <v>6132</v>
      </c>
    </row>
    <row r="4790" spans="1:5" x14ac:dyDescent="0.35">
      <c r="A4790" t="s">
        <v>47</v>
      </c>
      <c r="B4790" s="16">
        <v>45729</v>
      </c>
      <c r="C4790">
        <v>5.0999999999999996</v>
      </c>
      <c r="D4790">
        <v>0</v>
      </c>
      <c r="E4790" t="s">
        <v>6132</v>
      </c>
    </row>
    <row r="4791" spans="1:5" x14ac:dyDescent="0.35">
      <c r="A4791" t="s">
        <v>47</v>
      </c>
      <c r="B4791" s="16">
        <v>45733</v>
      </c>
      <c r="C4791">
        <v>5.9</v>
      </c>
      <c r="D4791">
        <v>0</v>
      </c>
      <c r="E4791" t="s">
        <v>6132</v>
      </c>
    </row>
    <row r="4792" spans="1:5" x14ac:dyDescent="0.35">
      <c r="A4792" t="s">
        <v>47</v>
      </c>
      <c r="B4792" s="16">
        <v>45734</v>
      </c>
      <c r="C4792">
        <v>6.2</v>
      </c>
      <c r="D4792">
        <v>4</v>
      </c>
      <c r="E4792" t="s">
        <v>6132</v>
      </c>
    </row>
    <row r="4793" spans="1:5" x14ac:dyDescent="0.35">
      <c r="A4793" t="s">
        <v>47</v>
      </c>
      <c r="B4793" s="16">
        <v>45735</v>
      </c>
      <c r="C4793">
        <v>4.8</v>
      </c>
      <c r="D4793">
        <v>2</v>
      </c>
      <c r="E4793" t="s">
        <v>6132</v>
      </c>
    </row>
    <row r="4794" spans="1:5" x14ac:dyDescent="0.35">
      <c r="A4794" t="s">
        <v>47</v>
      </c>
      <c r="B4794" s="16">
        <v>45736</v>
      </c>
      <c r="C4794">
        <v>8.4</v>
      </c>
      <c r="D4794">
        <v>1</v>
      </c>
      <c r="E4794" t="s">
        <v>6132</v>
      </c>
    </row>
    <row r="4795" spans="1:5" x14ac:dyDescent="0.35">
      <c r="A4795" t="s">
        <v>47</v>
      </c>
      <c r="B4795" s="16">
        <v>45737</v>
      </c>
      <c r="C4795">
        <v>5</v>
      </c>
      <c r="D4795">
        <v>3</v>
      </c>
      <c r="E4795" t="s">
        <v>6132</v>
      </c>
    </row>
    <row r="4796" spans="1:5" x14ac:dyDescent="0.35">
      <c r="A4796" t="s">
        <v>47</v>
      </c>
      <c r="B4796" s="16">
        <v>45740</v>
      </c>
      <c r="C4796">
        <v>4.4000000000000004</v>
      </c>
      <c r="D4796">
        <v>2</v>
      </c>
      <c r="E4796" t="s">
        <v>6132</v>
      </c>
    </row>
    <row r="4797" spans="1:5" x14ac:dyDescent="0.35">
      <c r="A4797" t="s">
        <v>47</v>
      </c>
      <c r="B4797" s="16">
        <v>45741</v>
      </c>
      <c r="C4797">
        <v>5.9</v>
      </c>
      <c r="D4797">
        <v>0</v>
      </c>
      <c r="E4797" t="s">
        <v>6133</v>
      </c>
    </row>
    <row r="4798" spans="1:5" x14ac:dyDescent="0.35">
      <c r="A4798" t="s">
        <v>47</v>
      </c>
      <c r="B4798" s="16">
        <v>45742</v>
      </c>
      <c r="C4798">
        <v>8.4</v>
      </c>
      <c r="D4798">
        <v>2</v>
      </c>
      <c r="E4798" t="s">
        <v>6132</v>
      </c>
    </row>
    <row r="4799" spans="1:5" x14ac:dyDescent="0.35">
      <c r="A4799" t="s">
        <v>47</v>
      </c>
      <c r="B4799" s="16">
        <v>45744</v>
      </c>
      <c r="C4799">
        <v>7.7</v>
      </c>
      <c r="D4799">
        <v>1</v>
      </c>
      <c r="E4799" t="s">
        <v>6132</v>
      </c>
    </row>
    <row r="4800" spans="1:5" x14ac:dyDescent="0.35">
      <c r="A4800" t="s">
        <v>47</v>
      </c>
      <c r="B4800" s="16">
        <v>45748</v>
      </c>
      <c r="C4800">
        <v>7.7</v>
      </c>
      <c r="D4800">
        <v>0</v>
      </c>
      <c r="E4800" t="s">
        <v>6132</v>
      </c>
    </row>
    <row r="4801" spans="1:5" x14ac:dyDescent="0.35">
      <c r="A4801" t="s">
        <v>47</v>
      </c>
      <c r="B4801" s="16">
        <v>45755</v>
      </c>
      <c r="C4801">
        <v>7.6</v>
      </c>
      <c r="D4801">
        <v>2</v>
      </c>
      <c r="E4801" t="s">
        <v>6132</v>
      </c>
    </row>
    <row r="4802" spans="1:5" x14ac:dyDescent="0.35">
      <c r="A4802" t="s">
        <v>47</v>
      </c>
      <c r="B4802" s="16">
        <v>45755</v>
      </c>
      <c r="C4802">
        <v>7</v>
      </c>
      <c r="D4802">
        <v>2</v>
      </c>
      <c r="E4802" t="s">
        <v>6132</v>
      </c>
    </row>
    <row r="4803" spans="1:5" x14ac:dyDescent="0.35">
      <c r="A4803" t="s">
        <v>47</v>
      </c>
      <c r="B4803" s="16">
        <v>45756</v>
      </c>
      <c r="C4803">
        <v>5.9</v>
      </c>
      <c r="D4803">
        <v>0</v>
      </c>
      <c r="E4803" t="s">
        <v>6132</v>
      </c>
    </row>
    <row r="4804" spans="1:5" x14ac:dyDescent="0.35">
      <c r="A4804" t="s">
        <v>47</v>
      </c>
      <c r="B4804" s="16">
        <v>45758</v>
      </c>
      <c r="C4804">
        <v>7.4</v>
      </c>
      <c r="D4804">
        <v>0</v>
      </c>
      <c r="E4804" t="s">
        <v>6133</v>
      </c>
    </row>
    <row r="4805" spans="1:5" x14ac:dyDescent="0.35">
      <c r="A4805" t="s">
        <v>47</v>
      </c>
      <c r="B4805" s="16">
        <v>45765</v>
      </c>
      <c r="D4805">
        <v>3</v>
      </c>
      <c r="E4805" t="s">
        <v>6132</v>
      </c>
    </row>
    <row r="4806" spans="1:5" x14ac:dyDescent="0.35">
      <c r="A4806" t="s">
        <v>47</v>
      </c>
      <c r="B4806" s="16">
        <v>45768</v>
      </c>
      <c r="C4806">
        <v>5.7</v>
      </c>
      <c r="D4806">
        <v>0</v>
      </c>
      <c r="E4806" t="s">
        <v>6134</v>
      </c>
    </row>
    <row r="4807" spans="1:5" x14ac:dyDescent="0.35">
      <c r="A4807" t="s">
        <v>47</v>
      </c>
      <c r="B4807" s="16">
        <v>45769</v>
      </c>
      <c r="C4807">
        <v>8.5</v>
      </c>
      <c r="D4807">
        <v>1</v>
      </c>
      <c r="E4807" t="s">
        <v>6132</v>
      </c>
    </row>
    <row r="4808" spans="1:5" x14ac:dyDescent="0.35">
      <c r="A4808" t="s">
        <v>47</v>
      </c>
      <c r="B4808" s="16">
        <v>45770</v>
      </c>
      <c r="C4808">
        <v>5.3</v>
      </c>
      <c r="D4808">
        <v>0</v>
      </c>
      <c r="E4808" t="s">
        <v>6133</v>
      </c>
    </row>
    <row r="4809" spans="1:5" x14ac:dyDescent="0.35">
      <c r="A4809" t="s">
        <v>47</v>
      </c>
      <c r="B4809" s="16">
        <v>45771</v>
      </c>
      <c r="C4809">
        <v>8.3000000000000007</v>
      </c>
      <c r="D4809">
        <v>0</v>
      </c>
      <c r="E4809" t="s">
        <v>6132</v>
      </c>
    </row>
    <row r="4810" spans="1:5" x14ac:dyDescent="0.35">
      <c r="A4810" t="s">
        <v>47</v>
      </c>
      <c r="B4810" s="16">
        <v>45775</v>
      </c>
      <c r="C4810">
        <v>4.5999999999999996</v>
      </c>
      <c r="D4810">
        <v>0</v>
      </c>
      <c r="E4810" t="s">
        <v>6133</v>
      </c>
    </row>
    <row r="4811" spans="1:5" x14ac:dyDescent="0.35">
      <c r="A4811" t="s">
        <v>47</v>
      </c>
      <c r="B4811" s="16">
        <v>45777</v>
      </c>
      <c r="C4811">
        <v>5.2</v>
      </c>
      <c r="D4811">
        <v>4</v>
      </c>
      <c r="E4811" t="s">
        <v>6132</v>
      </c>
    </row>
    <row r="4812" spans="1:5" x14ac:dyDescent="0.35">
      <c r="A4812" t="s">
        <v>47</v>
      </c>
      <c r="B4812" s="16">
        <v>45778</v>
      </c>
      <c r="C4812">
        <v>4.9000000000000004</v>
      </c>
      <c r="D4812">
        <v>3</v>
      </c>
      <c r="E4812" t="s">
        <v>6132</v>
      </c>
    </row>
    <row r="4813" spans="1:5" x14ac:dyDescent="0.35">
      <c r="A4813" t="s">
        <v>47</v>
      </c>
      <c r="B4813" s="16">
        <v>45779</v>
      </c>
      <c r="C4813">
        <v>5.5</v>
      </c>
      <c r="D4813">
        <v>2</v>
      </c>
      <c r="E4813" t="s">
        <v>6132</v>
      </c>
    </row>
    <row r="4814" spans="1:5" x14ac:dyDescent="0.35">
      <c r="A4814" t="s">
        <v>47</v>
      </c>
      <c r="B4814" s="16">
        <v>45782</v>
      </c>
      <c r="C4814">
        <v>8</v>
      </c>
      <c r="D4814">
        <v>0</v>
      </c>
      <c r="E4814" t="s">
        <v>6132</v>
      </c>
    </row>
    <row r="4815" spans="1:5" x14ac:dyDescent="0.35">
      <c r="A4815" t="s">
        <v>47</v>
      </c>
      <c r="B4815" s="16">
        <v>45783</v>
      </c>
      <c r="C4815">
        <v>7.6</v>
      </c>
      <c r="D4815">
        <v>5</v>
      </c>
      <c r="E4815" t="s">
        <v>6132</v>
      </c>
    </row>
    <row r="4816" spans="1:5" x14ac:dyDescent="0.35">
      <c r="A4816" t="s">
        <v>47</v>
      </c>
      <c r="B4816" s="16">
        <v>45784</v>
      </c>
      <c r="C4816">
        <v>7.7</v>
      </c>
      <c r="D4816">
        <v>0</v>
      </c>
      <c r="E4816" t="s">
        <v>6132</v>
      </c>
    </row>
    <row r="4817" spans="1:5" x14ac:dyDescent="0.35">
      <c r="A4817" t="s">
        <v>47</v>
      </c>
      <c r="B4817" s="16">
        <v>45786</v>
      </c>
      <c r="C4817">
        <v>6.2</v>
      </c>
      <c r="D4817">
        <v>3</v>
      </c>
      <c r="E4817" t="s">
        <v>6132</v>
      </c>
    </row>
    <row r="4818" spans="1:5" x14ac:dyDescent="0.35">
      <c r="A4818" t="s">
        <v>47</v>
      </c>
      <c r="B4818" s="16">
        <v>45789</v>
      </c>
      <c r="C4818">
        <v>6</v>
      </c>
      <c r="D4818">
        <v>1</v>
      </c>
      <c r="E4818" t="s">
        <v>6132</v>
      </c>
    </row>
    <row r="4819" spans="1:5" x14ac:dyDescent="0.35">
      <c r="A4819" t="s">
        <v>47</v>
      </c>
      <c r="B4819" s="16">
        <v>45790</v>
      </c>
      <c r="C4819">
        <v>5.5</v>
      </c>
      <c r="D4819">
        <v>2</v>
      </c>
      <c r="E4819" t="s">
        <v>6132</v>
      </c>
    </row>
    <row r="4820" spans="1:5" x14ac:dyDescent="0.35">
      <c r="A4820" t="s">
        <v>47</v>
      </c>
      <c r="B4820" s="16">
        <v>45792</v>
      </c>
      <c r="C4820">
        <v>8.4</v>
      </c>
      <c r="D4820">
        <v>4</v>
      </c>
      <c r="E4820" t="s">
        <v>6132</v>
      </c>
    </row>
    <row r="4821" spans="1:5" x14ac:dyDescent="0.35">
      <c r="A4821" t="s">
        <v>47</v>
      </c>
      <c r="B4821" s="16">
        <v>45793</v>
      </c>
      <c r="C4821">
        <v>5.6</v>
      </c>
      <c r="D4821">
        <v>1</v>
      </c>
      <c r="E4821" t="s">
        <v>6132</v>
      </c>
    </row>
    <row r="4822" spans="1:5" x14ac:dyDescent="0.35">
      <c r="A4822" t="s">
        <v>47</v>
      </c>
      <c r="B4822" s="16">
        <v>45796</v>
      </c>
      <c r="C4822">
        <v>5</v>
      </c>
      <c r="D4822">
        <v>2</v>
      </c>
      <c r="E4822" t="s">
        <v>6132</v>
      </c>
    </row>
    <row r="4823" spans="1:5" x14ac:dyDescent="0.35">
      <c r="A4823" t="s">
        <v>47</v>
      </c>
      <c r="B4823" s="16">
        <v>45800</v>
      </c>
      <c r="C4823">
        <v>5.8</v>
      </c>
      <c r="D4823">
        <v>0</v>
      </c>
      <c r="E4823" t="s">
        <v>6132</v>
      </c>
    </row>
    <row r="4824" spans="1:5" x14ac:dyDescent="0.35">
      <c r="A4824" t="s">
        <v>47</v>
      </c>
      <c r="B4824" s="16">
        <v>45800</v>
      </c>
      <c r="C4824">
        <v>7</v>
      </c>
      <c r="D4824">
        <v>3</v>
      </c>
      <c r="E4824" t="s">
        <v>6132</v>
      </c>
    </row>
    <row r="4825" spans="1:5" x14ac:dyDescent="0.35">
      <c r="A4825" t="s">
        <v>47</v>
      </c>
      <c r="B4825" s="16">
        <v>45803</v>
      </c>
      <c r="C4825">
        <v>7.5</v>
      </c>
      <c r="D4825">
        <v>5</v>
      </c>
      <c r="E4825" t="s">
        <v>6132</v>
      </c>
    </row>
    <row r="4826" spans="1:5" x14ac:dyDescent="0.35">
      <c r="A4826" t="s">
        <v>47</v>
      </c>
      <c r="B4826" s="16">
        <v>45805</v>
      </c>
      <c r="C4826">
        <v>7.1</v>
      </c>
      <c r="D4826">
        <v>0</v>
      </c>
      <c r="E4826" t="s">
        <v>6134</v>
      </c>
    </row>
    <row r="4827" spans="1:5" x14ac:dyDescent="0.35">
      <c r="A4827" t="s">
        <v>47</v>
      </c>
      <c r="B4827" s="16">
        <v>45806</v>
      </c>
      <c r="C4827">
        <v>7.5</v>
      </c>
      <c r="D4827">
        <v>1</v>
      </c>
      <c r="E4827" t="s">
        <v>6132</v>
      </c>
    </row>
    <row r="4828" spans="1:5" x14ac:dyDescent="0.35">
      <c r="A4828" t="s">
        <v>47</v>
      </c>
      <c r="B4828" s="16">
        <v>45810</v>
      </c>
      <c r="C4828">
        <v>6.9</v>
      </c>
      <c r="D4828">
        <v>4</v>
      </c>
      <c r="E4828" t="s">
        <v>6132</v>
      </c>
    </row>
    <row r="4829" spans="1:5" x14ac:dyDescent="0.35">
      <c r="A4829" t="s">
        <v>47</v>
      </c>
      <c r="B4829" s="16">
        <v>45811</v>
      </c>
      <c r="C4829">
        <v>4.0999999999999996</v>
      </c>
      <c r="D4829">
        <v>0</v>
      </c>
      <c r="E4829" t="s">
        <v>6132</v>
      </c>
    </row>
    <row r="4830" spans="1:5" x14ac:dyDescent="0.35">
      <c r="A4830" t="s">
        <v>47</v>
      </c>
      <c r="B4830" s="16">
        <v>45812</v>
      </c>
      <c r="C4830">
        <v>7.9</v>
      </c>
      <c r="D4830">
        <v>3</v>
      </c>
      <c r="E4830" t="s">
        <v>6132</v>
      </c>
    </row>
    <row r="4831" spans="1:5" x14ac:dyDescent="0.35">
      <c r="A4831" t="s">
        <v>47</v>
      </c>
      <c r="B4831" s="16">
        <v>45812</v>
      </c>
      <c r="C4831">
        <v>6.3</v>
      </c>
      <c r="D4831">
        <v>3</v>
      </c>
      <c r="E4831" t="s">
        <v>6132</v>
      </c>
    </row>
    <row r="4832" spans="1:5" x14ac:dyDescent="0.35">
      <c r="A4832" t="s">
        <v>47</v>
      </c>
      <c r="B4832" s="16">
        <v>45813</v>
      </c>
      <c r="C4832">
        <v>6.6</v>
      </c>
      <c r="D4832">
        <v>0</v>
      </c>
      <c r="E4832" t="s">
        <v>6132</v>
      </c>
    </row>
    <row r="4833" spans="1:5" x14ac:dyDescent="0.35">
      <c r="A4833" t="s">
        <v>47</v>
      </c>
      <c r="B4833" s="16">
        <v>45817</v>
      </c>
      <c r="C4833">
        <v>5.3</v>
      </c>
      <c r="D4833">
        <v>3</v>
      </c>
      <c r="E4833" t="s">
        <v>6132</v>
      </c>
    </row>
    <row r="4834" spans="1:5" x14ac:dyDescent="0.35">
      <c r="A4834" t="s">
        <v>47</v>
      </c>
      <c r="B4834" s="16">
        <v>45818</v>
      </c>
      <c r="C4834">
        <v>5.8</v>
      </c>
      <c r="D4834">
        <v>0</v>
      </c>
      <c r="E4834" t="s">
        <v>6132</v>
      </c>
    </row>
    <row r="4835" spans="1:5" x14ac:dyDescent="0.35">
      <c r="A4835" t="s">
        <v>47</v>
      </c>
      <c r="B4835" s="16">
        <v>45818</v>
      </c>
      <c r="C4835">
        <v>8.1</v>
      </c>
      <c r="D4835">
        <v>0</v>
      </c>
      <c r="E4835" t="s">
        <v>6134</v>
      </c>
    </row>
    <row r="4836" spans="1:5" x14ac:dyDescent="0.35">
      <c r="A4836" t="s">
        <v>47</v>
      </c>
      <c r="B4836" s="16">
        <v>45819</v>
      </c>
      <c r="C4836">
        <v>4.0999999999999996</v>
      </c>
      <c r="D4836">
        <v>5</v>
      </c>
      <c r="E4836" t="s">
        <v>6132</v>
      </c>
    </row>
    <row r="4837" spans="1:5" x14ac:dyDescent="0.35">
      <c r="A4837" t="s">
        <v>47</v>
      </c>
      <c r="B4837" s="16">
        <v>45820</v>
      </c>
      <c r="C4837">
        <v>7.7</v>
      </c>
      <c r="D4837">
        <v>2</v>
      </c>
      <c r="E4837" t="s">
        <v>6132</v>
      </c>
    </row>
    <row r="4838" spans="1:5" x14ac:dyDescent="0.35">
      <c r="A4838" t="s">
        <v>47</v>
      </c>
      <c r="B4838" s="16">
        <v>45821</v>
      </c>
      <c r="C4838">
        <v>6.7</v>
      </c>
      <c r="D4838">
        <v>2</v>
      </c>
      <c r="E4838" t="s">
        <v>6132</v>
      </c>
    </row>
    <row r="4839" spans="1:5" x14ac:dyDescent="0.35">
      <c r="A4839" t="s">
        <v>47</v>
      </c>
      <c r="B4839" s="16">
        <v>45824</v>
      </c>
      <c r="C4839">
        <v>6.9</v>
      </c>
      <c r="D4839">
        <v>1</v>
      </c>
      <c r="E4839" t="s">
        <v>6132</v>
      </c>
    </row>
    <row r="4840" spans="1:5" x14ac:dyDescent="0.35">
      <c r="A4840" t="s">
        <v>47</v>
      </c>
      <c r="B4840" s="16">
        <v>45826</v>
      </c>
      <c r="C4840">
        <v>7.6</v>
      </c>
      <c r="D4840">
        <v>1</v>
      </c>
      <c r="E4840" t="s">
        <v>6132</v>
      </c>
    </row>
    <row r="4841" spans="1:5" x14ac:dyDescent="0.35">
      <c r="A4841" t="s">
        <v>47</v>
      </c>
      <c r="B4841" s="16">
        <v>45831</v>
      </c>
      <c r="D4841">
        <v>0</v>
      </c>
      <c r="E4841" t="s">
        <v>6134</v>
      </c>
    </row>
    <row r="4842" spans="1:5" x14ac:dyDescent="0.35">
      <c r="A4842" t="s">
        <v>47</v>
      </c>
      <c r="B4842" s="16">
        <v>45831</v>
      </c>
      <c r="C4842">
        <v>8.6</v>
      </c>
      <c r="D4842">
        <v>1</v>
      </c>
      <c r="E4842" t="s">
        <v>6132</v>
      </c>
    </row>
    <row r="4843" spans="1:5" x14ac:dyDescent="0.35">
      <c r="A4843" t="s">
        <v>47</v>
      </c>
      <c r="B4843" s="16">
        <v>45834</v>
      </c>
      <c r="C4843">
        <v>5.4</v>
      </c>
      <c r="D4843">
        <v>1</v>
      </c>
      <c r="E4843" t="s">
        <v>6132</v>
      </c>
    </row>
    <row r="4844" spans="1:5" x14ac:dyDescent="0.35">
      <c r="A4844" t="s">
        <v>47</v>
      </c>
      <c r="B4844" s="16">
        <v>45834</v>
      </c>
      <c r="C4844">
        <v>4.5999999999999996</v>
      </c>
      <c r="D4844">
        <v>2</v>
      </c>
      <c r="E4844" t="s">
        <v>6132</v>
      </c>
    </row>
    <row r="4845" spans="1:5" x14ac:dyDescent="0.35">
      <c r="A4845" t="s">
        <v>47</v>
      </c>
      <c r="B4845" s="16">
        <v>45838</v>
      </c>
      <c r="C4845">
        <v>8.1999999999999993</v>
      </c>
      <c r="D4845">
        <v>0</v>
      </c>
      <c r="E4845" t="s">
        <v>6133</v>
      </c>
    </row>
    <row r="4846" spans="1:5" x14ac:dyDescent="0.35">
      <c r="A4846" t="s">
        <v>47</v>
      </c>
      <c r="B4846" s="16">
        <v>45838</v>
      </c>
      <c r="C4846">
        <v>7.1</v>
      </c>
      <c r="D4846">
        <v>1</v>
      </c>
      <c r="E4846" t="s">
        <v>6132</v>
      </c>
    </row>
    <row r="4847" spans="1:5" x14ac:dyDescent="0.35">
      <c r="A4847" t="s">
        <v>47</v>
      </c>
      <c r="B4847" s="16">
        <v>45842</v>
      </c>
      <c r="C4847">
        <v>5.6</v>
      </c>
      <c r="D4847">
        <v>1</v>
      </c>
      <c r="E4847" t="s">
        <v>6132</v>
      </c>
    </row>
    <row r="4848" spans="1:5" x14ac:dyDescent="0.35">
      <c r="A4848" t="s">
        <v>47</v>
      </c>
      <c r="B4848" s="16">
        <v>45847</v>
      </c>
      <c r="C4848">
        <v>7.9</v>
      </c>
      <c r="D4848">
        <v>5</v>
      </c>
      <c r="E4848" t="s">
        <v>6132</v>
      </c>
    </row>
    <row r="4849" spans="1:5" x14ac:dyDescent="0.35">
      <c r="A4849" t="s">
        <v>47</v>
      </c>
      <c r="B4849" s="16">
        <v>45848</v>
      </c>
      <c r="C4849">
        <v>4.7</v>
      </c>
      <c r="D4849">
        <v>0</v>
      </c>
      <c r="E4849" t="s">
        <v>6132</v>
      </c>
    </row>
    <row r="4850" spans="1:5" x14ac:dyDescent="0.35">
      <c r="A4850" t="s">
        <v>47</v>
      </c>
      <c r="B4850" s="16">
        <v>45852</v>
      </c>
      <c r="C4850">
        <v>5.9</v>
      </c>
      <c r="D4850">
        <v>2</v>
      </c>
      <c r="E4850" t="s">
        <v>6132</v>
      </c>
    </row>
    <row r="4851" spans="1:5" x14ac:dyDescent="0.35">
      <c r="A4851" t="s">
        <v>47</v>
      </c>
      <c r="B4851" s="16">
        <v>45853</v>
      </c>
      <c r="C4851">
        <v>8</v>
      </c>
      <c r="D4851">
        <v>4</v>
      </c>
      <c r="E4851" t="s">
        <v>6132</v>
      </c>
    </row>
    <row r="4852" spans="1:5" x14ac:dyDescent="0.35">
      <c r="A4852" t="s">
        <v>47</v>
      </c>
      <c r="B4852" s="16">
        <v>45854</v>
      </c>
      <c r="C4852">
        <v>4.2</v>
      </c>
      <c r="D4852">
        <v>0</v>
      </c>
      <c r="E4852" t="s">
        <v>6133</v>
      </c>
    </row>
    <row r="4853" spans="1:5" x14ac:dyDescent="0.35">
      <c r="A4853" t="s">
        <v>47</v>
      </c>
      <c r="B4853" s="16">
        <v>45856</v>
      </c>
      <c r="C4853">
        <v>6.5</v>
      </c>
      <c r="D4853">
        <v>2</v>
      </c>
      <c r="E4853" t="s">
        <v>6132</v>
      </c>
    </row>
    <row r="4854" spans="1:5" x14ac:dyDescent="0.35">
      <c r="A4854" t="s">
        <v>47</v>
      </c>
      <c r="B4854" s="16">
        <v>45859</v>
      </c>
      <c r="C4854">
        <v>6.9</v>
      </c>
      <c r="D4854">
        <v>0</v>
      </c>
      <c r="E4854" t="s">
        <v>6132</v>
      </c>
    </row>
    <row r="4855" spans="1:5" x14ac:dyDescent="0.35">
      <c r="A4855" t="s">
        <v>47</v>
      </c>
      <c r="B4855" s="16">
        <v>45860</v>
      </c>
      <c r="C4855">
        <v>7.9</v>
      </c>
      <c r="D4855">
        <v>0</v>
      </c>
      <c r="E4855" t="s">
        <v>6132</v>
      </c>
    </row>
    <row r="4856" spans="1:5" x14ac:dyDescent="0.35">
      <c r="A4856" t="s">
        <v>47</v>
      </c>
      <c r="B4856" s="16">
        <v>45860</v>
      </c>
      <c r="C4856">
        <v>5.5</v>
      </c>
      <c r="D4856">
        <v>0</v>
      </c>
      <c r="E4856" t="s">
        <v>6132</v>
      </c>
    </row>
    <row r="4857" spans="1:5" x14ac:dyDescent="0.35">
      <c r="A4857" t="s">
        <v>47</v>
      </c>
      <c r="B4857" s="16">
        <v>45867</v>
      </c>
      <c r="C4857">
        <v>5.2</v>
      </c>
      <c r="D4857">
        <v>1</v>
      </c>
      <c r="E4857" t="s">
        <v>6132</v>
      </c>
    </row>
    <row r="4858" spans="1:5" x14ac:dyDescent="0.35">
      <c r="A4858" t="s">
        <v>47</v>
      </c>
      <c r="B4858" s="16">
        <v>45868</v>
      </c>
      <c r="C4858">
        <v>4.7</v>
      </c>
      <c r="D4858">
        <v>2</v>
      </c>
      <c r="E4858" t="s">
        <v>6132</v>
      </c>
    </row>
    <row r="4859" spans="1:5" x14ac:dyDescent="0.35">
      <c r="A4859" t="s">
        <v>47</v>
      </c>
      <c r="B4859" s="16">
        <v>45869</v>
      </c>
      <c r="C4859">
        <v>8.9</v>
      </c>
      <c r="D4859">
        <v>3</v>
      </c>
      <c r="E4859" t="s">
        <v>6132</v>
      </c>
    </row>
    <row r="4860" spans="1:5" x14ac:dyDescent="0.35">
      <c r="A4860" t="s">
        <v>47</v>
      </c>
      <c r="B4860" s="16">
        <v>45870</v>
      </c>
      <c r="C4860">
        <v>6.6</v>
      </c>
      <c r="D4860">
        <v>2</v>
      </c>
      <c r="E4860" t="s">
        <v>6132</v>
      </c>
    </row>
    <row r="4861" spans="1:5" x14ac:dyDescent="0.35">
      <c r="A4861" t="s">
        <v>47</v>
      </c>
      <c r="B4861" s="16">
        <v>45874</v>
      </c>
      <c r="C4861">
        <v>4.0999999999999996</v>
      </c>
      <c r="D4861">
        <v>3</v>
      </c>
      <c r="E4861" t="s">
        <v>6132</v>
      </c>
    </row>
    <row r="4862" spans="1:5" x14ac:dyDescent="0.35">
      <c r="A4862" t="s">
        <v>47</v>
      </c>
      <c r="B4862" s="16">
        <v>45875</v>
      </c>
      <c r="C4862">
        <v>4.3</v>
      </c>
      <c r="D4862">
        <v>1</v>
      </c>
      <c r="E4862" t="s">
        <v>6132</v>
      </c>
    </row>
    <row r="4863" spans="1:5" x14ac:dyDescent="0.35">
      <c r="A4863" t="s">
        <v>47</v>
      </c>
      <c r="B4863" s="16">
        <v>45876</v>
      </c>
      <c r="C4863">
        <v>7.1</v>
      </c>
      <c r="D4863">
        <v>1</v>
      </c>
      <c r="E4863" t="s">
        <v>6132</v>
      </c>
    </row>
    <row r="4864" spans="1:5" x14ac:dyDescent="0.35">
      <c r="A4864" t="s">
        <v>47</v>
      </c>
      <c r="B4864" s="16">
        <v>45880</v>
      </c>
      <c r="C4864">
        <v>6.3</v>
      </c>
      <c r="D4864">
        <v>5</v>
      </c>
      <c r="E4864" t="s">
        <v>6132</v>
      </c>
    </row>
    <row r="4865" spans="1:5" x14ac:dyDescent="0.35">
      <c r="A4865" t="s">
        <v>47</v>
      </c>
      <c r="B4865" s="16">
        <v>45881</v>
      </c>
      <c r="C4865">
        <v>5.9</v>
      </c>
      <c r="D4865">
        <v>1</v>
      </c>
      <c r="E4865" t="s">
        <v>6132</v>
      </c>
    </row>
    <row r="4866" spans="1:5" x14ac:dyDescent="0.35">
      <c r="A4866" t="s">
        <v>47</v>
      </c>
      <c r="B4866" s="16">
        <v>45882</v>
      </c>
      <c r="C4866">
        <v>5.2</v>
      </c>
      <c r="D4866">
        <v>1</v>
      </c>
      <c r="E4866" t="s">
        <v>6132</v>
      </c>
    </row>
    <row r="4867" spans="1:5" x14ac:dyDescent="0.35">
      <c r="A4867" t="s">
        <v>47</v>
      </c>
      <c r="B4867" s="16">
        <v>45883</v>
      </c>
      <c r="D4867">
        <v>0</v>
      </c>
      <c r="E4867" t="s">
        <v>6132</v>
      </c>
    </row>
    <row r="4868" spans="1:5" x14ac:dyDescent="0.35">
      <c r="A4868" t="s">
        <v>47</v>
      </c>
      <c r="B4868" s="16">
        <v>45884</v>
      </c>
      <c r="C4868">
        <v>8.3000000000000007</v>
      </c>
      <c r="D4868">
        <v>3</v>
      </c>
      <c r="E4868" t="s">
        <v>6132</v>
      </c>
    </row>
    <row r="4869" spans="1:5" x14ac:dyDescent="0.35">
      <c r="A4869" t="s">
        <v>47</v>
      </c>
      <c r="B4869" s="16">
        <v>45887</v>
      </c>
      <c r="C4869">
        <v>8.1</v>
      </c>
      <c r="D4869">
        <v>0</v>
      </c>
      <c r="E4869" t="s">
        <v>6132</v>
      </c>
    </row>
    <row r="4870" spans="1:5" x14ac:dyDescent="0.35">
      <c r="A4870" t="s">
        <v>47</v>
      </c>
      <c r="B4870" s="16">
        <v>45890</v>
      </c>
      <c r="C4870">
        <v>8.1</v>
      </c>
      <c r="D4870">
        <v>3</v>
      </c>
      <c r="E4870" t="s">
        <v>6132</v>
      </c>
    </row>
    <row r="4871" spans="1:5" x14ac:dyDescent="0.35">
      <c r="A4871" t="s">
        <v>47</v>
      </c>
      <c r="B4871" s="16">
        <v>45891</v>
      </c>
      <c r="C4871">
        <v>6.8</v>
      </c>
      <c r="D4871">
        <v>4</v>
      </c>
      <c r="E4871" t="s">
        <v>6132</v>
      </c>
    </row>
    <row r="4872" spans="1:5" x14ac:dyDescent="0.35">
      <c r="A4872" t="s">
        <v>47</v>
      </c>
      <c r="B4872" s="16">
        <v>45894</v>
      </c>
      <c r="C4872">
        <v>7.8</v>
      </c>
      <c r="D4872">
        <v>1</v>
      </c>
      <c r="E4872" t="s">
        <v>6132</v>
      </c>
    </row>
    <row r="4873" spans="1:5" x14ac:dyDescent="0.35">
      <c r="A4873" t="s">
        <v>47</v>
      </c>
      <c r="B4873" s="16">
        <v>45894</v>
      </c>
      <c r="C4873">
        <v>8.8000000000000007</v>
      </c>
      <c r="D4873">
        <v>3</v>
      </c>
      <c r="E4873" t="s">
        <v>6132</v>
      </c>
    </row>
    <row r="4874" spans="1:5" x14ac:dyDescent="0.35">
      <c r="A4874" t="s">
        <v>47</v>
      </c>
      <c r="B4874" s="16">
        <v>45898</v>
      </c>
      <c r="D4874">
        <v>4</v>
      </c>
      <c r="E4874" t="s">
        <v>6132</v>
      </c>
    </row>
    <row r="4875" spans="1:5" x14ac:dyDescent="0.35">
      <c r="A4875" t="s">
        <v>47</v>
      </c>
      <c r="B4875" s="16">
        <v>45903</v>
      </c>
      <c r="C4875">
        <v>4.9000000000000004</v>
      </c>
      <c r="D4875">
        <v>1</v>
      </c>
      <c r="E4875" t="s">
        <v>6132</v>
      </c>
    </row>
    <row r="4876" spans="1:5" x14ac:dyDescent="0.35">
      <c r="A4876" t="s">
        <v>47</v>
      </c>
      <c r="B4876" s="16">
        <v>45908</v>
      </c>
      <c r="C4876">
        <v>5.4</v>
      </c>
      <c r="D4876">
        <v>0</v>
      </c>
      <c r="E4876" t="s">
        <v>6132</v>
      </c>
    </row>
    <row r="4877" spans="1:5" x14ac:dyDescent="0.35">
      <c r="A4877" t="s">
        <v>47</v>
      </c>
      <c r="B4877" s="16">
        <v>45909</v>
      </c>
      <c r="C4877">
        <v>6.3</v>
      </c>
      <c r="D4877">
        <v>6</v>
      </c>
      <c r="E4877" t="s">
        <v>6132</v>
      </c>
    </row>
    <row r="4878" spans="1:5" x14ac:dyDescent="0.35">
      <c r="A4878" t="s">
        <v>47</v>
      </c>
      <c r="B4878" s="16">
        <v>45911</v>
      </c>
      <c r="C4878">
        <v>8.1</v>
      </c>
      <c r="D4878">
        <v>1</v>
      </c>
      <c r="E4878" t="s">
        <v>6132</v>
      </c>
    </row>
    <row r="4879" spans="1:5" x14ac:dyDescent="0.35">
      <c r="A4879" t="s">
        <v>47</v>
      </c>
      <c r="B4879" s="16">
        <v>45912</v>
      </c>
      <c r="C4879">
        <v>4.7</v>
      </c>
      <c r="D4879">
        <v>4</v>
      </c>
      <c r="E4879" t="s">
        <v>6132</v>
      </c>
    </row>
    <row r="4880" spans="1:5" x14ac:dyDescent="0.35">
      <c r="A4880" t="s">
        <v>47</v>
      </c>
      <c r="B4880" s="16">
        <v>45915</v>
      </c>
      <c r="C4880">
        <v>5.0999999999999996</v>
      </c>
      <c r="D4880">
        <v>2</v>
      </c>
      <c r="E4880" t="s">
        <v>6132</v>
      </c>
    </row>
    <row r="4881" spans="1:5" x14ac:dyDescent="0.35">
      <c r="A4881" t="s">
        <v>47</v>
      </c>
      <c r="B4881" s="16">
        <v>45915</v>
      </c>
      <c r="C4881">
        <v>9</v>
      </c>
      <c r="D4881">
        <v>0</v>
      </c>
      <c r="E4881" t="s">
        <v>6132</v>
      </c>
    </row>
    <row r="4882" spans="1:5" x14ac:dyDescent="0.35">
      <c r="A4882" t="s">
        <v>47</v>
      </c>
      <c r="B4882" s="16">
        <v>45916</v>
      </c>
      <c r="C4882">
        <v>5.2</v>
      </c>
      <c r="D4882">
        <v>0</v>
      </c>
      <c r="E4882" t="s">
        <v>6133</v>
      </c>
    </row>
    <row r="4883" spans="1:5" x14ac:dyDescent="0.35">
      <c r="A4883" t="s">
        <v>47</v>
      </c>
      <c r="B4883" s="16">
        <v>45918</v>
      </c>
      <c r="C4883">
        <v>7.7</v>
      </c>
      <c r="D4883">
        <v>0</v>
      </c>
      <c r="E4883" t="s">
        <v>6132</v>
      </c>
    </row>
    <row r="4884" spans="1:5" x14ac:dyDescent="0.35">
      <c r="A4884" t="s">
        <v>47</v>
      </c>
      <c r="B4884" s="16">
        <v>45919</v>
      </c>
      <c r="C4884">
        <v>4.0999999999999996</v>
      </c>
      <c r="D4884">
        <v>1</v>
      </c>
      <c r="E4884" t="s">
        <v>6132</v>
      </c>
    </row>
    <row r="4885" spans="1:5" x14ac:dyDescent="0.35">
      <c r="A4885" t="s">
        <v>47</v>
      </c>
      <c r="B4885" s="16">
        <v>45919</v>
      </c>
      <c r="C4885">
        <v>6.6</v>
      </c>
      <c r="D4885">
        <v>2</v>
      </c>
      <c r="E4885" t="s">
        <v>6132</v>
      </c>
    </row>
    <row r="4886" spans="1:5" x14ac:dyDescent="0.35">
      <c r="A4886" t="s">
        <v>47</v>
      </c>
      <c r="B4886" s="16">
        <v>45922</v>
      </c>
      <c r="C4886">
        <v>6.7</v>
      </c>
      <c r="D4886">
        <v>0</v>
      </c>
      <c r="E4886" t="s">
        <v>6132</v>
      </c>
    </row>
    <row r="4887" spans="1:5" x14ac:dyDescent="0.35">
      <c r="A4887" t="s">
        <v>47</v>
      </c>
      <c r="B4887" s="16">
        <v>45923</v>
      </c>
      <c r="C4887">
        <v>7.6</v>
      </c>
      <c r="D4887">
        <v>3</v>
      </c>
      <c r="E4887" t="s">
        <v>6132</v>
      </c>
    </row>
    <row r="4888" spans="1:5" x14ac:dyDescent="0.35">
      <c r="A4888" t="s">
        <v>47</v>
      </c>
      <c r="B4888" s="16">
        <v>45924</v>
      </c>
      <c r="C4888">
        <v>6.7</v>
      </c>
      <c r="D4888">
        <v>6</v>
      </c>
      <c r="E4888" t="s">
        <v>6132</v>
      </c>
    </row>
    <row r="4889" spans="1:5" x14ac:dyDescent="0.35">
      <c r="A4889" t="s">
        <v>47</v>
      </c>
      <c r="B4889" s="16">
        <v>45926</v>
      </c>
      <c r="C4889">
        <v>6.6</v>
      </c>
      <c r="D4889">
        <v>1</v>
      </c>
      <c r="E4889" t="s">
        <v>6132</v>
      </c>
    </row>
    <row r="4890" spans="1:5" x14ac:dyDescent="0.35">
      <c r="A4890" t="s">
        <v>47</v>
      </c>
      <c r="B4890" s="16">
        <v>45930</v>
      </c>
      <c r="C4890">
        <v>5.7</v>
      </c>
      <c r="D4890">
        <v>3</v>
      </c>
      <c r="E4890" t="s">
        <v>6132</v>
      </c>
    </row>
    <row r="4891" spans="1:5" x14ac:dyDescent="0.35">
      <c r="A4891" t="s">
        <v>47</v>
      </c>
      <c r="B4891" s="16">
        <v>45931</v>
      </c>
      <c r="C4891">
        <v>6.5</v>
      </c>
      <c r="D4891">
        <v>1</v>
      </c>
      <c r="E4891" t="s">
        <v>6132</v>
      </c>
    </row>
    <row r="4892" spans="1:5" x14ac:dyDescent="0.35">
      <c r="A4892" t="s">
        <v>47</v>
      </c>
      <c r="B4892" s="16">
        <v>45933</v>
      </c>
      <c r="C4892">
        <v>4.9000000000000004</v>
      </c>
      <c r="D4892">
        <v>1</v>
      </c>
      <c r="E4892" t="s">
        <v>6132</v>
      </c>
    </row>
    <row r="4893" spans="1:5" x14ac:dyDescent="0.35">
      <c r="A4893" t="s">
        <v>47</v>
      </c>
      <c r="B4893" s="16">
        <v>45937</v>
      </c>
      <c r="C4893">
        <v>5.5</v>
      </c>
      <c r="D4893">
        <v>0</v>
      </c>
      <c r="E4893" t="s">
        <v>6132</v>
      </c>
    </row>
    <row r="4894" spans="1:5" x14ac:dyDescent="0.35">
      <c r="A4894" t="s">
        <v>47</v>
      </c>
      <c r="B4894" s="16">
        <v>45938</v>
      </c>
      <c r="C4894">
        <v>6.4</v>
      </c>
      <c r="D4894">
        <v>2</v>
      </c>
      <c r="E4894" t="s">
        <v>6132</v>
      </c>
    </row>
    <row r="4895" spans="1:5" x14ac:dyDescent="0.35">
      <c r="A4895" t="s">
        <v>47</v>
      </c>
      <c r="B4895" s="16">
        <v>45939</v>
      </c>
      <c r="C4895">
        <v>5.8</v>
      </c>
      <c r="D4895">
        <v>0</v>
      </c>
      <c r="E4895" t="s">
        <v>6132</v>
      </c>
    </row>
    <row r="4896" spans="1:5" x14ac:dyDescent="0.35">
      <c r="A4896" t="s">
        <v>47</v>
      </c>
      <c r="B4896" s="16">
        <v>45943</v>
      </c>
      <c r="C4896">
        <v>8.6</v>
      </c>
      <c r="D4896">
        <v>0</v>
      </c>
      <c r="E4896" t="s">
        <v>6132</v>
      </c>
    </row>
    <row r="4897" spans="1:5" x14ac:dyDescent="0.35">
      <c r="A4897" t="s">
        <v>47</v>
      </c>
      <c r="B4897" s="16">
        <v>45945</v>
      </c>
      <c r="C4897">
        <v>6.5</v>
      </c>
      <c r="D4897">
        <v>1</v>
      </c>
      <c r="E4897" t="s">
        <v>6132</v>
      </c>
    </row>
    <row r="4898" spans="1:5" x14ac:dyDescent="0.35">
      <c r="A4898" t="s">
        <v>47</v>
      </c>
      <c r="B4898" s="16">
        <v>45946</v>
      </c>
      <c r="C4898">
        <v>7.1</v>
      </c>
      <c r="D4898">
        <v>0</v>
      </c>
      <c r="E4898" t="s">
        <v>6132</v>
      </c>
    </row>
    <row r="4899" spans="1:5" x14ac:dyDescent="0.35">
      <c r="A4899" t="s">
        <v>47</v>
      </c>
      <c r="B4899" s="16">
        <v>45957</v>
      </c>
      <c r="C4899">
        <v>7.8</v>
      </c>
      <c r="D4899">
        <v>4</v>
      </c>
      <c r="E4899" t="s">
        <v>6132</v>
      </c>
    </row>
    <row r="4900" spans="1:5" x14ac:dyDescent="0.35">
      <c r="A4900" t="s">
        <v>47</v>
      </c>
      <c r="B4900" s="16">
        <v>45959</v>
      </c>
      <c r="C4900">
        <v>8</v>
      </c>
      <c r="D4900">
        <v>3</v>
      </c>
      <c r="E4900" t="s">
        <v>6132</v>
      </c>
    </row>
    <row r="4901" spans="1:5" x14ac:dyDescent="0.35">
      <c r="A4901" t="s">
        <v>47</v>
      </c>
      <c r="B4901" s="16">
        <v>45964</v>
      </c>
      <c r="C4901">
        <v>6</v>
      </c>
      <c r="D4901">
        <v>4</v>
      </c>
      <c r="E4901" t="s">
        <v>6132</v>
      </c>
    </row>
    <row r="4902" spans="1:5" x14ac:dyDescent="0.35">
      <c r="A4902" t="s">
        <v>47</v>
      </c>
      <c r="B4902" s="16">
        <v>45971</v>
      </c>
      <c r="C4902">
        <v>6.7</v>
      </c>
      <c r="D4902">
        <v>4</v>
      </c>
      <c r="E4902" t="s">
        <v>6132</v>
      </c>
    </row>
    <row r="4903" spans="1:5" x14ac:dyDescent="0.35">
      <c r="A4903" t="s">
        <v>47</v>
      </c>
      <c r="B4903" s="16">
        <v>45972</v>
      </c>
      <c r="C4903">
        <v>7.2</v>
      </c>
      <c r="D4903">
        <v>4</v>
      </c>
      <c r="E4903" t="s">
        <v>6132</v>
      </c>
    </row>
    <row r="4904" spans="1:5" x14ac:dyDescent="0.35">
      <c r="A4904" t="s">
        <v>47</v>
      </c>
      <c r="B4904" s="16">
        <v>45973</v>
      </c>
      <c r="C4904">
        <v>5.5</v>
      </c>
      <c r="D4904">
        <v>5</v>
      </c>
      <c r="E4904" t="s">
        <v>6132</v>
      </c>
    </row>
    <row r="4905" spans="1:5" x14ac:dyDescent="0.35">
      <c r="A4905" t="s">
        <v>47</v>
      </c>
      <c r="B4905" s="16">
        <v>45974</v>
      </c>
      <c r="C4905">
        <v>7.6</v>
      </c>
      <c r="D4905">
        <v>1</v>
      </c>
      <c r="E4905" t="s">
        <v>6132</v>
      </c>
    </row>
    <row r="4906" spans="1:5" x14ac:dyDescent="0.35">
      <c r="A4906" t="s">
        <v>47</v>
      </c>
      <c r="B4906" s="16">
        <v>45975</v>
      </c>
      <c r="C4906">
        <v>7.2</v>
      </c>
      <c r="D4906">
        <v>4</v>
      </c>
      <c r="E4906" t="s">
        <v>6132</v>
      </c>
    </row>
    <row r="4907" spans="1:5" x14ac:dyDescent="0.35">
      <c r="A4907" t="s">
        <v>47</v>
      </c>
      <c r="B4907" s="16">
        <v>45978</v>
      </c>
      <c r="C4907">
        <v>4.5999999999999996</v>
      </c>
      <c r="D4907">
        <v>1</v>
      </c>
      <c r="E4907" t="s">
        <v>6132</v>
      </c>
    </row>
    <row r="4908" spans="1:5" x14ac:dyDescent="0.35">
      <c r="A4908" t="s">
        <v>47</v>
      </c>
      <c r="B4908" s="16">
        <v>45979</v>
      </c>
      <c r="C4908">
        <v>7.1</v>
      </c>
      <c r="D4908">
        <v>1</v>
      </c>
      <c r="E4908" t="s">
        <v>6132</v>
      </c>
    </row>
    <row r="4909" spans="1:5" x14ac:dyDescent="0.35">
      <c r="A4909" t="s">
        <v>47</v>
      </c>
      <c r="B4909" s="16">
        <v>45980</v>
      </c>
      <c r="C4909">
        <v>8.9</v>
      </c>
      <c r="D4909">
        <v>3</v>
      </c>
      <c r="E4909" t="s">
        <v>6132</v>
      </c>
    </row>
    <row r="4910" spans="1:5" x14ac:dyDescent="0.35">
      <c r="A4910" t="s">
        <v>47</v>
      </c>
      <c r="B4910" s="16">
        <v>45985</v>
      </c>
      <c r="D4910">
        <v>3</v>
      </c>
      <c r="E4910" t="s">
        <v>6132</v>
      </c>
    </row>
    <row r="4911" spans="1:5" x14ac:dyDescent="0.35">
      <c r="A4911" t="s">
        <v>47</v>
      </c>
      <c r="B4911" s="16">
        <v>45986</v>
      </c>
      <c r="C4911">
        <v>7</v>
      </c>
      <c r="D4911">
        <v>4</v>
      </c>
      <c r="E4911" t="s">
        <v>6132</v>
      </c>
    </row>
    <row r="4912" spans="1:5" x14ac:dyDescent="0.35">
      <c r="A4912" t="s">
        <v>47</v>
      </c>
      <c r="B4912" s="16">
        <v>45987</v>
      </c>
      <c r="C4912">
        <v>4.3</v>
      </c>
      <c r="D4912">
        <v>4</v>
      </c>
      <c r="E4912" t="s">
        <v>6132</v>
      </c>
    </row>
    <row r="4913" spans="1:5" x14ac:dyDescent="0.35">
      <c r="A4913" t="s">
        <v>47</v>
      </c>
      <c r="B4913" s="16">
        <v>45993</v>
      </c>
      <c r="C4913">
        <v>5.7</v>
      </c>
      <c r="D4913">
        <v>0</v>
      </c>
      <c r="E4913" t="s">
        <v>6132</v>
      </c>
    </row>
    <row r="4914" spans="1:5" x14ac:dyDescent="0.35">
      <c r="A4914" t="s">
        <v>47</v>
      </c>
      <c r="B4914" s="16">
        <v>45994</v>
      </c>
      <c r="C4914">
        <v>6.6</v>
      </c>
      <c r="D4914">
        <v>4</v>
      </c>
      <c r="E4914" t="s">
        <v>6132</v>
      </c>
    </row>
    <row r="4915" spans="1:5" x14ac:dyDescent="0.35">
      <c r="A4915" t="s">
        <v>47</v>
      </c>
      <c r="B4915" s="16">
        <v>45999</v>
      </c>
      <c r="C4915">
        <v>5.5</v>
      </c>
      <c r="D4915">
        <v>3</v>
      </c>
      <c r="E4915" t="s">
        <v>6132</v>
      </c>
    </row>
    <row r="4916" spans="1:5" x14ac:dyDescent="0.35">
      <c r="A4916" t="s">
        <v>47</v>
      </c>
      <c r="B4916" s="16">
        <v>46002</v>
      </c>
      <c r="C4916">
        <v>6.5</v>
      </c>
      <c r="D4916">
        <v>6</v>
      </c>
      <c r="E4916" t="s">
        <v>6132</v>
      </c>
    </row>
    <row r="4917" spans="1:5" x14ac:dyDescent="0.35">
      <c r="A4917" t="s">
        <v>47</v>
      </c>
      <c r="B4917" s="16">
        <v>46003</v>
      </c>
      <c r="C4917">
        <v>4.8</v>
      </c>
      <c r="D4917">
        <v>2</v>
      </c>
      <c r="E4917" t="s">
        <v>6132</v>
      </c>
    </row>
    <row r="4918" spans="1:5" x14ac:dyDescent="0.35">
      <c r="A4918" t="s">
        <v>47</v>
      </c>
      <c r="B4918" s="16">
        <v>46006</v>
      </c>
      <c r="C4918">
        <v>4.4000000000000004</v>
      </c>
      <c r="D4918">
        <v>3</v>
      </c>
      <c r="E4918" t="s">
        <v>6132</v>
      </c>
    </row>
    <row r="4919" spans="1:5" x14ac:dyDescent="0.35">
      <c r="A4919" t="s">
        <v>47</v>
      </c>
      <c r="B4919" s="16">
        <v>46009</v>
      </c>
      <c r="C4919">
        <v>6.7</v>
      </c>
      <c r="D4919">
        <v>3</v>
      </c>
      <c r="E4919" t="s">
        <v>6132</v>
      </c>
    </row>
    <row r="4920" spans="1:5" x14ac:dyDescent="0.35">
      <c r="A4920" t="s">
        <v>47</v>
      </c>
      <c r="B4920" s="16">
        <v>46014</v>
      </c>
      <c r="C4920">
        <v>7.1</v>
      </c>
      <c r="D4920">
        <v>0</v>
      </c>
      <c r="E4920" t="s">
        <v>6132</v>
      </c>
    </row>
    <row r="4921" spans="1:5" x14ac:dyDescent="0.35">
      <c r="A4921" t="s">
        <v>47</v>
      </c>
      <c r="B4921" s="16">
        <v>46016</v>
      </c>
      <c r="C4921">
        <v>4.8</v>
      </c>
      <c r="D4921">
        <v>4</v>
      </c>
      <c r="E4921" t="s">
        <v>6132</v>
      </c>
    </row>
    <row r="4922" spans="1:5" x14ac:dyDescent="0.35">
      <c r="A4922" t="s">
        <v>47</v>
      </c>
      <c r="B4922" s="16">
        <v>46016</v>
      </c>
      <c r="C4922">
        <v>8.1</v>
      </c>
      <c r="D4922">
        <v>2</v>
      </c>
      <c r="E4922" t="s">
        <v>6132</v>
      </c>
    </row>
    <row r="4923" spans="1:5" x14ac:dyDescent="0.35">
      <c r="A4923" t="s">
        <v>47</v>
      </c>
      <c r="B4923" s="16">
        <v>46017</v>
      </c>
      <c r="C4923">
        <v>8.6999999999999993</v>
      </c>
      <c r="D4923">
        <v>0</v>
      </c>
      <c r="E4923" t="s">
        <v>6134</v>
      </c>
    </row>
    <row r="4924" spans="1:5" x14ac:dyDescent="0.35">
      <c r="A4924" t="s">
        <v>47</v>
      </c>
      <c r="B4924" s="16">
        <v>46020</v>
      </c>
      <c r="C4924">
        <v>4.3</v>
      </c>
      <c r="D4924">
        <v>3</v>
      </c>
      <c r="E4924" t="s">
        <v>6132</v>
      </c>
    </row>
    <row r="4925" spans="1:5" x14ac:dyDescent="0.35">
      <c r="A4925" t="s">
        <v>47</v>
      </c>
      <c r="B4925" s="16">
        <v>46021</v>
      </c>
      <c r="C4925">
        <v>4.4000000000000004</v>
      </c>
      <c r="D4925">
        <v>0</v>
      </c>
      <c r="E4925" t="s">
        <v>6132</v>
      </c>
    </row>
    <row r="4926" spans="1:5" x14ac:dyDescent="0.35">
      <c r="A4926" t="s">
        <v>47</v>
      </c>
      <c r="B4926" s="16">
        <v>46022</v>
      </c>
      <c r="C4926">
        <v>8.8000000000000007</v>
      </c>
      <c r="D4926">
        <v>9</v>
      </c>
      <c r="E4926" t="s">
        <v>6132</v>
      </c>
    </row>
    <row r="4927" spans="1:5" x14ac:dyDescent="0.35">
      <c r="A4927" t="s">
        <v>57</v>
      </c>
      <c r="B4927" s="16">
        <v>45658</v>
      </c>
      <c r="C4927">
        <v>4.5</v>
      </c>
      <c r="D4927">
        <v>0</v>
      </c>
      <c r="E4927" t="s">
        <v>6132</v>
      </c>
    </row>
    <row r="4928" spans="1:5" x14ac:dyDescent="0.35">
      <c r="A4928" t="s">
        <v>57</v>
      </c>
      <c r="B4928" s="16">
        <v>45659</v>
      </c>
      <c r="C4928">
        <v>4.9000000000000004</v>
      </c>
      <c r="D4928">
        <v>1</v>
      </c>
      <c r="E4928" t="s">
        <v>6132</v>
      </c>
    </row>
    <row r="4929" spans="1:5" x14ac:dyDescent="0.35">
      <c r="A4929" t="s">
        <v>57</v>
      </c>
      <c r="B4929" s="16">
        <v>45660</v>
      </c>
      <c r="C4929">
        <v>4.9000000000000004</v>
      </c>
      <c r="D4929">
        <v>6</v>
      </c>
      <c r="E4929" t="s">
        <v>6132</v>
      </c>
    </row>
    <row r="4930" spans="1:5" x14ac:dyDescent="0.35">
      <c r="A4930" t="s">
        <v>57</v>
      </c>
      <c r="B4930" s="16">
        <v>45663</v>
      </c>
      <c r="C4930">
        <v>6.4</v>
      </c>
      <c r="D4930">
        <v>2</v>
      </c>
      <c r="E4930" t="s">
        <v>6132</v>
      </c>
    </row>
    <row r="4931" spans="1:5" x14ac:dyDescent="0.35">
      <c r="A4931" t="s">
        <v>57</v>
      </c>
      <c r="B4931" s="16">
        <v>45664</v>
      </c>
      <c r="C4931">
        <v>6.2</v>
      </c>
      <c r="D4931">
        <v>3</v>
      </c>
      <c r="E4931" t="s">
        <v>6132</v>
      </c>
    </row>
    <row r="4932" spans="1:5" x14ac:dyDescent="0.35">
      <c r="A4932" t="s">
        <v>57</v>
      </c>
      <c r="B4932" s="16">
        <v>45667</v>
      </c>
      <c r="C4932">
        <v>5.0999999999999996</v>
      </c>
      <c r="D4932">
        <v>2</v>
      </c>
      <c r="E4932" t="s">
        <v>6132</v>
      </c>
    </row>
    <row r="4933" spans="1:5" x14ac:dyDescent="0.35">
      <c r="A4933" t="s">
        <v>57</v>
      </c>
      <c r="B4933" s="16">
        <v>45670</v>
      </c>
      <c r="C4933">
        <v>8.1</v>
      </c>
      <c r="D4933">
        <v>0</v>
      </c>
      <c r="E4933" t="s">
        <v>6132</v>
      </c>
    </row>
    <row r="4934" spans="1:5" x14ac:dyDescent="0.35">
      <c r="A4934" t="s">
        <v>57</v>
      </c>
      <c r="B4934" s="16">
        <v>45672</v>
      </c>
      <c r="C4934">
        <v>8.6</v>
      </c>
      <c r="D4934">
        <v>1</v>
      </c>
      <c r="E4934" t="s">
        <v>6132</v>
      </c>
    </row>
    <row r="4935" spans="1:5" x14ac:dyDescent="0.35">
      <c r="A4935" t="s">
        <v>57</v>
      </c>
      <c r="B4935" s="16">
        <v>45677</v>
      </c>
      <c r="C4935">
        <v>6.1</v>
      </c>
      <c r="D4935">
        <v>0</v>
      </c>
      <c r="E4935" t="s">
        <v>6132</v>
      </c>
    </row>
    <row r="4936" spans="1:5" x14ac:dyDescent="0.35">
      <c r="A4936" t="s">
        <v>57</v>
      </c>
      <c r="B4936" s="16">
        <v>45679</v>
      </c>
      <c r="C4936">
        <v>7</v>
      </c>
      <c r="D4936">
        <v>3</v>
      </c>
      <c r="E4936" t="s">
        <v>6132</v>
      </c>
    </row>
    <row r="4937" spans="1:5" x14ac:dyDescent="0.35">
      <c r="A4937" t="s">
        <v>57</v>
      </c>
      <c r="B4937" s="16">
        <v>45685</v>
      </c>
      <c r="C4937">
        <v>6.7</v>
      </c>
      <c r="D4937">
        <v>1</v>
      </c>
      <c r="E4937" t="s">
        <v>6132</v>
      </c>
    </row>
    <row r="4938" spans="1:5" x14ac:dyDescent="0.35">
      <c r="A4938" t="s">
        <v>57</v>
      </c>
      <c r="B4938" s="16">
        <v>45687</v>
      </c>
      <c r="C4938">
        <v>4.8</v>
      </c>
      <c r="D4938">
        <v>2</v>
      </c>
      <c r="E4938" t="s">
        <v>6132</v>
      </c>
    </row>
    <row r="4939" spans="1:5" x14ac:dyDescent="0.35">
      <c r="A4939" t="s">
        <v>57</v>
      </c>
      <c r="B4939" s="16">
        <v>45688</v>
      </c>
      <c r="C4939">
        <v>7.3</v>
      </c>
      <c r="D4939">
        <v>1</v>
      </c>
      <c r="E4939" t="s">
        <v>6132</v>
      </c>
    </row>
    <row r="4940" spans="1:5" x14ac:dyDescent="0.35">
      <c r="A4940" t="s">
        <v>57</v>
      </c>
      <c r="B4940" s="16">
        <v>45693</v>
      </c>
      <c r="C4940">
        <v>8.9</v>
      </c>
      <c r="D4940">
        <v>0</v>
      </c>
      <c r="E4940" t="s">
        <v>6132</v>
      </c>
    </row>
    <row r="4941" spans="1:5" x14ac:dyDescent="0.35">
      <c r="A4941" t="s">
        <v>57</v>
      </c>
      <c r="B4941" s="16">
        <v>45694</v>
      </c>
      <c r="C4941">
        <v>8.8000000000000007</v>
      </c>
      <c r="D4941">
        <v>0</v>
      </c>
      <c r="E4941" t="s">
        <v>6134</v>
      </c>
    </row>
    <row r="4942" spans="1:5" x14ac:dyDescent="0.35">
      <c r="A4942" t="s">
        <v>57</v>
      </c>
      <c r="B4942" s="16">
        <v>45695</v>
      </c>
      <c r="C4942">
        <v>4.7</v>
      </c>
      <c r="D4942">
        <v>0</v>
      </c>
      <c r="E4942" t="s">
        <v>6133</v>
      </c>
    </row>
    <row r="4943" spans="1:5" x14ac:dyDescent="0.35">
      <c r="A4943" t="s">
        <v>57</v>
      </c>
      <c r="B4943" s="16">
        <v>45698</v>
      </c>
      <c r="C4943">
        <v>5.5</v>
      </c>
      <c r="D4943">
        <v>1</v>
      </c>
      <c r="E4943" t="s">
        <v>6132</v>
      </c>
    </row>
    <row r="4944" spans="1:5" x14ac:dyDescent="0.35">
      <c r="A4944" t="s">
        <v>57</v>
      </c>
      <c r="B4944" s="16">
        <v>45699</v>
      </c>
      <c r="C4944">
        <v>9</v>
      </c>
      <c r="D4944">
        <v>0</v>
      </c>
      <c r="E4944" t="s">
        <v>6132</v>
      </c>
    </row>
    <row r="4945" spans="1:5" x14ac:dyDescent="0.35">
      <c r="A4945" t="s">
        <v>57</v>
      </c>
      <c r="B4945" s="16">
        <v>45705</v>
      </c>
      <c r="C4945">
        <v>7.6</v>
      </c>
      <c r="D4945">
        <v>0</v>
      </c>
      <c r="E4945" t="s">
        <v>6132</v>
      </c>
    </row>
    <row r="4946" spans="1:5" x14ac:dyDescent="0.35">
      <c r="A4946" t="s">
        <v>57</v>
      </c>
      <c r="B4946" s="16">
        <v>45706</v>
      </c>
      <c r="C4946">
        <v>8.6999999999999993</v>
      </c>
      <c r="D4946">
        <v>0</v>
      </c>
      <c r="E4946" t="s">
        <v>6134</v>
      </c>
    </row>
    <row r="4947" spans="1:5" x14ac:dyDescent="0.35">
      <c r="A4947" t="s">
        <v>57</v>
      </c>
      <c r="B4947" s="16">
        <v>45707</v>
      </c>
      <c r="C4947">
        <v>4.9000000000000004</v>
      </c>
      <c r="D4947">
        <v>0</v>
      </c>
      <c r="E4947" t="s">
        <v>6134</v>
      </c>
    </row>
    <row r="4948" spans="1:5" x14ac:dyDescent="0.35">
      <c r="A4948" t="s">
        <v>57</v>
      </c>
      <c r="B4948" s="16">
        <v>45708</v>
      </c>
      <c r="C4948">
        <v>8.6999999999999993</v>
      </c>
      <c r="D4948">
        <v>1</v>
      </c>
      <c r="E4948" t="s">
        <v>6132</v>
      </c>
    </row>
    <row r="4949" spans="1:5" x14ac:dyDescent="0.35">
      <c r="A4949" t="s">
        <v>57</v>
      </c>
      <c r="B4949" s="16">
        <v>45712</v>
      </c>
      <c r="C4949">
        <v>6.8</v>
      </c>
      <c r="D4949">
        <v>0</v>
      </c>
      <c r="E4949" t="s">
        <v>6132</v>
      </c>
    </row>
    <row r="4950" spans="1:5" x14ac:dyDescent="0.35">
      <c r="A4950" t="s">
        <v>57</v>
      </c>
      <c r="B4950" s="16">
        <v>45713</v>
      </c>
      <c r="C4950">
        <v>8.6999999999999993</v>
      </c>
      <c r="D4950">
        <v>2</v>
      </c>
      <c r="E4950" t="s">
        <v>6132</v>
      </c>
    </row>
    <row r="4951" spans="1:5" x14ac:dyDescent="0.35">
      <c r="A4951" t="s">
        <v>57</v>
      </c>
      <c r="B4951" s="16">
        <v>45714</v>
      </c>
      <c r="C4951">
        <v>8.1</v>
      </c>
      <c r="D4951">
        <v>1</v>
      </c>
      <c r="E4951" t="s">
        <v>6132</v>
      </c>
    </row>
    <row r="4952" spans="1:5" x14ac:dyDescent="0.35">
      <c r="A4952" t="s">
        <v>57</v>
      </c>
      <c r="B4952" s="16">
        <v>45719</v>
      </c>
      <c r="C4952">
        <v>7.1</v>
      </c>
      <c r="D4952">
        <v>0</v>
      </c>
      <c r="E4952" t="s">
        <v>6132</v>
      </c>
    </row>
    <row r="4953" spans="1:5" x14ac:dyDescent="0.35">
      <c r="A4953" t="s">
        <v>57</v>
      </c>
      <c r="B4953" s="16">
        <v>45720</v>
      </c>
      <c r="D4953">
        <v>3</v>
      </c>
      <c r="E4953" t="s">
        <v>6132</v>
      </c>
    </row>
    <row r="4954" spans="1:5" x14ac:dyDescent="0.35">
      <c r="A4954" t="s">
        <v>57</v>
      </c>
      <c r="B4954" s="16">
        <v>45722</v>
      </c>
      <c r="C4954">
        <v>6.8</v>
      </c>
      <c r="D4954">
        <v>1</v>
      </c>
      <c r="E4954" t="s">
        <v>6132</v>
      </c>
    </row>
    <row r="4955" spans="1:5" x14ac:dyDescent="0.35">
      <c r="A4955" t="s">
        <v>57</v>
      </c>
      <c r="B4955" s="16">
        <v>45723</v>
      </c>
      <c r="C4955">
        <v>4.0999999999999996</v>
      </c>
      <c r="D4955">
        <v>0</v>
      </c>
      <c r="E4955" t="s">
        <v>6132</v>
      </c>
    </row>
    <row r="4956" spans="1:5" x14ac:dyDescent="0.35">
      <c r="A4956" t="s">
        <v>57</v>
      </c>
      <c r="B4956" s="16">
        <v>45727</v>
      </c>
      <c r="C4956">
        <v>4.3</v>
      </c>
      <c r="D4956">
        <v>2</v>
      </c>
      <c r="E4956" t="s">
        <v>6132</v>
      </c>
    </row>
    <row r="4957" spans="1:5" x14ac:dyDescent="0.35">
      <c r="A4957" t="s">
        <v>57</v>
      </c>
      <c r="B4957" s="16">
        <v>45728</v>
      </c>
      <c r="C4957">
        <v>4.5999999999999996</v>
      </c>
      <c r="D4957">
        <v>2</v>
      </c>
      <c r="E4957" t="s">
        <v>6132</v>
      </c>
    </row>
    <row r="4958" spans="1:5" x14ac:dyDescent="0.35">
      <c r="A4958" t="s">
        <v>57</v>
      </c>
      <c r="B4958" s="16">
        <v>45729</v>
      </c>
      <c r="C4958">
        <v>5.5</v>
      </c>
      <c r="D4958">
        <v>3</v>
      </c>
      <c r="E4958" t="s">
        <v>6132</v>
      </c>
    </row>
    <row r="4959" spans="1:5" x14ac:dyDescent="0.35">
      <c r="A4959" t="s">
        <v>57</v>
      </c>
      <c r="B4959" s="16">
        <v>45733</v>
      </c>
      <c r="C4959">
        <v>5.9</v>
      </c>
      <c r="D4959">
        <v>0</v>
      </c>
      <c r="E4959" t="s">
        <v>6132</v>
      </c>
    </row>
    <row r="4960" spans="1:5" x14ac:dyDescent="0.35">
      <c r="A4960" t="s">
        <v>57</v>
      </c>
      <c r="B4960" s="16">
        <v>45735</v>
      </c>
      <c r="C4960">
        <v>7.6</v>
      </c>
      <c r="D4960">
        <v>1</v>
      </c>
      <c r="E4960" t="s">
        <v>6132</v>
      </c>
    </row>
    <row r="4961" spans="1:5" x14ac:dyDescent="0.35">
      <c r="A4961" t="s">
        <v>57</v>
      </c>
      <c r="B4961" s="16">
        <v>45744</v>
      </c>
      <c r="C4961">
        <v>8</v>
      </c>
      <c r="D4961">
        <v>3</v>
      </c>
      <c r="E4961" t="s">
        <v>6132</v>
      </c>
    </row>
    <row r="4962" spans="1:5" x14ac:dyDescent="0.35">
      <c r="A4962" t="s">
        <v>57</v>
      </c>
      <c r="B4962" s="16">
        <v>45748</v>
      </c>
      <c r="C4962">
        <v>5.7</v>
      </c>
      <c r="D4962">
        <v>1</v>
      </c>
      <c r="E4962" t="s">
        <v>6132</v>
      </c>
    </row>
    <row r="4963" spans="1:5" x14ac:dyDescent="0.35">
      <c r="A4963" t="s">
        <v>57</v>
      </c>
      <c r="B4963" s="16">
        <v>45750</v>
      </c>
      <c r="C4963">
        <v>4.5</v>
      </c>
      <c r="D4963">
        <v>3</v>
      </c>
      <c r="E4963" t="s">
        <v>6132</v>
      </c>
    </row>
    <row r="4964" spans="1:5" x14ac:dyDescent="0.35">
      <c r="A4964" t="s">
        <v>57</v>
      </c>
      <c r="B4964" s="16">
        <v>45751</v>
      </c>
      <c r="C4964">
        <v>6.3</v>
      </c>
      <c r="D4964">
        <v>1</v>
      </c>
      <c r="E4964" t="s">
        <v>6132</v>
      </c>
    </row>
    <row r="4965" spans="1:5" x14ac:dyDescent="0.35">
      <c r="A4965" t="s">
        <v>57</v>
      </c>
      <c r="B4965" s="16">
        <v>45754</v>
      </c>
      <c r="C4965">
        <v>5</v>
      </c>
      <c r="D4965">
        <v>0</v>
      </c>
      <c r="E4965" t="s">
        <v>6132</v>
      </c>
    </row>
    <row r="4966" spans="1:5" x14ac:dyDescent="0.35">
      <c r="A4966" t="s">
        <v>57</v>
      </c>
      <c r="B4966" s="16">
        <v>45756</v>
      </c>
      <c r="C4966">
        <v>4.4000000000000004</v>
      </c>
      <c r="D4966">
        <v>2</v>
      </c>
      <c r="E4966" t="s">
        <v>6132</v>
      </c>
    </row>
    <row r="4967" spans="1:5" x14ac:dyDescent="0.35">
      <c r="A4967" t="s">
        <v>57</v>
      </c>
      <c r="B4967" s="16">
        <v>45757</v>
      </c>
      <c r="C4967">
        <v>7.7</v>
      </c>
      <c r="D4967">
        <v>0</v>
      </c>
      <c r="E4967" t="s">
        <v>6132</v>
      </c>
    </row>
    <row r="4968" spans="1:5" x14ac:dyDescent="0.35">
      <c r="A4968" t="s">
        <v>57</v>
      </c>
      <c r="B4968" s="16">
        <v>45761</v>
      </c>
      <c r="C4968">
        <v>7</v>
      </c>
      <c r="D4968">
        <v>0</v>
      </c>
      <c r="E4968" t="s">
        <v>6132</v>
      </c>
    </row>
    <row r="4969" spans="1:5" x14ac:dyDescent="0.35">
      <c r="A4969" t="s">
        <v>57</v>
      </c>
      <c r="B4969" s="16">
        <v>45764</v>
      </c>
      <c r="C4969">
        <v>7.6</v>
      </c>
      <c r="D4969">
        <v>2</v>
      </c>
      <c r="E4969" t="s">
        <v>6132</v>
      </c>
    </row>
    <row r="4970" spans="1:5" x14ac:dyDescent="0.35">
      <c r="A4970" t="s">
        <v>57</v>
      </c>
      <c r="B4970" s="16">
        <v>45765</v>
      </c>
      <c r="C4970">
        <v>4.8</v>
      </c>
      <c r="D4970">
        <v>0</v>
      </c>
      <c r="E4970" t="s">
        <v>6132</v>
      </c>
    </row>
    <row r="4971" spans="1:5" x14ac:dyDescent="0.35">
      <c r="A4971" t="s">
        <v>57</v>
      </c>
      <c r="B4971" s="16">
        <v>45770</v>
      </c>
      <c r="C4971">
        <v>4.0999999999999996</v>
      </c>
      <c r="D4971">
        <v>0</v>
      </c>
      <c r="E4971" t="s">
        <v>6132</v>
      </c>
    </row>
    <row r="4972" spans="1:5" x14ac:dyDescent="0.35">
      <c r="A4972" t="s">
        <v>57</v>
      </c>
      <c r="B4972" s="16">
        <v>45771</v>
      </c>
      <c r="D4972">
        <v>0</v>
      </c>
      <c r="E4972" t="s">
        <v>6132</v>
      </c>
    </row>
    <row r="4973" spans="1:5" x14ac:dyDescent="0.35">
      <c r="A4973" t="s">
        <v>57</v>
      </c>
      <c r="B4973" s="16">
        <v>45772</v>
      </c>
      <c r="C4973">
        <v>5.2</v>
      </c>
      <c r="D4973">
        <v>2</v>
      </c>
      <c r="E4973" t="s">
        <v>6132</v>
      </c>
    </row>
    <row r="4974" spans="1:5" x14ac:dyDescent="0.35">
      <c r="A4974" t="s">
        <v>57</v>
      </c>
      <c r="B4974" s="16">
        <v>45775</v>
      </c>
      <c r="C4974">
        <v>7.6</v>
      </c>
      <c r="D4974">
        <v>5</v>
      </c>
      <c r="E4974" t="s">
        <v>6132</v>
      </c>
    </row>
    <row r="4975" spans="1:5" x14ac:dyDescent="0.35">
      <c r="A4975" t="s">
        <v>57</v>
      </c>
      <c r="B4975" s="16">
        <v>45777</v>
      </c>
      <c r="C4975">
        <v>8.6999999999999993</v>
      </c>
      <c r="D4975">
        <v>2</v>
      </c>
      <c r="E4975" t="s">
        <v>6132</v>
      </c>
    </row>
    <row r="4976" spans="1:5" x14ac:dyDescent="0.35">
      <c r="A4976" t="s">
        <v>57</v>
      </c>
      <c r="B4976" s="16">
        <v>45779</v>
      </c>
      <c r="C4976">
        <v>7.8</v>
      </c>
      <c r="D4976">
        <v>2</v>
      </c>
      <c r="E4976" t="s">
        <v>6132</v>
      </c>
    </row>
    <row r="4977" spans="1:5" x14ac:dyDescent="0.35">
      <c r="A4977" t="s">
        <v>57</v>
      </c>
      <c r="B4977" s="16">
        <v>45783</v>
      </c>
      <c r="D4977">
        <v>2</v>
      </c>
      <c r="E4977" t="s">
        <v>6132</v>
      </c>
    </row>
    <row r="4978" spans="1:5" x14ac:dyDescent="0.35">
      <c r="A4978" t="s">
        <v>57</v>
      </c>
      <c r="B4978" s="16">
        <v>45786</v>
      </c>
      <c r="C4978">
        <v>7.1</v>
      </c>
      <c r="D4978">
        <v>0</v>
      </c>
      <c r="E4978" t="s">
        <v>6132</v>
      </c>
    </row>
    <row r="4979" spans="1:5" x14ac:dyDescent="0.35">
      <c r="A4979" t="s">
        <v>57</v>
      </c>
      <c r="B4979" s="16">
        <v>45792</v>
      </c>
      <c r="C4979">
        <v>6.3</v>
      </c>
      <c r="D4979">
        <v>1</v>
      </c>
      <c r="E4979" t="s">
        <v>6132</v>
      </c>
    </row>
    <row r="4980" spans="1:5" x14ac:dyDescent="0.35">
      <c r="A4980" t="s">
        <v>57</v>
      </c>
      <c r="B4980" s="16">
        <v>45796</v>
      </c>
      <c r="C4980">
        <v>5.4</v>
      </c>
      <c r="D4980">
        <v>0</v>
      </c>
      <c r="E4980" t="s">
        <v>6134</v>
      </c>
    </row>
    <row r="4981" spans="1:5" x14ac:dyDescent="0.35">
      <c r="A4981" t="s">
        <v>57</v>
      </c>
      <c r="B4981" s="16">
        <v>45803</v>
      </c>
      <c r="C4981">
        <v>5.8</v>
      </c>
      <c r="D4981">
        <v>1</v>
      </c>
      <c r="E4981" t="s">
        <v>6132</v>
      </c>
    </row>
    <row r="4982" spans="1:5" x14ac:dyDescent="0.35">
      <c r="A4982" t="s">
        <v>57</v>
      </c>
      <c r="B4982" s="16">
        <v>45806</v>
      </c>
      <c r="C4982">
        <v>8.6</v>
      </c>
      <c r="D4982">
        <v>3</v>
      </c>
      <c r="E4982" t="s">
        <v>6132</v>
      </c>
    </row>
    <row r="4983" spans="1:5" x14ac:dyDescent="0.35">
      <c r="A4983" t="s">
        <v>57</v>
      </c>
      <c r="B4983" s="16">
        <v>45807</v>
      </c>
      <c r="C4983">
        <v>4.8</v>
      </c>
      <c r="D4983">
        <v>0</v>
      </c>
      <c r="E4983" t="s">
        <v>6132</v>
      </c>
    </row>
    <row r="4984" spans="1:5" x14ac:dyDescent="0.35">
      <c r="A4984" t="s">
        <v>57</v>
      </c>
      <c r="B4984" s="16">
        <v>45814</v>
      </c>
      <c r="C4984">
        <v>8.4</v>
      </c>
      <c r="D4984">
        <v>1</v>
      </c>
      <c r="E4984" t="s">
        <v>6132</v>
      </c>
    </row>
    <row r="4985" spans="1:5" x14ac:dyDescent="0.35">
      <c r="A4985" t="s">
        <v>57</v>
      </c>
      <c r="B4985" s="16">
        <v>45825</v>
      </c>
      <c r="C4985">
        <v>4</v>
      </c>
      <c r="D4985">
        <v>1</v>
      </c>
      <c r="E4985" t="s">
        <v>6132</v>
      </c>
    </row>
    <row r="4986" spans="1:5" x14ac:dyDescent="0.35">
      <c r="A4986" t="s">
        <v>57</v>
      </c>
      <c r="B4986" s="16">
        <v>45833</v>
      </c>
      <c r="C4986">
        <v>7</v>
      </c>
      <c r="D4986">
        <v>1</v>
      </c>
      <c r="E4986" t="s">
        <v>6132</v>
      </c>
    </row>
    <row r="4987" spans="1:5" x14ac:dyDescent="0.35">
      <c r="A4987" t="s">
        <v>57</v>
      </c>
      <c r="B4987" s="16">
        <v>45834</v>
      </c>
      <c r="C4987">
        <v>4.5999999999999996</v>
      </c>
      <c r="D4987">
        <v>2</v>
      </c>
      <c r="E4987" t="s">
        <v>6132</v>
      </c>
    </row>
    <row r="4988" spans="1:5" x14ac:dyDescent="0.35">
      <c r="A4988" t="s">
        <v>57</v>
      </c>
      <c r="B4988" s="16">
        <v>45835</v>
      </c>
      <c r="C4988">
        <v>7.8</v>
      </c>
      <c r="D4988">
        <v>1</v>
      </c>
      <c r="E4988" t="s">
        <v>6132</v>
      </c>
    </row>
    <row r="4989" spans="1:5" x14ac:dyDescent="0.35">
      <c r="A4989" t="s">
        <v>57</v>
      </c>
      <c r="B4989" s="16">
        <v>45838</v>
      </c>
      <c r="C4989">
        <v>8.5</v>
      </c>
      <c r="D4989">
        <v>0</v>
      </c>
      <c r="E4989" t="s">
        <v>6134</v>
      </c>
    </row>
    <row r="4990" spans="1:5" x14ac:dyDescent="0.35">
      <c r="A4990" t="s">
        <v>57</v>
      </c>
      <c r="B4990" s="16">
        <v>45840</v>
      </c>
      <c r="D4990">
        <v>2</v>
      </c>
      <c r="E4990" t="s">
        <v>6132</v>
      </c>
    </row>
    <row r="4991" spans="1:5" x14ac:dyDescent="0.35">
      <c r="A4991" t="s">
        <v>57</v>
      </c>
      <c r="B4991" s="16">
        <v>45842</v>
      </c>
      <c r="C4991">
        <v>7.6</v>
      </c>
      <c r="D4991">
        <v>1</v>
      </c>
      <c r="E4991" t="s">
        <v>6132</v>
      </c>
    </row>
    <row r="4992" spans="1:5" x14ac:dyDescent="0.35">
      <c r="A4992" t="s">
        <v>57</v>
      </c>
      <c r="B4992" s="16">
        <v>45845</v>
      </c>
      <c r="C4992">
        <v>6</v>
      </c>
      <c r="D4992">
        <v>1</v>
      </c>
      <c r="E4992" t="s">
        <v>6132</v>
      </c>
    </row>
    <row r="4993" spans="1:5" x14ac:dyDescent="0.35">
      <c r="A4993" t="s">
        <v>57</v>
      </c>
      <c r="B4993" s="16">
        <v>45847</v>
      </c>
      <c r="C4993">
        <v>5.8</v>
      </c>
      <c r="D4993">
        <v>1</v>
      </c>
      <c r="E4993" t="s">
        <v>6132</v>
      </c>
    </row>
    <row r="4994" spans="1:5" x14ac:dyDescent="0.35">
      <c r="A4994" t="s">
        <v>57</v>
      </c>
      <c r="B4994" s="16">
        <v>45849</v>
      </c>
      <c r="C4994">
        <v>4.5999999999999996</v>
      </c>
      <c r="D4994">
        <v>2</v>
      </c>
      <c r="E4994" t="s">
        <v>6132</v>
      </c>
    </row>
    <row r="4995" spans="1:5" x14ac:dyDescent="0.35">
      <c r="A4995" t="s">
        <v>57</v>
      </c>
      <c r="B4995" s="16">
        <v>45852</v>
      </c>
      <c r="C4995">
        <v>7.1</v>
      </c>
      <c r="D4995">
        <v>1</v>
      </c>
      <c r="E4995" t="s">
        <v>6132</v>
      </c>
    </row>
    <row r="4996" spans="1:5" x14ac:dyDescent="0.35">
      <c r="A4996" t="s">
        <v>57</v>
      </c>
      <c r="B4996" s="16">
        <v>45853</v>
      </c>
      <c r="D4996">
        <v>1</v>
      </c>
      <c r="E4996" t="s">
        <v>6132</v>
      </c>
    </row>
    <row r="4997" spans="1:5" x14ac:dyDescent="0.35">
      <c r="A4997" t="s">
        <v>57</v>
      </c>
      <c r="B4997" s="16">
        <v>45855</v>
      </c>
      <c r="C4997">
        <v>7.4</v>
      </c>
      <c r="D4997">
        <v>0</v>
      </c>
      <c r="E4997" t="s">
        <v>6134</v>
      </c>
    </row>
    <row r="4998" spans="1:5" x14ac:dyDescent="0.35">
      <c r="A4998" t="s">
        <v>57</v>
      </c>
      <c r="B4998" s="16">
        <v>45859</v>
      </c>
      <c r="C4998">
        <v>8.3000000000000007</v>
      </c>
      <c r="D4998">
        <v>1</v>
      </c>
      <c r="E4998" t="s">
        <v>6132</v>
      </c>
    </row>
    <row r="4999" spans="1:5" x14ac:dyDescent="0.35">
      <c r="A4999" t="s">
        <v>57</v>
      </c>
      <c r="B4999" s="16">
        <v>45860</v>
      </c>
      <c r="C4999">
        <v>8.9</v>
      </c>
      <c r="D4999">
        <v>0</v>
      </c>
      <c r="E4999" t="s">
        <v>6134</v>
      </c>
    </row>
    <row r="5000" spans="1:5" x14ac:dyDescent="0.35">
      <c r="A5000" t="s">
        <v>57</v>
      </c>
      <c r="B5000" s="16">
        <v>45862</v>
      </c>
      <c r="C5000">
        <v>7.4</v>
      </c>
      <c r="D5000">
        <v>1</v>
      </c>
      <c r="E5000" t="s">
        <v>6132</v>
      </c>
    </row>
    <row r="5001" spans="1:5" x14ac:dyDescent="0.35">
      <c r="A5001" t="s">
        <v>57</v>
      </c>
      <c r="B5001" s="16">
        <v>45863</v>
      </c>
      <c r="C5001">
        <v>5.7</v>
      </c>
      <c r="D5001">
        <v>2</v>
      </c>
      <c r="E5001" t="s">
        <v>6132</v>
      </c>
    </row>
    <row r="5002" spans="1:5" x14ac:dyDescent="0.35">
      <c r="A5002" t="s">
        <v>57</v>
      </c>
      <c r="B5002" s="16">
        <v>45866</v>
      </c>
      <c r="C5002">
        <v>5.0999999999999996</v>
      </c>
      <c r="D5002">
        <v>0</v>
      </c>
      <c r="E5002" t="s">
        <v>6132</v>
      </c>
    </row>
    <row r="5003" spans="1:5" x14ac:dyDescent="0.35">
      <c r="A5003" t="s">
        <v>57</v>
      </c>
      <c r="B5003" s="16">
        <v>45870</v>
      </c>
      <c r="C5003">
        <v>5.0999999999999996</v>
      </c>
      <c r="D5003">
        <v>1</v>
      </c>
      <c r="E5003" t="s">
        <v>6132</v>
      </c>
    </row>
    <row r="5004" spans="1:5" x14ac:dyDescent="0.35">
      <c r="A5004" t="s">
        <v>57</v>
      </c>
      <c r="B5004" s="16">
        <v>45873</v>
      </c>
      <c r="C5004">
        <v>7.7</v>
      </c>
      <c r="D5004">
        <v>0</v>
      </c>
      <c r="E5004" t="s">
        <v>6132</v>
      </c>
    </row>
    <row r="5005" spans="1:5" x14ac:dyDescent="0.35">
      <c r="A5005" t="s">
        <v>57</v>
      </c>
      <c r="B5005" s="16">
        <v>45874</v>
      </c>
      <c r="C5005">
        <v>5.6</v>
      </c>
      <c r="D5005">
        <v>0</v>
      </c>
      <c r="E5005" t="s">
        <v>6132</v>
      </c>
    </row>
    <row r="5006" spans="1:5" x14ac:dyDescent="0.35">
      <c r="A5006" t="s">
        <v>57</v>
      </c>
      <c r="B5006" s="16">
        <v>45875</v>
      </c>
      <c r="D5006">
        <v>0</v>
      </c>
      <c r="E5006" t="s">
        <v>6132</v>
      </c>
    </row>
    <row r="5007" spans="1:5" x14ac:dyDescent="0.35">
      <c r="A5007" t="s">
        <v>57</v>
      </c>
      <c r="B5007" s="16">
        <v>45876</v>
      </c>
      <c r="C5007">
        <v>6.1</v>
      </c>
      <c r="D5007">
        <v>1</v>
      </c>
      <c r="E5007" t="s">
        <v>6132</v>
      </c>
    </row>
    <row r="5008" spans="1:5" x14ac:dyDescent="0.35">
      <c r="A5008" t="s">
        <v>57</v>
      </c>
      <c r="B5008" s="16">
        <v>45877</v>
      </c>
      <c r="C5008">
        <v>7.1</v>
      </c>
      <c r="D5008">
        <v>0</v>
      </c>
      <c r="E5008" t="s">
        <v>6132</v>
      </c>
    </row>
    <row r="5009" spans="1:5" x14ac:dyDescent="0.35">
      <c r="A5009" t="s">
        <v>57</v>
      </c>
      <c r="B5009" s="16">
        <v>45887</v>
      </c>
      <c r="C5009">
        <v>6.7</v>
      </c>
      <c r="D5009">
        <v>4</v>
      </c>
      <c r="E5009" t="s">
        <v>6132</v>
      </c>
    </row>
    <row r="5010" spans="1:5" x14ac:dyDescent="0.35">
      <c r="A5010" t="s">
        <v>57</v>
      </c>
      <c r="B5010" s="16">
        <v>45891</v>
      </c>
      <c r="C5010">
        <v>6</v>
      </c>
      <c r="D5010">
        <v>4</v>
      </c>
      <c r="E5010" t="s">
        <v>6132</v>
      </c>
    </row>
    <row r="5011" spans="1:5" x14ac:dyDescent="0.35">
      <c r="A5011" t="s">
        <v>57</v>
      </c>
      <c r="B5011" s="16">
        <v>45894</v>
      </c>
      <c r="C5011">
        <v>5.2</v>
      </c>
      <c r="D5011">
        <v>1</v>
      </c>
      <c r="E5011" t="s">
        <v>6132</v>
      </c>
    </row>
    <row r="5012" spans="1:5" x14ac:dyDescent="0.35">
      <c r="A5012" t="s">
        <v>57</v>
      </c>
      <c r="B5012" s="16">
        <v>45895</v>
      </c>
      <c r="C5012">
        <v>4.3</v>
      </c>
      <c r="D5012">
        <v>1</v>
      </c>
      <c r="E5012" t="s">
        <v>6132</v>
      </c>
    </row>
    <row r="5013" spans="1:5" x14ac:dyDescent="0.35">
      <c r="A5013" t="s">
        <v>57</v>
      </c>
      <c r="B5013" s="16">
        <v>45896</v>
      </c>
      <c r="C5013">
        <v>8.5</v>
      </c>
      <c r="D5013">
        <v>1</v>
      </c>
      <c r="E5013" t="s">
        <v>6132</v>
      </c>
    </row>
    <row r="5014" spans="1:5" x14ac:dyDescent="0.35">
      <c r="A5014" t="s">
        <v>57</v>
      </c>
      <c r="B5014" s="16">
        <v>45897</v>
      </c>
      <c r="C5014">
        <v>5.5</v>
      </c>
      <c r="D5014">
        <v>1</v>
      </c>
      <c r="E5014" t="s">
        <v>6132</v>
      </c>
    </row>
    <row r="5015" spans="1:5" x14ac:dyDescent="0.35">
      <c r="A5015" t="s">
        <v>57</v>
      </c>
      <c r="B5015" s="16">
        <v>45901</v>
      </c>
      <c r="C5015">
        <v>7</v>
      </c>
      <c r="D5015">
        <v>2</v>
      </c>
      <c r="E5015" t="s">
        <v>6132</v>
      </c>
    </row>
    <row r="5016" spans="1:5" x14ac:dyDescent="0.35">
      <c r="A5016" t="s">
        <v>57</v>
      </c>
      <c r="B5016" s="16">
        <v>45904</v>
      </c>
      <c r="C5016">
        <v>5.5</v>
      </c>
      <c r="D5016">
        <v>0</v>
      </c>
      <c r="E5016" t="s">
        <v>6132</v>
      </c>
    </row>
    <row r="5017" spans="1:5" x14ac:dyDescent="0.35">
      <c r="A5017" t="s">
        <v>57</v>
      </c>
      <c r="B5017" s="16">
        <v>45905</v>
      </c>
      <c r="C5017">
        <v>4.3</v>
      </c>
      <c r="D5017">
        <v>2</v>
      </c>
      <c r="E5017" t="s">
        <v>6132</v>
      </c>
    </row>
    <row r="5018" spans="1:5" x14ac:dyDescent="0.35">
      <c r="A5018" t="s">
        <v>57</v>
      </c>
      <c r="B5018" s="16">
        <v>45908</v>
      </c>
      <c r="C5018">
        <v>6.7</v>
      </c>
      <c r="D5018">
        <v>5</v>
      </c>
      <c r="E5018" t="s">
        <v>6132</v>
      </c>
    </row>
    <row r="5019" spans="1:5" x14ac:dyDescent="0.35">
      <c r="A5019" t="s">
        <v>57</v>
      </c>
      <c r="B5019" s="16">
        <v>45909</v>
      </c>
      <c r="C5019">
        <v>8.4</v>
      </c>
      <c r="D5019">
        <v>0</v>
      </c>
      <c r="E5019" t="s">
        <v>6132</v>
      </c>
    </row>
    <row r="5020" spans="1:5" x14ac:dyDescent="0.35">
      <c r="A5020" t="s">
        <v>57</v>
      </c>
      <c r="B5020" s="16">
        <v>45916</v>
      </c>
      <c r="C5020">
        <v>5.8</v>
      </c>
      <c r="D5020">
        <v>3</v>
      </c>
      <c r="E5020" t="s">
        <v>6132</v>
      </c>
    </row>
    <row r="5021" spans="1:5" x14ac:dyDescent="0.35">
      <c r="A5021" t="s">
        <v>57</v>
      </c>
      <c r="B5021" s="16">
        <v>45918</v>
      </c>
      <c r="C5021">
        <v>8.3000000000000007</v>
      </c>
      <c r="D5021">
        <v>0</v>
      </c>
      <c r="E5021" t="s">
        <v>6132</v>
      </c>
    </row>
    <row r="5022" spans="1:5" x14ac:dyDescent="0.35">
      <c r="A5022" t="s">
        <v>57</v>
      </c>
      <c r="B5022" s="16">
        <v>45919</v>
      </c>
      <c r="C5022">
        <v>9</v>
      </c>
      <c r="D5022">
        <v>1</v>
      </c>
      <c r="E5022" t="s">
        <v>6132</v>
      </c>
    </row>
    <row r="5023" spans="1:5" x14ac:dyDescent="0.35">
      <c r="A5023" t="s">
        <v>57</v>
      </c>
      <c r="B5023" s="16">
        <v>45922</v>
      </c>
      <c r="C5023">
        <v>4.5999999999999996</v>
      </c>
      <c r="D5023">
        <v>1</v>
      </c>
      <c r="E5023" t="s">
        <v>6132</v>
      </c>
    </row>
    <row r="5024" spans="1:5" x14ac:dyDescent="0.35">
      <c r="A5024" t="s">
        <v>57</v>
      </c>
      <c r="B5024" s="16">
        <v>45923</v>
      </c>
      <c r="C5024">
        <v>6.3</v>
      </c>
      <c r="D5024">
        <v>3</v>
      </c>
      <c r="E5024" t="s">
        <v>6132</v>
      </c>
    </row>
    <row r="5025" spans="1:5" x14ac:dyDescent="0.35">
      <c r="A5025" t="s">
        <v>57</v>
      </c>
      <c r="B5025" s="16">
        <v>45924</v>
      </c>
      <c r="C5025">
        <v>8.1999999999999993</v>
      </c>
      <c r="D5025">
        <v>0</v>
      </c>
      <c r="E5025" t="s">
        <v>6132</v>
      </c>
    </row>
    <row r="5026" spans="1:5" x14ac:dyDescent="0.35">
      <c r="A5026" t="s">
        <v>57</v>
      </c>
      <c r="B5026" s="16">
        <v>45926</v>
      </c>
      <c r="C5026">
        <v>4.4000000000000004</v>
      </c>
      <c r="D5026">
        <v>1</v>
      </c>
      <c r="E5026" t="s">
        <v>6132</v>
      </c>
    </row>
    <row r="5027" spans="1:5" x14ac:dyDescent="0.35">
      <c r="A5027" t="s">
        <v>57</v>
      </c>
      <c r="B5027" s="16">
        <v>45930</v>
      </c>
      <c r="C5027">
        <v>4.9000000000000004</v>
      </c>
      <c r="D5027">
        <v>0</v>
      </c>
      <c r="E5027" t="s">
        <v>6132</v>
      </c>
    </row>
    <row r="5028" spans="1:5" x14ac:dyDescent="0.35">
      <c r="A5028" t="s">
        <v>57</v>
      </c>
      <c r="B5028" s="16">
        <v>45931</v>
      </c>
      <c r="C5028">
        <v>6.6</v>
      </c>
      <c r="D5028">
        <v>0</v>
      </c>
      <c r="E5028" t="s">
        <v>6134</v>
      </c>
    </row>
    <row r="5029" spans="1:5" x14ac:dyDescent="0.35">
      <c r="A5029" t="s">
        <v>57</v>
      </c>
      <c r="B5029" s="16">
        <v>45937</v>
      </c>
      <c r="C5029">
        <v>7.4</v>
      </c>
      <c r="D5029">
        <v>0</v>
      </c>
      <c r="E5029" t="s">
        <v>6132</v>
      </c>
    </row>
    <row r="5030" spans="1:5" x14ac:dyDescent="0.35">
      <c r="A5030" t="s">
        <v>57</v>
      </c>
      <c r="B5030" s="16">
        <v>45943</v>
      </c>
      <c r="C5030">
        <v>5.0999999999999996</v>
      </c>
      <c r="D5030">
        <v>1</v>
      </c>
      <c r="E5030" t="s">
        <v>6132</v>
      </c>
    </row>
    <row r="5031" spans="1:5" x14ac:dyDescent="0.35">
      <c r="A5031" t="s">
        <v>57</v>
      </c>
      <c r="B5031" s="16">
        <v>45946</v>
      </c>
      <c r="C5031">
        <v>5.4</v>
      </c>
      <c r="D5031">
        <v>3</v>
      </c>
      <c r="E5031" t="s">
        <v>6132</v>
      </c>
    </row>
    <row r="5032" spans="1:5" x14ac:dyDescent="0.35">
      <c r="A5032" t="s">
        <v>57</v>
      </c>
      <c r="B5032" s="16">
        <v>45950</v>
      </c>
      <c r="C5032">
        <v>5.2</v>
      </c>
      <c r="D5032">
        <v>0</v>
      </c>
      <c r="E5032" t="s">
        <v>6132</v>
      </c>
    </row>
    <row r="5033" spans="1:5" x14ac:dyDescent="0.35">
      <c r="A5033" t="s">
        <v>57</v>
      </c>
      <c r="B5033" s="16">
        <v>45951</v>
      </c>
      <c r="C5033">
        <v>7.6</v>
      </c>
      <c r="D5033">
        <v>0</v>
      </c>
      <c r="E5033" t="s">
        <v>6132</v>
      </c>
    </row>
    <row r="5034" spans="1:5" x14ac:dyDescent="0.35">
      <c r="A5034" t="s">
        <v>57</v>
      </c>
      <c r="B5034" s="16">
        <v>45952</v>
      </c>
      <c r="C5034">
        <v>4.9000000000000004</v>
      </c>
      <c r="D5034">
        <v>0</v>
      </c>
      <c r="E5034" t="s">
        <v>6133</v>
      </c>
    </row>
    <row r="5035" spans="1:5" x14ac:dyDescent="0.35">
      <c r="A5035" t="s">
        <v>57</v>
      </c>
      <c r="B5035" s="16">
        <v>45954</v>
      </c>
      <c r="C5035">
        <v>4.9000000000000004</v>
      </c>
      <c r="D5035">
        <v>0</v>
      </c>
      <c r="E5035" t="s">
        <v>6132</v>
      </c>
    </row>
    <row r="5036" spans="1:5" x14ac:dyDescent="0.35">
      <c r="A5036" t="s">
        <v>57</v>
      </c>
      <c r="B5036" s="16">
        <v>45957</v>
      </c>
      <c r="C5036">
        <v>8</v>
      </c>
      <c r="D5036">
        <v>0</v>
      </c>
      <c r="E5036" t="s">
        <v>6134</v>
      </c>
    </row>
    <row r="5037" spans="1:5" x14ac:dyDescent="0.35">
      <c r="A5037" t="s">
        <v>57</v>
      </c>
      <c r="B5037" s="16">
        <v>45964</v>
      </c>
      <c r="C5037">
        <v>4.9000000000000004</v>
      </c>
      <c r="D5037">
        <v>1</v>
      </c>
      <c r="E5037" t="s">
        <v>6132</v>
      </c>
    </row>
    <row r="5038" spans="1:5" x14ac:dyDescent="0.35">
      <c r="A5038" t="s">
        <v>57</v>
      </c>
      <c r="B5038" s="16">
        <v>45965</v>
      </c>
      <c r="C5038">
        <v>7.3</v>
      </c>
      <c r="D5038">
        <v>1</v>
      </c>
      <c r="E5038" t="s">
        <v>6132</v>
      </c>
    </row>
    <row r="5039" spans="1:5" x14ac:dyDescent="0.35">
      <c r="A5039" t="s">
        <v>57</v>
      </c>
      <c r="B5039" s="16">
        <v>45966</v>
      </c>
      <c r="C5039">
        <v>5.6</v>
      </c>
      <c r="D5039">
        <v>0</v>
      </c>
      <c r="E5039" t="s">
        <v>6132</v>
      </c>
    </row>
    <row r="5040" spans="1:5" x14ac:dyDescent="0.35">
      <c r="A5040" t="s">
        <v>57</v>
      </c>
      <c r="B5040" s="16">
        <v>45971</v>
      </c>
      <c r="C5040">
        <v>4</v>
      </c>
      <c r="D5040">
        <v>0</v>
      </c>
      <c r="E5040" t="s">
        <v>6132</v>
      </c>
    </row>
    <row r="5041" spans="1:5" x14ac:dyDescent="0.35">
      <c r="A5041" t="s">
        <v>57</v>
      </c>
      <c r="B5041" s="16">
        <v>45972</v>
      </c>
      <c r="C5041">
        <v>5.7</v>
      </c>
      <c r="D5041">
        <v>3</v>
      </c>
      <c r="E5041" t="s">
        <v>6132</v>
      </c>
    </row>
    <row r="5042" spans="1:5" x14ac:dyDescent="0.35">
      <c r="A5042" t="s">
        <v>57</v>
      </c>
      <c r="B5042" s="16">
        <v>45973</v>
      </c>
      <c r="C5042">
        <v>7.2</v>
      </c>
      <c r="D5042">
        <v>2</v>
      </c>
      <c r="E5042" t="s">
        <v>6132</v>
      </c>
    </row>
    <row r="5043" spans="1:5" x14ac:dyDescent="0.35">
      <c r="A5043" t="s">
        <v>57</v>
      </c>
      <c r="B5043" s="16">
        <v>45974</v>
      </c>
      <c r="C5043">
        <v>5.7</v>
      </c>
      <c r="D5043">
        <v>0</v>
      </c>
      <c r="E5043" t="s">
        <v>6132</v>
      </c>
    </row>
    <row r="5044" spans="1:5" x14ac:dyDescent="0.35">
      <c r="A5044" t="s">
        <v>57</v>
      </c>
      <c r="B5044" s="16">
        <v>45980</v>
      </c>
      <c r="C5044">
        <v>6.5</v>
      </c>
      <c r="D5044">
        <v>0</v>
      </c>
      <c r="E5044" t="s">
        <v>6132</v>
      </c>
    </row>
    <row r="5045" spans="1:5" x14ac:dyDescent="0.35">
      <c r="A5045" t="s">
        <v>57</v>
      </c>
      <c r="B5045" s="16">
        <v>45981</v>
      </c>
      <c r="C5045">
        <v>8.5</v>
      </c>
      <c r="D5045">
        <v>0</v>
      </c>
      <c r="E5045" t="s">
        <v>6132</v>
      </c>
    </row>
    <row r="5046" spans="1:5" x14ac:dyDescent="0.35">
      <c r="A5046" t="s">
        <v>57</v>
      </c>
      <c r="B5046" s="16">
        <v>45982</v>
      </c>
      <c r="C5046">
        <v>6.1</v>
      </c>
      <c r="D5046">
        <v>0</v>
      </c>
      <c r="E5046" t="s">
        <v>6132</v>
      </c>
    </row>
    <row r="5047" spans="1:5" x14ac:dyDescent="0.35">
      <c r="A5047" t="s">
        <v>57</v>
      </c>
      <c r="B5047" s="16">
        <v>45985</v>
      </c>
      <c r="C5047">
        <v>4.3</v>
      </c>
      <c r="D5047">
        <v>0</v>
      </c>
      <c r="E5047" t="s">
        <v>6133</v>
      </c>
    </row>
    <row r="5048" spans="1:5" x14ac:dyDescent="0.35">
      <c r="A5048" t="s">
        <v>57</v>
      </c>
      <c r="B5048" s="16">
        <v>45986</v>
      </c>
      <c r="C5048">
        <v>8.6</v>
      </c>
      <c r="D5048">
        <v>1</v>
      </c>
      <c r="E5048" t="s">
        <v>6132</v>
      </c>
    </row>
    <row r="5049" spans="1:5" x14ac:dyDescent="0.35">
      <c r="A5049" t="s">
        <v>57</v>
      </c>
      <c r="B5049" s="16">
        <v>45989</v>
      </c>
      <c r="C5049">
        <v>7.7</v>
      </c>
      <c r="D5049">
        <v>2</v>
      </c>
      <c r="E5049" t="s">
        <v>6132</v>
      </c>
    </row>
    <row r="5050" spans="1:5" x14ac:dyDescent="0.35">
      <c r="A5050" t="s">
        <v>57</v>
      </c>
      <c r="B5050" s="16">
        <v>45992</v>
      </c>
      <c r="C5050">
        <v>6.9</v>
      </c>
      <c r="D5050">
        <v>3</v>
      </c>
      <c r="E5050" t="s">
        <v>6132</v>
      </c>
    </row>
    <row r="5051" spans="1:5" x14ac:dyDescent="0.35">
      <c r="A5051" t="s">
        <v>57</v>
      </c>
      <c r="B5051" s="16">
        <v>45993</v>
      </c>
      <c r="C5051">
        <v>8.1999999999999993</v>
      </c>
      <c r="D5051">
        <v>0</v>
      </c>
      <c r="E5051" t="s">
        <v>6132</v>
      </c>
    </row>
    <row r="5052" spans="1:5" x14ac:dyDescent="0.35">
      <c r="A5052" t="s">
        <v>57</v>
      </c>
      <c r="B5052" s="16">
        <v>45994</v>
      </c>
      <c r="C5052">
        <v>7.5</v>
      </c>
      <c r="D5052">
        <v>0</v>
      </c>
      <c r="E5052" t="s">
        <v>6134</v>
      </c>
    </row>
    <row r="5053" spans="1:5" x14ac:dyDescent="0.35">
      <c r="A5053" t="s">
        <v>57</v>
      </c>
      <c r="B5053" s="16">
        <v>46002</v>
      </c>
      <c r="D5053">
        <v>7</v>
      </c>
      <c r="E5053" t="s">
        <v>6132</v>
      </c>
    </row>
    <row r="5054" spans="1:5" x14ac:dyDescent="0.35">
      <c r="A5054" t="s">
        <v>57</v>
      </c>
      <c r="B5054" s="16">
        <v>46008</v>
      </c>
      <c r="C5054">
        <v>7.2</v>
      </c>
      <c r="D5054">
        <v>0</v>
      </c>
      <c r="E5054" t="s">
        <v>6132</v>
      </c>
    </row>
    <row r="5055" spans="1:5" x14ac:dyDescent="0.35">
      <c r="A5055" t="s">
        <v>57</v>
      </c>
      <c r="B5055" s="16">
        <v>46009</v>
      </c>
      <c r="C5055">
        <v>8.6999999999999993</v>
      </c>
      <c r="D5055">
        <v>0</v>
      </c>
      <c r="E5055" t="s">
        <v>6132</v>
      </c>
    </row>
    <row r="5056" spans="1:5" x14ac:dyDescent="0.35">
      <c r="A5056" t="s">
        <v>57</v>
      </c>
      <c r="B5056" s="16">
        <v>46010</v>
      </c>
      <c r="C5056">
        <v>6.2</v>
      </c>
      <c r="D5056">
        <v>7</v>
      </c>
      <c r="E5056" t="s">
        <v>6132</v>
      </c>
    </row>
    <row r="5057" spans="1:5" x14ac:dyDescent="0.35">
      <c r="A5057" t="s">
        <v>57</v>
      </c>
      <c r="B5057" s="16">
        <v>46013</v>
      </c>
      <c r="C5057">
        <v>5.8</v>
      </c>
      <c r="D5057">
        <v>3</v>
      </c>
      <c r="E5057" t="s">
        <v>6132</v>
      </c>
    </row>
    <row r="5058" spans="1:5" x14ac:dyDescent="0.35">
      <c r="A5058" t="s">
        <v>57</v>
      </c>
      <c r="B5058" s="16">
        <v>46015</v>
      </c>
      <c r="C5058">
        <v>7.9</v>
      </c>
      <c r="D5058">
        <v>0</v>
      </c>
      <c r="E5058" t="s">
        <v>6132</v>
      </c>
    </row>
    <row r="5059" spans="1:5" x14ac:dyDescent="0.35">
      <c r="A5059" t="s">
        <v>57</v>
      </c>
      <c r="B5059" s="16">
        <v>46017</v>
      </c>
      <c r="C5059">
        <v>7.5</v>
      </c>
      <c r="D5059">
        <v>1</v>
      </c>
      <c r="E5059" t="s">
        <v>6132</v>
      </c>
    </row>
    <row r="5060" spans="1:5" x14ac:dyDescent="0.35">
      <c r="A5060" t="s">
        <v>57</v>
      </c>
      <c r="B5060" s="16">
        <v>46021</v>
      </c>
      <c r="C5060">
        <v>5.8</v>
      </c>
      <c r="D5060">
        <v>0</v>
      </c>
      <c r="E5060" t="s">
        <v>6132</v>
      </c>
    </row>
    <row r="5061" spans="1:5" x14ac:dyDescent="0.35">
      <c r="A5061" t="s">
        <v>57</v>
      </c>
      <c r="B5061" s="16">
        <v>46022</v>
      </c>
      <c r="C5061">
        <v>8.6999999999999993</v>
      </c>
      <c r="D5061">
        <v>4</v>
      </c>
      <c r="E5061" t="s">
        <v>6132</v>
      </c>
    </row>
    <row r="5062" spans="1:5" x14ac:dyDescent="0.35">
      <c r="A5062" t="s">
        <v>69</v>
      </c>
      <c r="B5062" s="16">
        <v>45659</v>
      </c>
      <c r="C5062">
        <v>5.9</v>
      </c>
      <c r="D5062">
        <v>1</v>
      </c>
      <c r="E5062" t="s">
        <v>6132</v>
      </c>
    </row>
    <row r="5063" spans="1:5" x14ac:dyDescent="0.35">
      <c r="A5063" t="s">
        <v>69</v>
      </c>
      <c r="B5063" s="16">
        <v>45660</v>
      </c>
      <c r="C5063">
        <v>8.4</v>
      </c>
      <c r="D5063">
        <v>1</v>
      </c>
      <c r="E5063" t="s">
        <v>6132</v>
      </c>
    </row>
    <row r="5064" spans="1:5" x14ac:dyDescent="0.35">
      <c r="A5064" t="s">
        <v>69</v>
      </c>
      <c r="B5064" s="16">
        <v>45663</v>
      </c>
      <c r="C5064">
        <v>7.2</v>
      </c>
      <c r="D5064">
        <v>1</v>
      </c>
      <c r="E5064" t="s">
        <v>6132</v>
      </c>
    </row>
    <row r="5065" spans="1:5" x14ac:dyDescent="0.35">
      <c r="A5065" t="s">
        <v>69</v>
      </c>
      <c r="B5065" s="16">
        <v>45663</v>
      </c>
      <c r="D5065">
        <v>6</v>
      </c>
      <c r="E5065" t="s">
        <v>6132</v>
      </c>
    </row>
    <row r="5066" spans="1:5" x14ac:dyDescent="0.35">
      <c r="A5066" t="s">
        <v>69</v>
      </c>
      <c r="B5066" s="16">
        <v>45664</v>
      </c>
      <c r="D5066">
        <v>2</v>
      </c>
      <c r="E5066" t="s">
        <v>6132</v>
      </c>
    </row>
    <row r="5067" spans="1:5" x14ac:dyDescent="0.35">
      <c r="A5067" t="s">
        <v>69</v>
      </c>
      <c r="B5067" s="16">
        <v>45671</v>
      </c>
      <c r="C5067">
        <v>4.9000000000000004</v>
      </c>
      <c r="D5067">
        <v>2</v>
      </c>
      <c r="E5067" t="s">
        <v>6132</v>
      </c>
    </row>
    <row r="5068" spans="1:5" x14ac:dyDescent="0.35">
      <c r="A5068" t="s">
        <v>69</v>
      </c>
      <c r="B5068" s="16">
        <v>45674</v>
      </c>
      <c r="C5068">
        <v>6.5</v>
      </c>
      <c r="D5068">
        <v>1</v>
      </c>
      <c r="E5068" t="s">
        <v>6132</v>
      </c>
    </row>
    <row r="5069" spans="1:5" x14ac:dyDescent="0.35">
      <c r="A5069" t="s">
        <v>69</v>
      </c>
      <c r="B5069" s="16">
        <v>45679</v>
      </c>
      <c r="C5069">
        <v>7.9</v>
      </c>
      <c r="D5069">
        <v>1</v>
      </c>
      <c r="E5069" t="s">
        <v>6132</v>
      </c>
    </row>
    <row r="5070" spans="1:5" x14ac:dyDescent="0.35">
      <c r="A5070" t="s">
        <v>69</v>
      </c>
      <c r="B5070" s="16">
        <v>45680</v>
      </c>
      <c r="C5070">
        <v>6.7</v>
      </c>
      <c r="D5070">
        <v>0</v>
      </c>
      <c r="E5070" t="s">
        <v>6132</v>
      </c>
    </row>
    <row r="5071" spans="1:5" x14ac:dyDescent="0.35">
      <c r="A5071" t="s">
        <v>69</v>
      </c>
      <c r="B5071" s="16">
        <v>45684</v>
      </c>
      <c r="C5071">
        <v>8.1999999999999993</v>
      </c>
      <c r="D5071">
        <v>0</v>
      </c>
      <c r="E5071" t="s">
        <v>6132</v>
      </c>
    </row>
    <row r="5072" spans="1:5" x14ac:dyDescent="0.35">
      <c r="A5072" t="s">
        <v>69</v>
      </c>
      <c r="B5072" s="16">
        <v>45685</v>
      </c>
      <c r="C5072">
        <v>7.5</v>
      </c>
      <c r="D5072">
        <v>0</v>
      </c>
      <c r="E5072" t="s">
        <v>6132</v>
      </c>
    </row>
    <row r="5073" spans="1:5" x14ac:dyDescent="0.35">
      <c r="A5073" t="s">
        <v>69</v>
      </c>
      <c r="B5073" s="16">
        <v>45685</v>
      </c>
      <c r="C5073">
        <v>6.3</v>
      </c>
      <c r="D5073">
        <v>1</v>
      </c>
      <c r="E5073" t="s">
        <v>6132</v>
      </c>
    </row>
    <row r="5074" spans="1:5" x14ac:dyDescent="0.35">
      <c r="A5074" t="s">
        <v>69</v>
      </c>
      <c r="B5074" s="16">
        <v>45686</v>
      </c>
      <c r="C5074">
        <v>5</v>
      </c>
      <c r="D5074">
        <v>1</v>
      </c>
      <c r="E5074" t="s">
        <v>6132</v>
      </c>
    </row>
    <row r="5075" spans="1:5" x14ac:dyDescent="0.35">
      <c r="A5075" t="s">
        <v>69</v>
      </c>
      <c r="B5075" s="16">
        <v>45688</v>
      </c>
      <c r="C5075">
        <v>5.4</v>
      </c>
      <c r="D5075">
        <v>4</v>
      </c>
      <c r="E5075" t="s">
        <v>6132</v>
      </c>
    </row>
    <row r="5076" spans="1:5" x14ac:dyDescent="0.35">
      <c r="A5076" t="s">
        <v>69</v>
      </c>
      <c r="B5076" s="16">
        <v>45691</v>
      </c>
      <c r="C5076">
        <v>7.4</v>
      </c>
      <c r="D5076">
        <v>4</v>
      </c>
      <c r="E5076" t="s">
        <v>6132</v>
      </c>
    </row>
    <row r="5077" spans="1:5" x14ac:dyDescent="0.35">
      <c r="A5077" t="s">
        <v>69</v>
      </c>
      <c r="B5077" s="16">
        <v>45692</v>
      </c>
      <c r="D5077">
        <v>1</v>
      </c>
      <c r="E5077" t="s">
        <v>6132</v>
      </c>
    </row>
    <row r="5078" spans="1:5" x14ac:dyDescent="0.35">
      <c r="A5078" t="s">
        <v>69</v>
      </c>
      <c r="B5078" s="16">
        <v>45694</v>
      </c>
      <c r="C5078">
        <v>6.6</v>
      </c>
      <c r="D5078">
        <v>2</v>
      </c>
      <c r="E5078" t="s">
        <v>6132</v>
      </c>
    </row>
    <row r="5079" spans="1:5" x14ac:dyDescent="0.35">
      <c r="A5079" t="s">
        <v>69</v>
      </c>
      <c r="B5079" s="16">
        <v>45695</v>
      </c>
      <c r="C5079">
        <v>6.2</v>
      </c>
      <c r="D5079">
        <v>1</v>
      </c>
      <c r="E5079" t="s">
        <v>6132</v>
      </c>
    </row>
    <row r="5080" spans="1:5" x14ac:dyDescent="0.35">
      <c r="A5080" t="s">
        <v>69</v>
      </c>
      <c r="B5080" s="16">
        <v>45695</v>
      </c>
      <c r="C5080">
        <v>8.6999999999999993</v>
      </c>
      <c r="D5080">
        <v>1</v>
      </c>
      <c r="E5080" t="s">
        <v>6132</v>
      </c>
    </row>
    <row r="5081" spans="1:5" x14ac:dyDescent="0.35">
      <c r="A5081" t="s">
        <v>69</v>
      </c>
      <c r="B5081" s="16">
        <v>45699</v>
      </c>
      <c r="C5081">
        <v>8</v>
      </c>
      <c r="D5081">
        <v>1</v>
      </c>
      <c r="E5081" t="s">
        <v>6132</v>
      </c>
    </row>
    <row r="5082" spans="1:5" x14ac:dyDescent="0.35">
      <c r="A5082" t="s">
        <v>69</v>
      </c>
      <c r="B5082" s="16">
        <v>45701</v>
      </c>
      <c r="D5082">
        <v>0</v>
      </c>
      <c r="E5082" t="s">
        <v>6132</v>
      </c>
    </row>
    <row r="5083" spans="1:5" x14ac:dyDescent="0.35">
      <c r="A5083" t="s">
        <v>69</v>
      </c>
      <c r="B5083" s="16">
        <v>45702</v>
      </c>
      <c r="C5083">
        <v>7</v>
      </c>
      <c r="D5083">
        <v>0</v>
      </c>
      <c r="E5083" t="s">
        <v>6132</v>
      </c>
    </row>
    <row r="5084" spans="1:5" x14ac:dyDescent="0.35">
      <c r="A5084" t="s">
        <v>69</v>
      </c>
      <c r="B5084" s="16">
        <v>45707</v>
      </c>
      <c r="C5084">
        <v>8.6999999999999993</v>
      </c>
      <c r="D5084">
        <v>2</v>
      </c>
      <c r="E5084" t="s">
        <v>6132</v>
      </c>
    </row>
    <row r="5085" spans="1:5" x14ac:dyDescent="0.35">
      <c r="A5085" t="s">
        <v>69</v>
      </c>
      <c r="B5085" s="16">
        <v>45707</v>
      </c>
      <c r="D5085">
        <v>1</v>
      </c>
      <c r="E5085" t="s">
        <v>6132</v>
      </c>
    </row>
    <row r="5086" spans="1:5" x14ac:dyDescent="0.35">
      <c r="A5086" t="s">
        <v>69</v>
      </c>
      <c r="B5086" s="16">
        <v>45708</v>
      </c>
      <c r="D5086">
        <v>1</v>
      </c>
      <c r="E5086" t="s">
        <v>6132</v>
      </c>
    </row>
    <row r="5087" spans="1:5" x14ac:dyDescent="0.35">
      <c r="A5087" t="s">
        <v>69</v>
      </c>
      <c r="B5087" s="16">
        <v>45716</v>
      </c>
      <c r="C5087">
        <v>4.0999999999999996</v>
      </c>
      <c r="D5087">
        <v>2</v>
      </c>
      <c r="E5087" t="s">
        <v>6132</v>
      </c>
    </row>
    <row r="5088" spans="1:5" x14ac:dyDescent="0.35">
      <c r="A5088" t="s">
        <v>69</v>
      </c>
      <c r="B5088" s="16">
        <v>45719</v>
      </c>
      <c r="C5088">
        <v>5.4</v>
      </c>
      <c r="D5088">
        <v>1</v>
      </c>
      <c r="E5088" t="s">
        <v>6132</v>
      </c>
    </row>
    <row r="5089" spans="1:5" x14ac:dyDescent="0.35">
      <c r="A5089" t="s">
        <v>69</v>
      </c>
      <c r="B5089" s="16">
        <v>45720</v>
      </c>
      <c r="C5089">
        <v>7</v>
      </c>
      <c r="D5089">
        <v>0</v>
      </c>
      <c r="E5089" t="s">
        <v>6132</v>
      </c>
    </row>
    <row r="5090" spans="1:5" x14ac:dyDescent="0.35">
      <c r="A5090" t="s">
        <v>69</v>
      </c>
      <c r="B5090" s="16">
        <v>45721</v>
      </c>
      <c r="D5090">
        <v>0</v>
      </c>
      <c r="E5090" t="s">
        <v>6132</v>
      </c>
    </row>
    <row r="5091" spans="1:5" x14ac:dyDescent="0.35">
      <c r="A5091" t="s">
        <v>69</v>
      </c>
      <c r="B5091" s="16">
        <v>45722</v>
      </c>
      <c r="C5091">
        <v>5.6</v>
      </c>
      <c r="D5091">
        <v>2</v>
      </c>
      <c r="E5091" t="s">
        <v>6132</v>
      </c>
    </row>
    <row r="5092" spans="1:5" x14ac:dyDescent="0.35">
      <c r="A5092" t="s">
        <v>69</v>
      </c>
      <c r="B5092" s="16">
        <v>45723</v>
      </c>
      <c r="C5092">
        <v>5.2</v>
      </c>
      <c r="D5092">
        <v>0</v>
      </c>
      <c r="E5092" t="s">
        <v>6133</v>
      </c>
    </row>
    <row r="5093" spans="1:5" x14ac:dyDescent="0.35">
      <c r="A5093" t="s">
        <v>69</v>
      </c>
      <c r="B5093" s="16">
        <v>45726</v>
      </c>
      <c r="C5093">
        <v>6.1</v>
      </c>
      <c r="D5093">
        <v>2</v>
      </c>
      <c r="E5093" t="s">
        <v>6132</v>
      </c>
    </row>
    <row r="5094" spans="1:5" x14ac:dyDescent="0.35">
      <c r="A5094" t="s">
        <v>69</v>
      </c>
      <c r="B5094" s="16">
        <v>45728</v>
      </c>
      <c r="C5094">
        <v>8.5</v>
      </c>
      <c r="D5094">
        <v>2</v>
      </c>
      <c r="E5094" t="s">
        <v>6132</v>
      </c>
    </row>
    <row r="5095" spans="1:5" x14ac:dyDescent="0.35">
      <c r="A5095" t="s">
        <v>69</v>
      </c>
      <c r="B5095" s="16">
        <v>45735</v>
      </c>
      <c r="C5095">
        <v>7</v>
      </c>
      <c r="D5095">
        <v>2</v>
      </c>
      <c r="E5095" t="s">
        <v>6132</v>
      </c>
    </row>
    <row r="5096" spans="1:5" x14ac:dyDescent="0.35">
      <c r="A5096" t="s">
        <v>69</v>
      </c>
      <c r="B5096" s="16">
        <v>45736</v>
      </c>
      <c r="C5096">
        <v>7</v>
      </c>
      <c r="D5096">
        <v>4</v>
      </c>
      <c r="E5096" t="s">
        <v>6132</v>
      </c>
    </row>
    <row r="5097" spans="1:5" x14ac:dyDescent="0.35">
      <c r="A5097" t="s">
        <v>69</v>
      </c>
      <c r="B5097" s="16">
        <v>45737</v>
      </c>
      <c r="C5097">
        <v>6.6</v>
      </c>
      <c r="D5097">
        <v>1</v>
      </c>
      <c r="E5097" t="s">
        <v>6132</v>
      </c>
    </row>
    <row r="5098" spans="1:5" x14ac:dyDescent="0.35">
      <c r="A5098" t="s">
        <v>69</v>
      </c>
      <c r="B5098" s="16">
        <v>45740</v>
      </c>
      <c r="C5098">
        <v>8.6</v>
      </c>
      <c r="D5098">
        <v>1</v>
      </c>
      <c r="E5098" t="s">
        <v>6132</v>
      </c>
    </row>
    <row r="5099" spans="1:5" x14ac:dyDescent="0.35">
      <c r="A5099" t="s">
        <v>69</v>
      </c>
      <c r="B5099" s="16">
        <v>45751</v>
      </c>
      <c r="C5099">
        <v>4.2</v>
      </c>
      <c r="D5099">
        <v>7</v>
      </c>
      <c r="E5099" t="s">
        <v>6132</v>
      </c>
    </row>
    <row r="5100" spans="1:5" x14ac:dyDescent="0.35">
      <c r="A5100" t="s">
        <v>69</v>
      </c>
      <c r="B5100" s="16">
        <v>45755</v>
      </c>
      <c r="C5100">
        <v>6.8</v>
      </c>
      <c r="D5100">
        <v>3</v>
      </c>
      <c r="E5100" t="s">
        <v>6132</v>
      </c>
    </row>
    <row r="5101" spans="1:5" x14ac:dyDescent="0.35">
      <c r="A5101" t="s">
        <v>69</v>
      </c>
      <c r="B5101" s="16">
        <v>45755</v>
      </c>
      <c r="C5101">
        <v>5.3</v>
      </c>
      <c r="D5101">
        <v>3</v>
      </c>
      <c r="E5101" t="s">
        <v>6132</v>
      </c>
    </row>
    <row r="5102" spans="1:5" x14ac:dyDescent="0.35">
      <c r="A5102" t="s">
        <v>69</v>
      </c>
      <c r="B5102" s="16">
        <v>45757</v>
      </c>
      <c r="C5102">
        <v>5.3</v>
      </c>
      <c r="D5102">
        <v>5</v>
      </c>
      <c r="E5102" t="s">
        <v>6132</v>
      </c>
    </row>
    <row r="5103" spans="1:5" x14ac:dyDescent="0.35">
      <c r="A5103" t="s">
        <v>69</v>
      </c>
      <c r="B5103" s="16">
        <v>45758</v>
      </c>
      <c r="D5103">
        <v>1</v>
      </c>
      <c r="E5103" t="s">
        <v>6132</v>
      </c>
    </row>
    <row r="5104" spans="1:5" x14ac:dyDescent="0.35">
      <c r="A5104" t="s">
        <v>69</v>
      </c>
      <c r="B5104" s="16">
        <v>45763</v>
      </c>
      <c r="C5104">
        <v>8</v>
      </c>
      <c r="D5104">
        <v>3</v>
      </c>
      <c r="E5104" t="s">
        <v>6132</v>
      </c>
    </row>
    <row r="5105" spans="1:5" x14ac:dyDescent="0.35">
      <c r="A5105" t="s">
        <v>69</v>
      </c>
      <c r="B5105" s="16">
        <v>45768</v>
      </c>
      <c r="C5105">
        <v>4.5</v>
      </c>
      <c r="D5105">
        <v>1</v>
      </c>
      <c r="E5105" t="s">
        <v>6132</v>
      </c>
    </row>
    <row r="5106" spans="1:5" x14ac:dyDescent="0.35">
      <c r="A5106" t="s">
        <v>69</v>
      </c>
      <c r="B5106" s="16">
        <v>45770</v>
      </c>
      <c r="C5106">
        <v>5.9</v>
      </c>
      <c r="D5106">
        <v>1</v>
      </c>
      <c r="E5106" t="s">
        <v>6132</v>
      </c>
    </row>
    <row r="5107" spans="1:5" x14ac:dyDescent="0.35">
      <c r="A5107" t="s">
        <v>69</v>
      </c>
      <c r="B5107" s="16">
        <v>45772</v>
      </c>
      <c r="C5107">
        <v>4.5999999999999996</v>
      </c>
      <c r="D5107">
        <v>4</v>
      </c>
      <c r="E5107" t="s">
        <v>6132</v>
      </c>
    </row>
    <row r="5108" spans="1:5" x14ac:dyDescent="0.35">
      <c r="A5108" t="s">
        <v>69</v>
      </c>
      <c r="B5108" s="16">
        <v>45775</v>
      </c>
      <c r="C5108">
        <v>7.2</v>
      </c>
      <c r="D5108">
        <v>0</v>
      </c>
      <c r="E5108" t="s">
        <v>6133</v>
      </c>
    </row>
    <row r="5109" spans="1:5" x14ac:dyDescent="0.35">
      <c r="A5109" t="s">
        <v>69</v>
      </c>
      <c r="B5109" s="16">
        <v>45776</v>
      </c>
      <c r="C5109">
        <v>5.6</v>
      </c>
      <c r="D5109">
        <v>1</v>
      </c>
      <c r="E5109" t="s">
        <v>6132</v>
      </c>
    </row>
    <row r="5110" spans="1:5" x14ac:dyDescent="0.35">
      <c r="A5110" t="s">
        <v>69</v>
      </c>
      <c r="B5110" s="16">
        <v>45777</v>
      </c>
      <c r="D5110">
        <v>1</v>
      </c>
      <c r="E5110" t="s">
        <v>6132</v>
      </c>
    </row>
    <row r="5111" spans="1:5" x14ac:dyDescent="0.35">
      <c r="A5111" t="s">
        <v>69</v>
      </c>
      <c r="B5111" s="16">
        <v>45778</v>
      </c>
      <c r="C5111">
        <v>7.7</v>
      </c>
      <c r="D5111">
        <v>2</v>
      </c>
      <c r="E5111" t="s">
        <v>6132</v>
      </c>
    </row>
    <row r="5112" spans="1:5" x14ac:dyDescent="0.35">
      <c r="A5112" t="s">
        <v>69</v>
      </c>
      <c r="B5112" s="16">
        <v>45779</v>
      </c>
      <c r="D5112">
        <v>0</v>
      </c>
      <c r="E5112" t="s">
        <v>6133</v>
      </c>
    </row>
    <row r="5113" spans="1:5" x14ac:dyDescent="0.35">
      <c r="A5113" t="s">
        <v>69</v>
      </c>
      <c r="B5113" s="16">
        <v>45783</v>
      </c>
      <c r="C5113">
        <v>6.4</v>
      </c>
      <c r="D5113">
        <v>0</v>
      </c>
      <c r="E5113" t="s">
        <v>6132</v>
      </c>
    </row>
    <row r="5114" spans="1:5" x14ac:dyDescent="0.35">
      <c r="A5114" t="s">
        <v>69</v>
      </c>
      <c r="B5114" s="16">
        <v>45786</v>
      </c>
      <c r="C5114">
        <v>4.5999999999999996</v>
      </c>
      <c r="D5114">
        <v>3</v>
      </c>
      <c r="E5114" t="s">
        <v>6132</v>
      </c>
    </row>
    <row r="5115" spans="1:5" x14ac:dyDescent="0.35">
      <c r="A5115" t="s">
        <v>69</v>
      </c>
      <c r="B5115" s="16">
        <v>45791</v>
      </c>
      <c r="C5115">
        <v>7</v>
      </c>
      <c r="D5115">
        <v>1</v>
      </c>
      <c r="E5115" t="s">
        <v>6132</v>
      </c>
    </row>
    <row r="5116" spans="1:5" x14ac:dyDescent="0.35">
      <c r="A5116" t="s">
        <v>69</v>
      </c>
      <c r="B5116" s="16">
        <v>45791</v>
      </c>
      <c r="C5116">
        <v>6.3</v>
      </c>
      <c r="D5116">
        <v>2</v>
      </c>
      <c r="E5116" t="s">
        <v>6132</v>
      </c>
    </row>
    <row r="5117" spans="1:5" x14ac:dyDescent="0.35">
      <c r="A5117" t="s">
        <v>69</v>
      </c>
      <c r="B5117" s="16">
        <v>45792</v>
      </c>
      <c r="C5117">
        <v>8.6</v>
      </c>
      <c r="D5117">
        <v>0</v>
      </c>
      <c r="E5117" t="s">
        <v>6132</v>
      </c>
    </row>
    <row r="5118" spans="1:5" x14ac:dyDescent="0.35">
      <c r="A5118" t="s">
        <v>69</v>
      </c>
      <c r="B5118" s="16">
        <v>45793</v>
      </c>
      <c r="C5118">
        <v>4.3</v>
      </c>
      <c r="D5118">
        <v>1</v>
      </c>
      <c r="E5118" t="s">
        <v>6132</v>
      </c>
    </row>
    <row r="5119" spans="1:5" x14ac:dyDescent="0.35">
      <c r="A5119" t="s">
        <v>69</v>
      </c>
      <c r="B5119" s="16">
        <v>45796</v>
      </c>
      <c r="C5119">
        <v>8</v>
      </c>
      <c r="D5119">
        <v>4</v>
      </c>
      <c r="E5119" t="s">
        <v>6132</v>
      </c>
    </row>
    <row r="5120" spans="1:5" x14ac:dyDescent="0.35">
      <c r="A5120" t="s">
        <v>69</v>
      </c>
      <c r="B5120" s="16">
        <v>45799</v>
      </c>
      <c r="C5120">
        <v>5.7</v>
      </c>
      <c r="D5120">
        <v>3</v>
      </c>
      <c r="E5120" t="s">
        <v>6132</v>
      </c>
    </row>
    <row r="5121" spans="1:5" x14ac:dyDescent="0.35">
      <c r="A5121" t="s">
        <v>69</v>
      </c>
      <c r="B5121" s="16">
        <v>45804</v>
      </c>
      <c r="C5121">
        <v>4.5</v>
      </c>
      <c r="D5121">
        <v>2</v>
      </c>
      <c r="E5121" t="s">
        <v>6132</v>
      </c>
    </row>
    <row r="5122" spans="1:5" x14ac:dyDescent="0.35">
      <c r="A5122" t="s">
        <v>69</v>
      </c>
      <c r="B5122" s="16">
        <v>45805</v>
      </c>
      <c r="C5122">
        <v>6.5</v>
      </c>
      <c r="D5122">
        <v>1</v>
      </c>
      <c r="E5122" t="s">
        <v>6132</v>
      </c>
    </row>
    <row r="5123" spans="1:5" x14ac:dyDescent="0.35">
      <c r="A5123" t="s">
        <v>69</v>
      </c>
      <c r="B5123" s="16">
        <v>45806</v>
      </c>
      <c r="C5123">
        <v>4</v>
      </c>
      <c r="D5123">
        <v>2</v>
      </c>
      <c r="E5123" t="s">
        <v>6132</v>
      </c>
    </row>
    <row r="5124" spans="1:5" x14ac:dyDescent="0.35">
      <c r="A5124" t="s">
        <v>69</v>
      </c>
      <c r="B5124" s="16">
        <v>45810</v>
      </c>
      <c r="C5124">
        <v>7.3</v>
      </c>
      <c r="D5124">
        <v>1</v>
      </c>
      <c r="E5124" t="s">
        <v>6132</v>
      </c>
    </row>
    <row r="5125" spans="1:5" x14ac:dyDescent="0.35">
      <c r="A5125" t="s">
        <v>69</v>
      </c>
      <c r="B5125" s="16">
        <v>45812</v>
      </c>
      <c r="D5125">
        <v>0</v>
      </c>
      <c r="E5125" t="s">
        <v>6133</v>
      </c>
    </row>
    <row r="5126" spans="1:5" x14ac:dyDescent="0.35">
      <c r="A5126" t="s">
        <v>69</v>
      </c>
      <c r="B5126" s="16">
        <v>45813</v>
      </c>
      <c r="C5126">
        <v>8.1</v>
      </c>
      <c r="D5126">
        <v>1</v>
      </c>
      <c r="E5126" t="s">
        <v>6132</v>
      </c>
    </row>
    <row r="5127" spans="1:5" x14ac:dyDescent="0.35">
      <c r="A5127" t="s">
        <v>69</v>
      </c>
      <c r="B5127" s="16">
        <v>45818</v>
      </c>
      <c r="C5127">
        <v>8.6999999999999993</v>
      </c>
      <c r="D5127">
        <v>0</v>
      </c>
      <c r="E5127" t="s">
        <v>6133</v>
      </c>
    </row>
    <row r="5128" spans="1:5" x14ac:dyDescent="0.35">
      <c r="A5128" t="s">
        <v>69</v>
      </c>
      <c r="B5128" s="16">
        <v>45819</v>
      </c>
      <c r="C5128">
        <v>8.1</v>
      </c>
      <c r="D5128">
        <v>2</v>
      </c>
      <c r="E5128" t="s">
        <v>6132</v>
      </c>
    </row>
    <row r="5129" spans="1:5" x14ac:dyDescent="0.35">
      <c r="A5129" t="s">
        <v>69</v>
      </c>
      <c r="B5129" s="16">
        <v>45826</v>
      </c>
      <c r="C5129">
        <v>7.7</v>
      </c>
      <c r="D5129">
        <v>5</v>
      </c>
      <c r="E5129" t="s">
        <v>6132</v>
      </c>
    </row>
    <row r="5130" spans="1:5" x14ac:dyDescent="0.35">
      <c r="A5130" t="s">
        <v>69</v>
      </c>
      <c r="B5130" s="16">
        <v>45827</v>
      </c>
      <c r="C5130">
        <v>6.2</v>
      </c>
      <c r="D5130">
        <v>2</v>
      </c>
      <c r="E5130" t="s">
        <v>6132</v>
      </c>
    </row>
    <row r="5131" spans="1:5" x14ac:dyDescent="0.35">
      <c r="A5131" t="s">
        <v>69</v>
      </c>
      <c r="B5131" s="16">
        <v>45827</v>
      </c>
      <c r="C5131">
        <v>7.9</v>
      </c>
      <c r="D5131">
        <v>0</v>
      </c>
      <c r="E5131" t="s">
        <v>6132</v>
      </c>
    </row>
    <row r="5132" spans="1:5" x14ac:dyDescent="0.35">
      <c r="A5132" t="s">
        <v>69</v>
      </c>
      <c r="B5132" s="16">
        <v>45831</v>
      </c>
      <c r="C5132">
        <v>7.2</v>
      </c>
      <c r="D5132">
        <v>0</v>
      </c>
      <c r="E5132" t="s">
        <v>6132</v>
      </c>
    </row>
    <row r="5133" spans="1:5" x14ac:dyDescent="0.35">
      <c r="A5133" t="s">
        <v>69</v>
      </c>
      <c r="B5133" s="16">
        <v>45832</v>
      </c>
      <c r="C5133">
        <v>5.2</v>
      </c>
      <c r="D5133">
        <v>2</v>
      </c>
      <c r="E5133" t="s">
        <v>6132</v>
      </c>
    </row>
    <row r="5134" spans="1:5" x14ac:dyDescent="0.35">
      <c r="A5134" t="s">
        <v>69</v>
      </c>
      <c r="B5134" s="16">
        <v>45833</v>
      </c>
      <c r="C5134">
        <v>8.5</v>
      </c>
      <c r="D5134">
        <v>2</v>
      </c>
      <c r="E5134" t="s">
        <v>6132</v>
      </c>
    </row>
    <row r="5135" spans="1:5" x14ac:dyDescent="0.35">
      <c r="A5135" t="s">
        <v>69</v>
      </c>
      <c r="B5135" s="16">
        <v>45833</v>
      </c>
      <c r="C5135">
        <v>4.5999999999999996</v>
      </c>
      <c r="D5135">
        <v>0</v>
      </c>
      <c r="E5135" t="s">
        <v>6132</v>
      </c>
    </row>
    <row r="5136" spans="1:5" x14ac:dyDescent="0.35">
      <c r="A5136" t="s">
        <v>69</v>
      </c>
      <c r="B5136" s="16">
        <v>45834</v>
      </c>
      <c r="C5136">
        <v>8.6999999999999993</v>
      </c>
      <c r="D5136">
        <v>0</v>
      </c>
      <c r="E5136" t="s">
        <v>6133</v>
      </c>
    </row>
    <row r="5137" spans="1:5" x14ac:dyDescent="0.35">
      <c r="A5137" t="s">
        <v>69</v>
      </c>
      <c r="B5137" s="16">
        <v>45835</v>
      </c>
      <c r="C5137">
        <v>9</v>
      </c>
      <c r="D5137">
        <v>1</v>
      </c>
      <c r="E5137" t="s">
        <v>6132</v>
      </c>
    </row>
    <row r="5138" spans="1:5" x14ac:dyDescent="0.35">
      <c r="A5138" t="s">
        <v>69</v>
      </c>
      <c r="B5138" s="16">
        <v>45839</v>
      </c>
      <c r="C5138">
        <v>6.4</v>
      </c>
      <c r="D5138">
        <v>0</v>
      </c>
      <c r="E5138" t="s">
        <v>6133</v>
      </c>
    </row>
    <row r="5139" spans="1:5" x14ac:dyDescent="0.35">
      <c r="A5139" t="s">
        <v>69</v>
      </c>
      <c r="B5139" s="16">
        <v>45841</v>
      </c>
      <c r="C5139">
        <v>7.2</v>
      </c>
      <c r="D5139">
        <v>2</v>
      </c>
      <c r="E5139" t="s">
        <v>6132</v>
      </c>
    </row>
    <row r="5140" spans="1:5" x14ac:dyDescent="0.35">
      <c r="A5140" t="s">
        <v>69</v>
      </c>
      <c r="B5140" s="16">
        <v>45842</v>
      </c>
      <c r="C5140">
        <v>7.7</v>
      </c>
      <c r="D5140">
        <v>1</v>
      </c>
      <c r="E5140" t="s">
        <v>6132</v>
      </c>
    </row>
    <row r="5141" spans="1:5" x14ac:dyDescent="0.35">
      <c r="A5141" t="s">
        <v>69</v>
      </c>
      <c r="B5141" s="16">
        <v>45845</v>
      </c>
      <c r="C5141">
        <v>6.7</v>
      </c>
      <c r="D5141">
        <v>0</v>
      </c>
      <c r="E5141" t="s">
        <v>6132</v>
      </c>
    </row>
    <row r="5142" spans="1:5" x14ac:dyDescent="0.35">
      <c r="A5142" t="s">
        <v>69</v>
      </c>
      <c r="B5142" s="16">
        <v>45846</v>
      </c>
      <c r="C5142">
        <v>4.5</v>
      </c>
      <c r="D5142">
        <v>1</v>
      </c>
      <c r="E5142" t="s">
        <v>6132</v>
      </c>
    </row>
    <row r="5143" spans="1:5" x14ac:dyDescent="0.35">
      <c r="A5143" t="s">
        <v>69</v>
      </c>
      <c r="B5143" s="16">
        <v>45847</v>
      </c>
      <c r="C5143">
        <v>7.7</v>
      </c>
      <c r="D5143">
        <v>1</v>
      </c>
      <c r="E5143" t="s">
        <v>6132</v>
      </c>
    </row>
    <row r="5144" spans="1:5" x14ac:dyDescent="0.35">
      <c r="A5144" t="s">
        <v>69</v>
      </c>
      <c r="B5144" s="16">
        <v>45848</v>
      </c>
      <c r="D5144">
        <v>1</v>
      </c>
      <c r="E5144" t="s">
        <v>6132</v>
      </c>
    </row>
    <row r="5145" spans="1:5" x14ac:dyDescent="0.35">
      <c r="A5145" t="s">
        <v>69</v>
      </c>
      <c r="B5145" s="16">
        <v>45848</v>
      </c>
      <c r="C5145">
        <v>8.3000000000000007</v>
      </c>
      <c r="D5145">
        <v>0</v>
      </c>
      <c r="E5145" t="s">
        <v>6132</v>
      </c>
    </row>
    <row r="5146" spans="1:5" x14ac:dyDescent="0.35">
      <c r="A5146" t="s">
        <v>69</v>
      </c>
      <c r="B5146" s="16">
        <v>45849</v>
      </c>
      <c r="C5146">
        <v>7.8</v>
      </c>
      <c r="D5146">
        <v>0</v>
      </c>
      <c r="E5146" t="s">
        <v>6132</v>
      </c>
    </row>
    <row r="5147" spans="1:5" x14ac:dyDescent="0.35">
      <c r="A5147" t="s">
        <v>69</v>
      </c>
      <c r="B5147" s="16">
        <v>45853</v>
      </c>
      <c r="C5147">
        <v>6.5</v>
      </c>
      <c r="D5147">
        <v>0</v>
      </c>
      <c r="E5147" t="s">
        <v>6132</v>
      </c>
    </row>
    <row r="5148" spans="1:5" x14ac:dyDescent="0.35">
      <c r="A5148" t="s">
        <v>69</v>
      </c>
      <c r="B5148" s="16">
        <v>45854</v>
      </c>
      <c r="C5148">
        <v>4.5999999999999996</v>
      </c>
      <c r="D5148">
        <v>3</v>
      </c>
      <c r="E5148" t="s">
        <v>6132</v>
      </c>
    </row>
    <row r="5149" spans="1:5" x14ac:dyDescent="0.35">
      <c r="A5149" t="s">
        <v>69</v>
      </c>
      <c r="B5149" s="16">
        <v>45855</v>
      </c>
      <c r="C5149">
        <v>4.0999999999999996</v>
      </c>
      <c r="D5149">
        <v>4</v>
      </c>
      <c r="E5149" t="s">
        <v>6132</v>
      </c>
    </row>
    <row r="5150" spans="1:5" x14ac:dyDescent="0.35">
      <c r="A5150" t="s">
        <v>69</v>
      </c>
      <c r="B5150" s="16">
        <v>45856</v>
      </c>
      <c r="C5150">
        <v>6.4</v>
      </c>
      <c r="D5150">
        <v>0</v>
      </c>
      <c r="E5150" t="s">
        <v>6134</v>
      </c>
    </row>
    <row r="5151" spans="1:5" x14ac:dyDescent="0.35">
      <c r="A5151" t="s">
        <v>69</v>
      </c>
      <c r="B5151" s="16">
        <v>45860</v>
      </c>
      <c r="C5151">
        <v>5.7</v>
      </c>
      <c r="D5151">
        <v>0</v>
      </c>
      <c r="E5151" t="s">
        <v>6132</v>
      </c>
    </row>
    <row r="5152" spans="1:5" x14ac:dyDescent="0.35">
      <c r="A5152" t="s">
        <v>69</v>
      </c>
      <c r="B5152" s="16">
        <v>45861</v>
      </c>
      <c r="C5152">
        <v>4.2</v>
      </c>
      <c r="D5152">
        <v>0</v>
      </c>
      <c r="E5152" t="s">
        <v>6134</v>
      </c>
    </row>
    <row r="5153" spans="1:5" x14ac:dyDescent="0.35">
      <c r="A5153" t="s">
        <v>69</v>
      </c>
      <c r="B5153" s="16">
        <v>45862</v>
      </c>
      <c r="C5153">
        <v>6.2</v>
      </c>
      <c r="D5153">
        <v>1</v>
      </c>
      <c r="E5153" t="s">
        <v>6132</v>
      </c>
    </row>
    <row r="5154" spans="1:5" x14ac:dyDescent="0.35">
      <c r="A5154" t="s">
        <v>69</v>
      </c>
      <c r="B5154" s="16">
        <v>45863</v>
      </c>
      <c r="C5154">
        <v>5.8</v>
      </c>
      <c r="D5154">
        <v>0</v>
      </c>
      <c r="E5154" t="s">
        <v>6132</v>
      </c>
    </row>
    <row r="5155" spans="1:5" x14ac:dyDescent="0.35">
      <c r="A5155" t="s">
        <v>69</v>
      </c>
      <c r="B5155" s="16">
        <v>45866</v>
      </c>
      <c r="C5155">
        <v>6.7</v>
      </c>
      <c r="D5155">
        <v>2</v>
      </c>
      <c r="E5155" t="s">
        <v>6132</v>
      </c>
    </row>
    <row r="5156" spans="1:5" x14ac:dyDescent="0.35">
      <c r="A5156" t="s">
        <v>69</v>
      </c>
      <c r="B5156" s="16">
        <v>45866</v>
      </c>
      <c r="C5156">
        <v>4.7</v>
      </c>
      <c r="D5156">
        <v>3</v>
      </c>
      <c r="E5156" t="s">
        <v>6132</v>
      </c>
    </row>
    <row r="5157" spans="1:5" x14ac:dyDescent="0.35">
      <c r="A5157" t="s">
        <v>69</v>
      </c>
      <c r="B5157" s="16">
        <v>45868</v>
      </c>
      <c r="C5157">
        <v>5.5</v>
      </c>
      <c r="D5157">
        <v>0</v>
      </c>
      <c r="E5157" t="s">
        <v>6134</v>
      </c>
    </row>
    <row r="5158" spans="1:5" x14ac:dyDescent="0.35">
      <c r="A5158" t="s">
        <v>69</v>
      </c>
      <c r="B5158" s="16">
        <v>45869</v>
      </c>
      <c r="C5158">
        <v>8.1999999999999993</v>
      </c>
      <c r="D5158">
        <v>0</v>
      </c>
      <c r="E5158" t="s">
        <v>6132</v>
      </c>
    </row>
    <row r="5159" spans="1:5" x14ac:dyDescent="0.35">
      <c r="A5159" t="s">
        <v>69</v>
      </c>
      <c r="B5159" s="16">
        <v>45874</v>
      </c>
      <c r="C5159">
        <v>7.4</v>
      </c>
      <c r="D5159">
        <v>0</v>
      </c>
      <c r="E5159" t="s">
        <v>6134</v>
      </c>
    </row>
    <row r="5160" spans="1:5" x14ac:dyDescent="0.35">
      <c r="A5160" t="s">
        <v>69</v>
      </c>
      <c r="B5160" s="16">
        <v>45874</v>
      </c>
      <c r="C5160">
        <v>8.4</v>
      </c>
      <c r="D5160">
        <v>0</v>
      </c>
      <c r="E5160" t="s">
        <v>6134</v>
      </c>
    </row>
    <row r="5161" spans="1:5" x14ac:dyDescent="0.35">
      <c r="A5161" t="s">
        <v>69</v>
      </c>
      <c r="B5161" s="16">
        <v>45877</v>
      </c>
      <c r="C5161">
        <v>4.9000000000000004</v>
      </c>
      <c r="D5161">
        <v>0</v>
      </c>
      <c r="E5161" t="s">
        <v>6133</v>
      </c>
    </row>
    <row r="5162" spans="1:5" x14ac:dyDescent="0.35">
      <c r="A5162" t="s">
        <v>69</v>
      </c>
      <c r="B5162" s="16">
        <v>45880</v>
      </c>
      <c r="C5162">
        <v>8.1999999999999993</v>
      </c>
      <c r="D5162">
        <v>0</v>
      </c>
      <c r="E5162" t="s">
        <v>6134</v>
      </c>
    </row>
    <row r="5163" spans="1:5" x14ac:dyDescent="0.35">
      <c r="A5163" t="s">
        <v>69</v>
      </c>
      <c r="B5163" s="16">
        <v>45881</v>
      </c>
      <c r="C5163">
        <v>5.4</v>
      </c>
      <c r="D5163">
        <v>1</v>
      </c>
      <c r="E5163" t="s">
        <v>6132</v>
      </c>
    </row>
    <row r="5164" spans="1:5" x14ac:dyDescent="0.35">
      <c r="A5164" t="s">
        <v>69</v>
      </c>
      <c r="B5164" s="16">
        <v>45887</v>
      </c>
      <c r="C5164">
        <v>8.9</v>
      </c>
      <c r="D5164">
        <v>0</v>
      </c>
      <c r="E5164" t="s">
        <v>6132</v>
      </c>
    </row>
    <row r="5165" spans="1:5" x14ac:dyDescent="0.35">
      <c r="A5165" t="s">
        <v>69</v>
      </c>
      <c r="B5165" s="16">
        <v>45890</v>
      </c>
      <c r="C5165">
        <v>9</v>
      </c>
      <c r="D5165">
        <v>1</v>
      </c>
      <c r="E5165" t="s">
        <v>6132</v>
      </c>
    </row>
    <row r="5166" spans="1:5" x14ac:dyDescent="0.35">
      <c r="A5166" t="s">
        <v>69</v>
      </c>
      <c r="B5166" s="16">
        <v>45891</v>
      </c>
      <c r="D5166">
        <v>1</v>
      </c>
      <c r="E5166" t="s">
        <v>6132</v>
      </c>
    </row>
    <row r="5167" spans="1:5" x14ac:dyDescent="0.35">
      <c r="A5167" t="s">
        <v>69</v>
      </c>
      <c r="B5167" s="16">
        <v>45894</v>
      </c>
      <c r="C5167">
        <v>8.3000000000000007</v>
      </c>
      <c r="D5167">
        <v>4</v>
      </c>
      <c r="E5167" t="s">
        <v>6132</v>
      </c>
    </row>
    <row r="5168" spans="1:5" x14ac:dyDescent="0.35">
      <c r="A5168" t="s">
        <v>69</v>
      </c>
      <c r="B5168" s="16">
        <v>45895</v>
      </c>
      <c r="D5168">
        <v>1</v>
      </c>
      <c r="E5168" t="s">
        <v>6132</v>
      </c>
    </row>
    <row r="5169" spans="1:5" x14ac:dyDescent="0.35">
      <c r="A5169" t="s">
        <v>69</v>
      </c>
      <c r="B5169" s="16">
        <v>45896</v>
      </c>
      <c r="C5169">
        <v>7.4</v>
      </c>
      <c r="D5169">
        <v>0</v>
      </c>
      <c r="E5169" t="s">
        <v>6133</v>
      </c>
    </row>
    <row r="5170" spans="1:5" x14ac:dyDescent="0.35">
      <c r="A5170" t="s">
        <v>69</v>
      </c>
      <c r="B5170" s="16">
        <v>45897</v>
      </c>
      <c r="C5170">
        <v>6.5</v>
      </c>
      <c r="D5170">
        <v>1</v>
      </c>
      <c r="E5170" t="s">
        <v>6132</v>
      </c>
    </row>
    <row r="5171" spans="1:5" x14ac:dyDescent="0.35">
      <c r="A5171" t="s">
        <v>69</v>
      </c>
      <c r="B5171" s="16">
        <v>45898</v>
      </c>
      <c r="C5171">
        <v>4.4000000000000004</v>
      </c>
      <c r="D5171">
        <v>0</v>
      </c>
      <c r="E5171" t="s">
        <v>6133</v>
      </c>
    </row>
    <row r="5172" spans="1:5" x14ac:dyDescent="0.35">
      <c r="A5172" t="s">
        <v>69</v>
      </c>
      <c r="B5172" s="16">
        <v>45901</v>
      </c>
      <c r="C5172">
        <v>4.8</v>
      </c>
      <c r="D5172">
        <v>3</v>
      </c>
      <c r="E5172" t="s">
        <v>6132</v>
      </c>
    </row>
    <row r="5173" spans="1:5" x14ac:dyDescent="0.35">
      <c r="A5173" t="s">
        <v>69</v>
      </c>
      <c r="B5173" s="16">
        <v>45902</v>
      </c>
      <c r="C5173">
        <v>7.1</v>
      </c>
      <c r="D5173">
        <v>3</v>
      </c>
      <c r="E5173" t="s">
        <v>6132</v>
      </c>
    </row>
    <row r="5174" spans="1:5" x14ac:dyDescent="0.35">
      <c r="A5174" t="s">
        <v>69</v>
      </c>
      <c r="B5174" s="16">
        <v>45908</v>
      </c>
      <c r="C5174">
        <v>5.4</v>
      </c>
      <c r="D5174">
        <v>2</v>
      </c>
      <c r="E5174" t="s">
        <v>6132</v>
      </c>
    </row>
    <row r="5175" spans="1:5" x14ac:dyDescent="0.35">
      <c r="A5175" t="s">
        <v>69</v>
      </c>
      <c r="B5175" s="16">
        <v>45909</v>
      </c>
      <c r="C5175">
        <v>6.6</v>
      </c>
      <c r="D5175">
        <v>2</v>
      </c>
      <c r="E5175" t="s">
        <v>6132</v>
      </c>
    </row>
    <row r="5176" spans="1:5" x14ac:dyDescent="0.35">
      <c r="A5176" t="s">
        <v>69</v>
      </c>
      <c r="B5176" s="16">
        <v>45915</v>
      </c>
      <c r="C5176">
        <v>8.4</v>
      </c>
      <c r="D5176">
        <v>6</v>
      </c>
      <c r="E5176" t="s">
        <v>6132</v>
      </c>
    </row>
    <row r="5177" spans="1:5" x14ac:dyDescent="0.35">
      <c r="A5177" t="s">
        <v>69</v>
      </c>
      <c r="B5177" s="16">
        <v>45916</v>
      </c>
      <c r="C5177">
        <v>6.2</v>
      </c>
      <c r="D5177">
        <v>2</v>
      </c>
      <c r="E5177" t="s">
        <v>6132</v>
      </c>
    </row>
    <row r="5178" spans="1:5" x14ac:dyDescent="0.35">
      <c r="A5178" t="s">
        <v>69</v>
      </c>
      <c r="B5178" s="16">
        <v>45917</v>
      </c>
      <c r="C5178">
        <v>7.2</v>
      </c>
      <c r="D5178">
        <v>4</v>
      </c>
      <c r="E5178" t="s">
        <v>6132</v>
      </c>
    </row>
    <row r="5179" spans="1:5" x14ac:dyDescent="0.35">
      <c r="A5179" t="s">
        <v>69</v>
      </c>
      <c r="B5179" s="16">
        <v>45918</v>
      </c>
      <c r="D5179">
        <v>1</v>
      </c>
      <c r="E5179" t="s">
        <v>6132</v>
      </c>
    </row>
    <row r="5180" spans="1:5" x14ac:dyDescent="0.35">
      <c r="A5180" t="s">
        <v>69</v>
      </c>
      <c r="B5180" s="16">
        <v>45919</v>
      </c>
      <c r="C5180">
        <v>7.7</v>
      </c>
      <c r="D5180">
        <v>5</v>
      </c>
      <c r="E5180" t="s">
        <v>6132</v>
      </c>
    </row>
    <row r="5181" spans="1:5" x14ac:dyDescent="0.35">
      <c r="A5181" t="s">
        <v>69</v>
      </c>
      <c r="B5181" s="16">
        <v>45923</v>
      </c>
      <c r="C5181">
        <v>5.7</v>
      </c>
      <c r="D5181">
        <v>0</v>
      </c>
      <c r="E5181" t="s">
        <v>6132</v>
      </c>
    </row>
    <row r="5182" spans="1:5" x14ac:dyDescent="0.35">
      <c r="A5182" t="s">
        <v>69</v>
      </c>
      <c r="B5182" s="16">
        <v>45924</v>
      </c>
      <c r="C5182">
        <v>8.8000000000000007</v>
      </c>
      <c r="D5182">
        <v>3</v>
      </c>
      <c r="E5182" t="s">
        <v>6132</v>
      </c>
    </row>
    <row r="5183" spans="1:5" x14ac:dyDescent="0.35">
      <c r="A5183" t="s">
        <v>69</v>
      </c>
      <c r="B5183" s="16">
        <v>45930</v>
      </c>
      <c r="C5183">
        <v>5</v>
      </c>
      <c r="D5183">
        <v>2</v>
      </c>
      <c r="E5183" t="s">
        <v>6132</v>
      </c>
    </row>
    <row r="5184" spans="1:5" x14ac:dyDescent="0.35">
      <c r="A5184" t="s">
        <v>69</v>
      </c>
      <c r="B5184" s="16">
        <v>45931</v>
      </c>
      <c r="C5184">
        <v>4.5999999999999996</v>
      </c>
      <c r="D5184">
        <v>1</v>
      </c>
      <c r="E5184" t="s">
        <v>6132</v>
      </c>
    </row>
    <row r="5185" spans="1:5" x14ac:dyDescent="0.35">
      <c r="A5185" t="s">
        <v>69</v>
      </c>
      <c r="B5185" s="16">
        <v>45936</v>
      </c>
      <c r="C5185">
        <v>4.0999999999999996</v>
      </c>
      <c r="D5185">
        <v>2</v>
      </c>
      <c r="E5185" t="s">
        <v>6132</v>
      </c>
    </row>
    <row r="5186" spans="1:5" x14ac:dyDescent="0.35">
      <c r="A5186" t="s">
        <v>69</v>
      </c>
      <c r="B5186" s="16">
        <v>45937</v>
      </c>
      <c r="C5186">
        <v>8</v>
      </c>
      <c r="D5186">
        <v>1</v>
      </c>
      <c r="E5186" t="s">
        <v>6132</v>
      </c>
    </row>
    <row r="5187" spans="1:5" x14ac:dyDescent="0.35">
      <c r="A5187" t="s">
        <v>69</v>
      </c>
      <c r="B5187" s="16">
        <v>45943</v>
      </c>
      <c r="C5187">
        <v>5.7</v>
      </c>
      <c r="D5187">
        <v>1</v>
      </c>
      <c r="E5187" t="s">
        <v>6132</v>
      </c>
    </row>
    <row r="5188" spans="1:5" x14ac:dyDescent="0.35">
      <c r="A5188" t="s">
        <v>69</v>
      </c>
      <c r="B5188" s="16">
        <v>45946</v>
      </c>
      <c r="C5188">
        <v>7</v>
      </c>
      <c r="D5188">
        <v>1</v>
      </c>
      <c r="E5188" t="s">
        <v>6132</v>
      </c>
    </row>
    <row r="5189" spans="1:5" x14ac:dyDescent="0.35">
      <c r="A5189" t="s">
        <v>69</v>
      </c>
      <c r="B5189" s="16">
        <v>45947</v>
      </c>
      <c r="C5189">
        <v>5.8</v>
      </c>
      <c r="D5189">
        <v>3</v>
      </c>
      <c r="E5189" t="s">
        <v>6132</v>
      </c>
    </row>
    <row r="5190" spans="1:5" x14ac:dyDescent="0.35">
      <c r="A5190" t="s">
        <v>69</v>
      </c>
      <c r="B5190" s="16">
        <v>45950</v>
      </c>
      <c r="C5190">
        <v>8.4</v>
      </c>
      <c r="D5190">
        <v>1</v>
      </c>
      <c r="E5190" t="s">
        <v>6132</v>
      </c>
    </row>
    <row r="5191" spans="1:5" x14ac:dyDescent="0.35">
      <c r="A5191" t="s">
        <v>69</v>
      </c>
      <c r="B5191" s="16">
        <v>45951</v>
      </c>
      <c r="C5191">
        <v>5</v>
      </c>
      <c r="D5191">
        <v>2</v>
      </c>
      <c r="E5191" t="s">
        <v>6132</v>
      </c>
    </row>
    <row r="5192" spans="1:5" x14ac:dyDescent="0.35">
      <c r="A5192" t="s">
        <v>69</v>
      </c>
      <c r="B5192" s="16">
        <v>45952</v>
      </c>
      <c r="C5192">
        <v>5.5</v>
      </c>
      <c r="D5192">
        <v>0</v>
      </c>
      <c r="E5192" t="s">
        <v>6132</v>
      </c>
    </row>
    <row r="5193" spans="1:5" x14ac:dyDescent="0.35">
      <c r="A5193" t="s">
        <v>69</v>
      </c>
      <c r="B5193" s="16">
        <v>45953</v>
      </c>
      <c r="C5193">
        <v>7.2</v>
      </c>
      <c r="D5193">
        <v>3</v>
      </c>
      <c r="E5193" t="s">
        <v>6132</v>
      </c>
    </row>
    <row r="5194" spans="1:5" x14ac:dyDescent="0.35">
      <c r="A5194" t="s">
        <v>69</v>
      </c>
      <c r="B5194" s="16">
        <v>45954</v>
      </c>
      <c r="C5194">
        <v>7.2</v>
      </c>
      <c r="D5194">
        <v>1</v>
      </c>
      <c r="E5194" t="s">
        <v>6132</v>
      </c>
    </row>
    <row r="5195" spans="1:5" x14ac:dyDescent="0.35">
      <c r="A5195" t="s">
        <v>69</v>
      </c>
      <c r="B5195" s="16">
        <v>45958</v>
      </c>
      <c r="C5195">
        <v>6.2</v>
      </c>
      <c r="D5195">
        <v>1</v>
      </c>
      <c r="E5195" t="s">
        <v>6132</v>
      </c>
    </row>
    <row r="5196" spans="1:5" x14ac:dyDescent="0.35">
      <c r="A5196" t="s">
        <v>69</v>
      </c>
      <c r="B5196" s="16">
        <v>45959</v>
      </c>
      <c r="C5196">
        <v>6.3</v>
      </c>
      <c r="D5196">
        <v>0</v>
      </c>
      <c r="E5196" t="s">
        <v>6132</v>
      </c>
    </row>
    <row r="5197" spans="1:5" x14ac:dyDescent="0.35">
      <c r="A5197" t="s">
        <v>69</v>
      </c>
      <c r="B5197" s="16">
        <v>45960</v>
      </c>
      <c r="C5197">
        <v>6.4</v>
      </c>
      <c r="D5197">
        <v>3</v>
      </c>
      <c r="E5197" t="s">
        <v>6132</v>
      </c>
    </row>
    <row r="5198" spans="1:5" x14ac:dyDescent="0.35">
      <c r="A5198" t="s">
        <v>69</v>
      </c>
      <c r="B5198" s="16">
        <v>45961</v>
      </c>
      <c r="C5198">
        <v>8.1999999999999993</v>
      </c>
      <c r="D5198">
        <v>2</v>
      </c>
      <c r="E5198" t="s">
        <v>6132</v>
      </c>
    </row>
    <row r="5199" spans="1:5" x14ac:dyDescent="0.35">
      <c r="A5199" t="s">
        <v>69</v>
      </c>
      <c r="B5199" s="16">
        <v>45966</v>
      </c>
      <c r="C5199">
        <v>7.4</v>
      </c>
      <c r="D5199">
        <v>4</v>
      </c>
      <c r="E5199" t="s">
        <v>6132</v>
      </c>
    </row>
    <row r="5200" spans="1:5" x14ac:dyDescent="0.35">
      <c r="A5200" t="s">
        <v>69</v>
      </c>
      <c r="B5200" s="16">
        <v>45971</v>
      </c>
      <c r="C5200">
        <v>5.6</v>
      </c>
      <c r="D5200">
        <v>0</v>
      </c>
      <c r="E5200" t="s">
        <v>6132</v>
      </c>
    </row>
    <row r="5201" spans="1:5" x14ac:dyDescent="0.35">
      <c r="A5201" t="s">
        <v>69</v>
      </c>
      <c r="B5201" s="16">
        <v>45971</v>
      </c>
      <c r="C5201">
        <v>4.7</v>
      </c>
      <c r="D5201">
        <v>0</v>
      </c>
      <c r="E5201" t="s">
        <v>6132</v>
      </c>
    </row>
    <row r="5202" spans="1:5" x14ac:dyDescent="0.35">
      <c r="A5202" t="s">
        <v>69</v>
      </c>
      <c r="B5202" s="16">
        <v>45973</v>
      </c>
      <c r="C5202">
        <v>7.8</v>
      </c>
      <c r="D5202">
        <v>1</v>
      </c>
      <c r="E5202" t="s">
        <v>6132</v>
      </c>
    </row>
    <row r="5203" spans="1:5" x14ac:dyDescent="0.35">
      <c r="A5203" t="s">
        <v>69</v>
      </c>
      <c r="B5203" s="16">
        <v>45975</v>
      </c>
      <c r="C5203">
        <v>6.7</v>
      </c>
      <c r="D5203">
        <v>0</v>
      </c>
      <c r="E5203" t="s">
        <v>6132</v>
      </c>
    </row>
    <row r="5204" spans="1:5" x14ac:dyDescent="0.35">
      <c r="A5204" t="s">
        <v>69</v>
      </c>
      <c r="B5204" s="16">
        <v>45975</v>
      </c>
      <c r="C5204">
        <v>5.2</v>
      </c>
      <c r="D5204">
        <v>1</v>
      </c>
      <c r="E5204" t="s">
        <v>6132</v>
      </c>
    </row>
    <row r="5205" spans="1:5" x14ac:dyDescent="0.35">
      <c r="A5205" t="s">
        <v>69</v>
      </c>
      <c r="B5205" s="16">
        <v>45980</v>
      </c>
      <c r="C5205">
        <v>7</v>
      </c>
      <c r="D5205">
        <v>4</v>
      </c>
      <c r="E5205" t="s">
        <v>6132</v>
      </c>
    </row>
    <row r="5206" spans="1:5" x14ac:dyDescent="0.35">
      <c r="A5206" t="s">
        <v>69</v>
      </c>
      <c r="B5206" s="16">
        <v>45981</v>
      </c>
      <c r="C5206">
        <v>8.4</v>
      </c>
      <c r="D5206">
        <v>4</v>
      </c>
      <c r="E5206" t="s">
        <v>6132</v>
      </c>
    </row>
    <row r="5207" spans="1:5" x14ac:dyDescent="0.35">
      <c r="A5207" t="s">
        <v>69</v>
      </c>
      <c r="B5207" s="16">
        <v>45985</v>
      </c>
      <c r="C5207">
        <v>4.2</v>
      </c>
      <c r="D5207">
        <v>0</v>
      </c>
      <c r="E5207" t="s">
        <v>6132</v>
      </c>
    </row>
    <row r="5208" spans="1:5" x14ac:dyDescent="0.35">
      <c r="A5208" t="s">
        <v>69</v>
      </c>
      <c r="B5208" s="16">
        <v>45986</v>
      </c>
      <c r="C5208">
        <v>6.1</v>
      </c>
      <c r="D5208">
        <v>5</v>
      </c>
      <c r="E5208" t="s">
        <v>6132</v>
      </c>
    </row>
    <row r="5209" spans="1:5" x14ac:dyDescent="0.35">
      <c r="A5209" t="s">
        <v>69</v>
      </c>
      <c r="B5209" s="16">
        <v>45988</v>
      </c>
      <c r="C5209">
        <v>5.6</v>
      </c>
      <c r="D5209">
        <v>3</v>
      </c>
      <c r="E5209" t="s">
        <v>6132</v>
      </c>
    </row>
    <row r="5210" spans="1:5" x14ac:dyDescent="0.35">
      <c r="A5210" t="s">
        <v>69</v>
      </c>
      <c r="B5210" s="16">
        <v>45989</v>
      </c>
      <c r="C5210">
        <v>7.4</v>
      </c>
      <c r="D5210">
        <v>0</v>
      </c>
      <c r="E5210" t="s">
        <v>6132</v>
      </c>
    </row>
    <row r="5211" spans="1:5" x14ac:dyDescent="0.35">
      <c r="A5211" t="s">
        <v>69</v>
      </c>
      <c r="B5211" s="16">
        <v>45993</v>
      </c>
      <c r="C5211">
        <v>7.4</v>
      </c>
      <c r="D5211">
        <v>2</v>
      </c>
      <c r="E5211" t="s">
        <v>6132</v>
      </c>
    </row>
    <row r="5212" spans="1:5" x14ac:dyDescent="0.35">
      <c r="A5212" t="s">
        <v>69</v>
      </c>
      <c r="B5212" s="16">
        <v>45994</v>
      </c>
      <c r="C5212">
        <v>5.5</v>
      </c>
      <c r="D5212">
        <v>2</v>
      </c>
      <c r="E5212" t="s">
        <v>6132</v>
      </c>
    </row>
    <row r="5213" spans="1:5" x14ac:dyDescent="0.35">
      <c r="A5213" t="s">
        <v>69</v>
      </c>
      <c r="B5213" s="16">
        <v>45994</v>
      </c>
      <c r="C5213">
        <v>8.1999999999999993</v>
      </c>
      <c r="D5213">
        <v>0</v>
      </c>
      <c r="E5213" t="s">
        <v>6134</v>
      </c>
    </row>
    <row r="5214" spans="1:5" x14ac:dyDescent="0.35">
      <c r="A5214" t="s">
        <v>69</v>
      </c>
      <c r="B5214" s="16">
        <v>45996</v>
      </c>
      <c r="C5214">
        <v>4.4000000000000004</v>
      </c>
      <c r="D5214">
        <v>4</v>
      </c>
      <c r="E5214" t="s">
        <v>6132</v>
      </c>
    </row>
    <row r="5215" spans="1:5" x14ac:dyDescent="0.35">
      <c r="A5215" t="s">
        <v>69</v>
      </c>
      <c r="B5215" s="16">
        <v>45996</v>
      </c>
      <c r="C5215">
        <v>7.5</v>
      </c>
      <c r="D5215">
        <v>0</v>
      </c>
      <c r="E5215" t="s">
        <v>6132</v>
      </c>
    </row>
    <row r="5216" spans="1:5" x14ac:dyDescent="0.35">
      <c r="A5216" t="s">
        <v>69</v>
      </c>
      <c r="B5216" s="16">
        <v>45999</v>
      </c>
      <c r="C5216">
        <v>5.8</v>
      </c>
      <c r="D5216">
        <v>1</v>
      </c>
      <c r="E5216" t="s">
        <v>6132</v>
      </c>
    </row>
    <row r="5217" spans="1:5" x14ac:dyDescent="0.35">
      <c r="A5217" t="s">
        <v>69</v>
      </c>
      <c r="B5217" s="16">
        <v>46000</v>
      </c>
      <c r="C5217">
        <v>4.7</v>
      </c>
      <c r="D5217">
        <v>0</v>
      </c>
      <c r="E5217" t="s">
        <v>6132</v>
      </c>
    </row>
    <row r="5218" spans="1:5" x14ac:dyDescent="0.35">
      <c r="A5218" t="s">
        <v>69</v>
      </c>
      <c r="B5218" s="16">
        <v>46001</v>
      </c>
      <c r="C5218">
        <v>5.3</v>
      </c>
      <c r="D5218">
        <v>4</v>
      </c>
      <c r="E5218" t="s">
        <v>6132</v>
      </c>
    </row>
    <row r="5219" spans="1:5" x14ac:dyDescent="0.35">
      <c r="A5219" t="s">
        <v>69</v>
      </c>
      <c r="B5219" s="16">
        <v>46007</v>
      </c>
      <c r="C5219">
        <v>4.3</v>
      </c>
      <c r="D5219">
        <v>1</v>
      </c>
      <c r="E5219" t="s">
        <v>6132</v>
      </c>
    </row>
    <row r="5220" spans="1:5" x14ac:dyDescent="0.35">
      <c r="A5220" t="s">
        <v>69</v>
      </c>
      <c r="B5220" s="16">
        <v>46008</v>
      </c>
      <c r="C5220">
        <v>5.6</v>
      </c>
      <c r="D5220">
        <v>1</v>
      </c>
      <c r="E5220" t="s">
        <v>6132</v>
      </c>
    </row>
    <row r="5221" spans="1:5" x14ac:dyDescent="0.35">
      <c r="A5221" t="s">
        <v>69</v>
      </c>
      <c r="B5221" s="16">
        <v>46009</v>
      </c>
      <c r="C5221">
        <v>5</v>
      </c>
      <c r="D5221">
        <v>3</v>
      </c>
      <c r="E5221" t="s">
        <v>6132</v>
      </c>
    </row>
    <row r="5222" spans="1:5" x14ac:dyDescent="0.35">
      <c r="A5222" t="s">
        <v>69</v>
      </c>
      <c r="B5222" s="16">
        <v>46013</v>
      </c>
      <c r="C5222">
        <v>9</v>
      </c>
      <c r="D5222">
        <v>2</v>
      </c>
      <c r="E5222" t="s">
        <v>6132</v>
      </c>
    </row>
    <row r="5223" spans="1:5" x14ac:dyDescent="0.35">
      <c r="A5223" t="s">
        <v>69</v>
      </c>
      <c r="B5223" s="16">
        <v>46016</v>
      </c>
      <c r="C5223">
        <v>4.5999999999999996</v>
      </c>
      <c r="D5223">
        <v>6</v>
      </c>
      <c r="E5223" t="s">
        <v>6132</v>
      </c>
    </row>
    <row r="5224" spans="1:5" x14ac:dyDescent="0.35">
      <c r="A5224" t="s">
        <v>69</v>
      </c>
      <c r="B5224" s="16">
        <v>46020</v>
      </c>
      <c r="C5224">
        <v>6</v>
      </c>
      <c r="D5224">
        <v>2</v>
      </c>
      <c r="E5224" t="s">
        <v>6132</v>
      </c>
    </row>
    <row r="5225" spans="1:5" x14ac:dyDescent="0.35">
      <c r="A5225" t="s">
        <v>23</v>
      </c>
      <c r="B5225" s="16">
        <v>45663</v>
      </c>
      <c r="C5225">
        <v>5.8</v>
      </c>
      <c r="D5225">
        <v>2</v>
      </c>
      <c r="E5225" t="s">
        <v>6132</v>
      </c>
    </row>
    <row r="5226" spans="1:5" x14ac:dyDescent="0.35">
      <c r="A5226" t="s">
        <v>23</v>
      </c>
      <c r="B5226" s="16">
        <v>45664</v>
      </c>
      <c r="C5226">
        <v>4</v>
      </c>
      <c r="D5226">
        <v>0</v>
      </c>
      <c r="E5226" t="s">
        <v>6132</v>
      </c>
    </row>
    <row r="5227" spans="1:5" x14ac:dyDescent="0.35">
      <c r="A5227" t="s">
        <v>23</v>
      </c>
      <c r="B5227" s="16">
        <v>45665</v>
      </c>
      <c r="C5227">
        <v>8.9</v>
      </c>
      <c r="D5227">
        <v>0</v>
      </c>
      <c r="E5227" t="s">
        <v>6132</v>
      </c>
    </row>
    <row r="5228" spans="1:5" x14ac:dyDescent="0.35">
      <c r="A5228" t="s">
        <v>23</v>
      </c>
      <c r="B5228" s="16">
        <v>45667</v>
      </c>
      <c r="C5228">
        <v>6.5</v>
      </c>
      <c r="D5228">
        <v>0</v>
      </c>
      <c r="E5228" t="s">
        <v>6132</v>
      </c>
    </row>
    <row r="5229" spans="1:5" x14ac:dyDescent="0.35">
      <c r="A5229" t="s">
        <v>23</v>
      </c>
      <c r="B5229" s="16">
        <v>45672</v>
      </c>
      <c r="C5229">
        <v>4.5999999999999996</v>
      </c>
      <c r="D5229">
        <v>1</v>
      </c>
      <c r="E5229" t="s">
        <v>6132</v>
      </c>
    </row>
    <row r="5230" spans="1:5" x14ac:dyDescent="0.35">
      <c r="A5230" t="s">
        <v>23</v>
      </c>
      <c r="B5230" s="16">
        <v>45673</v>
      </c>
      <c r="C5230">
        <v>7.1</v>
      </c>
      <c r="D5230">
        <v>0</v>
      </c>
      <c r="E5230" t="s">
        <v>6132</v>
      </c>
    </row>
    <row r="5231" spans="1:5" x14ac:dyDescent="0.35">
      <c r="A5231" t="s">
        <v>23</v>
      </c>
      <c r="B5231" s="16">
        <v>45674</v>
      </c>
      <c r="C5231">
        <v>4.0999999999999996</v>
      </c>
      <c r="D5231">
        <v>2</v>
      </c>
      <c r="E5231" t="s">
        <v>6132</v>
      </c>
    </row>
    <row r="5232" spans="1:5" x14ac:dyDescent="0.35">
      <c r="A5232" t="s">
        <v>23</v>
      </c>
      <c r="B5232" s="16">
        <v>45677</v>
      </c>
      <c r="C5232">
        <v>4.5</v>
      </c>
      <c r="D5232">
        <v>1</v>
      </c>
      <c r="E5232" t="s">
        <v>6132</v>
      </c>
    </row>
    <row r="5233" spans="1:5" x14ac:dyDescent="0.35">
      <c r="A5233" t="s">
        <v>23</v>
      </c>
      <c r="B5233" s="16">
        <v>45679</v>
      </c>
      <c r="C5233">
        <v>5.5</v>
      </c>
      <c r="D5233">
        <v>2</v>
      </c>
      <c r="E5233" t="s">
        <v>6132</v>
      </c>
    </row>
    <row r="5234" spans="1:5" x14ac:dyDescent="0.35">
      <c r="A5234" t="s">
        <v>23</v>
      </c>
      <c r="B5234" s="16">
        <v>45680</v>
      </c>
      <c r="C5234">
        <v>5.3</v>
      </c>
      <c r="D5234">
        <v>0</v>
      </c>
      <c r="E5234" t="s">
        <v>6133</v>
      </c>
    </row>
    <row r="5235" spans="1:5" x14ac:dyDescent="0.35">
      <c r="A5235" t="s">
        <v>23</v>
      </c>
      <c r="B5235" s="16">
        <v>45688</v>
      </c>
      <c r="C5235">
        <v>7</v>
      </c>
      <c r="D5235">
        <v>1</v>
      </c>
      <c r="E5235" t="s">
        <v>6132</v>
      </c>
    </row>
    <row r="5236" spans="1:5" x14ac:dyDescent="0.35">
      <c r="A5236" t="s">
        <v>23</v>
      </c>
      <c r="B5236" s="16">
        <v>45691</v>
      </c>
      <c r="C5236">
        <v>4.3</v>
      </c>
      <c r="D5236">
        <v>2</v>
      </c>
      <c r="E5236" t="s">
        <v>6132</v>
      </c>
    </row>
    <row r="5237" spans="1:5" x14ac:dyDescent="0.35">
      <c r="A5237" t="s">
        <v>23</v>
      </c>
      <c r="B5237" s="16">
        <v>45692</v>
      </c>
      <c r="D5237">
        <v>4</v>
      </c>
      <c r="E5237" t="s">
        <v>6132</v>
      </c>
    </row>
    <row r="5238" spans="1:5" x14ac:dyDescent="0.35">
      <c r="A5238" t="s">
        <v>23</v>
      </c>
      <c r="B5238" s="16">
        <v>45694</v>
      </c>
      <c r="C5238">
        <v>7.9</v>
      </c>
      <c r="D5238">
        <v>0</v>
      </c>
      <c r="E5238" t="s">
        <v>6133</v>
      </c>
    </row>
    <row r="5239" spans="1:5" x14ac:dyDescent="0.35">
      <c r="A5239" t="s">
        <v>23</v>
      </c>
      <c r="B5239" s="16">
        <v>45695</v>
      </c>
      <c r="C5239">
        <v>6.2</v>
      </c>
      <c r="D5239">
        <v>0</v>
      </c>
      <c r="E5239" t="s">
        <v>6134</v>
      </c>
    </row>
    <row r="5240" spans="1:5" x14ac:dyDescent="0.35">
      <c r="A5240" t="s">
        <v>23</v>
      </c>
      <c r="B5240" s="16">
        <v>45700</v>
      </c>
      <c r="D5240">
        <v>1</v>
      </c>
      <c r="E5240" t="s">
        <v>6132</v>
      </c>
    </row>
    <row r="5241" spans="1:5" x14ac:dyDescent="0.35">
      <c r="A5241" t="s">
        <v>23</v>
      </c>
      <c r="B5241" s="16">
        <v>45713</v>
      </c>
      <c r="C5241">
        <v>8.1</v>
      </c>
      <c r="D5241">
        <v>0</v>
      </c>
      <c r="E5241" t="s">
        <v>6134</v>
      </c>
    </row>
    <row r="5242" spans="1:5" x14ac:dyDescent="0.35">
      <c r="A5242" t="s">
        <v>23</v>
      </c>
      <c r="B5242" s="16">
        <v>45715</v>
      </c>
      <c r="C5242">
        <v>8.4</v>
      </c>
      <c r="D5242">
        <v>0</v>
      </c>
      <c r="E5242" t="s">
        <v>6132</v>
      </c>
    </row>
    <row r="5243" spans="1:5" x14ac:dyDescent="0.35">
      <c r="A5243" t="s">
        <v>23</v>
      </c>
      <c r="B5243" s="16">
        <v>45716</v>
      </c>
      <c r="C5243">
        <v>8</v>
      </c>
      <c r="D5243">
        <v>1</v>
      </c>
      <c r="E5243" t="s">
        <v>6132</v>
      </c>
    </row>
    <row r="5244" spans="1:5" x14ac:dyDescent="0.35">
      <c r="A5244" t="s">
        <v>23</v>
      </c>
      <c r="B5244" s="16">
        <v>45719</v>
      </c>
      <c r="C5244">
        <v>8.1</v>
      </c>
      <c r="D5244">
        <v>1</v>
      </c>
      <c r="E5244" t="s">
        <v>6132</v>
      </c>
    </row>
    <row r="5245" spans="1:5" x14ac:dyDescent="0.35">
      <c r="A5245" t="s">
        <v>23</v>
      </c>
      <c r="B5245" s="16">
        <v>45722</v>
      </c>
      <c r="C5245">
        <v>6</v>
      </c>
      <c r="D5245">
        <v>1</v>
      </c>
      <c r="E5245" t="s">
        <v>6132</v>
      </c>
    </row>
    <row r="5246" spans="1:5" x14ac:dyDescent="0.35">
      <c r="A5246" t="s">
        <v>23</v>
      </c>
      <c r="B5246" s="16">
        <v>45723</v>
      </c>
      <c r="C5246">
        <v>7.1</v>
      </c>
      <c r="D5246">
        <v>1</v>
      </c>
      <c r="E5246" t="s">
        <v>6132</v>
      </c>
    </row>
    <row r="5247" spans="1:5" x14ac:dyDescent="0.35">
      <c r="A5247" t="s">
        <v>23</v>
      </c>
      <c r="B5247" s="16">
        <v>45726</v>
      </c>
      <c r="C5247">
        <v>5.3</v>
      </c>
      <c r="D5247">
        <v>0</v>
      </c>
      <c r="E5247" t="s">
        <v>6133</v>
      </c>
    </row>
    <row r="5248" spans="1:5" x14ac:dyDescent="0.35">
      <c r="A5248" t="s">
        <v>23</v>
      </c>
      <c r="B5248" s="16">
        <v>45727</v>
      </c>
      <c r="C5248">
        <v>8.6999999999999993</v>
      </c>
      <c r="D5248">
        <v>0</v>
      </c>
      <c r="E5248" t="s">
        <v>6132</v>
      </c>
    </row>
    <row r="5249" spans="1:5" x14ac:dyDescent="0.35">
      <c r="A5249" t="s">
        <v>23</v>
      </c>
      <c r="B5249" s="16">
        <v>45733</v>
      </c>
      <c r="C5249">
        <v>4.2</v>
      </c>
      <c r="D5249">
        <v>4</v>
      </c>
      <c r="E5249" t="s">
        <v>6132</v>
      </c>
    </row>
    <row r="5250" spans="1:5" x14ac:dyDescent="0.35">
      <c r="A5250" t="s">
        <v>23</v>
      </c>
      <c r="B5250" s="16">
        <v>45735</v>
      </c>
      <c r="C5250">
        <v>6.6</v>
      </c>
      <c r="D5250">
        <v>5</v>
      </c>
      <c r="E5250" t="s">
        <v>6132</v>
      </c>
    </row>
    <row r="5251" spans="1:5" x14ac:dyDescent="0.35">
      <c r="A5251" t="s">
        <v>23</v>
      </c>
      <c r="B5251" s="16">
        <v>45740</v>
      </c>
      <c r="C5251">
        <v>7.8</v>
      </c>
      <c r="D5251">
        <v>2</v>
      </c>
      <c r="E5251" t="s">
        <v>6132</v>
      </c>
    </row>
    <row r="5252" spans="1:5" x14ac:dyDescent="0.35">
      <c r="A5252" t="s">
        <v>23</v>
      </c>
      <c r="B5252" s="16">
        <v>45742</v>
      </c>
      <c r="C5252">
        <v>8.5</v>
      </c>
      <c r="D5252">
        <v>0</v>
      </c>
      <c r="E5252" t="s">
        <v>6132</v>
      </c>
    </row>
    <row r="5253" spans="1:5" x14ac:dyDescent="0.35">
      <c r="A5253" t="s">
        <v>23</v>
      </c>
      <c r="B5253" s="16">
        <v>45743</v>
      </c>
      <c r="C5253">
        <v>4.5</v>
      </c>
      <c r="D5253">
        <v>0</v>
      </c>
      <c r="E5253" t="s">
        <v>6132</v>
      </c>
    </row>
    <row r="5254" spans="1:5" x14ac:dyDescent="0.35">
      <c r="A5254" t="s">
        <v>23</v>
      </c>
      <c r="B5254" s="16">
        <v>45751</v>
      </c>
      <c r="C5254">
        <v>4.5</v>
      </c>
      <c r="D5254">
        <v>0</v>
      </c>
      <c r="E5254" t="s">
        <v>6133</v>
      </c>
    </row>
    <row r="5255" spans="1:5" x14ac:dyDescent="0.35">
      <c r="A5255" t="s">
        <v>23</v>
      </c>
      <c r="B5255" s="16">
        <v>45754</v>
      </c>
      <c r="D5255">
        <v>3</v>
      </c>
      <c r="E5255" t="s">
        <v>6132</v>
      </c>
    </row>
    <row r="5256" spans="1:5" x14ac:dyDescent="0.35">
      <c r="A5256" t="s">
        <v>23</v>
      </c>
      <c r="B5256" s="16">
        <v>45755</v>
      </c>
      <c r="C5256">
        <v>5.4</v>
      </c>
      <c r="D5256">
        <v>1</v>
      </c>
      <c r="E5256" t="s">
        <v>6132</v>
      </c>
    </row>
    <row r="5257" spans="1:5" x14ac:dyDescent="0.35">
      <c r="A5257" t="s">
        <v>23</v>
      </c>
      <c r="B5257" s="16">
        <v>45756</v>
      </c>
      <c r="C5257">
        <v>5</v>
      </c>
      <c r="D5257">
        <v>1</v>
      </c>
      <c r="E5257" t="s">
        <v>6132</v>
      </c>
    </row>
    <row r="5258" spans="1:5" x14ac:dyDescent="0.35">
      <c r="A5258" t="s">
        <v>23</v>
      </c>
      <c r="B5258" s="16">
        <v>45757</v>
      </c>
      <c r="C5258">
        <v>4.8</v>
      </c>
      <c r="D5258">
        <v>0</v>
      </c>
      <c r="E5258" t="s">
        <v>6134</v>
      </c>
    </row>
    <row r="5259" spans="1:5" x14ac:dyDescent="0.35">
      <c r="A5259" t="s">
        <v>23</v>
      </c>
      <c r="B5259" s="16">
        <v>45762</v>
      </c>
      <c r="C5259">
        <v>4.0999999999999996</v>
      </c>
      <c r="D5259">
        <v>1</v>
      </c>
      <c r="E5259" t="s">
        <v>6132</v>
      </c>
    </row>
    <row r="5260" spans="1:5" x14ac:dyDescent="0.35">
      <c r="A5260" t="s">
        <v>23</v>
      </c>
      <c r="B5260" s="16">
        <v>45763</v>
      </c>
      <c r="C5260">
        <v>7</v>
      </c>
      <c r="D5260">
        <v>2</v>
      </c>
      <c r="E5260" t="s">
        <v>6132</v>
      </c>
    </row>
    <row r="5261" spans="1:5" x14ac:dyDescent="0.35">
      <c r="A5261" t="s">
        <v>23</v>
      </c>
      <c r="B5261" s="16">
        <v>45764</v>
      </c>
      <c r="C5261">
        <v>6.6</v>
      </c>
      <c r="D5261">
        <v>1</v>
      </c>
      <c r="E5261" t="s">
        <v>6132</v>
      </c>
    </row>
    <row r="5262" spans="1:5" x14ac:dyDescent="0.35">
      <c r="A5262" t="s">
        <v>23</v>
      </c>
      <c r="B5262" s="16">
        <v>45765</v>
      </c>
      <c r="C5262">
        <v>5.9</v>
      </c>
      <c r="D5262">
        <v>0</v>
      </c>
      <c r="E5262" t="s">
        <v>6132</v>
      </c>
    </row>
    <row r="5263" spans="1:5" x14ac:dyDescent="0.35">
      <c r="A5263" t="s">
        <v>23</v>
      </c>
      <c r="B5263" s="16">
        <v>45768</v>
      </c>
      <c r="C5263">
        <v>7.7</v>
      </c>
      <c r="D5263">
        <v>0</v>
      </c>
      <c r="E5263" t="s">
        <v>6132</v>
      </c>
    </row>
    <row r="5264" spans="1:5" x14ac:dyDescent="0.35">
      <c r="A5264" t="s">
        <v>23</v>
      </c>
      <c r="B5264" s="16">
        <v>45771</v>
      </c>
      <c r="C5264">
        <v>4.5</v>
      </c>
      <c r="D5264">
        <v>0</v>
      </c>
      <c r="E5264" t="s">
        <v>6132</v>
      </c>
    </row>
    <row r="5265" spans="1:5" x14ac:dyDescent="0.35">
      <c r="A5265" t="s">
        <v>23</v>
      </c>
      <c r="B5265" s="16">
        <v>45772</v>
      </c>
      <c r="C5265">
        <v>4.8</v>
      </c>
      <c r="D5265">
        <v>1</v>
      </c>
      <c r="E5265" t="s">
        <v>6132</v>
      </c>
    </row>
    <row r="5266" spans="1:5" x14ac:dyDescent="0.35">
      <c r="A5266" t="s">
        <v>23</v>
      </c>
      <c r="B5266" s="16">
        <v>45775</v>
      </c>
      <c r="C5266">
        <v>4.2</v>
      </c>
      <c r="D5266">
        <v>0</v>
      </c>
      <c r="E5266" t="s">
        <v>6132</v>
      </c>
    </row>
    <row r="5267" spans="1:5" x14ac:dyDescent="0.35">
      <c r="A5267" t="s">
        <v>23</v>
      </c>
      <c r="B5267" s="16">
        <v>45776</v>
      </c>
      <c r="C5267">
        <v>5.9</v>
      </c>
      <c r="D5267">
        <v>0</v>
      </c>
      <c r="E5267" t="s">
        <v>6132</v>
      </c>
    </row>
    <row r="5268" spans="1:5" x14ac:dyDescent="0.35">
      <c r="A5268" t="s">
        <v>23</v>
      </c>
      <c r="B5268" s="16">
        <v>45777</v>
      </c>
      <c r="C5268">
        <v>8.3000000000000007</v>
      </c>
      <c r="D5268">
        <v>0</v>
      </c>
      <c r="E5268" t="s">
        <v>6132</v>
      </c>
    </row>
    <row r="5269" spans="1:5" x14ac:dyDescent="0.35">
      <c r="A5269" t="s">
        <v>23</v>
      </c>
      <c r="B5269" s="16">
        <v>45778</v>
      </c>
      <c r="C5269">
        <v>7.5</v>
      </c>
      <c r="D5269">
        <v>1</v>
      </c>
      <c r="E5269" t="s">
        <v>6132</v>
      </c>
    </row>
    <row r="5270" spans="1:5" x14ac:dyDescent="0.35">
      <c r="A5270" t="s">
        <v>23</v>
      </c>
      <c r="B5270" s="16">
        <v>45779</v>
      </c>
      <c r="C5270">
        <v>6.2</v>
      </c>
      <c r="D5270">
        <v>0</v>
      </c>
      <c r="E5270" t="s">
        <v>6132</v>
      </c>
    </row>
    <row r="5271" spans="1:5" x14ac:dyDescent="0.35">
      <c r="A5271" t="s">
        <v>23</v>
      </c>
      <c r="B5271" s="16">
        <v>45782</v>
      </c>
      <c r="C5271">
        <v>8.8000000000000007</v>
      </c>
      <c r="D5271">
        <v>0</v>
      </c>
      <c r="E5271" t="s">
        <v>6133</v>
      </c>
    </row>
    <row r="5272" spans="1:5" x14ac:dyDescent="0.35">
      <c r="A5272" t="s">
        <v>23</v>
      </c>
      <c r="B5272" s="16">
        <v>45784</v>
      </c>
      <c r="C5272">
        <v>4.7</v>
      </c>
      <c r="D5272">
        <v>1</v>
      </c>
      <c r="E5272" t="s">
        <v>6132</v>
      </c>
    </row>
    <row r="5273" spans="1:5" x14ac:dyDescent="0.35">
      <c r="A5273" t="s">
        <v>23</v>
      </c>
      <c r="B5273" s="16">
        <v>45786</v>
      </c>
      <c r="C5273">
        <v>8</v>
      </c>
      <c r="D5273">
        <v>0</v>
      </c>
      <c r="E5273" t="s">
        <v>6132</v>
      </c>
    </row>
    <row r="5274" spans="1:5" x14ac:dyDescent="0.35">
      <c r="A5274" t="s">
        <v>23</v>
      </c>
      <c r="B5274" s="16">
        <v>45791</v>
      </c>
      <c r="C5274">
        <v>8.3000000000000007</v>
      </c>
      <c r="D5274">
        <v>0</v>
      </c>
      <c r="E5274" t="s">
        <v>6132</v>
      </c>
    </row>
    <row r="5275" spans="1:5" x14ac:dyDescent="0.35">
      <c r="A5275" t="s">
        <v>23</v>
      </c>
      <c r="B5275" s="16">
        <v>45792</v>
      </c>
      <c r="C5275">
        <v>8.6999999999999993</v>
      </c>
      <c r="D5275">
        <v>1</v>
      </c>
      <c r="E5275" t="s">
        <v>6132</v>
      </c>
    </row>
    <row r="5276" spans="1:5" x14ac:dyDescent="0.35">
      <c r="A5276" t="s">
        <v>23</v>
      </c>
      <c r="B5276" s="16">
        <v>45796</v>
      </c>
      <c r="C5276">
        <v>4.0999999999999996</v>
      </c>
      <c r="D5276">
        <v>2</v>
      </c>
      <c r="E5276" t="s">
        <v>6132</v>
      </c>
    </row>
    <row r="5277" spans="1:5" x14ac:dyDescent="0.35">
      <c r="A5277" t="s">
        <v>23</v>
      </c>
      <c r="B5277" s="16">
        <v>45797</v>
      </c>
      <c r="C5277">
        <v>7.2</v>
      </c>
      <c r="D5277">
        <v>3</v>
      </c>
      <c r="E5277" t="s">
        <v>6132</v>
      </c>
    </row>
    <row r="5278" spans="1:5" x14ac:dyDescent="0.35">
      <c r="A5278" t="s">
        <v>23</v>
      </c>
      <c r="B5278" s="16">
        <v>45798</v>
      </c>
      <c r="C5278">
        <v>8</v>
      </c>
      <c r="D5278">
        <v>0</v>
      </c>
      <c r="E5278" t="s">
        <v>6132</v>
      </c>
    </row>
    <row r="5279" spans="1:5" x14ac:dyDescent="0.35">
      <c r="A5279" t="s">
        <v>23</v>
      </c>
      <c r="B5279" s="16">
        <v>45799</v>
      </c>
      <c r="C5279">
        <v>7.3</v>
      </c>
      <c r="D5279">
        <v>0</v>
      </c>
      <c r="E5279" t="s">
        <v>6132</v>
      </c>
    </row>
    <row r="5280" spans="1:5" x14ac:dyDescent="0.35">
      <c r="A5280" t="s">
        <v>23</v>
      </c>
      <c r="B5280" s="16">
        <v>45806</v>
      </c>
      <c r="D5280">
        <v>0</v>
      </c>
      <c r="E5280" t="s">
        <v>6132</v>
      </c>
    </row>
    <row r="5281" spans="1:5" x14ac:dyDescent="0.35">
      <c r="A5281" t="s">
        <v>23</v>
      </c>
      <c r="B5281" s="16">
        <v>45807</v>
      </c>
      <c r="C5281">
        <v>7.1</v>
      </c>
      <c r="D5281">
        <v>0</v>
      </c>
      <c r="E5281" t="s">
        <v>6132</v>
      </c>
    </row>
    <row r="5282" spans="1:5" x14ac:dyDescent="0.35">
      <c r="A5282" t="s">
        <v>23</v>
      </c>
      <c r="B5282" s="16">
        <v>45810</v>
      </c>
      <c r="C5282">
        <v>6.5</v>
      </c>
      <c r="D5282">
        <v>0</v>
      </c>
      <c r="E5282" t="s">
        <v>6132</v>
      </c>
    </row>
    <row r="5283" spans="1:5" x14ac:dyDescent="0.35">
      <c r="A5283" t="s">
        <v>23</v>
      </c>
      <c r="B5283" s="16">
        <v>45811</v>
      </c>
      <c r="C5283">
        <v>6.3</v>
      </c>
      <c r="D5283">
        <v>0</v>
      </c>
      <c r="E5283" t="s">
        <v>6132</v>
      </c>
    </row>
    <row r="5284" spans="1:5" x14ac:dyDescent="0.35">
      <c r="A5284" t="s">
        <v>23</v>
      </c>
      <c r="B5284" s="16">
        <v>45812</v>
      </c>
      <c r="C5284">
        <v>6.9</v>
      </c>
      <c r="D5284">
        <v>2</v>
      </c>
      <c r="E5284" t="s">
        <v>6132</v>
      </c>
    </row>
    <row r="5285" spans="1:5" x14ac:dyDescent="0.35">
      <c r="A5285" t="s">
        <v>23</v>
      </c>
      <c r="B5285" s="16">
        <v>45814</v>
      </c>
      <c r="C5285">
        <v>5.4</v>
      </c>
      <c r="D5285">
        <v>1</v>
      </c>
      <c r="E5285" t="s">
        <v>6132</v>
      </c>
    </row>
    <row r="5286" spans="1:5" x14ac:dyDescent="0.35">
      <c r="A5286" t="s">
        <v>23</v>
      </c>
      <c r="B5286" s="16">
        <v>45817</v>
      </c>
      <c r="C5286">
        <v>8.1</v>
      </c>
      <c r="D5286">
        <v>3</v>
      </c>
      <c r="E5286" t="s">
        <v>6132</v>
      </c>
    </row>
    <row r="5287" spans="1:5" x14ac:dyDescent="0.35">
      <c r="A5287" t="s">
        <v>23</v>
      </c>
      <c r="B5287" s="16">
        <v>45820</v>
      </c>
      <c r="C5287">
        <v>8.4</v>
      </c>
      <c r="D5287">
        <v>4</v>
      </c>
      <c r="E5287" t="s">
        <v>6132</v>
      </c>
    </row>
    <row r="5288" spans="1:5" x14ac:dyDescent="0.35">
      <c r="A5288" t="s">
        <v>23</v>
      </c>
      <c r="B5288" s="16">
        <v>45821</v>
      </c>
      <c r="C5288">
        <v>5.6</v>
      </c>
      <c r="D5288">
        <v>1</v>
      </c>
      <c r="E5288" t="s">
        <v>6132</v>
      </c>
    </row>
    <row r="5289" spans="1:5" x14ac:dyDescent="0.35">
      <c r="A5289" t="s">
        <v>23</v>
      </c>
      <c r="B5289" s="16">
        <v>45825</v>
      </c>
      <c r="C5289">
        <v>7.9</v>
      </c>
      <c r="D5289">
        <v>1</v>
      </c>
      <c r="E5289" t="s">
        <v>6132</v>
      </c>
    </row>
    <row r="5290" spans="1:5" x14ac:dyDescent="0.35">
      <c r="A5290" t="s">
        <v>23</v>
      </c>
      <c r="B5290" s="16">
        <v>45831</v>
      </c>
      <c r="C5290">
        <v>8.6999999999999993</v>
      </c>
      <c r="D5290">
        <v>1</v>
      </c>
      <c r="E5290" t="s">
        <v>6132</v>
      </c>
    </row>
    <row r="5291" spans="1:5" x14ac:dyDescent="0.35">
      <c r="A5291" t="s">
        <v>23</v>
      </c>
      <c r="B5291" s="16">
        <v>45832</v>
      </c>
      <c r="C5291">
        <v>4.8</v>
      </c>
      <c r="D5291">
        <v>2</v>
      </c>
      <c r="E5291" t="s">
        <v>6132</v>
      </c>
    </row>
    <row r="5292" spans="1:5" x14ac:dyDescent="0.35">
      <c r="A5292" t="s">
        <v>23</v>
      </c>
      <c r="B5292" s="16">
        <v>45834</v>
      </c>
      <c r="C5292">
        <v>7.2</v>
      </c>
      <c r="D5292">
        <v>4</v>
      </c>
      <c r="E5292" t="s">
        <v>6132</v>
      </c>
    </row>
    <row r="5293" spans="1:5" x14ac:dyDescent="0.35">
      <c r="A5293" t="s">
        <v>23</v>
      </c>
      <c r="B5293" s="16">
        <v>45835</v>
      </c>
      <c r="C5293">
        <v>8.3000000000000007</v>
      </c>
      <c r="D5293">
        <v>0</v>
      </c>
      <c r="E5293" t="s">
        <v>6132</v>
      </c>
    </row>
    <row r="5294" spans="1:5" x14ac:dyDescent="0.35">
      <c r="A5294" t="s">
        <v>23</v>
      </c>
      <c r="B5294" s="16">
        <v>45838</v>
      </c>
      <c r="C5294">
        <v>5.5</v>
      </c>
      <c r="D5294">
        <v>1</v>
      </c>
      <c r="E5294" t="s">
        <v>6132</v>
      </c>
    </row>
    <row r="5295" spans="1:5" x14ac:dyDescent="0.35">
      <c r="A5295" t="s">
        <v>23</v>
      </c>
      <c r="B5295" s="16">
        <v>45839</v>
      </c>
      <c r="C5295">
        <v>8.6999999999999993</v>
      </c>
      <c r="D5295">
        <v>2</v>
      </c>
      <c r="E5295" t="s">
        <v>6132</v>
      </c>
    </row>
    <row r="5296" spans="1:5" x14ac:dyDescent="0.35">
      <c r="A5296" t="s">
        <v>23</v>
      </c>
      <c r="B5296" s="16">
        <v>45841</v>
      </c>
      <c r="C5296">
        <v>7.6</v>
      </c>
      <c r="D5296">
        <v>3</v>
      </c>
      <c r="E5296" t="s">
        <v>6132</v>
      </c>
    </row>
    <row r="5297" spans="1:5" x14ac:dyDescent="0.35">
      <c r="A5297" t="s">
        <v>23</v>
      </c>
      <c r="B5297" s="16">
        <v>45842</v>
      </c>
      <c r="C5297">
        <v>7.5</v>
      </c>
      <c r="D5297">
        <v>3</v>
      </c>
      <c r="E5297" t="s">
        <v>6132</v>
      </c>
    </row>
    <row r="5298" spans="1:5" x14ac:dyDescent="0.35">
      <c r="A5298" t="s">
        <v>23</v>
      </c>
      <c r="B5298" s="16">
        <v>45848</v>
      </c>
      <c r="C5298">
        <v>4.9000000000000004</v>
      </c>
      <c r="D5298">
        <v>0</v>
      </c>
      <c r="E5298" t="s">
        <v>6132</v>
      </c>
    </row>
    <row r="5299" spans="1:5" x14ac:dyDescent="0.35">
      <c r="A5299" t="s">
        <v>23</v>
      </c>
      <c r="B5299" s="16">
        <v>45849</v>
      </c>
      <c r="C5299">
        <v>5.3</v>
      </c>
      <c r="D5299">
        <v>2</v>
      </c>
      <c r="E5299" t="s">
        <v>6132</v>
      </c>
    </row>
    <row r="5300" spans="1:5" x14ac:dyDescent="0.35">
      <c r="A5300" t="s">
        <v>23</v>
      </c>
      <c r="B5300" s="16">
        <v>45855</v>
      </c>
      <c r="C5300">
        <v>7.3</v>
      </c>
      <c r="D5300">
        <v>0</v>
      </c>
      <c r="E5300" t="s">
        <v>6132</v>
      </c>
    </row>
    <row r="5301" spans="1:5" x14ac:dyDescent="0.35">
      <c r="A5301" t="s">
        <v>23</v>
      </c>
      <c r="B5301" s="16">
        <v>45859</v>
      </c>
      <c r="C5301">
        <v>6.8</v>
      </c>
      <c r="D5301">
        <v>0</v>
      </c>
      <c r="E5301" t="s">
        <v>6132</v>
      </c>
    </row>
    <row r="5302" spans="1:5" x14ac:dyDescent="0.35">
      <c r="A5302" t="s">
        <v>23</v>
      </c>
      <c r="B5302" s="16">
        <v>45861</v>
      </c>
      <c r="C5302">
        <v>4.4000000000000004</v>
      </c>
      <c r="D5302">
        <v>1</v>
      </c>
      <c r="E5302" t="s">
        <v>6132</v>
      </c>
    </row>
    <row r="5303" spans="1:5" x14ac:dyDescent="0.35">
      <c r="A5303" t="s">
        <v>23</v>
      </c>
      <c r="B5303" s="16">
        <v>45862</v>
      </c>
      <c r="C5303">
        <v>4.2</v>
      </c>
      <c r="D5303">
        <v>0</v>
      </c>
      <c r="E5303" t="s">
        <v>6132</v>
      </c>
    </row>
    <row r="5304" spans="1:5" x14ac:dyDescent="0.35">
      <c r="A5304" t="s">
        <v>23</v>
      </c>
      <c r="B5304" s="16">
        <v>45863</v>
      </c>
      <c r="C5304">
        <v>4.2</v>
      </c>
      <c r="D5304">
        <v>2</v>
      </c>
      <c r="E5304" t="s">
        <v>6132</v>
      </c>
    </row>
    <row r="5305" spans="1:5" x14ac:dyDescent="0.35">
      <c r="A5305" t="s">
        <v>23</v>
      </c>
      <c r="B5305" s="16">
        <v>45866</v>
      </c>
      <c r="C5305">
        <v>7.9</v>
      </c>
      <c r="D5305">
        <v>1</v>
      </c>
      <c r="E5305" t="s">
        <v>6132</v>
      </c>
    </row>
    <row r="5306" spans="1:5" x14ac:dyDescent="0.35">
      <c r="A5306" t="s">
        <v>23</v>
      </c>
      <c r="B5306" s="16">
        <v>45867</v>
      </c>
      <c r="C5306">
        <v>4.8</v>
      </c>
      <c r="D5306">
        <v>0</v>
      </c>
      <c r="E5306" t="s">
        <v>6134</v>
      </c>
    </row>
    <row r="5307" spans="1:5" x14ac:dyDescent="0.35">
      <c r="A5307" t="s">
        <v>23</v>
      </c>
      <c r="B5307" s="16">
        <v>45870</v>
      </c>
      <c r="C5307">
        <v>8.9</v>
      </c>
      <c r="D5307">
        <v>1</v>
      </c>
      <c r="E5307" t="s">
        <v>6132</v>
      </c>
    </row>
    <row r="5308" spans="1:5" x14ac:dyDescent="0.35">
      <c r="A5308" t="s">
        <v>23</v>
      </c>
      <c r="B5308" s="16">
        <v>45874</v>
      </c>
      <c r="C5308">
        <v>8</v>
      </c>
      <c r="D5308">
        <v>5</v>
      </c>
      <c r="E5308" t="s">
        <v>6132</v>
      </c>
    </row>
    <row r="5309" spans="1:5" x14ac:dyDescent="0.35">
      <c r="A5309" t="s">
        <v>23</v>
      </c>
      <c r="B5309" s="16">
        <v>45875</v>
      </c>
      <c r="D5309">
        <v>2</v>
      </c>
      <c r="E5309" t="s">
        <v>6132</v>
      </c>
    </row>
    <row r="5310" spans="1:5" x14ac:dyDescent="0.35">
      <c r="A5310" t="s">
        <v>23</v>
      </c>
      <c r="B5310" s="16">
        <v>45876</v>
      </c>
      <c r="C5310">
        <v>8.6</v>
      </c>
      <c r="D5310">
        <v>1</v>
      </c>
      <c r="E5310" t="s">
        <v>6132</v>
      </c>
    </row>
    <row r="5311" spans="1:5" x14ac:dyDescent="0.35">
      <c r="A5311" t="s">
        <v>23</v>
      </c>
      <c r="B5311" s="16">
        <v>45880</v>
      </c>
      <c r="C5311">
        <v>7.9</v>
      </c>
      <c r="D5311">
        <v>0</v>
      </c>
      <c r="E5311" t="s">
        <v>6132</v>
      </c>
    </row>
    <row r="5312" spans="1:5" x14ac:dyDescent="0.35">
      <c r="A5312" t="s">
        <v>23</v>
      </c>
      <c r="B5312" s="16">
        <v>45882</v>
      </c>
      <c r="C5312">
        <v>5.2</v>
      </c>
      <c r="D5312">
        <v>0</v>
      </c>
      <c r="E5312" t="s">
        <v>6132</v>
      </c>
    </row>
    <row r="5313" spans="1:5" x14ac:dyDescent="0.35">
      <c r="A5313" t="s">
        <v>23</v>
      </c>
      <c r="B5313" s="16">
        <v>45884</v>
      </c>
      <c r="C5313">
        <v>8.4</v>
      </c>
      <c r="D5313">
        <v>4</v>
      </c>
      <c r="E5313" t="s">
        <v>6132</v>
      </c>
    </row>
    <row r="5314" spans="1:5" x14ac:dyDescent="0.35">
      <c r="A5314" t="s">
        <v>23</v>
      </c>
      <c r="B5314" s="16">
        <v>45887</v>
      </c>
      <c r="C5314">
        <v>7.3</v>
      </c>
      <c r="D5314">
        <v>0</v>
      </c>
      <c r="E5314" t="s">
        <v>6132</v>
      </c>
    </row>
    <row r="5315" spans="1:5" x14ac:dyDescent="0.35">
      <c r="A5315" t="s">
        <v>23</v>
      </c>
      <c r="B5315" s="16">
        <v>45889</v>
      </c>
      <c r="C5315">
        <v>7.3</v>
      </c>
      <c r="D5315">
        <v>1</v>
      </c>
      <c r="E5315" t="s">
        <v>6132</v>
      </c>
    </row>
    <row r="5316" spans="1:5" x14ac:dyDescent="0.35">
      <c r="A5316" t="s">
        <v>23</v>
      </c>
      <c r="B5316" s="16">
        <v>45890</v>
      </c>
      <c r="C5316">
        <v>5.7</v>
      </c>
      <c r="D5316">
        <v>0</v>
      </c>
      <c r="E5316" t="s">
        <v>6132</v>
      </c>
    </row>
    <row r="5317" spans="1:5" x14ac:dyDescent="0.35">
      <c r="A5317" t="s">
        <v>23</v>
      </c>
      <c r="B5317" s="16">
        <v>45894</v>
      </c>
      <c r="C5317">
        <v>5.3</v>
      </c>
      <c r="D5317">
        <v>0</v>
      </c>
      <c r="E5317" t="s">
        <v>6132</v>
      </c>
    </row>
    <row r="5318" spans="1:5" x14ac:dyDescent="0.35">
      <c r="A5318" t="s">
        <v>23</v>
      </c>
      <c r="B5318" s="16">
        <v>45897</v>
      </c>
      <c r="C5318">
        <v>8.6</v>
      </c>
      <c r="D5318">
        <v>3</v>
      </c>
      <c r="E5318" t="s">
        <v>6132</v>
      </c>
    </row>
    <row r="5319" spans="1:5" x14ac:dyDescent="0.35">
      <c r="A5319" t="s">
        <v>23</v>
      </c>
      <c r="B5319" s="16">
        <v>45902</v>
      </c>
      <c r="C5319">
        <v>5.0999999999999996</v>
      </c>
      <c r="D5319">
        <v>2</v>
      </c>
      <c r="E5319" t="s">
        <v>6132</v>
      </c>
    </row>
    <row r="5320" spans="1:5" x14ac:dyDescent="0.35">
      <c r="A5320" t="s">
        <v>23</v>
      </c>
      <c r="B5320" s="16">
        <v>45903</v>
      </c>
      <c r="C5320">
        <v>7</v>
      </c>
      <c r="D5320">
        <v>2</v>
      </c>
      <c r="E5320" t="s">
        <v>6132</v>
      </c>
    </row>
    <row r="5321" spans="1:5" x14ac:dyDescent="0.35">
      <c r="A5321" t="s">
        <v>23</v>
      </c>
      <c r="B5321" s="16">
        <v>45904</v>
      </c>
      <c r="C5321">
        <v>4.5999999999999996</v>
      </c>
      <c r="D5321">
        <v>0</v>
      </c>
      <c r="E5321" t="s">
        <v>6132</v>
      </c>
    </row>
    <row r="5322" spans="1:5" x14ac:dyDescent="0.35">
      <c r="A5322" t="s">
        <v>23</v>
      </c>
      <c r="B5322" s="16">
        <v>45905</v>
      </c>
      <c r="C5322">
        <v>4.4000000000000004</v>
      </c>
      <c r="D5322">
        <v>0</v>
      </c>
      <c r="E5322" t="s">
        <v>6132</v>
      </c>
    </row>
    <row r="5323" spans="1:5" x14ac:dyDescent="0.35">
      <c r="A5323" t="s">
        <v>23</v>
      </c>
      <c r="B5323" s="16">
        <v>45910</v>
      </c>
      <c r="C5323">
        <v>8</v>
      </c>
      <c r="D5323">
        <v>1</v>
      </c>
      <c r="E5323" t="s">
        <v>6132</v>
      </c>
    </row>
    <row r="5324" spans="1:5" x14ac:dyDescent="0.35">
      <c r="A5324" t="s">
        <v>23</v>
      </c>
      <c r="B5324" s="16">
        <v>45911</v>
      </c>
      <c r="C5324">
        <v>8.3000000000000007</v>
      </c>
      <c r="D5324">
        <v>2</v>
      </c>
      <c r="E5324" t="s">
        <v>6132</v>
      </c>
    </row>
    <row r="5325" spans="1:5" x14ac:dyDescent="0.35">
      <c r="A5325" t="s">
        <v>23</v>
      </c>
      <c r="B5325" s="16">
        <v>45912</v>
      </c>
      <c r="C5325">
        <v>8</v>
      </c>
      <c r="D5325">
        <v>1</v>
      </c>
      <c r="E5325" t="s">
        <v>6132</v>
      </c>
    </row>
    <row r="5326" spans="1:5" x14ac:dyDescent="0.35">
      <c r="A5326" t="s">
        <v>23</v>
      </c>
      <c r="B5326" s="16">
        <v>45915</v>
      </c>
      <c r="C5326">
        <v>7.8</v>
      </c>
      <c r="D5326">
        <v>1</v>
      </c>
      <c r="E5326" t="s">
        <v>6132</v>
      </c>
    </row>
    <row r="5327" spans="1:5" x14ac:dyDescent="0.35">
      <c r="A5327" t="s">
        <v>23</v>
      </c>
      <c r="B5327" s="16">
        <v>45916</v>
      </c>
      <c r="C5327">
        <v>8.4</v>
      </c>
      <c r="D5327">
        <v>2</v>
      </c>
      <c r="E5327" t="s">
        <v>6132</v>
      </c>
    </row>
    <row r="5328" spans="1:5" x14ac:dyDescent="0.35">
      <c r="A5328" t="s">
        <v>23</v>
      </c>
      <c r="B5328" s="16">
        <v>45919</v>
      </c>
      <c r="C5328">
        <v>6.4</v>
      </c>
      <c r="D5328">
        <v>0</v>
      </c>
      <c r="E5328" t="s">
        <v>6132</v>
      </c>
    </row>
    <row r="5329" spans="1:5" x14ac:dyDescent="0.35">
      <c r="A5329" t="s">
        <v>23</v>
      </c>
      <c r="B5329" s="16">
        <v>45924</v>
      </c>
      <c r="C5329">
        <v>4.3</v>
      </c>
      <c r="D5329">
        <v>4</v>
      </c>
      <c r="E5329" t="s">
        <v>6132</v>
      </c>
    </row>
    <row r="5330" spans="1:5" x14ac:dyDescent="0.35">
      <c r="A5330" t="s">
        <v>23</v>
      </c>
      <c r="B5330" s="16">
        <v>45926</v>
      </c>
      <c r="C5330">
        <v>7.2</v>
      </c>
      <c r="D5330">
        <v>0</v>
      </c>
      <c r="E5330" t="s">
        <v>6132</v>
      </c>
    </row>
    <row r="5331" spans="1:5" x14ac:dyDescent="0.35">
      <c r="A5331" t="s">
        <v>23</v>
      </c>
      <c r="B5331" s="16">
        <v>45929</v>
      </c>
      <c r="C5331">
        <v>4.5999999999999996</v>
      </c>
      <c r="D5331">
        <v>2</v>
      </c>
      <c r="E5331" t="s">
        <v>6132</v>
      </c>
    </row>
    <row r="5332" spans="1:5" x14ac:dyDescent="0.35">
      <c r="A5332" t="s">
        <v>23</v>
      </c>
      <c r="B5332" s="16">
        <v>45930</v>
      </c>
      <c r="C5332">
        <v>8.3000000000000007</v>
      </c>
      <c r="D5332">
        <v>0</v>
      </c>
      <c r="E5332" t="s">
        <v>6132</v>
      </c>
    </row>
    <row r="5333" spans="1:5" x14ac:dyDescent="0.35">
      <c r="A5333" t="s">
        <v>23</v>
      </c>
      <c r="B5333" s="16">
        <v>45932</v>
      </c>
      <c r="C5333">
        <v>8.6999999999999993</v>
      </c>
      <c r="D5333">
        <v>3</v>
      </c>
      <c r="E5333" t="s">
        <v>6132</v>
      </c>
    </row>
    <row r="5334" spans="1:5" x14ac:dyDescent="0.35">
      <c r="A5334" t="s">
        <v>23</v>
      </c>
      <c r="B5334" s="16">
        <v>45939</v>
      </c>
      <c r="C5334">
        <v>5.4</v>
      </c>
      <c r="D5334">
        <v>2</v>
      </c>
      <c r="E5334" t="s">
        <v>6132</v>
      </c>
    </row>
    <row r="5335" spans="1:5" x14ac:dyDescent="0.35">
      <c r="A5335" t="s">
        <v>23</v>
      </c>
      <c r="B5335" s="16">
        <v>45940</v>
      </c>
      <c r="C5335">
        <v>6.5</v>
      </c>
      <c r="D5335">
        <v>3</v>
      </c>
      <c r="E5335" t="s">
        <v>6132</v>
      </c>
    </row>
    <row r="5336" spans="1:5" x14ac:dyDescent="0.35">
      <c r="A5336" t="s">
        <v>23</v>
      </c>
      <c r="B5336" s="16">
        <v>45945</v>
      </c>
      <c r="C5336">
        <v>8.6</v>
      </c>
      <c r="D5336">
        <v>0</v>
      </c>
      <c r="E5336" t="s">
        <v>6132</v>
      </c>
    </row>
    <row r="5337" spans="1:5" x14ac:dyDescent="0.35">
      <c r="A5337" t="s">
        <v>23</v>
      </c>
      <c r="B5337" s="16">
        <v>45946</v>
      </c>
      <c r="C5337">
        <v>7.6</v>
      </c>
      <c r="D5337">
        <v>1</v>
      </c>
      <c r="E5337" t="s">
        <v>6132</v>
      </c>
    </row>
    <row r="5338" spans="1:5" x14ac:dyDescent="0.35">
      <c r="A5338" t="s">
        <v>23</v>
      </c>
      <c r="B5338" s="16">
        <v>45947</v>
      </c>
      <c r="C5338">
        <v>4</v>
      </c>
      <c r="D5338">
        <v>1</v>
      </c>
      <c r="E5338" t="s">
        <v>6132</v>
      </c>
    </row>
    <row r="5339" spans="1:5" x14ac:dyDescent="0.35">
      <c r="A5339" t="s">
        <v>23</v>
      </c>
      <c r="B5339" s="16">
        <v>45951</v>
      </c>
      <c r="C5339">
        <v>7.1</v>
      </c>
      <c r="D5339">
        <v>1</v>
      </c>
      <c r="E5339" t="s">
        <v>6132</v>
      </c>
    </row>
    <row r="5340" spans="1:5" x14ac:dyDescent="0.35">
      <c r="A5340" t="s">
        <v>23</v>
      </c>
      <c r="B5340" s="16">
        <v>45952</v>
      </c>
      <c r="C5340">
        <v>5.9</v>
      </c>
      <c r="D5340">
        <v>0</v>
      </c>
      <c r="E5340" t="s">
        <v>6132</v>
      </c>
    </row>
    <row r="5341" spans="1:5" x14ac:dyDescent="0.35">
      <c r="A5341" t="s">
        <v>23</v>
      </c>
      <c r="B5341" s="16">
        <v>45953</v>
      </c>
      <c r="C5341">
        <v>8.1999999999999993</v>
      </c>
      <c r="D5341">
        <v>1</v>
      </c>
      <c r="E5341" t="s">
        <v>6132</v>
      </c>
    </row>
    <row r="5342" spans="1:5" x14ac:dyDescent="0.35">
      <c r="A5342" t="s">
        <v>23</v>
      </c>
      <c r="B5342" s="16">
        <v>45954</v>
      </c>
      <c r="C5342">
        <v>5.3</v>
      </c>
      <c r="D5342">
        <v>0</v>
      </c>
      <c r="E5342" t="s">
        <v>6132</v>
      </c>
    </row>
    <row r="5343" spans="1:5" x14ac:dyDescent="0.35">
      <c r="A5343" t="s">
        <v>23</v>
      </c>
      <c r="B5343" s="16">
        <v>45957</v>
      </c>
      <c r="C5343">
        <v>7.5</v>
      </c>
      <c r="D5343">
        <v>4</v>
      </c>
      <c r="E5343" t="s">
        <v>6132</v>
      </c>
    </row>
    <row r="5344" spans="1:5" x14ac:dyDescent="0.35">
      <c r="A5344" t="s">
        <v>23</v>
      </c>
      <c r="B5344" s="16">
        <v>45959</v>
      </c>
      <c r="C5344">
        <v>6.6</v>
      </c>
      <c r="D5344">
        <v>2</v>
      </c>
      <c r="E5344" t="s">
        <v>6132</v>
      </c>
    </row>
    <row r="5345" spans="1:5" x14ac:dyDescent="0.35">
      <c r="A5345" t="s">
        <v>23</v>
      </c>
      <c r="B5345" s="16">
        <v>45964</v>
      </c>
      <c r="C5345">
        <v>7.8</v>
      </c>
      <c r="D5345">
        <v>0</v>
      </c>
      <c r="E5345" t="s">
        <v>6132</v>
      </c>
    </row>
    <row r="5346" spans="1:5" x14ac:dyDescent="0.35">
      <c r="A5346" t="s">
        <v>23</v>
      </c>
      <c r="B5346" s="16">
        <v>45965</v>
      </c>
      <c r="C5346">
        <v>7.5</v>
      </c>
      <c r="D5346">
        <v>0</v>
      </c>
      <c r="E5346" t="s">
        <v>6132</v>
      </c>
    </row>
    <row r="5347" spans="1:5" x14ac:dyDescent="0.35">
      <c r="A5347" t="s">
        <v>23</v>
      </c>
      <c r="B5347" s="16">
        <v>45966</v>
      </c>
      <c r="C5347">
        <v>8.1999999999999993</v>
      </c>
      <c r="D5347">
        <v>1</v>
      </c>
      <c r="E5347" t="s">
        <v>6132</v>
      </c>
    </row>
    <row r="5348" spans="1:5" x14ac:dyDescent="0.35">
      <c r="A5348" t="s">
        <v>23</v>
      </c>
      <c r="B5348" s="16">
        <v>45975</v>
      </c>
      <c r="C5348">
        <v>6.3</v>
      </c>
      <c r="D5348">
        <v>3</v>
      </c>
      <c r="E5348" t="s">
        <v>6132</v>
      </c>
    </row>
    <row r="5349" spans="1:5" x14ac:dyDescent="0.35">
      <c r="A5349" t="s">
        <v>23</v>
      </c>
      <c r="B5349" s="16">
        <v>45980</v>
      </c>
      <c r="C5349">
        <v>6</v>
      </c>
      <c r="D5349">
        <v>1</v>
      </c>
      <c r="E5349" t="s">
        <v>6132</v>
      </c>
    </row>
    <row r="5350" spans="1:5" x14ac:dyDescent="0.35">
      <c r="A5350" t="s">
        <v>23</v>
      </c>
      <c r="B5350" s="16">
        <v>45981</v>
      </c>
      <c r="C5350">
        <v>8.1999999999999993</v>
      </c>
      <c r="D5350">
        <v>0</v>
      </c>
      <c r="E5350" t="s">
        <v>6132</v>
      </c>
    </row>
    <row r="5351" spans="1:5" x14ac:dyDescent="0.35">
      <c r="A5351" t="s">
        <v>23</v>
      </c>
      <c r="B5351" s="16">
        <v>45986</v>
      </c>
      <c r="C5351">
        <v>6.2</v>
      </c>
      <c r="D5351">
        <v>0</v>
      </c>
      <c r="E5351" t="s">
        <v>6132</v>
      </c>
    </row>
    <row r="5352" spans="1:5" x14ac:dyDescent="0.35">
      <c r="A5352" t="s">
        <v>23</v>
      </c>
      <c r="B5352" s="16">
        <v>45987</v>
      </c>
      <c r="C5352">
        <v>5.3</v>
      </c>
      <c r="D5352">
        <v>0</v>
      </c>
      <c r="E5352" t="s">
        <v>6132</v>
      </c>
    </row>
    <row r="5353" spans="1:5" x14ac:dyDescent="0.35">
      <c r="A5353" t="s">
        <v>23</v>
      </c>
      <c r="B5353" s="16">
        <v>45988</v>
      </c>
      <c r="C5353">
        <v>8.6</v>
      </c>
      <c r="D5353">
        <v>0</v>
      </c>
      <c r="E5353" t="s">
        <v>6132</v>
      </c>
    </row>
    <row r="5354" spans="1:5" x14ac:dyDescent="0.35">
      <c r="A5354" t="s">
        <v>23</v>
      </c>
      <c r="B5354" s="16">
        <v>45994</v>
      </c>
      <c r="C5354">
        <v>6.4</v>
      </c>
      <c r="D5354">
        <v>2</v>
      </c>
      <c r="E5354" t="s">
        <v>6132</v>
      </c>
    </row>
    <row r="5355" spans="1:5" x14ac:dyDescent="0.35">
      <c r="A5355" t="s">
        <v>23</v>
      </c>
      <c r="B5355" s="16">
        <v>45995</v>
      </c>
      <c r="C5355">
        <v>5.5</v>
      </c>
      <c r="D5355">
        <v>2</v>
      </c>
      <c r="E5355" t="s">
        <v>6132</v>
      </c>
    </row>
    <row r="5356" spans="1:5" x14ac:dyDescent="0.35">
      <c r="A5356" t="s">
        <v>23</v>
      </c>
      <c r="B5356" s="16">
        <v>45999</v>
      </c>
      <c r="C5356">
        <v>5.5</v>
      </c>
      <c r="D5356">
        <v>2</v>
      </c>
      <c r="E5356" t="s">
        <v>6132</v>
      </c>
    </row>
    <row r="5357" spans="1:5" x14ac:dyDescent="0.35">
      <c r="A5357" t="s">
        <v>23</v>
      </c>
      <c r="B5357" s="16">
        <v>46003</v>
      </c>
      <c r="C5357">
        <v>6.4</v>
      </c>
      <c r="D5357">
        <v>0</v>
      </c>
      <c r="E5357" t="s">
        <v>6132</v>
      </c>
    </row>
    <row r="5358" spans="1:5" x14ac:dyDescent="0.35">
      <c r="A5358" t="s">
        <v>23</v>
      </c>
      <c r="B5358" s="16">
        <v>46008</v>
      </c>
      <c r="C5358">
        <v>4.0999999999999996</v>
      </c>
      <c r="D5358">
        <v>1</v>
      </c>
      <c r="E5358" t="s">
        <v>6132</v>
      </c>
    </row>
    <row r="5359" spans="1:5" x14ac:dyDescent="0.35">
      <c r="A5359" t="s">
        <v>23</v>
      </c>
      <c r="B5359" s="16">
        <v>46009</v>
      </c>
      <c r="C5359">
        <v>5.8</v>
      </c>
      <c r="D5359">
        <v>2</v>
      </c>
      <c r="E5359" t="s">
        <v>6132</v>
      </c>
    </row>
    <row r="5360" spans="1:5" x14ac:dyDescent="0.35">
      <c r="A5360" t="s">
        <v>23</v>
      </c>
      <c r="B5360" s="16">
        <v>46017</v>
      </c>
      <c r="C5360">
        <v>5.0999999999999996</v>
      </c>
      <c r="D5360">
        <v>4</v>
      </c>
      <c r="E5360" t="s">
        <v>6132</v>
      </c>
    </row>
    <row r="5361" spans="1:5" x14ac:dyDescent="0.35">
      <c r="A5361" t="s">
        <v>23</v>
      </c>
      <c r="B5361" s="16">
        <v>46021</v>
      </c>
      <c r="C5361">
        <v>7.5</v>
      </c>
      <c r="D5361">
        <v>1</v>
      </c>
      <c r="E5361" t="s">
        <v>6132</v>
      </c>
    </row>
    <row r="5362" spans="1:5" x14ac:dyDescent="0.35">
      <c r="A5362" t="s">
        <v>23</v>
      </c>
      <c r="B5362" s="16">
        <v>46022</v>
      </c>
      <c r="D5362">
        <v>4</v>
      </c>
      <c r="E5362" t="s">
        <v>6132</v>
      </c>
    </row>
    <row r="5363" spans="1:5" x14ac:dyDescent="0.35">
      <c r="A5363" s="10"/>
      <c r="B5363" s="11"/>
      <c r="C5363" s="12"/>
      <c r="D5363" s="12"/>
      <c r="E5363" s="13"/>
    </row>
    <row r="5364" spans="1:5" x14ac:dyDescent="0.35">
      <c r="A5364" s="6"/>
      <c r="B5364" s="7"/>
      <c r="C5364" s="8"/>
      <c r="D5364" s="8"/>
      <c r="E5364" s="9"/>
    </row>
    <row r="5365" spans="1:5" x14ac:dyDescent="0.35">
      <c r="A5365" s="10"/>
      <c r="B5365" s="11"/>
      <c r="C5365" s="12"/>
      <c r="D5365" s="12"/>
      <c r="E5365" s="13"/>
    </row>
    <row r="5366" spans="1:5" x14ac:dyDescent="0.35">
      <c r="A5366" s="6"/>
      <c r="B5366" s="7"/>
      <c r="C5366" s="8"/>
      <c r="D5366" s="8"/>
      <c r="E5366" s="9"/>
    </row>
    <row r="5367" spans="1:5" x14ac:dyDescent="0.35">
      <c r="A5367" s="10"/>
      <c r="B5367" s="11"/>
      <c r="C5367" s="12"/>
      <c r="D5367" s="12"/>
      <c r="E5367" s="13"/>
    </row>
    <row r="5368" spans="1:5" x14ac:dyDescent="0.35">
      <c r="A5368" s="6"/>
      <c r="B5368" s="7"/>
      <c r="C5368" s="8"/>
      <c r="D5368" s="8"/>
      <c r="E5368" s="9"/>
    </row>
    <row r="5369" spans="1:5" x14ac:dyDescent="0.35">
      <c r="A5369" s="10"/>
      <c r="B5369" s="11"/>
      <c r="C5369" s="12"/>
      <c r="D5369" s="12"/>
      <c r="E5369" s="13"/>
    </row>
    <row r="5370" spans="1:5" x14ac:dyDescent="0.35">
      <c r="A5370" s="6"/>
      <c r="B5370" s="7"/>
      <c r="C5370" s="8"/>
      <c r="D5370" s="8"/>
      <c r="E5370" s="9"/>
    </row>
    <row r="5371" spans="1:5" x14ac:dyDescent="0.35">
      <c r="A5371" s="10"/>
      <c r="B5371" s="11"/>
      <c r="C5371" s="12"/>
      <c r="D5371" s="12"/>
      <c r="E5371" s="13"/>
    </row>
    <row r="5372" spans="1:5" x14ac:dyDescent="0.35">
      <c r="A5372" s="6"/>
      <c r="B5372" s="7"/>
      <c r="C5372" s="8"/>
      <c r="D5372" s="8"/>
      <c r="E5372" s="9"/>
    </row>
    <row r="5373" spans="1:5" x14ac:dyDescent="0.35">
      <c r="A5373" s="10"/>
      <c r="B5373" s="11"/>
      <c r="C5373" s="12"/>
      <c r="D5373" s="12"/>
      <c r="E5373" s="13"/>
    </row>
    <row r="5374" spans="1:5" x14ac:dyDescent="0.35">
      <c r="A5374" s="6"/>
      <c r="B5374" s="7"/>
      <c r="C5374" s="8"/>
      <c r="D5374" s="8"/>
      <c r="E5374" s="9"/>
    </row>
    <row r="5375" spans="1:5" x14ac:dyDescent="0.35">
      <c r="A5375" s="10"/>
      <c r="B5375" s="11"/>
      <c r="C5375" s="12"/>
      <c r="D5375" s="12"/>
      <c r="E5375" s="13"/>
    </row>
    <row r="5376" spans="1:5" x14ac:dyDescent="0.35">
      <c r="A5376" s="6"/>
      <c r="B5376" s="7"/>
      <c r="C5376" s="8"/>
      <c r="D5376" s="8"/>
      <c r="E5376" s="9"/>
    </row>
    <row r="5377" spans="1:5" x14ac:dyDescent="0.35">
      <c r="A5377" s="10"/>
      <c r="B5377" s="11"/>
      <c r="C5377" s="12"/>
      <c r="D5377" s="12"/>
      <c r="E5377" s="13"/>
    </row>
    <row r="5378" spans="1:5" x14ac:dyDescent="0.35">
      <c r="A5378" s="6"/>
      <c r="B5378" s="7"/>
      <c r="C5378" s="8"/>
      <c r="D5378" s="8"/>
      <c r="E5378" s="9"/>
    </row>
    <row r="5379" spans="1:5" x14ac:dyDescent="0.35">
      <c r="A5379" s="10"/>
      <c r="B5379" s="11"/>
      <c r="C5379" s="12"/>
      <c r="D5379" s="12"/>
      <c r="E5379" s="13"/>
    </row>
    <row r="5380" spans="1:5" x14ac:dyDescent="0.35">
      <c r="A5380" s="6"/>
      <c r="B5380" s="7"/>
      <c r="C5380" s="8"/>
      <c r="D5380" s="8"/>
      <c r="E5380" s="9"/>
    </row>
    <row r="5381" spans="1:5" x14ac:dyDescent="0.35">
      <c r="A5381" s="10"/>
      <c r="B5381" s="11"/>
      <c r="C5381" s="12"/>
      <c r="D5381" s="12"/>
      <c r="E5381" s="13"/>
    </row>
    <row r="5382" spans="1:5" x14ac:dyDescent="0.35">
      <c r="A5382" s="6"/>
      <c r="B5382" s="7"/>
      <c r="C5382" s="8"/>
      <c r="D5382" s="8"/>
      <c r="E5382" s="9"/>
    </row>
    <row r="5383" spans="1:5" x14ac:dyDescent="0.35">
      <c r="A5383" s="10"/>
      <c r="B5383" s="11"/>
      <c r="C5383" s="12"/>
      <c r="D5383" s="12"/>
      <c r="E5383" s="13"/>
    </row>
    <row r="5384" spans="1:5" x14ac:dyDescent="0.35">
      <c r="A5384" s="6"/>
      <c r="B5384" s="7"/>
      <c r="C5384" s="8"/>
      <c r="D5384" s="8"/>
      <c r="E5384" s="9"/>
    </row>
    <row r="5385" spans="1:5" x14ac:dyDescent="0.35">
      <c r="A5385" s="10"/>
      <c r="B5385" s="11"/>
      <c r="C5385" s="12"/>
      <c r="D5385" s="12"/>
      <c r="E5385" s="13"/>
    </row>
    <row r="5386" spans="1:5" x14ac:dyDescent="0.35">
      <c r="A5386" s="6"/>
      <c r="B5386" s="7"/>
      <c r="C5386" s="8"/>
      <c r="D5386" s="8"/>
      <c r="E5386" s="9"/>
    </row>
    <row r="5387" spans="1:5" x14ac:dyDescent="0.35">
      <c r="A5387" s="10"/>
      <c r="B5387" s="11"/>
      <c r="C5387" s="12"/>
      <c r="D5387" s="12"/>
      <c r="E5387" s="13"/>
    </row>
    <row r="5388" spans="1:5" x14ac:dyDescent="0.35">
      <c r="A5388" s="6"/>
      <c r="B5388" s="7"/>
      <c r="C5388" s="8"/>
      <c r="D5388" s="8"/>
      <c r="E5388" s="9"/>
    </row>
    <row r="5389" spans="1:5" x14ac:dyDescent="0.35">
      <c r="A5389" s="10"/>
      <c r="B5389" s="11"/>
      <c r="C5389" s="12"/>
      <c r="D5389" s="12"/>
      <c r="E5389" s="13"/>
    </row>
    <row r="5390" spans="1:5" x14ac:dyDescent="0.35">
      <c r="A5390" s="6"/>
      <c r="B5390" s="7"/>
      <c r="C5390" s="8"/>
      <c r="D5390" s="8"/>
      <c r="E5390" s="9"/>
    </row>
    <row r="5391" spans="1:5" x14ac:dyDescent="0.35">
      <c r="A5391" s="10"/>
      <c r="B5391" s="11"/>
      <c r="C5391" s="12"/>
      <c r="D5391" s="12"/>
      <c r="E5391" s="13"/>
    </row>
    <row r="5392" spans="1:5" x14ac:dyDescent="0.35">
      <c r="A5392" s="6"/>
      <c r="B5392" s="7"/>
      <c r="C5392" s="8"/>
      <c r="D5392" s="8"/>
      <c r="E5392" s="9"/>
    </row>
    <row r="5393" spans="1:5" x14ac:dyDescent="0.35">
      <c r="A5393" s="10"/>
      <c r="B5393" s="11"/>
      <c r="C5393" s="12"/>
      <c r="D5393" s="12"/>
      <c r="E5393" s="13"/>
    </row>
    <row r="5394" spans="1:5" x14ac:dyDescent="0.35">
      <c r="A5394" s="6"/>
      <c r="B5394" s="7"/>
      <c r="C5394" s="8"/>
      <c r="D5394" s="8"/>
      <c r="E5394" s="9"/>
    </row>
    <row r="5395" spans="1:5" x14ac:dyDescent="0.35">
      <c r="A5395" s="10"/>
      <c r="B5395" s="11"/>
      <c r="C5395" s="12"/>
      <c r="D5395" s="12"/>
      <c r="E5395" s="13"/>
    </row>
    <row r="5396" spans="1:5" x14ac:dyDescent="0.35">
      <c r="A5396" s="6"/>
      <c r="B5396" s="7"/>
      <c r="C5396" s="8"/>
      <c r="D5396" s="8"/>
      <c r="E5396" s="9"/>
    </row>
    <row r="5397" spans="1:5" x14ac:dyDescent="0.35">
      <c r="A5397" s="10"/>
      <c r="B5397" s="11"/>
      <c r="C5397" s="12"/>
      <c r="D5397" s="12"/>
      <c r="E5397" s="13"/>
    </row>
    <row r="5398" spans="1:5" x14ac:dyDescent="0.35">
      <c r="A5398" s="6"/>
      <c r="B5398" s="7"/>
      <c r="C5398" s="8"/>
      <c r="D5398" s="8"/>
      <c r="E5398" s="9"/>
    </row>
    <row r="5399" spans="1:5" x14ac:dyDescent="0.35">
      <c r="A5399" s="10"/>
      <c r="B5399" s="11"/>
      <c r="C5399" s="12"/>
      <c r="D5399" s="12"/>
      <c r="E5399" s="13"/>
    </row>
    <row r="5400" spans="1:5" x14ac:dyDescent="0.35">
      <c r="A5400" s="6"/>
      <c r="B5400" s="7"/>
      <c r="C5400" s="8"/>
      <c r="D5400" s="8"/>
      <c r="E5400" s="9"/>
    </row>
    <row r="5401" spans="1:5" x14ac:dyDescent="0.35">
      <c r="A5401" s="10"/>
      <c r="B5401" s="11"/>
      <c r="C5401" s="12"/>
      <c r="D5401" s="12"/>
      <c r="E5401" s="13"/>
    </row>
    <row r="5402" spans="1:5" x14ac:dyDescent="0.35">
      <c r="A5402" s="6"/>
      <c r="B5402" s="7"/>
      <c r="C5402" s="8"/>
      <c r="D5402" s="8"/>
      <c r="E5402" s="9"/>
    </row>
    <row r="5403" spans="1:5" x14ac:dyDescent="0.35">
      <c r="A5403" s="10"/>
      <c r="B5403" s="11"/>
      <c r="C5403" s="12"/>
      <c r="D5403" s="12"/>
      <c r="E5403" s="13"/>
    </row>
    <row r="5404" spans="1:5" x14ac:dyDescent="0.35">
      <c r="A5404" s="6"/>
      <c r="B5404" s="7"/>
      <c r="C5404" s="8"/>
      <c r="D5404" s="8"/>
      <c r="E5404" s="9"/>
    </row>
    <row r="5405" spans="1:5" x14ac:dyDescent="0.35">
      <c r="A5405" s="10"/>
      <c r="B5405" s="11"/>
      <c r="C5405" s="12"/>
      <c r="D5405" s="12"/>
      <c r="E5405" s="13"/>
    </row>
    <row r="5406" spans="1:5" x14ac:dyDescent="0.35">
      <c r="A5406" s="6"/>
      <c r="B5406" s="7"/>
      <c r="C5406" s="8"/>
      <c r="D5406" s="8"/>
      <c r="E5406" s="9"/>
    </row>
    <row r="5407" spans="1:5" x14ac:dyDescent="0.35">
      <c r="A5407" s="10"/>
      <c r="B5407" s="11"/>
      <c r="C5407" s="12"/>
      <c r="D5407" s="12"/>
      <c r="E5407" s="13"/>
    </row>
    <row r="5408" spans="1:5" x14ac:dyDescent="0.35">
      <c r="A5408" s="6"/>
      <c r="B5408" s="7"/>
      <c r="C5408" s="8"/>
      <c r="D5408" s="8"/>
      <c r="E5408" s="9"/>
    </row>
    <row r="5409" spans="1:5" x14ac:dyDescent="0.35">
      <c r="A5409" s="10"/>
      <c r="B5409" s="11"/>
      <c r="C5409" s="12"/>
      <c r="D5409" s="12"/>
      <c r="E5409" s="13"/>
    </row>
    <row r="5410" spans="1:5" x14ac:dyDescent="0.35">
      <c r="A5410" s="6"/>
      <c r="B5410" s="7"/>
      <c r="C5410" s="8"/>
      <c r="D5410" s="8"/>
      <c r="E5410" s="9"/>
    </row>
    <row r="5411" spans="1:5" x14ac:dyDescent="0.35">
      <c r="A5411" s="10"/>
      <c r="B5411" s="11"/>
      <c r="C5411" s="12"/>
      <c r="D5411" s="12"/>
      <c r="E5411" s="13"/>
    </row>
    <row r="5412" spans="1:5" x14ac:dyDescent="0.35">
      <c r="A5412" s="6"/>
      <c r="B5412" s="7"/>
      <c r="C5412" s="8"/>
      <c r="D5412" s="8"/>
      <c r="E5412" s="9"/>
    </row>
    <row r="5413" spans="1:5" x14ac:dyDescent="0.35">
      <c r="A5413" s="10"/>
      <c r="B5413" s="11"/>
      <c r="C5413" s="12"/>
      <c r="D5413" s="12"/>
      <c r="E5413" s="13"/>
    </row>
    <row r="5414" spans="1:5" x14ac:dyDescent="0.35">
      <c r="A5414" s="6"/>
      <c r="B5414" s="7"/>
      <c r="C5414" s="8"/>
      <c r="D5414" s="8"/>
      <c r="E5414" s="9"/>
    </row>
    <row r="5415" spans="1:5" x14ac:dyDescent="0.35">
      <c r="A5415" s="10"/>
      <c r="B5415" s="11"/>
      <c r="C5415" s="12"/>
      <c r="D5415" s="12"/>
      <c r="E5415" s="13"/>
    </row>
    <row r="5416" spans="1:5" x14ac:dyDescent="0.35">
      <c r="A5416" s="6"/>
      <c r="B5416" s="7"/>
      <c r="C5416" s="8"/>
      <c r="D5416" s="8"/>
      <c r="E5416" s="9"/>
    </row>
    <row r="5417" spans="1:5" x14ac:dyDescent="0.35">
      <c r="A5417" s="10"/>
      <c r="B5417" s="11"/>
      <c r="C5417" s="12"/>
      <c r="D5417" s="12"/>
      <c r="E5417" s="13"/>
    </row>
    <row r="5418" spans="1:5" x14ac:dyDescent="0.35">
      <c r="A5418" s="6"/>
      <c r="B5418" s="7"/>
      <c r="C5418" s="8"/>
      <c r="D5418" s="8"/>
      <c r="E5418" s="9"/>
    </row>
    <row r="5419" spans="1:5" x14ac:dyDescent="0.35">
      <c r="A5419" s="10"/>
      <c r="B5419" s="11"/>
      <c r="C5419" s="12"/>
      <c r="D5419" s="12"/>
      <c r="E5419" s="13"/>
    </row>
    <row r="5420" spans="1:5" x14ac:dyDescent="0.35">
      <c r="A5420" s="6"/>
      <c r="B5420" s="7"/>
      <c r="C5420" s="8"/>
      <c r="D5420" s="8"/>
      <c r="E5420" s="9"/>
    </row>
    <row r="5421" spans="1:5" x14ac:dyDescent="0.35">
      <c r="A5421" s="10"/>
      <c r="B5421" s="11"/>
      <c r="C5421" s="12"/>
      <c r="D5421" s="12"/>
      <c r="E5421" s="13"/>
    </row>
    <row r="5422" spans="1:5" x14ac:dyDescent="0.35">
      <c r="A5422" s="6"/>
      <c r="B5422" s="7"/>
      <c r="C5422" s="8"/>
      <c r="D5422" s="8"/>
      <c r="E5422" s="9"/>
    </row>
    <row r="5423" spans="1:5" x14ac:dyDescent="0.35">
      <c r="A5423" s="10"/>
      <c r="B5423" s="11"/>
      <c r="C5423" s="12"/>
      <c r="D5423" s="12"/>
      <c r="E5423" s="13"/>
    </row>
    <row r="5424" spans="1:5" x14ac:dyDescent="0.35">
      <c r="A5424" s="6"/>
      <c r="B5424" s="7"/>
      <c r="C5424" s="8"/>
      <c r="D5424" s="8"/>
      <c r="E5424" s="9"/>
    </row>
    <row r="5425" spans="1:5" x14ac:dyDescent="0.35">
      <c r="A5425" s="10"/>
      <c r="B5425" s="11"/>
      <c r="C5425" s="12"/>
      <c r="D5425" s="12"/>
      <c r="E5425" s="13"/>
    </row>
    <row r="5426" spans="1:5" x14ac:dyDescent="0.35">
      <c r="A5426" s="6"/>
      <c r="B5426" s="7"/>
      <c r="C5426" s="8"/>
      <c r="D5426" s="8"/>
      <c r="E5426" s="9"/>
    </row>
    <row r="5427" spans="1:5" x14ac:dyDescent="0.35">
      <c r="A5427" s="10"/>
      <c r="B5427" s="11"/>
      <c r="C5427" s="12"/>
      <c r="D5427" s="12"/>
      <c r="E5427" s="13"/>
    </row>
    <row r="5428" spans="1:5" x14ac:dyDescent="0.35">
      <c r="A5428" s="6"/>
      <c r="B5428" s="7"/>
      <c r="C5428" s="8"/>
      <c r="D5428" s="8"/>
      <c r="E5428" s="9"/>
    </row>
    <row r="5429" spans="1:5" x14ac:dyDescent="0.35">
      <c r="A5429" s="10"/>
      <c r="B5429" s="11"/>
      <c r="C5429" s="12"/>
      <c r="D5429" s="12"/>
      <c r="E5429" s="13"/>
    </row>
    <row r="5430" spans="1:5" x14ac:dyDescent="0.35">
      <c r="A5430" s="6"/>
      <c r="B5430" s="7"/>
      <c r="C5430" s="8"/>
      <c r="D5430" s="8"/>
      <c r="E5430" s="9"/>
    </row>
    <row r="5431" spans="1:5" x14ac:dyDescent="0.35">
      <c r="A5431" s="10"/>
      <c r="B5431" s="11"/>
      <c r="C5431" s="12"/>
      <c r="D5431" s="12"/>
      <c r="E5431" s="13"/>
    </row>
    <row r="5432" spans="1:5" x14ac:dyDescent="0.35">
      <c r="A5432" s="6"/>
      <c r="B5432" s="7"/>
      <c r="C5432" s="8"/>
      <c r="D5432" s="8"/>
      <c r="E5432" s="9"/>
    </row>
    <row r="5433" spans="1:5" x14ac:dyDescent="0.35">
      <c r="A5433" s="10"/>
      <c r="B5433" s="11"/>
      <c r="C5433" s="12"/>
      <c r="D5433" s="12"/>
      <c r="E5433" s="13"/>
    </row>
    <row r="5434" spans="1:5" x14ac:dyDescent="0.35">
      <c r="A5434" s="6"/>
      <c r="B5434" s="7"/>
      <c r="C5434" s="8"/>
      <c r="D5434" s="8"/>
      <c r="E5434" s="9"/>
    </row>
    <row r="5435" spans="1:5" x14ac:dyDescent="0.35">
      <c r="A5435" s="10"/>
      <c r="B5435" s="11"/>
      <c r="C5435" s="12"/>
      <c r="D5435" s="12"/>
      <c r="E5435" s="13"/>
    </row>
    <row r="5436" spans="1:5" x14ac:dyDescent="0.35">
      <c r="A5436" s="6"/>
      <c r="B5436" s="7"/>
      <c r="C5436" s="8"/>
      <c r="D5436" s="8"/>
      <c r="E5436" s="9"/>
    </row>
    <row r="5437" spans="1:5" x14ac:dyDescent="0.35">
      <c r="A5437" s="10"/>
      <c r="B5437" s="11"/>
      <c r="C5437" s="12"/>
      <c r="D5437" s="12"/>
      <c r="E5437" s="13"/>
    </row>
    <row r="5438" spans="1:5" x14ac:dyDescent="0.35">
      <c r="A5438" s="6"/>
      <c r="B5438" s="7"/>
      <c r="C5438" s="8"/>
      <c r="D5438" s="8"/>
      <c r="E5438" s="9"/>
    </row>
    <row r="5439" spans="1:5" x14ac:dyDescent="0.35">
      <c r="A5439" s="10"/>
      <c r="B5439" s="11"/>
      <c r="C5439" s="12"/>
      <c r="D5439" s="12"/>
      <c r="E5439" s="13"/>
    </row>
    <row r="5440" spans="1:5" x14ac:dyDescent="0.35">
      <c r="A5440" s="6"/>
      <c r="B5440" s="7"/>
      <c r="C5440" s="8"/>
      <c r="D5440" s="8"/>
      <c r="E5440" s="9"/>
    </row>
    <row r="5441" spans="1:5" x14ac:dyDescent="0.35">
      <c r="A5441" s="10"/>
      <c r="B5441" s="11"/>
      <c r="C5441" s="12"/>
      <c r="D5441" s="12"/>
      <c r="E5441" s="13"/>
    </row>
    <row r="5442" spans="1:5" x14ac:dyDescent="0.35">
      <c r="A5442" s="6"/>
      <c r="B5442" s="7"/>
      <c r="C5442" s="8"/>
      <c r="D5442" s="8"/>
      <c r="E5442" s="9"/>
    </row>
    <row r="5443" spans="1:5" x14ac:dyDescent="0.35">
      <c r="A5443" s="10"/>
      <c r="B5443" s="11"/>
      <c r="C5443" s="12"/>
      <c r="D5443" s="12"/>
      <c r="E5443" s="13"/>
    </row>
    <row r="5444" spans="1:5" x14ac:dyDescent="0.35">
      <c r="A5444" s="6"/>
      <c r="B5444" s="7"/>
      <c r="C5444" s="8"/>
      <c r="D5444" s="8"/>
      <c r="E5444" s="9"/>
    </row>
    <row r="5445" spans="1:5" x14ac:dyDescent="0.35">
      <c r="A5445" s="10"/>
      <c r="B5445" s="11"/>
      <c r="C5445" s="12"/>
      <c r="D5445" s="12"/>
      <c r="E5445" s="13"/>
    </row>
    <row r="5446" spans="1:5" x14ac:dyDescent="0.35">
      <c r="A5446" s="6"/>
      <c r="B5446" s="7"/>
      <c r="C5446" s="8"/>
      <c r="D5446" s="8"/>
      <c r="E5446" s="9"/>
    </row>
    <row r="5447" spans="1:5" x14ac:dyDescent="0.35">
      <c r="A5447" s="10"/>
      <c r="B5447" s="11"/>
      <c r="C5447" s="12"/>
      <c r="D5447" s="12"/>
      <c r="E5447" s="13"/>
    </row>
    <row r="5448" spans="1:5" x14ac:dyDescent="0.35">
      <c r="A5448" s="6"/>
      <c r="B5448" s="7"/>
      <c r="C5448" s="8"/>
      <c r="D5448" s="8"/>
      <c r="E5448" s="9"/>
    </row>
    <row r="5449" spans="1:5" x14ac:dyDescent="0.35">
      <c r="A5449" s="10"/>
      <c r="B5449" s="11"/>
      <c r="C5449" s="12"/>
      <c r="D5449" s="12"/>
      <c r="E5449" s="13"/>
    </row>
    <row r="5450" spans="1:5" x14ac:dyDescent="0.35">
      <c r="A5450" s="6"/>
      <c r="B5450" s="7"/>
      <c r="C5450" s="8"/>
      <c r="D5450" s="8"/>
      <c r="E5450" s="9"/>
    </row>
    <row r="5451" spans="1:5" x14ac:dyDescent="0.35">
      <c r="A5451" s="10"/>
      <c r="B5451" s="11"/>
      <c r="C5451" s="12"/>
      <c r="D5451" s="12"/>
      <c r="E5451" s="13"/>
    </row>
    <row r="5452" spans="1:5" x14ac:dyDescent="0.35">
      <c r="A5452" s="6"/>
      <c r="B5452" s="7"/>
      <c r="C5452" s="8"/>
      <c r="D5452" s="8"/>
      <c r="E5452" s="9"/>
    </row>
    <row r="5453" spans="1:5" x14ac:dyDescent="0.35">
      <c r="A5453" s="10"/>
      <c r="B5453" s="11"/>
      <c r="C5453" s="12"/>
      <c r="D5453" s="12"/>
      <c r="E5453" s="13"/>
    </row>
    <row r="5454" spans="1:5" x14ac:dyDescent="0.35">
      <c r="A5454" s="6"/>
      <c r="B5454" s="7"/>
      <c r="C5454" s="8"/>
      <c r="D5454" s="8"/>
      <c r="E5454" s="9"/>
    </row>
    <row r="5455" spans="1:5" x14ac:dyDescent="0.35">
      <c r="A5455" s="10"/>
      <c r="B5455" s="11"/>
      <c r="C5455" s="12"/>
      <c r="D5455" s="12"/>
      <c r="E5455" s="13"/>
    </row>
    <row r="5456" spans="1:5" x14ac:dyDescent="0.35">
      <c r="A5456" s="6"/>
      <c r="B5456" s="7"/>
      <c r="C5456" s="8"/>
      <c r="D5456" s="8"/>
      <c r="E5456" s="9"/>
    </row>
    <row r="5457" spans="1:5" x14ac:dyDescent="0.35">
      <c r="A5457" s="10"/>
      <c r="B5457" s="11"/>
      <c r="C5457" s="12"/>
      <c r="D5457" s="12"/>
      <c r="E5457" s="13"/>
    </row>
    <row r="5458" spans="1:5" x14ac:dyDescent="0.35">
      <c r="A5458" s="6"/>
      <c r="B5458" s="7"/>
      <c r="C5458" s="8"/>
      <c r="D5458" s="8"/>
      <c r="E5458" s="9"/>
    </row>
    <row r="5459" spans="1:5" x14ac:dyDescent="0.35">
      <c r="A5459" s="10"/>
      <c r="B5459" s="11"/>
      <c r="C5459" s="12"/>
      <c r="D5459" s="12"/>
      <c r="E5459" s="13"/>
    </row>
    <row r="5460" spans="1:5" x14ac:dyDescent="0.35">
      <c r="A5460" s="6"/>
      <c r="B5460" s="7"/>
      <c r="C5460" s="8"/>
      <c r="D5460" s="8"/>
      <c r="E5460" s="9"/>
    </row>
    <row r="5461" spans="1:5" x14ac:dyDescent="0.35">
      <c r="A5461" s="10"/>
      <c r="B5461" s="11"/>
      <c r="C5461" s="12"/>
      <c r="D5461" s="12"/>
      <c r="E5461" s="13"/>
    </row>
    <row r="5462" spans="1:5" x14ac:dyDescent="0.35">
      <c r="A5462" s="6"/>
      <c r="B5462" s="7"/>
      <c r="C5462" s="8"/>
      <c r="D5462" s="8"/>
      <c r="E5462" s="9"/>
    </row>
    <row r="5463" spans="1:5" x14ac:dyDescent="0.35">
      <c r="A5463" s="10"/>
      <c r="B5463" s="11"/>
      <c r="C5463" s="12"/>
      <c r="D5463" s="12"/>
      <c r="E5463" s="13"/>
    </row>
    <row r="5464" spans="1:5" x14ac:dyDescent="0.35">
      <c r="A5464" s="6"/>
      <c r="B5464" s="7"/>
      <c r="C5464" s="8"/>
      <c r="D5464" s="8"/>
      <c r="E5464" s="9"/>
    </row>
    <row r="5465" spans="1:5" x14ac:dyDescent="0.35">
      <c r="A5465" s="10"/>
      <c r="B5465" s="11"/>
      <c r="C5465" s="12"/>
      <c r="D5465" s="12"/>
      <c r="E5465" s="13"/>
    </row>
    <row r="5466" spans="1:5" x14ac:dyDescent="0.35">
      <c r="A5466" s="6"/>
      <c r="B5466" s="7"/>
      <c r="C5466" s="8"/>
      <c r="D5466" s="8"/>
      <c r="E5466" s="9"/>
    </row>
    <row r="5467" spans="1:5" x14ac:dyDescent="0.35">
      <c r="A5467" s="10"/>
      <c r="B5467" s="11"/>
      <c r="C5467" s="12"/>
      <c r="D5467" s="12"/>
      <c r="E5467" s="13"/>
    </row>
    <row r="5468" spans="1:5" x14ac:dyDescent="0.35">
      <c r="A5468" s="6"/>
      <c r="B5468" s="7"/>
      <c r="C5468" s="8"/>
      <c r="D5468" s="8"/>
      <c r="E5468" s="9"/>
    </row>
    <row r="5469" spans="1:5" x14ac:dyDescent="0.35">
      <c r="A5469" s="10"/>
      <c r="B5469" s="11"/>
      <c r="C5469" s="12"/>
      <c r="D5469" s="12"/>
      <c r="E5469" s="13"/>
    </row>
    <row r="5470" spans="1:5" x14ac:dyDescent="0.35">
      <c r="A5470" s="6"/>
      <c r="B5470" s="7"/>
      <c r="C5470" s="8"/>
      <c r="D5470" s="8"/>
      <c r="E5470" s="9"/>
    </row>
    <row r="5471" spans="1:5" x14ac:dyDescent="0.35">
      <c r="A5471" s="10"/>
      <c r="B5471" s="11"/>
      <c r="C5471" s="12"/>
      <c r="D5471" s="12"/>
      <c r="E5471" s="13"/>
    </row>
    <row r="5472" spans="1:5" x14ac:dyDescent="0.35">
      <c r="A5472" s="6"/>
      <c r="B5472" s="7"/>
      <c r="C5472" s="8"/>
      <c r="D5472" s="8"/>
      <c r="E5472" s="9"/>
    </row>
    <row r="5473" spans="1:5" x14ac:dyDescent="0.35">
      <c r="A5473" s="10"/>
      <c r="B5473" s="11"/>
      <c r="C5473" s="12"/>
      <c r="D5473" s="12"/>
      <c r="E5473" s="13"/>
    </row>
    <row r="5474" spans="1:5" x14ac:dyDescent="0.35">
      <c r="A5474" s="6"/>
      <c r="B5474" s="7"/>
      <c r="C5474" s="8"/>
      <c r="D5474" s="8"/>
      <c r="E5474" s="9"/>
    </row>
    <row r="5475" spans="1:5" x14ac:dyDescent="0.35">
      <c r="A5475" s="10"/>
      <c r="B5475" s="11"/>
      <c r="C5475" s="12"/>
      <c r="D5475" s="12"/>
      <c r="E5475" s="13"/>
    </row>
    <row r="5476" spans="1:5" x14ac:dyDescent="0.35">
      <c r="A5476" s="6"/>
      <c r="B5476" s="7"/>
      <c r="C5476" s="8"/>
      <c r="D5476" s="8"/>
      <c r="E5476" s="9"/>
    </row>
    <row r="5477" spans="1:5" x14ac:dyDescent="0.35">
      <c r="A5477" s="10"/>
      <c r="B5477" s="11"/>
      <c r="C5477" s="12"/>
      <c r="D5477" s="12"/>
      <c r="E5477" s="13"/>
    </row>
    <row r="5478" spans="1:5" x14ac:dyDescent="0.35">
      <c r="A5478" s="6"/>
      <c r="B5478" s="7"/>
      <c r="C5478" s="8"/>
      <c r="D5478" s="8"/>
      <c r="E5478" s="9"/>
    </row>
    <row r="5479" spans="1:5" x14ac:dyDescent="0.35">
      <c r="A5479" s="10"/>
      <c r="B5479" s="11"/>
      <c r="C5479" s="12"/>
      <c r="D5479" s="12"/>
      <c r="E5479" s="13"/>
    </row>
    <row r="5480" spans="1:5" x14ac:dyDescent="0.35">
      <c r="A5480" s="6"/>
      <c r="B5480" s="7"/>
      <c r="C5480" s="8"/>
      <c r="D5480" s="8"/>
      <c r="E5480" s="9"/>
    </row>
    <row r="5481" spans="1:5" x14ac:dyDescent="0.35">
      <c r="A5481" s="10"/>
      <c r="B5481" s="11"/>
      <c r="C5481" s="12"/>
      <c r="D5481" s="12"/>
      <c r="E5481" s="13"/>
    </row>
    <row r="5482" spans="1:5" x14ac:dyDescent="0.35">
      <c r="A5482" s="6"/>
      <c r="B5482" s="7"/>
      <c r="C5482" s="8"/>
      <c r="D5482" s="8"/>
      <c r="E5482" s="9"/>
    </row>
    <row r="5483" spans="1:5" x14ac:dyDescent="0.35">
      <c r="A5483" s="10"/>
      <c r="B5483" s="11"/>
      <c r="C5483" s="12"/>
      <c r="D5483" s="12"/>
      <c r="E5483" s="13"/>
    </row>
    <row r="5484" spans="1:5" x14ac:dyDescent="0.35">
      <c r="A5484" s="6"/>
      <c r="B5484" s="7"/>
      <c r="C5484" s="8"/>
      <c r="D5484" s="8"/>
      <c r="E5484" s="9"/>
    </row>
    <row r="5485" spans="1:5" x14ac:dyDescent="0.35">
      <c r="A5485" s="10"/>
      <c r="B5485" s="11"/>
      <c r="C5485" s="12"/>
      <c r="D5485" s="12"/>
      <c r="E5485" s="13"/>
    </row>
    <row r="5486" spans="1:5" x14ac:dyDescent="0.35">
      <c r="A5486" s="6"/>
      <c r="B5486" s="7"/>
      <c r="C5486" s="8"/>
      <c r="D5486" s="8"/>
      <c r="E5486" s="9"/>
    </row>
    <row r="5487" spans="1:5" x14ac:dyDescent="0.35">
      <c r="A5487" s="10"/>
      <c r="B5487" s="11"/>
      <c r="C5487" s="12"/>
      <c r="D5487" s="12"/>
      <c r="E5487" s="13"/>
    </row>
    <row r="5488" spans="1:5" x14ac:dyDescent="0.35">
      <c r="A5488" s="6"/>
      <c r="B5488" s="7"/>
      <c r="C5488" s="8"/>
      <c r="D5488" s="8"/>
      <c r="E5488" s="9"/>
    </row>
    <row r="5489" spans="1:5" x14ac:dyDescent="0.35">
      <c r="A5489" s="10"/>
      <c r="B5489" s="11"/>
      <c r="C5489" s="12"/>
      <c r="D5489" s="12"/>
      <c r="E5489" s="13"/>
    </row>
    <row r="5490" spans="1:5" x14ac:dyDescent="0.35">
      <c r="A5490" s="6"/>
      <c r="B5490" s="7"/>
      <c r="C5490" s="8"/>
      <c r="D5490" s="8"/>
      <c r="E5490" s="9"/>
    </row>
    <row r="5491" spans="1:5" x14ac:dyDescent="0.35">
      <c r="A5491" s="10"/>
      <c r="B5491" s="11"/>
      <c r="C5491" s="12"/>
      <c r="D5491" s="12"/>
      <c r="E5491" s="13"/>
    </row>
    <row r="5492" spans="1:5" x14ac:dyDescent="0.35">
      <c r="A5492" s="6"/>
      <c r="B5492" s="7"/>
      <c r="C5492" s="8"/>
      <c r="D5492" s="8"/>
      <c r="E5492" s="9"/>
    </row>
    <row r="5493" spans="1:5" x14ac:dyDescent="0.35">
      <c r="A5493" s="10"/>
      <c r="B5493" s="11"/>
      <c r="C5493" s="12"/>
      <c r="D5493" s="12"/>
      <c r="E5493" s="13"/>
    </row>
    <row r="5494" spans="1:5" x14ac:dyDescent="0.35">
      <c r="A5494" s="6"/>
      <c r="B5494" s="7"/>
      <c r="C5494" s="8"/>
      <c r="D5494" s="8"/>
      <c r="E5494" s="9"/>
    </row>
    <row r="5495" spans="1:5" x14ac:dyDescent="0.35">
      <c r="A5495" s="10"/>
      <c r="B5495" s="11"/>
      <c r="C5495" s="12"/>
      <c r="D5495" s="12"/>
      <c r="E5495" s="13"/>
    </row>
    <row r="5496" spans="1:5" x14ac:dyDescent="0.35">
      <c r="A5496" s="6"/>
      <c r="B5496" s="7"/>
      <c r="C5496" s="8"/>
      <c r="D5496" s="8"/>
      <c r="E5496" s="9"/>
    </row>
    <row r="5497" spans="1:5" x14ac:dyDescent="0.35">
      <c r="A5497" s="10"/>
      <c r="B5497" s="11"/>
      <c r="C5497" s="12"/>
      <c r="D5497" s="12"/>
      <c r="E5497" s="13"/>
    </row>
    <row r="5498" spans="1:5" x14ac:dyDescent="0.35">
      <c r="A5498" s="6"/>
      <c r="B5498" s="7"/>
      <c r="C5498" s="8"/>
      <c r="D5498" s="8"/>
      <c r="E5498" s="9"/>
    </row>
    <row r="5499" spans="1:5" x14ac:dyDescent="0.35">
      <c r="A5499" s="10"/>
      <c r="B5499" s="11"/>
      <c r="C5499" s="12"/>
      <c r="D5499" s="12"/>
      <c r="E5499" s="13"/>
    </row>
    <row r="5500" spans="1:5" x14ac:dyDescent="0.35">
      <c r="A5500" s="6"/>
      <c r="B5500" s="7"/>
      <c r="C5500" s="8"/>
      <c r="D5500" s="8"/>
      <c r="E5500" s="9"/>
    </row>
    <row r="5501" spans="1:5" x14ac:dyDescent="0.35">
      <c r="A5501" s="10"/>
      <c r="B5501" s="11"/>
      <c r="C5501" s="12"/>
      <c r="D5501" s="12"/>
      <c r="E5501" s="13"/>
    </row>
    <row r="5502" spans="1:5" x14ac:dyDescent="0.35">
      <c r="A5502" s="6"/>
      <c r="B5502" s="7"/>
      <c r="C5502" s="8"/>
      <c r="D5502" s="8"/>
      <c r="E5502" s="9"/>
    </row>
    <row r="5503" spans="1:5" x14ac:dyDescent="0.35">
      <c r="A5503" s="10"/>
      <c r="B5503" s="11"/>
      <c r="C5503" s="12"/>
      <c r="D5503" s="12"/>
      <c r="E5503" s="13"/>
    </row>
    <row r="5504" spans="1:5" x14ac:dyDescent="0.35">
      <c r="A5504" s="6"/>
      <c r="B5504" s="7"/>
      <c r="C5504" s="8"/>
      <c r="D5504" s="8"/>
      <c r="E5504" s="9"/>
    </row>
    <row r="5505" spans="1:5" x14ac:dyDescent="0.35">
      <c r="A5505" s="10"/>
      <c r="B5505" s="11"/>
      <c r="C5505" s="12"/>
      <c r="D5505" s="12"/>
      <c r="E5505" s="13"/>
    </row>
    <row r="5506" spans="1:5" x14ac:dyDescent="0.35">
      <c r="A5506" s="6"/>
      <c r="B5506" s="7"/>
      <c r="C5506" s="8"/>
      <c r="D5506" s="8"/>
      <c r="E5506" s="9"/>
    </row>
    <row r="5507" spans="1:5" x14ac:dyDescent="0.35">
      <c r="A5507" s="10"/>
      <c r="B5507" s="11"/>
      <c r="C5507" s="12"/>
      <c r="D5507" s="12"/>
      <c r="E5507" s="13"/>
    </row>
    <row r="5508" spans="1:5" x14ac:dyDescent="0.35">
      <c r="A5508" s="6"/>
      <c r="B5508" s="7"/>
      <c r="C5508" s="8"/>
      <c r="D5508" s="8"/>
      <c r="E5508" s="9"/>
    </row>
    <row r="5509" spans="1:5" x14ac:dyDescent="0.35">
      <c r="A5509" s="10"/>
      <c r="B5509" s="11"/>
      <c r="C5509" s="12"/>
      <c r="D5509" s="12"/>
      <c r="E5509" s="13"/>
    </row>
    <row r="5510" spans="1:5" x14ac:dyDescent="0.35">
      <c r="A5510" s="6"/>
      <c r="B5510" s="7"/>
      <c r="C5510" s="8"/>
      <c r="D5510" s="8"/>
      <c r="E5510" s="9"/>
    </row>
    <row r="5511" spans="1:5" x14ac:dyDescent="0.35">
      <c r="A5511" s="10"/>
      <c r="B5511" s="11"/>
      <c r="C5511" s="12"/>
      <c r="D5511" s="12"/>
      <c r="E5511" s="13"/>
    </row>
    <row r="5512" spans="1:5" x14ac:dyDescent="0.35">
      <c r="A5512" s="6"/>
      <c r="B5512" s="7"/>
      <c r="C5512" s="8"/>
      <c r="D5512" s="8"/>
      <c r="E5512" s="9"/>
    </row>
    <row r="5513" spans="1:5" x14ac:dyDescent="0.35">
      <c r="A5513" s="10"/>
      <c r="B5513" s="11"/>
      <c r="C5513" s="12"/>
      <c r="D5513" s="12"/>
      <c r="E5513" s="13"/>
    </row>
    <row r="5514" spans="1:5" x14ac:dyDescent="0.35">
      <c r="A5514" s="6"/>
      <c r="B5514" s="7"/>
      <c r="C5514" s="8"/>
      <c r="D5514" s="8"/>
      <c r="E5514" s="9"/>
    </row>
    <row r="5515" spans="1:5" x14ac:dyDescent="0.35">
      <c r="A5515" s="10"/>
      <c r="B5515" s="11"/>
      <c r="C5515" s="12"/>
      <c r="D5515" s="12"/>
      <c r="E5515" s="13"/>
    </row>
    <row r="5516" spans="1:5" x14ac:dyDescent="0.35">
      <c r="A5516" s="6"/>
      <c r="B5516" s="7"/>
      <c r="C5516" s="8"/>
      <c r="D5516" s="8"/>
      <c r="E5516" s="9"/>
    </row>
    <row r="5517" spans="1:5" x14ac:dyDescent="0.35">
      <c r="A5517" s="10"/>
      <c r="B5517" s="11"/>
      <c r="C5517" s="12"/>
      <c r="D5517" s="12"/>
      <c r="E5517" s="13"/>
    </row>
    <row r="5518" spans="1:5" x14ac:dyDescent="0.35">
      <c r="A5518" s="6"/>
      <c r="B5518" s="7"/>
      <c r="C5518" s="8"/>
      <c r="D5518" s="8"/>
      <c r="E5518" s="9"/>
    </row>
    <row r="5519" spans="1:5" x14ac:dyDescent="0.35">
      <c r="A5519" s="10"/>
      <c r="B5519" s="11"/>
      <c r="C5519" s="12"/>
      <c r="D5519" s="12"/>
      <c r="E5519" s="13"/>
    </row>
    <row r="5520" spans="1:5" x14ac:dyDescent="0.35">
      <c r="A5520" s="6"/>
      <c r="B5520" s="7"/>
      <c r="C5520" s="8"/>
      <c r="D5520" s="8"/>
      <c r="E5520" s="9"/>
    </row>
    <row r="5521" spans="1:5" x14ac:dyDescent="0.35">
      <c r="A5521" s="10"/>
      <c r="B5521" s="11"/>
      <c r="C5521" s="12"/>
      <c r="D5521" s="12"/>
      <c r="E5521" s="13"/>
    </row>
    <row r="5522" spans="1:5" x14ac:dyDescent="0.35">
      <c r="A5522" s="6"/>
      <c r="B5522" s="7"/>
      <c r="C5522" s="8"/>
      <c r="D5522" s="8"/>
      <c r="E5522" s="9"/>
    </row>
    <row r="5523" spans="1:5" x14ac:dyDescent="0.35">
      <c r="A5523" s="10"/>
      <c r="B5523" s="11"/>
      <c r="C5523" s="12"/>
      <c r="D5523" s="12"/>
      <c r="E5523" s="13"/>
    </row>
    <row r="5524" spans="1:5" x14ac:dyDescent="0.35">
      <c r="A5524" s="6"/>
      <c r="B5524" s="7"/>
      <c r="C5524" s="8"/>
      <c r="D5524" s="8"/>
      <c r="E5524" s="9"/>
    </row>
    <row r="5525" spans="1:5" x14ac:dyDescent="0.35">
      <c r="A5525" s="10"/>
      <c r="B5525" s="11"/>
      <c r="C5525" s="12"/>
      <c r="D5525" s="12"/>
      <c r="E5525" s="13"/>
    </row>
    <row r="5526" spans="1:5" x14ac:dyDescent="0.35">
      <c r="A5526" s="6"/>
      <c r="B5526" s="7"/>
      <c r="C5526" s="8"/>
      <c r="D5526" s="8"/>
      <c r="E5526" s="9"/>
    </row>
    <row r="5527" spans="1:5" x14ac:dyDescent="0.35">
      <c r="A5527" s="10"/>
      <c r="B5527" s="11"/>
      <c r="C5527" s="12"/>
      <c r="D5527" s="12"/>
      <c r="E5527" s="13"/>
    </row>
    <row r="5528" spans="1:5" x14ac:dyDescent="0.35">
      <c r="A5528" s="6"/>
      <c r="B5528" s="7"/>
      <c r="C5528" s="8"/>
      <c r="D5528" s="8"/>
      <c r="E5528" s="9"/>
    </row>
    <row r="5529" spans="1:5" x14ac:dyDescent="0.35">
      <c r="A5529" s="10"/>
      <c r="B5529" s="11"/>
      <c r="C5529" s="12"/>
      <c r="D5529" s="12"/>
      <c r="E5529" s="13"/>
    </row>
    <row r="5530" spans="1:5" x14ac:dyDescent="0.35">
      <c r="A5530" s="6"/>
      <c r="B5530" s="7"/>
      <c r="C5530" s="8"/>
      <c r="D5530" s="8"/>
      <c r="E5530" s="9"/>
    </row>
    <row r="5531" spans="1:5" x14ac:dyDescent="0.35">
      <c r="A5531" s="10"/>
      <c r="B5531" s="11"/>
      <c r="C5531" s="12"/>
      <c r="D5531" s="12"/>
      <c r="E5531" s="13"/>
    </row>
    <row r="5532" spans="1:5" x14ac:dyDescent="0.35">
      <c r="A5532" s="6"/>
      <c r="B5532" s="7"/>
      <c r="C5532" s="8"/>
      <c r="D5532" s="8"/>
      <c r="E5532" s="9"/>
    </row>
    <row r="5533" spans="1:5" x14ac:dyDescent="0.35">
      <c r="A5533" s="10"/>
      <c r="B5533" s="11"/>
      <c r="C5533" s="12"/>
      <c r="D5533" s="12"/>
      <c r="E5533" s="13"/>
    </row>
    <row r="5534" spans="1:5" x14ac:dyDescent="0.35">
      <c r="A5534" s="6"/>
      <c r="B5534" s="7"/>
      <c r="C5534" s="8"/>
      <c r="D5534" s="8"/>
      <c r="E5534" s="9"/>
    </row>
    <row r="5535" spans="1:5" x14ac:dyDescent="0.35">
      <c r="A5535" s="10"/>
      <c r="B5535" s="11"/>
      <c r="C5535" s="12"/>
      <c r="D5535" s="12"/>
      <c r="E5535" s="13"/>
    </row>
    <row r="5536" spans="1:5" x14ac:dyDescent="0.35">
      <c r="A5536" s="6"/>
      <c r="B5536" s="7"/>
      <c r="C5536" s="8"/>
      <c r="D5536" s="8"/>
      <c r="E5536" s="9"/>
    </row>
    <row r="5537" spans="1:5" x14ac:dyDescent="0.35">
      <c r="A5537" s="10"/>
      <c r="B5537" s="11"/>
      <c r="C5537" s="12"/>
      <c r="D5537" s="12"/>
      <c r="E5537" s="13"/>
    </row>
    <row r="5538" spans="1:5" x14ac:dyDescent="0.35">
      <c r="A5538" s="6"/>
      <c r="B5538" s="7"/>
      <c r="C5538" s="8"/>
      <c r="D5538" s="8"/>
      <c r="E5538" s="9"/>
    </row>
    <row r="5539" spans="1:5" x14ac:dyDescent="0.35">
      <c r="A5539" s="10"/>
      <c r="B5539" s="11"/>
      <c r="C5539" s="12"/>
      <c r="D5539" s="12"/>
      <c r="E5539" s="13"/>
    </row>
    <row r="5540" spans="1:5" x14ac:dyDescent="0.35">
      <c r="A5540" s="6"/>
      <c r="B5540" s="7"/>
      <c r="C5540" s="8"/>
      <c r="D5540" s="8"/>
      <c r="E5540" s="9"/>
    </row>
    <row r="5541" spans="1:5" x14ac:dyDescent="0.35">
      <c r="A5541" s="10"/>
      <c r="B5541" s="11"/>
      <c r="C5541" s="12"/>
      <c r="D5541" s="12"/>
      <c r="E5541" s="13"/>
    </row>
    <row r="5542" spans="1:5" x14ac:dyDescent="0.35">
      <c r="A5542" s="6"/>
      <c r="B5542" s="7"/>
      <c r="C5542" s="8"/>
      <c r="D5542" s="8"/>
      <c r="E5542" s="9"/>
    </row>
    <row r="5543" spans="1:5" x14ac:dyDescent="0.35">
      <c r="A5543" s="10"/>
      <c r="B5543" s="11"/>
      <c r="C5543" s="12"/>
      <c r="D5543" s="12"/>
      <c r="E5543" s="13"/>
    </row>
    <row r="5544" spans="1:5" x14ac:dyDescent="0.35">
      <c r="A5544" s="6"/>
      <c r="B5544" s="7"/>
      <c r="C5544" s="8"/>
      <c r="D5544" s="8"/>
      <c r="E5544" s="9"/>
    </row>
    <row r="5545" spans="1:5" x14ac:dyDescent="0.35">
      <c r="A5545" s="10"/>
      <c r="B5545" s="11"/>
      <c r="C5545" s="12"/>
      <c r="D5545" s="12"/>
      <c r="E5545" s="13"/>
    </row>
    <row r="5546" spans="1:5" x14ac:dyDescent="0.35">
      <c r="A5546" s="6"/>
      <c r="B5546" s="7"/>
      <c r="C5546" s="8"/>
      <c r="D5546" s="8"/>
      <c r="E5546" s="9"/>
    </row>
    <row r="5547" spans="1:5" x14ac:dyDescent="0.35">
      <c r="A5547" s="10"/>
      <c r="B5547" s="11"/>
      <c r="C5547" s="12"/>
      <c r="D5547" s="12"/>
      <c r="E5547" s="13"/>
    </row>
    <row r="5548" spans="1:5" x14ac:dyDescent="0.35">
      <c r="A5548" s="6"/>
      <c r="B5548" s="7"/>
      <c r="C5548" s="8"/>
      <c r="D5548" s="8"/>
      <c r="E5548" s="9"/>
    </row>
    <row r="5549" spans="1:5" x14ac:dyDescent="0.35">
      <c r="A5549" s="10"/>
      <c r="B5549" s="11"/>
      <c r="C5549" s="12"/>
      <c r="D5549" s="12"/>
      <c r="E5549" s="13"/>
    </row>
    <row r="5550" spans="1:5" x14ac:dyDescent="0.35">
      <c r="A5550" s="6"/>
      <c r="B5550" s="7"/>
      <c r="C5550" s="8"/>
      <c r="D5550" s="8"/>
      <c r="E5550" s="9"/>
    </row>
    <row r="5551" spans="1:5" x14ac:dyDescent="0.35">
      <c r="A5551" s="10"/>
      <c r="B5551" s="11"/>
      <c r="C5551" s="12"/>
      <c r="D5551" s="12"/>
      <c r="E5551" s="13"/>
    </row>
    <row r="5552" spans="1:5" x14ac:dyDescent="0.35">
      <c r="A5552" s="6"/>
      <c r="B5552" s="7"/>
      <c r="C5552" s="8"/>
      <c r="D5552" s="8"/>
      <c r="E5552" s="9"/>
    </row>
    <row r="5553" spans="1:5" x14ac:dyDescent="0.35">
      <c r="A5553" s="10"/>
      <c r="B5553" s="11"/>
      <c r="C5553" s="12"/>
      <c r="D5553" s="12"/>
      <c r="E5553" s="13"/>
    </row>
    <row r="5554" spans="1:5" x14ac:dyDescent="0.35">
      <c r="A5554" s="6"/>
      <c r="B5554" s="7"/>
      <c r="C5554" s="8"/>
      <c r="D5554" s="8"/>
      <c r="E5554" s="9"/>
    </row>
    <row r="5555" spans="1:5" x14ac:dyDescent="0.35">
      <c r="A5555" s="10"/>
      <c r="B5555" s="11"/>
      <c r="C5555" s="12"/>
      <c r="D5555" s="12"/>
      <c r="E5555" s="13"/>
    </row>
    <row r="5556" spans="1:5" x14ac:dyDescent="0.35">
      <c r="A5556" s="6"/>
      <c r="B5556" s="7"/>
      <c r="C5556" s="8"/>
      <c r="D5556" s="8"/>
      <c r="E5556" s="9"/>
    </row>
    <row r="5557" spans="1:5" x14ac:dyDescent="0.35">
      <c r="A5557" s="10"/>
      <c r="B5557" s="11"/>
      <c r="C5557" s="12"/>
      <c r="D5557" s="12"/>
      <c r="E5557" s="13"/>
    </row>
    <row r="5558" spans="1:5" x14ac:dyDescent="0.35">
      <c r="A5558" s="6"/>
      <c r="B5558" s="7"/>
      <c r="C5558" s="8"/>
      <c r="D5558" s="8"/>
      <c r="E5558" s="9"/>
    </row>
    <row r="5559" spans="1:5" x14ac:dyDescent="0.35">
      <c r="A5559" s="10"/>
      <c r="B5559" s="11"/>
      <c r="C5559" s="12"/>
      <c r="D5559" s="12"/>
      <c r="E5559" s="13"/>
    </row>
    <row r="5560" spans="1:5" x14ac:dyDescent="0.35">
      <c r="A5560" s="6"/>
      <c r="B5560" s="7"/>
      <c r="C5560" s="8"/>
      <c r="D5560" s="8"/>
      <c r="E5560" s="9"/>
    </row>
    <row r="5561" spans="1:5" x14ac:dyDescent="0.35">
      <c r="A5561" s="10"/>
      <c r="B5561" s="11"/>
      <c r="C5561" s="12"/>
      <c r="D5561" s="12"/>
      <c r="E5561" s="13"/>
    </row>
    <row r="5562" spans="1:5" x14ac:dyDescent="0.35">
      <c r="A5562" s="6"/>
      <c r="B5562" s="7"/>
      <c r="C5562" s="8"/>
      <c r="D5562" s="8"/>
      <c r="E5562" s="9"/>
    </row>
    <row r="5563" spans="1:5" x14ac:dyDescent="0.35">
      <c r="A5563" s="10"/>
      <c r="B5563" s="11"/>
      <c r="C5563" s="12"/>
      <c r="D5563" s="12"/>
      <c r="E5563" s="13"/>
    </row>
    <row r="5564" spans="1:5" x14ac:dyDescent="0.35">
      <c r="A5564" s="6"/>
      <c r="B5564" s="7"/>
      <c r="C5564" s="8"/>
      <c r="D5564" s="8"/>
      <c r="E5564" s="9"/>
    </row>
    <row r="5565" spans="1:5" x14ac:dyDescent="0.35">
      <c r="A5565" s="10"/>
      <c r="B5565" s="11"/>
      <c r="C5565" s="12"/>
      <c r="D5565" s="12"/>
      <c r="E5565" s="13"/>
    </row>
    <row r="5566" spans="1:5" x14ac:dyDescent="0.35">
      <c r="A5566" s="6"/>
      <c r="B5566" s="7"/>
      <c r="C5566" s="8"/>
      <c r="D5566" s="8"/>
      <c r="E5566" s="9"/>
    </row>
    <row r="5567" spans="1:5" x14ac:dyDescent="0.35">
      <c r="A5567" s="10"/>
      <c r="B5567" s="11"/>
      <c r="C5567" s="12"/>
      <c r="D5567" s="12"/>
      <c r="E5567" s="13"/>
    </row>
    <row r="5568" spans="1:5" x14ac:dyDescent="0.35">
      <c r="A5568" s="6"/>
      <c r="B5568" s="7"/>
      <c r="C5568" s="8"/>
      <c r="D5568" s="8"/>
      <c r="E5568" s="9"/>
    </row>
    <row r="5569" spans="1:5" x14ac:dyDescent="0.35">
      <c r="A5569" s="10"/>
      <c r="B5569" s="11"/>
      <c r="C5569" s="12"/>
      <c r="D5569" s="12"/>
      <c r="E5569" s="13"/>
    </row>
    <row r="5570" spans="1:5" x14ac:dyDescent="0.35">
      <c r="A5570" s="6"/>
      <c r="B5570" s="7"/>
      <c r="C5570" s="8"/>
      <c r="D5570" s="8"/>
      <c r="E5570" s="9"/>
    </row>
    <row r="5571" spans="1:5" x14ac:dyDescent="0.35">
      <c r="A5571" s="10"/>
      <c r="B5571" s="11"/>
      <c r="C5571" s="12"/>
      <c r="D5571" s="12"/>
      <c r="E5571" s="13"/>
    </row>
    <row r="5572" spans="1:5" x14ac:dyDescent="0.35">
      <c r="A5572" s="6"/>
      <c r="B5572" s="7"/>
      <c r="C5572" s="8"/>
      <c r="D5572" s="8"/>
      <c r="E5572" s="9"/>
    </row>
    <row r="5573" spans="1:5" x14ac:dyDescent="0.35">
      <c r="A5573" s="10"/>
      <c r="B5573" s="11"/>
      <c r="C5573" s="12"/>
      <c r="D5573" s="12"/>
      <c r="E5573" s="13"/>
    </row>
    <row r="5574" spans="1:5" x14ac:dyDescent="0.35">
      <c r="A5574" s="6"/>
      <c r="B5574" s="7"/>
      <c r="C5574" s="8"/>
      <c r="D5574" s="8"/>
      <c r="E5574" s="9"/>
    </row>
    <row r="5575" spans="1:5" x14ac:dyDescent="0.35">
      <c r="A5575" s="10"/>
      <c r="B5575" s="11"/>
      <c r="C5575" s="12"/>
      <c r="D5575" s="12"/>
      <c r="E5575" s="13"/>
    </row>
    <row r="5576" spans="1:5" x14ac:dyDescent="0.35">
      <c r="A5576" s="6"/>
      <c r="B5576" s="7"/>
      <c r="C5576" s="8"/>
      <c r="D5576" s="8"/>
      <c r="E5576" s="9"/>
    </row>
    <row r="5577" spans="1:5" x14ac:dyDescent="0.35">
      <c r="A5577" s="10"/>
      <c r="B5577" s="11"/>
      <c r="C5577" s="12"/>
      <c r="D5577" s="12"/>
      <c r="E5577" s="13"/>
    </row>
    <row r="5578" spans="1:5" x14ac:dyDescent="0.35">
      <c r="A5578" s="6"/>
      <c r="B5578" s="7"/>
      <c r="C5578" s="8"/>
      <c r="D5578" s="8"/>
      <c r="E5578" s="9"/>
    </row>
    <row r="5579" spans="1:5" x14ac:dyDescent="0.35">
      <c r="A5579" s="10"/>
      <c r="B5579" s="11"/>
      <c r="C5579" s="12"/>
      <c r="D5579" s="12"/>
      <c r="E5579" s="13"/>
    </row>
    <row r="5580" spans="1:5" x14ac:dyDescent="0.35">
      <c r="A5580" s="6"/>
      <c r="B5580" s="7"/>
      <c r="C5580" s="8"/>
      <c r="D5580" s="8"/>
      <c r="E5580" s="9"/>
    </row>
    <row r="5581" spans="1:5" x14ac:dyDescent="0.35">
      <c r="A5581" s="10"/>
      <c r="B5581" s="11"/>
      <c r="C5581" s="12"/>
      <c r="D5581" s="12"/>
      <c r="E5581" s="13"/>
    </row>
    <row r="5582" spans="1:5" x14ac:dyDescent="0.35">
      <c r="A5582" s="6"/>
      <c r="B5582" s="7"/>
      <c r="C5582" s="8"/>
      <c r="D5582" s="8"/>
      <c r="E5582" s="9"/>
    </row>
    <row r="5583" spans="1:5" x14ac:dyDescent="0.35">
      <c r="A5583" s="10"/>
      <c r="B5583" s="11"/>
      <c r="C5583" s="12"/>
      <c r="D5583" s="12"/>
      <c r="E5583" s="13"/>
    </row>
    <row r="5584" spans="1:5" x14ac:dyDescent="0.35">
      <c r="A5584" s="6"/>
      <c r="B5584" s="7"/>
      <c r="C5584" s="8"/>
      <c r="D5584" s="8"/>
      <c r="E5584" s="9"/>
    </row>
    <row r="5585" spans="1:5" x14ac:dyDescent="0.35">
      <c r="A5585" s="10"/>
      <c r="B5585" s="11"/>
      <c r="C5585" s="12"/>
      <c r="D5585" s="12"/>
      <c r="E5585" s="13"/>
    </row>
    <row r="5586" spans="1:5" x14ac:dyDescent="0.35">
      <c r="A5586" s="6"/>
      <c r="B5586" s="7"/>
      <c r="C5586" s="8"/>
      <c r="D5586" s="8"/>
      <c r="E5586" s="9"/>
    </row>
    <row r="5587" spans="1:5" x14ac:dyDescent="0.35">
      <c r="A5587" s="10"/>
      <c r="B5587" s="11"/>
      <c r="C5587" s="12"/>
      <c r="D5587" s="12"/>
      <c r="E5587" s="13"/>
    </row>
    <row r="5588" spans="1:5" x14ac:dyDescent="0.35">
      <c r="A5588" s="6"/>
      <c r="B5588" s="7"/>
      <c r="C5588" s="8"/>
      <c r="D5588" s="8"/>
      <c r="E5588" s="9"/>
    </row>
    <row r="5589" spans="1:5" x14ac:dyDescent="0.35">
      <c r="A5589" s="10"/>
      <c r="B5589" s="11"/>
      <c r="C5589" s="12"/>
      <c r="D5589" s="12"/>
      <c r="E5589" s="13"/>
    </row>
    <row r="5590" spans="1:5" x14ac:dyDescent="0.35">
      <c r="A5590" s="6"/>
      <c r="B5590" s="7"/>
      <c r="C5590" s="8"/>
      <c r="D5590" s="8"/>
      <c r="E5590" s="9"/>
    </row>
    <row r="5591" spans="1:5" x14ac:dyDescent="0.35">
      <c r="A5591" s="10"/>
      <c r="B5591" s="11"/>
      <c r="C5591" s="12"/>
      <c r="D5591" s="12"/>
      <c r="E5591" s="13"/>
    </row>
    <row r="5592" spans="1:5" x14ac:dyDescent="0.35">
      <c r="A5592" s="6"/>
      <c r="B5592" s="7"/>
      <c r="C5592" s="8"/>
      <c r="D5592" s="8"/>
      <c r="E5592" s="9"/>
    </row>
    <row r="5593" spans="1:5" x14ac:dyDescent="0.35">
      <c r="A5593" s="10"/>
      <c r="B5593" s="11"/>
      <c r="C5593" s="12"/>
      <c r="D5593" s="12"/>
      <c r="E5593" s="13"/>
    </row>
    <row r="5594" spans="1:5" x14ac:dyDescent="0.35">
      <c r="A5594" s="6"/>
      <c r="B5594" s="7"/>
      <c r="C5594" s="8"/>
      <c r="D5594" s="8"/>
      <c r="E5594" s="9"/>
    </row>
    <row r="5595" spans="1:5" x14ac:dyDescent="0.35">
      <c r="A5595" s="10"/>
      <c r="B5595" s="11"/>
      <c r="C5595" s="12"/>
      <c r="D5595" s="12"/>
      <c r="E5595" s="13"/>
    </row>
    <row r="5596" spans="1:5" x14ac:dyDescent="0.35">
      <c r="A5596" s="6"/>
      <c r="B5596" s="7"/>
      <c r="C5596" s="8"/>
      <c r="D5596" s="8"/>
      <c r="E5596" s="9"/>
    </row>
    <row r="5597" spans="1:5" x14ac:dyDescent="0.35">
      <c r="A5597" s="10"/>
      <c r="B5597" s="11"/>
      <c r="C5597" s="12"/>
      <c r="D5597" s="12"/>
      <c r="E5597" s="13"/>
    </row>
    <row r="5598" spans="1:5" x14ac:dyDescent="0.35">
      <c r="A5598" s="6"/>
      <c r="B5598" s="7"/>
      <c r="C5598" s="8"/>
      <c r="D5598" s="8"/>
      <c r="E5598" s="9"/>
    </row>
    <row r="5599" spans="1:5" x14ac:dyDescent="0.35">
      <c r="A5599" s="10"/>
      <c r="B5599" s="11"/>
      <c r="C5599" s="12"/>
      <c r="D5599" s="12"/>
      <c r="E5599" s="13"/>
    </row>
    <row r="5600" spans="1:5" x14ac:dyDescent="0.35">
      <c r="A5600" s="6"/>
      <c r="B5600" s="7"/>
      <c r="C5600" s="8"/>
      <c r="D5600" s="8"/>
      <c r="E5600" s="9"/>
    </row>
    <row r="5601" spans="1:5" x14ac:dyDescent="0.35">
      <c r="A5601" s="14"/>
      <c r="B5601" s="15"/>
      <c r="C5601" s="1"/>
      <c r="D5601" s="1"/>
      <c r="E560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A239F-90D6-4C98-8D76-88B87A191C1A}">
  <dimension ref="A1:G2201"/>
  <sheetViews>
    <sheetView topLeftCell="A2179" workbookViewId="0">
      <selection activeCell="C2" sqref="C2"/>
    </sheetView>
  </sheetViews>
  <sheetFormatPr baseColWidth="10" defaultRowHeight="14.5" x14ac:dyDescent="0.35"/>
  <cols>
    <col min="1" max="1" width="12.90625" bestFit="1" customWidth="1"/>
    <col min="2" max="2" width="15.08984375" bestFit="1" customWidth="1"/>
    <col min="3" max="3" width="15.26953125" bestFit="1" customWidth="1"/>
    <col min="4" max="4" width="7.26953125" bestFit="1" customWidth="1"/>
    <col min="5" max="5" width="6.36328125" bestFit="1" customWidth="1"/>
    <col min="6" max="6" width="20.453125" bestFit="1" customWidth="1"/>
  </cols>
  <sheetData>
    <row r="1" spans="1:7" x14ac:dyDescent="0.35">
      <c r="A1" s="3" t="s">
        <v>6135</v>
      </c>
      <c r="B1" s="4" t="s">
        <v>0</v>
      </c>
      <c r="C1" s="4" t="s">
        <v>6136</v>
      </c>
      <c r="D1" s="4" t="s">
        <v>6137</v>
      </c>
      <c r="E1" s="4" t="s">
        <v>6138</v>
      </c>
      <c r="F1" s="5" t="s">
        <v>6139</v>
      </c>
      <c r="G1" s="32" t="s">
        <v>8394</v>
      </c>
    </row>
    <row r="2" spans="1:7" x14ac:dyDescent="0.35">
      <c r="A2" s="6" t="s">
        <v>6140</v>
      </c>
      <c r="B2" s="8" t="s">
        <v>3952</v>
      </c>
      <c r="C2" s="7">
        <v>45779</v>
      </c>
      <c r="D2" s="8">
        <v>5</v>
      </c>
      <c r="E2" s="8"/>
      <c r="F2" s="9" t="s">
        <v>8363</v>
      </c>
      <c r="G2" t="str">
        <f>IFERROR(INDEX(Ticket!$B$2:$B$6001,MATCH(B2,Ticket!$A$2:$A$6001,0)),"Ticket introuvable")</f>
        <v>AG-016</v>
      </c>
    </row>
    <row r="3" spans="1:7" x14ac:dyDescent="0.35">
      <c r="A3" s="10" t="s">
        <v>6141</v>
      </c>
      <c r="B3" s="12" t="s">
        <v>321</v>
      </c>
      <c r="C3" s="11">
        <v>45963</v>
      </c>
      <c r="D3" s="12">
        <v>4</v>
      </c>
      <c r="E3" s="12">
        <v>10</v>
      </c>
      <c r="F3" s="13" t="s">
        <v>6142</v>
      </c>
      <c r="G3" t="str">
        <f>IFERROR(INDEX(Ticket!$B$2:$B$6001,MATCH(B3,Ticket!$A$2:$A$6001,0)),"Ticket introuvable")</f>
        <v>AG-026</v>
      </c>
    </row>
    <row r="4" spans="1:7" x14ac:dyDescent="0.35">
      <c r="A4" s="6" t="s">
        <v>6143</v>
      </c>
      <c r="B4" s="8" t="s">
        <v>1908</v>
      </c>
      <c r="C4" s="7">
        <v>45957</v>
      </c>
      <c r="D4" s="8">
        <v>4</v>
      </c>
      <c r="E4" s="8">
        <v>10</v>
      </c>
      <c r="F4" s="9" t="s">
        <v>8363</v>
      </c>
      <c r="G4" t="str">
        <f>IFERROR(INDEX(Ticket!$B$2:$B$6001,MATCH(B4,Ticket!$A$2:$A$6001,0)),"Ticket introuvable")</f>
        <v>AG-006</v>
      </c>
    </row>
    <row r="5" spans="1:7" x14ac:dyDescent="0.35">
      <c r="A5" s="10" t="s">
        <v>6144</v>
      </c>
      <c r="B5" s="12" t="s">
        <v>1616</v>
      </c>
      <c r="C5" s="11">
        <v>45660</v>
      </c>
      <c r="D5" s="12">
        <v>5</v>
      </c>
      <c r="E5" s="12">
        <v>10</v>
      </c>
      <c r="F5" s="13" t="s">
        <v>8363</v>
      </c>
      <c r="G5" t="str">
        <f>IFERROR(INDEX(Ticket!$B$2:$B$6001,MATCH(B5,Ticket!$A$2:$A$6001,0)),"Ticket introuvable")</f>
        <v>AG-008</v>
      </c>
    </row>
    <row r="6" spans="1:7" x14ac:dyDescent="0.35">
      <c r="A6" s="6" t="s">
        <v>6145</v>
      </c>
      <c r="B6" s="8" t="s">
        <v>739</v>
      </c>
      <c r="C6" s="7">
        <v>45961</v>
      </c>
      <c r="D6" s="8">
        <v>5</v>
      </c>
      <c r="E6" s="8">
        <v>7</v>
      </c>
      <c r="F6" s="9" t="s">
        <v>6142</v>
      </c>
      <c r="G6" t="str">
        <f>IFERROR(INDEX(Ticket!$B$2:$B$6001,MATCH(B6,Ticket!$A$2:$A$6001,0)),"Ticket introuvable")</f>
        <v>AG-008</v>
      </c>
    </row>
    <row r="7" spans="1:7" x14ac:dyDescent="0.35">
      <c r="A7" s="10" t="s">
        <v>6146</v>
      </c>
      <c r="B7" s="12" t="s">
        <v>1191</v>
      </c>
      <c r="C7" s="11">
        <v>45725</v>
      </c>
      <c r="D7" s="12">
        <v>5</v>
      </c>
      <c r="E7" s="12">
        <v>8</v>
      </c>
      <c r="F7" s="13" t="s">
        <v>75</v>
      </c>
      <c r="G7" t="str">
        <f>IFERROR(INDEX(Ticket!$B$2:$B$6001,MATCH(B7,Ticket!$A$2:$A$6001,0)),"Ticket introuvable")</f>
        <v>AG-011</v>
      </c>
    </row>
    <row r="8" spans="1:7" x14ac:dyDescent="0.35">
      <c r="A8" s="6" t="s">
        <v>6147</v>
      </c>
      <c r="B8" s="8" t="s">
        <v>1832</v>
      </c>
      <c r="C8" s="7">
        <v>45808</v>
      </c>
      <c r="D8" s="8">
        <v>2</v>
      </c>
      <c r="E8" s="8">
        <v>8</v>
      </c>
      <c r="F8" s="9" t="s">
        <v>6148</v>
      </c>
      <c r="G8" t="str">
        <f>IFERROR(INDEX(Ticket!$B$2:$B$6001,MATCH(B8,Ticket!$A$2:$A$6001,0)),"Ticket introuvable")</f>
        <v>AG-040</v>
      </c>
    </row>
    <row r="9" spans="1:7" x14ac:dyDescent="0.35">
      <c r="A9" s="10" t="s">
        <v>6149</v>
      </c>
      <c r="B9" s="12" t="s">
        <v>1742</v>
      </c>
      <c r="C9" s="11">
        <v>45808</v>
      </c>
      <c r="D9" s="12">
        <v>4</v>
      </c>
      <c r="E9" s="12">
        <v>6</v>
      </c>
      <c r="F9" s="13" t="s">
        <v>8363</v>
      </c>
      <c r="G9" t="str">
        <f>IFERROR(INDEX(Ticket!$B$2:$B$6001,MATCH(B9,Ticket!$A$2:$A$6001,0)),"Ticket introuvable")</f>
        <v>AG-003</v>
      </c>
    </row>
    <row r="10" spans="1:7" x14ac:dyDescent="0.35">
      <c r="A10" s="6" t="s">
        <v>6150</v>
      </c>
      <c r="B10" s="8" t="s">
        <v>1055</v>
      </c>
      <c r="C10" s="7">
        <v>45977</v>
      </c>
      <c r="D10" s="8">
        <v>5</v>
      </c>
      <c r="E10" s="8">
        <v>5</v>
      </c>
      <c r="F10" s="9" t="s">
        <v>8363</v>
      </c>
      <c r="G10" t="str">
        <f>IFERROR(INDEX(Ticket!$B$2:$B$6001,MATCH(B10,Ticket!$A$2:$A$6001,0)),"Ticket introuvable")</f>
        <v>AG-035</v>
      </c>
    </row>
    <row r="11" spans="1:7" x14ac:dyDescent="0.35">
      <c r="A11" s="10" t="s">
        <v>6151</v>
      </c>
      <c r="B11" s="12" t="s">
        <v>1402</v>
      </c>
      <c r="C11" s="11">
        <v>45811</v>
      </c>
      <c r="D11" s="12">
        <v>4</v>
      </c>
      <c r="E11" s="12">
        <v>7</v>
      </c>
      <c r="F11" s="13" t="s">
        <v>75</v>
      </c>
      <c r="G11" t="str">
        <f>IFERROR(INDEX(Ticket!$B$2:$B$6001,MATCH(B11,Ticket!$A$2:$A$6001,0)),"Ticket introuvable")</f>
        <v>AG-038</v>
      </c>
    </row>
    <row r="12" spans="1:7" x14ac:dyDescent="0.35">
      <c r="A12" s="6" t="s">
        <v>6152</v>
      </c>
      <c r="B12" s="8" t="s">
        <v>5124</v>
      </c>
      <c r="C12" s="7">
        <v>45796</v>
      </c>
      <c r="D12" s="8">
        <v>3</v>
      </c>
      <c r="E12" s="8">
        <v>5</v>
      </c>
      <c r="F12" s="9" t="s">
        <v>6153</v>
      </c>
      <c r="G12" t="str">
        <f>IFERROR(INDEX(Ticket!$B$2:$B$6001,MATCH(B12,Ticket!$A$2:$A$6001,0)),"Ticket introuvable")</f>
        <v>AG-027</v>
      </c>
    </row>
    <row r="13" spans="1:7" x14ac:dyDescent="0.35">
      <c r="A13" s="10" t="s">
        <v>6154</v>
      </c>
      <c r="B13" s="12" t="s">
        <v>1477</v>
      </c>
      <c r="C13" s="11">
        <v>45872</v>
      </c>
      <c r="D13" s="12">
        <v>5</v>
      </c>
      <c r="E13" s="12">
        <v>0</v>
      </c>
      <c r="F13" s="13" t="s">
        <v>8363</v>
      </c>
      <c r="G13" t="str">
        <f>IFERROR(INDEX(Ticket!$B$2:$B$6001,MATCH(B13,Ticket!$A$2:$A$6001,0)),"Ticket introuvable")</f>
        <v>AG-025</v>
      </c>
    </row>
    <row r="14" spans="1:7" x14ac:dyDescent="0.35">
      <c r="A14" s="6" t="s">
        <v>6155</v>
      </c>
      <c r="B14" s="8" t="s">
        <v>5769</v>
      </c>
      <c r="C14" s="7">
        <v>45758</v>
      </c>
      <c r="D14" s="8">
        <v>5</v>
      </c>
      <c r="E14" s="8">
        <v>5</v>
      </c>
      <c r="F14" s="9" t="s">
        <v>8363</v>
      </c>
      <c r="G14" t="str">
        <f>IFERROR(INDEX(Ticket!$B$2:$B$6001,MATCH(B14,Ticket!$A$2:$A$6001,0)),"Ticket introuvable")</f>
        <v>AG-007</v>
      </c>
    </row>
    <row r="15" spans="1:7" x14ac:dyDescent="0.35">
      <c r="A15" s="10" t="s">
        <v>6156</v>
      </c>
      <c r="B15" s="12" t="s">
        <v>3616</v>
      </c>
      <c r="C15" s="11">
        <v>45690</v>
      </c>
      <c r="D15" s="12">
        <v>5</v>
      </c>
      <c r="E15" s="12">
        <v>4</v>
      </c>
      <c r="F15" s="13" t="s">
        <v>8363</v>
      </c>
      <c r="G15" t="str">
        <f>IFERROR(INDEX(Ticket!$B$2:$B$6001,MATCH(B15,Ticket!$A$2:$A$6001,0)),"Ticket introuvable")</f>
        <v>AG-007</v>
      </c>
    </row>
    <row r="16" spans="1:7" x14ac:dyDescent="0.35">
      <c r="A16" s="6" t="s">
        <v>6157</v>
      </c>
      <c r="B16" s="8" t="s">
        <v>1221</v>
      </c>
      <c r="C16" s="7">
        <v>45663</v>
      </c>
      <c r="D16" s="8">
        <v>4</v>
      </c>
      <c r="E16" s="8">
        <v>10</v>
      </c>
      <c r="F16" s="9" t="s">
        <v>6148</v>
      </c>
      <c r="G16" t="str">
        <f>IFERROR(INDEX(Ticket!$B$2:$B$6001,MATCH(B16,Ticket!$A$2:$A$6001,0)),"Ticket introuvable")</f>
        <v>AG-021</v>
      </c>
    </row>
    <row r="17" spans="1:7" x14ac:dyDescent="0.35">
      <c r="A17" s="10" t="s">
        <v>6158</v>
      </c>
      <c r="B17" s="12" t="s">
        <v>4753</v>
      </c>
      <c r="C17" s="11">
        <v>46018</v>
      </c>
      <c r="D17" s="12">
        <v>4</v>
      </c>
      <c r="E17" s="12">
        <v>6</v>
      </c>
      <c r="F17" s="13" t="s">
        <v>8363</v>
      </c>
      <c r="G17" t="str">
        <f>IFERROR(INDEX(Ticket!$B$2:$B$6001,MATCH(B17,Ticket!$A$2:$A$6001,0)),"Ticket introuvable")</f>
        <v>AG-011</v>
      </c>
    </row>
    <row r="18" spans="1:7" x14ac:dyDescent="0.35">
      <c r="A18" s="6" t="s">
        <v>6159</v>
      </c>
      <c r="B18" s="8" t="s">
        <v>387</v>
      </c>
      <c r="C18" s="7">
        <v>45849</v>
      </c>
      <c r="D18" s="8">
        <v>3</v>
      </c>
      <c r="E18" s="8">
        <v>4</v>
      </c>
      <c r="F18" s="9" t="s">
        <v>6160</v>
      </c>
      <c r="G18" t="str">
        <f>IFERROR(INDEX(Ticket!$B$2:$B$6001,MATCH(B18,Ticket!$A$2:$A$6001,0)),"Ticket introuvable")</f>
        <v>AG-014</v>
      </c>
    </row>
    <row r="19" spans="1:7" x14ac:dyDescent="0.35">
      <c r="A19" s="10" t="s">
        <v>6161</v>
      </c>
      <c r="B19" s="12" t="s">
        <v>3963</v>
      </c>
      <c r="C19" s="11">
        <v>45917</v>
      </c>
      <c r="D19" s="12">
        <v>5</v>
      </c>
      <c r="E19" s="12">
        <v>10</v>
      </c>
      <c r="F19" s="13" t="s">
        <v>6160</v>
      </c>
      <c r="G19" t="str">
        <f>IFERROR(INDEX(Ticket!$B$2:$B$6001,MATCH(B19,Ticket!$A$2:$A$6001,0)),"Ticket introuvable")</f>
        <v>AG-016</v>
      </c>
    </row>
    <row r="20" spans="1:7" x14ac:dyDescent="0.35">
      <c r="A20" s="6" t="s">
        <v>6162</v>
      </c>
      <c r="B20" s="8" t="s">
        <v>4024</v>
      </c>
      <c r="C20" s="7">
        <v>46020</v>
      </c>
      <c r="D20" s="8">
        <v>3</v>
      </c>
      <c r="E20" s="8"/>
      <c r="F20" s="9" t="s">
        <v>6153</v>
      </c>
      <c r="G20" t="str">
        <f>IFERROR(INDEX(Ticket!$B$2:$B$6001,MATCH(B20,Ticket!$A$2:$A$6001,0)),"Ticket introuvable")</f>
        <v>AG-011</v>
      </c>
    </row>
    <row r="21" spans="1:7" x14ac:dyDescent="0.35">
      <c r="A21" s="10" t="s">
        <v>6163</v>
      </c>
      <c r="B21" s="12" t="s">
        <v>1040</v>
      </c>
      <c r="C21" s="11">
        <v>45887</v>
      </c>
      <c r="D21" s="12">
        <v>3</v>
      </c>
      <c r="E21" s="12">
        <v>5</v>
      </c>
      <c r="F21" s="13" t="s">
        <v>6148</v>
      </c>
      <c r="G21" t="str">
        <f>IFERROR(INDEX(Ticket!$B$2:$B$6001,MATCH(B21,Ticket!$A$2:$A$6001,0)),"Ticket introuvable")</f>
        <v>AG-026</v>
      </c>
    </row>
    <row r="22" spans="1:7" x14ac:dyDescent="0.35">
      <c r="A22" s="6" t="s">
        <v>6164</v>
      </c>
      <c r="B22" s="8" t="s">
        <v>1783</v>
      </c>
      <c r="C22" s="7">
        <v>45732</v>
      </c>
      <c r="D22" s="8">
        <v>3</v>
      </c>
      <c r="E22" s="8">
        <v>4</v>
      </c>
      <c r="F22" s="9" t="s">
        <v>6160</v>
      </c>
      <c r="G22" t="str">
        <f>IFERROR(INDEX(Ticket!$B$2:$B$6001,MATCH(B22,Ticket!$A$2:$A$6001,0)),"Ticket introuvable")</f>
        <v>AG-024</v>
      </c>
    </row>
    <row r="23" spans="1:7" x14ac:dyDescent="0.35">
      <c r="A23" s="10" t="s">
        <v>6165</v>
      </c>
      <c r="B23" s="12" t="s">
        <v>5693</v>
      </c>
      <c r="C23" s="11">
        <v>45834</v>
      </c>
      <c r="D23" s="12">
        <v>4</v>
      </c>
      <c r="E23" s="12">
        <v>0</v>
      </c>
      <c r="F23" s="13" t="s">
        <v>6148</v>
      </c>
      <c r="G23" t="str">
        <f>IFERROR(INDEX(Ticket!$B$2:$B$6001,MATCH(B23,Ticket!$A$2:$A$6001,0)),"Ticket introuvable")</f>
        <v>AG-016</v>
      </c>
    </row>
    <row r="24" spans="1:7" x14ac:dyDescent="0.35">
      <c r="A24" s="6" t="s">
        <v>6166</v>
      </c>
      <c r="B24" s="8" t="s">
        <v>4424</v>
      </c>
      <c r="C24" s="7">
        <v>45914</v>
      </c>
      <c r="D24" s="8">
        <v>4</v>
      </c>
      <c r="E24" s="8">
        <v>8</v>
      </c>
      <c r="F24" s="9" t="s">
        <v>75</v>
      </c>
      <c r="G24" t="str">
        <f>IFERROR(INDEX(Ticket!$B$2:$B$6001,MATCH(B24,Ticket!$A$2:$A$6001,0)),"Ticket introuvable")</f>
        <v>AG-019</v>
      </c>
    </row>
    <row r="25" spans="1:7" x14ac:dyDescent="0.35">
      <c r="A25" s="10" t="s">
        <v>6167</v>
      </c>
      <c r="B25" s="12" t="s">
        <v>4463</v>
      </c>
      <c r="C25" s="11">
        <v>45881</v>
      </c>
      <c r="D25" s="12">
        <v>4</v>
      </c>
      <c r="E25" s="12">
        <v>10</v>
      </c>
      <c r="F25" s="13" t="s">
        <v>8363</v>
      </c>
      <c r="G25" t="str">
        <f>IFERROR(INDEX(Ticket!$B$2:$B$6001,MATCH(B25,Ticket!$A$2:$A$6001,0)),"Ticket introuvable")</f>
        <v>AG-035</v>
      </c>
    </row>
    <row r="26" spans="1:7" x14ac:dyDescent="0.35">
      <c r="A26" s="6" t="s">
        <v>6168</v>
      </c>
      <c r="B26" s="8" t="s">
        <v>2361</v>
      </c>
      <c r="C26" s="7">
        <v>45817</v>
      </c>
      <c r="D26" s="8">
        <v>4</v>
      </c>
      <c r="E26" s="8"/>
      <c r="F26" s="9" t="s">
        <v>6148</v>
      </c>
      <c r="G26" t="str">
        <f>IFERROR(INDEX(Ticket!$B$2:$B$6001,MATCH(B26,Ticket!$A$2:$A$6001,0)),"Ticket introuvable")</f>
        <v>AG-021</v>
      </c>
    </row>
    <row r="27" spans="1:7" x14ac:dyDescent="0.35">
      <c r="A27" s="10" t="s">
        <v>6169</v>
      </c>
      <c r="B27" s="12" t="s">
        <v>2317</v>
      </c>
      <c r="C27" s="11">
        <v>45924</v>
      </c>
      <c r="D27" s="12">
        <v>5</v>
      </c>
      <c r="E27" s="12">
        <v>10</v>
      </c>
      <c r="F27" s="13" t="s">
        <v>8363</v>
      </c>
      <c r="G27" t="str">
        <f>IFERROR(INDEX(Ticket!$B$2:$B$6001,MATCH(B27,Ticket!$A$2:$A$6001,0)),"Ticket introuvable")</f>
        <v>AG-039</v>
      </c>
    </row>
    <row r="28" spans="1:7" x14ac:dyDescent="0.35">
      <c r="A28" s="6" t="s">
        <v>6170</v>
      </c>
      <c r="B28" s="8" t="s">
        <v>2434</v>
      </c>
      <c r="C28" s="7">
        <v>45779</v>
      </c>
      <c r="D28" s="8">
        <v>4</v>
      </c>
      <c r="E28" s="8"/>
      <c r="F28" s="9" t="s">
        <v>75</v>
      </c>
      <c r="G28" t="str">
        <f>IFERROR(INDEX(Ticket!$B$2:$B$6001,MATCH(B28,Ticket!$A$2:$A$6001,0)),"Ticket introuvable")</f>
        <v>AG-007</v>
      </c>
    </row>
    <row r="29" spans="1:7" x14ac:dyDescent="0.35">
      <c r="A29" s="10" t="s">
        <v>6171</v>
      </c>
      <c r="B29" s="12" t="s">
        <v>1801</v>
      </c>
      <c r="C29" s="11">
        <v>45901</v>
      </c>
      <c r="D29" s="12">
        <v>5</v>
      </c>
      <c r="E29" s="12">
        <v>7</v>
      </c>
      <c r="F29" s="13" t="s">
        <v>6148</v>
      </c>
      <c r="G29" t="str">
        <f>IFERROR(INDEX(Ticket!$B$2:$B$6001,MATCH(B29,Ticket!$A$2:$A$6001,0)),"Ticket introuvable")</f>
        <v>AG-015</v>
      </c>
    </row>
    <row r="30" spans="1:7" x14ac:dyDescent="0.35">
      <c r="A30" s="6" t="s">
        <v>6172</v>
      </c>
      <c r="B30" s="8" t="s">
        <v>1864</v>
      </c>
      <c r="C30" s="7">
        <v>45758</v>
      </c>
      <c r="D30" s="8">
        <v>5</v>
      </c>
      <c r="E30" s="8">
        <v>5</v>
      </c>
      <c r="F30" s="9" t="s">
        <v>6142</v>
      </c>
      <c r="G30" t="str">
        <f>IFERROR(INDEX(Ticket!$B$2:$B$6001,MATCH(B30,Ticket!$A$2:$A$6001,0)),"Ticket introuvable")</f>
        <v>AG-037</v>
      </c>
    </row>
    <row r="31" spans="1:7" x14ac:dyDescent="0.35">
      <c r="A31" s="10" t="s">
        <v>6173</v>
      </c>
      <c r="B31" s="12" t="s">
        <v>3893</v>
      </c>
      <c r="C31" s="11">
        <v>45844</v>
      </c>
      <c r="D31" s="12">
        <v>3</v>
      </c>
      <c r="E31" s="12">
        <v>9</v>
      </c>
      <c r="F31" s="13" t="s">
        <v>6153</v>
      </c>
      <c r="G31" t="str">
        <f>IFERROR(INDEX(Ticket!$B$2:$B$6001,MATCH(B31,Ticket!$A$2:$A$6001,0)),"Ticket introuvable")</f>
        <v>AG-013</v>
      </c>
    </row>
    <row r="32" spans="1:7" x14ac:dyDescent="0.35">
      <c r="A32" s="6" t="s">
        <v>6174</v>
      </c>
      <c r="B32" s="8" t="s">
        <v>2111</v>
      </c>
      <c r="C32" s="7">
        <v>46021</v>
      </c>
      <c r="D32" s="8">
        <v>5</v>
      </c>
      <c r="E32" s="8">
        <v>10</v>
      </c>
      <c r="F32" s="9" t="s">
        <v>6142</v>
      </c>
      <c r="G32" t="str">
        <f>IFERROR(INDEX(Ticket!$B$2:$B$6001,MATCH(B32,Ticket!$A$2:$A$6001,0)),"Ticket introuvable")</f>
        <v>AG-035</v>
      </c>
    </row>
    <row r="33" spans="1:7" x14ac:dyDescent="0.35">
      <c r="A33" s="10" t="s">
        <v>6175</v>
      </c>
      <c r="B33" s="12" t="s">
        <v>1511</v>
      </c>
      <c r="C33" s="11">
        <v>45744</v>
      </c>
      <c r="D33" s="12">
        <v>4</v>
      </c>
      <c r="E33" s="12">
        <v>7</v>
      </c>
      <c r="F33" s="13" t="s">
        <v>6153</v>
      </c>
      <c r="G33" t="str">
        <f>IFERROR(INDEX(Ticket!$B$2:$B$6001,MATCH(B33,Ticket!$A$2:$A$6001,0)),"Ticket introuvable")</f>
        <v>AG-008</v>
      </c>
    </row>
    <row r="34" spans="1:7" x14ac:dyDescent="0.35">
      <c r="A34" s="6" t="s">
        <v>6176</v>
      </c>
      <c r="B34" s="8" t="s">
        <v>3095</v>
      </c>
      <c r="C34" s="7">
        <v>45801</v>
      </c>
      <c r="D34" s="8">
        <v>5</v>
      </c>
      <c r="E34" s="8">
        <v>7</v>
      </c>
      <c r="F34" s="9" t="s">
        <v>6148</v>
      </c>
      <c r="G34" t="str">
        <f>IFERROR(INDEX(Ticket!$B$2:$B$6001,MATCH(B34,Ticket!$A$2:$A$6001,0)),"Ticket introuvable")</f>
        <v>AG-010</v>
      </c>
    </row>
    <row r="35" spans="1:7" x14ac:dyDescent="0.35">
      <c r="A35" s="10" t="s">
        <v>6177</v>
      </c>
      <c r="B35" s="12" t="s">
        <v>463</v>
      </c>
      <c r="C35" s="11">
        <v>45694</v>
      </c>
      <c r="D35" s="12">
        <v>4</v>
      </c>
      <c r="E35" s="12">
        <v>6</v>
      </c>
      <c r="F35" s="13" t="s">
        <v>75</v>
      </c>
      <c r="G35" t="str">
        <f>IFERROR(INDEX(Ticket!$B$2:$B$6001,MATCH(B35,Ticket!$A$2:$A$6001,0)),"Ticket introuvable")</f>
        <v>AG-039</v>
      </c>
    </row>
    <row r="36" spans="1:7" x14ac:dyDescent="0.35">
      <c r="A36" s="6" t="s">
        <v>6178</v>
      </c>
      <c r="B36" s="8" t="s">
        <v>4795</v>
      </c>
      <c r="C36" s="7">
        <v>45677</v>
      </c>
      <c r="D36" s="8">
        <v>4</v>
      </c>
      <c r="E36" s="8">
        <v>9</v>
      </c>
      <c r="F36" s="9" t="s">
        <v>6148</v>
      </c>
      <c r="G36" t="str">
        <f>IFERROR(INDEX(Ticket!$B$2:$B$6001,MATCH(B36,Ticket!$A$2:$A$6001,0)),"Ticket introuvable")</f>
        <v>AG-014</v>
      </c>
    </row>
    <row r="37" spans="1:7" x14ac:dyDescent="0.35">
      <c r="A37" s="10" t="s">
        <v>6179</v>
      </c>
      <c r="B37" s="12" t="s">
        <v>2532</v>
      </c>
      <c r="C37" s="11">
        <v>45814</v>
      </c>
      <c r="D37" s="12">
        <v>5</v>
      </c>
      <c r="E37" s="12">
        <v>10</v>
      </c>
      <c r="F37" s="13" t="s">
        <v>8363</v>
      </c>
      <c r="G37" t="str">
        <f>IFERROR(INDEX(Ticket!$B$2:$B$6001,MATCH(B37,Ticket!$A$2:$A$6001,0)),"Ticket introuvable")</f>
        <v>AG-037</v>
      </c>
    </row>
    <row r="38" spans="1:7" x14ac:dyDescent="0.35">
      <c r="A38" s="6" t="s">
        <v>6180</v>
      </c>
      <c r="B38" s="8" t="s">
        <v>1139</v>
      </c>
      <c r="C38" s="7">
        <v>45947</v>
      </c>
      <c r="D38" s="8">
        <v>5</v>
      </c>
      <c r="E38" s="8"/>
      <c r="F38" s="9" t="s">
        <v>6148</v>
      </c>
      <c r="G38" t="str">
        <f>IFERROR(INDEX(Ticket!$B$2:$B$6001,MATCH(B38,Ticket!$A$2:$A$6001,0)),"Ticket introuvable")</f>
        <v>AG-037</v>
      </c>
    </row>
    <row r="39" spans="1:7" x14ac:dyDescent="0.35">
      <c r="A39" s="10" t="s">
        <v>6181</v>
      </c>
      <c r="B39" s="12" t="s">
        <v>2329</v>
      </c>
      <c r="C39" s="11">
        <v>45811</v>
      </c>
      <c r="D39" s="12">
        <v>4</v>
      </c>
      <c r="E39" s="12">
        <v>4</v>
      </c>
      <c r="F39" s="13" t="s">
        <v>6148</v>
      </c>
      <c r="G39" t="str">
        <f>IFERROR(INDEX(Ticket!$B$2:$B$6001,MATCH(B39,Ticket!$A$2:$A$6001,0)),"Ticket introuvable")</f>
        <v>AG-003</v>
      </c>
    </row>
    <row r="40" spans="1:7" x14ac:dyDescent="0.35">
      <c r="A40" s="6" t="s">
        <v>6182</v>
      </c>
      <c r="B40" s="8" t="s">
        <v>3767</v>
      </c>
      <c r="C40" s="7">
        <v>45986</v>
      </c>
      <c r="D40" s="8">
        <v>4</v>
      </c>
      <c r="E40" s="8">
        <v>6</v>
      </c>
      <c r="F40" s="9" t="s">
        <v>75</v>
      </c>
      <c r="G40" t="str">
        <f>IFERROR(INDEX(Ticket!$B$2:$B$6001,MATCH(B40,Ticket!$A$2:$A$6001,0)),"Ticket introuvable")</f>
        <v>AG-008</v>
      </c>
    </row>
    <row r="41" spans="1:7" x14ac:dyDescent="0.35">
      <c r="A41" s="10" t="s">
        <v>6183</v>
      </c>
      <c r="B41" s="12" t="s">
        <v>5831</v>
      </c>
      <c r="C41" s="11">
        <v>46019</v>
      </c>
      <c r="D41" s="12">
        <v>3</v>
      </c>
      <c r="E41" s="12">
        <v>9</v>
      </c>
      <c r="F41" s="13" t="s">
        <v>8363</v>
      </c>
      <c r="G41" t="str">
        <f>IFERROR(INDEX(Ticket!$B$2:$B$6001,MATCH(B41,Ticket!$A$2:$A$6001,0)),"Ticket introuvable")</f>
        <v>AG-037</v>
      </c>
    </row>
    <row r="42" spans="1:7" x14ac:dyDescent="0.35">
      <c r="A42" s="6" t="s">
        <v>6184</v>
      </c>
      <c r="B42" s="8" t="s">
        <v>962</v>
      </c>
      <c r="C42" s="7">
        <v>45878</v>
      </c>
      <c r="D42" s="8">
        <v>3</v>
      </c>
      <c r="E42" s="8">
        <v>0</v>
      </c>
      <c r="F42" s="9" t="s">
        <v>6148</v>
      </c>
      <c r="G42" t="str">
        <f>IFERROR(INDEX(Ticket!$B$2:$B$6001,MATCH(B42,Ticket!$A$2:$A$6001,0)),"Ticket introuvable")</f>
        <v>AG-037</v>
      </c>
    </row>
    <row r="43" spans="1:7" x14ac:dyDescent="0.35">
      <c r="A43" s="10" t="s">
        <v>6185</v>
      </c>
      <c r="B43" s="12" t="s">
        <v>5077</v>
      </c>
      <c r="C43" s="11">
        <v>45678</v>
      </c>
      <c r="D43" s="12">
        <v>5</v>
      </c>
      <c r="E43" s="12">
        <v>9</v>
      </c>
      <c r="F43" s="13" t="s">
        <v>6148</v>
      </c>
      <c r="G43" t="str">
        <f>IFERROR(INDEX(Ticket!$B$2:$B$6001,MATCH(B43,Ticket!$A$2:$A$6001,0)),"Ticket introuvable")</f>
        <v>AG-029</v>
      </c>
    </row>
    <row r="44" spans="1:7" x14ac:dyDescent="0.35">
      <c r="A44" s="6" t="s">
        <v>6186</v>
      </c>
      <c r="B44" s="8" t="s">
        <v>3146</v>
      </c>
      <c r="C44" s="7">
        <v>45851</v>
      </c>
      <c r="D44" s="8">
        <v>5</v>
      </c>
      <c r="E44" s="8">
        <v>8</v>
      </c>
      <c r="F44" s="9" t="s">
        <v>6148</v>
      </c>
      <c r="G44" t="str">
        <f>IFERROR(INDEX(Ticket!$B$2:$B$6001,MATCH(B44,Ticket!$A$2:$A$6001,0)),"Ticket introuvable")</f>
        <v>AG-003</v>
      </c>
    </row>
    <row r="45" spans="1:7" x14ac:dyDescent="0.35">
      <c r="A45" s="10" t="s">
        <v>6187</v>
      </c>
      <c r="B45" s="12" t="s">
        <v>3533</v>
      </c>
      <c r="C45" s="11">
        <v>45694</v>
      </c>
      <c r="D45" s="12">
        <v>4</v>
      </c>
      <c r="E45" s="12">
        <v>10</v>
      </c>
      <c r="F45" s="13" t="s">
        <v>75</v>
      </c>
      <c r="G45" t="str">
        <f>IFERROR(INDEX(Ticket!$B$2:$B$6001,MATCH(B45,Ticket!$A$2:$A$6001,0)),"Ticket introuvable")</f>
        <v>AG-029</v>
      </c>
    </row>
    <row r="46" spans="1:7" x14ac:dyDescent="0.35">
      <c r="A46" s="6" t="s">
        <v>6188</v>
      </c>
      <c r="B46" s="8" t="s">
        <v>333</v>
      </c>
      <c r="C46" s="7">
        <v>45860</v>
      </c>
      <c r="D46" s="8">
        <v>2</v>
      </c>
      <c r="E46" s="8">
        <v>1</v>
      </c>
      <c r="F46" s="9" t="s">
        <v>6142</v>
      </c>
      <c r="G46" t="str">
        <f>IFERROR(INDEX(Ticket!$B$2:$B$6001,MATCH(B46,Ticket!$A$2:$A$6001,0)),"Ticket introuvable")</f>
        <v>AG-025</v>
      </c>
    </row>
    <row r="47" spans="1:7" x14ac:dyDescent="0.35">
      <c r="A47" s="10" t="s">
        <v>6189</v>
      </c>
      <c r="B47" s="12" t="s">
        <v>1238</v>
      </c>
      <c r="C47" s="11">
        <v>45714</v>
      </c>
      <c r="D47" s="12">
        <v>5</v>
      </c>
      <c r="E47" s="12">
        <v>7</v>
      </c>
      <c r="F47" s="13" t="s">
        <v>75</v>
      </c>
      <c r="G47" t="str">
        <f>IFERROR(INDEX(Ticket!$B$2:$B$6001,MATCH(B47,Ticket!$A$2:$A$6001,0)),"Ticket introuvable")</f>
        <v>AG-013</v>
      </c>
    </row>
    <row r="48" spans="1:7" x14ac:dyDescent="0.35">
      <c r="A48" s="6" t="s">
        <v>6190</v>
      </c>
      <c r="B48" s="8" t="s">
        <v>114</v>
      </c>
      <c r="C48" s="7">
        <v>45869</v>
      </c>
      <c r="D48" s="8">
        <v>4</v>
      </c>
      <c r="E48" s="8">
        <v>6</v>
      </c>
      <c r="F48" s="9" t="s">
        <v>8363</v>
      </c>
      <c r="G48" t="str">
        <f>IFERROR(INDEX(Ticket!$B$2:$B$6001,MATCH(B48,Ticket!$A$2:$A$6001,0)),"Ticket introuvable")</f>
        <v>AG-039</v>
      </c>
    </row>
    <row r="49" spans="1:7" x14ac:dyDescent="0.35">
      <c r="A49" s="10" t="s">
        <v>6191</v>
      </c>
      <c r="B49" s="12" t="s">
        <v>887</v>
      </c>
      <c r="C49" s="11">
        <v>46021</v>
      </c>
      <c r="D49" s="12">
        <v>5</v>
      </c>
      <c r="E49" s="12">
        <v>4</v>
      </c>
      <c r="F49" s="13" t="s">
        <v>75</v>
      </c>
      <c r="G49" t="str">
        <f>IFERROR(INDEX(Ticket!$B$2:$B$6001,MATCH(B49,Ticket!$A$2:$A$6001,0)),"Ticket introuvable")</f>
        <v>AG-014</v>
      </c>
    </row>
    <row r="50" spans="1:7" x14ac:dyDescent="0.35">
      <c r="A50" s="6" t="s">
        <v>6192</v>
      </c>
      <c r="B50" s="8" t="s">
        <v>4851</v>
      </c>
      <c r="C50" s="7">
        <v>45671</v>
      </c>
      <c r="D50" s="8">
        <v>5</v>
      </c>
      <c r="E50" s="8">
        <v>9</v>
      </c>
      <c r="F50" s="9" t="s">
        <v>6153</v>
      </c>
      <c r="G50" t="str">
        <f>IFERROR(INDEX(Ticket!$B$2:$B$6001,MATCH(B50,Ticket!$A$2:$A$6001,0)),"Ticket introuvable")</f>
        <v>AG-018</v>
      </c>
    </row>
    <row r="51" spans="1:7" x14ac:dyDescent="0.35">
      <c r="A51" s="10" t="s">
        <v>6193</v>
      </c>
      <c r="B51" s="12" t="s">
        <v>922</v>
      </c>
      <c r="C51" s="11">
        <v>45914</v>
      </c>
      <c r="D51" s="12">
        <v>5</v>
      </c>
      <c r="E51" s="12">
        <v>9</v>
      </c>
      <c r="F51" s="13" t="s">
        <v>6153</v>
      </c>
      <c r="G51" t="str">
        <f>IFERROR(INDEX(Ticket!$B$2:$B$6001,MATCH(B51,Ticket!$A$2:$A$6001,0)),"Ticket introuvable")</f>
        <v>AG-037</v>
      </c>
    </row>
    <row r="52" spans="1:7" x14ac:dyDescent="0.35">
      <c r="A52" s="6" t="s">
        <v>6194</v>
      </c>
      <c r="B52" s="8" t="s">
        <v>1385</v>
      </c>
      <c r="C52" s="7">
        <v>45960</v>
      </c>
      <c r="D52" s="8"/>
      <c r="E52" s="8">
        <v>10</v>
      </c>
      <c r="F52" s="9" t="s">
        <v>6153</v>
      </c>
      <c r="G52" t="str">
        <f>IFERROR(INDEX(Ticket!$B$2:$B$6001,MATCH(B52,Ticket!$A$2:$A$6001,0)),"Ticket introuvable")</f>
        <v>AG-029</v>
      </c>
    </row>
    <row r="53" spans="1:7" x14ac:dyDescent="0.35">
      <c r="A53" s="10" t="s">
        <v>6195</v>
      </c>
      <c r="B53" s="12" t="s">
        <v>1379</v>
      </c>
      <c r="C53" s="11">
        <v>45967</v>
      </c>
      <c r="D53" s="12">
        <v>1</v>
      </c>
      <c r="E53" s="12">
        <v>10</v>
      </c>
      <c r="F53" s="13" t="s">
        <v>8363</v>
      </c>
      <c r="G53" t="str">
        <f>IFERROR(INDEX(Ticket!$B$2:$B$6001,MATCH(B53,Ticket!$A$2:$A$6001,0)),"Ticket introuvable")</f>
        <v>AG-007</v>
      </c>
    </row>
    <row r="54" spans="1:7" x14ac:dyDescent="0.35">
      <c r="A54" s="6" t="s">
        <v>6196</v>
      </c>
      <c r="B54" s="8" t="s">
        <v>2076</v>
      </c>
      <c r="C54" s="7">
        <v>45826</v>
      </c>
      <c r="D54" s="8">
        <v>3</v>
      </c>
      <c r="E54" s="8">
        <v>10</v>
      </c>
      <c r="F54" s="9" t="s">
        <v>6148</v>
      </c>
      <c r="G54" t="str">
        <f>IFERROR(INDEX(Ticket!$B$2:$B$6001,MATCH(B54,Ticket!$A$2:$A$6001,0)),"Ticket introuvable")</f>
        <v>AG-021</v>
      </c>
    </row>
    <row r="55" spans="1:7" x14ac:dyDescent="0.35">
      <c r="A55" s="10" t="s">
        <v>6197</v>
      </c>
      <c r="B55" s="12" t="s">
        <v>3589</v>
      </c>
      <c r="C55" s="11">
        <v>45856</v>
      </c>
      <c r="D55" s="12">
        <v>4</v>
      </c>
      <c r="E55" s="12"/>
      <c r="F55" s="13" t="s">
        <v>6160</v>
      </c>
      <c r="G55" t="str">
        <f>IFERROR(INDEX(Ticket!$B$2:$B$6001,MATCH(B55,Ticket!$A$2:$A$6001,0)),"Ticket introuvable")</f>
        <v>AG-017</v>
      </c>
    </row>
    <row r="56" spans="1:7" x14ac:dyDescent="0.35">
      <c r="A56" s="6" t="s">
        <v>6198</v>
      </c>
      <c r="B56" s="8" t="s">
        <v>1717</v>
      </c>
      <c r="C56" s="7">
        <v>46016</v>
      </c>
      <c r="D56" s="8">
        <v>4</v>
      </c>
      <c r="E56" s="8">
        <v>8</v>
      </c>
      <c r="F56" s="9" t="s">
        <v>6153</v>
      </c>
      <c r="G56" t="str">
        <f>IFERROR(INDEX(Ticket!$B$2:$B$6001,MATCH(B56,Ticket!$A$2:$A$6001,0)),"Ticket introuvable")</f>
        <v>AG-022</v>
      </c>
    </row>
    <row r="57" spans="1:7" x14ac:dyDescent="0.35">
      <c r="A57" s="10" t="s">
        <v>6199</v>
      </c>
      <c r="B57" s="12" t="s">
        <v>5894</v>
      </c>
      <c r="C57" s="11">
        <v>46023</v>
      </c>
      <c r="D57" s="12">
        <v>5</v>
      </c>
      <c r="E57" s="12">
        <v>5</v>
      </c>
      <c r="F57" s="13" t="s">
        <v>6148</v>
      </c>
      <c r="G57" t="str">
        <f>IFERROR(INDEX(Ticket!$B$2:$B$6001,MATCH(B57,Ticket!$A$2:$A$6001,0)),"Ticket introuvable")</f>
        <v>AG-003</v>
      </c>
    </row>
    <row r="58" spans="1:7" x14ac:dyDescent="0.35">
      <c r="A58" s="6" t="s">
        <v>6200</v>
      </c>
      <c r="B58" s="8" t="s">
        <v>2756</v>
      </c>
      <c r="C58" s="7">
        <v>45935</v>
      </c>
      <c r="D58" s="8">
        <v>5</v>
      </c>
      <c r="E58" s="8">
        <v>10</v>
      </c>
      <c r="F58" s="9" t="s">
        <v>8363</v>
      </c>
      <c r="G58" t="str">
        <f>IFERROR(INDEX(Ticket!$B$2:$B$6001,MATCH(B58,Ticket!$A$2:$A$6001,0)),"Ticket introuvable")</f>
        <v>AG-040</v>
      </c>
    </row>
    <row r="59" spans="1:7" x14ac:dyDescent="0.35">
      <c r="A59" s="10" t="s">
        <v>6201</v>
      </c>
      <c r="B59" s="12" t="s">
        <v>3510</v>
      </c>
      <c r="C59" s="11">
        <v>45882</v>
      </c>
      <c r="D59" s="12">
        <v>3</v>
      </c>
      <c r="E59" s="12">
        <v>8</v>
      </c>
      <c r="F59" s="13" t="s">
        <v>8363</v>
      </c>
      <c r="G59" t="str">
        <f>IFERROR(INDEX(Ticket!$B$2:$B$6001,MATCH(B59,Ticket!$A$2:$A$6001,0)),"Ticket introuvable")</f>
        <v>AG-024</v>
      </c>
    </row>
    <row r="60" spans="1:7" x14ac:dyDescent="0.35">
      <c r="A60" s="6" t="s">
        <v>6202</v>
      </c>
      <c r="B60" s="8" t="s">
        <v>6023</v>
      </c>
      <c r="C60" s="7">
        <v>45959</v>
      </c>
      <c r="D60" s="8">
        <v>4</v>
      </c>
      <c r="E60" s="8">
        <v>10</v>
      </c>
      <c r="F60" s="9" t="s">
        <v>6160</v>
      </c>
      <c r="G60" t="str">
        <f>IFERROR(INDEX(Ticket!$B$2:$B$6001,MATCH(B60,Ticket!$A$2:$A$6001,0)),"Ticket introuvable")</f>
        <v>AG-016</v>
      </c>
    </row>
    <row r="61" spans="1:7" x14ac:dyDescent="0.35">
      <c r="A61" s="10" t="s">
        <v>6203</v>
      </c>
      <c r="B61" s="12" t="s">
        <v>3431</v>
      </c>
      <c r="C61" s="11">
        <v>45913</v>
      </c>
      <c r="D61" s="12">
        <v>3</v>
      </c>
      <c r="E61" s="12">
        <v>8</v>
      </c>
      <c r="F61" s="13" t="s">
        <v>6153</v>
      </c>
      <c r="G61" t="str">
        <f>IFERROR(INDEX(Ticket!$B$2:$B$6001,MATCH(B61,Ticket!$A$2:$A$6001,0)),"Ticket introuvable")</f>
        <v>AG-011</v>
      </c>
    </row>
    <row r="62" spans="1:7" x14ac:dyDescent="0.35">
      <c r="A62" s="6" t="s">
        <v>6204</v>
      </c>
      <c r="B62" s="8" t="s">
        <v>4263</v>
      </c>
      <c r="C62" s="7">
        <v>45977</v>
      </c>
      <c r="D62" s="8">
        <v>4</v>
      </c>
      <c r="E62" s="8">
        <v>8</v>
      </c>
      <c r="F62" s="9" t="s">
        <v>75</v>
      </c>
      <c r="G62" t="str">
        <f>IFERROR(INDEX(Ticket!$B$2:$B$6001,MATCH(B62,Ticket!$A$2:$A$6001,0)),"Ticket introuvable")</f>
        <v>AG-033</v>
      </c>
    </row>
    <row r="63" spans="1:7" x14ac:dyDescent="0.35">
      <c r="A63" s="10" t="s">
        <v>6205</v>
      </c>
      <c r="B63" s="12" t="s">
        <v>6042</v>
      </c>
      <c r="C63" s="11">
        <v>45666</v>
      </c>
      <c r="D63" s="12">
        <v>4</v>
      </c>
      <c r="E63" s="12">
        <v>10</v>
      </c>
      <c r="F63" s="13" t="s">
        <v>6153</v>
      </c>
      <c r="G63" t="str">
        <f>IFERROR(INDEX(Ticket!$B$2:$B$6001,MATCH(B63,Ticket!$A$2:$A$6001,0)),"Ticket introuvable")</f>
        <v>AG-029</v>
      </c>
    </row>
    <row r="64" spans="1:7" x14ac:dyDescent="0.35">
      <c r="A64" s="6" t="s">
        <v>6206</v>
      </c>
      <c r="B64" s="8" t="s">
        <v>1919</v>
      </c>
      <c r="C64" s="7">
        <v>45920</v>
      </c>
      <c r="D64" s="8">
        <v>4</v>
      </c>
      <c r="E64" s="8">
        <v>9</v>
      </c>
      <c r="F64" s="9" t="s">
        <v>6148</v>
      </c>
      <c r="G64" t="str">
        <f>IFERROR(INDEX(Ticket!$B$2:$B$6001,MATCH(B64,Ticket!$A$2:$A$6001,0)),"Ticket introuvable")</f>
        <v>AG-037</v>
      </c>
    </row>
    <row r="65" spans="1:7" x14ac:dyDescent="0.35">
      <c r="A65" s="10" t="s">
        <v>6207</v>
      </c>
      <c r="B65" s="12" t="s">
        <v>5276</v>
      </c>
      <c r="C65" s="11">
        <v>45889</v>
      </c>
      <c r="D65" s="12">
        <v>5</v>
      </c>
      <c r="E65" s="12">
        <v>9</v>
      </c>
      <c r="F65" s="13" t="s">
        <v>6160</v>
      </c>
      <c r="G65" t="str">
        <f>IFERROR(INDEX(Ticket!$B$2:$B$6001,MATCH(B65,Ticket!$A$2:$A$6001,0)),"Ticket introuvable")</f>
        <v>AG-035</v>
      </c>
    </row>
    <row r="66" spans="1:7" x14ac:dyDescent="0.35">
      <c r="A66" s="6" t="s">
        <v>6208</v>
      </c>
      <c r="B66" s="8" t="s">
        <v>3761</v>
      </c>
      <c r="C66" s="7">
        <v>45745</v>
      </c>
      <c r="D66" s="8">
        <v>2</v>
      </c>
      <c r="E66" s="8">
        <v>10</v>
      </c>
      <c r="F66" s="9" t="s">
        <v>75</v>
      </c>
      <c r="G66" t="str">
        <f>IFERROR(INDEX(Ticket!$B$2:$B$6001,MATCH(B66,Ticket!$A$2:$A$6001,0)),"Ticket introuvable")</f>
        <v>AG-023</v>
      </c>
    </row>
    <row r="67" spans="1:7" x14ac:dyDescent="0.35">
      <c r="A67" s="10" t="s">
        <v>6209</v>
      </c>
      <c r="B67" s="12" t="s">
        <v>5295</v>
      </c>
      <c r="C67" s="11">
        <v>46002</v>
      </c>
      <c r="D67" s="12">
        <v>5</v>
      </c>
      <c r="E67" s="12">
        <v>5</v>
      </c>
      <c r="F67" s="13" t="s">
        <v>75</v>
      </c>
      <c r="G67" t="str">
        <f>IFERROR(INDEX(Ticket!$B$2:$B$6001,MATCH(B67,Ticket!$A$2:$A$6001,0)),"Ticket introuvable")</f>
        <v>AG-039</v>
      </c>
    </row>
    <row r="68" spans="1:7" x14ac:dyDescent="0.35">
      <c r="A68" s="6" t="s">
        <v>6210</v>
      </c>
      <c r="B68" s="8" t="s">
        <v>593</v>
      </c>
      <c r="C68" s="7">
        <v>45682</v>
      </c>
      <c r="D68" s="8">
        <v>5</v>
      </c>
      <c r="E68" s="8">
        <v>4</v>
      </c>
      <c r="F68" s="9" t="s">
        <v>75</v>
      </c>
      <c r="G68" t="str">
        <f>IFERROR(INDEX(Ticket!$B$2:$B$6001,MATCH(B68,Ticket!$A$2:$A$6001,0)),"Ticket introuvable")</f>
        <v>AG-008</v>
      </c>
    </row>
    <row r="69" spans="1:7" x14ac:dyDescent="0.35">
      <c r="A69" s="10" t="s">
        <v>6211</v>
      </c>
      <c r="B69" s="12" t="s">
        <v>4433</v>
      </c>
      <c r="C69" s="11">
        <v>45848</v>
      </c>
      <c r="D69" s="12">
        <v>3</v>
      </c>
      <c r="E69" s="12">
        <v>10</v>
      </c>
      <c r="F69" s="13" t="s">
        <v>6160</v>
      </c>
      <c r="G69" t="str">
        <f>IFERROR(INDEX(Ticket!$B$2:$B$6001,MATCH(B69,Ticket!$A$2:$A$6001,0)),"Ticket introuvable")</f>
        <v>AG-012</v>
      </c>
    </row>
    <row r="70" spans="1:7" x14ac:dyDescent="0.35">
      <c r="A70" s="6" t="s">
        <v>6212</v>
      </c>
      <c r="B70" s="8" t="s">
        <v>3860</v>
      </c>
      <c r="C70" s="7">
        <v>45667</v>
      </c>
      <c r="D70" s="8">
        <v>5</v>
      </c>
      <c r="E70" s="8">
        <v>9</v>
      </c>
      <c r="F70" s="9" t="s">
        <v>6153</v>
      </c>
      <c r="G70" t="str">
        <f>IFERROR(INDEX(Ticket!$B$2:$B$6001,MATCH(B70,Ticket!$A$2:$A$6001,0)),"Ticket introuvable")</f>
        <v>AG-038</v>
      </c>
    </row>
    <row r="71" spans="1:7" x14ac:dyDescent="0.35">
      <c r="A71" s="10" t="s">
        <v>6213</v>
      </c>
      <c r="B71" s="12" t="s">
        <v>529</v>
      </c>
      <c r="C71" s="11">
        <v>45688</v>
      </c>
      <c r="D71" s="12">
        <v>5</v>
      </c>
      <c r="E71" s="12">
        <v>10</v>
      </c>
      <c r="F71" s="13" t="s">
        <v>75</v>
      </c>
      <c r="G71" t="str">
        <f>IFERROR(INDEX(Ticket!$B$2:$B$6001,MATCH(B71,Ticket!$A$2:$A$6001,0)),"Ticket introuvable")</f>
        <v>AG-028</v>
      </c>
    </row>
    <row r="72" spans="1:7" x14ac:dyDescent="0.35">
      <c r="A72" s="6" t="s">
        <v>6214</v>
      </c>
      <c r="B72" s="8" t="s">
        <v>310</v>
      </c>
      <c r="C72" s="7">
        <v>45695</v>
      </c>
      <c r="D72" s="8">
        <v>4</v>
      </c>
      <c r="E72" s="8"/>
      <c r="F72" s="9" t="s">
        <v>6142</v>
      </c>
      <c r="G72" t="str">
        <f>IFERROR(INDEX(Ticket!$B$2:$B$6001,MATCH(B72,Ticket!$A$2:$A$6001,0)),"Ticket introuvable")</f>
        <v>AG-034</v>
      </c>
    </row>
    <row r="73" spans="1:7" x14ac:dyDescent="0.35">
      <c r="A73" s="10" t="s">
        <v>6215</v>
      </c>
      <c r="B73" s="12" t="s">
        <v>4673</v>
      </c>
      <c r="C73" s="11">
        <v>45985</v>
      </c>
      <c r="D73" s="12">
        <v>5</v>
      </c>
      <c r="E73" s="12"/>
      <c r="F73" s="13" t="s">
        <v>6160</v>
      </c>
      <c r="G73" t="str">
        <f>IFERROR(INDEX(Ticket!$B$2:$B$6001,MATCH(B73,Ticket!$A$2:$A$6001,0)),"Ticket introuvable")</f>
        <v>AG-035</v>
      </c>
    </row>
    <row r="74" spans="1:7" x14ac:dyDescent="0.35">
      <c r="A74" s="6" t="s">
        <v>6216</v>
      </c>
      <c r="B74" s="8" t="s">
        <v>4070</v>
      </c>
      <c r="C74" s="7">
        <v>45884</v>
      </c>
      <c r="D74" s="8">
        <v>4</v>
      </c>
      <c r="E74" s="8">
        <v>7</v>
      </c>
      <c r="F74" s="9" t="s">
        <v>6160</v>
      </c>
      <c r="G74" t="str">
        <f>IFERROR(INDEX(Ticket!$B$2:$B$6001,MATCH(B74,Ticket!$A$2:$A$6001,0)),"Ticket introuvable")</f>
        <v>AG-024</v>
      </c>
    </row>
    <row r="75" spans="1:7" x14ac:dyDescent="0.35">
      <c r="A75" s="10" t="s">
        <v>6217</v>
      </c>
      <c r="B75" s="12" t="s">
        <v>5621</v>
      </c>
      <c r="C75" s="11">
        <v>45818</v>
      </c>
      <c r="D75" s="12">
        <v>5</v>
      </c>
      <c r="E75" s="12">
        <v>10</v>
      </c>
      <c r="F75" s="13" t="s">
        <v>75</v>
      </c>
      <c r="G75" t="str">
        <f>IFERROR(INDEX(Ticket!$B$2:$B$6001,MATCH(B75,Ticket!$A$2:$A$6001,0)),"Ticket introuvable")</f>
        <v>AG-008</v>
      </c>
    </row>
    <row r="76" spans="1:7" x14ac:dyDescent="0.35">
      <c r="A76" s="6" t="s">
        <v>6218</v>
      </c>
      <c r="B76" s="8" t="s">
        <v>6219</v>
      </c>
      <c r="C76" s="7">
        <v>45786</v>
      </c>
      <c r="D76" s="8">
        <v>5</v>
      </c>
      <c r="E76" s="8">
        <v>7</v>
      </c>
      <c r="F76" s="9" t="s">
        <v>75</v>
      </c>
      <c r="G76" t="str">
        <f>IFERROR(INDEX(Ticket!$B$2:$B$6001,MATCH(B76,Ticket!$A$2:$A$6001,0)),"Ticket introuvable")</f>
        <v>Ticket introuvable</v>
      </c>
    </row>
    <row r="77" spans="1:7" x14ac:dyDescent="0.35">
      <c r="A77" s="10" t="s">
        <v>6220</v>
      </c>
      <c r="B77" s="12" t="s">
        <v>1844</v>
      </c>
      <c r="C77" s="11">
        <v>45922</v>
      </c>
      <c r="D77" s="12">
        <v>4</v>
      </c>
      <c r="E77" s="12">
        <v>10</v>
      </c>
      <c r="F77" s="13" t="s">
        <v>6160</v>
      </c>
      <c r="G77" t="str">
        <f>IFERROR(INDEX(Ticket!$B$2:$B$6001,MATCH(B77,Ticket!$A$2:$A$6001,0)),"Ticket introuvable")</f>
        <v>AG-010</v>
      </c>
    </row>
    <row r="78" spans="1:7" x14ac:dyDescent="0.35">
      <c r="A78" s="6" t="s">
        <v>6221</v>
      </c>
      <c r="B78" s="8" t="s">
        <v>601</v>
      </c>
      <c r="C78" s="7">
        <v>46013</v>
      </c>
      <c r="D78" s="8">
        <v>4</v>
      </c>
      <c r="E78" s="8">
        <v>8</v>
      </c>
      <c r="F78" s="9" t="s">
        <v>6160</v>
      </c>
      <c r="G78" t="str">
        <f>IFERROR(INDEX(Ticket!$B$2:$B$6001,MATCH(B78,Ticket!$A$2:$A$6001,0)),"Ticket introuvable")</f>
        <v>AG-024</v>
      </c>
    </row>
    <row r="79" spans="1:7" x14ac:dyDescent="0.35">
      <c r="A79" s="10" t="s">
        <v>6222</v>
      </c>
      <c r="B79" s="12" t="s">
        <v>2480</v>
      </c>
      <c r="C79" s="11">
        <v>45895</v>
      </c>
      <c r="D79" s="12">
        <v>3</v>
      </c>
      <c r="E79" s="12">
        <v>10</v>
      </c>
      <c r="F79" s="13" t="s">
        <v>6148</v>
      </c>
      <c r="G79" t="str">
        <f>IFERROR(INDEX(Ticket!$B$2:$B$6001,MATCH(B79,Ticket!$A$2:$A$6001,0)),"Ticket introuvable")</f>
        <v>AG-028</v>
      </c>
    </row>
    <row r="80" spans="1:7" x14ac:dyDescent="0.35">
      <c r="A80" s="6" t="s">
        <v>6223</v>
      </c>
      <c r="B80" s="8" t="s">
        <v>5188</v>
      </c>
      <c r="C80" s="7">
        <v>45905</v>
      </c>
      <c r="D80" s="8">
        <v>3</v>
      </c>
      <c r="E80" s="8">
        <v>8</v>
      </c>
      <c r="F80" s="9" t="s">
        <v>75</v>
      </c>
      <c r="G80" t="str">
        <f>IFERROR(INDEX(Ticket!$B$2:$B$6001,MATCH(B80,Ticket!$A$2:$A$6001,0)),"Ticket introuvable")</f>
        <v>AG-010</v>
      </c>
    </row>
    <row r="81" spans="1:7" x14ac:dyDescent="0.35">
      <c r="A81" s="10" t="s">
        <v>6224</v>
      </c>
      <c r="B81" s="12" t="s">
        <v>1722</v>
      </c>
      <c r="C81" s="11">
        <v>45794</v>
      </c>
      <c r="D81" s="12">
        <v>3</v>
      </c>
      <c r="E81" s="12">
        <v>10</v>
      </c>
      <c r="F81" s="13" t="s">
        <v>8363</v>
      </c>
      <c r="G81" t="str">
        <f>IFERROR(INDEX(Ticket!$B$2:$B$6001,MATCH(B81,Ticket!$A$2:$A$6001,0)),"Ticket introuvable")</f>
        <v>AG-013</v>
      </c>
    </row>
    <row r="82" spans="1:7" x14ac:dyDescent="0.35">
      <c r="A82" s="6" t="s">
        <v>6225</v>
      </c>
      <c r="B82" s="8" t="s">
        <v>458</v>
      </c>
      <c r="C82" s="7">
        <v>45748</v>
      </c>
      <c r="D82" s="8">
        <v>4</v>
      </c>
      <c r="E82" s="8">
        <v>8</v>
      </c>
      <c r="F82" s="9" t="s">
        <v>75</v>
      </c>
      <c r="G82" t="str">
        <f>IFERROR(INDEX(Ticket!$B$2:$B$6001,MATCH(B82,Ticket!$A$2:$A$6001,0)),"Ticket introuvable")</f>
        <v>AG-035</v>
      </c>
    </row>
    <row r="83" spans="1:7" x14ac:dyDescent="0.35">
      <c r="A83" s="10" t="s">
        <v>6226</v>
      </c>
      <c r="B83" s="12" t="s">
        <v>2300</v>
      </c>
      <c r="C83" s="11">
        <v>45873</v>
      </c>
      <c r="D83" s="12">
        <v>5</v>
      </c>
      <c r="E83" s="12">
        <v>9</v>
      </c>
      <c r="F83" s="13" t="s">
        <v>6148</v>
      </c>
      <c r="G83" t="str">
        <f>IFERROR(INDEX(Ticket!$B$2:$B$6001,MATCH(B83,Ticket!$A$2:$A$6001,0)),"Ticket introuvable")</f>
        <v>AG-010</v>
      </c>
    </row>
    <row r="84" spans="1:7" x14ac:dyDescent="0.35">
      <c r="A84" s="6" t="s">
        <v>6227</v>
      </c>
      <c r="B84" s="8" t="s">
        <v>5472</v>
      </c>
      <c r="C84" s="7">
        <v>45831</v>
      </c>
      <c r="D84" s="8">
        <v>5</v>
      </c>
      <c r="E84" s="8">
        <v>10</v>
      </c>
      <c r="F84" s="9" t="s">
        <v>6153</v>
      </c>
      <c r="G84" t="str">
        <f>IFERROR(INDEX(Ticket!$B$2:$B$6001,MATCH(B84,Ticket!$A$2:$A$6001,0)),"Ticket introuvable")</f>
        <v>AG-014</v>
      </c>
    </row>
    <row r="85" spans="1:7" x14ac:dyDescent="0.35">
      <c r="A85" s="10" t="s">
        <v>6228</v>
      </c>
      <c r="B85" s="12" t="s">
        <v>2513</v>
      </c>
      <c r="C85" s="11">
        <v>45666</v>
      </c>
      <c r="D85" s="12">
        <v>1</v>
      </c>
      <c r="E85" s="12">
        <v>10</v>
      </c>
      <c r="F85" s="13" t="s">
        <v>6153</v>
      </c>
      <c r="G85" t="str">
        <f>IFERROR(INDEX(Ticket!$B$2:$B$6001,MATCH(B85,Ticket!$A$2:$A$6001,0)),"Ticket introuvable")</f>
        <v>AG-017</v>
      </c>
    </row>
    <row r="86" spans="1:7" x14ac:dyDescent="0.35">
      <c r="A86" s="6" t="s">
        <v>6229</v>
      </c>
      <c r="B86" s="8" t="s">
        <v>4075</v>
      </c>
      <c r="C86" s="7">
        <v>45918</v>
      </c>
      <c r="D86" s="8"/>
      <c r="E86" s="8">
        <v>10</v>
      </c>
      <c r="F86" s="9" t="s">
        <v>6160</v>
      </c>
      <c r="G86" t="str">
        <f>IFERROR(INDEX(Ticket!$B$2:$B$6001,MATCH(B86,Ticket!$A$2:$A$6001,0)),"Ticket introuvable")</f>
        <v>AG-037</v>
      </c>
    </row>
    <row r="87" spans="1:7" x14ac:dyDescent="0.35">
      <c r="A87" s="10" t="s">
        <v>6230</v>
      </c>
      <c r="B87" s="12" t="s">
        <v>2257</v>
      </c>
      <c r="C87" s="11">
        <v>45778</v>
      </c>
      <c r="D87" s="12">
        <v>4</v>
      </c>
      <c r="E87" s="12">
        <v>9</v>
      </c>
      <c r="F87" s="13" t="s">
        <v>6153</v>
      </c>
      <c r="G87" t="str">
        <f>IFERROR(INDEX(Ticket!$B$2:$B$6001,MATCH(B87,Ticket!$A$2:$A$6001,0)),"Ticket introuvable")</f>
        <v>AG-012</v>
      </c>
    </row>
    <row r="88" spans="1:7" x14ac:dyDescent="0.35">
      <c r="A88" s="6" t="s">
        <v>6231</v>
      </c>
      <c r="B88" s="8" t="s">
        <v>4239</v>
      </c>
      <c r="C88" s="7">
        <v>45983</v>
      </c>
      <c r="D88" s="8">
        <v>3</v>
      </c>
      <c r="E88" s="8">
        <v>10</v>
      </c>
      <c r="F88" s="9" t="s">
        <v>6142</v>
      </c>
      <c r="G88" t="str">
        <f>IFERROR(INDEX(Ticket!$B$2:$B$6001,MATCH(B88,Ticket!$A$2:$A$6001,0)),"Ticket introuvable")</f>
        <v>AG-025</v>
      </c>
    </row>
    <row r="89" spans="1:7" x14ac:dyDescent="0.35">
      <c r="A89" s="10" t="s">
        <v>6232</v>
      </c>
      <c r="B89" s="12" t="s">
        <v>4935</v>
      </c>
      <c r="C89" s="11">
        <v>46003</v>
      </c>
      <c r="D89" s="12">
        <v>5</v>
      </c>
      <c r="E89" s="12">
        <v>8</v>
      </c>
      <c r="F89" s="13" t="s">
        <v>6153</v>
      </c>
      <c r="G89" t="str">
        <f>IFERROR(INDEX(Ticket!$B$2:$B$6001,MATCH(B89,Ticket!$A$2:$A$6001,0)),"Ticket introuvable")</f>
        <v>AG-014</v>
      </c>
    </row>
    <row r="90" spans="1:7" x14ac:dyDescent="0.35">
      <c r="A90" s="6" t="s">
        <v>6233</v>
      </c>
      <c r="B90" s="8" t="s">
        <v>306</v>
      </c>
      <c r="C90" s="7">
        <v>45884</v>
      </c>
      <c r="D90" s="8">
        <v>5</v>
      </c>
      <c r="E90" s="8">
        <v>8</v>
      </c>
      <c r="F90" s="9" t="s">
        <v>6142</v>
      </c>
      <c r="G90" t="str">
        <f>IFERROR(INDEX(Ticket!$B$2:$B$6001,MATCH(B90,Ticket!$A$2:$A$6001,0)),"Ticket introuvable")</f>
        <v>AG-007</v>
      </c>
    </row>
    <row r="91" spans="1:7" x14ac:dyDescent="0.35">
      <c r="A91" s="10" t="s">
        <v>6234</v>
      </c>
      <c r="B91" s="12" t="s">
        <v>5723</v>
      </c>
      <c r="C91" s="11">
        <v>45661</v>
      </c>
      <c r="D91" s="12">
        <v>3</v>
      </c>
      <c r="E91" s="12">
        <v>9</v>
      </c>
      <c r="F91" s="13" t="s">
        <v>6142</v>
      </c>
      <c r="G91" t="str">
        <f>IFERROR(INDEX(Ticket!$B$2:$B$6001,MATCH(B91,Ticket!$A$2:$A$6001,0)),"Ticket introuvable")</f>
        <v>AG-010</v>
      </c>
    </row>
    <row r="92" spans="1:7" x14ac:dyDescent="0.35">
      <c r="A92" s="6" t="s">
        <v>6235</v>
      </c>
      <c r="B92" s="8" t="s">
        <v>3184</v>
      </c>
      <c r="C92" s="7">
        <v>45896</v>
      </c>
      <c r="D92" s="8">
        <v>3</v>
      </c>
      <c r="E92" s="8">
        <v>6</v>
      </c>
      <c r="F92" s="9" t="s">
        <v>6148</v>
      </c>
      <c r="G92" t="str">
        <f>IFERROR(INDEX(Ticket!$B$2:$B$6001,MATCH(B92,Ticket!$A$2:$A$6001,0)),"Ticket introuvable")</f>
        <v>AG-026</v>
      </c>
    </row>
    <row r="93" spans="1:7" x14ac:dyDescent="0.35">
      <c r="A93" s="10" t="s">
        <v>6236</v>
      </c>
      <c r="B93" s="12" t="s">
        <v>5697</v>
      </c>
      <c r="C93" s="11">
        <v>45784</v>
      </c>
      <c r="D93" s="12">
        <v>3</v>
      </c>
      <c r="E93" s="12"/>
      <c r="F93" s="13" t="s">
        <v>6148</v>
      </c>
      <c r="G93" t="str">
        <f>IFERROR(INDEX(Ticket!$B$2:$B$6001,MATCH(B93,Ticket!$A$2:$A$6001,0)),"Ticket introuvable")</f>
        <v>AG-034</v>
      </c>
    </row>
    <row r="94" spans="1:7" x14ac:dyDescent="0.35">
      <c r="A94" s="6" t="s">
        <v>6237</v>
      </c>
      <c r="B94" s="8" t="s">
        <v>3660</v>
      </c>
      <c r="C94" s="7">
        <v>45725</v>
      </c>
      <c r="D94" s="8">
        <v>5</v>
      </c>
      <c r="E94" s="8">
        <v>9</v>
      </c>
      <c r="F94" s="9" t="s">
        <v>6160</v>
      </c>
      <c r="G94" t="str">
        <f>IFERROR(INDEX(Ticket!$B$2:$B$6001,MATCH(B94,Ticket!$A$2:$A$6001,0)),"Ticket introuvable")</f>
        <v>AG-017</v>
      </c>
    </row>
    <row r="95" spans="1:7" x14ac:dyDescent="0.35">
      <c r="A95" s="10" t="s">
        <v>6238</v>
      </c>
      <c r="B95" s="12" t="s">
        <v>266</v>
      </c>
      <c r="C95" s="11">
        <v>45850</v>
      </c>
      <c r="D95" s="12">
        <v>4</v>
      </c>
      <c r="E95" s="12">
        <v>5</v>
      </c>
      <c r="F95" s="13" t="s">
        <v>75</v>
      </c>
      <c r="G95" t="str">
        <f>IFERROR(INDEX(Ticket!$B$2:$B$6001,MATCH(B95,Ticket!$A$2:$A$6001,0)),"Ticket introuvable")</f>
        <v>AG-007</v>
      </c>
    </row>
    <row r="96" spans="1:7" x14ac:dyDescent="0.35">
      <c r="A96" s="6" t="s">
        <v>6239</v>
      </c>
      <c r="B96" s="8" t="s">
        <v>2489</v>
      </c>
      <c r="C96" s="7">
        <v>45825</v>
      </c>
      <c r="D96" s="8">
        <v>3</v>
      </c>
      <c r="E96" s="8">
        <v>8</v>
      </c>
      <c r="F96" s="9" t="s">
        <v>6160</v>
      </c>
      <c r="G96" t="str">
        <f>IFERROR(INDEX(Ticket!$B$2:$B$6001,MATCH(B96,Ticket!$A$2:$A$6001,0)),"Ticket introuvable")</f>
        <v>AG-023</v>
      </c>
    </row>
    <row r="97" spans="1:7" x14ac:dyDescent="0.35">
      <c r="A97" s="10" t="s">
        <v>6240</v>
      </c>
      <c r="B97" s="12" t="s">
        <v>4591</v>
      </c>
      <c r="C97" s="11">
        <v>45791</v>
      </c>
      <c r="D97" s="12">
        <v>1</v>
      </c>
      <c r="E97" s="12">
        <v>7</v>
      </c>
      <c r="F97" s="13" t="s">
        <v>8363</v>
      </c>
      <c r="G97" t="str">
        <f>IFERROR(INDEX(Ticket!$B$2:$B$6001,MATCH(B97,Ticket!$A$2:$A$6001,0)),"Ticket introuvable")</f>
        <v>AG-013</v>
      </c>
    </row>
    <row r="98" spans="1:7" x14ac:dyDescent="0.35">
      <c r="A98" s="6" t="s">
        <v>6241</v>
      </c>
      <c r="B98" s="8" t="s">
        <v>4365</v>
      </c>
      <c r="C98" s="7">
        <v>45668</v>
      </c>
      <c r="D98" s="8">
        <v>4</v>
      </c>
      <c r="E98" s="8">
        <v>9</v>
      </c>
      <c r="F98" s="9" t="s">
        <v>6153</v>
      </c>
      <c r="G98" t="str">
        <f>IFERROR(INDEX(Ticket!$B$2:$B$6001,MATCH(B98,Ticket!$A$2:$A$6001,0)),"Ticket introuvable")</f>
        <v>AG-024</v>
      </c>
    </row>
    <row r="99" spans="1:7" x14ac:dyDescent="0.35">
      <c r="A99" s="10" t="s">
        <v>6242</v>
      </c>
      <c r="B99" s="12" t="s">
        <v>3545</v>
      </c>
      <c r="C99" s="11">
        <v>45895</v>
      </c>
      <c r="D99" s="12">
        <v>5</v>
      </c>
      <c r="E99" s="12">
        <v>9</v>
      </c>
      <c r="F99" s="13" t="s">
        <v>6148</v>
      </c>
      <c r="G99" t="str">
        <f>IFERROR(INDEX(Ticket!$B$2:$B$6001,MATCH(B99,Ticket!$A$2:$A$6001,0)),"Ticket introuvable")</f>
        <v>AG-035</v>
      </c>
    </row>
    <row r="100" spans="1:7" x14ac:dyDescent="0.35">
      <c r="A100" s="6" t="s">
        <v>6243</v>
      </c>
      <c r="B100" s="8" t="s">
        <v>4965</v>
      </c>
      <c r="C100" s="7">
        <v>45752</v>
      </c>
      <c r="D100" s="8">
        <v>4</v>
      </c>
      <c r="E100" s="8">
        <v>7</v>
      </c>
      <c r="F100" s="9" t="s">
        <v>6148</v>
      </c>
      <c r="G100" t="str">
        <f>IFERROR(INDEX(Ticket!$B$2:$B$6001,MATCH(B100,Ticket!$A$2:$A$6001,0)),"Ticket introuvable")</f>
        <v>AG-021</v>
      </c>
    </row>
    <row r="101" spans="1:7" x14ac:dyDescent="0.35">
      <c r="A101" s="10" t="s">
        <v>6244</v>
      </c>
      <c r="B101" s="12" t="s">
        <v>3892</v>
      </c>
      <c r="C101" s="11">
        <v>45669</v>
      </c>
      <c r="D101" s="12">
        <v>3</v>
      </c>
      <c r="E101" s="12">
        <v>0</v>
      </c>
      <c r="F101" s="13" t="s">
        <v>6160</v>
      </c>
      <c r="G101" t="str">
        <f>IFERROR(INDEX(Ticket!$B$2:$B$6001,MATCH(B101,Ticket!$A$2:$A$6001,0)),"Ticket introuvable")</f>
        <v>AG-026</v>
      </c>
    </row>
    <row r="102" spans="1:7" x14ac:dyDescent="0.35">
      <c r="A102" s="6" t="s">
        <v>6245</v>
      </c>
      <c r="B102" s="8" t="s">
        <v>5498</v>
      </c>
      <c r="C102" s="7">
        <v>45692</v>
      </c>
      <c r="D102" s="8">
        <v>5</v>
      </c>
      <c r="E102" s="8">
        <v>6</v>
      </c>
      <c r="F102" s="9" t="s">
        <v>6153</v>
      </c>
      <c r="G102" t="str">
        <f>IFERROR(INDEX(Ticket!$B$2:$B$6001,MATCH(B102,Ticket!$A$2:$A$6001,0)),"Ticket introuvable")</f>
        <v>AG-007</v>
      </c>
    </row>
    <row r="103" spans="1:7" x14ac:dyDescent="0.35">
      <c r="A103" s="10" t="s">
        <v>6246</v>
      </c>
      <c r="B103" s="12" t="s">
        <v>2227</v>
      </c>
      <c r="C103" s="11">
        <v>45726</v>
      </c>
      <c r="D103" s="12">
        <v>2</v>
      </c>
      <c r="E103" s="12"/>
      <c r="F103" s="13" t="s">
        <v>6148</v>
      </c>
      <c r="G103" t="str">
        <f>IFERROR(INDEX(Ticket!$B$2:$B$6001,MATCH(B103,Ticket!$A$2:$A$6001,0)),"Ticket introuvable")</f>
        <v>AG-036</v>
      </c>
    </row>
    <row r="104" spans="1:7" x14ac:dyDescent="0.35">
      <c r="A104" s="6" t="s">
        <v>6247</v>
      </c>
      <c r="B104" s="8" t="s">
        <v>2069</v>
      </c>
      <c r="C104" s="7">
        <v>45752</v>
      </c>
      <c r="D104" s="8">
        <v>5</v>
      </c>
      <c r="E104" s="8">
        <v>6</v>
      </c>
      <c r="F104" s="9" t="s">
        <v>6142</v>
      </c>
      <c r="G104" t="str">
        <f>IFERROR(INDEX(Ticket!$B$2:$B$6001,MATCH(B104,Ticket!$A$2:$A$6001,0)),"Ticket introuvable")</f>
        <v>AG-017</v>
      </c>
    </row>
    <row r="105" spans="1:7" x14ac:dyDescent="0.35">
      <c r="A105" s="10" t="s">
        <v>6248</v>
      </c>
      <c r="B105" s="12" t="s">
        <v>525</v>
      </c>
      <c r="C105" s="11">
        <v>45689</v>
      </c>
      <c r="D105" s="12">
        <v>5</v>
      </c>
      <c r="E105" s="12">
        <v>7</v>
      </c>
      <c r="F105" s="13" t="s">
        <v>6160</v>
      </c>
      <c r="G105" t="str">
        <f>IFERROR(INDEX(Ticket!$B$2:$B$6001,MATCH(B105,Ticket!$A$2:$A$6001,0)),"Ticket introuvable")</f>
        <v>AG-019</v>
      </c>
    </row>
    <row r="106" spans="1:7" x14ac:dyDescent="0.35">
      <c r="A106" s="6" t="s">
        <v>6249</v>
      </c>
      <c r="B106" s="8" t="s">
        <v>4159</v>
      </c>
      <c r="C106" s="7">
        <v>45792</v>
      </c>
      <c r="D106" s="8">
        <v>5</v>
      </c>
      <c r="E106" s="8"/>
      <c r="F106" s="9" t="s">
        <v>75</v>
      </c>
      <c r="G106" t="str">
        <f>IFERROR(INDEX(Ticket!$B$2:$B$6001,MATCH(B106,Ticket!$A$2:$A$6001,0)),"Ticket introuvable")</f>
        <v>AG-040</v>
      </c>
    </row>
    <row r="107" spans="1:7" x14ac:dyDescent="0.35">
      <c r="A107" s="10" t="s">
        <v>6250</v>
      </c>
      <c r="B107" s="12" t="s">
        <v>2349</v>
      </c>
      <c r="C107" s="11">
        <v>45919</v>
      </c>
      <c r="D107" s="12">
        <v>5</v>
      </c>
      <c r="E107" s="12">
        <v>8</v>
      </c>
      <c r="F107" s="13" t="s">
        <v>75</v>
      </c>
      <c r="G107" t="str">
        <f>IFERROR(INDEX(Ticket!$B$2:$B$6001,MATCH(B107,Ticket!$A$2:$A$6001,0)),"Ticket introuvable")</f>
        <v>AG-003</v>
      </c>
    </row>
    <row r="108" spans="1:7" x14ac:dyDescent="0.35">
      <c r="A108" s="6" t="s">
        <v>6251</v>
      </c>
      <c r="B108" s="8" t="s">
        <v>6252</v>
      </c>
      <c r="C108" s="7">
        <v>46022</v>
      </c>
      <c r="D108" s="8">
        <v>3</v>
      </c>
      <c r="E108" s="8">
        <v>5</v>
      </c>
      <c r="F108" s="9" t="s">
        <v>6160</v>
      </c>
      <c r="G108" t="str">
        <f>IFERROR(INDEX(Ticket!$B$2:$B$6001,MATCH(B108,Ticket!$A$2:$A$6001,0)),"Ticket introuvable")</f>
        <v>Ticket introuvable</v>
      </c>
    </row>
    <row r="109" spans="1:7" x14ac:dyDescent="0.35">
      <c r="A109" s="10" t="s">
        <v>6253</v>
      </c>
      <c r="B109" s="12" t="s">
        <v>2714</v>
      </c>
      <c r="C109" s="11">
        <v>45713</v>
      </c>
      <c r="D109" s="12">
        <v>4</v>
      </c>
      <c r="E109" s="12">
        <v>9</v>
      </c>
      <c r="F109" s="13" t="s">
        <v>6160</v>
      </c>
      <c r="G109" t="str">
        <f>IFERROR(INDEX(Ticket!$B$2:$B$6001,MATCH(B109,Ticket!$A$2:$A$6001,0)),"Ticket introuvable")</f>
        <v>AG-025</v>
      </c>
    </row>
    <row r="110" spans="1:7" x14ac:dyDescent="0.35">
      <c r="A110" s="6" t="s">
        <v>6254</v>
      </c>
      <c r="B110" s="8" t="s">
        <v>3483</v>
      </c>
      <c r="C110" s="7">
        <v>45903</v>
      </c>
      <c r="D110" s="8">
        <v>4</v>
      </c>
      <c r="E110" s="8">
        <v>9</v>
      </c>
      <c r="F110" s="9" t="s">
        <v>75</v>
      </c>
      <c r="G110" t="str">
        <f>IFERROR(INDEX(Ticket!$B$2:$B$6001,MATCH(B110,Ticket!$A$2:$A$6001,0)),"Ticket introuvable")</f>
        <v>AG-039</v>
      </c>
    </row>
    <row r="111" spans="1:7" x14ac:dyDescent="0.35">
      <c r="A111" s="10" t="s">
        <v>6255</v>
      </c>
      <c r="B111" s="12" t="s">
        <v>3849</v>
      </c>
      <c r="C111" s="11">
        <v>45853</v>
      </c>
      <c r="D111" s="12">
        <v>3</v>
      </c>
      <c r="E111" s="12">
        <v>7</v>
      </c>
      <c r="F111" s="13" t="s">
        <v>6153</v>
      </c>
      <c r="G111" t="str">
        <f>IFERROR(INDEX(Ticket!$B$2:$B$6001,MATCH(B111,Ticket!$A$2:$A$6001,0)),"Ticket introuvable")</f>
        <v>AG-031</v>
      </c>
    </row>
    <row r="112" spans="1:7" x14ac:dyDescent="0.35">
      <c r="A112" s="6" t="s">
        <v>6256</v>
      </c>
      <c r="B112" s="8" t="s">
        <v>80</v>
      </c>
      <c r="C112" s="7">
        <v>45750</v>
      </c>
      <c r="D112" s="8"/>
      <c r="E112" s="8">
        <v>1</v>
      </c>
      <c r="F112" s="9" t="s">
        <v>75</v>
      </c>
      <c r="G112" t="str">
        <f>IFERROR(INDEX(Ticket!$B$2:$B$6001,MATCH(B112,Ticket!$A$2:$A$6001,0)),"Ticket introuvable")</f>
        <v>AG-032</v>
      </c>
    </row>
    <row r="113" spans="1:7" x14ac:dyDescent="0.35">
      <c r="A113" s="10" t="s">
        <v>6257</v>
      </c>
      <c r="B113" s="12" t="s">
        <v>1054</v>
      </c>
      <c r="C113" s="11">
        <v>45666</v>
      </c>
      <c r="D113" s="12">
        <v>5</v>
      </c>
      <c r="E113" s="12"/>
      <c r="F113" s="13" t="s">
        <v>6153</v>
      </c>
      <c r="G113" t="str">
        <f>IFERROR(INDEX(Ticket!$B$2:$B$6001,MATCH(B113,Ticket!$A$2:$A$6001,0)),"Ticket introuvable")</f>
        <v>AG-008</v>
      </c>
    </row>
    <row r="114" spans="1:7" x14ac:dyDescent="0.35">
      <c r="A114" s="6" t="s">
        <v>6258</v>
      </c>
      <c r="B114" s="8" t="s">
        <v>1377</v>
      </c>
      <c r="C114" s="7">
        <v>46005</v>
      </c>
      <c r="D114" s="8">
        <v>4</v>
      </c>
      <c r="E114" s="8">
        <v>7</v>
      </c>
      <c r="F114" s="9" t="s">
        <v>8363</v>
      </c>
      <c r="G114" t="str">
        <f>IFERROR(INDEX(Ticket!$B$2:$B$6001,MATCH(B114,Ticket!$A$2:$A$6001,0)),"Ticket introuvable")</f>
        <v>AG-028</v>
      </c>
    </row>
    <row r="115" spans="1:7" x14ac:dyDescent="0.35">
      <c r="A115" s="10" t="s">
        <v>6259</v>
      </c>
      <c r="B115" s="12" t="s">
        <v>5601</v>
      </c>
      <c r="C115" s="11">
        <v>45740</v>
      </c>
      <c r="D115" s="12">
        <v>3</v>
      </c>
      <c r="E115" s="12">
        <v>7</v>
      </c>
      <c r="F115" s="13" t="s">
        <v>6160</v>
      </c>
      <c r="G115" t="str">
        <f>IFERROR(INDEX(Ticket!$B$2:$B$6001,MATCH(B115,Ticket!$A$2:$A$6001,0)),"Ticket introuvable")</f>
        <v>AG-016</v>
      </c>
    </row>
    <row r="116" spans="1:7" x14ac:dyDescent="0.35">
      <c r="A116" s="6" t="s">
        <v>6260</v>
      </c>
      <c r="B116" s="8" t="s">
        <v>1598</v>
      </c>
      <c r="C116" s="7">
        <v>45755</v>
      </c>
      <c r="D116" s="8">
        <v>4</v>
      </c>
      <c r="E116" s="8">
        <v>8</v>
      </c>
      <c r="F116" s="9" t="s">
        <v>8363</v>
      </c>
      <c r="G116" t="str">
        <f>IFERROR(INDEX(Ticket!$B$2:$B$6001,MATCH(B116,Ticket!$A$2:$A$6001,0)),"Ticket introuvable")</f>
        <v>AG-018</v>
      </c>
    </row>
    <row r="117" spans="1:7" x14ac:dyDescent="0.35">
      <c r="A117" s="10" t="s">
        <v>6261</v>
      </c>
      <c r="B117" s="12" t="s">
        <v>5830</v>
      </c>
      <c r="C117" s="11">
        <v>45809</v>
      </c>
      <c r="D117" s="12">
        <v>5</v>
      </c>
      <c r="E117" s="12">
        <v>9</v>
      </c>
      <c r="F117" s="13" t="s">
        <v>6148</v>
      </c>
      <c r="G117" t="str">
        <f>IFERROR(INDEX(Ticket!$B$2:$B$6001,MATCH(B117,Ticket!$A$2:$A$6001,0)),"Ticket introuvable")</f>
        <v>AG-040</v>
      </c>
    </row>
    <row r="118" spans="1:7" x14ac:dyDescent="0.35">
      <c r="A118" s="6" t="s">
        <v>6262</v>
      </c>
      <c r="B118" s="8" t="s">
        <v>4316</v>
      </c>
      <c r="C118" s="7">
        <v>45869</v>
      </c>
      <c r="D118" s="8">
        <v>3</v>
      </c>
      <c r="E118" s="8">
        <v>10</v>
      </c>
      <c r="F118" s="9" t="s">
        <v>6153</v>
      </c>
      <c r="G118" t="str">
        <f>IFERROR(INDEX(Ticket!$B$2:$B$6001,MATCH(B118,Ticket!$A$2:$A$6001,0)),"Ticket introuvable")</f>
        <v>AG-029</v>
      </c>
    </row>
    <row r="119" spans="1:7" x14ac:dyDescent="0.35">
      <c r="A119" s="10" t="s">
        <v>6263</v>
      </c>
      <c r="B119" s="12" t="s">
        <v>5127</v>
      </c>
      <c r="C119" s="11">
        <v>45927</v>
      </c>
      <c r="D119" s="12">
        <v>3</v>
      </c>
      <c r="E119" s="12">
        <v>9</v>
      </c>
      <c r="F119" s="13" t="s">
        <v>75</v>
      </c>
      <c r="G119" t="str">
        <f>IFERROR(INDEX(Ticket!$B$2:$B$6001,MATCH(B119,Ticket!$A$2:$A$6001,0)),"Ticket introuvable")</f>
        <v>AG-032</v>
      </c>
    </row>
    <row r="120" spans="1:7" x14ac:dyDescent="0.35">
      <c r="A120" s="6" t="s">
        <v>6264</v>
      </c>
      <c r="B120" s="8" t="s">
        <v>1861</v>
      </c>
      <c r="C120" s="7">
        <v>45817</v>
      </c>
      <c r="D120" s="8">
        <v>3</v>
      </c>
      <c r="E120" s="8">
        <v>9</v>
      </c>
      <c r="F120" s="9" t="s">
        <v>6153</v>
      </c>
      <c r="G120" t="str">
        <f>IFERROR(INDEX(Ticket!$B$2:$B$6001,MATCH(B120,Ticket!$A$2:$A$6001,0)),"Ticket introuvable")</f>
        <v>AG-032</v>
      </c>
    </row>
    <row r="121" spans="1:7" x14ac:dyDescent="0.35">
      <c r="A121" s="10" t="s">
        <v>6265</v>
      </c>
      <c r="B121" s="12" t="s">
        <v>84</v>
      </c>
      <c r="C121" s="11">
        <v>45964</v>
      </c>
      <c r="D121" s="12">
        <v>5</v>
      </c>
      <c r="E121" s="12">
        <v>5</v>
      </c>
      <c r="F121" s="13" t="s">
        <v>6160</v>
      </c>
      <c r="G121" t="str">
        <f>IFERROR(INDEX(Ticket!$B$2:$B$6001,MATCH(B121,Ticket!$A$2:$A$6001,0)),"Ticket introuvable")</f>
        <v>AG-028</v>
      </c>
    </row>
    <row r="122" spans="1:7" x14ac:dyDescent="0.35">
      <c r="A122" s="6" t="s">
        <v>6266</v>
      </c>
      <c r="B122" s="8" t="s">
        <v>2699</v>
      </c>
      <c r="C122" s="7">
        <v>45669</v>
      </c>
      <c r="D122" s="8">
        <v>3</v>
      </c>
      <c r="E122" s="8">
        <v>10</v>
      </c>
      <c r="F122" s="9" t="s">
        <v>8363</v>
      </c>
      <c r="G122" t="str">
        <f>IFERROR(INDEX(Ticket!$B$2:$B$6001,MATCH(B122,Ticket!$A$2:$A$6001,0)),"Ticket introuvable")</f>
        <v>AG-013</v>
      </c>
    </row>
    <row r="123" spans="1:7" x14ac:dyDescent="0.35">
      <c r="A123" s="10" t="s">
        <v>6267</v>
      </c>
      <c r="B123" s="12" t="s">
        <v>5859</v>
      </c>
      <c r="C123" s="11">
        <v>45916</v>
      </c>
      <c r="D123" s="12">
        <v>5</v>
      </c>
      <c r="E123" s="12">
        <v>7</v>
      </c>
      <c r="F123" s="13" t="s">
        <v>6160</v>
      </c>
      <c r="G123" t="str">
        <f>IFERROR(INDEX(Ticket!$B$2:$B$6001,MATCH(B123,Ticket!$A$2:$A$6001,0)),"Ticket introuvable")</f>
        <v>AG-013</v>
      </c>
    </row>
    <row r="124" spans="1:7" x14ac:dyDescent="0.35">
      <c r="A124" s="6" t="s">
        <v>6268</v>
      </c>
      <c r="B124" s="8" t="s">
        <v>2842</v>
      </c>
      <c r="C124" s="7">
        <v>45758</v>
      </c>
      <c r="D124" s="8">
        <v>5</v>
      </c>
      <c r="E124" s="8">
        <v>6</v>
      </c>
      <c r="F124" s="9" t="s">
        <v>75</v>
      </c>
      <c r="G124" t="str">
        <f>IFERROR(INDEX(Ticket!$B$2:$B$6001,MATCH(B124,Ticket!$A$2:$A$6001,0)),"Ticket introuvable")</f>
        <v>AG-017</v>
      </c>
    </row>
    <row r="125" spans="1:7" x14ac:dyDescent="0.35">
      <c r="A125" s="10" t="s">
        <v>6269</v>
      </c>
      <c r="B125" s="12" t="s">
        <v>1727</v>
      </c>
      <c r="C125" s="11">
        <v>45892</v>
      </c>
      <c r="D125" s="12">
        <v>5</v>
      </c>
      <c r="E125" s="12">
        <v>10</v>
      </c>
      <c r="F125" s="13" t="s">
        <v>75</v>
      </c>
      <c r="G125" t="str">
        <f>IFERROR(INDEX(Ticket!$B$2:$B$6001,MATCH(B125,Ticket!$A$2:$A$6001,0)),"Ticket introuvable")</f>
        <v>AG-037</v>
      </c>
    </row>
    <row r="126" spans="1:7" x14ac:dyDescent="0.35">
      <c r="A126" s="6" t="s">
        <v>6270</v>
      </c>
      <c r="B126" s="8" t="s">
        <v>5689</v>
      </c>
      <c r="C126" s="7">
        <v>45966</v>
      </c>
      <c r="D126" s="8">
        <v>4</v>
      </c>
      <c r="E126" s="8">
        <v>6</v>
      </c>
      <c r="F126" s="9" t="s">
        <v>8363</v>
      </c>
      <c r="G126" t="str">
        <f>IFERROR(INDEX(Ticket!$B$2:$B$6001,MATCH(B126,Ticket!$A$2:$A$6001,0)),"Ticket introuvable")</f>
        <v>AG-006</v>
      </c>
    </row>
    <row r="127" spans="1:7" x14ac:dyDescent="0.35">
      <c r="A127" s="10" t="s">
        <v>6271</v>
      </c>
      <c r="B127" s="12" t="s">
        <v>5677</v>
      </c>
      <c r="C127" s="11">
        <v>45897</v>
      </c>
      <c r="D127" s="12">
        <v>4</v>
      </c>
      <c r="E127" s="12">
        <v>6</v>
      </c>
      <c r="F127" s="13" t="s">
        <v>6142</v>
      </c>
      <c r="G127" t="str">
        <f>IFERROR(INDEX(Ticket!$B$2:$B$6001,MATCH(B127,Ticket!$A$2:$A$6001,0)),"Ticket introuvable")</f>
        <v>AG-033</v>
      </c>
    </row>
    <row r="128" spans="1:7" x14ac:dyDescent="0.35">
      <c r="A128" s="6" t="s">
        <v>6272</v>
      </c>
      <c r="B128" s="8" t="s">
        <v>1765</v>
      </c>
      <c r="C128" s="7">
        <v>45965</v>
      </c>
      <c r="D128" s="8">
        <v>3</v>
      </c>
      <c r="E128" s="8">
        <v>3</v>
      </c>
      <c r="F128" s="9" t="s">
        <v>6142</v>
      </c>
      <c r="G128" t="str">
        <f>IFERROR(INDEX(Ticket!$B$2:$B$6001,MATCH(B128,Ticket!$A$2:$A$6001,0)),"Ticket introuvable")</f>
        <v>AG-033</v>
      </c>
    </row>
    <row r="129" spans="1:7" x14ac:dyDescent="0.35">
      <c r="A129" s="10" t="s">
        <v>6273</v>
      </c>
      <c r="B129" s="12" t="s">
        <v>1025</v>
      </c>
      <c r="C129" s="11">
        <v>46023</v>
      </c>
      <c r="D129" s="12">
        <v>2</v>
      </c>
      <c r="E129" s="12">
        <v>8</v>
      </c>
      <c r="F129" s="13" t="s">
        <v>6142</v>
      </c>
      <c r="G129" t="str">
        <f>IFERROR(INDEX(Ticket!$B$2:$B$6001,MATCH(B129,Ticket!$A$2:$A$6001,0)),"Ticket introuvable")</f>
        <v>AG-012</v>
      </c>
    </row>
    <row r="130" spans="1:7" x14ac:dyDescent="0.35">
      <c r="A130" s="6" t="s">
        <v>6274</v>
      </c>
      <c r="B130" s="8" t="s">
        <v>2749</v>
      </c>
      <c r="C130" s="7">
        <v>45813</v>
      </c>
      <c r="D130" s="8">
        <v>3</v>
      </c>
      <c r="E130" s="8">
        <v>10</v>
      </c>
      <c r="F130" s="9" t="s">
        <v>6160</v>
      </c>
      <c r="G130" t="str">
        <f>IFERROR(INDEX(Ticket!$B$2:$B$6001,MATCH(B130,Ticket!$A$2:$A$6001,0)),"Ticket introuvable")</f>
        <v>AG-003</v>
      </c>
    </row>
    <row r="131" spans="1:7" x14ac:dyDescent="0.35">
      <c r="A131" s="10" t="s">
        <v>6275</v>
      </c>
      <c r="B131" s="12" t="s">
        <v>2499</v>
      </c>
      <c r="C131" s="11">
        <v>45982</v>
      </c>
      <c r="D131" s="12">
        <v>3</v>
      </c>
      <c r="E131" s="12">
        <v>10</v>
      </c>
      <c r="F131" s="13" t="s">
        <v>6148</v>
      </c>
      <c r="G131" t="str">
        <f>IFERROR(INDEX(Ticket!$B$2:$B$6001,MATCH(B131,Ticket!$A$2:$A$6001,0)),"Ticket introuvable")</f>
        <v>AG-012</v>
      </c>
    </row>
    <row r="132" spans="1:7" x14ac:dyDescent="0.35">
      <c r="A132" s="6" t="s">
        <v>6276</v>
      </c>
      <c r="B132" s="8" t="s">
        <v>1884</v>
      </c>
      <c r="C132" s="7">
        <v>46017</v>
      </c>
      <c r="D132" s="8"/>
      <c r="E132" s="8">
        <v>2</v>
      </c>
      <c r="F132" s="9" t="s">
        <v>6153</v>
      </c>
      <c r="G132" t="str">
        <f>IFERROR(INDEX(Ticket!$B$2:$B$6001,MATCH(B132,Ticket!$A$2:$A$6001,0)),"Ticket introuvable")</f>
        <v>AG-038</v>
      </c>
    </row>
    <row r="133" spans="1:7" x14ac:dyDescent="0.35">
      <c r="A133" s="10" t="s">
        <v>6277</v>
      </c>
      <c r="B133" s="12" t="s">
        <v>3853</v>
      </c>
      <c r="C133" s="11">
        <v>45684</v>
      </c>
      <c r="D133" s="12">
        <v>3</v>
      </c>
      <c r="E133" s="12">
        <v>9</v>
      </c>
      <c r="F133" s="13" t="s">
        <v>6153</v>
      </c>
      <c r="G133" t="str">
        <f>IFERROR(INDEX(Ticket!$B$2:$B$6001,MATCH(B133,Ticket!$A$2:$A$6001,0)),"Ticket introuvable")</f>
        <v>AG-039</v>
      </c>
    </row>
    <row r="134" spans="1:7" x14ac:dyDescent="0.35">
      <c r="A134" s="6" t="s">
        <v>6278</v>
      </c>
      <c r="B134" s="8" t="s">
        <v>4967</v>
      </c>
      <c r="C134" s="7">
        <v>45870</v>
      </c>
      <c r="D134" s="8">
        <v>1</v>
      </c>
      <c r="E134" s="8">
        <v>9</v>
      </c>
      <c r="F134" s="9" t="s">
        <v>6153</v>
      </c>
      <c r="G134" t="str">
        <f>IFERROR(INDEX(Ticket!$B$2:$B$6001,MATCH(B134,Ticket!$A$2:$A$6001,0)),"Ticket introuvable")</f>
        <v>AG-010</v>
      </c>
    </row>
    <row r="135" spans="1:7" x14ac:dyDescent="0.35">
      <c r="A135" s="10" t="s">
        <v>6279</v>
      </c>
      <c r="B135" s="12" t="s">
        <v>3405</v>
      </c>
      <c r="C135" s="11">
        <v>45874</v>
      </c>
      <c r="D135" s="12">
        <v>4</v>
      </c>
      <c r="E135" s="12">
        <v>9</v>
      </c>
      <c r="F135" s="13" t="s">
        <v>6153</v>
      </c>
      <c r="G135" t="str">
        <f>IFERROR(INDEX(Ticket!$B$2:$B$6001,MATCH(B135,Ticket!$A$2:$A$6001,0)),"Ticket introuvable")</f>
        <v>AG-003</v>
      </c>
    </row>
    <row r="136" spans="1:7" x14ac:dyDescent="0.35">
      <c r="A136" s="6" t="s">
        <v>6280</v>
      </c>
      <c r="B136" s="8" t="s">
        <v>3805</v>
      </c>
      <c r="C136" s="7">
        <v>45906</v>
      </c>
      <c r="D136" s="8">
        <v>5</v>
      </c>
      <c r="E136" s="8">
        <v>9</v>
      </c>
      <c r="F136" s="9" t="s">
        <v>8363</v>
      </c>
      <c r="G136" t="str">
        <f>IFERROR(INDEX(Ticket!$B$2:$B$6001,MATCH(B136,Ticket!$A$2:$A$6001,0)),"Ticket introuvable")</f>
        <v>AG-025</v>
      </c>
    </row>
    <row r="137" spans="1:7" x14ac:dyDescent="0.35">
      <c r="A137" s="10" t="s">
        <v>6281</v>
      </c>
      <c r="B137" s="12" t="s">
        <v>4000</v>
      </c>
      <c r="C137" s="11">
        <v>45934</v>
      </c>
      <c r="D137" s="12">
        <v>5</v>
      </c>
      <c r="E137" s="12">
        <v>4</v>
      </c>
      <c r="F137" s="13" t="s">
        <v>75</v>
      </c>
      <c r="G137" t="str">
        <f>IFERROR(INDEX(Ticket!$B$2:$B$6001,MATCH(B137,Ticket!$A$2:$A$6001,0)),"Ticket introuvable")</f>
        <v>AG-034</v>
      </c>
    </row>
    <row r="138" spans="1:7" x14ac:dyDescent="0.35">
      <c r="A138" s="6" t="s">
        <v>6282</v>
      </c>
      <c r="B138" s="8" t="s">
        <v>5303</v>
      </c>
      <c r="C138" s="7">
        <v>46011</v>
      </c>
      <c r="D138" s="8">
        <v>5</v>
      </c>
      <c r="E138" s="8">
        <v>9</v>
      </c>
      <c r="F138" s="9" t="s">
        <v>6160</v>
      </c>
      <c r="G138" t="str">
        <f>IFERROR(INDEX(Ticket!$B$2:$B$6001,MATCH(B138,Ticket!$A$2:$A$6001,0)),"Ticket introuvable")</f>
        <v>AG-020</v>
      </c>
    </row>
    <row r="139" spans="1:7" x14ac:dyDescent="0.35">
      <c r="A139" s="10" t="s">
        <v>6283</v>
      </c>
      <c r="B139" s="12" t="s">
        <v>3558</v>
      </c>
      <c r="C139" s="11">
        <v>45714</v>
      </c>
      <c r="D139" s="12">
        <v>5</v>
      </c>
      <c r="E139" s="12">
        <v>10</v>
      </c>
      <c r="F139" s="13" t="s">
        <v>8363</v>
      </c>
      <c r="G139" t="str">
        <f>IFERROR(INDEX(Ticket!$B$2:$B$6001,MATCH(B139,Ticket!$A$2:$A$6001,0)),"Ticket introuvable")</f>
        <v>AG-027</v>
      </c>
    </row>
    <row r="140" spans="1:7" x14ac:dyDescent="0.35">
      <c r="A140" s="6" t="s">
        <v>6284</v>
      </c>
      <c r="B140" s="8" t="s">
        <v>3984</v>
      </c>
      <c r="C140" s="7">
        <v>45702</v>
      </c>
      <c r="D140" s="8">
        <v>4</v>
      </c>
      <c r="E140" s="8">
        <v>5</v>
      </c>
      <c r="F140" s="9" t="s">
        <v>6148</v>
      </c>
      <c r="G140" t="str">
        <f>IFERROR(INDEX(Ticket!$B$2:$B$6001,MATCH(B140,Ticket!$A$2:$A$6001,0)),"Ticket introuvable")</f>
        <v>AG-033</v>
      </c>
    </row>
    <row r="141" spans="1:7" x14ac:dyDescent="0.35">
      <c r="A141" s="10" t="s">
        <v>6285</v>
      </c>
      <c r="B141" s="12" t="s">
        <v>3177</v>
      </c>
      <c r="C141" s="11">
        <v>45768</v>
      </c>
      <c r="D141" s="12"/>
      <c r="E141" s="12">
        <v>8</v>
      </c>
      <c r="F141" s="13" t="s">
        <v>8363</v>
      </c>
      <c r="G141" t="str">
        <f>IFERROR(INDEX(Ticket!$B$2:$B$6001,MATCH(B141,Ticket!$A$2:$A$6001,0)),"Ticket introuvable")</f>
        <v>AG-003</v>
      </c>
    </row>
    <row r="142" spans="1:7" x14ac:dyDescent="0.35">
      <c r="A142" s="6" t="s">
        <v>6286</v>
      </c>
      <c r="B142" s="8" t="s">
        <v>2711</v>
      </c>
      <c r="C142" s="7">
        <v>45669</v>
      </c>
      <c r="D142" s="8">
        <v>4</v>
      </c>
      <c r="E142" s="8">
        <v>4</v>
      </c>
      <c r="F142" s="9" t="s">
        <v>75</v>
      </c>
      <c r="G142" t="str">
        <f>IFERROR(INDEX(Ticket!$B$2:$B$6001,MATCH(B142,Ticket!$A$2:$A$6001,0)),"Ticket introuvable")</f>
        <v>AG-039</v>
      </c>
    </row>
    <row r="143" spans="1:7" x14ac:dyDescent="0.35">
      <c r="A143" s="10" t="s">
        <v>6287</v>
      </c>
      <c r="B143" s="12" t="s">
        <v>863</v>
      </c>
      <c r="C143" s="11">
        <v>46004</v>
      </c>
      <c r="D143" s="12">
        <v>5</v>
      </c>
      <c r="E143" s="12"/>
      <c r="F143" s="13" t="s">
        <v>6148</v>
      </c>
      <c r="G143" t="str">
        <f>IFERROR(INDEX(Ticket!$B$2:$B$6001,MATCH(B143,Ticket!$A$2:$A$6001,0)),"Ticket introuvable")</f>
        <v>AG-013</v>
      </c>
    </row>
    <row r="144" spans="1:7" x14ac:dyDescent="0.35">
      <c r="A144" s="6" t="s">
        <v>6288</v>
      </c>
      <c r="B144" s="8" t="s">
        <v>5570</v>
      </c>
      <c r="C144" s="7">
        <v>45690</v>
      </c>
      <c r="D144" s="8">
        <v>5</v>
      </c>
      <c r="E144" s="8">
        <v>10</v>
      </c>
      <c r="F144" s="9" t="s">
        <v>8363</v>
      </c>
      <c r="G144" t="str">
        <f>IFERROR(INDEX(Ticket!$B$2:$B$6001,MATCH(B144,Ticket!$A$2:$A$6001,0)),"Ticket introuvable")</f>
        <v>AG-023</v>
      </c>
    </row>
    <row r="145" spans="1:7" x14ac:dyDescent="0.35">
      <c r="A145" s="10" t="s">
        <v>6289</v>
      </c>
      <c r="B145" s="12" t="s">
        <v>4826</v>
      </c>
      <c r="C145" s="11">
        <v>46015</v>
      </c>
      <c r="D145" s="12">
        <v>5</v>
      </c>
      <c r="E145" s="12"/>
      <c r="F145" s="13" t="s">
        <v>6153</v>
      </c>
      <c r="G145" t="str">
        <f>IFERROR(INDEX(Ticket!$B$2:$B$6001,MATCH(B145,Ticket!$A$2:$A$6001,0)),"Ticket introuvable")</f>
        <v>AG-008</v>
      </c>
    </row>
    <row r="146" spans="1:7" x14ac:dyDescent="0.35">
      <c r="A146" s="6" t="s">
        <v>6290</v>
      </c>
      <c r="B146" s="8" t="s">
        <v>3847</v>
      </c>
      <c r="C146" s="7">
        <v>45722</v>
      </c>
      <c r="D146" s="8">
        <v>3</v>
      </c>
      <c r="E146" s="8">
        <v>6</v>
      </c>
      <c r="F146" s="9" t="s">
        <v>6142</v>
      </c>
      <c r="G146" t="str">
        <f>IFERROR(INDEX(Ticket!$B$2:$B$6001,MATCH(B146,Ticket!$A$2:$A$6001,0)),"Ticket introuvable")</f>
        <v>AG-035</v>
      </c>
    </row>
    <row r="147" spans="1:7" x14ac:dyDescent="0.35">
      <c r="A147" s="10" t="s">
        <v>6291</v>
      </c>
      <c r="B147" s="12" t="s">
        <v>1453</v>
      </c>
      <c r="C147" s="11">
        <v>45890</v>
      </c>
      <c r="D147" s="12">
        <v>3</v>
      </c>
      <c r="E147" s="12">
        <v>6</v>
      </c>
      <c r="F147" s="13" t="s">
        <v>6148</v>
      </c>
      <c r="G147" t="str">
        <f>IFERROR(INDEX(Ticket!$B$2:$B$6001,MATCH(B147,Ticket!$A$2:$A$6001,0)),"Ticket introuvable")</f>
        <v>AG-028</v>
      </c>
    </row>
    <row r="148" spans="1:7" x14ac:dyDescent="0.35">
      <c r="A148" s="6" t="s">
        <v>6292</v>
      </c>
      <c r="B148" s="8" t="s">
        <v>1204</v>
      </c>
      <c r="C148" s="7">
        <v>45948</v>
      </c>
      <c r="D148" s="8">
        <v>4</v>
      </c>
      <c r="E148" s="8">
        <v>10</v>
      </c>
      <c r="F148" s="9" t="s">
        <v>6148</v>
      </c>
      <c r="G148" t="str">
        <f>IFERROR(INDEX(Ticket!$B$2:$B$6001,MATCH(B148,Ticket!$A$2:$A$6001,0)),"Ticket introuvable")</f>
        <v>AG-003</v>
      </c>
    </row>
    <row r="149" spans="1:7" x14ac:dyDescent="0.35">
      <c r="A149" s="10" t="s">
        <v>6293</v>
      </c>
      <c r="B149" s="12" t="s">
        <v>1297</v>
      </c>
      <c r="C149" s="11">
        <v>45813</v>
      </c>
      <c r="D149" s="12">
        <v>3</v>
      </c>
      <c r="E149" s="12">
        <v>4</v>
      </c>
      <c r="F149" s="13" t="s">
        <v>75</v>
      </c>
      <c r="G149" t="str">
        <f>IFERROR(INDEX(Ticket!$B$2:$B$6001,MATCH(B149,Ticket!$A$2:$A$6001,0)),"Ticket introuvable")</f>
        <v>AG-014</v>
      </c>
    </row>
    <row r="150" spans="1:7" x14ac:dyDescent="0.35">
      <c r="A150" s="6" t="s">
        <v>6294</v>
      </c>
      <c r="B150" s="8" t="s">
        <v>4398</v>
      </c>
      <c r="C150" s="7">
        <v>45864</v>
      </c>
      <c r="D150" s="8">
        <v>4</v>
      </c>
      <c r="E150" s="8">
        <v>8</v>
      </c>
      <c r="F150" s="9" t="s">
        <v>6148</v>
      </c>
      <c r="G150" t="str">
        <f>IFERROR(INDEX(Ticket!$B$2:$B$6001,MATCH(B150,Ticket!$A$2:$A$6001,0)),"Ticket introuvable")</f>
        <v>AG-024</v>
      </c>
    </row>
    <row r="151" spans="1:7" x14ac:dyDescent="0.35">
      <c r="A151" s="10" t="s">
        <v>6295</v>
      </c>
      <c r="B151" s="12" t="s">
        <v>974</v>
      </c>
      <c r="C151" s="11">
        <v>45903</v>
      </c>
      <c r="D151" s="12">
        <v>5</v>
      </c>
      <c r="E151" s="12">
        <v>8</v>
      </c>
      <c r="F151" s="13" t="s">
        <v>6153</v>
      </c>
      <c r="G151" t="str">
        <f>IFERROR(INDEX(Ticket!$B$2:$B$6001,MATCH(B151,Ticket!$A$2:$A$6001,0)),"Ticket introuvable")</f>
        <v>AG-038</v>
      </c>
    </row>
    <row r="152" spans="1:7" x14ac:dyDescent="0.35">
      <c r="A152" s="6" t="s">
        <v>6296</v>
      </c>
      <c r="B152" s="8" t="s">
        <v>3327</v>
      </c>
      <c r="C152" s="7">
        <v>45748</v>
      </c>
      <c r="D152" s="8"/>
      <c r="E152" s="8">
        <v>9</v>
      </c>
      <c r="F152" s="9" t="s">
        <v>75</v>
      </c>
      <c r="G152" t="str">
        <f>IFERROR(INDEX(Ticket!$B$2:$B$6001,MATCH(B152,Ticket!$A$2:$A$6001,0)),"Ticket introuvable")</f>
        <v>AG-040</v>
      </c>
    </row>
    <row r="153" spans="1:7" x14ac:dyDescent="0.35">
      <c r="A153" s="10" t="s">
        <v>6297</v>
      </c>
      <c r="B153" s="12" t="s">
        <v>5279</v>
      </c>
      <c r="C153" s="11">
        <v>45910</v>
      </c>
      <c r="D153" s="12">
        <v>5</v>
      </c>
      <c r="E153" s="12">
        <v>6</v>
      </c>
      <c r="F153" s="13" t="s">
        <v>8363</v>
      </c>
      <c r="G153" t="str">
        <f>IFERROR(INDEX(Ticket!$B$2:$B$6001,MATCH(B153,Ticket!$A$2:$A$6001,0)),"Ticket introuvable")</f>
        <v>AG-035</v>
      </c>
    </row>
    <row r="154" spans="1:7" x14ac:dyDescent="0.35">
      <c r="A154" s="6" t="s">
        <v>6298</v>
      </c>
      <c r="B154" s="8" t="s">
        <v>5826</v>
      </c>
      <c r="C154" s="7">
        <v>45818</v>
      </c>
      <c r="D154" s="8">
        <v>3</v>
      </c>
      <c r="E154" s="8">
        <v>7</v>
      </c>
      <c r="F154" s="9" t="s">
        <v>8363</v>
      </c>
      <c r="G154" t="str">
        <f>IFERROR(INDEX(Ticket!$B$2:$B$6001,MATCH(B154,Ticket!$A$2:$A$6001,0)),"Ticket introuvable")</f>
        <v>AG-013</v>
      </c>
    </row>
    <row r="155" spans="1:7" x14ac:dyDescent="0.35">
      <c r="A155" s="10" t="s">
        <v>6299</v>
      </c>
      <c r="B155" s="12" t="s">
        <v>4173</v>
      </c>
      <c r="C155" s="11">
        <v>45833</v>
      </c>
      <c r="D155" s="12">
        <v>3</v>
      </c>
      <c r="E155" s="12"/>
      <c r="F155" s="13" t="s">
        <v>6160</v>
      </c>
      <c r="G155" t="str">
        <f>IFERROR(INDEX(Ticket!$B$2:$B$6001,MATCH(B155,Ticket!$A$2:$A$6001,0)),"Ticket introuvable")</f>
        <v>AG-005</v>
      </c>
    </row>
    <row r="156" spans="1:7" x14ac:dyDescent="0.35">
      <c r="A156" s="6" t="s">
        <v>6300</v>
      </c>
      <c r="B156" s="8" t="s">
        <v>4718</v>
      </c>
      <c r="C156" s="7">
        <v>45860</v>
      </c>
      <c r="D156" s="8">
        <v>2</v>
      </c>
      <c r="E156" s="8">
        <v>6</v>
      </c>
      <c r="F156" s="9" t="s">
        <v>75</v>
      </c>
      <c r="G156" t="str">
        <f>IFERROR(INDEX(Ticket!$B$2:$B$6001,MATCH(B156,Ticket!$A$2:$A$6001,0)),"Ticket introuvable")</f>
        <v>AG-016</v>
      </c>
    </row>
    <row r="157" spans="1:7" x14ac:dyDescent="0.35">
      <c r="A157" s="10" t="s">
        <v>6301</v>
      </c>
      <c r="B157" s="12" t="s">
        <v>2449</v>
      </c>
      <c r="C157" s="11">
        <v>45758</v>
      </c>
      <c r="D157" s="12">
        <v>4</v>
      </c>
      <c r="E157" s="12">
        <v>7</v>
      </c>
      <c r="F157" s="13" t="s">
        <v>6148</v>
      </c>
      <c r="G157" t="str">
        <f>IFERROR(INDEX(Ticket!$B$2:$B$6001,MATCH(B157,Ticket!$A$2:$A$6001,0)),"Ticket introuvable")</f>
        <v>AG-036</v>
      </c>
    </row>
    <row r="158" spans="1:7" x14ac:dyDescent="0.35">
      <c r="A158" s="6" t="s">
        <v>6302</v>
      </c>
      <c r="B158" s="8" t="s">
        <v>4939</v>
      </c>
      <c r="C158" s="7">
        <v>45851</v>
      </c>
      <c r="D158" s="8">
        <v>4</v>
      </c>
      <c r="E158" s="8">
        <v>7</v>
      </c>
      <c r="F158" s="9" t="s">
        <v>8363</v>
      </c>
      <c r="G158" t="str">
        <f>IFERROR(INDEX(Ticket!$B$2:$B$6001,MATCH(B158,Ticket!$A$2:$A$6001,0)),"Ticket introuvable")</f>
        <v>AG-014</v>
      </c>
    </row>
    <row r="159" spans="1:7" x14ac:dyDescent="0.35">
      <c r="A159" s="10" t="s">
        <v>6303</v>
      </c>
      <c r="B159" s="12" t="s">
        <v>1295</v>
      </c>
      <c r="C159" s="11">
        <v>45679</v>
      </c>
      <c r="D159" s="12">
        <v>4</v>
      </c>
      <c r="E159" s="12">
        <v>7</v>
      </c>
      <c r="F159" s="13" t="s">
        <v>6153</v>
      </c>
      <c r="G159" t="str">
        <f>IFERROR(INDEX(Ticket!$B$2:$B$6001,MATCH(B159,Ticket!$A$2:$A$6001,0)),"Ticket introuvable")</f>
        <v>AG-015</v>
      </c>
    </row>
    <row r="160" spans="1:7" x14ac:dyDescent="0.35">
      <c r="A160" s="6" t="s">
        <v>6304</v>
      </c>
      <c r="B160" s="8" t="s">
        <v>5744</v>
      </c>
      <c r="C160" s="7">
        <v>45697</v>
      </c>
      <c r="D160" s="8">
        <v>5</v>
      </c>
      <c r="E160" s="8">
        <v>6</v>
      </c>
      <c r="F160" s="9" t="s">
        <v>6142</v>
      </c>
      <c r="G160" t="str">
        <f>IFERROR(INDEX(Ticket!$B$2:$B$6001,MATCH(B160,Ticket!$A$2:$A$6001,0)),"Ticket introuvable")</f>
        <v>AG-039</v>
      </c>
    </row>
    <row r="161" spans="1:7" x14ac:dyDescent="0.35">
      <c r="A161" s="10" t="s">
        <v>6305</v>
      </c>
      <c r="B161" s="12" t="s">
        <v>4890</v>
      </c>
      <c r="C161" s="11">
        <v>45921</v>
      </c>
      <c r="D161" s="12">
        <v>1</v>
      </c>
      <c r="E161" s="12">
        <v>5</v>
      </c>
      <c r="F161" s="13" t="s">
        <v>8363</v>
      </c>
      <c r="G161" t="str">
        <f>IFERROR(INDEX(Ticket!$B$2:$B$6001,MATCH(B161,Ticket!$A$2:$A$6001,0)),"Ticket introuvable")</f>
        <v>AG-037</v>
      </c>
    </row>
    <row r="162" spans="1:7" x14ac:dyDescent="0.35">
      <c r="A162" s="6" t="s">
        <v>6306</v>
      </c>
      <c r="B162" s="8" t="s">
        <v>4866</v>
      </c>
      <c r="C162" s="7">
        <v>45938</v>
      </c>
      <c r="D162" s="8"/>
      <c r="E162" s="8">
        <v>4</v>
      </c>
      <c r="F162" s="9" t="s">
        <v>75</v>
      </c>
      <c r="G162" t="str">
        <f>IFERROR(INDEX(Ticket!$B$2:$B$6001,MATCH(B162,Ticket!$A$2:$A$6001,0)),"Ticket introuvable")</f>
        <v>AG-013</v>
      </c>
    </row>
    <row r="163" spans="1:7" x14ac:dyDescent="0.35">
      <c r="A163" s="10" t="s">
        <v>6307</v>
      </c>
      <c r="B163" s="12" t="s">
        <v>1419</v>
      </c>
      <c r="C163" s="11">
        <v>45899</v>
      </c>
      <c r="D163" s="12">
        <v>5</v>
      </c>
      <c r="E163" s="12">
        <v>10</v>
      </c>
      <c r="F163" s="13" t="s">
        <v>6148</v>
      </c>
      <c r="G163" t="str">
        <f>IFERROR(INDEX(Ticket!$B$2:$B$6001,MATCH(B163,Ticket!$A$2:$A$6001,0)),"Ticket introuvable")</f>
        <v>AG-040</v>
      </c>
    </row>
    <row r="164" spans="1:7" x14ac:dyDescent="0.35">
      <c r="A164" s="6" t="s">
        <v>6308</v>
      </c>
      <c r="B164" s="8" t="s">
        <v>3937</v>
      </c>
      <c r="C164" s="7">
        <v>46003</v>
      </c>
      <c r="D164" s="8">
        <v>5</v>
      </c>
      <c r="E164" s="8">
        <v>7</v>
      </c>
      <c r="F164" s="9" t="s">
        <v>6153</v>
      </c>
      <c r="G164" t="str">
        <f>IFERROR(INDEX(Ticket!$B$2:$B$6001,MATCH(B164,Ticket!$A$2:$A$6001,0)),"Ticket introuvable")</f>
        <v>AG-028</v>
      </c>
    </row>
    <row r="165" spans="1:7" x14ac:dyDescent="0.35">
      <c r="A165" s="10" t="s">
        <v>6309</v>
      </c>
      <c r="B165" s="12" t="s">
        <v>5008</v>
      </c>
      <c r="C165" s="11">
        <v>45993</v>
      </c>
      <c r="D165" s="12">
        <v>4</v>
      </c>
      <c r="E165" s="12">
        <v>4</v>
      </c>
      <c r="F165" s="13" t="s">
        <v>8363</v>
      </c>
      <c r="G165" t="str">
        <f>IFERROR(INDEX(Ticket!$B$2:$B$6001,MATCH(B165,Ticket!$A$2:$A$6001,0)),"Ticket introuvable")</f>
        <v>AG-033</v>
      </c>
    </row>
    <row r="166" spans="1:7" x14ac:dyDescent="0.35">
      <c r="A166" s="6" t="s">
        <v>6310</v>
      </c>
      <c r="B166" s="8" t="s">
        <v>8147</v>
      </c>
      <c r="C166" s="7">
        <v>46005</v>
      </c>
      <c r="D166" s="8">
        <v>4</v>
      </c>
      <c r="E166" s="8">
        <v>3</v>
      </c>
      <c r="F166" s="9" t="s">
        <v>6148</v>
      </c>
      <c r="G166" t="str">
        <f>IFERROR(INDEX(Ticket!$B$2:$B$6001,MATCH(B166,Ticket!$A$2:$A$6001,0)),"Ticket introuvable")</f>
        <v>Ticket introuvable</v>
      </c>
    </row>
    <row r="167" spans="1:7" x14ac:dyDescent="0.35">
      <c r="A167" s="10" t="s">
        <v>6311</v>
      </c>
      <c r="B167" s="12" t="s">
        <v>2127</v>
      </c>
      <c r="C167" s="11">
        <v>45889</v>
      </c>
      <c r="D167" s="12">
        <v>5</v>
      </c>
      <c r="E167" s="12">
        <v>7</v>
      </c>
      <c r="F167" s="13" t="s">
        <v>6142</v>
      </c>
      <c r="G167" t="str">
        <f>IFERROR(INDEX(Ticket!$B$2:$B$6001,MATCH(B167,Ticket!$A$2:$A$6001,0)),"Ticket introuvable")</f>
        <v>AG-038</v>
      </c>
    </row>
    <row r="168" spans="1:7" x14ac:dyDescent="0.35">
      <c r="A168" s="6" t="s">
        <v>6312</v>
      </c>
      <c r="B168" s="8" t="s">
        <v>1198</v>
      </c>
      <c r="C168" s="7">
        <v>45947</v>
      </c>
      <c r="D168" s="8">
        <v>5</v>
      </c>
      <c r="E168" s="8">
        <v>10</v>
      </c>
      <c r="F168" s="9" t="s">
        <v>6142</v>
      </c>
      <c r="G168" t="str">
        <f>IFERROR(INDEX(Ticket!$B$2:$B$6001,MATCH(B168,Ticket!$A$2:$A$6001,0)),"Ticket introuvable")</f>
        <v>AG-010</v>
      </c>
    </row>
    <row r="169" spans="1:7" x14ac:dyDescent="0.35">
      <c r="A169" s="10" t="s">
        <v>6313</v>
      </c>
      <c r="B169" s="12" t="s">
        <v>5884</v>
      </c>
      <c r="C169" s="11">
        <v>45985</v>
      </c>
      <c r="D169" s="12">
        <v>4</v>
      </c>
      <c r="E169" s="12">
        <v>9</v>
      </c>
      <c r="F169" s="13" t="s">
        <v>8363</v>
      </c>
      <c r="G169" t="str">
        <f>IFERROR(INDEX(Ticket!$B$2:$B$6001,MATCH(B169,Ticket!$A$2:$A$6001,0)),"Ticket introuvable")</f>
        <v>AG-029</v>
      </c>
    </row>
    <row r="170" spans="1:7" x14ac:dyDescent="0.35">
      <c r="A170" s="6" t="s">
        <v>6314</v>
      </c>
      <c r="B170" s="8" t="s">
        <v>3331</v>
      </c>
      <c r="C170" s="7">
        <v>45901</v>
      </c>
      <c r="D170" s="8">
        <v>5</v>
      </c>
      <c r="E170" s="8">
        <v>6</v>
      </c>
      <c r="F170" s="9" t="s">
        <v>75</v>
      </c>
      <c r="G170" t="str">
        <f>IFERROR(INDEX(Ticket!$B$2:$B$6001,MATCH(B170,Ticket!$A$2:$A$6001,0)),"Ticket introuvable")</f>
        <v>AG-033</v>
      </c>
    </row>
    <row r="171" spans="1:7" x14ac:dyDescent="0.35">
      <c r="A171" s="10" t="s">
        <v>6315</v>
      </c>
      <c r="B171" s="12" t="s">
        <v>4214</v>
      </c>
      <c r="C171" s="11">
        <v>45798</v>
      </c>
      <c r="D171" s="12">
        <v>5</v>
      </c>
      <c r="E171" s="12">
        <v>7</v>
      </c>
      <c r="F171" s="13" t="s">
        <v>6142</v>
      </c>
      <c r="G171" t="str">
        <f>IFERROR(INDEX(Ticket!$B$2:$B$6001,MATCH(B171,Ticket!$A$2:$A$6001,0)),"Ticket introuvable")</f>
        <v>AG-040</v>
      </c>
    </row>
    <row r="172" spans="1:7" x14ac:dyDescent="0.35">
      <c r="A172" s="6" t="s">
        <v>6316</v>
      </c>
      <c r="B172" s="8" t="s">
        <v>2165</v>
      </c>
      <c r="C172" s="7">
        <v>45837</v>
      </c>
      <c r="D172" s="8">
        <v>2</v>
      </c>
      <c r="E172" s="8">
        <v>8</v>
      </c>
      <c r="F172" s="9" t="s">
        <v>8363</v>
      </c>
      <c r="G172" t="str">
        <f>IFERROR(INDEX(Ticket!$B$2:$B$6001,MATCH(B172,Ticket!$A$2:$A$6001,0)),"Ticket introuvable")</f>
        <v>AG-023</v>
      </c>
    </row>
    <row r="173" spans="1:7" x14ac:dyDescent="0.35">
      <c r="A173" s="10" t="s">
        <v>6317</v>
      </c>
      <c r="B173" s="12" t="s">
        <v>3372</v>
      </c>
      <c r="C173" s="11">
        <v>45806</v>
      </c>
      <c r="D173" s="12">
        <v>3</v>
      </c>
      <c r="E173" s="12">
        <v>6</v>
      </c>
      <c r="F173" s="13" t="s">
        <v>6142</v>
      </c>
      <c r="G173" t="str">
        <f>IFERROR(INDEX(Ticket!$B$2:$B$6001,MATCH(B173,Ticket!$A$2:$A$6001,0)),"Ticket introuvable")</f>
        <v>AG-034</v>
      </c>
    </row>
    <row r="174" spans="1:7" x14ac:dyDescent="0.35">
      <c r="A174" s="6" t="s">
        <v>6318</v>
      </c>
      <c r="B174" s="8" t="s">
        <v>815</v>
      </c>
      <c r="C174" s="7">
        <v>45819</v>
      </c>
      <c r="D174" s="8">
        <v>5</v>
      </c>
      <c r="E174" s="8">
        <v>6</v>
      </c>
      <c r="F174" s="9" t="s">
        <v>75</v>
      </c>
      <c r="G174" t="str">
        <f>IFERROR(INDEX(Ticket!$B$2:$B$6001,MATCH(B174,Ticket!$A$2:$A$6001,0)),"Ticket introuvable")</f>
        <v>AG-008</v>
      </c>
    </row>
    <row r="175" spans="1:7" x14ac:dyDescent="0.35">
      <c r="A175" s="10" t="s">
        <v>6319</v>
      </c>
      <c r="B175" s="12" t="s">
        <v>1948</v>
      </c>
      <c r="C175" s="11">
        <v>45988</v>
      </c>
      <c r="D175" s="12">
        <v>5</v>
      </c>
      <c r="E175" s="12">
        <v>10</v>
      </c>
      <c r="F175" s="13" t="s">
        <v>8363</v>
      </c>
      <c r="G175" t="str">
        <f>IFERROR(INDEX(Ticket!$B$2:$B$6001,MATCH(B175,Ticket!$A$2:$A$6001,0)),"Ticket introuvable")</f>
        <v>AG-027</v>
      </c>
    </row>
    <row r="176" spans="1:7" x14ac:dyDescent="0.35">
      <c r="A176" s="6" t="s">
        <v>6320</v>
      </c>
      <c r="B176" s="8" t="s">
        <v>5882</v>
      </c>
      <c r="C176" s="7">
        <v>45836</v>
      </c>
      <c r="D176" s="8">
        <v>4</v>
      </c>
      <c r="E176" s="8">
        <v>5</v>
      </c>
      <c r="F176" s="9" t="s">
        <v>6153</v>
      </c>
      <c r="G176" t="str">
        <f>IFERROR(INDEX(Ticket!$B$2:$B$6001,MATCH(B176,Ticket!$A$2:$A$6001,0)),"Ticket introuvable")</f>
        <v>AG-006</v>
      </c>
    </row>
    <row r="177" spans="1:7" x14ac:dyDescent="0.35">
      <c r="A177" s="10" t="s">
        <v>6321</v>
      </c>
      <c r="B177" s="12" t="s">
        <v>5033</v>
      </c>
      <c r="C177" s="11">
        <v>45912</v>
      </c>
      <c r="D177" s="12">
        <v>5</v>
      </c>
      <c r="E177" s="12">
        <v>8</v>
      </c>
      <c r="F177" s="13" t="s">
        <v>8363</v>
      </c>
      <c r="G177" t="str">
        <f>IFERROR(INDEX(Ticket!$B$2:$B$6001,MATCH(B177,Ticket!$A$2:$A$6001,0)),"Ticket introuvable")</f>
        <v>AG-026</v>
      </c>
    </row>
    <row r="178" spans="1:7" x14ac:dyDescent="0.35">
      <c r="A178" s="6" t="s">
        <v>6322</v>
      </c>
      <c r="B178" s="8" t="s">
        <v>175</v>
      </c>
      <c r="C178" s="7">
        <v>45821</v>
      </c>
      <c r="D178" s="8">
        <v>5</v>
      </c>
      <c r="E178" s="8">
        <v>9</v>
      </c>
      <c r="F178" s="9" t="s">
        <v>6142</v>
      </c>
      <c r="G178" t="str">
        <f>IFERROR(INDEX(Ticket!$B$2:$B$6001,MATCH(B178,Ticket!$A$2:$A$6001,0)),"Ticket introuvable")</f>
        <v>AG-039</v>
      </c>
    </row>
    <row r="179" spans="1:7" x14ac:dyDescent="0.35">
      <c r="A179" s="10" t="s">
        <v>6323</v>
      </c>
      <c r="B179" s="12" t="s">
        <v>2998</v>
      </c>
      <c r="C179" s="11">
        <v>45760</v>
      </c>
      <c r="D179" s="12">
        <v>3</v>
      </c>
      <c r="E179" s="12">
        <v>7</v>
      </c>
      <c r="F179" s="13" t="s">
        <v>6148</v>
      </c>
      <c r="G179" t="str">
        <f>IFERROR(INDEX(Ticket!$B$2:$B$6001,MATCH(B179,Ticket!$A$2:$A$6001,0)),"Ticket introuvable")</f>
        <v>AG-033</v>
      </c>
    </row>
    <row r="180" spans="1:7" x14ac:dyDescent="0.35">
      <c r="A180" s="6" t="s">
        <v>6324</v>
      </c>
      <c r="B180" s="8" t="s">
        <v>110</v>
      </c>
      <c r="C180" s="7">
        <v>45939</v>
      </c>
      <c r="D180" s="8">
        <v>3</v>
      </c>
      <c r="E180" s="8">
        <v>10</v>
      </c>
      <c r="F180" s="9" t="s">
        <v>75</v>
      </c>
      <c r="G180" t="str">
        <f>IFERROR(INDEX(Ticket!$B$2:$B$6001,MATCH(B180,Ticket!$A$2:$A$6001,0)),"Ticket introuvable")</f>
        <v>AG-034</v>
      </c>
    </row>
    <row r="181" spans="1:7" x14ac:dyDescent="0.35">
      <c r="A181" s="10" t="s">
        <v>6325</v>
      </c>
      <c r="B181" s="12" t="s">
        <v>5178</v>
      </c>
      <c r="C181" s="11">
        <v>45693</v>
      </c>
      <c r="D181" s="12">
        <v>4</v>
      </c>
      <c r="E181" s="12">
        <v>10</v>
      </c>
      <c r="F181" s="13" t="s">
        <v>8363</v>
      </c>
      <c r="G181" t="str">
        <f>IFERROR(INDEX(Ticket!$B$2:$B$6001,MATCH(B181,Ticket!$A$2:$A$6001,0)),"Ticket introuvable")</f>
        <v>AG-020</v>
      </c>
    </row>
    <row r="182" spans="1:7" x14ac:dyDescent="0.35">
      <c r="A182" s="6" t="s">
        <v>6326</v>
      </c>
      <c r="B182" s="8" t="s">
        <v>5263</v>
      </c>
      <c r="C182" s="7">
        <v>45715</v>
      </c>
      <c r="D182" s="8">
        <v>5</v>
      </c>
      <c r="E182" s="8">
        <v>8</v>
      </c>
      <c r="F182" s="9" t="s">
        <v>8363</v>
      </c>
      <c r="G182" t="str">
        <f>IFERROR(INDEX(Ticket!$B$2:$B$6001,MATCH(B182,Ticket!$A$2:$A$6001,0)),"Ticket introuvable")</f>
        <v>AG-010</v>
      </c>
    </row>
    <row r="183" spans="1:7" x14ac:dyDescent="0.35">
      <c r="A183" s="10" t="s">
        <v>6327</v>
      </c>
      <c r="B183" s="12" t="s">
        <v>3048</v>
      </c>
      <c r="C183" s="11">
        <v>46002</v>
      </c>
      <c r="D183" s="12">
        <v>3</v>
      </c>
      <c r="E183" s="12">
        <v>10</v>
      </c>
      <c r="F183" s="13" t="s">
        <v>75</v>
      </c>
      <c r="G183" t="str">
        <f>IFERROR(INDEX(Ticket!$B$2:$B$6001,MATCH(B183,Ticket!$A$2:$A$6001,0)),"Ticket introuvable")</f>
        <v>AG-039</v>
      </c>
    </row>
    <row r="184" spans="1:7" x14ac:dyDescent="0.35">
      <c r="A184" s="6" t="s">
        <v>6328</v>
      </c>
      <c r="B184" s="8" t="s">
        <v>2151</v>
      </c>
      <c r="C184" s="7">
        <v>45866</v>
      </c>
      <c r="D184" s="8">
        <v>5</v>
      </c>
      <c r="E184" s="8">
        <v>10</v>
      </c>
      <c r="F184" s="9" t="s">
        <v>8363</v>
      </c>
      <c r="G184" t="str">
        <f>IFERROR(INDEX(Ticket!$B$2:$B$6001,MATCH(B184,Ticket!$A$2:$A$6001,0)),"Ticket introuvable")</f>
        <v>AG-006</v>
      </c>
    </row>
    <row r="185" spans="1:7" x14ac:dyDescent="0.35">
      <c r="A185" s="10" t="s">
        <v>6329</v>
      </c>
      <c r="B185" s="12" t="s">
        <v>76</v>
      </c>
      <c r="C185" s="11">
        <v>45889</v>
      </c>
      <c r="D185" s="12">
        <v>2</v>
      </c>
      <c r="E185" s="12">
        <v>9</v>
      </c>
      <c r="F185" s="13" t="s">
        <v>8363</v>
      </c>
      <c r="G185" t="str">
        <f>IFERROR(INDEX(Ticket!$B$2:$B$6001,MATCH(B185,Ticket!$A$2:$A$6001,0)),"Ticket introuvable")</f>
        <v>AG-038</v>
      </c>
    </row>
    <row r="186" spans="1:7" x14ac:dyDescent="0.35">
      <c r="A186" s="6" t="s">
        <v>6330</v>
      </c>
      <c r="B186" s="8" t="s">
        <v>5934</v>
      </c>
      <c r="C186" s="7">
        <v>45831</v>
      </c>
      <c r="D186" s="8">
        <v>2</v>
      </c>
      <c r="E186" s="8">
        <v>10</v>
      </c>
      <c r="F186" s="9" t="s">
        <v>6160</v>
      </c>
      <c r="G186" t="str">
        <f>IFERROR(INDEX(Ticket!$B$2:$B$6001,MATCH(B186,Ticket!$A$2:$A$6001,0)),"Ticket introuvable")</f>
        <v>AG-007</v>
      </c>
    </row>
    <row r="187" spans="1:7" x14ac:dyDescent="0.35">
      <c r="A187" s="10" t="s">
        <v>6331</v>
      </c>
      <c r="B187" s="12" t="s">
        <v>2606</v>
      </c>
      <c r="C187" s="11">
        <v>45835</v>
      </c>
      <c r="D187" s="12">
        <v>5</v>
      </c>
      <c r="E187" s="12"/>
      <c r="F187" s="13" t="s">
        <v>6160</v>
      </c>
      <c r="G187" t="str">
        <f>IFERROR(INDEX(Ticket!$B$2:$B$6001,MATCH(B187,Ticket!$A$2:$A$6001,0)),"Ticket introuvable")</f>
        <v>AG-026</v>
      </c>
    </row>
    <row r="188" spans="1:7" x14ac:dyDescent="0.35">
      <c r="A188" s="6" t="s">
        <v>6332</v>
      </c>
      <c r="B188" s="8" t="s">
        <v>4530</v>
      </c>
      <c r="C188" s="7">
        <v>45810</v>
      </c>
      <c r="D188" s="8"/>
      <c r="E188" s="8">
        <v>10</v>
      </c>
      <c r="F188" s="9" t="s">
        <v>6160</v>
      </c>
      <c r="G188" t="str">
        <f>IFERROR(INDEX(Ticket!$B$2:$B$6001,MATCH(B188,Ticket!$A$2:$A$6001,0)),"Ticket introuvable")</f>
        <v>AG-011</v>
      </c>
    </row>
    <row r="189" spans="1:7" x14ac:dyDescent="0.35">
      <c r="A189" s="10" t="s">
        <v>6333</v>
      </c>
      <c r="B189" s="12" t="s">
        <v>4339</v>
      </c>
      <c r="C189" s="11">
        <v>45803</v>
      </c>
      <c r="D189" s="12">
        <v>5</v>
      </c>
      <c r="E189" s="12">
        <v>8</v>
      </c>
      <c r="F189" s="13" t="s">
        <v>75</v>
      </c>
      <c r="G189" t="str">
        <f>IFERROR(INDEX(Ticket!$B$2:$B$6001,MATCH(B189,Ticket!$A$2:$A$6001,0)),"Ticket introuvable")</f>
        <v>AG-024</v>
      </c>
    </row>
    <row r="190" spans="1:7" x14ac:dyDescent="0.35">
      <c r="A190" s="6" t="s">
        <v>6334</v>
      </c>
      <c r="B190" s="8" t="s">
        <v>1056</v>
      </c>
      <c r="C190" s="7">
        <v>45769</v>
      </c>
      <c r="D190" s="8">
        <v>4</v>
      </c>
      <c r="E190" s="8">
        <v>1</v>
      </c>
      <c r="F190" s="9" t="s">
        <v>6153</v>
      </c>
      <c r="G190" t="str">
        <f>IFERROR(INDEX(Ticket!$B$2:$B$6001,MATCH(B190,Ticket!$A$2:$A$6001,0)),"Ticket introuvable")</f>
        <v>AG-039</v>
      </c>
    </row>
    <row r="191" spans="1:7" x14ac:dyDescent="0.35">
      <c r="A191" s="10" t="s">
        <v>6335</v>
      </c>
      <c r="B191" s="12" t="s">
        <v>4822</v>
      </c>
      <c r="C191" s="11">
        <v>45765</v>
      </c>
      <c r="D191" s="12">
        <v>3</v>
      </c>
      <c r="E191" s="12">
        <v>8</v>
      </c>
      <c r="F191" s="13" t="s">
        <v>6160</v>
      </c>
      <c r="G191" t="str">
        <f>IFERROR(INDEX(Ticket!$B$2:$B$6001,MATCH(B191,Ticket!$A$2:$A$6001,0)),"Ticket introuvable")</f>
        <v>AG-035</v>
      </c>
    </row>
    <row r="192" spans="1:7" x14ac:dyDescent="0.35">
      <c r="A192" s="6" t="s">
        <v>6336</v>
      </c>
      <c r="B192" s="8" t="s">
        <v>5975</v>
      </c>
      <c r="C192" s="7">
        <v>45803</v>
      </c>
      <c r="D192" s="8">
        <v>4</v>
      </c>
      <c r="E192" s="8">
        <v>4</v>
      </c>
      <c r="F192" s="9" t="s">
        <v>75</v>
      </c>
      <c r="G192" t="str">
        <f>IFERROR(INDEX(Ticket!$B$2:$B$6001,MATCH(B192,Ticket!$A$2:$A$6001,0)),"Ticket introuvable")</f>
        <v>AG-034</v>
      </c>
    </row>
    <row r="193" spans="1:7" x14ac:dyDescent="0.35">
      <c r="A193" s="10" t="s">
        <v>6337</v>
      </c>
      <c r="B193" s="12" t="s">
        <v>2733</v>
      </c>
      <c r="C193" s="11">
        <v>45722</v>
      </c>
      <c r="D193" s="12">
        <v>5</v>
      </c>
      <c r="E193" s="12">
        <v>9</v>
      </c>
      <c r="F193" s="13" t="s">
        <v>6153</v>
      </c>
      <c r="G193" t="str">
        <f>IFERROR(INDEX(Ticket!$B$2:$B$6001,MATCH(B193,Ticket!$A$2:$A$6001,0)),"Ticket introuvable")</f>
        <v>AG-010</v>
      </c>
    </row>
    <row r="194" spans="1:7" x14ac:dyDescent="0.35">
      <c r="A194" s="6" t="s">
        <v>6338</v>
      </c>
      <c r="B194" s="8" t="s">
        <v>3321</v>
      </c>
      <c r="C194" s="7">
        <v>45695</v>
      </c>
      <c r="D194" s="8">
        <v>3</v>
      </c>
      <c r="E194" s="8">
        <v>10</v>
      </c>
      <c r="F194" s="9" t="s">
        <v>6148</v>
      </c>
      <c r="G194" t="str">
        <f>IFERROR(INDEX(Ticket!$B$2:$B$6001,MATCH(B194,Ticket!$A$2:$A$6001,0)),"Ticket introuvable")</f>
        <v>AG-017</v>
      </c>
    </row>
    <row r="195" spans="1:7" x14ac:dyDescent="0.35">
      <c r="A195" s="10" t="s">
        <v>6339</v>
      </c>
      <c r="B195" s="12" t="s">
        <v>888</v>
      </c>
      <c r="C195" s="11">
        <v>45902</v>
      </c>
      <c r="D195" s="12">
        <v>5</v>
      </c>
      <c r="E195" s="12">
        <v>10</v>
      </c>
      <c r="F195" s="13" t="s">
        <v>6142</v>
      </c>
      <c r="G195" t="str">
        <f>IFERROR(INDEX(Ticket!$B$2:$B$6001,MATCH(B195,Ticket!$A$2:$A$6001,0)),"Ticket introuvable")</f>
        <v>AG-028</v>
      </c>
    </row>
    <row r="196" spans="1:7" x14ac:dyDescent="0.35">
      <c r="A196" s="6" t="s">
        <v>6340</v>
      </c>
      <c r="B196" s="8" t="s">
        <v>192</v>
      </c>
      <c r="C196" s="7">
        <v>45743</v>
      </c>
      <c r="D196" s="8">
        <v>5</v>
      </c>
      <c r="E196" s="8">
        <v>8</v>
      </c>
      <c r="F196" s="9" t="s">
        <v>6142</v>
      </c>
      <c r="G196" t="str">
        <f>IFERROR(INDEX(Ticket!$B$2:$B$6001,MATCH(B196,Ticket!$A$2:$A$6001,0)),"Ticket introuvable")</f>
        <v>AG-011</v>
      </c>
    </row>
    <row r="197" spans="1:7" x14ac:dyDescent="0.35">
      <c r="A197" s="10" t="s">
        <v>6341</v>
      </c>
      <c r="B197" s="12" t="s">
        <v>4960</v>
      </c>
      <c r="C197" s="11">
        <v>45759</v>
      </c>
      <c r="D197" s="12">
        <v>3</v>
      </c>
      <c r="E197" s="12">
        <v>4</v>
      </c>
      <c r="F197" s="13" t="s">
        <v>6142</v>
      </c>
      <c r="G197" t="str">
        <f>IFERROR(INDEX(Ticket!$B$2:$B$6001,MATCH(B197,Ticket!$A$2:$A$6001,0)),"Ticket introuvable")</f>
        <v>AG-020</v>
      </c>
    </row>
    <row r="198" spans="1:7" x14ac:dyDescent="0.35">
      <c r="A198" s="6" t="s">
        <v>6342</v>
      </c>
      <c r="B198" s="8" t="s">
        <v>2895</v>
      </c>
      <c r="C198" s="7">
        <v>45693</v>
      </c>
      <c r="D198" s="8">
        <v>4</v>
      </c>
      <c r="E198" s="8">
        <v>2</v>
      </c>
      <c r="F198" s="9" t="s">
        <v>8363</v>
      </c>
      <c r="G198" t="str">
        <f>IFERROR(INDEX(Ticket!$B$2:$B$6001,MATCH(B198,Ticket!$A$2:$A$6001,0)),"Ticket introuvable")</f>
        <v>AG-032</v>
      </c>
    </row>
    <row r="199" spans="1:7" x14ac:dyDescent="0.35">
      <c r="A199" s="10" t="s">
        <v>6343</v>
      </c>
      <c r="B199" s="12" t="s">
        <v>3002</v>
      </c>
      <c r="C199" s="11">
        <v>45960</v>
      </c>
      <c r="D199" s="12">
        <v>5</v>
      </c>
      <c r="E199" s="12">
        <v>9</v>
      </c>
      <c r="F199" s="13" t="s">
        <v>6148</v>
      </c>
      <c r="G199" t="str">
        <f>IFERROR(INDEX(Ticket!$B$2:$B$6001,MATCH(B199,Ticket!$A$2:$A$6001,0)),"Ticket introuvable")</f>
        <v>AG-014</v>
      </c>
    </row>
    <row r="200" spans="1:7" x14ac:dyDescent="0.35">
      <c r="A200" s="6" t="s">
        <v>6344</v>
      </c>
      <c r="B200" s="8" t="s">
        <v>5540</v>
      </c>
      <c r="C200" s="7">
        <v>45978</v>
      </c>
      <c r="D200" s="8">
        <v>3</v>
      </c>
      <c r="E200" s="8">
        <v>10</v>
      </c>
      <c r="F200" s="9" t="s">
        <v>6142</v>
      </c>
      <c r="G200" t="str">
        <f>IFERROR(INDEX(Ticket!$B$2:$B$6001,MATCH(B200,Ticket!$A$2:$A$6001,0)),"Ticket introuvable")</f>
        <v>AG-034</v>
      </c>
    </row>
    <row r="201" spans="1:7" x14ac:dyDescent="0.35">
      <c r="A201" s="10" t="s">
        <v>6345</v>
      </c>
      <c r="B201" s="12" t="s">
        <v>6036</v>
      </c>
      <c r="C201" s="11">
        <v>45695</v>
      </c>
      <c r="D201" s="12">
        <v>5</v>
      </c>
      <c r="E201" s="12">
        <v>10</v>
      </c>
      <c r="F201" s="13" t="s">
        <v>6160</v>
      </c>
      <c r="G201" t="str">
        <f>IFERROR(INDEX(Ticket!$B$2:$B$6001,MATCH(B201,Ticket!$A$2:$A$6001,0)),"Ticket introuvable")</f>
        <v>AG-024</v>
      </c>
    </row>
    <row r="202" spans="1:7" x14ac:dyDescent="0.35">
      <c r="A202" s="6" t="s">
        <v>6346</v>
      </c>
      <c r="B202" s="8" t="s">
        <v>4681</v>
      </c>
      <c r="C202" s="7">
        <v>45747</v>
      </c>
      <c r="D202" s="8">
        <v>5</v>
      </c>
      <c r="E202" s="8">
        <v>10</v>
      </c>
      <c r="F202" s="9" t="s">
        <v>6160</v>
      </c>
      <c r="G202" t="str">
        <f>IFERROR(INDEX(Ticket!$B$2:$B$6001,MATCH(B202,Ticket!$A$2:$A$6001,0)),"Ticket introuvable")</f>
        <v>AG-018</v>
      </c>
    </row>
    <row r="203" spans="1:7" x14ac:dyDescent="0.35">
      <c r="A203" s="10" t="s">
        <v>6347</v>
      </c>
      <c r="B203" s="12" t="s">
        <v>5928</v>
      </c>
      <c r="C203" s="11">
        <v>45794</v>
      </c>
      <c r="D203" s="12">
        <v>5</v>
      </c>
      <c r="E203" s="12"/>
      <c r="F203" s="13" t="s">
        <v>6153</v>
      </c>
      <c r="G203" t="str">
        <f>IFERROR(INDEX(Ticket!$B$2:$B$6001,MATCH(B203,Ticket!$A$2:$A$6001,0)),"Ticket introuvable")</f>
        <v>AG-016</v>
      </c>
    </row>
    <row r="204" spans="1:7" x14ac:dyDescent="0.35">
      <c r="A204" s="6" t="s">
        <v>6348</v>
      </c>
      <c r="B204" s="8" t="s">
        <v>5669</v>
      </c>
      <c r="C204" s="7">
        <v>45768</v>
      </c>
      <c r="D204" s="8">
        <v>5</v>
      </c>
      <c r="E204" s="8">
        <v>10</v>
      </c>
      <c r="F204" s="9" t="s">
        <v>75</v>
      </c>
      <c r="G204" t="str">
        <f>IFERROR(INDEX(Ticket!$B$2:$B$6001,MATCH(B204,Ticket!$A$2:$A$6001,0)),"Ticket introuvable")</f>
        <v>AG-032</v>
      </c>
    </row>
    <row r="205" spans="1:7" x14ac:dyDescent="0.35">
      <c r="A205" s="10" t="s">
        <v>6349</v>
      </c>
      <c r="B205" s="12" t="s">
        <v>5781</v>
      </c>
      <c r="C205" s="11">
        <v>45925</v>
      </c>
      <c r="D205" s="12">
        <v>3</v>
      </c>
      <c r="E205" s="12">
        <v>10</v>
      </c>
      <c r="F205" s="13" t="s">
        <v>6142</v>
      </c>
      <c r="G205" t="str">
        <f>IFERROR(INDEX(Ticket!$B$2:$B$6001,MATCH(B205,Ticket!$A$2:$A$6001,0)),"Ticket introuvable")</f>
        <v>AG-005</v>
      </c>
    </row>
    <row r="206" spans="1:7" x14ac:dyDescent="0.35">
      <c r="A206" s="6" t="s">
        <v>6350</v>
      </c>
      <c r="B206" s="8" t="s">
        <v>2775</v>
      </c>
      <c r="C206" s="7">
        <v>45996</v>
      </c>
      <c r="D206" s="8">
        <v>1</v>
      </c>
      <c r="E206" s="8">
        <v>10</v>
      </c>
      <c r="F206" s="9" t="s">
        <v>75</v>
      </c>
      <c r="G206" t="str">
        <f>IFERROR(INDEX(Ticket!$B$2:$B$6001,MATCH(B206,Ticket!$A$2:$A$6001,0)),"Ticket introuvable")</f>
        <v>AG-036</v>
      </c>
    </row>
    <row r="207" spans="1:7" x14ac:dyDescent="0.35">
      <c r="A207" s="10" t="s">
        <v>6351</v>
      </c>
      <c r="B207" s="12" t="s">
        <v>2934</v>
      </c>
      <c r="C207" s="11">
        <v>45661</v>
      </c>
      <c r="D207" s="12">
        <v>1</v>
      </c>
      <c r="E207" s="12">
        <v>7</v>
      </c>
      <c r="F207" s="13" t="s">
        <v>6148</v>
      </c>
      <c r="G207" t="str">
        <f>IFERROR(INDEX(Ticket!$B$2:$B$6001,MATCH(B207,Ticket!$A$2:$A$6001,0)),"Ticket introuvable")</f>
        <v>AG-040</v>
      </c>
    </row>
    <row r="208" spans="1:7" x14ac:dyDescent="0.35">
      <c r="A208" s="6" t="s">
        <v>6352</v>
      </c>
      <c r="B208" s="8" t="s">
        <v>4891</v>
      </c>
      <c r="C208" s="7">
        <v>45987</v>
      </c>
      <c r="D208" s="8">
        <v>3</v>
      </c>
      <c r="E208" s="8">
        <v>5</v>
      </c>
      <c r="F208" s="9" t="s">
        <v>6153</v>
      </c>
      <c r="G208" t="str">
        <f>IFERROR(INDEX(Ticket!$B$2:$B$6001,MATCH(B208,Ticket!$A$2:$A$6001,0)),"Ticket introuvable")</f>
        <v>AG-026</v>
      </c>
    </row>
    <row r="209" spans="1:7" x14ac:dyDescent="0.35">
      <c r="A209" s="10" t="s">
        <v>6353</v>
      </c>
      <c r="B209" s="12" t="s">
        <v>4483</v>
      </c>
      <c r="C209" s="11">
        <v>45693</v>
      </c>
      <c r="D209" s="12"/>
      <c r="E209" s="12">
        <v>5</v>
      </c>
      <c r="F209" s="13" t="s">
        <v>75</v>
      </c>
      <c r="G209" t="str">
        <f>IFERROR(INDEX(Ticket!$B$2:$B$6001,MATCH(B209,Ticket!$A$2:$A$6001,0)),"Ticket introuvable")</f>
        <v>AG-038</v>
      </c>
    </row>
    <row r="210" spans="1:7" x14ac:dyDescent="0.35">
      <c r="A210" s="6" t="s">
        <v>6354</v>
      </c>
      <c r="B210" s="8" t="s">
        <v>3439</v>
      </c>
      <c r="C210" s="7">
        <v>45941</v>
      </c>
      <c r="D210" s="8">
        <v>3</v>
      </c>
      <c r="E210" s="8">
        <v>10</v>
      </c>
      <c r="F210" s="9" t="s">
        <v>6142</v>
      </c>
      <c r="G210" t="str">
        <f>IFERROR(INDEX(Ticket!$B$2:$B$6001,MATCH(B210,Ticket!$A$2:$A$6001,0)),"Ticket introuvable")</f>
        <v>AG-040</v>
      </c>
    </row>
    <row r="211" spans="1:7" x14ac:dyDescent="0.35">
      <c r="A211" s="10" t="s">
        <v>6355</v>
      </c>
      <c r="B211" s="12" t="s">
        <v>1033</v>
      </c>
      <c r="C211" s="11">
        <v>45752</v>
      </c>
      <c r="D211" s="12">
        <v>1</v>
      </c>
      <c r="E211" s="12">
        <v>1</v>
      </c>
      <c r="F211" s="13" t="s">
        <v>6142</v>
      </c>
      <c r="G211" t="str">
        <f>IFERROR(INDEX(Ticket!$B$2:$B$6001,MATCH(B211,Ticket!$A$2:$A$6001,0)),"Ticket introuvable")</f>
        <v>AG-013</v>
      </c>
    </row>
    <row r="212" spans="1:7" x14ac:dyDescent="0.35">
      <c r="A212" s="6" t="s">
        <v>6356</v>
      </c>
      <c r="B212" s="8" t="s">
        <v>4702</v>
      </c>
      <c r="C212" s="7">
        <v>45864</v>
      </c>
      <c r="D212" s="8">
        <v>5</v>
      </c>
      <c r="E212" s="8">
        <v>0</v>
      </c>
      <c r="F212" s="9" t="s">
        <v>75</v>
      </c>
      <c r="G212" t="str">
        <f>IFERROR(INDEX(Ticket!$B$2:$B$6001,MATCH(B212,Ticket!$A$2:$A$6001,0)),"Ticket introuvable")</f>
        <v>AG-013</v>
      </c>
    </row>
    <row r="213" spans="1:7" x14ac:dyDescent="0.35">
      <c r="A213" s="10" t="s">
        <v>6357</v>
      </c>
      <c r="B213" s="12" t="s">
        <v>4172</v>
      </c>
      <c r="C213" s="11">
        <v>45751</v>
      </c>
      <c r="D213" s="12">
        <v>2</v>
      </c>
      <c r="E213" s="12">
        <v>10</v>
      </c>
      <c r="F213" s="13" t="s">
        <v>75</v>
      </c>
      <c r="G213" t="str">
        <f>IFERROR(INDEX(Ticket!$B$2:$B$6001,MATCH(B213,Ticket!$A$2:$A$6001,0)),"Ticket introuvable")</f>
        <v>AG-027</v>
      </c>
    </row>
    <row r="214" spans="1:7" x14ac:dyDescent="0.35">
      <c r="A214" s="6" t="s">
        <v>6358</v>
      </c>
      <c r="B214" s="8" t="s">
        <v>1382</v>
      </c>
      <c r="C214" s="7">
        <v>45722</v>
      </c>
      <c r="D214" s="8">
        <v>3</v>
      </c>
      <c r="E214" s="8"/>
      <c r="F214" s="9" t="s">
        <v>6148</v>
      </c>
      <c r="G214" t="str">
        <f>IFERROR(INDEX(Ticket!$B$2:$B$6001,MATCH(B214,Ticket!$A$2:$A$6001,0)),"Ticket introuvable")</f>
        <v>AG-014</v>
      </c>
    </row>
    <row r="215" spans="1:7" x14ac:dyDescent="0.35">
      <c r="A215" s="10" t="s">
        <v>6359</v>
      </c>
      <c r="B215" s="12" t="s">
        <v>2014</v>
      </c>
      <c r="C215" s="11">
        <v>45898</v>
      </c>
      <c r="D215" s="12">
        <v>5</v>
      </c>
      <c r="E215" s="12">
        <v>7</v>
      </c>
      <c r="F215" s="13" t="s">
        <v>6148</v>
      </c>
      <c r="G215" t="str">
        <f>IFERROR(INDEX(Ticket!$B$2:$B$6001,MATCH(B215,Ticket!$A$2:$A$6001,0)),"Ticket introuvable")</f>
        <v>AG-016</v>
      </c>
    </row>
    <row r="216" spans="1:7" x14ac:dyDescent="0.35">
      <c r="A216" s="6" t="s">
        <v>6360</v>
      </c>
      <c r="B216" s="8" t="s">
        <v>4905</v>
      </c>
      <c r="C216" s="7">
        <v>45854</v>
      </c>
      <c r="D216" s="8">
        <v>2</v>
      </c>
      <c r="E216" s="8">
        <v>8</v>
      </c>
      <c r="F216" s="9" t="s">
        <v>6153</v>
      </c>
      <c r="G216" t="str">
        <f>IFERROR(INDEX(Ticket!$B$2:$B$6001,MATCH(B216,Ticket!$A$2:$A$6001,0)),"Ticket introuvable")</f>
        <v>AG-019</v>
      </c>
    </row>
    <row r="217" spans="1:7" x14ac:dyDescent="0.35">
      <c r="A217" s="10" t="s">
        <v>6361</v>
      </c>
      <c r="B217" s="12" t="s">
        <v>2044</v>
      </c>
      <c r="C217" s="11">
        <v>45670</v>
      </c>
      <c r="D217" s="12">
        <v>3</v>
      </c>
      <c r="E217" s="12">
        <v>10</v>
      </c>
      <c r="F217" s="13" t="s">
        <v>8363</v>
      </c>
      <c r="G217" t="str">
        <f>IFERROR(INDEX(Ticket!$B$2:$B$6001,MATCH(B217,Ticket!$A$2:$A$6001,0)),"Ticket introuvable")</f>
        <v>AG-005</v>
      </c>
    </row>
    <row r="218" spans="1:7" x14ac:dyDescent="0.35">
      <c r="A218" s="6" t="s">
        <v>6362</v>
      </c>
      <c r="B218" s="8" t="s">
        <v>4091</v>
      </c>
      <c r="C218" s="7">
        <v>45723</v>
      </c>
      <c r="D218" s="8">
        <v>5</v>
      </c>
      <c r="E218" s="8">
        <v>5</v>
      </c>
      <c r="F218" s="9" t="s">
        <v>6148</v>
      </c>
      <c r="G218" t="str">
        <f>IFERROR(INDEX(Ticket!$B$2:$B$6001,MATCH(B218,Ticket!$A$2:$A$6001,0)),"Ticket introuvable")</f>
        <v>AG-025</v>
      </c>
    </row>
    <row r="219" spans="1:7" x14ac:dyDescent="0.35">
      <c r="A219" s="10" t="s">
        <v>6363</v>
      </c>
      <c r="B219" s="12" t="s">
        <v>5025</v>
      </c>
      <c r="C219" s="11">
        <v>46009</v>
      </c>
      <c r="D219" s="12">
        <v>4</v>
      </c>
      <c r="E219" s="12">
        <v>10</v>
      </c>
      <c r="F219" s="13" t="s">
        <v>8363</v>
      </c>
      <c r="G219" t="str">
        <f>IFERROR(INDEX(Ticket!$B$2:$B$6001,MATCH(B219,Ticket!$A$2:$A$6001,0)),"Ticket introuvable")</f>
        <v>AG-003</v>
      </c>
    </row>
    <row r="220" spans="1:7" x14ac:dyDescent="0.35">
      <c r="A220" s="6" t="s">
        <v>6364</v>
      </c>
      <c r="B220" s="8" t="s">
        <v>1016</v>
      </c>
      <c r="C220" s="7">
        <v>45825</v>
      </c>
      <c r="D220" s="8">
        <v>4</v>
      </c>
      <c r="E220" s="8">
        <v>10</v>
      </c>
      <c r="F220" s="9" t="s">
        <v>6153</v>
      </c>
      <c r="G220" t="str">
        <f>IFERROR(INDEX(Ticket!$B$2:$B$6001,MATCH(B220,Ticket!$A$2:$A$6001,0)),"Ticket introuvable")</f>
        <v>AG-035</v>
      </c>
    </row>
    <row r="221" spans="1:7" x14ac:dyDescent="0.35">
      <c r="A221" s="10" t="s">
        <v>6365</v>
      </c>
      <c r="B221" s="12" t="s">
        <v>267</v>
      </c>
      <c r="C221" s="11">
        <v>45707</v>
      </c>
      <c r="D221" s="12">
        <v>5</v>
      </c>
      <c r="E221" s="12">
        <v>8</v>
      </c>
      <c r="F221" s="13" t="s">
        <v>6142</v>
      </c>
      <c r="G221" t="str">
        <f>IFERROR(INDEX(Ticket!$B$2:$B$6001,MATCH(B221,Ticket!$A$2:$A$6001,0)),"Ticket introuvable")</f>
        <v>AG-014</v>
      </c>
    </row>
    <row r="222" spans="1:7" x14ac:dyDescent="0.35">
      <c r="A222" s="6" t="s">
        <v>6366</v>
      </c>
      <c r="B222" s="8" t="s">
        <v>2618</v>
      </c>
      <c r="C222" s="7">
        <v>45749</v>
      </c>
      <c r="D222" s="8">
        <v>4</v>
      </c>
      <c r="E222" s="8">
        <v>10</v>
      </c>
      <c r="F222" s="9" t="s">
        <v>8363</v>
      </c>
      <c r="G222" t="str">
        <f>IFERROR(INDEX(Ticket!$B$2:$B$6001,MATCH(B222,Ticket!$A$2:$A$6001,0)),"Ticket introuvable")</f>
        <v>AG-022</v>
      </c>
    </row>
    <row r="223" spans="1:7" x14ac:dyDescent="0.35">
      <c r="A223" s="10" t="s">
        <v>6367</v>
      </c>
      <c r="B223" s="12" t="s">
        <v>4324</v>
      </c>
      <c r="C223" s="11">
        <v>45859</v>
      </c>
      <c r="D223" s="12">
        <v>4</v>
      </c>
      <c r="E223" s="12">
        <v>9</v>
      </c>
      <c r="F223" s="13" t="s">
        <v>6160</v>
      </c>
      <c r="G223" t="str">
        <f>IFERROR(INDEX(Ticket!$B$2:$B$6001,MATCH(B223,Ticket!$A$2:$A$6001,0)),"Ticket introuvable")</f>
        <v>AG-010</v>
      </c>
    </row>
    <row r="224" spans="1:7" x14ac:dyDescent="0.35">
      <c r="A224" s="6" t="s">
        <v>6368</v>
      </c>
      <c r="B224" s="8" t="s">
        <v>1273</v>
      </c>
      <c r="C224" s="7">
        <v>45902</v>
      </c>
      <c r="D224" s="8">
        <v>5</v>
      </c>
      <c r="E224" s="8">
        <v>10</v>
      </c>
      <c r="F224" s="9" t="s">
        <v>6153</v>
      </c>
      <c r="G224" t="str">
        <f>IFERROR(INDEX(Ticket!$B$2:$B$6001,MATCH(B224,Ticket!$A$2:$A$6001,0)),"Ticket introuvable")</f>
        <v>AG-019</v>
      </c>
    </row>
    <row r="225" spans="1:7" x14ac:dyDescent="0.35">
      <c r="A225" s="10" t="s">
        <v>6369</v>
      </c>
      <c r="B225" s="12" t="s">
        <v>3371</v>
      </c>
      <c r="C225" s="11">
        <v>45849</v>
      </c>
      <c r="D225" s="12">
        <v>3</v>
      </c>
      <c r="E225" s="12">
        <v>9</v>
      </c>
      <c r="F225" s="13" t="s">
        <v>6148</v>
      </c>
      <c r="G225" t="str">
        <f>IFERROR(INDEX(Ticket!$B$2:$B$6001,MATCH(B225,Ticket!$A$2:$A$6001,0)),"Ticket introuvable")</f>
        <v>AG-018</v>
      </c>
    </row>
    <row r="226" spans="1:7" x14ac:dyDescent="0.35">
      <c r="A226" s="6" t="s">
        <v>6370</v>
      </c>
      <c r="B226" s="8" t="s">
        <v>4459</v>
      </c>
      <c r="C226" s="7">
        <v>45937</v>
      </c>
      <c r="D226" s="8">
        <v>3</v>
      </c>
      <c r="E226" s="8">
        <v>7</v>
      </c>
      <c r="F226" s="9" t="s">
        <v>6160</v>
      </c>
      <c r="G226" t="str">
        <f>IFERROR(INDEX(Ticket!$B$2:$B$6001,MATCH(B226,Ticket!$A$2:$A$6001,0)),"Ticket introuvable")</f>
        <v>AG-018</v>
      </c>
    </row>
    <row r="227" spans="1:7" x14ac:dyDescent="0.35">
      <c r="A227" s="10" t="s">
        <v>6371</v>
      </c>
      <c r="B227" s="12" t="s">
        <v>3442</v>
      </c>
      <c r="C227" s="11">
        <v>45721</v>
      </c>
      <c r="D227" s="12">
        <v>3</v>
      </c>
      <c r="E227" s="12">
        <v>0</v>
      </c>
      <c r="F227" s="13" t="s">
        <v>8363</v>
      </c>
      <c r="G227" t="str">
        <f>IFERROR(INDEX(Ticket!$B$2:$B$6001,MATCH(B227,Ticket!$A$2:$A$6001,0)),"Ticket introuvable")</f>
        <v>AG-018</v>
      </c>
    </row>
    <row r="228" spans="1:7" x14ac:dyDescent="0.35">
      <c r="A228" s="6" t="s">
        <v>6372</v>
      </c>
      <c r="B228" s="8" t="s">
        <v>5809</v>
      </c>
      <c r="C228" s="7">
        <v>45823</v>
      </c>
      <c r="D228" s="8">
        <v>4</v>
      </c>
      <c r="E228" s="8">
        <v>8</v>
      </c>
      <c r="F228" s="9" t="s">
        <v>75</v>
      </c>
      <c r="G228" t="str">
        <f>IFERROR(INDEX(Ticket!$B$2:$B$6001,MATCH(B228,Ticket!$A$2:$A$6001,0)),"Ticket introuvable")</f>
        <v>AG-018</v>
      </c>
    </row>
    <row r="229" spans="1:7" x14ac:dyDescent="0.35">
      <c r="A229" s="10" t="s">
        <v>6373</v>
      </c>
      <c r="B229" s="12" t="s">
        <v>1490</v>
      </c>
      <c r="C229" s="11">
        <v>45877</v>
      </c>
      <c r="D229" s="12">
        <v>5</v>
      </c>
      <c r="E229" s="12">
        <v>8</v>
      </c>
      <c r="F229" s="13" t="s">
        <v>6142</v>
      </c>
      <c r="G229" t="str">
        <f>IFERROR(INDEX(Ticket!$B$2:$B$6001,MATCH(B229,Ticket!$A$2:$A$6001,0)),"Ticket introuvable")</f>
        <v>AG-007</v>
      </c>
    </row>
    <row r="230" spans="1:7" x14ac:dyDescent="0.35">
      <c r="A230" s="6" t="s">
        <v>6374</v>
      </c>
      <c r="B230" s="8" t="s">
        <v>5594</v>
      </c>
      <c r="C230" s="7">
        <v>45960</v>
      </c>
      <c r="D230" s="8">
        <v>5</v>
      </c>
      <c r="E230" s="8">
        <v>9</v>
      </c>
      <c r="F230" s="9" t="s">
        <v>6153</v>
      </c>
      <c r="G230" t="str">
        <f>IFERROR(INDEX(Ticket!$B$2:$B$6001,MATCH(B230,Ticket!$A$2:$A$6001,0)),"Ticket introuvable")</f>
        <v>AG-014</v>
      </c>
    </row>
    <row r="231" spans="1:7" x14ac:dyDescent="0.35">
      <c r="A231" s="10" t="s">
        <v>6375</v>
      </c>
      <c r="B231" s="12" t="s">
        <v>1551</v>
      </c>
      <c r="C231" s="11">
        <v>45893</v>
      </c>
      <c r="D231" s="12">
        <v>4</v>
      </c>
      <c r="E231" s="12">
        <v>6</v>
      </c>
      <c r="F231" s="13" t="s">
        <v>6148</v>
      </c>
      <c r="G231" t="str">
        <f>IFERROR(INDEX(Ticket!$B$2:$B$6001,MATCH(B231,Ticket!$A$2:$A$6001,0)),"Ticket introuvable")</f>
        <v>AG-022</v>
      </c>
    </row>
    <row r="232" spans="1:7" x14ac:dyDescent="0.35">
      <c r="A232" s="6" t="s">
        <v>6376</v>
      </c>
      <c r="B232" s="8" t="s">
        <v>2228</v>
      </c>
      <c r="C232" s="7">
        <v>46011</v>
      </c>
      <c r="D232" s="8">
        <v>4</v>
      </c>
      <c r="E232" s="8"/>
      <c r="F232" s="9" t="s">
        <v>6160</v>
      </c>
      <c r="G232" t="str">
        <f>IFERROR(INDEX(Ticket!$B$2:$B$6001,MATCH(B232,Ticket!$A$2:$A$6001,0)),"Ticket introuvable")</f>
        <v>AG-003</v>
      </c>
    </row>
    <row r="233" spans="1:7" x14ac:dyDescent="0.35">
      <c r="A233" s="10" t="s">
        <v>6377</v>
      </c>
      <c r="B233" s="12" t="s">
        <v>4458</v>
      </c>
      <c r="C233" s="11">
        <v>45674</v>
      </c>
      <c r="D233" s="12">
        <v>4</v>
      </c>
      <c r="E233" s="12">
        <v>4</v>
      </c>
      <c r="F233" s="13" t="s">
        <v>6153</v>
      </c>
      <c r="G233" t="str">
        <f>IFERROR(INDEX(Ticket!$B$2:$B$6001,MATCH(B233,Ticket!$A$2:$A$6001,0)),"Ticket introuvable")</f>
        <v>AG-024</v>
      </c>
    </row>
    <row r="234" spans="1:7" x14ac:dyDescent="0.35">
      <c r="A234" s="6" t="s">
        <v>6378</v>
      </c>
      <c r="B234" s="8" t="s">
        <v>2666</v>
      </c>
      <c r="C234" s="7">
        <v>45997</v>
      </c>
      <c r="D234" s="8">
        <v>1</v>
      </c>
      <c r="E234" s="8">
        <v>7</v>
      </c>
      <c r="F234" s="9" t="s">
        <v>8363</v>
      </c>
      <c r="G234" t="str">
        <f>IFERROR(INDEX(Ticket!$B$2:$B$6001,MATCH(B234,Ticket!$A$2:$A$6001,0)),"Ticket introuvable")</f>
        <v>AG-012</v>
      </c>
    </row>
    <row r="235" spans="1:7" x14ac:dyDescent="0.35">
      <c r="A235" s="10" t="s">
        <v>6379</v>
      </c>
      <c r="B235" s="12" t="s">
        <v>408</v>
      </c>
      <c r="C235" s="11">
        <v>45850</v>
      </c>
      <c r="D235" s="12">
        <v>4</v>
      </c>
      <c r="E235" s="12">
        <v>7</v>
      </c>
      <c r="F235" s="13" t="s">
        <v>6160</v>
      </c>
      <c r="G235" t="str">
        <f>IFERROR(INDEX(Ticket!$B$2:$B$6001,MATCH(B235,Ticket!$A$2:$A$6001,0)),"Ticket introuvable")</f>
        <v>AG-007</v>
      </c>
    </row>
    <row r="236" spans="1:7" x14ac:dyDescent="0.35">
      <c r="A236" s="6" t="s">
        <v>6380</v>
      </c>
      <c r="B236" s="8" t="s">
        <v>1012</v>
      </c>
      <c r="C236" s="7">
        <v>45890</v>
      </c>
      <c r="D236" s="8">
        <v>4</v>
      </c>
      <c r="E236" s="8"/>
      <c r="F236" s="9" t="s">
        <v>75</v>
      </c>
      <c r="G236" t="str">
        <f>IFERROR(INDEX(Ticket!$B$2:$B$6001,MATCH(B236,Ticket!$A$2:$A$6001,0)),"Ticket introuvable")</f>
        <v>AG-025</v>
      </c>
    </row>
    <row r="237" spans="1:7" x14ac:dyDescent="0.35">
      <c r="A237" s="10" t="s">
        <v>6381</v>
      </c>
      <c r="B237" s="12" t="s">
        <v>42</v>
      </c>
      <c r="C237" s="11">
        <v>45733</v>
      </c>
      <c r="D237" s="12">
        <v>4</v>
      </c>
      <c r="E237" s="12">
        <v>7</v>
      </c>
      <c r="F237" s="13" t="s">
        <v>6148</v>
      </c>
      <c r="G237" t="str">
        <f>IFERROR(INDEX(Ticket!$B$2:$B$6001,MATCH(B237,Ticket!$A$2:$A$6001,0)),"Ticket introuvable")</f>
        <v>AG-019</v>
      </c>
    </row>
    <row r="238" spans="1:7" x14ac:dyDescent="0.35">
      <c r="A238" s="6" t="s">
        <v>6382</v>
      </c>
      <c r="B238" s="8" t="s">
        <v>3129</v>
      </c>
      <c r="C238" s="7">
        <v>45887</v>
      </c>
      <c r="D238" s="8">
        <v>5</v>
      </c>
      <c r="E238" s="8">
        <v>10</v>
      </c>
      <c r="F238" s="9" t="s">
        <v>75</v>
      </c>
      <c r="G238" t="str">
        <f>IFERROR(INDEX(Ticket!$B$2:$B$6001,MATCH(B238,Ticket!$A$2:$A$6001,0)),"Ticket introuvable")</f>
        <v>AG-040</v>
      </c>
    </row>
    <row r="239" spans="1:7" x14ac:dyDescent="0.35">
      <c r="A239" s="10" t="s">
        <v>6383</v>
      </c>
      <c r="B239" s="12" t="s">
        <v>2868</v>
      </c>
      <c r="C239" s="11">
        <v>46022</v>
      </c>
      <c r="D239" s="12">
        <v>2</v>
      </c>
      <c r="E239" s="12">
        <v>9</v>
      </c>
      <c r="F239" s="13" t="s">
        <v>6160</v>
      </c>
      <c r="G239" t="str">
        <f>IFERROR(INDEX(Ticket!$B$2:$B$6001,MATCH(B239,Ticket!$A$2:$A$6001,0)),"Ticket introuvable")</f>
        <v>AG-026</v>
      </c>
    </row>
    <row r="240" spans="1:7" x14ac:dyDescent="0.35">
      <c r="A240" s="6" t="s">
        <v>6384</v>
      </c>
      <c r="B240" s="8" t="s">
        <v>2802</v>
      </c>
      <c r="C240" s="7">
        <v>45919</v>
      </c>
      <c r="D240" s="8">
        <v>3</v>
      </c>
      <c r="E240" s="8">
        <v>6</v>
      </c>
      <c r="F240" s="9" t="s">
        <v>6153</v>
      </c>
      <c r="G240" t="str">
        <f>IFERROR(INDEX(Ticket!$B$2:$B$6001,MATCH(B240,Ticket!$A$2:$A$6001,0)),"Ticket introuvable")</f>
        <v>AG-025</v>
      </c>
    </row>
    <row r="241" spans="1:7" x14ac:dyDescent="0.35">
      <c r="A241" s="10" t="s">
        <v>6385</v>
      </c>
      <c r="B241" s="12" t="s">
        <v>2504</v>
      </c>
      <c r="C241" s="11">
        <v>45952</v>
      </c>
      <c r="D241" s="12">
        <v>5</v>
      </c>
      <c r="E241" s="12">
        <v>6</v>
      </c>
      <c r="F241" s="13" t="s">
        <v>6148</v>
      </c>
      <c r="G241" t="str">
        <f>IFERROR(INDEX(Ticket!$B$2:$B$6001,MATCH(B241,Ticket!$A$2:$A$6001,0)),"Ticket introuvable")</f>
        <v>AG-032</v>
      </c>
    </row>
    <row r="242" spans="1:7" x14ac:dyDescent="0.35">
      <c r="A242" s="6" t="s">
        <v>6386</v>
      </c>
      <c r="B242" s="8" t="s">
        <v>2249</v>
      </c>
      <c r="C242" s="7">
        <v>45871</v>
      </c>
      <c r="D242" s="8">
        <v>5</v>
      </c>
      <c r="E242" s="8">
        <v>2</v>
      </c>
      <c r="F242" s="9" t="s">
        <v>6153</v>
      </c>
      <c r="G242" t="str">
        <f>IFERROR(INDEX(Ticket!$B$2:$B$6001,MATCH(B242,Ticket!$A$2:$A$6001,0)),"Ticket introuvable")</f>
        <v>AG-014</v>
      </c>
    </row>
    <row r="243" spans="1:7" x14ac:dyDescent="0.35">
      <c r="A243" s="10" t="s">
        <v>6387</v>
      </c>
      <c r="B243" s="12" t="s">
        <v>3301</v>
      </c>
      <c r="C243" s="11">
        <v>45741</v>
      </c>
      <c r="D243" s="12">
        <v>5</v>
      </c>
      <c r="E243" s="12">
        <v>6</v>
      </c>
      <c r="F243" s="13" t="s">
        <v>6148</v>
      </c>
      <c r="G243" t="str">
        <f>IFERROR(INDEX(Ticket!$B$2:$B$6001,MATCH(B243,Ticket!$A$2:$A$6001,0)),"Ticket introuvable")</f>
        <v>AG-027</v>
      </c>
    </row>
    <row r="244" spans="1:7" x14ac:dyDescent="0.35">
      <c r="A244" s="6" t="s">
        <v>6388</v>
      </c>
      <c r="B244" s="8" t="s">
        <v>2601</v>
      </c>
      <c r="C244" s="7">
        <v>45680</v>
      </c>
      <c r="D244" s="8">
        <v>3</v>
      </c>
      <c r="E244" s="8">
        <v>10</v>
      </c>
      <c r="F244" s="9" t="s">
        <v>6148</v>
      </c>
      <c r="G244" t="str">
        <f>IFERROR(INDEX(Ticket!$B$2:$B$6001,MATCH(B244,Ticket!$A$2:$A$6001,0)),"Ticket introuvable")</f>
        <v>AG-006</v>
      </c>
    </row>
    <row r="245" spans="1:7" x14ac:dyDescent="0.35">
      <c r="A245" s="10" t="s">
        <v>6389</v>
      </c>
      <c r="B245" s="12" t="s">
        <v>1815</v>
      </c>
      <c r="C245" s="11">
        <v>46001</v>
      </c>
      <c r="D245" s="12">
        <v>5</v>
      </c>
      <c r="E245" s="12">
        <v>5</v>
      </c>
      <c r="F245" s="13" t="s">
        <v>8363</v>
      </c>
      <c r="G245" t="str">
        <f>IFERROR(INDEX(Ticket!$B$2:$B$6001,MATCH(B245,Ticket!$A$2:$A$6001,0)),"Ticket introuvable")</f>
        <v>AG-040</v>
      </c>
    </row>
    <row r="246" spans="1:7" x14ac:dyDescent="0.35">
      <c r="A246" s="6" t="s">
        <v>6390</v>
      </c>
      <c r="B246" s="8" t="s">
        <v>2218</v>
      </c>
      <c r="C246" s="7">
        <v>45961</v>
      </c>
      <c r="D246" s="8">
        <v>3</v>
      </c>
      <c r="E246" s="8">
        <v>10</v>
      </c>
      <c r="F246" s="9" t="s">
        <v>6160</v>
      </c>
      <c r="G246" t="str">
        <f>IFERROR(INDEX(Ticket!$B$2:$B$6001,MATCH(B246,Ticket!$A$2:$A$6001,0)),"Ticket introuvable")</f>
        <v>AG-020</v>
      </c>
    </row>
    <row r="247" spans="1:7" x14ac:dyDescent="0.35">
      <c r="A247" s="10" t="s">
        <v>6391</v>
      </c>
      <c r="B247" s="12" t="s">
        <v>1106</v>
      </c>
      <c r="C247" s="11">
        <v>45734</v>
      </c>
      <c r="D247" s="12">
        <v>4</v>
      </c>
      <c r="E247" s="12">
        <v>10</v>
      </c>
      <c r="F247" s="13" t="s">
        <v>8363</v>
      </c>
      <c r="G247" t="str">
        <f>IFERROR(INDEX(Ticket!$B$2:$B$6001,MATCH(B247,Ticket!$A$2:$A$6001,0)),"Ticket introuvable")</f>
        <v>AG-013</v>
      </c>
    </row>
    <row r="248" spans="1:7" x14ac:dyDescent="0.35">
      <c r="A248" s="6" t="s">
        <v>6392</v>
      </c>
      <c r="B248" s="8" t="s">
        <v>1029</v>
      </c>
      <c r="C248" s="7">
        <v>45737</v>
      </c>
      <c r="D248" s="8">
        <v>4</v>
      </c>
      <c r="E248" s="8">
        <v>5</v>
      </c>
      <c r="F248" s="9" t="s">
        <v>6153</v>
      </c>
      <c r="G248" t="str">
        <f>IFERROR(INDEX(Ticket!$B$2:$B$6001,MATCH(B248,Ticket!$A$2:$A$6001,0)),"Ticket introuvable")</f>
        <v>AG-029</v>
      </c>
    </row>
    <row r="249" spans="1:7" x14ac:dyDescent="0.35">
      <c r="A249" s="10" t="s">
        <v>6393</v>
      </c>
      <c r="B249" s="12" t="s">
        <v>2632</v>
      </c>
      <c r="C249" s="11">
        <v>45923</v>
      </c>
      <c r="D249" s="12">
        <v>5</v>
      </c>
      <c r="E249" s="12">
        <v>7</v>
      </c>
      <c r="F249" s="13" t="s">
        <v>6160</v>
      </c>
      <c r="G249" t="str">
        <f>IFERROR(INDEX(Ticket!$B$2:$B$6001,MATCH(B249,Ticket!$A$2:$A$6001,0)),"Ticket introuvable")</f>
        <v>AG-010</v>
      </c>
    </row>
    <row r="250" spans="1:7" x14ac:dyDescent="0.35">
      <c r="A250" s="6" t="s">
        <v>6394</v>
      </c>
      <c r="B250" s="8" t="s">
        <v>5265</v>
      </c>
      <c r="C250" s="7">
        <v>45673</v>
      </c>
      <c r="D250" s="8">
        <v>5</v>
      </c>
      <c r="E250" s="8">
        <v>10</v>
      </c>
      <c r="F250" s="9" t="s">
        <v>75</v>
      </c>
      <c r="G250" t="str">
        <f>IFERROR(INDEX(Ticket!$B$2:$B$6001,MATCH(B250,Ticket!$A$2:$A$6001,0)),"Ticket introuvable")</f>
        <v>AG-010</v>
      </c>
    </row>
    <row r="251" spans="1:7" x14ac:dyDescent="0.35">
      <c r="A251" s="10" t="s">
        <v>6395</v>
      </c>
      <c r="B251" s="12" t="s">
        <v>2674</v>
      </c>
      <c r="C251" s="11">
        <v>45795</v>
      </c>
      <c r="D251" s="12">
        <v>1</v>
      </c>
      <c r="E251" s="12">
        <v>1</v>
      </c>
      <c r="F251" s="13" t="s">
        <v>75</v>
      </c>
      <c r="G251" t="str">
        <f>IFERROR(INDEX(Ticket!$B$2:$B$6001,MATCH(B251,Ticket!$A$2:$A$6001,0)),"Ticket introuvable")</f>
        <v>AG-008</v>
      </c>
    </row>
    <row r="252" spans="1:7" x14ac:dyDescent="0.35">
      <c r="A252" s="6" t="s">
        <v>6396</v>
      </c>
      <c r="B252" s="8" t="s">
        <v>1467</v>
      </c>
      <c r="C252" s="7">
        <v>45781</v>
      </c>
      <c r="D252" s="8">
        <v>4</v>
      </c>
      <c r="E252" s="8"/>
      <c r="F252" s="9" t="s">
        <v>8363</v>
      </c>
      <c r="G252" t="str">
        <f>IFERROR(INDEX(Ticket!$B$2:$B$6001,MATCH(B252,Ticket!$A$2:$A$6001,0)),"Ticket introuvable")</f>
        <v>AG-024</v>
      </c>
    </row>
    <row r="253" spans="1:7" x14ac:dyDescent="0.35">
      <c r="A253" s="10" t="s">
        <v>6397</v>
      </c>
      <c r="B253" s="12" t="s">
        <v>4072</v>
      </c>
      <c r="C253" s="11">
        <v>45780</v>
      </c>
      <c r="D253" s="12">
        <v>4</v>
      </c>
      <c r="E253" s="12">
        <v>5</v>
      </c>
      <c r="F253" s="13" t="s">
        <v>6142</v>
      </c>
      <c r="G253" t="str">
        <f>IFERROR(INDEX(Ticket!$B$2:$B$6001,MATCH(B253,Ticket!$A$2:$A$6001,0)),"Ticket introuvable")</f>
        <v>AG-032</v>
      </c>
    </row>
    <row r="254" spans="1:7" x14ac:dyDescent="0.35">
      <c r="A254" s="6" t="s">
        <v>6398</v>
      </c>
      <c r="B254" s="8" t="s">
        <v>2215</v>
      </c>
      <c r="C254" s="7">
        <v>45919</v>
      </c>
      <c r="D254" s="8">
        <v>5</v>
      </c>
      <c r="E254" s="8">
        <v>8</v>
      </c>
      <c r="F254" s="9" t="s">
        <v>8363</v>
      </c>
      <c r="G254" t="str">
        <f>IFERROR(INDEX(Ticket!$B$2:$B$6001,MATCH(B254,Ticket!$A$2:$A$6001,0)),"Ticket introuvable")</f>
        <v>AG-037</v>
      </c>
    </row>
    <row r="255" spans="1:7" x14ac:dyDescent="0.35">
      <c r="A255" s="10" t="s">
        <v>6399</v>
      </c>
      <c r="B255" s="12" t="s">
        <v>4915</v>
      </c>
      <c r="C255" s="11">
        <v>45953</v>
      </c>
      <c r="D255" s="12">
        <v>2</v>
      </c>
      <c r="E255" s="12">
        <v>0</v>
      </c>
      <c r="F255" s="13" t="s">
        <v>6142</v>
      </c>
      <c r="G255" t="str">
        <f>IFERROR(INDEX(Ticket!$B$2:$B$6001,MATCH(B255,Ticket!$A$2:$A$6001,0)),"Ticket introuvable")</f>
        <v>AG-037</v>
      </c>
    </row>
    <row r="256" spans="1:7" x14ac:dyDescent="0.35">
      <c r="A256" s="6" t="s">
        <v>6400</v>
      </c>
      <c r="B256" s="8" t="s">
        <v>680</v>
      </c>
      <c r="C256" s="7">
        <v>45905</v>
      </c>
      <c r="D256" s="8">
        <v>3</v>
      </c>
      <c r="E256" s="8">
        <v>0</v>
      </c>
      <c r="F256" s="9" t="s">
        <v>6148</v>
      </c>
      <c r="G256" t="str">
        <f>IFERROR(INDEX(Ticket!$B$2:$B$6001,MATCH(B256,Ticket!$A$2:$A$6001,0)),"Ticket introuvable")</f>
        <v>AG-012</v>
      </c>
    </row>
    <row r="257" spans="1:7" x14ac:dyDescent="0.35">
      <c r="A257" s="10" t="s">
        <v>6401</v>
      </c>
      <c r="B257" s="12" t="s">
        <v>2423</v>
      </c>
      <c r="C257" s="11">
        <v>45731</v>
      </c>
      <c r="D257" s="12">
        <v>1</v>
      </c>
      <c r="E257" s="12">
        <v>5</v>
      </c>
      <c r="F257" s="13" t="s">
        <v>6153</v>
      </c>
      <c r="G257" t="str">
        <f>IFERROR(INDEX(Ticket!$B$2:$B$6001,MATCH(B257,Ticket!$A$2:$A$6001,0)),"Ticket introuvable")</f>
        <v>AG-008</v>
      </c>
    </row>
    <row r="258" spans="1:7" x14ac:dyDescent="0.35">
      <c r="A258" s="6" t="s">
        <v>6402</v>
      </c>
      <c r="B258" s="8" t="s">
        <v>5139</v>
      </c>
      <c r="C258" s="7">
        <v>45951</v>
      </c>
      <c r="D258" s="8">
        <v>4</v>
      </c>
      <c r="E258" s="8">
        <v>0</v>
      </c>
      <c r="F258" s="9" t="s">
        <v>6160</v>
      </c>
      <c r="G258" t="str">
        <f>IFERROR(INDEX(Ticket!$B$2:$B$6001,MATCH(B258,Ticket!$A$2:$A$6001,0)),"Ticket introuvable")</f>
        <v>AG-036</v>
      </c>
    </row>
    <row r="259" spans="1:7" x14ac:dyDescent="0.35">
      <c r="A259" s="10" t="s">
        <v>6403</v>
      </c>
      <c r="B259" s="12" t="s">
        <v>223</v>
      </c>
      <c r="C259" s="11">
        <v>45940</v>
      </c>
      <c r="D259" s="12">
        <v>5</v>
      </c>
      <c r="E259" s="12">
        <v>9</v>
      </c>
      <c r="F259" s="13" t="s">
        <v>8363</v>
      </c>
      <c r="G259" t="str">
        <f>IFERROR(INDEX(Ticket!$B$2:$B$6001,MATCH(B259,Ticket!$A$2:$A$6001,0)),"Ticket introuvable")</f>
        <v>AG-014</v>
      </c>
    </row>
    <row r="260" spans="1:7" x14ac:dyDescent="0.35">
      <c r="A260" s="6" t="s">
        <v>6404</v>
      </c>
      <c r="B260" s="8" t="s">
        <v>2043</v>
      </c>
      <c r="C260" s="7">
        <v>45766</v>
      </c>
      <c r="D260" s="8">
        <v>5</v>
      </c>
      <c r="E260" s="8"/>
      <c r="F260" s="9" t="s">
        <v>8363</v>
      </c>
      <c r="G260" t="str">
        <f>IFERROR(INDEX(Ticket!$B$2:$B$6001,MATCH(B260,Ticket!$A$2:$A$6001,0)),"Ticket introuvable")</f>
        <v>AG-005</v>
      </c>
    </row>
    <row r="261" spans="1:7" x14ac:dyDescent="0.35">
      <c r="A261" s="10" t="s">
        <v>6405</v>
      </c>
      <c r="B261" s="12" t="s">
        <v>5539</v>
      </c>
      <c r="C261" s="11">
        <v>45854</v>
      </c>
      <c r="D261" s="12">
        <v>1</v>
      </c>
      <c r="E261" s="12">
        <v>10</v>
      </c>
      <c r="F261" s="13" t="s">
        <v>6142</v>
      </c>
      <c r="G261" t="str">
        <f>IFERROR(INDEX(Ticket!$B$2:$B$6001,MATCH(B261,Ticket!$A$2:$A$6001,0)),"Ticket introuvable")</f>
        <v>AG-024</v>
      </c>
    </row>
    <row r="262" spans="1:7" x14ac:dyDescent="0.35">
      <c r="A262" s="6" t="s">
        <v>6406</v>
      </c>
      <c r="B262" s="8" t="s">
        <v>1159</v>
      </c>
      <c r="C262" s="7">
        <v>45742</v>
      </c>
      <c r="D262" s="8">
        <v>4</v>
      </c>
      <c r="E262" s="8">
        <v>10</v>
      </c>
      <c r="F262" s="9" t="s">
        <v>6148</v>
      </c>
      <c r="G262" t="str">
        <f>IFERROR(INDEX(Ticket!$B$2:$B$6001,MATCH(B262,Ticket!$A$2:$A$6001,0)),"Ticket introuvable")</f>
        <v>AG-020</v>
      </c>
    </row>
    <row r="263" spans="1:7" x14ac:dyDescent="0.35">
      <c r="A263" s="10" t="s">
        <v>6407</v>
      </c>
      <c r="B263" s="12" t="s">
        <v>3769</v>
      </c>
      <c r="C263" s="11">
        <v>45781</v>
      </c>
      <c r="D263" s="12">
        <v>1</v>
      </c>
      <c r="E263" s="12">
        <v>10</v>
      </c>
      <c r="F263" s="13" t="s">
        <v>6153</v>
      </c>
      <c r="G263" t="str">
        <f>IFERROR(INDEX(Ticket!$B$2:$B$6001,MATCH(B263,Ticket!$A$2:$A$6001,0)),"Ticket introuvable")</f>
        <v>AG-023</v>
      </c>
    </row>
    <row r="264" spans="1:7" x14ac:dyDescent="0.35">
      <c r="A264" s="6" t="s">
        <v>6408</v>
      </c>
      <c r="B264" s="8" t="s">
        <v>4636</v>
      </c>
      <c r="C264" s="7">
        <v>45930</v>
      </c>
      <c r="D264" s="8">
        <v>2</v>
      </c>
      <c r="E264" s="8">
        <v>9</v>
      </c>
      <c r="F264" s="9" t="s">
        <v>8363</v>
      </c>
      <c r="G264" t="str">
        <f>IFERROR(INDEX(Ticket!$B$2:$B$6001,MATCH(B264,Ticket!$A$2:$A$6001,0)),"Ticket introuvable")</f>
        <v>AG-039</v>
      </c>
    </row>
    <row r="265" spans="1:7" x14ac:dyDescent="0.35">
      <c r="A265" s="10" t="s">
        <v>6409</v>
      </c>
      <c r="B265" s="12" t="s">
        <v>2273</v>
      </c>
      <c r="C265" s="11">
        <v>45662</v>
      </c>
      <c r="D265" s="12">
        <v>5</v>
      </c>
      <c r="E265" s="12">
        <v>2</v>
      </c>
      <c r="F265" s="13" t="s">
        <v>75</v>
      </c>
      <c r="G265" t="str">
        <f>IFERROR(INDEX(Ticket!$B$2:$B$6001,MATCH(B265,Ticket!$A$2:$A$6001,0)),"Ticket introuvable")</f>
        <v>AG-031</v>
      </c>
    </row>
    <row r="266" spans="1:7" x14ac:dyDescent="0.35">
      <c r="A266" s="6" t="s">
        <v>6410</v>
      </c>
      <c r="B266" s="8" t="s">
        <v>3466</v>
      </c>
      <c r="C266" s="7">
        <v>45847</v>
      </c>
      <c r="D266" s="8">
        <v>4</v>
      </c>
      <c r="E266" s="8">
        <v>9</v>
      </c>
      <c r="F266" s="9" t="s">
        <v>6148</v>
      </c>
      <c r="G266" t="str">
        <f>IFERROR(INDEX(Ticket!$B$2:$B$6001,MATCH(B266,Ticket!$A$2:$A$6001,0)),"Ticket introuvable")</f>
        <v>AG-013</v>
      </c>
    </row>
    <row r="267" spans="1:7" x14ac:dyDescent="0.35">
      <c r="A267" s="10" t="s">
        <v>6411</v>
      </c>
      <c r="B267" s="12" t="s">
        <v>5721</v>
      </c>
      <c r="C267" s="11">
        <v>45680</v>
      </c>
      <c r="D267" s="12">
        <v>4</v>
      </c>
      <c r="E267" s="12">
        <v>10</v>
      </c>
      <c r="F267" s="13" t="s">
        <v>6160</v>
      </c>
      <c r="G267" t="str">
        <f>IFERROR(INDEX(Ticket!$B$2:$B$6001,MATCH(B267,Ticket!$A$2:$A$6001,0)),"Ticket introuvable")</f>
        <v>AG-039</v>
      </c>
    </row>
    <row r="268" spans="1:7" x14ac:dyDescent="0.35">
      <c r="A268" s="6" t="s">
        <v>6412</v>
      </c>
      <c r="B268" s="8" t="s">
        <v>1256</v>
      </c>
      <c r="C268" s="7">
        <v>45967</v>
      </c>
      <c r="D268" s="8">
        <v>3</v>
      </c>
      <c r="E268" s="8">
        <v>10</v>
      </c>
      <c r="F268" s="9" t="s">
        <v>8363</v>
      </c>
      <c r="G268" t="str">
        <f>IFERROR(INDEX(Ticket!$B$2:$B$6001,MATCH(B268,Ticket!$A$2:$A$6001,0)),"Ticket introuvable")</f>
        <v>AG-040</v>
      </c>
    </row>
    <row r="269" spans="1:7" x14ac:dyDescent="0.35">
      <c r="A269" s="10" t="s">
        <v>6413</v>
      </c>
      <c r="B269" s="12" t="s">
        <v>811</v>
      </c>
      <c r="C269" s="11">
        <v>45941</v>
      </c>
      <c r="D269" s="12"/>
      <c r="E269" s="12">
        <v>10</v>
      </c>
      <c r="F269" s="13" t="s">
        <v>8363</v>
      </c>
      <c r="G269" t="str">
        <f>IFERROR(INDEX(Ticket!$B$2:$B$6001,MATCH(B269,Ticket!$A$2:$A$6001,0)),"Ticket introuvable")</f>
        <v>AG-020</v>
      </c>
    </row>
    <row r="270" spans="1:7" x14ac:dyDescent="0.35">
      <c r="A270" s="6" t="s">
        <v>6414</v>
      </c>
      <c r="B270" s="8" t="s">
        <v>4261</v>
      </c>
      <c r="C270" s="7">
        <v>45840</v>
      </c>
      <c r="D270" s="8">
        <v>4</v>
      </c>
      <c r="E270" s="8">
        <v>7</v>
      </c>
      <c r="F270" s="9" t="s">
        <v>6153</v>
      </c>
      <c r="G270" t="str">
        <f>IFERROR(INDEX(Ticket!$B$2:$B$6001,MATCH(B270,Ticket!$A$2:$A$6001,0)),"Ticket introuvable")</f>
        <v>AG-007</v>
      </c>
    </row>
    <row r="271" spans="1:7" x14ac:dyDescent="0.35">
      <c r="A271" s="10" t="s">
        <v>6415</v>
      </c>
      <c r="B271" s="12" t="s">
        <v>5133</v>
      </c>
      <c r="C271" s="11">
        <v>45820</v>
      </c>
      <c r="D271" s="12">
        <v>4</v>
      </c>
      <c r="E271" s="12"/>
      <c r="F271" s="13" t="s">
        <v>6160</v>
      </c>
      <c r="G271" t="str">
        <f>IFERROR(INDEX(Ticket!$B$2:$B$6001,MATCH(B271,Ticket!$A$2:$A$6001,0)),"Ticket introuvable")</f>
        <v>AG-037</v>
      </c>
    </row>
    <row r="272" spans="1:7" x14ac:dyDescent="0.35">
      <c r="A272" s="6" t="s">
        <v>6416</v>
      </c>
      <c r="B272" s="8" t="s">
        <v>1455</v>
      </c>
      <c r="C272" s="7">
        <v>45985</v>
      </c>
      <c r="D272" s="8">
        <v>5</v>
      </c>
      <c r="E272" s="8"/>
      <c r="F272" s="9" t="s">
        <v>6148</v>
      </c>
      <c r="G272" t="str">
        <f>IFERROR(INDEX(Ticket!$B$2:$B$6001,MATCH(B272,Ticket!$A$2:$A$6001,0)),"Ticket introuvable")</f>
        <v>AG-033</v>
      </c>
    </row>
    <row r="273" spans="1:7" x14ac:dyDescent="0.35">
      <c r="A273" s="10" t="s">
        <v>6417</v>
      </c>
      <c r="B273" s="12" t="s">
        <v>2672</v>
      </c>
      <c r="C273" s="11">
        <v>45924</v>
      </c>
      <c r="D273" s="12">
        <v>4</v>
      </c>
      <c r="E273" s="12">
        <v>10</v>
      </c>
      <c r="F273" s="13" t="s">
        <v>8363</v>
      </c>
      <c r="G273" t="str">
        <f>IFERROR(INDEX(Ticket!$B$2:$B$6001,MATCH(B273,Ticket!$A$2:$A$6001,0)),"Ticket introuvable")</f>
        <v>AG-037</v>
      </c>
    </row>
    <row r="274" spans="1:7" x14ac:dyDescent="0.35">
      <c r="A274" s="6" t="s">
        <v>6418</v>
      </c>
      <c r="B274" s="8" t="s">
        <v>4360</v>
      </c>
      <c r="C274" s="7">
        <v>45693</v>
      </c>
      <c r="D274" s="8">
        <v>4</v>
      </c>
      <c r="E274" s="8">
        <v>8</v>
      </c>
      <c r="F274" s="9" t="s">
        <v>6142</v>
      </c>
      <c r="G274" t="str">
        <f>IFERROR(INDEX(Ticket!$B$2:$B$6001,MATCH(B274,Ticket!$A$2:$A$6001,0)),"Ticket introuvable")</f>
        <v>AG-026</v>
      </c>
    </row>
    <row r="275" spans="1:7" x14ac:dyDescent="0.35">
      <c r="A275" s="10" t="s">
        <v>6419</v>
      </c>
      <c r="B275" s="12" t="s">
        <v>263</v>
      </c>
      <c r="C275" s="11">
        <v>45998</v>
      </c>
      <c r="D275" s="12">
        <v>4</v>
      </c>
      <c r="E275" s="12">
        <v>10</v>
      </c>
      <c r="F275" s="13" t="s">
        <v>6153</v>
      </c>
      <c r="G275" t="str">
        <f>IFERROR(INDEX(Ticket!$B$2:$B$6001,MATCH(B275,Ticket!$A$2:$A$6001,0)),"Ticket introuvable")</f>
        <v>AG-010</v>
      </c>
    </row>
    <row r="276" spans="1:7" x14ac:dyDescent="0.35">
      <c r="A276" s="6" t="s">
        <v>6420</v>
      </c>
      <c r="B276" s="8" t="s">
        <v>2766</v>
      </c>
      <c r="C276" s="7">
        <v>45958</v>
      </c>
      <c r="D276" s="8">
        <v>5</v>
      </c>
      <c r="E276" s="8">
        <v>9</v>
      </c>
      <c r="F276" s="9" t="s">
        <v>75</v>
      </c>
      <c r="G276" t="str">
        <f>IFERROR(INDEX(Ticket!$B$2:$B$6001,MATCH(B276,Ticket!$A$2:$A$6001,0)),"Ticket introuvable")</f>
        <v>AG-003</v>
      </c>
    </row>
    <row r="277" spans="1:7" x14ac:dyDescent="0.35">
      <c r="A277" s="10" t="s">
        <v>6421</v>
      </c>
      <c r="B277" s="12" t="s">
        <v>1993</v>
      </c>
      <c r="C277" s="11">
        <v>45708</v>
      </c>
      <c r="D277" s="12">
        <v>4</v>
      </c>
      <c r="E277" s="12">
        <v>7</v>
      </c>
      <c r="F277" s="13" t="s">
        <v>6148</v>
      </c>
      <c r="G277" t="str">
        <f>IFERROR(INDEX(Ticket!$B$2:$B$6001,MATCH(B277,Ticket!$A$2:$A$6001,0)),"Ticket introuvable")</f>
        <v>AG-036</v>
      </c>
    </row>
    <row r="278" spans="1:7" x14ac:dyDescent="0.35">
      <c r="A278" s="6" t="s">
        <v>6422</v>
      </c>
      <c r="B278" s="8" t="s">
        <v>4613</v>
      </c>
      <c r="C278" s="7">
        <v>45750</v>
      </c>
      <c r="D278" s="8">
        <v>5</v>
      </c>
      <c r="E278" s="8">
        <v>10</v>
      </c>
      <c r="F278" s="9" t="s">
        <v>6142</v>
      </c>
      <c r="G278" t="str">
        <f>IFERROR(INDEX(Ticket!$B$2:$B$6001,MATCH(B278,Ticket!$A$2:$A$6001,0)),"Ticket introuvable")</f>
        <v>AG-023</v>
      </c>
    </row>
    <row r="279" spans="1:7" x14ac:dyDescent="0.35">
      <c r="A279" s="10" t="s">
        <v>6423</v>
      </c>
      <c r="B279" s="12" t="s">
        <v>5428</v>
      </c>
      <c r="C279" s="11">
        <v>45947</v>
      </c>
      <c r="D279" s="12">
        <v>1</v>
      </c>
      <c r="E279" s="12">
        <v>4</v>
      </c>
      <c r="F279" s="13" t="s">
        <v>6142</v>
      </c>
      <c r="G279" t="str">
        <f>IFERROR(INDEX(Ticket!$B$2:$B$6001,MATCH(B279,Ticket!$A$2:$A$6001,0)),"Ticket introuvable")</f>
        <v>AG-026</v>
      </c>
    </row>
    <row r="280" spans="1:7" x14ac:dyDescent="0.35">
      <c r="A280" s="6" t="s">
        <v>6424</v>
      </c>
      <c r="B280" s="8" t="s">
        <v>4056</v>
      </c>
      <c r="C280" s="7">
        <v>45840</v>
      </c>
      <c r="D280" s="8">
        <v>5</v>
      </c>
      <c r="E280" s="8">
        <v>9</v>
      </c>
      <c r="F280" s="9" t="s">
        <v>6160</v>
      </c>
      <c r="G280" t="str">
        <f>IFERROR(INDEX(Ticket!$B$2:$B$6001,MATCH(B280,Ticket!$A$2:$A$6001,0)),"Ticket introuvable")</f>
        <v>AG-016</v>
      </c>
    </row>
    <row r="281" spans="1:7" x14ac:dyDescent="0.35">
      <c r="A281" s="10" t="s">
        <v>6425</v>
      </c>
      <c r="B281" s="12" t="s">
        <v>318</v>
      </c>
      <c r="C281" s="11">
        <v>45734</v>
      </c>
      <c r="D281" s="12">
        <v>4</v>
      </c>
      <c r="E281" s="12">
        <v>8</v>
      </c>
      <c r="F281" s="13" t="s">
        <v>6142</v>
      </c>
      <c r="G281" t="str">
        <f>IFERROR(INDEX(Ticket!$B$2:$B$6001,MATCH(B281,Ticket!$A$2:$A$6001,0)),"Ticket introuvable")</f>
        <v>AG-027</v>
      </c>
    </row>
    <row r="282" spans="1:7" x14ac:dyDescent="0.35">
      <c r="A282" s="6" t="s">
        <v>6426</v>
      </c>
      <c r="B282" s="8" t="s">
        <v>839</v>
      </c>
      <c r="C282" s="7">
        <v>45848</v>
      </c>
      <c r="D282" s="8">
        <v>4</v>
      </c>
      <c r="E282" s="8">
        <v>9</v>
      </c>
      <c r="F282" s="9" t="s">
        <v>6148</v>
      </c>
      <c r="G282" t="str">
        <f>IFERROR(INDEX(Ticket!$B$2:$B$6001,MATCH(B282,Ticket!$A$2:$A$6001,0)),"Ticket introuvable")</f>
        <v>AG-025</v>
      </c>
    </row>
    <row r="283" spans="1:7" x14ac:dyDescent="0.35">
      <c r="A283" s="10" t="s">
        <v>6427</v>
      </c>
      <c r="B283" s="12" t="s">
        <v>3939</v>
      </c>
      <c r="C283" s="11">
        <v>45716</v>
      </c>
      <c r="D283" s="12">
        <v>5</v>
      </c>
      <c r="E283" s="12">
        <v>9</v>
      </c>
      <c r="F283" s="13" t="s">
        <v>8363</v>
      </c>
      <c r="G283" t="str">
        <f>IFERROR(INDEX(Ticket!$B$2:$B$6001,MATCH(B283,Ticket!$A$2:$A$6001,0)),"Ticket introuvable")</f>
        <v>AG-017</v>
      </c>
    </row>
    <row r="284" spans="1:7" x14ac:dyDescent="0.35">
      <c r="A284" s="6" t="s">
        <v>6428</v>
      </c>
      <c r="B284" s="8" t="s">
        <v>4032</v>
      </c>
      <c r="C284" s="7">
        <v>45879</v>
      </c>
      <c r="D284" s="8">
        <v>4</v>
      </c>
      <c r="E284" s="8">
        <v>2</v>
      </c>
      <c r="F284" s="9" t="s">
        <v>6142</v>
      </c>
      <c r="G284" t="str">
        <f>IFERROR(INDEX(Ticket!$B$2:$B$6001,MATCH(B284,Ticket!$A$2:$A$6001,0)),"Ticket introuvable")</f>
        <v>AG-024</v>
      </c>
    </row>
    <row r="285" spans="1:7" x14ac:dyDescent="0.35">
      <c r="A285" s="10" t="s">
        <v>6429</v>
      </c>
      <c r="B285" s="12" t="s">
        <v>3012</v>
      </c>
      <c r="C285" s="11">
        <v>45892</v>
      </c>
      <c r="D285" s="12">
        <v>4</v>
      </c>
      <c r="E285" s="12">
        <v>6</v>
      </c>
      <c r="F285" s="13" t="s">
        <v>6160</v>
      </c>
      <c r="G285" t="str">
        <f>IFERROR(INDEX(Ticket!$B$2:$B$6001,MATCH(B285,Ticket!$A$2:$A$6001,0)),"Ticket introuvable")</f>
        <v>AG-016</v>
      </c>
    </row>
    <row r="286" spans="1:7" x14ac:dyDescent="0.35">
      <c r="A286" s="6" t="s">
        <v>6430</v>
      </c>
      <c r="B286" s="8" t="s">
        <v>5172</v>
      </c>
      <c r="C286" s="7">
        <v>46017</v>
      </c>
      <c r="D286" s="8">
        <v>5</v>
      </c>
      <c r="E286" s="8">
        <v>10</v>
      </c>
      <c r="F286" s="9" t="s">
        <v>8363</v>
      </c>
      <c r="G286" t="str">
        <f>IFERROR(INDEX(Ticket!$B$2:$B$6001,MATCH(B286,Ticket!$A$2:$A$6001,0)),"Ticket introuvable")</f>
        <v>AG-003</v>
      </c>
    </row>
    <row r="287" spans="1:7" x14ac:dyDescent="0.35">
      <c r="A287" s="10" t="s">
        <v>6431</v>
      </c>
      <c r="B287" s="12" t="s">
        <v>5824</v>
      </c>
      <c r="C287" s="11">
        <v>45793</v>
      </c>
      <c r="D287" s="12"/>
      <c r="E287" s="12">
        <v>7</v>
      </c>
      <c r="F287" s="13" t="s">
        <v>6142</v>
      </c>
      <c r="G287" t="str">
        <f>IFERROR(INDEX(Ticket!$B$2:$B$6001,MATCH(B287,Ticket!$A$2:$A$6001,0)),"Ticket introuvable")</f>
        <v>AG-037</v>
      </c>
    </row>
    <row r="288" spans="1:7" x14ac:dyDescent="0.35">
      <c r="A288" s="6" t="s">
        <v>6432</v>
      </c>
      <c r="B288" s="8" t="s">
        <v>2598</v>
      </c>
      <c r="C288" s="7">
        <v>45804</v>
      </c>
      <c r="D288" s="8">
        <v>4</v>
      </c>
      <c r="E288" s="8">
        <v>10</v>
      </c>
      <c r="F288" s="9" t="s">
        <v>8363</v>
      </c>
      <c r="G288" t="str">
        <f>IFERROR(INDEX(Ticket!$B$2:$B$6001,MATCH(B288,Ticket!$A$2:$A$6001,0)),"Ticket introuvable")</f>
        <v>AG-035</v>
      </c>
    </row>
    <row r="289" spans="1:7" x14ac:dyDescent="0.35">
      <c r="A289" s="10" t="s">
        <v>6433</v>
      </c>
      <c r="B289" s="12" t="s">
        <v>5808</v>
      </c>
      <c r="C289" s="11">
        <v>45893</v>
      </c>
      <c r="D289" s="12">
        <v>4</v>
      </c>
      <c r="E289" s="12">
        <v>7</v>
      </c>
      <c r="F289" s="13" t="s">
        <v>6153</v>
      </c>
      <c r="G289" t="str">
        <f>IFERROR(INDEX(Ticket!$B$2:$B$6001,MATCH(B289,Ticket!$A$2:$A$6001,0)),"Ticket introuvable")</f>
        <v>AG-037</v>
      </c>
    </row>
    <row r="290" spans="1:7" x14ac:dyDescent="0.35">
      <c r="A290" s="6" t="s">
        <v>6434</v>
      </c>
      <c r="B290" s="8" t="s">
        <v>1941</v>
      </c>
      <c r="C290" s="7">
        <v>45814</v>
      </c>
      <c r="D290" s="8">
        <v>5</v>
      </c>
      <c r="E290" s="8">
        <v>8</v>
      </c>
      <c r="F290" s="9" t="s">
        <v>6148</v>
      </c>
      <c r="G290" t="str">
        <f>IFERROR(INDEX(Ticket!$B$2:$B$6001,MATCH(B290,Ticket!$A$2:$A$6001,0)),"Ticket introuvable")</f>
        <v>AG-028</v>
      </c>
    </row>
    <row r="291" spans="1:7" x14ac:dyDescent="0.35">
      <c r="A291" s="10" t="s">
        <v>6435</v>
      </c>
      <c r="B291" s="12" t="s">
        <v>1395</v>
      </c>
      <c r="C291" s="11">
        <v>45741</v>
      </c>
      <c r="D291" s="12">
        <v>5</v>
      </c>
      <c r="E291" s="12"/>
      <c r="F291" s="13" t="s">
        <v>6153</v>
      </c>
      <c r="G291" t="str">
        <f>IFERROR(INDEX(Ticket!$B$2:$B$6001,MATCH(B291,Ticket!$A$2:$A$6001,0)),"Ticket introuvable")</f>
        <v>AG-018</v>
      </c>
    </row>
    <row r="292" spans="1:7" x14ac:dyDescent="0.35">
      <c r="A292" s="6" t="s">
        <v>6436</v>
      </c>
      <c r="B292" s="8" t="s">
        <v>2921</v>
      </c>
      <c r="C292" s="7">
        <v>45679</v>
      </c>
      <c r="D292" s="8">
        <v>3</v>
      </c>
      <c r="E292" s="8">
        <v>10</v>
      </c>
      <c r="F292" s="9" t="s">
        <v>6153</v>
      </c>
      <c r="G292" t="str">
        <f>IFERROR(INDEX(Ticket!$B$2:$B$6001,MATCH(B292,Ticket!$A$2:$A$6001,0)),"Ticket introuvable")</f>
        <v>AG-026</v>
      </c>
    </row>
    <row r="293" spans="1:7" x14ac:dyDescent="0.35">
      <c r="A293" s="10" t="s">
        <v>6437</v>
      </c>
      <c r="B293" s="12" t="s">
        <v>86</v>
      </c>
      <c r="C293" s="11">
        <v>45939</v>
      </c>
      <c r="D293" s="12">
        <v>4</v>
      </c>
      <c r="E293" s="12"/>
      <c r="F293" s="13" t="s">
        <v>75</v>
      </c>
      <c r="G293" t="str">
        <f>IFERROR(INDEX(Ticket!$B$2:$B$6001,MATCH(B293,Ticket!$A$2:$A$6001,0)),"Ticket introuvable")</f>
        <v>AG-017</v>
      </c>
    </row>
    <row r="294" spans="1:7" x14ac:dyDescent="0.35">
      <c r="A294" s="6" t="s">
        <v>6438</v>
      </c>
      <c r="B294" s="8" t="s">
        <v>5892</v>
      </c>
      <c r="C294" s="7">
        <v>45951</v>
      </c>
      <c r="D294" s="8">
        <v>2</v>
      </c>
      <c r="E294" s="8">
        <v>6</v>
      </c>
      <c r="F294" s="9" t="s">
        <v>6142</v>
      </c>
      <c r="G294" t="str">
        <f>IFERROR(INDEX(Ticket!$B$2:$B$6001,MATCH(B294,Ticket!$A$2:$A$6001,0)),"Ticket introuvable")</f>
        <v>AG-028</v>
      </c>
    </row>
    <row r="295" spans="1:7" x14ac:dyDescent="0.35">
      <c r="A295" s="10" t="s">
        <v>6439</v>
      </c>
      <c r="B295" s="12" t="s">
        <v>2821</v>
      </c>
      <c r="C295" s="11">
        <v>45672</v>
      </c>
      <c r="D295" s="12"/>
      <c r="E295" s="12">
        <v>0</v>
      </c>
      <c r="F295" s="13" t="s">
        <v>6148</v>
      </c>
      <c r="G295" t="str">
        <f>IFERROR(INDEX(Ticket!$B$2:$B$6001,MATCH(B295,Ticket!$A$2:$A$6001,0)),"Ticket introuvable")</f>
        <v>AG-016</v>
      </c>
    </row>
    <row r="296" spans="1:7" x14ac:dyDescent="0.35">
      <c r="A296" s="6" t="s">
        <v>6440</v>
      </c>
      <c r="B296" s="8" t="s">
        <v>1622</v>
      </c>
      <c r="C296" s="7">
        <v>45967</v>
      </c>
      <c r="D296" s="8">
        <v>5</v>
      </c>
      <c r="E296" s="8">
        <v>10</v>
      </c>
      <c r="F296" s="9" t="s">
        <v>6153</v>
      </c>
      <c r="G296" t="str">
        <f>IFERROR(INDEX(Ticket!$B$2:$B$6001,MATCH(B296,Ticket!$A$2:$A$6001,0)),"Ticket introuvable")</f>
        <v>AG-020</v>
      </c>
    </row>
    <row r="297" spans="1:7" x14ac:dyDescent="0.35">
      <c r="A297" s="10" t="s">
        <v>6441</v>
      </c>
      <c r="B297" s="12" t="s">
        <v>1879</v>
      </c>
      <c r="C297" s="11">
        <v>45942</v>
      </c>
      <c r="D297" s="12">
        <v>4</v>
      </c>
      <c r="E297" s="12">
        <v>4</v>
      </c>
      <c r="F297" s="13" t="s">
        <v>8363</v>
      </c>
      <c r="G297" t="str">
        <f>IFERROR(INDEX(Ticket!$B$2:$B$6001,MATCH(B297,Ticket!$A$2:$A$6001,0)),"Ticket introuvable")</f>
        <v>AG-031</v>
      </c>
    </row>
    <row r="298" spans="1:7" x14ac:dyDescent="0.35">
      <c r="A298" s="6" t="s">
        <v>6442</v>
      </c>
      <c r="B298" s="8" t="s">
        <v>3003</v>
      </c>
      <c r="C298" s="7">
        <v>45778</v>
      </c>
      <c r="D298" s="8"/>
      <c r="E298" s="8">
        <v>10</v>
      </c>
      <c r="F298" s="9" t="s">
        <v>6148</v>
      </c>
      <c r="G298" t="str">
        <f>IFERROR(INDEX(Ticket!$B$2:$B$6001,MATCH(B298,Ticket!$A$2:$A$6001,0)),"Ticket introuvable")</f>
        <v>AG-008</v>
      </c>
    </row>
    <row r="299" spans="1:7" x14ac:dyDescent="0.35">
      <c r="A299" s="10" t="s">
        <v>6443</v>
      </c>
      <c r="B299" s="12" t="s">
        <v>2368</v>
      </c>
      <c r="C299" s="11">
        <v>45705</v>
      </c>
      <c r="D299" s="12">
        <v>2</v>
      </c>
      <c r="E299" s="12">
        <v>9</v>
      </c>
      <c r="F299" s="13" t="s">
        <v>6153</v>
      </c>
      <c r="G299" t="str">
        <f>IFERROR(INDEX(Ticket!$B$2:$B$6001,MATCH(B299,Ticket!$A$2:$A$6001,0)),"Ticket introuvable")</f>
        <v>AG-029</v>
      </c>
    </row>
    <row r="300" spans="1:7" x14ac:dyDescent="0.35">
      <c r="A300" s="6" t="s">
        <v>6444</v>
      </c>
      <c r="B300" s="8" t="s">
        <v>3807</v>
      </c>
      <c r="C300" s="7">
        <v>45939</v>
      </c>
      <c r="D300" s="8">
        <v>5</v>
      </c>
      <c r="E300" s="8">
        <v>2</v>
      </c>
      <c r="F300" s="9" t="s">
        <v>6142</v>
      </c>
      <c r="G300" t="str">
        <f>IFERROR(INDEX(Ticket!$B$2:$B$6001,MATCH(B300,Ticket!$A$2:$A$6001,0)),"Ticket introuvable")</f>
        <v>AG-039</v>
      </c>
    </row>
    <row r="301" spans="1:7" x14ac:dyDescent="0.35">
      <c r="A301" s="10" t="s">
        <v>6445</v>
      </c>
      <c r="B301" s="12" t="s">
        <v>5628</v>
      </c>
      <c r="C301" s="11">
        <v>45800</v>
      </c>
      <c r="D301" s="12">
        <v>3</v>
      </c>
      <c r="E301" s="12"/>
      <c r="F301" s="13" t="s">
        <v>75</v>
      </c>
      <c r="G301" t="str">
        <f>IFERROR(INDEX(Ticket!$B$2:$B$6001,MATCH(B301,Ticket!$A$2:$A$6001,0)),"Ticket introuvable")</f>
        <v>AG-014</v>
      </c>
    </row>
    <row r="302" spans="1:7" x14ac:dyDescent="0.35">
      <c r="A302" s="6" t="s">
        <v>6446</v>
      </c>
      <c r="B302" s="8" t="s">
        <v>1168</v>
      </c>
      <c r="C302" s="7">
        <v>45912</v>
      </c>
      <c r="D302" s="8">
        <v>4</v>
      </c>
      <c r="E302" s="8">
        <v>6</v>
      </c>
      <c r="F302" s="9" t="s">
        <v>6153</v>
      </c>
      <c r="G302" t="str">
        <f>IFERROR(INDEX(Ticket!$B$2:$B$6001,MATCH(B302,Ticket!$A$2:$A$6001,0)),"Ticket introuvable")</f>
        <v>AG-033</v>
      </c>
    </row>
    <row r="303" spans="1:7" x14ac:dyDescent="0.35">
      <c r="A303" s="10" t="s">
        <v>6447</v>
      </c>
      <c r="B303" s="12" t="s">
        <v>4678</v>
      </c>
      <c r="C303" s="11">
        <v>45996</v>
      </c>
      <c r="D303" s="12">
        <v>4</v>
      </c>
      <c r="E303" s="12">
        <v>8</v>
      </c>
      <c r="F303" s="13" t="s">
        <v>6148</v>
      </c>
      <c r="G303" t="str">
        <f>IFERROR(INDEX(Ticket!$B$2:$B$6001,MATCH(B303,Ticket!$A$2:$A$6001,0)),"Ticket introuvable")</f>
        <v>AG-014</v>
      </c>
    </row>
    <row r="304" spans="1:7" x14ac:dyDescent="0.35">
      <c r="A304" s="6" t="s">
        <v>6448</v>
      </c>
      <c r="B304" s="8" t="s">
        <v>1316</v>
      </c>
      <c r="C304" s="7">
        <v>45997</v>
      </c>
      <c r="D304" s="8"/>
      <c r="E304" s="8">
        <v>10</v>
      </c>
      <c r="F304" s="9" t="s">
        <v>6160</v>
      </c>
      <c r="G304" t="str">
        <f>IFERROR(INDEX(Ticket!$B$2:$B$6001,MATCH(B304,Ticket!$A$2:$A$6001,0)),"Ticket introuvable")</f>
        <v>AG-035</v>
      </c>
    </row>
    <row r="305" spans="1:7" x14ac:dyDescent="0.35">
      <c r="A305" s="10" t="s">
        <v>6449</v>
      </c>
      <c r="B305" s="12" t="s">
        <v>6450</v>
      </c>
      <c r="C305" s="11">
        <v>45834</v>
      </c>
      <c r="D305" s="12">
        <v>1</v>
      </c>
      <c r="E305" s="12">
        <v>4</v>
      </c>
      <c r="F305" s="13" t="s">
        <v>6148</v>
      </c>
      <c r="G305" t="str">
        <f>IFERROR(INDEX(Ticket!$B$2:$B$6001,MATCH(B305,Ticket!$A$2:$A$6001,0)),"Ticket introuvable")</f>
        <v>AG-029</v>
      </c>
    </row>
    <row r="306" spans="1:7" x14ac:dyDescent="0.35">
      <c r="A306" s="6" t="s">
        <v>6451</v>
      </c>
      <c r="B306" s="8" t="s">
        <v>613</v>
      </c>
      <c r="C306" s="7">
        <v>46007</v>
      </c>
      <c r="D306" s="8">
        <v>4</v>
      </c>
      <c r="E306" s="8">
        <v>8</v>
      </c>
      <c r="F306" s="9" t="s">
        <v>8363</v>
      </c>
      <c r="G306" t="str">
        <f>IFERROR(INDEX(Ticket!$B$2:$B$6001,MATCH(B306,Ticket!$A$2:$A$6001,0)),"Ticket introuvable")</f>
        <v>AG-013</v>
      </c>
    </row>
    <row r="307" spans="1:7" x14ac:dyDescent="0.35">
      <c r="A307" s="10" t="s">
        <v>6452</v>
      </c>
      <c r="B307" s="12" t="s">
        <v>5885</v>
      </c>
      <c r="C307" s="11">
        <v>45935</v>
      </c>
      <c r="D307" s="12">
        <v>4</v>
      </c>
      <c r="E307" s="12">
        <v>10</v>
      </c>
      <c r="F307" s="13" t="s">
        <v>6160</v>
      </c>
      <c r="G307" t="str">
        <f>IFERROR(INDEX(Ticket!$B$2:$B$6001,MATCH(B307,Ticket!$A$2:$A$6001,0)),"Ticket introuvable")</f>
        <v>AG-014</v>
      </c>
    </row>
    <row r="308" spans="1:7" x14ac:dyDescent="0.35">
      <c r="A308" s="6" t="s">
        <v>6453</v>
      </c>
      <c r="B308" s="8" t="s">
        <v>4963</v>
      </c>
      <c r="C308" s="7">
        <v>45856</v>
      </c>
      <c r="D308" s="8">
        <v>3</v>
      </c>
      <c r="E308" s="8">
        <v>9</v>
      </c>
      <c r="F308" s="9" t="s">
        <v>6160</v>
      </c>
      <c r="G308" t="str">
        <f>IFERROR(INDEX(Ticket!$B$2:$B$6001,MATCH(B308,Ticket!$A$2:$A$6001,0)),"Ticket introuvable")</f>
        <v>AG-010</v>
      </c>
    </row>
    <row r="309" spans="1:7" x14ac:dyDescent="0.35">
      <c r="A309" s="10" t="s">
        <v>6454</v>
      </c>
      <c r="B309" s="12" t="s">
        <v>1541</v>
      </c>
      <c r="C309" s="11">
        <v>45950</v>
      </c>
      <c r="D309" s="12">
        <v>4</v>
      </c>
      <c r="E309" s="12">
        <v>10</v>
      </c>
      <c r="F309" s="13" t="s">
        <v>8363</v>
      </c>
      <c r="G309" t="str">
        <f>IFERROR(INDEX(Ticket!$B$2:$B$6001,MATCH(B309,Ticket!$A$2:$A$6001,0)),"Ticket introuvable")</f>
        <v>AG-035</v>
      </c>
    </row>
    <row r="310" spans="1:7" x14ac:dyDescent="0.35">
      <c r="A310" s="6" t="s">
        <v>6455</v>
      </c>
      <c r="B310" s="8" t="s">
        <v>4632</v>
      </c>
      <c r="C310" s="7">
        <v>45957</v>
      </c>
      <c r="D310" s="8">
        <v>5</v>
      </c>
      <c r="E310" s="8">
        <v>5</v>
      </c>
      <c r="F310" s="9" t="s">
        <v>6160</v>
      </c>
      <c r="G310" t="str">
        <f>IFERROR(INDEX(Ticket!$B$2:$B$6001,MATCH(B310,Ticket!$A$2:$A$6001,0)),"Ticket introuvable")</f>
        <v>AG-021</v>
      </c>
    </row>
    <row r="311" spans="1:7" x14ac:dyDescent="0.35">
      <c r="A311" s="10" t="s">
        <v>6456</v>
      </c>
      <c r="B311" s="12" t="s">
        <v>2128</v>
      </c>
      <c r="C311" s="11">
        <v>45667</v>
      </c>
      <c r="D311" s="12">
        <v>4</v>
      </c>
      <c r="E311" s="12">
        <v>1</v>
      </c>
      <c r="F311" s="13" t="s">
        <v>6142</v>
      </c>
      <c r="G311" t="str">
        <f>IFERROR(INDEX(Ticket!$B$2:$B$6001,MATCH(B311,Ticket!$A$2:$A$6001,0)),"Ticket introuvable")</f>
        <v>AG-007</v>
      </c>
    </row>
    <row r="312" spans="1:7" x14ac:dyDescent="0.35">
      <c r="A312" s="6" t="s">
        <v>6457</v>
      </c>
      <c r="B312" s="8" t="s">
        <v>4883</v>
      </c>
      <c r="C312" s="7">
        <v>45690</v>
      </c>
      <c r="D312" s="8">
        <v>2</v>
      </c>
      <c r="E312" s="8">
        <v>8</v>
      </c>
      <c r="F312" s="9" t="s">
        <v>6142</v>
      </c>
      <c r="G312" t="str">
        <f>IFERROR(INDEX(Ticket!$B$2:$B$6001,MATCH(B312,Ticket!$A$2:$A$6001,0)),"Ticket introuvable")</f>
        <v>AG-031</v>
      </c>
    </row>
    <row r="313" spans="1:7" x14ac:dyDescent="0.35">
      <c r="A313" s="10" t="s">
        <v>6458</v>
      </c>
      <c r="B313" s="12" t="s">
        <v>1565</v>
      </c>
      <c r="C313" s="11">
        <v>45919</v>
      </c>
      <c r="D313" s="12">
        <v>3</v>
      </c>
      <c r="E313" s="12"/>
      <c r="F313" s="13" t="s">
        <v>6148</v>
      </c>
      <c r="G313" t="str">
        <f>IFERROR(INDEX(Ticket!$B$2:$B$6001,MATCH(B313,Ticket!$A$2:$A$6001,0)),"Ticket introuvable")</f>
        <v>AG-040</v>
      </c>
    </row>
    <row r="314" spans="1:7" x14ac:dyDescent="0.35">
      <c r="A314" s="6" t="s">
        <v>6459</v>
      </c>
      <c r="B314" s="8" t="s">
        <v>5287</v>
      </c>
      <c r="C314" s="7">
        <v>45679</v>
      </c>
      <c r="D314" s="8">
        <v>5</v>
      </c>
      <c r="E314" s="8">
        <v>8</v>
      </c>
      <c r="F314" s="9" t="s">
        <v>6153</v>
      </c>
      <c r="G314" t="str">
        <f>IFERROR(INDEX(Ticket!$B$2:$B$6001,MATCH(B314,Ticket!$A$2:$A$6001,0)),"Ticket introuvable")</f>
        <v>AG-033</v>
      </c>
    </row>
    <row r="315" spans="1:7" x14ac:dyDescent="0.35">
      <c r="A315" s="10" t="s">
        <v>6460</v>
      </c>
      <c r="B315" s="12" t="s">
        <v>3251</v>
      </c>
      <c r="C315" s="11">
        <v>45706</v>
      </c>
      <c r="D315" s="12">
        <v>3</v>
      </c>
      <c r="E315" s="12">
        <v>9</v>
      </c>
      <c r="F315" s="13" t="s">
        <v>8363</v>
      </c>
      <c r="G315" t="str">
        <f>IFERROR(INDEX(Ticket!$B$2:$B$6001,MATCH(B315,Ticket!$A$2:$A$6001,0)),"Ticket introuvable")</f>
        <v>AG-036</v>
      </c>
    </row>
    <row r="316" spans="1:7" x14ac:dyDescent="0.35">
      <c r="A316" s="6" t="s">
        <v>6461</v>
      </c>
      <c r="B316" s="8" t="s">
        <v>4696</v>
      </c>
      <c r="C316" s="7">
        <v>45964</v>
      </c>
      <c r="D316" s="8">
        <v>3</v>
      </c>
      <c r="E316" s="8">
        <v>8</v>
      </c>
      <c r="F316" s="9" t="s">
        <v>6142</v>
      </c>
      <c r="G316" t="str">
        <f>IFERROR(INDEX(Ticket!$B$2:$B$6001,MATCH(B316,Ticket!$A$2:$A$6001,0)),"Ticket introuvable")</f>
        <v>AG-033</v>
      </c>
    </row>
    <row r="317" spans="1:7" x14ac:dyDescent="0.35">
      <c r="A317" s="10" t="s">
        <v>6462</v>
      </c>
      <c r="B317" s="12" t="s">
        <v>3413</v>
      </c>
      <c r="C317" s="11">
        <v>45956</v>
      </c>
      <c r="D317" s="12">
        <v>5</v>
      </c>
      <c r="E317" s="12">
        <v>10</v>
      </c>
      <c r="F317" s="13" t="s">
        <v>8363</v>
      </c>
      <c r="G317" t="str">
        <f>IFERROR(INDEX(Ticket!$B$2:$B$6001,MATCH(B317,Ticket!$A$2:$A$6001,0)),"Ticket introuvable")</f>
        <v>AG-007</v>
      </c>
    </row>
    <row r="318" spans="1:7" x14ac:dyDescent="0.35">
      <c r="A318" s="6" t="s">
        <v>6463</v>
      </c>
      <c r="B318" s="8" t="s">
        <v>2653</v>
      </c>
      <c r="C318" s="7">
        <v>45858</v>
      </c>
      <c r="D318" s="8">
        <v>5</v>
      </c>
      <c r="E318" s="8">
        <v>7</v>
      </c>
      <c r="F318" s="9" t="s">
        <v>6153</v>
      </c>
      <c r="G318" t="str">
        <f>IFERROR(INDEX(Ticket!$B$2:$B$6001,MATCH(B318,Ticket!$A$2:$A$6001,0)),"Ticket introuvable")</f>
        <v>AG-033</v>
      </c>
    </row>
    <row r="319" spans="1:7" x14ac:dyDescent="0.35">
      <c r="A319" s="10" t="s">
        <v>6464</v>
      </c>
      <c r="B319" s="12" t="s">
        <v>4690</v>
      </c>
      <c r="C319" s="11">
        <v>45789</v>
      </c>
      <c r="D319" s="12">
        <v>5</v>
      </c>
      <c r="E319" s="12">
        <v>9</v>
      </c>
      <c r="F319" s="13" t="s">
        <v>6160</v>
      </c>
      <c r="G319" t="str">
        <f>IFERROR(INDEX(Ticket!$B$2:$B$6001,MATCH(B319,Ticket!$A$2:$A$6001,0)),"Ticket introuvable")</f>
        <v>AG-023</v>
      </c>
    </row>
    <row r="320" spans="1:7" x14ac:dyDescent="0.35">
      <c r="A320" s="6" t="s">
        <v>6465</v>
      </c>
      <c r="B320" s="8" t="s">
        <v>6058</v>
      </c>
      <c r="C320" s="7">
        <v>45761</v>
      </c>
      <c r="D320" s="8">
        <v>4</v>
      </c>
      <c r="E320" s="8">
        <v>10</v>
      </c>
      <c r="F320" s="9" t="s">
        <v>8363</v>
      </c>
      <c r="G320" t="str">
        <f>IFERROR(INDEX(Ticket!$B$2:$B$6001,MATCH(B320,Ticket!$A$2:$A$6001,0)),"Ticket introuvable")</f>
        <v>AG-024</v>
      </c>
    </row>
    <row r="321" spans="1:7" x14ac:dyDescent="0.35">
      <c r="A321" s="10" t="s">
        <v>6466</v>
      </c>
      <c r="B321" s="12" t="s">
        <v>4949</v>
      </c>
      <c r="C321" s="11">
        <v>45703</v>
      </c>
      <c r="D321" s="12">
        <v>3</v>
      </c>
      <c r="E321" s="12">
        <v>7</v>
      </c>
      <c r="F321" s="13" t="s">
        <v>6153</v>
      </c>
      <c r="G321" t="str">
        <f>IFERROR(INDEX(Ticket!$B$2:$B$6001,MATCH(B321,Ticket!$A$2:$A$6001,0)),"Ticket introuvable")</f>
        <v>AG-029</v>
      </c>
    </row>
    <row r="322" spans="1:7" x14ac:dyDescent="0.35">
      <c r="A322" s="6" t="s">
        <v>6467</v>
      </c>
      <c r="B322" s="8" t="s">
        <v>3345</v>
      </c>
      <c r="C322" s="7">
        <v>45749</v>
      </c>
      <c r="D322" s="8">
        <v>5</v>
      </c>
      <c r="E322" s="8">
        <v>9</v>
      </c>
      <c r="F322" s="9" t="s">
        <v>8363</v>
      </c>
      <c r="G322" t="str">
        <f>IFERROR(INDEX(Ticket!$B$2:$B$6001,MATCH(B322,Ticket!$A$2:$A$6001,0)),"Ticket introuvable")</f>
        <v>AG-014</v>
      </c>
    </row>
    <row r="323" spans="1:7" x14ac:dyDescent="0.35">
      <c r="A323" s="10" t="s">
        <v>6468</v>
      </c>
      <c r="B323" s="12" t="s">
        <v>5661</v>
      </c>
      <c r="C323" s="11">
        <v>45716</v>
      </c>
      <c r="D323" s="12">
        <v>5</v>
      </c>
      <c r="E323" s="12">
        <v>3</v>
      </c>
      <c r="F323" s="13" t="s">
        <v>8363</v>
      </c>
      <c r="G323" t="str">
        <f>IFERROR(INDEX(Ticket!$B$2:$B$6001,MATCH(B323,Ticket!$A$2:$A$6001,0)),"Ticket introuvable")</f>
        <v>AG-017</v>
      </c>
    </row>
    <row r="324" spans="1:7" x14ac:dyDescent="0.35">
      <c r="A324" s="6" t="s">
        <v>6469</v>
      </c>
      <c r="B324" s="8" t="s">
        <v>1994</v>
      </c>
      <c r="C324" s="7">
        <v>45804</v>
      </c>
      <c r="D324" s="8">
        <v>5</v>
      </c>
      <c r="E324" s="8">
        <v>7</v>
      </c>
      <c r="F324" s="9" t="s">
        <v>6153</v>
      </c>
      <c r="G324" t="str">
        <f>IFERROR(INDEX(Ticket!$B$2:$B$6001,MATCH(B324,Ticket!$A$2:$A$6001,0)),"Ticket introuvable")</f>
        <v>AG-020</v>
      </c>
    </row>
    <row r="325" spans="1:7" x14ac:dyDescent="0.35">
      <c r="A325" s="10" t="s">
        <v>6470</v>
      </c>
      <c r="B325" s="12" t="s">
        <v>4977</v>
      </c>
      <c r="C325" s="11">
        <v>45901</v>
      </c>
      <c r="D325" s="12">
        <v>3</v>
      </c>
      <c r="E325" s="12">
        <v>0</v>
      </c>
      <c r="F325" s="13" t="s">
        <v>6142</v>
      </c>
      <c r="G325" t="str">
        <f>IFERROR(INDEX(Ticket!$B$2:$B$6001,MATCH(B325,Ticket!$A$2:$A$6001,0)),"Ticket introuvable")</f>
        <v>AG-017</v>
      </c>
    </row>
    <row r="326" spans="1:7" x14ac:dyDescent="0.35">
      <c r="A326" s="6" t="s">
        <v>6471</v>
      </c>
      <c r="B326" s="8" t="s">
        <v>5345</v>
      </c>
      <c r="C326" s="7">
        <v>45906</v>
      </c>
      <c r="D326" s="8">
        <v>4</v>
      </c>
      <c r="E326" s="8">
        <v>9</v>
      </c>
      <c r="F326" s="9" t="s">
        <v>75</v>
      </c>
      <c r="G326" t="str">
        <f>IFERROR(INDEX(Ticket!$B$2:$B$6001,MATCH(B326,Ticket!$A$2:$A$6001,0)),"Ticket introuvable")</f>
        <v>AG-017</v>
      </c>
    </row>
    <row r="327" spans="1:7" x14ac:dyDescent="0.35">
      <c r="A327" s="10" t="s">
        <v>6472</v>
      </c>
      <c r="B327" s="12" t="s">
        <v>3980</v>
      </c>
      <c r="C327" s="11">
        <v>45710</v>
      </c>
      <c r="D327" s="12">
        <v>3</v>
      </c>
      <c r="E327" s="12">
        <v>10</v>
      </c>
      <c r="F327" s="13" t="s">
        <v>6142</v>
      </c>
      <c r="G327" t="str">
        <f>IFERROR(INDEX(Ticket!$B$2:$B$6001,MATCH(B327,Ticket!$A$2:$A$6001,0)),"Ticket introuvable")</f>
        <v>AG-040</v>
      </c>
    </row>
    <row r="328" spans="1:7" x14ac:dyDescent="0.35">
      <c r="A328" s="6" t="s">
        <v>6473</v>
      </c>
      <c r="B328" s="8" t="s">
        <v>4748</v>
      </c>
      <c r="C328" s="7">
        <v>45868</v>
      </c>
      <c r="D328" s="8">
        <v>4</v>
      </c>
      <c r="E328" s="8">
        <v>8</v>
      </c>
      <c r="F328" s="9" t="s">
        <v>6148</v>
      </c>
      <c r="G328" t="str">
        <f>IFERROR(INDEX(Ticket!$B$2:$B$6001,MATCH(B328,Ticket!$A$2:$A$6001,0)),"Ticket introuvable")</f>
        <v>AG-014</v>
      </c>
    </row>
    <row r="329" spans="1:7" x14ac:dyDescent="0.35">
      <c r="A329" s="10" t="s">
        <v>6474</v>
      </c>
      <c r="B329" s="12" t="s">
        <v>3670</v>
      </c>
      <c r="C329" s="11">
        <v>45711</v>
      </c>
      <c r="D329" s="12">
        <v>4</v>
      </c>
      <c r="E329" s="12">
        <v>9</v>
      </c>
      <c r="F329" s="13" t="s">
        <v>6160</v>
      </c>
      <c r="G329" t="str">
        <f>IFERROR(INDEX(Ticket!$B$2:$B$6001,MATCH(B329,Ticket!$A$2:$A$6001,0)),"Ticket introuvable")</f>
        <v>AG-027</v>
      </c>
    </row>
    <row r="330" spans="1:7" x14ac:dyDescent="0.35">
      <c r="A330" s="6" t="s">
        <v>6475</v>
      </c>
      <c r="B330" s="8" t="s">
        <v>4269</v>
      </c>
      <c r="C330" s="7">
        <v>45739</v>
      </c>
      <c r="D330" s="8">
        <v>5</v>
      </c>
      <c r="E330" s="8"/>
      <c r="F330" s="9" t="s">
        <v>6153</v>
      </c>
      <c r="G330" t="str">
        <f>IFERROR(INDEX(Ticket!$B$2:$B$6001,MATCH(B330,Ticket!$A$2:$A$6001,0)),"Ticket introuvable")</f>
        <v>AG-026</v>
      </c>
    </row>
    <row r="331" spans="1:7" x14ac:dyDescent="0.35">
      <c r="A331" s="10" t="s">
        <v>6476</v>
      </c>
      <c r="B331" s="12" t="s">
        <v>165</v>
      </c>
      <c r="C331" s="11">
        <v>45684</v>
      </c>
      <c r="D331" s="12">
        <v>4</v>
      </c>
      <c r="E331" s="12">
        <v>9</v>
      </c>
      <c r="F331" s="13" t="s">
        <v>6142</v>
      </c>
      <c r="G331" t="str">
        <f>IFERROR(INDEX(Ticket!$B$2:$B$6001,MATCH(B331,Ticket!$A$2:$A$6001,0)),"Ticket introuvable")</f>
        <v>AG-035</v>
      </c>
    </row>
    <row r="332" spans="1:7" x14ac:dyDescent="0.35">
      <c r="A332" s="6" t="s">
        <v>6477</v>
      </c>
      <c r="B332" s="8" t="s">
        <v>2253</v>
      </c>
      <c r="C332" s="7">
        <v>45893</v>
      </c>
      <c r="D332" s="8">
        <v>5</v>
      </c>
      <c r="E332" s="8">
        <v>8</v>
      </c>
      <c r="F332" s="9" t="s">
        <v>6153</v>
      </c>
      <c r="G332" t="str">
        <f>IFERROR(INDEX(Ticket!$B$2:$B$6001,MATCH(B332,Ticket!$A$2:$A$6001,0)),"Ticket introuvable")</f>
        <v>AG-011</v>
      </c>
    </row>
    <row r="333" spans="1:7" x14ac:dyDescent="0.35">
      <c r="A333" s="10" t="s">
        <v>6478</v>
      </c>
      <c r="B333" s="12" t="s">
        <v>3910</v>
      </c>
      <c r="C333" s="11">
        <v>45917</v>
      </c>
      <c r="D333" s="12">
        <v>1</v>
      </c>
      <c r="E333" s="12">
        <v>5</v>
      </c>
      <c r="F333" s="13" t="s">
        <v>8363</v>
      </c>
      <c r="G333" t="str">
        <f>IFERROR(INDEX(Ticket!$B$2:$B$6001,MATCH(B333,Ticket!$A$2:$A$6001,0)),"Ticket introuvable")</f>
        <v>AG-021</v>
      </c>
    </row>
    <row r="334" spans="1:7" x14ac:dyDescent="0.35">
      <c r="A334" s="6" t="s">
        <v>6479</v>
      </c>
      <c r="B334" s="8" t="s">
        <v>2401</v>
      </c>
      <c r="C334" s="7">
        <v>45674</v>
      </c>
      <c r="D334" s="8"/>
      <c r="E334" s="8">
        <v>10</v>
      </c>
      <c r="F334" s="9" t="s">
        <v>6153</v>
      </c>
      <c r="G334" t="str">
        <f>IFERROR(INDEX(Ticket!$B$2:$B$6001,MATCH(B334,Ticket!$A$2:$A$6001,0)),"Ticket introuvable")</f>
        <v>AG-031</v>
      </c>
    </row>
    <row r="335" spans="1:7" x14ac:dyDescent="0.35">
      <c r="A335" s="10" t="s">
        <v>6480</v>
      </c>
      <c r="B335" s="12" t="s">
        <v>5386</v>
      </c>
      <c r="C335" s="11">
        <v>45794</v>
      </c>
      <c r="D335" s="12">
        <v>4</v>
      </c>
      <c r="E335" s="12">
        <v>9</v>
      </c>
      <c r="F335" s="13" t="s">
        <v>6148</v>
      </c>
      <c r="G335" t="str">
        <f>IFERROR(INDEX(Ticket!$B$2:$B$6001,MATCH(B335,Ticket!$A$2:$A$6001,0)),"Ticket introuvable")</f>
        <v>AG-007</v>
      </c>
    </row>
    <row r="336" spans="1:7" x14ac:dyDescent="0.35">
      <c r="A336" s="6" t="s">
        <v>6481</v>
      </c>
      <c r="B336" s="8" t="s">
        <v>5496</v>
      </c>
      <c r="C336" s="7">
        <v>45689</v>
      </c>
      <c r="D336" s="8"/>
      <c r="E336" s="8">
        <v>10</v>
      </c>
      <c r="F336" s="9" t="s">
        <v>6142</v>
      </c>
      <c r="G336" t="str">
        <f>IFERROR(INDEX(Ticket!$B$2:$B$6001,MATCH(B336,Ticket!$A$2:$A$6001,0)),"Ticket introuvable")</f>
        <v>AG-027</v>
      </c>
    </row>
    <row r="337" spans="1:7" x14ac:dyDescent="0.35">
      <c r="A337" s="10" t="s">
        <v>6482</v>
      </c>
      <c r="B337" s="12" t="s">
        <v>698</v>
      </c>
      <c r="C337" s="11">
        <v>46001</v>
      </c>
      <c r="D337" s="12">
        <v>4</v>
      </c>
      <c r="E337" s="12">
        <v>8</v>
      </c>
      <c r="F337" s="13" t="s">
        <v>6142</v>
      </c>
      <c r="G337" t="str">
        <f>IFERROR(INDEX(Ticket!$B$2:$B$6001,MATCH(B337,Ticket!$A$2:$A$6001,0)),"Ticket introuvable")</f>
        <v>AG-017</v>
      </c>
    </row>
    <row r="338" spans="1:7" x14ac:dyDescent="0.35">
      <c r="A338" s="6" t="s">
        <v>6483</v>
      </c>
      <c r="B338" s="8" t="s">
        <v>2794</v>
      </c>
      <c r="C338" s="7">
        <v>45757</v>
      </c>
      <c r="D338" s="8">
        <v>5</v>
      </c>
      <c r="E338" s="8">
        <v>8</v>
      </c>
      <c r="F338" s="9" t="s">
        <v>6148</v>
      </c>
      <c r="G338" t="str">
        <f>IFERROR(INDEX(Ticket!$B$2:$B$6001,MATCH(B338,Ticket!$A$2:$A$6001,0)),"Ticket introuvable")</f>
        <v>AG-039</v>
      </c>
    </row>
    <row r="339" spans="1:7" x14ac:dyDescent="0.35">
      <c r="A339" s="10" t="s">
        <v>6484</v>
      </c>
      <c r="B339" s="12" t="s">
        <v>3428</v>
      </c>
      <c r="C339" s="11">
        <v>45883</v>
      </c>
      <c r="D339" s="12">
        <v>5</v>
      </c>
      <c r="E339" s="12">
        <v>9</v>
      </c>
      <c r="F339" s="13" t="s">
        <v>6160</v>
      </c>
      <c r="G339" t="str">
        <f>IFERROR(INDEX(Ticket!$B$2:$B$6001,MATCH(B339,Ticket!$A$2:$A$6001,0)),"Ticket introuvable")</f>
        <v>AG-014</v>
      </c>
    </row>
    <row r="340" spans="1:7" x14ac:dyDescent="0.35">
      <c r="A340" s="6" t="s">
        <v>6485</v>
      </c>
      <c r="B340" s="8" t="s">
        <v>3163</v>
      </c>
      <c r="C340" s="7">
        <v>45694</v>
      </c>
      <c r="D340" s="8">
        <v>5</v>
      </c>
      <c r="E340" s="8">
        <v>5</v>
      </c>
      <c r="F340" s="9" t="s">
        <v>6148</v>
      </c>
      <c r="G340" t="str">
        <f>IFERROR(INDEX(Ticket!$B$2:$B$6001,MATCH(B340,Ticket!$A$2:$A$6001,0)),"Ticket introuvable")</f>
        <v>AG-034</v>
      </c>
    </row>
    <row r="341" spans="1:7" x14ac:dyDescent="0.35">
      <c r="A341" s="10" t="s">
        <v>6486</v>
      </c>
      <c r="B341" s="12" t="s">
        <v>3378</v>
      </c>
      <c r="C341" s="11">
        <v>45865</v>
      </c>
      <c r="D341" s="12"/>
      <c r="E341" s="12">
        <v>7</v>
      </c>
      <c r="F341" s="13" t="s">
        <v>8363</v>
      </c>
      <c r="G341" t="str">
        <f>IFERROR(INDEX(Ticket!$B$2:$B$6001,MATCH(B341,Ticket!$A$2:$A$6001,0)),"Ticket introuvable")</f>
        <v>AG-014</v>
      </c>
    </row>
    <row r="342" spans="1:7" x14ac:dyDescent="0.35">
      <c r="A342" s="6" t="s">
        <v>6487</v>
      </c>
      <c r="B342" s="8" t="s">
        <v>3925</v>
      </c>
      <c r="C342" s="7">
        <v>45771</v>
      </c>
      <c r="D342" s="8">
        <v>5</v>
      </c>
      <c r="E342" s="8">
        <v>7</v>
      </c>
      <c r="F342" s="9" t="s">
        <v>75</v>
      </c>
      <c r="G342" t="str">
        <f>IFERROR(INDEX(Ticket!$B$2:$B$6001,MATCH(B342,Ticket!$A$2:$A$6001,0)),"Ticket introuvable")</f>
        <v>AG-033</v>
      </c>
    </row>
    <row r="343" spans="1:7" x14ac:dyDescent="0.35">
      <c r="A343" s="10" t="s">
        <v>6488</v>
      </c>
      <c r="B343" s="12" t="s">
        <v>103</v>
      </c>
      <c r="C343" s="11">
        <v>45746</v>
      </c>
      <c r="D343" s="12">
        <v>5</v>
      </c>
      <c r="E343" s="12">
        <v>10</v>
      </c>
      <c r="F343" s="13" t="s">
        <v>6153</v>
      </c>
      <c r="G343" t="str">
        <f>IFERROR(INDEX(Ticket!$B$2:$B$6001,MATCH(B343,Ticket!$A$2:$A$6001,0)),"Ticket introuvable")</f>
        <v>AG-027</v>
      </c>
    </row>
    <row r="344" spans="1:7" x14ac:dyDescent="0.35">
      <c r="A344" s="6" t="s">
        <v>6489</v>
      </c>
      <c r="B344" s="8" t="s">
        <v>3724</v>
      </c>
      <c r="C344" s="7">
        <v>45914</v>
      </c>
      <c r="D344" s="8">
        <v>3</v>
      </c>
      <c r="E344" s="8">
        <v>7</v>
      </c>
      <c r="F344" s="9" t="s">
        <v>75</v>
      </c>
      <c r="G344" t="str">
        <f>IFERROR(INDEX(Ticket!$B$2:$B$6001,MATCH(B344,Ticket!$A$2:$A$6001,0)),"Ticket introuvable")</f>
        <v>AG-039</v>
      </c>
    </row>
    <row r="345" spans="1:7" x14ac:dyDescent="0.35">
      <c r="A345" s="10" t="s">
        <v>6490</v>
      </c>
      <c r="B345" s="12" t="s">
        <v>4036</v>
      </c>
      <c r="C345" s="11">
        <v>45943</v>
      </c>
      <c r="D345" s="12">
        <v>4</v>
      </c>
      <c r="E345" s="12">
        <v>5</v>
      </c>
      <c r="F345" s="13" t="s">
        <v>6153</v>
      </c>
      <c r="G345" t="str">
        <f>IFERROR(INDEX(Ticket!$B$2:$B$6001,MATCH(B345,Ticket!$A$2:$A$6001,0)),"Ticket introuvable")</f>
        <v>AG-036</v>
      </c>
    </row>
    <row r="346" spans="1:7" x14ac:dyDescent="0.35">
      <c r="A346" s="6" t="s">
        <v>6491</v>
      </c>
      <c r="B346" s="8" t="s">
        <v>6006</v>
      </c>
      <c r="C346" s="7">
        <v>45993</v>
      </c>
      <c r="D346" s="8">
        <v>4</v>
      </c>
      <c r="E346" s="8">
        <v>1</v>
      </c>
      <c r="F346" s="9" t="s">
        <v>8363</v>
      </c>
      <c r="G346" t="str">
        <f>IFERROR(INDEX(Ticket!$B$2:$B$6001,MATCH(B346,Ticket!$A$2:$A$6001,0)),"Ticket introuvable")</f>
        <v>AG-037</v>
      </c>
    </row>
    <row r="347" spans="1:7" x14ac:dyDescent="0.35">
      <c r="A347" s="10" t="s">
        <v>6492</v>
      </c>
      <c r="B347" s="12" t="s">
        <v>3289</v>
      </c>
      <c r="C347" s="11">
        <v>46006</v>
      </c>
      <c r="D347" s="12">
        <v>2</v>
      </c>
      <c r="E347" s="12">
        <v>8</v>
      </c>
      <c r="F347" s="13" t="s">
        <v>8363</v>
      </c>
      <c r="G347" t="str">
        <f>IFERROR(INDEX(Ticket!$B$2:$B$6001,MATCH(B347,Ticket!$A$2:$A$6001,0)),"Ticket introuvable")</f>
        <v>AG-027</v>
      </c>
    </row>
    <row r="348" spans="1:7" x14ac:dyDescent="0.35">
      <c r="A348" s="6" t="s">
        <v>6493</v>
      </c>
      <c r="B348" s="8" t="s">
        <v>1287</v>
      </c>
      <c r="C348" s="7">
        <v>45728</v>
      </c>
      <c r="D348" s="8">
        <v>5</v>
      </c>
      <c r="E348" s="8">
        <v>8</v>
      </c>
      <c r="F348" s="9" t="s">
        <v>6142</v>
      </c>
      <c r="G348" t="str">
        <f>IFERROR(INDEX(Ticket!$B$2:$B$6001,MATCH(B348,Ticket!$A$2:$A$6001,0)),"Ticket introuvable")</f>
        <v>AG-006</v>
      </c>
    </row>
    <row r="349" spans="1:7" x14ac:dyDescent="0.35">
      <c r="A349" s="10" t="s">
        <v>6494</v>
      </c>
      <c r="B349" s="12" t="s">
        <v>4162</v>
      </c>
      <c r="C349" s="11">
        <v>45998</v>
      </c>
      <c r="D349" s="12">
        <v>3</v>
      </c>
      <c r="E349" s="12">
        <v>9</v>
      </c>
      <c r="F349" s="13" t="s">
        <v>6160</v>
      </c>
      <c r="G349" t="str">
        <f>IFERROR(INDEX(Ticket!$B$2:$B$6001,MATCH(B349,Ticket!$A$2:$A$6001,0)),"Ticket introuvable")</f>
        <v>AG-024</v>
      </c>
    </row>
    <row r="350" spans="1:7" x14ac:dyDescent="0.35">
      <c r="A350" s="6" t="s">
        <v>6495</v>
      </c>
      <c r="B350" s="8" t="s">
        <v>635</v>
      </c>
      <c r="C350" s="7">
        <v>45720</v>
      </c>
      <c r="D350" s="8">
        <v>5</v>
      </c>
      <c r="E350" s="8">
        <v>10</v>
      </c>
      <c r="F350" s="9" t="s">
        <v>8363</v>
      </c>
      <c r="G350" t="str">
        <f>IFERROR(INDEX(Ticket!$B$2:$B$6001,MATCH(B350,Ticket!$A$2:$A$6001,0)),"Ticket introuvable")</f>
        <v>AG-029</v>
      </c>
    </row>
    <row r="351" spans="1:7" x14ac:dyDescent="0.35">
      <c r="A351" s="10" t="s">
        <v>6496</v>
      </c>
      <c r="B351" s="12" t="s">
        <v>239</v>
      </c>
      <c r="C351" s="11">
        <v>46013</v>
      </c>
      <c r="D351" s="12">
        <v>5</v>
      </c>
      <c r="E351" s="12">
        <v>9</v>
      </c>
      <c r="F351" s="13" t="s">
        <v>8363</v>
      </c>
      <c r="G351" t="str">
        <f>IFERROR(INDEX(Ticket!$B$2:$B$6001,MATCH(B351,Ticket!$A$2:$A$6001,0)),"Ticket introuvable")</f>
        <v>AG-008</v>
      </c>
    </row>
    <row r="352" spans="1:7" x14ac:dyDescent="0.35">
      <c r="A352" s="6" t="s">
        <v>6497</v>
      </c>
      <c r="B352" s="8" t="s">
        <v>30</v>
      </c>
      <c r="C352" s="7">
        <v>45773</v>
      </c>
      <c r="D352" s="8">
        <v>5</v>
      </c>
      <c r="E352" s="8">
        <v>7</v>
      </c>
      <c r="F352" s="9" t="s">
        <v>6142</v>
      </c>
      <c r="G352" t="str">
        <f>IFERROR(INDEX(Ticket!$B$2:$B$6001,MATCH(B352,Ticket!$A$2:$A$6001,0)),"Ticket introuvable")</f>
        <v>AG-025</v>
      </c>
    </row>
    <row r="353" spans="1:7" x14ac:dyDescent="0.35">
      <c r="A353" s="10" t="s">
        <v>6498</v>
      </c>
      <c r="B353" s="12" t="s">
        <v>1630</v>
      </c>
      <c r="C353" s="11">
        <v>45925</v>
      </c>
      <c r="D353" s="12"/>
      <c r="E353" s="12">
        <v>8</v>
      </c>
      <c r="F353" s="13" t="s">
        <v>8363</v>
      </c>
      <c r="G353" t="str">
        <f>IFERROR(INDEX(Ticket!$B$2:$B$6001,MATCH(B353,Ticket!$A$2:$A$6001,0)),"Ticket introuvable")</f>
        <v>AG-005</v>
      </c>
    </row>
    <row r="354" spans="1:7" x14ac:dyDescent="0.35">
      <c r="A354" s="6" t="s">
        <v>6499</v>
      </c>
      <c r="B354" s="8" t="s">
        <v>5827</v>
      </c>
      <c r="C354" s="7">
        <v>45743</v>
      </c>
      <c r="D354" s="8">
        <v>4</v>
      </c>
      <c r="E354" s="8">
        <v>3</v>
      </c>
      <c r="F354" s="9" t="s">
        <v>6153</v>
      </c>
      <c r="G354" t="str">
        <f>IFERROR(INDEX(Ticket!$B$2:$B$6001,MATCH(B354,Ticket!$A$2:$A$6001,0)),"Ticket introuvable")</f>
        <v>AG-005</v>
      </c>
    </row>
    <row r="355" spans="1:7" x14ac:dyDescent="0.35">
      <c r="A355" s="10" t="s">
        <v>6500</v>
      </c>
      <c r="B355" s="12" t="s">
        <v>5916</v>
      </c>
      <c r="C355" s="11">
        <v>45841</v>
      </c>
      <c r="D355" s="12">
        <v>3</v>
      </c>
      <c r="E355" s="12">
        <v>9</v>
      </c>
      <c r="F355" s="13" t="s">
        <v>6160</v>
      </c>
      <c r="G355" t="str">
        <f>IFERROR(INDEX(Ticket!$B$2:$B$6001,MATCH(B355,Ticket!$A$2:$A$6001,0)),"Ticket introuvable")</f>
        <v>AG-039</v>
      </c>
    </row>
    <row r="356" spans="1:7" x14ac:dyDescent="0.35">
      <c r="A356" s="6" t="s">
        <v>6501</v>
      </c>
      <c r="B356" s="8" t="s">
        <v>4737</v>
      </c>
      <c r="C356" s="7">
        <v>45755</v>
      </c>
      <c r="D356" s="8">
        <v>5</v>
      </c>
      <c r="E356" s="8">
        <v>9</v>
      </c>
      <c r="F356" s="9" t="s">
        <v>75</v>
      </c>
      <c r="G356" t="str">
        <f>IFERROR(INDEX(Ticket!$B$2:$B$6001,MATCH(B356,Ticket!$A$2:$A$6001,0)),"Ticket introuvable")</f>
        <v>AG-017</v>
      </c>
    </row>
    <row r="357" spans="1:7" x14ac:dyDescent="0.35">
      <c r="A357" s="10" t="s">
        <v>6502</v>
      </c>
      <c r="B357" s="12" t="s">
        <v>563</v>
      </c>
      <c r="C357" s="11">
        <v>45948</v>
      </c>
      <c r="D357" s="12">
        <v>5</v>
      </c>
      <c r="E357" s="12">
        <v>10</v>
      </c>
      <c r="F357" s="13" t="s">
        <v>6153</v>
      </c>
      <c r="G357" t="str">
        <f>IFERROR(INDEX(Ticket!$B$2:$B$6001,MATCH(B357,Ticket!$A$2:$A$6001,0)),"Ticket introuvable")</f>
        <v>AG-037</v>
      </c>
    </row>
    <row r="358" spans="1:7" x14ac:dyDescent="0.35">
      <c r="A358" s="6" t="s">
        <v>6503</v>
      </c>
      <c r="B358" s="8" t="s">
        <v>2374</v>
      </c>
      <c r="C358" s="7">
        <v>45675</v>
      </c>
      <c r="D358" s="8">
        <v>5</v>
      </c>
      <c r="E358" s="8">
        <v>5</v>
      </c>
      <c r="F358" s="9" t="s">
        <v>8363</v>
      </c>
      <c r="G358" t="str">
        <f>IFERROR(INDEX(Ticket!$B$2:$B$6001,MATCH(B358,Ticket!$A$2:$A$6001,0)),"Ticket introuvable")</f>
        <v>AG-037</v>
      </c>
    </row>
    <row r="359" spans="1:7" x14ac:dyDescent="0.35">
      <c r="A359" s="10" t="s">
        <v>6504</v>
      </c>
      <c r="B359" s="12" t="s">
        <v>2336</v>
      </c>
      <c r="C359" s="11">
        <v>45704</v>
      </c>
      <c r="D359" s="12">
        <v>4</v>
      </c>
      <c r="E359" s="12">
        <v>3</v>
      </c>
      <c r="F359" s="13" t="s">
        <v>8363</v>
      </c>
      <c r="G359" t="str">
        <f>IFERROR(INDEX(Ticket!$B$2:$B$6001,MATCH(B359,Ticket!$A$2:$A$6001,0)),"Ticket introuvable")</f>
        <v>AG-012</v>
      </c>
    </row>
    <row r="360" spans="1:7" x14ac:dyDescent="0.35">
      <c r="A360" s="6" t="s">
        <v>6505</v>
      </c>
      <c r="B360" s="8" t="s">
        <v>2402</v>
      </c>
      <c r="C360" s="7">
        <v>45793</v>
      </c>
      <c r="D360" s="8">
        <v>1</v>
      </c>
      <c r="E360" s="8">
        <v>8</v>
      </c>
      <c r="F360" s="9" t="s">
        <v>8363</v>
      </c>
      <c r="G360" t="str">
        <f>IFERROR(INDEX(Ticket!$B$2:$B$6001,MATCH(B360,Ticket!$A$2:$A$6001,0)),"Ticket introuvable")</f>
        <v>AG-027</v>
      </c>
    </row>
    <row r="361" spans="1:7" x14ac:dyDescent="0.35">
      <c r="A361" s="10" t="s">
        <v>6506</v>
      </c>
      <c r="B361" s="12" t="s">
        <v>3537</v>
      </c>
      <c r="C361" s="11">
        <v>45675</v>
      </c>
      <c r="D361" s="12"/>
      <c r="E361" s="12">
        <v>5</v>
      </c>
      <c r="F361" s="13" t="s">
        <v>8363</v>
      </c>
      <c r="G361" t="str">
        <f>IFERROR(INDEX(Ticket!$B$2:$B$6001,MATCH(B361,Ticket!$A$2:$A$6001,0)),"Ticket introuvable")</f>
        <v>AG-007</v>
      </c>
    </row>
    <row r="362" spans="1:7" x14ac:dyDescent="0.35">
      <c r="A362" s="6" t="s">
        <v>6507</v>
      </c>
      <c r="B362" s="8" t="s">
        <v>2294</v>
      </c>
      <c r="C362" s="7">
        <v>45946</v>
      </c>
      <c r="D362" s="8">
        <v>5</v>
      </c>
      <c r="E362" s="8">
        <v>7</v>
      </c>
      <c r="F362" s="9" t="s">
        <v>6142</v>
      </c>
      <c r="G362" t="str">
        <f>IFERROR(INDEX(Ticket!$B$2:$B$6001,MATCH(B362,Ticket!$A$2:$A$6001,0)),"Ticket introuvable")</f>
        <v>AG-029</v>
      </c>
    </row>
    <row r="363" spans="1:7" x14ac:dyDescent="0.35">
      <c r="A363" s="10" t="s">
        <v>6508</v>
      </c>
      <c r="B363" s="12" t="s">
        <v>1016</v>
      </c>
      <c r="C363" s="11">
        <v>45842</v>
      </c>
      <c r="D363" s="12">
        <v>4</v>
      </c>
      <c r="E363" s="12">
        <v>6</v>
      </c>
      <c r="F363" s="13" t="s">
        <v>8363</v>
      </c>
      <c r="G363" t="str">
        <f>IFERROR(INDEX(Ticket!$B$2:$B$6001,MATCH(B363,Ticket!$A$2:$A$6001,0)),"Ticket introuvable")</f>
        <v>AG-035</v>
      </c>
    </row>
    <row r="364" spans="1:7" x14ac:dyDescent="0.35">
      <c r="A364" s="6" t="s">
        <v>6509</v>
      </c>
      <c r="B364" s="8" t="s">
        <v>5887</v>
      </c>
      <c r="C364" s="7">
        <v>45977</v>
      </c>
      <c r="D364" s="8">
        <v>3</v>
      </c>
      <c r="E364" s="8">
        <v>7</v>
      </c>
      <c r="F364" s="9" t="s">
        <v>8363</v>
      </c>
      <c r="G364" t="str">
        <f>IFERROR(INDEX(Ticket!$B$2:$B$6001,MATCH(B364,Ticket!$A$2:$A$6001,0)),"Ticket introuvable")</f>
        <v>AG-028</v>
      </c>
    </row>
    <row r="365" spans="1:7" x14ac:dyDescent="0.35">
      <c r="A365" s="10" t="s">
        <v>6510</v>
      </c>
      <c r="B365" s="12" t="s">
        <v>1253</v>
      </c>
      <c r="C365" s="11">
        <v>45793</v>
      </c>
      <c r="D365" s="12">
        <v>3</v>
      </c>
      <c r="E365" s="12">
        <v>9</v>
      </c>
      <c r="F365" s="13" t="s">
        <v>8363</v>
      </c>
      <c r="G365" t="str">
        <f>IFERROR(INDEX(Ticket!$B$2:$B$6001,MATCH(B365,Ticket!$A$2:$A$6001,0)),"Ticket introuvable")</f>
        <v>AG-007</v>
      </c>
    </row>
    <row r="366" spans="1:7" x14ac:dyDescent="0.35">
      <c r="A366" s="6" t="s">
        <v>6511</v>
      </c>
      <c r="B366" s="8" t="s">
        <v>3675</v>
      </c>
      <c r="C366" s="7">
        <v>45921</v>
      </c>
      <c r="D366" s="8">
        <v>5</v>
      </c>
      <c r="E366" s="8">
        <v>10</v>
      </c>
      <c r="F366" s="9" t="s">
        <v>6153</v>
      </c>
      <c r="G366" t="str">
        <f>IFERROR(INDEX(Ticket!$B$2:$B$6001,MATCH(B366,Ticket!$A$2:$A$6001,0)),"Ticket introuvable")</f>
        <v>AG-029</v>
      </c>
    </row>
    <row r="367" spans="1:7" x14ac:dyDescent="0.35">
      <c r="A367" s="10" t="s">
        <v>6512</v>
      </c>
      <c r="B367" s="12" t="s">
        <v>1050</v>
      </c>
      <c r="C367" s="11">
        <v>45994</v>
      </c>
      <c r="D367" s="12">
        <v>4</v>
      </c>
      <c r="E367" s="12"/>
      <c r="F367" s="13" t="s">
        <v>8363</v>
      </c>
      <c r="G367" t="str">
        <f>IFERROR(INDEX(Ticket!$B$2:$B$6001,MATCH(B367,Ticket!$A$2:$A$6001,0)),"Ticket introuvable")</f>
        <v>AG-015</v>
      </c>
    </row>
    <row r="368" spans="1:7" x14ac:dyDescent="0.35">
      <c r="A368" s="6" t="s">
        <v>6513</v>
      </c>
      <c r="B368" s="8" t="s">
        <v>929</v>
      </c>
      <c r="C368" s="7">
        <v>45696</v>
      </c>
      <c r="D368" s="8">
        <v>5</v>
      </c>
      <c r="E368" s="8">
        <v>5</v>
      </c>
      <c r="F368" s="9" t="s">
        <v>75</v>
      </c>
      <c r="G368" t="str">
        <f>IFERROR(INDEX(Ticket!$B$2:$B$6001,MATCH(B368,Ticket!$A$2:$A$6001,0)),"Ticket introuvable")</f>
        <v>AG-016</v>
      </c>
    </row>
    <row r="369" spans="1:7" x14ac:dyDescent="0.35">
      <c r="A369" s="10" t="s">
        <v>6514</v>
      </c>
      <c r="B369" s="12" t="s">
        <v>2382</v>
      </c>
      <c r="C369" s="11">
        <v>45845</v>
      </c>
      <c r="D369" s="12">
        <v>5</v>
      </c>
      <c r="E369" s="12">
        <v>10</v>
      </c>
      <c r="F369" s="13" t="s">
        <v>6142</v>
      </c>
      <c r="G369" t="str">
        <f>IFERROR(INDEX(Ticket!$B$2:$B$6001,MATCH(B369,Ticket!$A$2:$A$6001,0)),"Ticket introuvable")</f>
        <v>AG-010</v>
      </c>
    </row>
    <row r="370" spans="1:7" x14ac:dyDescent="0.35">
      <c r="A370" s="6" t="s">
        <v>6515</v>
      </c>
      <c r="B370" s="8" t="s">
        <v>972</v>
      </c>
      <c r="C370" s="7">
        <v>45672</v>
      </c>
      <c r="D370" s="8">
        <v>4</v>
      </c>
      <c r="E370" s="8">
        <v>10</v>
      </c>
      <c r="F370" s="9" t="s">
        <v>8363</v>
      </c>
      <c r="G370" t="str">
        <f>IFERROR(INDEX(Ticket!$B$2:$B$6001,MATCH(B370,Ticket!$A$2:$A$6001,0)),"Ticket introuvable")</f>
        <v>AG-027</v>
      </c>
    </row>
    <row r="371" spans="1:7" x14ac:dyDescent="0.35">
      <c r="A371" s="10" t="s">
        <v>6516</v>
      </c>
      <c r="B371" s="12" t="s">
        <v>4658</v>
      </c>
      <c r="C371" s="11">
        <v>45836</v>
      </c>
      <c r="D371" s="12">
        <v>1</v>
      </c>
      <c r="E371" s="12">
        <v>10</v>
      </c>
      <c r="F371" s="13" t="s">
        <v>8363</v>
      </c>
      <c r="G371" t="str">
        <f>IFERROR(INDEX(Ticket!$B$2:$B$6001,MATCH(B371,Ticket!$A$2:$A$6001,0)),"Ticket introuvable")</f>
        <v>AG-023</v>
      </c>
    </row>
    <row r="372" spans="1:7" x14ac:dyDescent="0.35">
      <c r="A372" s="6" t="s">
        <v>6517</v>
      </c>
      <c r="B372" s="8" t="s">
        <v>3313</v>
      </c>
      <c r="C372" s="7">
        <v>45667</v>
      </c>
      <c r="D372" s="8">
        <v>2</v>
      </c>
      <c r="E372" s="8">
        <v>8</v>
      </c>
      <c r="F372" s="9" t="s">
        <v>75</v>
      </c>
      <c r="G372" t="str">
        <f>IFERROR(INDEX(Ticket!$B$2:$B$6001,MATCH(B372,Ticket!$A$2:$A$6001,0)),"Ticket introuvable")</f>
        <v>AG-037</v>
      </c>
    </row>
    <row r="373" spans="1:7" x14ac:dyDescent="0.35">
      <c r="A373" s="10" t="s">
        <v>6518</v>
      </c>
      <c r="B373" s="12" t="s">
        <v>4649</v>
      </c>
      <c r="C373" s="11">
        <v>45775</v>
      </c>
      <c r="D373" s="12">
        <v>5</v>
      </c>
      <c r="E373" s="12">
        <v>10</v>
      </c>
      <c r="F373" s="13" t="s">
        <v>6153</v>
      </c>
      <c r="G373" t="str">
        <f>IFERROR(INDEX(Ticket!$B$2:$B$6001,MATCH(B373,Ticket!$A$2:$A$6001,0)),"Ticket introuvable")</f>
        <v>AG-029</v>
      </c>
    </row>
    <row r="374" spans="1:7" x14ac:dyDescent="0.35">
      <c r="A374" s="6" t="s">
        <v>6519</v>
      </c>
      <c r="B374" s="8" t="s">
        <v>1564</v>
      </c>
      <c r="C374" s="7">
        <v>45699</v>
      </c>
      <c r="D374" s="8">
        <v>4</v>
      </c>
      <c r="E374" s="8">
        <v>5</v>
      </c>
      <c r="F374" s="9" t="s">
        <v>6153</v>
      </c>
      <c r="G374" t="str">
        <f>IFERROR(INDEX(Ticket!$B$2:$B$6001,MATCH(B374,Ticket!$A$2:$A$6001,0)),"Ticket introuvable")</f>
        <v>AG-031</v>
      </c>
    </row>
    <row r="375" spans="1:7" x14ac:dyDescent="0.35">
      <c r="A375" s="10" t="s">
        <v>6520</v>
      </c>
      <c r="B375" s="12" t="s">
        <v>2413</v>
      </c>
      <c r="C375" s="11">
        <v>45713</v>
      </c>
      <c r="D375" s="12">
        <v>5</v>
      </c>
      <c r="E375" s="12">
        <v>10</v>
      </c>
      <c r="F375" s="13" t="s">
        <v>6160</v>
      </c>
      <c r="G375" t="str">
        <f>IFERROR(INDEX(Ticket!$B$2:$B$6001,MATCH(B375,Ticket!$A$2:$A$6001,0)),"Ticket introuvable")</f>
        <v>AG-023</v>
      </c>
    </row>
    <row r="376" spans="1:7" x14ac:dyDescent="0.35">
      <c r="A376" s="6" t="s">
        <v>6521</v>
      </c>
      <c r="B376" s="8" t="s">
        <v>1891</v>
      </c>
      <c r="C376" s="7">
        <v>45969</v>
      </c>
      <c r="D376" s="8">
        <v>4</v>
      </c>
      <c r="E376" s="8">
        <v>10</v>
      </c>
      <c r="F376" s="9" t="s">
        <v>6160</v>
      </c>
      <c r="G376" t="str">
        <f>IFERROR(INDEX(Ticket!$B$2:$B$6001,MATCH(B376,Ticket!$A$2:$A$6001,0)),"Ticket introuvable")</f>
        <v>AG-034</v>
      </c>
    </row>
    <row r="377" spans="1:7" x14ac:dyDescent="0.35">
      <c r="A377" s="10" t="s">
        <v>6522</v>
      </c>
      <c r="B377" s="12" t="s">
        <v>3964</v>
      </c>
      <c r="C377" s="11">
        <v>45673</v>
      </c>
      <c r="D377" s="12">
        <v>5</v>
      </c>
      <c r="E377" s="12">
        <v>10</v>
      </c>
      <c r="F377" s="13" t="s">
        <v>6160</v>
      </c>
      <c r="G377" t="str">
        <f>IFERROR(INDEX(Ticket!$B$2:$B$6001,MATCH(B377,Ticket!$A$2:$A$6001,0)),"Ticket introuvable")</f>
        <v>AG-037</v>
      </c>
    </row>
    <row r="378" spans="1:7" x14ac:dyDescent="0.35">
      <c r="A378" s="6" t="s">
        <v>6523</v>
      </c>
      <c r="B378" s="8" t="s">
        <v>1778</v>
      </c>
      <c r="C378" s="7">
        <v>45784</v>
      </c>
      <c r="D378" s="8">
        <v>3</v>
      </c>
      <c r="E378" s="8">
        <v>10</v>
      </c>
      <c r="F378" s="9" t="s">
        <v>75</v>
      </c>
      <c r="G378" t="str">
        <f>IFERROR(INDEX(Ticket!$B$2:$B$6001,MATCH(B378,Ticket!$A$2:$A$6001,0)),"Ticket introuvable")</f>
        <v>AG-019</v>
      </c>
    </row>
    <row r="379" spans="1:7" x14ac:dyDescent="0.35">
      <c r="A379" s="10" t="s">
        <v>6524</v>
      </c>
      <c r="B379" s="12" t="s">
        <v>2688</v>
      </c>
      <c r="C379" s="11">
        <v>45819</v>
      </c>
      <c r="D379" s="12">
        <v>3</v>
      </c>
      <c r="E379" s="12">
        <v>8</v>
      </c>
      <c r="F379" s="13" t="s">
        <v>8363</v>
      </c>
      <c r="G379" t="str">
        <f>IFERROR(INDEX(Ticket!$B$2:$B$6001,MATCH(B379,Ticket!$A$2:$A$6001,0)),"Ticket introuvable")</f>
        <v>AG-029</v>
      </c>
    </row>
    <row r="380" spans="1:7" x14ac:dyDescent="0.35">
      <c r="A380" s="6" t="s">
        <v>6525</v>
      </c>
      <c r="B380" s="8" t="s">
        <v>1344</v>
      </c>
      <c r="C380" s="7">
        <v>45761</v>
      </c>
      <c r="D380" s="8">
        <v>4</v>
      </c>
      <c r="E380" s="8"/>
      <c r="F380" s="9" t="s">
        <v>8363</v>
      </c>
      <c r="G380" t="str">
        <f>IFERROR(INDEX(Ticket!$B$2:$B$6001,MATCH(B380,Ticket!$A$2:$A$6001,0)),"Ticket introuvable")</f>
        <v>AG-028</v>
      </c>
    </row>
    <row r="381" spans="1:7" x14ac:dyDescent="0.35">
      <c r="A381" s="10" t="s">
        <v>6526</v>
      </c>
      <c r="B381" s="12" t="s">
        <v>3965</v>
      </c>
      <c r="C381" s="11">
        <v>45785</v>
      </c>
      <c r="D381" s="12">
        <v>4</v>
      </c>
      <c r="E381" s="12">
        <v>10</v>
      </c>
      <c r="F381" s="13" t="s">
        <v>6153</v>
      </c>
      <c r="G381" t="str">
        <f>IFERROR(INDEX(Ticket!$B$2:$B$6001,MATCH(B381,Ticket!$A$2:$A$6001,0)),"Ticket introuvable")</f>
        <v>AG-020</v>
      </c>
    </row>
    <row r="382" spans="1:7" x14ac:dyDescent="0.35">
      <c r="A382" s="6" t="s">
        <v>6527</v>
      </c>
      <c r="B382" s="8" t="s">
        <v>4675</v>
      </c>
      <c r="C382" s="7">
        <v>45911</v>
      </c>
      <c r="D382" s="8">
        <v>4</v>
      </c>
      <c r="E382" s="8">
        <v>6</v>
      </c>
      <c r="F382" s="9" t="s">
        <v>8363</v>
      </c>
      <c r="G382" t="str">
        <f>IFERROR(INDEX(Ticket!$B$2:$B$6001,MATCH(B382,Ticket!$A$2:$A$6001,0)),"Ticket introuvable")</f>
        <v>AG-014</v>
      </c>
    </row>
    <row r="383" spans="1:7" x14ac:dyDescent="0.35">
      <c r="A383" s="10" t="s">
        <v>6528</v>
      </c>
      <c r="B383" s="12" t="s">
        <v>4574</v>
      </c>
      <c r="C383" s="11">
        <v>45917</v>
      </c>
      <c r="D383" s="12">
        <v>2</v>
      </c>
      <c r="E383" s="12">
        <v>6</v>
      </c>
      <c r="F383" s="13" t="s">
        <v>75</v>
      </c>
      <c r="G383" t="str">
        <f>IFERROR(INDEX(Ticket!$B$2:$B$6001,MATCH(B383,Ticket!$A$2:$A$6001,0)),"Ticket introuvable")</f>
        <v>AG-007</v>
      </c>
    </row>
    <row r="384" spans="1:7" x14ac:dyDescent="0.35">
      <c r="A384" s="6" t="s">
        <v>6529</v>
      </c>
      <c r="B384" s="8" t="s">
        <v>3665</v>
      </c>
      <c r="C384" s="7">
        <v>45773</v>
      </c>
      <c r="D384" s="8">
        <v>5</v>
      </c>
      <c r="E384" s="8">
        <v>8</v>
      </c>
      <c r="F384" s="9" t="s">
        <v>6142</v>
      </c>
      <c r="G384" t="str">
        <f>IFERROR(INDEX(Ticket!$B$2:$B$6001,MATCH(B384,Ticket!$A$2:$A$6001,0)),"Ticket introuvable")</f>
        <v>AG-012</v>
      </c>
    </row>
    <row r="385" spans="1:7" x14ac:dyDescent="0.35">
      <c r="A385" s="10" t="s">
        <v>6530</v>
      </c>
      <c r="B385" s="12" t="s">
        <v>4735</v>
      </c>
      <c r="C385" s="11">
        <v>45940</v>
      </c>
      <c r="D385" s="12">
        <v>4</v>
      </c>
      <c r="E385" s="12">
        <v>7</v>
      </c>
      <c r="F385" s="13" t="s">
        <v>6142</v>
      </c>
      <c r="G385" t="str">
        <f>IFERROR(INDEX(Ticket!$B$2:$B$6001,MATCH(B385,Ticket!$A$2:$A$6001,0)),"Ticket introuvable")</f>
        <v>AG-008</v>
      </c>
    </row>
    <row r="386" spans="1:7" x14ac:dyDescent="0.35">
      <c r="A386" s="6" t="s">
        <v>6531</v>
      </c>
      <c r="B386" s="8" t="s">
        <v>2260</v>
      </c>
      <c r="C386" s="7">
        <v>45873</v>
      </c>
      <c r="D386" s="8">
        <v>5</v>
      </c>
      <c r="E386" s="8"/>
      <c r="F386" s="9" t="s">
        <v>8363</v>
      </c>
      <c r="G386" t="str">
        <f>IFERROR(INDEX(Ticket!$B$2:$B$6001,MATCH(B386,Ticket!$A$2:$A$6001,0)),"Ticket introuvable")</f>
        <v>AG-037</v>
      </c>
    </row>
    <row r="387" spans="1:7" x14ac:dyDescent="0.35">
      <c r="A387" s="10" t="s">
        <v>6532</v>
      </c>
      <c r="B387" s="12" t="s">
        <v>290</v>
      </c>
      <c r="C387" s="11">
        <v>45839</v>
      </c>
      <c r="D387" s="12">
        <v>4</v>
      </c>
      <c r="E387" s="12">
        <v>9</v>
      </c>
      <c r="F387" s="13" t="s">
        <v>8363</v>
      </c>
      <c r="G387" t="str">
        <f>IFERROR(INDEX(Ticket!$B$2:$B$6001,MATCH(B387,Ticket!$A$2:$A$6001,0)),"Ticket introuvable")</f>
        <v>AG-003</v>
      </c>
    </row>
    <row r="388" spans="1:7" x14ac:dyDescent="0.35">
      <c r="A388" s="6" t="s">
        <v>6533</v>
      </c>
      <c r="B388" s="8" t="s">
        <v>12</v>
      </c>
      <c r="C388" s="7">
        <v>45686</v>
      </c>
      <c r="D388" s="8">
        <v>4</v>
      </c>
      <c r="E388" s="8"/>
      <c r="F388" s="9" t="s">
        <v>6160</v>
      </c>
      <c r="G388" t="str">
        <f>IFERROR(INDEX(Ticket!$B$2:$B$6001,MATCH(B388,Ticket!$A$2:$A$6001,0)),"Ticket introuvable")</f>
        <v>AG-026</v>
      </c>
    </row>
    <row r="389" spans="1:7" x14ac:dyDescent="0.35">
      <c r="A389" s="10" t="s">
        <v>6534</v>
      </c>
      <c r="B389" s="12" t="s">
        <v>5657</v>
      </c>
      <c r="C389" s="11">
        <v>45750</v>
      </c>
      <c r="D389" s="12">
        <v>4</v>
      </c>
      <c r="E389" s="12">
        <v>7</v>
      </c>
      <c r="F389" s="13" t="s">
        <v>6142</v>
      </c>
      <c r="G389" t="str">
        <f>IFERROR(INDEX(Ticket!$B$2:$B$6001,MATCH(B389,Ticket!$A$2:$A$6001,0)),"Ticket introuvable")</f>
        <v>AG-037</v>
      </c>
    </row>
    <row r="390" spans="1:7" x14ac:dyDescent="0.35">
      <c r="A390" s="6" t="s">
        <v>6535</v>
      </c>
      <c r="B390" s="8" t="s">
        <v>596</v>
      </c>
      <c r="C390" s="7">
        <v>45727</v>
      </c>
      <c r="D390" s="8">
        <v>5</v>
      </c>
      <c r="E390" s="8">
        <v>9</v>
      </c>
      <c r="F390" s="9" t="s">
        <v>8363</v>
      </c>
      <c r="G390" t="str">
        <f>IFERROR(INDEX(Ticket!$B$2:$B$6001,MATCH(B390,Ticket!$A$2:$A$6001,0)),"Ticket introuvable")</f>
        <v>AG-014</v>
      </c>
    </row>
    <row r="391" spans="1:7" x14ac:dyDescent="0.35">
      <c r="A391" s="10" t="s">
        <v>6536</v>
      </c>
      <c r="B391" s="12" t="s">
        <v>1812</v>
      </c>
      <c r="C391" s="11">
        <v>45931</v>
      </c>
      <c r="D391" s="12">
        <v>3</v>
      </c>
      <c r="E391" s="12">
        <v>10</v>
      </c>
      <c r="F391" s="13" t="s">
        <v>6153</v>
      </c>
      <c r="G391" t="str">
        <f>IFERROR(INDEX(Ticket!$B$2:$B$6001,MATCH(B391,Ticket!$A$2:$A$6001,0)),"Ticket introuvable")</f>
        <v>AG-012</v>
      </c>
    </row>
    <row r="392" spans="1:7" x14ac:dyDescent="0.35">
      <c r="A392" s="6" t="s">
        <v>6537</v>
      </c>
      <c r="B392" s="8" t="s">
        <v>3280</v>
      </c>
      <c r="C392" s="7">
        <v>45992</v>
      </c>
      <c r="D392" s="8">
        <v>4</v>
      </c>
      <c r="E392" s="8"/>
      <c r="F392" s="9" t="s">
        <v>6148</v>
      </c>
      <c r="G392" t="str">
        <f>IFERROR(INDEX(Ticket!$B$2:$B$6001,MATCH(B392,Ticket!$A$2:$A$6001,0)),"Ticket introuvable")</f>
        <v>AG-014</v>
      </c>
    </row>
    <row r="393" spans="1:7" x14ac:dyDescent="0.35">
      <c r="A393" s="10" t="s">
        <v>6538</v>
      </c>
      <c r="B393" s="12" t="s">
        <v>3075</v>
      </c>
      <c r="C393" s="11">
        <v>46000</v>
      </c>
      <c r="D393" s="12">
        <v>5</v>
      </c>
      <c r="E393" s="12">
        <v>7</v>
      </c>
      <c r="F393" s="13" t="s">
        <v>8363</v>
      </c>
      <c r="G393" t="str">
        <f>IFERROR(INDEX(Ticket!$B$2:$B$6001,MATCH(B393,Ticket!$A$2:$A$6001,0)),"Ticket introuvable")</f>
        <v>AG-039</v>
      </c>
    </row>
    <row r="394" spans="1:7" x14ac:dyDescent="0.35">
      <c r="A394" s="6" t="s">
        <v>6539</v>
      </c>
      <c r="B394" s="8" t="s">
        <v>2654</v>
      </c>
      <c r="C394" s="7">
        <v>45755</v>
      </c>
      <c r="D394" s="8">
        <v>5</v>
      </c>
      <c r="E394" s="8">
        <v>1</v>
      </c>
      <c r="F394" s="9" t="s">
        <v>6148</v>
      </c>
      <c r="G394" t="str">
        <f>IFERROR(INDEX(Ticket!$B$2:$B$6001,MATCH(B394,Ticket!$A$2:$A$6001,0)),"Ticket introuvable")</f>
        <v>AG-005</v>
      </c>
    </row>
    <row r="395" spans="1:7" x14ac:dyDescent="0.35">
      <c r="A395" s="10" t="s">
        <v>6540</v>
      </c>
      <c r="B395" s="12" t="s">
        <v>2514</v>
      </c>
      <c r="C395" s="11">
        <v>45782</v>
      </c>
      <c r="D395" s="12"/>
      <c r="E395" s="12"/>
      <c r="F395" s="13" t="s">
        <v>6153</v>
      </c>
      <c r="G395" t="str">
        <f>IFERROR(INDEX(Ticket!$B$2:$B$6001,MATCH(B395,Ticket!$A$2:$A$6001,0)),"Ticket introuvable")</f>
        <v>AG-016</v>
      </c>
    </row>
    <row r="396" spans="1:7" x14ac:dyDescent="0.35">
      <c r="A396" s="6" t="s">
        <v>6541</v>
      </c>
      <c r="B396" s="8" t="s">
        <v>4769</v>
      </c>
      <c r="C396" s="7">
        <v>45748</v>
      </c>
      <c r="D396" s="8"/>
      <c r="E396" s="8">
        <v>9</v>
      </c>
      <c r="F396" s="9" t="s">
        <v>8363</v>
      </c>
      <c r="G396" t="str">
        <f>IFERROR(INDEX(Ticket!$B$2:$B$6001,MATCH(B396,Ticket!$A$2:$A$6001,0)),"Ticket introuvable")</f>
        <v>AG-023</v>
      </c>
    </row>
    <row r="397" spans="1:7" x14ac:dyDescent="0.35">
      <c r="A397" s="10" t="s">
        <v>6542</v>
      </c>
      <c r="B397" s="12" t="s">
        <v>2305</v>
      </c>
      <c r="C397" s="11">
        <v>45807</v>
      </c>
      <c r="D397" s="12">
        <v>5</v>
      </c>
      <c r="E397" s="12">
        <v>5</v>
      </c>
      <c r="F397" s="13" t="s">
        <v>8363</v>
      </c>
      <c r="G397" t="str">
        <f>IFERROR(INDEX(Ticket!$B$2:$B$6001,MATCH(B397,Ticket!$A$2:$A$6001,0)),"Ticket introuvable")</f>
        <v>AG-013</v>
      </c>
    </row>
    <row r="398" spans="1:7" x14ac:dyDescent="0.35">
      <c r="A398" s="6" t="s">
        <v>6543</v>
      </c>
      <c r="B398" s="8" t="s">
        <v>2990</v>
      </c>
      <c r="C398" s="7">
        <v>45866</v>
      </c>
      <c r="D398" s="8">
        <v>3</v>
      </c>
      <c r="E398" s="8">
        <v>9</v>
      </c>
      <c r="F398" s="9" t="s">
        <v>8363</v>
      </c>
      <c r="G398" t="str">
        <f>IFERROR(INDEX(Ticket!$B$2:$B$6001,MATCH(B398,Ticket!$A$2:$A$6001,0)),"Ticket introuvable")</f>
        <v>AG-023</v>
      </c>
    </row>
    <row r="399" spans="1:7" x14ac:dyDescent="0.35">
      <c r="A399" s="10" t="s">
        <v>6544</v>
      </c>
      <c r="B399" s="12" t="s">
        <v>5811</v>
      </c>
      <c r="C399" s="11">
        <v>45857</v>
      </c>
      <c r="D399" s="12"/>
      <c r="E399" s="12">
        <v>7</v>
      </c>
      <c r="F399" s="13" t="s">
        <v>6153</v>
      </c>
      <c r="G399" t="str">
        <f>IFERROR(INDEX(Ticket!$B$2:$B$6001,MATCH(B399,Ticket!$A$2:$A$6001,0)),"Ticket introuvable")</f>
        <v>AG-003</v>
      </c>
    </row>
    <row r="400" spans="1:7" x14ac:dyDescent="0.35">
      <c r="A400" s="6" t="s">
        <v>6545</v>
      </c>
      <c r="B400" s="8" t="s">
        <v>2264</v>
      </c>
      <c r="C400" s="7">
        <v>45983</v>
      </c>
      <c r="D400" s="8">
        <v>5</v>
      </c>
      <c r="E400" s="8">
        <v>8</v>
      </c>
      <c r="F400" s="9" t="s">
        <v>6160</v>
      </c>
      <c r="G400" t="str">
        <f>IFERROR(INDEX(Ticket!$B$2:$B$6001,MATCH(B400,Ticket!$A$2:$A$6001,0)),"Ticket introuvable")</f>
        <v>AG-008</v>
      </c>
    </row>
    <row r="401" spans="1:7" x14ac:dyDescent="0.35">
      <c r="A401" s="10" t="s">
        <v>6546</v>
      </c>
      <c r="B401" s="12" t="s">
        <v>3699</v>
      </c>
      <c r="C401" s="11">
        <v>45920</v>
      </c>
      <c r="D401" s="12">
        <v>2</v>
      </c>
      <c r="E401" s="12">
        <v>6</v>
      </c>
      <c r="F401" s="13" t="s">
        <v>75</v>
      </c>
      <c r="G401" t="str">
        <f>IFERROR(INDEX(Ticket!$B$2:$B$6001,MATCH(B401,Ticket!$A$2:$A$6001,0)),"Ticket introuvable")</f>
        <v>AG-022</v>
      </c>
    </row>
    <row r="402" spans="1:7" x14ac:dyDescent="0.35">
      <c r="A402" s="6" t="s">
        <v>6547</v>
      </c>
      <c r="B402" s="8" t="s">
        <v>3775</v>
      </c>
      <c r="C402" s="7">
        <v>45893</v>
      </c>
      <c r="D402" s="8">
        <v>5</v>
      </c>
      <c r="E402" s="8">
        <v>8</v>
      </c>
      <c r="F402" s="9" t="s">
        <v>6142</v>
      </c>
      <c r="G402" t="str">
        <f>IFERROR(INDEX(Ticket!$B$2:$B$6001,MATCH(B402,Ticket!$A$2:$A$6001,0)),"Ticket introuvable")</f>
        <v>AG-025</v>
      </c>
    </row>
    <row r="403" spans="1:7" x14ac:dyDescent="0.35">
      <c r="A403" s="10" t="s">
        <v>6548</v>
      </c>
      <c r="B403" s="12" t="s">
        <v>1437</v>
      </c>
      <c r="C403" s="11">
        <v>45877</v>
      </c>
      <c r="D403" s="12">
        <v>5</v>
      </c>
      <c r="E403" s="12">
        <v>8</v>
      </c>
      <c r="F403" s="13" t="s">
        <v>8363</v>
      </c>
      <c r="G403" t="str">
        <f>IFERROR(INDEX(Ticket!$B$2:$B$6001,MATCH(B403,Ticket!$A$2:$A$6001,0)),"Ticket introuvable")</f>
        <v>AG-022</v>
      </c>
    </row>
    <row r="404" spans="1:7" x14ac:dyDescent="0.35">
      <c r="A404" s="6" t="s">
        <v>6549</v>
      </c>
      <c r="B404" s="8" t="s">
        <v>1413</v>
      </c>
      <c r="C404" s="7">
        <v>45715</v>
      </c>
      <c r="D404" s="8">
        <v>1</v>
      </c>
      <c r="E404" s="8">
        <v>9</v>
      </c>
      <c r="F404" s="9" t="s">
        <v>6142</v>
      </c>
      <c r="G404" t="str">
        <f>IFERROR(INDEX(Ticket!$B$2:$B$6001,MATCH(B404,Ticket!$A$2:$A$6001,0)),"Ticket introuvable")</f>
        <v>AG-018</v>
      </c>
    </row>
    <row r="405" spans="1:7" x14ac:dyDescent="0.35">
      <c r="A405" s="10" t="s">
        <v>6550</v>
      </c>
      <c r="B405" s="12" t="s">
        <v>1776</v>
      </c>
      <c r="C405" s="11">
        <v>45919</v>
      </c>
      <c r="D405" s="12">
        <v>4</v>
      </c>
      <c r="E405" s="12">
        <v>8</v>
      </c>
      <c r="F405" s="13" t="s">
        <v>6148</v>
      </c>
      <c r="G405" t="str">
        <f>IFERROR(INDEX(Ticket!$B$2:$B$6001,MATCH(B405,Ticket!$A$2:$A$6001,0)),"Ticket introuvable")</f>
        <v>AG-028</v>
      </c>
    </row>
    <row r="406" spans="1:7" x14ac:dyDescent="0.35">
      <c r="A406" s="6" t="s">
        <v>6551</v>
      </c>
      <c r="B406" s="8" t="s">
        <v>3970</v>
      </c>
      <c r="C406" s="7">
        <v>45939</v>
      </c>
      <c r="D406" s="8">
        <v>4</v>
      </c>
      <c r="E406" s="8">
        <v>9</v>
      </c>
      <c r="F406" s="9" t="s">
        <v>75</v>
      </c>
      <c r="G406" t="str">
        <f>IFERROR(INDEX(Ticket!$B$2:$B$6001,MATCH(B406,Ticket!$A$2:$A$6001,0)),"Ticket introuvable")</f>
        <v>AG-034</v>
      </c>
    </row>
    <row r="407" spans="1:7" x14ac:dyDescent="0.35">
      <c r="A407" s="10" t="s">
        <v>6552</v>
      </c>
      <c r="B407" s="12" t="s">
        <v>598</v>
      </c>
      <c r="C407" s="11">
        <v>45851</v>
      </c>
      <c r="D407" s="12">
        <v>4</v>
      </c>
      <c r="E407" s="12">
        <v>7</v>
      </c>
      <c r="F407" s="13" t="s">
        <v>8363</v>
      </c>
      <c r="G407" t="str">
        <f>IFERROR(INDEX(Ticket!$B$2:$B$6001,MATCH(B407,Ticket!$A$2:$A$6001,0)),"Ticket introuvable")</f>
        <v>AG-037</v>
      </c>
    </row>
    <row r="408" spans="1:7" x14ac:dyDescent="0.35">
      <c r="A408" s="6" t="s">
        <v>6553</v>
      </c>
      <c r="B408" s="8" t="s">
        <v>5507</v>
      </c>
      <c r="C408" s="7">
        <v>45807</v>
      </c>
      <c r="D408" s="8">
        <v>5</v>
      </c>
      <c r="E408" s="8">
        <v>5</v>
      </c>
      <c r="F408" s="9" t="s">
        <v>8363</v>
      </c>
      <c r="G408" t="str">
        <f>IFERROR(INDEX(Ticket!$B$2:$B$6001,MATCH(B408,Ticket!$A$2:$A$6001,0)),"Ticket introuvable")</f>
        <v>AG-007</v>
      </c>
    </row>
    <row r="409" spans="1:7" x14ac:dyDescent="0.35">
      <c r="A409" s="10" t="s">
        <v>6554</v>
      </c>
      <c r="B409" s="12" t="s">
        <v>5157</v>
      </c>
      <c r="C409" s="11">
        <v>45750</v>
      </c>
      <c r="D409" s="12">
        <v>4</v>
      </c>
      <c r="E409" s="12">
        <v>10</v>
      </c>
      <c r="F409" s="13" t="s">
        <v>6148</v>
      </c>
      <c r="G409" t="str">
        <f>IFERROR(INDEX(Ticket!$B$2:$B$6001,MATCH(B409,Ticket!$A$2:$A$6001,0)),"Ticket introuvable")</f>
        <v>AG-029</v>
      </c>
    </row>
    <row r="410" spans="1:7" x14ac:dyDescent="0.35">
      <c r="A410" s="6" t="s">
        <v>6555</v>
      </c>
      <c r="B410" s="8" t="s">
        <v>2959</v>
      </c>
      <c r="C410" s="7">
        <v>45774</v>
      </c>
      <c r="D410" s="8">
        <v>4</v>
      </c>
      <c r="E410" s="8">
        <v>9</v>
      </c>
      <c r="F410" s="9" t="s">
        <v>6160</v>
      </c>
      <c r="G410" t="str">
        <f>IFERROR(INDEX(Ticket!$B$2:$B$6001,MATCH(B410,Ticket!$A$2:$A$6001,0)),"Ticket introuvable")</f>
        <v>AG-037</v>
      </c>
    </row>
    <row r="411" spans="1:7" x14ac:dyDescent="0.35">
      <c r="A411" s="10" t="s">
        <v>6556</v>
      </c>
      <c r="B411" s="12" t="s">
        <v>1827</v>
      </c>
      <c r="C411" s="11">
        <v>45972</v>
      </c>
      <c r="D411" s="12">
        <v>4</v>
      </c>
      <c r="E411" s="12">
        <v>0</v>
      </c>
      <c r="F411" s="13" t="s">
        <v>8363</v>
      </c>
      <c r="G411" t="str">
        <f>IFERROR(INDEX(Ticket!$B$2:$B$6001,MATCH(B411,Ticket!$A$2:$A$6001,0)),"Ticket introuvable")</f>
        <v>AG-005</v>
      </c>
    </row>
    <row r="412" spans="1:7" x14ac:dyDescent="0.35">
      <c r="A412" s="6" t="s">
        <v>6557</v>
      </c>
      <c r="B412" s="8" t="s">
        <v>5742</v>
      </c>
      <c r="C412" s="7">
        <v>45780</v>
      </c>
      <c r="D412" s="8">
        <v>4</v>
      </c>
      <c r="E412" s="8">
        <v>6</v>
      </c>
      <c r="F412" s="9" t="s">
        <v>6148</v>
      </c>
      <c r="G412" t="str">
        <f>IFERROR(INDEX(Ticket!$B$2:$B$6001,MATCH(B412,Ticket!$A$2:$A$6001,0)),"Ticket introuvable")</f>
        <v>AG-017</v>
      </c>
    </row>
    <row r="413" spans="1:7" x14ac:dyDescent="0.35">
      <c r="A413" s="10" t="s">
        <v>6558</v>
      </c>
      <c r="B413" s="12" t="s">
        <v>5054</v>
      </c>
      <c r="C413" s="11">
        <v>45812</v>
      </c>
      <c r="D413" s="12">
        <v>5</v>
      </c>
      <c r="E413" s="12">
        <v>10</v>
      </c>
      <c r="F413" s="13" t="s">
        <v>8363</v>
      </c>
      <c r="G413" t="str">
        <f>IFERROR(INDEX(Ticket!$B$2:$B$6001,MATCH(B413,Ticket!$A$2:$A$6001,0)),"Ticket introuvable")</f>
        <v>AG-005</v>
      </c>
    </row>
    <row r="414" spans="1:7" x14ac:dyDescent="0.35">
      <c r="A414" s="6" t="s">
        <v>6559</v>
      </c>
      <c r="B414" s="8" t="s">
        <v>2210</v>
      </c>
      <c r="C414" s="7">
        <v>45946</v>
      </c>
      <c r="D414" s="8"/>
      <c r="E414" s="8">
        <v>9</v>
      </c>
      <c r="F414" s="9" t="s">
        <v>6160</v>
      </c>
      <c r="G414" t="str">
        <f>IFERROR(INDEX(Ticket!$B$2:$B$6001,MATCH(B414,Ticket!$A$2:$A$6001,0)),"Ticket introuvable")</f>
        <v>AG-037</v>
      </c>
    </row>
    <row r="415" spans="1:7" x14ac:dyDescent="0.35">
      <c r="A415" s="10" t="s">
        <v>6560</v>
      </c>
      <c r="B415" s="12" t="s">
        <v>3233</v>
      </c>
      <c r="C415" s="11">
        <v>45709</v>
      </c>
      <c r="D415" s="12">
        <v>4</v>
      </c>
      <c r="E415" s="12">
        <v>3</v>
      </c>
      <c r="F415" s="13" t="s">
        <v>6153</v>
      </c>
      <c r="G415" t="str">
        <f>IFERROR(INDEX(Ticket!$B$2:$B$6001,MATCH(B415,Ticket!$A$2:$A$6001,0)),"Ticket introuvable")</f>
        <v>AG-029</v>
      </c>
    </row>
    <row r="416" spans="1:7" x14ac:dyDescent="0.35">
      <c r="A416" s="6" t="s">
        <v>6561</v>
      </c>
      <c r="B416" s="8" t="s">
        <v>4513</v>
      </c>
      <c r="C416" s="7">
        <v>45779</v>
      </c>
      <c r="D416" s="8">
        <v>5</v>
      </c>
      <c r="E416" s="8">
        <v>10</v>
      </c>
      <c r="F416" s="9" t="s">
        <v>75</v>
      </c>
      <c r="G416" t="str">
        <f>IFERROR(INDEX(Ticket!$B$2:$B$6001,MATCH(B416,Ticket!$A$2:$A$6001,0)),"Ticket introuvable")</f>
        <v>AG-003</v>
      </c>
    </row>
    <row r="417" spans="1:7" x14ac:dyDescent="0.35">
      <c r="A417" s="10" t="s">
        <v>6562</v>
      </c>
      <c r="B417" s="12" t="s">
        <v>2671</v>
      </c>
      <c r="C417" s="11">
        <v>46005</v>
      </c>
      <c r="D417" s="12">
        <v>4</v>
      </c>
      <c r="E417" s="12">
        <v>6</v>
      </c>
      <c r="F417" s="13" t="s">
        <v>6160</v>
      </c>
      <c r="G417" t="str">
        <f>IFERROR(INDEX(Ticket!$B$2:$B$6001,MATCH(B417,Ticket!$A$2:$A$6001,0)),"Ticket introuvable")</f>
        <v>AG-023</v>
      </c>
    </row>
    <row r="418" spans="1:7" x14ac:dyDescent="0.35">
      <c r="A418" s="6" t="s">
        <v>6563</v>
      </c>
      <c r="B418" s="8" t="s">
        <v>2827</v>
      </c>
      <c r="C418" s="7">
        <v>45685</v>
      </c>
      <c r="D418" s="8">
        <v>5</v>
      </c>
      <c r="E418" s="8">
        <v>5</v>
      </c>
      <c r="F418" s="9" t="s">
        <v>6160</v>
      </c>
      <c r="G418" t="str">
        <f>IFERROR(INDEX(Ticket!$B$2:$B$6001,MATCH(B418,Ticket!$A$2:$A$6001,0)),"Ticket introuvable")</f>
        <v>AG-012</v>
      </c>
    </row>
    <row r="419" spans="1:7" x14ac:dyDescent="0.35">
      <c r="A419" s="10" t="s">
        <v>6564</v>
      </c>
      <c r="B419" s="12" t="s">
        <v>3461</v>
      </c>
      <c r="C419" s="11">
        <v>45980</v>
      </c>
      <c r="D419" s="12">
        <v>3</v>
      </c>
      <c r="E419" s="12">
        <v>3</v>
      </c>
      <c r="F419" s="13" t="s">
        <v>6142</v>
      </c>
      <c r="G419" t="str">
        <f>IFERROR(INDEX(Ticket!$B$2:$B$6001,MATCH(B419,Ticket!$A$2:$A$6001,0)),"Ticket introuvable")</f>
        <v>AG-034</v>
      </c>
    </row>
    <row r="420" spans="1:7" x14ac:dyDescent="0.35">
      <c r="A420" s="6" t="s">
        <v>6565</v>
      </c>
      <c r="B420" s="8" t="s">
        <v>1486</v>
      </c>
      <c r="C420" s="7">
        <v>45678</v>
      </c>
      <c r="D420" s="8">
        <v>4</v>
      </c>
      <c r="E420" s="8">
        <v>8</v>
      </c>
      <c r="F420" s="9" t="s">
        <v>8363</v>
      </c>
      <c r="G420" t="str">
        <f>IFERROR(INDEX(Ticket!$B$2:$B$6001,MATCH(B420,Ticket!$A$2:$A$6001,0)),"Ticket introuvable")</f>
        <v>AG-003</v>
      </c>
    </row>
    <row r="421" spans="1:7" x14ac:dyDescent="0.35">
      <c r="A421" s="10" t="s">
        <v>6566</v>
      </c>
      <c r="B421" s="12" t="s">
        <v>3612</v>
      </c>
      <c r="C421" s="11">
        <v>45687</v>
      </c>
      <c r="D421" s="12">
        <v>4</v>
      </c>
      <c r="E421" s="12">
        <v>0</v>
      </c>
      <c r="F421" s="13" t="s">
        <v>6148</v>
      </c>
      <c r="G421" t="str">
        <f>IFERROR(INDEX(Ticket!$B$2:$B$6001,MATCH(B421,Ticket!$A$2:$A$6001,0)),"Ticket introuvable")</f>
        <v>AG-007</v>
      </c>
    </row>
    <row r="422" spans="1:7" x14ac:dyDescent="0.35">
      <c r="A422" s="6" t="s">
        <v>6567</v>
      </c>
      <c r="B422" s="8" t="s">
        <v>1151</v>
      </c>
      <c r="C422" s="7">
        <v>45760</v>
      </c>
      <c r="D422" s="8">
        <v>5</v>
      </c>
      <c r="E422" s="8">
        <v>7</v>
      </c>
      <c r="F422" s="9" t="s">
        <v>6153</v>
      </c>
      <c r="G422" t="str">
        <f>IFERROR(INDEX(Ticket!$B$2:$B$6001,MATCH(B422,Ticket!$A$2:$A$6001,0)),"Ticket introuvable")</f>
        <v>AG-025</v>
      </c>
    </row>
    <row r="423" spans="1:7" x14ac:dyDescent="0.35">
      <c r="A423" s="10" t="s">
        <v>6568</v>
      </c>
      <c r="B423" s="12" t="s">
        <v>497</v>
      </c>
      <c r="C423" s="11">
        <v>45742</v>
      </c>
      <c r="D423" s="12">
        <v>5</v>
      </c>
      <c r="E423" s="12">
        <v>7</v>
      </c>
      <c r="F423" s="13" t="s">
        <v>6148</v>
      </c>
      <c r="G423" t="str">
        <f>IFERROR(INDEX(Ticket!$B$2:$B$6001,MATCH(B423,Ticket!$A$2:$A$6001,0)),"Ticket introuvable")</f>
        <v>AG-020</v>
      </c>
    </row>
    <row r="424" spans="1:7" x14ac:dyDescent="0.35">
      <c r="A424" s="6" t="s">
        <v>6569</v>
      </c>
      <c r="B424" s="8" t="s">
        <v>4155</v>
      </c>
      <c r="C424" s="7">
        <v>45981</v>
      </c>
      <c r="D424" s="8">
        <v>5</v>
      </c>
      <c r="E424" s="8">
        <v>9</v>
      </c>
      <c r="F424" s="9" t="s">
        <v>6160</v>
      </c>
      <c r="G424" t="str">
        <f>IFERROR(INDEX(Ticket!$B$2:$B$6001,MATCH(B424,Ticket!$A$2:$A$6001,0)),"Ticket introuvable")</f>
        <v>AG-033</v>
      </c>
    </row>
    <row r="425" spans="1:7" x14ac:dyDescent="0.35">
      <c r="A425" s="10" t="s">
        <v>6570</v>
      </c>
      <c r="B425" s="12" t="s">
        <v>4639</v>
      </c>
      <c r="C425" s="11">
        <v>45944</v>
      </c>
      <c r="D425" s="12">
        <v>3</v>
      </c>
      <c r="E425" s="12">
        <v>8</v>
      </c>
      <c r="F425" s="13" t="s">
        <v>8363</v>
      </c>
      <c r="G425" t="str">
        <f>IFERROR(INDEX(Ticket!$B$2:$B$6001,MATCH(B425,Ticket!$A$2:$A$6001,0)),"Ticket introuvable")</f>
        <v>AG-023</v>
      </c>
    </row>
    <row r="426" spans="1:7" x14ac:dyDescent="0.35">
      <c r="A426" s="6" t="s">
        <v>6571</v>
      </c>
      <c r="B426" s="8" t="s">
        <v>1886</v>
      </c>
      <c r="C426" s="7">
        <v>45862</v>
      </c>
      <c r="D426" s="8">
        <v>3</v>
      </c>
      <c r="E426" s="8">
        <v>9</v>
      </c>
      <c r="F426" s="9" t="s">
        <v>8363</v>
      </c>
      <c r="G426" t="str">
        <f>IFERROR(INDEX(Ticket!$B$2:$B$6001,MATCH(B426,Ticket!$A$2:$A$6001,0)),"Ticket introuvable")</f>
        <v>AG-023</v>
      </c>
    </row>
    <row r="427" spans="1:7" x14ac:dyDescent="0.35">
      <c r="A427" s="10" t="s">
        <v>6572</v>
      </c>
      <c r="B427" s="12" t="s">
        <v>2784</v>
      </c>
      <c r="C427" s="11">
        <v>45841</v>
      </c>
      <c r="D427" s="12">
        <v>2</v>
      </c>
      <c r="E427" s="12">
        <v>10</v>
      </c>
      <c r="F427" s="13" t="s">
        <v>6142</v>
      </c>
      <c r="G427" t="str">
        <f>IFERROR(INDEX(Ticket!$B$2:$B$6001,MATCH(B427,Ticket!$A$2:$A$6001,0)),"Ticket introuvable")</f>
        <v>AG-013</v>
      </c>
    </row>
    <row r="428" spans="1:7" x14ac:dyDescent="0.35">
      <c r="A428" s="6" t="s">
        <v>6573</v>
      </c>
      <c r="B428" s="8" t="s">
        <v>5090</v>
      </c>
      <c r="C428" s="7">
        <v>46015</v>
      </c>
      <c r="D428" s="8">
        <v>4</v>
      </c>
      <c r="E428" s="8">
        <v>8</v>
      </c>
      <c r="F428" s="9" t="s">
        <v>6153</v>
      </c>
      <c r="G428" t="str">
        <f>IFERROR(INDEX(Ticket!$B$2:$B$6001,MATCH(B428,Ticket!$A$2:$A$6001,0)),"Ticket introuvable")</f>
        <v>AG-020</v>
      </c>
    </row>
    <row r="429" spans="1:7" x14ac:dyDescent="0.35">
      <c r="A429" s="10" t="s">
        <v>6574</v>
      </c>
      <c r="B429" s="12" t="s">
        <v>390</v>
      </c>
      <c r="C429" s="11">
        <v>45906</v>
      </c>
      <c r="D429" s="12">
        <v>5</v>
      </c>
      <c r="E429" s="12">
        <v>10</v>
      </c>
      <c r="F429" s="13" t="s">
        <v>6153</v>
      </c>
      <c r="G429" t="str">
        <f>IFERROR(INDEX(Ticket!$B$2:$B$6001,MATCH(B429,Ticket!$A$2:$A$6001,0)),"Ticket introuvable")</f>
        <v>AG-020</v>
      </c>
    </row>
    <row r="430" spans="1:7" x14ac:dyDescent="0.35">
      <c r="A430" s="6" t="s">
        <v>6575</v>
      </c>
      <c r="B430" s="8" t="s">
        <v>3279</v>
      </c>
      <c r="C430" s="7">
        <v>45897</v>
      </c>
      <c r="D430" s="8">
        <v>3</v>
      </c>
      <c r="E430" s="8">
        <v>10</v>
      </c>
      <c r="F430" s="9" t="s">
        <v>75</v>
      </c>
      <c r="G430" t="str">
        <f>IFERROR(INDEX(Ticket!$B$2:$B$6001,MATCH(B430,Ticket!$A$2:$A$6001,0)),"Ticket introuvable")</f>
        <v>AG-016</v>
      </c>
    </row>
    <row r="431" spans="1:7" x14ac:dyDescent="0.35">
      <c r="A431" s="10" t="s">
        <v>6576</v>
      </c>
      <c r="B431" s="12" t="s">
        <v>581</v>
      </c>
      <c r="C431" s="11">
        <v>45856</v>
      </c>
      <c r="D431" s="12">
        <v>4</v>
      </c>
      <c r="E431" s="12">
        <v>6</v>
      </c>
      <c r="F431" s="13" t="s">
        <v>8363</v>
      </c>
      <c r="G431" t="str">
        <f>IFERROR(INDEX(Ticket!$B$2:$B$6001,MATCH(B431,Ticket!$A$2:$A$6001,0)),"Ticket introuvable")</f>
        <v>AG-014</v>
      </c>
    </row>
    <row r="432" spans="1:7" x14ac:dyDescent="0.35">
      <c r="A432" s="6" t="s">
        <v>6577</v>
      </c>
      <c r="B432" s="8" t="s">
        <v>5202</v>
      </c>
      <c r="C432" s="7">
        <v>45832</v>
      </c>
      <c r="D432" s="8">
        <v>5</v>
      </c>
      <c r="E432" s="8">
        <v>9</v>
      </c>
      <c r="F432" s="9" t="s">
        <v>6142</v>
      </c>
      <c r="G432" t="str">
        <f>IFERROR(INDEX(Ticket!$B$2:$B$6001,MATCH(B432,Ticket!$A$2:$A$6001,0)),"Ticket introuvable")</f>
        <v>AG-033</v>
      </c>
    </row>
    <row r="433" spans="1:7" x14ac:dyDescent="0.35">
      <c r="A433" s="10" t="s">
        <v>6578</v>
      </c>
      <c r="B433" s="12" t="s">
        <v>2318</v>
      </c>
      <c r="C433" s="11">
        <v>45962</v>
      </c>
      <c r="D433" s="12">
        <v>5</v>
      </c>
      <c r="E433" s="12">
        <v>8</v>
      </c>
      <c r="F433" s="13" t="s">
        <v>6160</v>
      </c>
      <c r="G433" t="str">
        <f>IFERROR(INDEX(Ticket!$B$2:$B$6001,MATCH(B433,Ticket!$A$2:$A$6001,0)),"Ticket introuvable")</f>
        <v>AG-024</v>
      </c>
    </row>
    <row r="434" spans="1:7" x14ac:dyDescent="0.35">
      <c r="A434" s="6" t="s">
        <v>6579</v>
      </c>
      <c r="B434" s="8" t="s">
        <v>2459</v>
      </c>
      <c r="C434" s="7">
        <v>45941</v>
      </c>
      <c r="D434" s="8">
        <v>4</v>
      </c>
      <c r="E434" s="8">
        <v>8</v>
      </c>
      <c r="F434" s="9" t="s">
        <v>75</v>
      </c>
      <c r="G434" t="str">
        <f>IFERROR(INDEX(Ticket!$B$2:$B$6001,MATCH(B434,Ticket!$A$2:$A$6001,0)),"Ticket introuvable")</f>
        <v>AG-023</v>
      </c>
    </row>
    <row r="435" spans="1:7" x14ac:dyDescent="0.35">
      <c r="A435" s="10" t="s">
        <v>6580</v>
      </c>
      <c r="B435" s="12" t="s">
        <v>3530</v>
      </c>
      <c r="C435" s="11">
        <v>45901</v>
      </c>
      <c r="D435" s="12">
        <v>4</v>
      </c>
      <c r="E435" s="12">
        <v>6</v>
      </c>
      <c r="F435" s="13" t="s">
        <v>8363</v>
      </c>
      <c r="G435" t="str">
        <f>IFERROR(INDEX(Ticket!$B$2:$B$6001,MATCH(B435,Ticket!$A$2:$A$6001,0)),"Ticket introuvable")</f>
        <v>AG-018</v>
      </c>
    </row>
    <row r="436" spans="1:7" x14ac:dyDescent="0.35">
      <c r="A436" s="6" t="s">
        <v>6581</v>
      </c>
      <c r="B436" s="8" t="s">
        <v>2633</v>
      </c>
      <c r="C436" s="7">
        <v>45942</v>
      </c>
      <c r="D436" s="8">
        <v>4</v>
      </c>
      <c r="E436" s="8">
        <v>0</v>
      </c>
      <c r="F436" s="9" t="s">
        <v>6160</v>
      </c>
      <c r="G436" t="str">
        <f>IFERROR(INDEX(Ticket!$B$2:$B$6001,MATCH(B436,Ticket!$A$2:$A$6001,0)),"Ticket introuvable")</f>
        <v>AG-014</v>
      </c>
    </row>
    <row r="437" spans="1:7" x14ac:dyDescent="0.35">
      <c r="A437" s="10" t="s">
        <v>6582</v>
      </c>
      <c r="B437" s="12" t="s">
        <v>864</v>
      </c>
      <c r="C437" s="11">
        <v>45793</v>
      </c>
      <c r="D437" s="12">
        <v>5</v>
      </c>
      <c r="E437" s="12">
        <v>3</v>
      </c>
      <c r="F437" s="13" t="s">
        <v>8363</v>
      </c>
      <c r="G437" t="str">
        <f>IFERROR(INDEX(Ticket!$B$2:$B$6001,MATCH(B437,Ticket!$A$2:$A$6001,0)),"Ticket introuvable")</f>
        <v>AG-033</v>
      </c>
    </row>
    <row r="438" spans="1:7" x14ac:dyDescent="0.35">
      <c r="A438" s="6" t="s">
        <v>6583</v>
      </c>
      <c r="B438" s="8" t="s">
        <v>2357</v>
      </c>
      <c r="C438" s="7">
        <v>45694</v>
      </c>
      <c r="D438" s="8">
        <v>5</v>
      </c>
      <c r="E438" s="8"/>
      <c r="F438" s="9" t="s">
        <v>75</v>
      </c>
      <c r="G438" t="str">
        <f>IFERROR(INDEX(Ticket!$B$2:$B$6001,MATCH(B438,Ticket!$A$2:$A$6001,0)),"Ticket introuvable")</f>
        <v>AG-018</v>
      </c>
    </row>
    <row r="439" spans="1:7" x14ac:dyDescent="0.35">
      <c r="A439" s="10" t="s">
        <v>6584</v>
      </c>
      <c r="B439" s="12" t="s">
        <v>477</v>
      </c>
      <c r="C439" s="11">
        <v>45754</v>
      </c>
      <c r="D439" s="12">
        <v>3</v>
      </c>
      <c r="E439" s="12">
        <v>10</v>
      </c>
      <c r="F439" s="13" t="s">
        <v>6142</v>
      </c>
      <c r="G439" t="str">
        <f>IFERROR(INDEX(Ticket!$B$2:$B$6001,MATCH(B439,Ticket!$A$2:$A$6001,0)),"Ticket introuvable")</f>
        <v>AG-005</v>
      </c>
    </row>
    <row r="440" spans="1:7" x14ac:dyDescent="0.35">
      <c r="A440" s="6" t="s">
        <v>6585</v>
      </c>
      <c r="B440" s="8" t="s">
        <v>3031</v>
      </c>
      <c r="C440" s="7">
        <v>45835</v>
      </c>
      <c r="D440" s="8">
        <v>5</v>
      </c>
      <c r="E440" s="8">
        <v>10</v>
      </c>
      <c r="F440" s="9" t="s">
        <v>75</v>
      </c>
      <c r="G440" t="str">
        <f>IFERROR(INDEX(Ticket!$B$2:$B$6001,MATCH(B440,Ticket!$A$2:$A$6001,0)),"Ticket introuvable")</f>
        <v>AG-034</v>
      </c>
    </row>
    <row r="441" spans="1:7" x14ac:dyDescent="0.35">
      <c r="A441" s="10" t="s">
        <v>6586</v>
      </c>
      <c r="B441" s="12" t="s">
        <v>357</v>
      </c>
      <c r="C441" s="11">
        <v>46022</v>
      </c>
      <c r="D441" s="12">
        <v>3</v>
      </c>
      <c r="E441" s="12">
        <v>6</v>
      </c>
      <c r="F441" s="13" t="s">
        <v>6148</v>
      </c>
      <c r="G441" t="str">
        <f>IFERROR(INDEX(Ticket!$B$2:$B$6001,MATCH(B441,Ticket!$A$2:$A$6001,0)),"Ticket introuvable")</f>
        <v>AG-039</v>
      </c>
    </row>
    <row r="442" spans="1:7" x14ac:dyDescent="0.35">
      <c r="A442" s="6" t="s">
        <v>6587</v>
      </c>
      <c r="B442" s="8" t="s">
        <v>2799</v>
      </c>
      <c r="C442" s="7">
        <v>45940</v>
      </c>
      <c r="D442" s="8">
        <v>4</v>
      </c>
      <c r="E442" s="8">
        <v>0</v>
      </c>
      <c r="F442" s="9" t="s">
        <v>75</v>
      </c>
      <c r="G442" t="str">
        <f>IFERROR(INDEX(Ticket!$B$2:$B$6001,MATCH(B442,Ticket!$A$2:$A$6001,0)),"Ticket introuvable")</f>
        <v>AG-032</v>
      </c>
    </row>
    <row r="443" spans="1:7" x14ac:dyDescent="0.35">
      <c r="A443" s="10" t="s">
        <v>6588</v>
      </c>
      <c r="B443" s="12" t="s">
        <v>1683</v>
      </c>
      <c r="C443" s="11">
        <v>45740</v>
      </c>
      <c r="D443" s="12">
        <v>4</v>
      </c>
      <c r="E443" s="12">
        <v>0</v>
      </c>
      <c r="F443" s="13" t="s">
        <v>6160</v>
      </c>
      <c r="G443" t="str">
        <f>IFERROR(INDEX(Ticket!$B$2:$B$6001,MATCH(B443,Ticket!$A$2:$A$6001,0)),"Ticket introuvable")</f>
        <v>AG-019</v>
      </c>
    </row>
    <row r="444" spans="1:7" x14ac:dyDescent="0.35">
      <c r="A444" s="6" t="s">
        <v>6589</v>
      </c>
      <c r="B444" s="8" t="s">
        <v>5857</v>
      </c>
      <c r="C444" s="7">
        <v>45768</v>
      </c>
      <c r="D444" s="8"/>
      <c r="E444" s="8"/>
      <c r="F444" s="9" t="s">
        <v>75</v>
      </c>
      <c r="G444" t="str">
        <f>IFERROR(INDEX(Ticket!$B$2:$B$6001,MATCH(B444,Ticket!$A$2:$A$6001,0)),"Ticket introuvable")</f>
        <v>AG-033</v>
      </c>
    </row>
    <row r="445" spans="1:7" x14ac:dyDescent="0.35">
      <c r="A445" s="10" t="s">
        <v>6590</v>
      </c>
      <c r="B445" s="12" t="s">
        <v>927</v>
      </c>
      <c r="C445" s="11">
        <v>45671</v>
      </c>
      <c r="D445" s="12">
        <v>4</v>
      </c>
      <c r="E445" s="12">
        <v>4</v>
      </c>
      <c r="F445" s="13" t="s">
        <v>6148</v>
      </c>
      <c r="G445" t="str">
        <f>IFERROR(INDEX(Ticket!$B$2:$B$6001,MATCH(B445,Ticket!$A$2:$A$6001,0)),"Ticket introuvable")</f>
        <v>AG-014</v>
      </c>
    </row>
    <row r="446" spans="1:7" x14ac:dyDescent="0.35">
      <c r="A446" s="6" t="s">
        <v>6591</v>
      </c>
      <c r="B446" s="8" t="s">
        <v>3693</v>
      </c>
      <c r="C446" s="7">
        <v>45827</v>
      </c>
      <c r="D446" s="8">
        <v>5</v>
      </c>
      <c r="E446" s="8">
        <v>9</v>
      </c>
      <c r="F446" s="9" t="s">
        <v>8363</v>
      </c>
      <c r="G446" t="str">
        <f>IFERROR(INDEX(Ticket!$B$2:$B$6001,MATCH(B446,Ticket!$A$2:$A$6001,0)),"Ticket introuvable")</f>
        <v>AG-007</v>
      </c>
    </row>
    <row r="447" spans="1:7" x14ac:dyDescent="0.35">
      <c r="A447" s="10" t="s">
        <v>6592</v>
      </c>
      <c r="B447" s="12" t="s">
        <v>1543</v>
      </c>
      <c r="C447" s="11">
        <v>45989</v>
      </c>
      <c r="D447" s="12">
        <v>4</v>
      </c>
      <c r="E447" s="12">
        <v>8</v>
      </c>
      <c r="F447" s="13" t="s">
        <v>6142</v>
      </c>
      <c r="G447" t="str">
        <f>IFERROR(INDEX(Ticket!$B$2:$B$6001,MATCH(B447,Ticket!$A$2:$A$6001,0)),"Ticket introuvable")</f>
        <v>AG-010</v>
      </c>
    </row>
    <row r="448" spans="1:7" x14ac:dyDescent="0.35">
      <c r="A448" s="6" t="s">
        <v>6593</v>
      </c>
      <c r="B448" s="8" t="s">
        <v>2945</v>
      </c>
      <c r="C448" s="7">
        <v>45757</v>
      </c>
      <c r="D448" s="8">
        <v>4</v>
      </c>
      <c r="E448" s="8">
        <v>8</v>
      </c>
      <c r="F448" s="9" t="s">
        <v>75</v>
      </c>
      <c r="G448" t="str">
        <f>IFERROR(INDEX(Ticket!$B$2:$B$6001,MATCH(B448,Ticket!$A$2:$A$6001,0)),"Ticket introuvable")</f>
        <v>AG-017</v>
      </c>
    </row>
    <row r="449" spans="1:7" x14ac:dyDescent="0.35">
      <c r="A449" s="10" t="s">
        <v>6594</v>
      </c>
      <c r="B449" s="12" t="s">
        <v>1391</v>
      </c>
      <c r="C449" s="11">
        <v>45802</v>
      </c>
      <c r="D449" s="12">
        <v>5</v>
      </c>
      <c r="E449" s="12">
        <v>6</v>
      </c>
      <c r="F449" s="13" t="s">
        <v>75</v>
      </c>
      <c r="G449" t="str">
        <f>IFERROR(INDEX(Ticket!$B$2:$B$6001,MATCH(B449,Ticket!$A$2:$A$6001,0)),"Ticket introuvable")</f>
        <v>AG-019</v>
      </c>
    </row>
    <row r="450" spans="1:7" x14ac:dyDescent="0.35">
      <c r="A450" s="6" t="s">
        <v>6595</v>
      </c>
      <c r="B450" s="8" t="s">
        <v>1352</v>
      </c>
      <c r="C450" s="7">
        <v>45733</v>
      </c>
      <c r="D450" s="8">
        <v>3</v>
      </c>
      <c r="E450" s="8">
        <v>7</v>
      </c>
      <c r="F450" s="9" t="s">
        <v>6160</v>
      </c>
      <c r="G450" t="str">
        <f>IFERROR(INDEX(Ticket!$B$2:$B$6001,MATCH(B450,Ticket!$A$2:$A$6001,0)),"Ticket introuvable")</f>
        <v>AG-024</v>
      </c>
    </row>
    <row r="451" spans="1:7" x14ac:dyDescent="0.35">
      <c r="A451" s="10" t="s">
        <v>6596</v>
      </c>
      <c r="B451" s="12" t="s">
        <v>2414</v>
      </c>
      <c r="C451" s="11">
        <v>45976</v>
      </c>
      <c r="D451" s="12">
        <v>4</v>
      </c>
      <c r="E451" s="12">
        <v>4</v>
      </c>
      <c r="F451" s="13" t="s">
        <v>8363</v>
      </c>
      <c r="G451" t="str">
        <f>IFERROR(INDEX(Ticket!$B$2:$B$6001,MATCH(B451,Ticket!$A$2:$A$6001,0)),"Ticket introuvable")</f>
        <v>AG-023</v>
      </c>
    </row>
    <row r="452" spans="1:7" x14ac:dyDescent="0.35">
      <c r="A452" s="6" t="s">
        <v>6597</v>
      </c>
      <c r="B452" s="8" t="s">
        <v>117</v>
      </c>
      <c r="C452" s="7">
        <v>45727</v>
      </c>
      <c r="D452" s="8">
        <v>4</v>
      </c>
      <c r="E452" s="8">
        <v>9</v>
      </c>
      <c r="F452" s="9" t="s">
        <v>75</v>
      </c>
      <c r="G452" t="str">
        <f>IFERROR(INDEX(Ticket!$B$2:$B$6001,MATCH(B452,Ticket!$A$2:$A$6001,0)),"Ticket introuvable")</f>
        <v>AG-010</v>
      </c>
    </row>
    <row r="453" spans="1:7" x14ac:dyDescent="0.35">
      <c r="A453" s="10" t="s">
        <v>6598</v>
      </c>
      <c r="B453" s="12" t="s">
        <v>1080</v>
      </c>
      <c r="C453" s="11">
        <v>45798</v>
      </c>
      <c r="D453" s="12">
        <v>2</v>
      </c>
      <c r="E453" s="12">
        <v>7</v>
      </c>
      <c r="F453" s="13" t="s">
        <v>8363</v>
      </c>
      <c r="G453" t="str">
        <f>IFERROR(INDEX(Ticket!$B$2:$B$6001,MATCH(B453,Ticket!$A$2:$A$6001,0)),"Ticket introuvable")</f>
        <v>AG-007</v>
      </c>
    </row>
    <row r="454" spans="1:7" x14ac:dyDescent="0.35">
      <c r="A454" s="6" t="s">
        <v>6599</v>
      </c>
      <c r="B454" s="8" t="s">
        <v>3489</v>
      </c>
      <c r="C454" s="7">
        <v>45941</v>
      </c>
      <c r="D454" s="8">
        <v>4</v>
      </c>
      <c r="E454" s="8">
        <v>4</v>
      </c>
      <c r="F454" s="9" t="s">
        <v>75</v>
      </c>
      <c r="G454" t="str">
        <f>IFERROR(INDEX(Ticket!$B$2:$B$6001,MATCH(B454,Ticket!$A$2:$A$6001,0)),"Ticket introuvable")</f>
        <v>AG-037</v>
      </c>
    </row>
    <row r="455" spans="1:7" x14ac:dyDescent="0.35">
      <c r="A455" s="10" t="s">
        <v>6600</v>
      </c>
      <c r="B455" s="12" t="s">
        <v>5763</v>
      </c>
      <c r="C455" s="11">
        <v>45710</v>
      </c>
      <c r="D455" s="12">
        <v>5</v>
      </c>
      <c r="E455" s="12">
        <v>5</v>
      </c>
      <c r="F455" s="13" t="s">
        <v>75</v>
      </c>
      <c r="G455" t="str">
        <f>IFERROR(INDEX(Ticket!$B$2:$B$6001,MATCH(B455,Ticket!$A$2:$A$6001,0)),"Ticket introuvable")</f>
        <v>AG-025</v>
      </c>
    </row>
    <row r="456" spans="1:7" x14ac:dyDescent="0.35">
      <c r="A456" s="6" t="s">
        <v>6601</v>
      </c>
      <c r="B456" s="8" t="s">
        <v>5016</v>
      </c>
      <c r="C456" s="7">
        <v>46012</v>
      </c>
      <c r="D456" s="8"/>
      <c r="E456" s="8">
        <v>4</v>
      </c>
      <c r="F456" s="9" t="s">
        <v>6142</v>
      </c>
      <c r="G456" t="str">
        <f>IFERROR(INDEX(Ticket!$B$2:$B$6001,MATCH(B456,Ticket!$A$2:$A$6001,0)),"Ticket introuvable")</f>
        <v>AG-014</v>
      </c>
    </row>
    <row r="457" spans="1:7" x14ac:dyDescent="0.35">
      <c r="A457" s="10" t="s">
        <v>6602</v>
      </c>
      <c r="B457" s="12" t="s">
        <v>4384</v>
      </c>
      <c r="C457" s="11">
        <v>45779</v>
      </c>
      <c r="D457" s="12">
        <v>4</v>
      </c>
      <c r="E457" s="12">
        <v>4</v>
      </c>
      <c r="F457" s="13" t="s">
        <v>75</v>
      </c>
      <c r="G457" t="str">
        <f>IFERROR(INDEX(Ticket!$B$2:$B$6001,MATCH(B457,Ticket!$A$2:$A$6001,0)),"Ticket introuvable")</f>
        <v>AG-006</v>
      </c>
    </row>
    <row r="458" spans="1:7" x14ac:dyDescent="0.35">
      <c r="A458" s="6" t="s">
        <v>6603</v>
      </c>
      <c r="B458" s="8" t="s">
        <v>2836</v>
      </c>
      <c r="C458" s="7">
        <v>45826</v>
      </c>
      <c r="D458" s="8">
        <v>5</v>
      </c>
      <c r="E458" s="8">
        <v>7</v>
      </c>
      <c r="F458" s="9" t="s">
        <v>6142</v>
      </c>
      <c r="G458" t="str">
        <f>IFERROR(INDEX(Ticket!$B$2:$B$6001,MATCH(B458,Ticket!$A$2:$A$6001,0)),"Ticket introuvable")</f>
        <v>AG-032</v>
      </c>
    </row>
    <row r="459" spans="1:7" x14ac:dyDescent="0.35">
      <c r="A459" s="10" t="s">
        <v>6604</v>
      </c>
      <c r="B459" s="12" t="s">
        <v>1142</v>
      </c>
      <c r="C459" s="11">
        <v>45873</v>
      </c>
      <c r="D459" s="12">
        <v>4</v>
      </c>
      <c r="E459" s="12">
        <v>8</v>
      </c>
      <c r="F459" s="13" t="s">
        <v>6148</v>
      </c>
      <c r="G459" t="str">
        <f>IFERROR(INDEX(Ticket!$B$2:$B$6001,MATCH(B459,Ticket!$A$2:$A$6001,0)),"Ticket introuvable")</f>
        <v>AG-039</v>
      </c>
    </row>
    <row r="460" spans="1:7" x14ac:dyDescent="0.35">
      <c r="A460" s="6" t="s">
        <v>6605</v>
      </c>
      <c r="B460" s="8" t="s">
        <v>2048</v>
      </c>
      <c r="C460" s="7">
        <v>45677</v>
      </c>
      <c r="D460" s="8">
        <v>5</v>
      </c>
      <c r="E460" s="8">
        <v>5</v>
      </c>
      <c r="F460" s="9" t="s">
        <v>6148</v>
      </c>
      <c r="G460" t="str">
        <f>IFERROR(INDEX(Ticket!$B$2:$B$6001,MATCH(B460,Ticket!$A$2:$A$6001,0)),"Ticket introuvable")</f>
        <v>AG-014</v>
      </c>
    </row>
    <row r="461" spans="1:7" x14ac:dyDescent="0.35">
      <c r="A461" s="10" t="s">
        <v>6606</v>
      </c>
      <c r="B461" s="12" t="s">
        <v>4337</v>
      </c>
      <c r="C461" s="11">
        <v>45755</v>
      </c>
      <c r="D461" s="12">
        <v>3</v>
      </c>
      <c r="E461" s="12">
        <v>6</v>
      </c>
      <c r="F461" s="13" t="s">
        <v>6148</v>
      </c>
      <c r="G461" t="str">
        <f>IFERROR(INDEX(Ticket!$B$2:$B$6001,MATCH(B461,Ticket!$A$2:$A$6001,0)),"Ticket introuvable")</f>
        <v>AG-028</v>
      </c>
    </row>
    <row r="462" spans="1:7" x14ac:dyDescent="0.35">
      <c r="A462" s="6" t="s">
        <v>6607</v>
      </c>
      <c r="B462" s="8" t="s">
        <v>2805</v>
      </c>
      <c r="C462" s="7">
        <v>45840</v>
      </c>
      <c r="D462" s="8">
        <v>2</v>
      </c>
      <c r="E462" s="8"/>
      <c r="F462" s="9" t="s">
        <v>8363</v>
      </c>
      <c r="G462" t="str">
        <f>IFERROR(INDEX(Ticket!$B$2:$B$6001,MATCH(B462,Ticket!$A$2:$A$6001,0)),"Ticket introuvable")</f>
        <v>AG-007</v>
      </c>
    </row>
    <row r="463" spans="1:7" x14ac:dyDescent="0.35">
      <c r="A463" s="10" t="s">
        <v>6608</v>
      </c>
      <c r="B463" s="12" t="s">
        <v>1964</v>
      </c>
      <c r="C463" s="11">
        <v>45769</v>
      </c>
      <c r="D463" s="12">
        <v>4</v>
      </c>
      <c r="E463" s="12">
        <v>4</v>
      </c>
      <c r="F463" s="13" t="s">
        <v>6153</v>
      </c>
      <c r="G463" t="str">
        <f>IFERROR(INDEX(Ticket!$B$2:$B$6001,MATCH(B463,Ticket!$A$2:$A$6001,0)),"Ticket introuvable")</f>
        <v>AG-038</v>
      </c>
    </row>
    <row r="464" spans="1:7" x14ac:dyDescent="0.35">
      <c r="A464" s="6" t="s">
        <v>6609</v>
      </c>
      <c r="B464" s="8" t="s">
        <v>3810</v>
      </c>
      <c r="C464" s="7">
        <v>45889</v>
      </c>
      <c r="D464" s="8">
        <v>3</v>
      </c>
      <c r="E464" s="8">
        <v>8</v>
      </c>
      <c r="F464" s="9" t="s">
        <v>6153</v>
      </c>
      <c r="G464" t="str">
        <f>IFERROR(INDEX(Ticket!$B$2:$B$6001,MATCH(B464,Ticket!$A$2:$A$6001,0)),"Ticket introuvable")</f>
        <v>AG-015</v>
      </c>
    </row>
    <row r="465" spans="1:7" x14ac:dyDescent="0.35">
      <c r="A465" s="10" t="s">
        <v>6610</v>
      </c>
      <c r="B465" s="12" t="s">
        <v>5921</v>
      </c>
      <c r="C465" s="11">
        <v>45896</v>
      </c>
      <c r="D465" s="12">
        <v>4</v>
      </c>
      <c r="E465" s="12">
        <v>9</v>
      </c>
      <c r="F465" s="13" t="s">
        <v>8363</v>
      </c>
      <c r="G465" t="str">
        <f>IFERROR(INDEX(Ticket!$B$2:$B$6001,MATCH(B465,Ticket!$A$2:$A$6001,0)),"Ticket introuvable")</f>
        <v>AG-016</v>
      </c>
    </row>
    <row r="466" spans="1:7" x14ac:dyDescent="0.35">
      <c r="A466" s="6" t="s">
        <v>6611</v>
      </c>
      <c r="B466" s="8" t="s">
        <v>3523</v>
      </c>
      <c r="C466" s="7">
        <v>45967</v>
      </c>
      <c r="D466" s="8">
        <v>1</v>
      </c>
      <c r="E466" s="8">
        <v>9</v>
      </c>
      <c r="F466" s="9" t="s">
        <v>6153</v>
      </c>
      <c r="G466" t="str">
        <f>IFERROR(INDEX(Ticket!$B$2:$B$6001,MATCH(B466,Ticket!$A$2:$A$6001,0)),"Ticket introuvable")</f>
        <v>AG-040</v>
      </c>
    </row>
    <row r="467" spans="1:7" x14ac:dyDescent="0.35">
      <c r="A467" s="10" t="s">
        <v>6612</v>
      </c>
      <c r="B467" s="12" t="s">
        <v>5257</v>
      </c>
      <c r="C467" s="11">
        <v>45973</v>
      </c>
      <c r="D467" s="12">
        <v>2</v>
      </c>
      <c r="E467" s="12">
        <v>9</v>
      </c>
      <c r="F467" s="13" t="s">
        <v>6160</v>
      </c>
      <c r="G467" t="str">
        <f>IFERROR(INDEX(Ticket!$B$2:$B$6001,MATCH(B467,Ticket!$A$2:$A$6001,0)),"Ticket introuvable")</f>
        <v>AG-015</v>
      </c>
    </row>
    <row r="468" spans="1:7" x14ac:dyDescent="0.35">
      <c r="A468" s="6" t="s">
        <v>6613</v>
      </c>
      <c r="B468" s="8" t="s">
        <v>3828</v>
      </c>
      <c r="C468" s="7">
        <v>45901</v>
      </c>
      <c r="D468" s="8">
        <v>1</v>
      </c>
      <c r="E468" s="8">
        <v>10</v>
      </c>
      <c r="F468" s="9" t="s">
        <v>8363</v>
      </c>
      <c r="G468" t="str">
        <f>IFERROR(INDEX(Ticket!$B$2:$B$6001,MATCH(B468,Ticket!$A$2:$A$6001,0)),"Ticket introuvable")</f>
        <v>AG-028</v>
      </c>
    </row>
    <row r="469" spans="1:7" x14ac:dyDescent="0.35">
      <c r="A469" s="10" t="s">
        <v>6614</v>
      </c>
      <c r="B469" s="12" t="s">
        <v>6039</v>
      </c>
      <c r="C469" s="11">
        <v>46013</v>
      </c>
      <c r="D469" s="12">
        <v>3</v>
      </c>
      <c r="E469" s="12">
        <v>9</v>
      </c>
      <c r="F469" s="13" t="s">
        <v>8363</v>
      </c>
      <c r="G469" t="str">
        <f>IFERROR(INDEX(Ticket!$B$2:$B$6001,MATCH(B469,Ticket!$A$2:$A$6001,0)),"Ticket introuvable")</f>
        <v>AG-032</v>
      </c>
    </row>
    <row r="470" spans="1:7" x14ac:dyDescent="0.35">
      <c r="A470" s="6" t="s">
        <v>6615</v>
      </c>
      <c r="B470" s="8" t="s">
        <v>5875</v>
      </c>
      <c r="C470" s="7">
        <v>45760</v>
      </c>
      <c r="D470" s="8">
        <v>5</v>
      </c>
      <c r="E470" s="8">
        <v>7</v>
      </c>
      <c r="F470" s="9" t="s">
        <v>6142</v>
      </c>
      <c r="G470" t="str">
        <f>IFERROR(INDEX(Ticket!$B$2:$B$6001,MATCH(B470,Ticket!$A$2:$A$6001,0)),"Ticket introuvable")</f>
        <v>AG-021</v>
      </c>
    </row>
    <row r="471" spans="1:7" x14ac:dyDescent="0.35">
      <c r="A471" s="10" t="s">
        <v>6616</v>
      </c>
      <c r="B471" s="12" t="s">
        <v>2753</v>
      </c>
      <c r="C471" s="11">
        <v>45764</v>
      </c>
      <c r="D471" s="12">
        <v>4</v>
      </c>
      <c r="E471" s="12">
        <v>10</v>
      </c>
      <c r="F471" s="13" t="s">
        <v>6153</v>
      </c>
      <c r="G471" t="str">
        <f>IFERROR(INDEX(Ticket!$B$2:$B$6001,MATCH(B471,Ticket!$A$2:$A$6001,0)),"Ticket introuvable")</f>
        <v>AG-014</v>
      </c>
    </row>
    <row r="472" spans="1:7" x14ac:dyDescent="0.35">
      <c r="A472" s="6" t="s">
        <v>6617</v>
      </c>
      <c r="B472" s="8" t="s">
        <v>1363</v>
      </c>
      <c r="C472" s="7">
        <v>45854</v>
      </c>
      <c r="D472" s="8">
        <v>3</v>
      </c>
      <c r="E472" s="8">
        <v>5</v>
      </c>
      <c r="F472" s="9" t="s">
        <v>8363</v>
      </c>
      <c r="G472" t="str">
        <f>IFERROR(INDEX(Ticket!$B$2:$B$6001,MATCH(B472,Ticket!$A$2:$A$6001,0)),"Ticket introuvable")</f>
        <v>AG-017</v>
      </c>
    </row>
    <row r="473" spans="1:7" x14ac:dyDescent="0.35">
      <c r="A473" s="10" t="s">
        <v>6618</v>
      </c>
      <c r="B473" s="12" t="s">
        <v>3972</v>
      </c>
      <c r="C473" s="11">
        <v>45910</v>
      </c>
      <c r="D473" s="12">
        <v>1</v>
      </c>
      <c r="E473" s="12"/>
      <c r="F473" s="13" t="s">
        <v>6142</v>
      </c>
      <c r="G473" t="str">
        <f>IFERROR(INDEX(Ticket!$B$2:$B$6001,MATCH(B473,Ticket!$A$2:$A$6001,0)),"Ticket introuvable")</f>
        <v>AG-012</v>
      </c>
    </row>
    <row r="474" spans="1:7" x14ac:dyDescent="0.35">
      <c r="A474" s="6" t="s">
        <v>6619</v>
      </c>
      <c r="B474" s="8" t="s">
        <v>2675</v>
      </c>
      <c r="C474" s="7">
        <v>45948</v>
      </c>
      <c r="D474" s="8">
        <v>4</v>
      </c>
      <c r="E474" s="8">
        <v>4</v>
      </c>
      <c r="F474" s="9" t="s">
        <v>8363</v>
      </c>
      <c r="G474" t="str">
        <f>IFERROR(INDEX(Ticket!$B$2:$B$6001,MATCH(B474,Ticket!$A$2:$A$6001,0)),"Ticket introuvable")</f>
        <v>AG-003</v>
      </c>
    </row>
    <row r="475" spans="1:7" x14ac:dyDescent="0.35">
      <c r="A475" s="10" t="s">
        <v>6620</v>
      </c>
      <c r="B475" s="12" t="s">
        <v>5422</v>
      </c>
      <c r="C475" s="11">
        <v>45881</v>
      </c>
      <c r="D475" s="12">
        <v>4</v>
      </c>
      <c r="E475" s="12">
        <v>6</v>
      </c>
      <c r="F475" s="13" t="s">
        <v>6160</v>
      </c>
      <c r="G475" t="str">
        <f>IFERROR(INDEX(Ticket!$B$2:$B$6001,MATCH(B475,Ticket!$A$2:$A$6001,0)),"Ticket introuvable")</f>
        <v>AG-003</v>
      </c>
    </row>
    <row r="476" spans="1:7" x14ac:dyDescent="0.35">
      <c r="A476" s="6" t="s">
        <v>6621</v>
      </c>
      <c r="B476" s="8" t="s">
        <v>2086</v>
      </c>
      <c r="C476" s="7">
        <v>45804</v>
      </c>
      <c r="D476" s="8">
        <v>5</v>
      </c>
      <c r="E476" s="8">
        <v>3</v>
      </c>
      <c r="F476" s="9" t="s">
        <v>6153</v>
      </c>
      <c r="G476" t="str">
        <f>IFERROR(INDEX(Ticket!$B$2:$B$6001,MATCH(B476,Ticket!$A$2:$A$6001,0)),"Ticket introuvable")</f>
        <v>AG-033</v>
      </c>
    </row>
    <row r="477" spans="1:7" x14ac:dyDescent="0.35">
      <c r="A477" s="10" t="s">
        <v>6622</v>
      </c>
      <c r="B477" s="12" t="s">
        <v>1687</v>
      </c>
      <c r="C477" s="11">
        <v>45876</v>
      </c>
      <c r="D477" s="12">
        <v>5</v>
      </c>
      <c r="E477" s="12">
        <v>2</v>
      </c>
      <c r="F477" s="13" t="s">
        <v>6160</v>
      </c>
      <c r="G477" t="str">
        <f>IFERROR(INDEX(Ticket!$B$2:$B$6001,MATCH(B477,Ticket!$A$2:$A$6001,0)),"Ticket introuvable")</f>
        <v>AG-003</v>
      </c>
    </row>
    <row r="478" spans="1:7" x14ac:dyDescent="0.35">
      <c r="A478" s="6" t="s">
        <v>6623</v>
      </c>
      <c r="B478" s="8" t="s">
        <v>4282</v>
      </c>
      <c r="C478" s="7">
        <v>45801</v>
      </c>
      <c r="D478" s="8">
        <v>5</v>
      </c>
      <c r="E478" s="8">
        <v>9</v>
      </c>
      <c r="F478" s="9" t="s">
        <v>75</v>
      </c>
      <c r="G478" t="str">
        <f>IFERROR(INDEX(Ticket!$B$2:$B$6001,MATCH(B478,Ticket!$A$2:$A$6001,0)),"Ticket introuvable")</f>
        <v>AG-016</v>
      </c>
    </row>
    <row r="479" spans="1:7" x14ac:dyDescent="0.35">
      <c r="A479" s="10" t="s">
        <v>6624</v>
      </c>
      <c r="B479" s="12" t="s">
        <v>728</v>
      </c>
      <c r="C479" s="11">
        <v>45998</v>
      </c>
      <c r="D479" s="12">
        <v>3</v>
      </c>
      <c r="E479" s="12">
        <v>4</v>
      </c>
      <c r="F479" s="13" t="s">
        <v>6153</v>
      </c>
      <c r="G479" t="str">
        <f>IFERROR(INDEX(Ticket!$B$2:$B$6001,MATCH(B479,Ticket!$A$2:$A$6001,0)),"Ticket introuvable")</f>
        <v>AG-029</v>
      </c>
    </row>
    <row r="480" spans="1:7" x14ac:dyDescent="0.35">
      <c r="A480" s="6" t="s">
        <v>6625</v>
      </c>
      <c r="B480" s="8" t="s">
        <v>1985</v>
      </c>
      <c r="C480" s="7">
        <v>45956</v>
      </c>
      <c r="D480" s="8">
        <v>5</v>
      </c>
      <c r="E480" s="8">
        <v>4</v>
      </c>
      <c r="F480" s="9" t="s">
        <v>75</v>
      </c>
      <c r="G480" t="str">
        <f>IFERROR(INDEX(Ticket!$B$2:$B$6001,MATCH(B480,Ticket!$A$2:$A$6001,0)),"Ticket introuvable")</f>
        <v>AG-035</v>
      </c>
    </row>
    <row r="481" spans="1:7" x14ac:dyDescent="0.35">
      <c r="A481" s="10" t="s">
        <v>6626</v>
      </c>
      <c r="B481" s="12" t="s">
        <v>4423</v>
      </c>
      <c r="C481" s="11">
        <v>45721</v>
      </c>
      <c r="D481" s="12">
        <v>4</v>
      </c>
      <c r="E481" s="12">
        <v>10</v>
      </c>
      <c r="F481" s="13" t="s">
        <v>6160</v>
      </c>
      <c r="G481" t="str">
        <f>IFERROR(INDEX(Ticket!$B$2:$B$6001,MATCH(B481,Ticket!$A$2:$A$6001,0)),"Ticket introuvable")</f>
        <v>AG-038</v>
      </c>
    </row>
    <row r="482" spans="1:7" x14ac:dyDescent="0.35">
      <c r="A482" s="6" t="s">
        <v>6627</v>
      </c>
      <c r="B482" s="8" t="s">
        <v>5900</v>
      </c>
      <c r="C482" s="7">
        <v>45847</v>
      </c>
      <c r="D482" s="8">
        <v>4</v>
      </c>
      <c r="E482" s="8">
        <v>10</v>
      </c>
      <c r="F482" s="9" t="s">
        <v>8363</v>
      </c>
      <c r="G482" t="str">
        <f>IFERROR(INDEX(Ticket!$B$2:$B$6001,MATCH(B482,Ticket!$A$2:$A$6001,0)),"Ticket introuvable")</f>
        <v>AG-025</v>
      </c>
    </row>
    <row r="483" spans="1:7" x14ac:dyDescent="0.35">
      <c r="A483" s="10" t="s">
        <v>6628</v>
      </c>
      <c r="B483" s="12" t="s">
        <v>3303</v>
      </c>
      <c r="C483" s="11">
        <v>45831</v>
      </c>
      <c r="D483" s="12">
        <v>5</v>
      </c>
      <c r="E483" s="12">
        <v>10</v>
      </c>
      <c r="F483" s="13" t="s">
        <v>8363</v>
      </c>
      <c r="G483" t="str">
        <f>IFERROR(INDEX(Ticket!$B$2:$B$6001,MATCH(B483,Ticket!$A$2:$A$6001,0)),"Ticket introuvable")</f>
        <v>AG-014</v>
      </c>
    </row>
    <row r="484" spans="1:7" x14ac:dyDescent="0.35">
      <c r="A484" s="6" t="s">
        <v>6629</v>
      </c>
      <c r="B484" s="8" t="s">
        <v>3669</v>
      </c>
      <c r="C484" s="7">
        <v>45698</v>
      </c>
      <c r="D484" s="8">
        <v>4</v>
      </c>
      <c r="E484" s="8">
        <v>9</v>
      </c>
      <c r="F484" s="9" t="s">
        <v>6153</v>
      </c>
      <c r="G484" t="str">
        <f>IFERROR(INDEX(Ticket!$B$2:$B$6001,MATCH(B484,Ticket!$A$2:$A$6001,0)),"Ticket introuvable")</f>
        <v>AG-029</v>
      </c>
    </row>
    <row r="485" spans="1:7" x14ac:dyDescent="0.35">
      <c r="A485" s="10" t="s">
        <v>6630</v>
      </c>
      <c r="B485" s="12" t="s">
        <v>90</v>
      </c>
      <c r="C485" s="11">
        <v>45671</v>
      </c>
      <c r="D485" s="12">
        <v>5</v>
      </c>
      <c r="E485" s="12">
        <v>10</v>
      </c>
      <c r="F485" s="13" t="s">
        <v>8363</v>
      </c>
      <c r="G485" t="str">
        <f>IFERROR(INDEX(Ticket!$B$2:$B$6001,MATCH(B485,Ticket!$A$2:$A$6001,0)),"Ticket introuvable")</f>
        <v>AG-028</v>
      </c>
    </row>
    <row r="486" spans="1:7" x14ac:dyDescent="0.35">
      <c r="A486" s="6" t="s">
        <v>6631</v>
      </c>
      <c r="B486" s="8" t="s">
        <v>723</v>
      </c>
      <c r="C486" s="7">
        <v>46015</v>
      </c>
      <c r="D486" s="8">
        <v>5</v>
      </c>
      <c r="E486" s="8">
        <v>10</v>
      </c>
      <c r="F486" s="9" t="s">
        <v>6142</v>
      </c>
      <c r="G486" t="str">
        <f>IFERROR(INDEX(Ticket!$B$2:$B$6001,MATCH(B486,Ticket!$A$2:$A$6001,0)),"Ticket introuvable")</f>
        <v>AG-019</v>
      </c>
    </row>
    <row r="487" spans="1:7" x14ac:dyDescent="0.35">
      <c r="A487" s="10" t="s">
        <v>6632</v>
      </c>
      <c r="B487" s="12" t="s">
        <v>561</v>
      </c>
      <c r="C487" s="11">
        <v>45710</v>
      </c>
      <c r="D487" s="12">
        <v>5</v>
      </c>
      <c r="E487" s="12">
        <v>5</v>
      </c>
      <c r="F487" s="13" t="s">
        <v>8363</v>
      </c>
      <c r="G487" t="str">
        <f>IFERROR(INDEX(Ticket!$B$2:$B$6001,MATCH(B487,Ticket!$A$2:$A$6001,0)),"Ticket introuvable")</f>
        <v>AG-021</v>
      </c>
    </row>
    <row r="488" spans="1:7" x14ac:dyDescent="0.35">
      <c r="A488" s="6" t="s">
        <v>6633</v>
      </c>
      <c r="B488" s="8" t="s">
        <v>3690</v>
      </c>
      <c r="C488" s="7">
        <v>45775</v>
      </c>
      <c r="D488" s="8">
        <v>5</v>
      </c>
      <c r="E488" s="8">
        <v>10</v>
      </c>
      <c r="F488" s="9" t="s">
        <v>8363</v>
      </c>
      <c r="G488" t="str">
        <f>IFERROR(INDEX(Ticket!$B$2:$B$6001,MATCH(B488,Ticket!$A$2:$A$6001,0)),"Ticket introuvable")</f>
        <v>AG-021</v>
      </c>
    </row>
    <row r="489" spans="1:7" x14ac:dyDescent="0.35">
      <c r="A489" s="10" t="s">
        <v>6634</v>
      </c>
      <c r="B489" s="12" t="s">
        <v>5441</v>
      </c>
      <c r="C489" s="11">
        <v>45706</v>
      </c>
      <c r="D489" s="12">
        <v>2</v>
      </c>
      <c r="E489" s="12">
        <v>9</v>
      </c>
      <c r="F489" s="13" t="s">
        <v>8363</v>
      </c>
      <c r="G489" t="str">
        <f>IFERROR(INDEX(Ticket!$B$2:$B$6001,MATCH(B489,Ticket!$A$2:$A$6001,0)),"Ticket introuvable")</f>
        <v>AG-014</v>
      </c>
    </row>
    <row r="490" spans="1:7" x14ac:dyDescent="0.35">
      <c r="A490" s="6" t="s">
        <v>6635</v>
      </c>
      <c r="B490" s="8" t="s">
        <v>3389</v>
      </c>
      <c r="C490" s="7">
        <v>45707</v>
      </c>
      <c r="D490" s="8">
        <v>5</v>
      </c>
      <c r="E490" s="8">
        <v>10</v>
      </c>
      <c r="F490" s="9" t="s">
        <v>6148</v>
      </c>
      <c r="G490" t="str">
        <f>IFERROR(INDEX(Ticket!$B$2:$B$6001,MATCH(B490,Ticket!$A$2:$A$6001,0)),"Ticket introuvable")</f>
        <v>AG-010</v>
      </c>
    </row>
    <row r="491" spans="1:7" x14ac:dyDescent="0.35">
      <c r="A491" s="10" t="s">
        <v>6636</v>
      </c>
      <c r="B491" s="12" t="s">
        <v>4355</v>
      </c>
      <c r="C491" s="11">
        <v>45740</v>
      </c>
      <c r="D491" s="12">
        <v>2</v>
      </c>
      <c r="E491" s="12">
        <v>9</v>
      </c>
      <c r="F491" s="13" t="s">
        <v>6142</v>
      </c>
      <c r="G491" t="str">
        <f>IFERROR(INDEX(Ticket!$B$2:$B$6001,MATCH(B491,Ticket!$A$2:$A$6001,0)),"Ticket introuvable")</f>
        <v>AG-018</v>
      </c>
    </row>
    <row r="492" spans="1:7" x14ac:dyDescent="0.35">
      <c r="A492" s="6" t="s">
        <v>6637</v>
      </c>
      <c r="B492" s="8" t="s">
        <v>3625</v>
      </c>
      <c r="C492" s="7">
        <v>45759</v>
      </c>
      <c r="D492" s="8">
        <v>5</v>
      </c>
      <c r="E492" s="8">
        <v>9</v>
      </c>
      <c r="F492" s="9" t="s">
        <v>8363</v>
      </c>
      <c r="G492" t="str">
        <f>IFERROR(INDEX(Ticket!$B$2:$B$6001,MATCH(B492,Ticket!$A$2:$A$6001,0)),"Ticket introuvable")</f>
        <v>AG-018</v>
      </c>
    </row>
    <row r="493" spans="1:7" x14ac:dyDescent="0.35">
      <c r="A493" s="10" t="s">
        <v>6638</v>
      </c>
      <c r="B493" s="12" t="s">
        <v>2713</v>
      </c>
      <c r="C493" s="11">
        <v>45880</v>
      </c>
      <c r="D493" s="12">
        <v>4</v>
      </c>
      <c r="E493" s="12">
        <v>9</v>
      </c>
      <c r="F493" s="13" t="s">
        <v>6153</v>
      </c>
      <c r="G493" t="str">
        <f>IFERROR(INDEX(Ticket!$B$2:$B$6001,MATCH(B493,Ticket!$A$2:$A$6001,0)),"Ticket introuvable")</f>
        <v>AG-025</v>
      </c>
    </row>
    <row r="494" spans="1:7" x14ac:dyDescent="0.35">
      <c r="A494" s="6" t="s">
        <v>6639</v>
      </c>
      <c r="B494" s="8" t="s">
        <v>4445</v>
      </c>
      <c r="C494" s="7">
        <v>45884</v>
      </c>
      <c r="D494" s="8">
        <v>4</v>
      </c>
      <c r="E494" s="8">
        <v>7</v>
      </c>
      <c r="F494" s="9" t="s">
        <v>6160</v>
      </c>
      <c r="G494" t="str">
        <f>IFERROR(INDEX(Ticket!$B$2:$B$6001,MATCH(B494,Ticket!$A$2:$A$6001,0)),"Ticket introuvable")</f>
        <v>AG-005</v>
      </c>
    </row>
    <row r="495" spans="1:7" x14ac:dyDescent="0.35">
      <c r="A495" s="10" t="s">
        <v>6640</v>
      </c>
      <c r="B495" s="12" t="s">
        <v>2700</v>
      </c>
      <c r="C495" s="11">
        <v>45816</v>
      </c>
      <c r="D495" s="12">
        <v>5</v>
      </c>
      <c r="E495" s="12">
        <v>10</v>
      </c>
      <c r="F495" s="13" t="s">
        <v>75</v>
      </c>
      <c r="G495" t="str">
        <f>IFERROR(INDEX(Ticket!$B$2:$B$6001,MATCH(B495,Ticket!$A$2:$A$6001,0)),"Ticket introuvable")</f>
        <v>AG-005</v>
      </c>
    </row>
    <row r="496" spans="1:7" x14ac:dyDescent="0.35">
      <c r="A496" s="6" t="s">
        <v>6641</v>
      </c>
      <c r="B496" s="8" t="s">
        <v>5895</v>
      </c>
      <c r="C496" s="7">
        <v>45684</v>
      </c>
      <c r="D496" s="8">
        <v>5</v>
      </c>
      <c r="E496" s="8">
        <v>10</v>
      </c>
      <c r="F496" s="9" t="s">
        <v>75</v>
      </c>
      <c r="G496" t="str">
        <f>IFERROR(INDEX(Ticket!$B$2:$B$6001,MATCH(B496,Ticket!$A$2:$A$6001,0)),"Ticket introuvable")</f>
        <v>AG-032</v>
      </c>
    </row>
    <row r="497" spans="1:7" x14ac:dyDescent="0.35">
      <c r="A497" s="10" t="s">
        <v>6642</v>
      </c>
      <c r="B497" s="12" t="s">
        <v>4667</v>
      </c>
      <c r="C497" s="11">
        <v>45722</v>
      </c>
      <c r="D497" s="12">
        <v>3</v>
      </c>
      <c r="E497" s="12">
        <v>8</v>
      </c>
      <c r="F497" s="13" t="s">
        <v>6160</v>
      </c>
      <c r="G497" t="str">
        <f>IFERROR(INDEX(Ticket!$B$2:$B$6001,MATCH(B497,Ticket!$A$2:$A$6001,0)),"Ticket introuvable")</f>
        <v>AG-039</v>
      </c>
    </row>
    <row r="498" spans="1:7" x14ac:dyDescent="0.35">
      <c r="A498" s="6" t="s">
        <v>6643</v>
      </c>
      <c r="B498" s="8" t="s">
        <v>2791</v>
      </c>
      <c r="C498" s="7">
        <v>45731</v>
      </c>
      <c r="D498" s="8">
        <v>5</v>
      </c>
      <c r="E498" s="8">
        <v>10</v>
      </c>
      <c r="F498" s="9" t="s">
        <v>75</v>
      </c>
      <c r="G498" t="str">
        <f>IFERROR(INDEX(Ticket!$B$2:$B$6001,MATCH(B498,Ticket!$A$2:$A$6001,0)),"Ticket introuvable")</f>
        <v>AG-024</v>
      </c>
    </row>
    <row r="499" spans="1:7" x14ac:dyDescent="0.35">
      <c r="A499" s="10" t="s">
        <v>6644</v>
      </c>
      <c r="B499" s="12" t="s">
        <v>3298</v>
      </c>
      <c r="C499" s="11">
        <v>45667</v>
      </c>
      <c r="D499" s="12">
        <v>1</v>
      </c>
      <c r="E499" s="12"/>
      <c r="F499" s="13" t="s">
        <v>75</v>
      </c>
      <c r="G499" t="str">
        <f>IFERROR(INDEX(Ticket!$B$2:$B$6001,MATCH(B499,Ticket!$A$2:$A$6001,0)),"Ticket introuvable")</f>
        <v>AG-011</v>
      </c>
    </row>
    <row r="500" spans="1:7" x14ac:dyDescent="0.35">
      <c r="A500" s="6" t="s">
        <v>6645</v>
      </c>
      <c r="B500" s="8" t="s">
        <v>5361</v>
      </c>
      <c r="C500" s="7">
        <v>45803</v>
      </c>
      <c r="D500" s="8">
        <v>5</v>
      </c>
      <c r="E500" s="8">
        <v>5</v>
      </c>
      <c r="F500" s="9" t="s">
        <v>8363</v>
      </c>
      <c r="G500" t="str">
        <f>IFERROR(INDEX(Ticket!$B$2:$B$6001,MATCH(B500,Ticket!$A$2:$A$6001,0)),"Ticket introuvable")</f>
        <v>AG-017</v>
      </c>
    </row>
    <row r="501" spans="1:7" x14ac:dyDescent="0.35">
      <c r="A501" s="10" t="s">
        <v>6646</v>
      </c>
      <c r="B501" s="12" t="s">
        <v>5908</v>
      </c>
      <c r="C501" s="11">
        <v>45738</v>
      </c>
      <c r="D501" s="12">
        <v>2</v>
      </c>
      <c r="E501" s="12">
        <v>10</v>
      </c>
      <c r="F501" s="13" t="s">
        <v>6148</v>
      </c>
      <c r="G501" t="str">
        <f>IFERROR(INDEX(Ticket!$B$2:$B$6001,MATCH(B501,Ticket!$A$2:$A$6001,0)),"Ticket introuvable")</f>
        <v>AG-023</v>
      </c>
    </row>
    <row r="502" spans="1:7" x14ac:dyDescent="0.35">
      <c r="A502" s="6" t="s">
        <v>6647</v>
      </c>
      <c r="B502" s="8" t="s">
        <v>3741</v>
      </c>
      <c r="C502" s="7">
        <v>45842</v>
      </c>
      <c r="D502" s="8">
        <v>2</v>
      </c>
      <c r="E502" s="8">
        <v>10</v>
      </c>
      <c r="F502" s="9" t="s">
        <v>6148</v>
      </c>
      <c r="G502" t="str">
        <f>IFERROR(INDEX(Ticket!$B$2:$B$6001,MATCH(B502,Ticket!$A$2:$A$6001,0)),"Ticket introuvable")</f>
        <v>AG-016</v>
      </c>
    </row>
    <row r="503" spans="1:7" x14ac:dyDescent="0.35">
      <c r="A503" s="10" t="s">
        <v>6648</v>
      </c>
      <c r="B503" s="12" t="s">
        <v>3473</v>
      </c>
      <c r="C503" s="11">
        <v>45798</v>
      </c>
      <c r="D503" s="12">
        <v>5</v>
      </c>
      <c r="E503" s="12">
        <v>5</v>
      </c>
      <c r="F503" s="13" t="s">
        <v>6153</v>
      </c>
      <c r="G503" t="str">
        <f>IFERROR(INDEX(Ticket!$B$2:$B$6001,MATCH(B503,Ticket!$A$2:$A$6001,0)),"Ticket introuvable")</f>
        <v>AG-017</v>
      </c>
    </row>
    <row r="504" spans="1:7" x14ac:dyDescent="0.35">
      <c r="A504" s="6" t="s">
        <v>6649</v>
      </c>
      <c r="B504" s="8" t="s">
        <v>1283</v>
      </c>
      <c r="C504" s="7">
        <v>45771</v>
      </c>
      <c r="D504" s="8">
        <v>3</v>
      </c>
      <c r="E504" s="8">
        <v>6</v>
      </c>
      <c r="F504" s="9" t="s">
        <v>75</v>
      </c>
      <c r="G504" t="str">
        <f>IFERROR(INDEX(Ticket!$B$2:$B$6001,MATCH(B504,Ticket!$A$2:$A$6001,0)),"Ticket introuvable")</f>
        <v>AG-007</v>
      </c>
    </row>
    <row r="505" spans="1:7" x14ac:dyDescent="0.35">
      <c r="A505" s="10" t="s">
        <v>6650</v>
      </c>
      <c r="B505" s="12" t="s">
        <v>2209</v>
      </c>
      <c r="C505" s="11">
        <v>45920</v>
      </c>
      <c r="D505" s="12">
        <v>5</v>
      </c>
      <c r="E505" s="12">
        <v>10</v>
      </c>
      <c r="F505" s="13" t="s">
        <v>6160</v>
      </c>
      <c r="G505" t="str">
        <f>IFERROR(INDEX(Ticket!$B$2:$B$6001,MATCH(B505,Ticket!$A$2:$A$6001,0)),"Ticket introuvable")</f>
        <v>AG-039</v>
      </c>
    </row>
    <row r="506" spans="1:7" x14ac:dyDescent="0.35">
      <c r="A506" s="6" t="s">
        <v>6651</v>
      </c>
      <c r="B506" s="8" t="s">
        <v>4897</v>
      </c>
      <c r="C506" s="7">
        <v>45934</v>
      </c>
      <c r="D506" s="8">
        <v>4</v>
      </c>
      <c r="E506" s="8">
        <v>10</v>
      </c>
      <c r="F506" s="9" t="s">
        <v>8363</v>
      </c>
      <c r="G506" t="str">
        <f>IFERROR(INDEX(Ticket!$B$2:$B$6001,MATCH(B506,Ticket!$A$2:$A$6001,0)),"Ticket introuvable")</f>
        <v>AG-017</v>
      </c>
    </row>
    <row r="507" spans="1:7" x14ac:dyDescent="0.35">
      <c r="A507" s="10" t="s">
        <v>6652</v>
      </c>
      <c r="B507" s="12" t="s">
        <v>2862</v>
      </c>
      <c r="C507" s="11">
        <v>45999</v>
      </c>
      <c r="D507" s="12">
        <v>4</v>
      </c>
      <c r="E507" s="12">
        <v>6</v>
      </c>
      <c r="F507" s="13" t="s">
        <v>8363</v>
      </c>
      <c r="G507" t="str">
        <f>IFERROR(INDEX(Ticket!$B$2:$B$6001,MATCH(B507,Ticket!$A$2:$A$6001,0)),"Ticket introuvable")</f>
        <v>AG-015</v>
      </c>
    </row>
    <row r="508" spans="1:7" x14ac:dyDescent="0.35">
      <c r="A508" s="6" t="s">
        <v>6653</v>
      </c>
      <c r="B508" s="8" t="s">
        <v>4364</v>
      </c>
      <c r="C508" s="7">
        <v>45897</v>
      </c>
      <c r="D508" s="8">
        <v>5</v>
      </c>
      <c r="E508" s="8">
        <v>10</v>
      </c>
      <c r="F508" s="9" t="s">
        <v>6142</v>
      </c>
      <c r="G508" t="str">
        <f>IFERROR(INDEX(Ticket!$B$2:$B$6001,MATCH(B508,Ticket!$A$2:$A$6001,0)),"Ticket introuvable")</f>
        <v>AG-014</v>
      </c>
    </row>
    <row r="509" spans="1:7" x14ac:dyDescent="0.35">
      <c r="A509" s="10" t="s">
        <v>6654</v>
      </c>
      <c r="B509" s="12" t="s">
        <v>1553</v>
      </c>
      <c r="C509" s="11">
        <v>45945</v>
      </c>
      <c r="D509" s="12">
        <v>5</v>
      </c>
      <c r="E509" s="12">
        <v>8</v>
      </c>
      <c r="F509" s="13" t="s">
        <v>6160</v>
      </c>
      <c r="G509" t="str">
        <f>IFERROR(INDEX(Ticket!$B$2:$B$6001,MATCH(B509,Ticket!$A$2:$A$6001,0)),"Ticket introuvable")</f>
        <v>AG-024</v>
      </c>
    </row>
    <row r="510" spans="1:7" x14ac:dyDescent="0.35">
      <c r="A510" s="6" t="s">
        <v>6655</v>
      </c>
      <c r="B510" s="8" t="s">
        <v>4265</v>
      </c>
      <c r="C510" s="7">
        <v>45690</v>
      </c>
      <c r="D510" s="8">
        <v>5</v>
      </c>
      <c r="E510" s="8">
        <v>6</v>
      </c>
      <c r="F510" s="9" t="s">
        <v>6160</v>
      </c>
      <c r="G510" t="str">
        <f>IFERROR(INDEX(Ticket!$B$2:$B$6001,MATCH(B510,Ticket!$A$2:$A$6001,0)),"Ticket introuvable")</f>
        <v>AG-023</v>
      </c>
    </row>
    <row r="511" spans="1:7" x14ac:dyDescent="0.35">
      <c r="A511" s="10" t="s">
        <v>6656</v>
      </c>
      <c r="B511" s="12" t="s">
        <v>4550</v>
      </c>
      <c r="C511" s="11">
        <v>45819</v>
      </c>
      <c r="D511" s="12">
        <v>3</v>
      </c>
      <c r="E511" s="12">
        <v>0</v>
      </c>
      <c r="F511" s="13" t="s">
        <v>75</v>
      </c>
      <c r="G511" t="str">
        <f>IFERROR(INDEX(Ticket!$B$2:$B$6001,MATCH(B511,Ticket!$A$2:$A$6001,0)),"Ticket introuvable")</f>
        <v>AG-028</v>
      </c>
    </row>
    <row r="512" spans="1:7" x14ac:dyDescent="0.35">
      <c r="A512" s="6" t="s">
        <v>6657</v>
      </c>
      <c r="B512" s="8" t="s">
        <v>2307</v>
      </c>
      <c r="C512" s="7">
        <v>45849</v>
      </c>
      <c r="D512" s="8">
        <v>5</v>
      </c>
      <c r="E512" s="8">
        <v>3</v>
      </c>
      <c r="F512" s="9" t="s">
        <v>8363</v>
      </c>
      <c r="G512" t="str">
        <f>IFERROR(INDEX(Ticket!$B$2:$B$6001,MATCH(B512,Ticket!$A$2:$A$6001,0)),"Ticket introuvable")</f>
        <v>AG-020</v>
      </c>
    </row>
    <row r="513" spans="1:7" x14ac:dyDescent="0.35">
      <c r="A513" s="10" t="s">
        <v>6658</v>
      </c>
      <c r="B513" s="12" t="s">
        <v>4252</v>
      </c>
      <c r="C513" s="11">
        <v>46010</v>
      </c>
      <c r="D513" s="12">
        <v>1</v>
      </c>
      <c r="E513" s="12">
        <v>0</v>
      </c>
      <c r="F513" s="13" t="s">
        <v>8363</v>
      </c>
      <c r="G513" t="str">
        <f>IFERROR(INDEX(Ticket!$B$2:$B$6001,MATCH(B513,Ticket!$A$2:$A$6001,0)),"Ticket introuvable")</f>
        <v>AG-039</v>
      </c>
    </row>
    <row r="514" spans="1:7" x14ac:dyDescent="0.35">
      <c r="A514" s="6" t="s">
        <v>6659</v>
      </c>
      <c r="B514" s="8" t="s">
        <v>3187</v>
      </c>
      <c r="C514" s="7">
        <v>45914</v>
      </c>
      <c r="D514" s="8">
        <v>5</v>
      </c>
      <c r="E514" s="8">
        <v>10</v>
      </c>
      <c r="F514" s="9" t="s">
        <v>8363</v>
      </c>
      <c r="G514" t="str">
        <f>IFERROR(INDEX(Ticket!$B$2:$B$6001,MATCH(B514,Ticket!$A$2:$A$6001,0)),"Ticket introuvable")</f>
        <v>AG-023</v>
      </c>
    </row>
    <row r="515" spans="1:7" x14ac:dyDescent="0.35">
      <c r="A515" s="10" t="s">
        <v>6660</v>
      </c>
      <c r="B515" s="12" t="s">
        <v>4330</v>
      </c>
      <c r="C515" s="11">
        <v>45745</v>
      </c>
      <c r="D515" s="12">
        <v>5</v>
      </c>
      <c r="E515" s="12">
        <v>8</v>
      </c>
      <c r="F515" s="13" t="s">
        <v>8363</v>
      </c>
      <c r="G515" t="str">
        <f>IFERROR(INDEX(Ticket!$B$2:$B$6001,MATCH(B515,Ticket!$A$2:$A$6001,0)),"Ticket introuvable")</f>
        <v>AG-013</v>
      </c>
    </row>
    <row r="516" spans="1:7" x14ac:dyDescent="0.35">
      <c r="A516" s="6" t="s">
        <v>6661</v>
      </c>
      <c r="B516" s="8" t="s">
        <v>528</v>
      </c>
      <c r="C516" s="7">
        <v>45872</v>
      </c>
      <c r="D516" s="8">
        <v>4</v>
      </c>
      <c r="E516" s="8">
        <v>8</v>
      </c>
      <c r="F516" s="9" t="s">
        <v>75</v>
      </c>
      <c r="G516" t="str">
        <f>IFERROR(INDEX(Ticket!$B$2:$B$6001,MATCH(B516,Ticket!$A$2:$A$6001,0)),"Ticket introuvable")</f>
        <v>AG-026</v>
      </c>
    </row>
    <row r="517" spans="1:7" x14ac:dyDescent="0.35">
      <c r="A517" s="10" t="s">
        <v>6662</v>
      </c>
      <c r="B517" s="12" t="s">
        <v>1852</v>
      </c>
      <c r="C517" s="11">
        <v>45675</v>
      </c>
      <c r="D517" s="12">
        <v>4</v>
      </c>
      <c r="E517" s="12">
        <v>9</v>
      </c>
      <c r="F517" s="13" t="s">
        <v>6142</v>
      </c>
      <c r="G517" t="str">
        <f>IFERROR(INDEX(Ticket!$B$2:$B$6001,MATCH(B517,Ticket!$A$2:$A$6001,0)),"Ticket introuvable")</f>
        <v>AG-007</v>
      </c>
    </row>
    <row r="518" spans="1:7" x14ac:dyDescent="0.35">
      <c r="A518" s="6" t="s">
        <v>6663</v>
      </c>
      <c r="B518" s="8" t="s">
        <v>3087</v>
      </c>
      <c r="C518" s="7">
        <v>45755</v>
      </c>
      <c r="D518" s="8">
        <v>4</v>
      </c>
      <c r="E518" s="8">
        <v>9</v>
      </c>
      <c r="F518" s="9" t="s">
        <v>6142</v>
      </c>
      <c r="G518" t="str">
        <f>IFERROR(INDEX(Ticket!$B$2:$B$6001,MATCH(B518,Ticket!$A$2:$A$6001,0)),"Ticket introuvable")</f>
        <v>AG-014</v>
      </c>
    </row>
    <row r="519" spans="1:7" x14ac:dyDescent="0.35">
      <c r="A519" s="10" t="s">
        <v>6664</v>
      </c>
      <c r="B519" s="12" t="s">
        <v>1426</v>
      </c>
      <c r="C519" s="11">
        <v>45696</v>
      </c>
      <c r="D519" s="12">
        <v>2</v>
      </c>
      <c r="E519" s="12">
        <v>4</v>
      </c>
      <c r="F519" s="13" t="s">
        <v>6153</v>
      </c>
      <c r="G519" t="str">
        <f>IFERROR(INDEX(Ticket!$B$2:$B$6001,MATCH(B519,Ticket!$A$2:$A$6001,0)),"Ticket introuvable")</f>
        <v>AG-010</v>
      </c>
    </row>
    <row r="520" spans="1:7" x14ac:dyDescent="0.35">
      <c r="A520" s="6" t="s">
        <v>6665</v>
      </c>
      <c r="B520" s="8" t="s">
        <v>5883</v>
      </c>
      <c r="C520" s="7">
        <v>45897</v>
      </c>
      <c r="D520" s="8">
        <v>4</v>
      </c>
      <c r="E520" s="8">
        <v>8</v>
      </c>
      <c r="F520" s="9" t="s">
        <v>8363</v>
      </c>
      <c r="G520" t="str">
        <f>IFERROR(INDEX(Ticket!$B$2:$B$6001,MATCH(B520,Ticket!$A$2:$A$6001,0)),"Ticket introuvable")</f>
        <v>AG-007</v>
      </c>
    </row>
    <row r="521" spans="1:7" x14ac:dyDescent="0.35">
      <c r="A521" s="10" t="s">
        <v>6666</v>
      </c>
      <c r="B521" s="12" t="s">
        <v>547</v>
      </c>
      <c r="C521" s="11">
        <v>45869</v>
      </c>
      <c r="D521" s="12">
        <v>3</v>
      </c>
      <c r="E521" s="12">
        <v>10</v>
      </c>
      <c r="F521" s="13" t="s">
        <v>6160</v>
      </c>
      <c r="G521" t="str">
        <f>IFERROR(INDEX(Ticket!$B$2:$B$6001,MATCH(B521,Ticket!$A$2:$A$6001,0)),"Ticket introuvable")</f>
        <v>AG-014</v>
      </c>
    </row>
    <row r="522" spans="1:7" x14ac:dyDescent="0.35">
      <c r="A522" s="6" t="s">
        <v>6667</v>
      </c>
      <c r="B522" s="8" t="s">
        <v>3880</v>
      </c>
      <c r="C522" s="7">
        <v>45995</v>
      </c>
      <c r="D522" s="8">
        <v>5</v>
      </c>
      <c r="E522" s="8">
        <v>0</v>
      </c>
      <c r="F522" s="9" t="s">
        <v>6153</v>
      </c>
      <c r="G522" t="str">
        <f>IFERROR(INDEX(Ticket!$B$2:$B$6001,MATCH(B522,Ticket!$A$2:$A$6001,0)),"Ticket introuvable")</f>
        <v>AG-039</v>
      </c>
    </row>
    <row r="523" spans="1:7" x14ac:dyDescent="0.35">
      <c r="A523" s="10" t="s">
        <v>6668</v>
      </c>
      <c r="B523" s="12" t="s">
        <v>2383</v>
      </c>
      <c r="C523" s="11">
        <v>45905</v>
      </c>
      <c r="D523" s="12">
        <v>4</v>
      </c>
      <c r="E523" s="12">
        <v>8</v>
      </c>
      <c r="F523" s="13" t="s">
        <v>8363</v>
      </c>
      <c r="G523" t="str">
        <f>IFERROR(INDEX(Ticket!$B$2:$B$6001,MATCH(B523,Ticket!$A$2:$A$6001,0)),"Ticket introuvable")</f>
        <v>AG-014</v>
      </c>
    </row>
    <row r="524" spans="1:7" x14ac:dyDescent="0.35">
      <c r="A524" s="6" t="s">
        <v>6669</v>
      </c>
      <c r="B524" s="8" t="s">
        <v>5631</v>
      </c>
      <c r="C524" s="7">
        <v>45910</v>
      </c>
      <c r="D524" s="8"/>
      <c r="E524" s="8">
        <v>2</v>
      </c>
      <c r="F524" s="9" t="s">
        <v>6148</v>
      </c>
      <c r="G524" t="str">
        <f>IFERROR(INDEX(Ticket!$B$2:$B$6001,MATCH(B524,Ticket!$A$2:$A$6001,0)),"Ticket introuvable")</f>
        <v>AG-018</v>
      </c>
    </row>
    <row r="525" spans="1:7" x14ac:dyDescent="0.35">
      <c r="A525" s="10" t="s">
        <v>6670</v>
      </c>
      <c r="B525" s="12" t="s">
        <v>4236</v>
      </c>
      <c r="C525" s="11">
        <v>45808</v>
      </c>
      <c r="D525" s="12">
        <v>5</v>
      </c>
      <c r="E525" s="12">
        <v>9</v>
      </c>
      <c r="F525" s="13" t="s">
        <v>75</v>
      </c>
      <c r="G525" t="str">
        <f>IFERROR(INDEX(Ticket!$B$2:$B$6001,MATCH(B525,Ticket!$A$2:$A$6001,0)),"Ticket introuvable")</f>
        <v>AG-039</v>
      </c>
    </row>
    <row r="526" spans="1:7" x14ac:dyDescent="0.35">
      <c r="A526" s="6" t="s">
        <v>6671</v>
      </c>
      <c r="B526" s="8" t="s">
        <v>2910</v>
      </c>
      <c r="C526" s="7">
        <v>45793</v>
      </c>
      <c r="D526" s="8">
        <v>5</v>
      </c>
      <c r="E526" s="8">
        <v>8</v>
      </c>
      <c r="F526" s="9" t="s">
        <v>8363</v>
      </c>
      <c r="G526" t="str">
        <f>IFERROR(INDEX(Ticket!$B$2:$B$6001,MATCH(B526,Ticket!$A$2:$A$6001,0)),"Ticket introuvable")</f>
        <v>AG-026</v>
      </c>
    </row>
    <row r="527" spans="1:7" x14ac:dyDescent="0.35">
      <c r="A527" s="10" t="s">
        <v>6672</v>
      </c>
      <c r="B527" s="12" t="s">
        <v>5780</v>
      </c>
      <c r="C527" s="11">
        <v>45815</v>
      </c>
      <c r="D527" s="12"/>
      <c r="E527" s="12">
        <v>5</v>
      </c>
      <c r="F527" s="13" t="s">
        <v>8363</v>
      </c>
      <c r="G527" t="str">
        <f>IFERROR(INDEX(Ticket!$B$2:$B$6001,MATCH(B527,Ticket!$A$2:$A$6001,0)),"Ticket introuvable")</f>
        <v>AG-011</v>
      </c>
    </row>
    <row r="528" spans="1:7" x14ac:dyDescent="0.35">
      <c r="A528" s="6" t="s">
        <v>6673</v>
      </c>
      <c r="B528" s="8" t="s">
        <v>3080</v>
      </c>
      <c r="C528" s="7">
        <v>45888</v>
      </c>
      <c r="D528" s="8">
        <v>4</v>
      </c>
      <c r="E528" s="8">
        <v>6</v>
      </c>
      <c r="F528" s="9" t="s">
        <v>6160</v>
      </c>
      <c r="G528" t="str">
        <f>IFERROR(INDEX(Ticket!$B$2:$B$6001,MATCH(B528,Ticket!$A$2:$A$6001,0)),"Ticket introuvable")</f>
        <v>AG-018</v>
      </c>
    </row>
    <row r="529" spans="1:7" x14ac:dyDescent="0.35">
      <c r="A529" s="10" t="s">
        <v>6674</v>
      </c>
      <c r="B529" s="12" t="s">
        <v>2904</v>
      </c>
      <c r="C529" s="11">
        <v>45950</v>
      </c>
      <c r="D529" s="12">
        <v>4</v>
      </c>
      <c r="E529" s="12">
        <v>8</v>
      </c>
      <c r="F529" s="13" t="s">
        <v>6153</v>
      </c>
      <c r="G529" t="str">
        <f>IFERROR(INDEX(Ticket!$B$2:$B$6001,MATCH(B529,Ticket!$A$2:$A$6001,0)),"Ticket introuvable")</f>
        <v>AG-020</v>
      </c>
    </row>
    <row r="530" spans="1:7" x14ac:dyDescent="0.35">
      <c r="A530" s="6" t="s">
        <v>6675</v>
      </c>
      <c r="B530" s="8" t="s">
        <v>5050</v>
      </c>
      <c r="C530" s="7">
        <v>45777</v>
      </c>
      <c r="D530" s="8">
        <v>5</v>
      </c>
      <c r="E530" s="8">
        <v>6</v>
      </c>
      <c r="F530" s="9" t="s">
        <v>8363</v>
      </c>
      <c r="G530" t="str">
        <f>IFERROR(INDEX(Ticket!$B$2:$B$6001,MATCH(B530,Ticket!$A$2:$A$6001,0)),"Ticket introuvable")</f>
        <v>AG-011</v>
      </c>
    </row>
    <row r="531" spans="1:7" x14ac:dyDescent="0.35">
      <c r="A531" s="10" t="s">
        <v>6676</v>
      </c>
      <c r="B531" s="12" t="s">
        <v>4596</v>
      </c>
      <c r="C531" s="11">
        <v>45777</v>
      </c>
      <c r="D531" s="12">
        <v>4</v>
      </c>
      <c r="E531" s="12">
        <v>9</v>
      </c>
      <c r="F531" s="13" t="s">
        <v>6148</v>
      </c>
      <c r="G531" t="str">
        <f>IFERROR(INDEX(Ticket!$B$2:$B$6001,MATCH(B531,Ticket!$A$2:$A$6001,0)),"Ticket introuvable")</f>
        <v>AG-024</v>
      </c>
    </row>
    <row r="532" spans="1:7" x14ac:dyDescent="0.35">
      <c r="A532" s="6" t="s">
        <v>6677</v>
      </c>
      <c r="B532" s="8" t="s">
        <v>3760</v>
      </c>
      <c r="C532" s="7">
        <v>45660</v>
      </c>
      <c r="D532" s="8">
        <v>3</v>
      </c>
      <c r="E532" s="8">
        <v>10</v>
      </c>
      <c r="F532" s="9" t="s">
        <v>8363</v>
      </c>
      <c r="G532" t="str">
        <f>IFERROR(INDEX(Ticket!$B$2:$B$6001,MATCH(B532,Ticket!$A$2:$A$6001,0)),"Ticket introuvable")</f>
        <v>AG-019</v>
      </c>
    </row>
    <row r="533" spans="1:7" x14ac:dyDescent="0.35">
      <c r="A533" s="10" t="s">
        <v>6678</v>
      </c>
      <c r="B533" s="12" t="s">
        <v>636</v>
      </c>
      <c r="C533" s="11">
        <v>45786</v>
      </c>
      <c r="D533" s="12">
        <v>3</v>
      </c>
      <c r="E533" s="12">
        <v>8</v>
      </c>
      <c r="F533" s="13" t="s">
        <v>6153</v>
      </c>
      <c r="G533" t="str">
        <f>IFERROR(INDEX(Ticket!$B$2:$B$6001,MATCH(B533,Ticket!$A$2:$A$6001,0)),"Ticket introuvable")</f>
        <v>AG-035</v>
      </c>
    </row>
    <row r="534" spans="1:7" x14ac:dyDescent="0.35">
      <c r="A534" s="6" t="s">
        <v>6679</v>
      </c>
      <c r="B534" s="8" t="s">
        <v>4031</v>
      </c>
      <c r="C534" s="7">
        <v>45963</v>
      </c>
      <c r="D534" s="8">
        <v>5</v>
      </c>
      <c r="E534" s="8">
        <v>10</v>
      </c>
      <c r="F534" s="9" t="s">
        <v>8363</v>
      </c>
      <c r="G534" t="str">
        <f>IFERROR(INDEX(Ticket!$B$2:$B$6001,MATCH(B534,Ticket!$A$2:$A$6001,0)),"Ticket introuvable")</f>
        <v>AG-040</v>
      </c>
    </row>
    <row r="535" spans="1:7" x14ac:dyDescent="0.35">
      <c r="A535" s="10" t="s">
        <v>6680</v>
      </c>
      <c r="B535" s="12" t="s">
        <v>949</v>
      </c>
      <c r="C535" s="11">
        <v>45922</v>
      </c>
      <c r="D535" s="12">
        <v>4</v>
      </c>
      <c r="E535" s="12">
        <v>10</v>
      </c>
      <c r="F535" s="13" t="s">
        <v>6142</v>
      </c>
      <c r="G535" t="str">
        <f>IFERROR(INDEX(Ticket!$B$2:$B$6001,MATCH(B535,Ticket!$A$2:$A$6001,0)),"Ticket introuvable")</f>
        <v>AG-033</v>
      </c>
    </row>
    <row r="536" spans="1:7" x14ac:dyDescent="0.35">
      <c r="A536" s="6" t="s">
        <v>6681</v>
      </c>
      <c r="B536" s="8" t="s">
        <v>792</v>
      </c>
      <c r="C536" s="7">
        <v>45688</v>
      </c>
      <c r="D536" s="8">
        <v>5</v>
      </c>
      <c r="E536" s="8"/>
      <c r="F536" s="9" t="s">
        <v>6148</v>
      </c>
      <c r="G536" t="str">
        <f>IFERROR(INDEX(Ticket!$B$2:$B$6001,MATCH(B536,Ticket!$A$2:$A$6001,0)),"Ticket introuvable")</f>
        <v>AG-021</v>
      </c>
    </row>
    <row r="537" spans="1:7" x14ac:dyDescent="0.35">
      <c r="A537" s="10" t="s">
        <v>6682</v>
      </c>
      <c r="B537" s="12" t="s">
        <v>5151</v>
      </c>
      <c r="C537" s="11">
        <v>45719</v>
      </c>
      <c r="D537" s="12">
        <v>4</v>
      </c>
      <c r="E537" s="12">
        <v>9</v>
      </c>
      <c r="F537" s="13" t="s">
        <v>8363</v>
      </c>
      <c r="G537" t="str">
        <f>IFERROR(INDEX(Ticket!$B$2:$B$6001,MATCH(B537,Ticket!$A$2:$A$6001,0)),"Ticket introuvable")</f>
        <v>AG-022</v>
      </c>
    </row>
    <row r="538" spans="1:7" x14ac:dyDescent="0.35">
      <c r="A538" s="6" t="s">
        <v>6683</v>
      </c>
      <c r="B538" s="8" t="s">
        <v>3511</v>
      </c>
      <c r="C538" s="7">
        <v>45935</v>
      </c>
      <c r="D538" s="8">
        <v>4</v>
      </c>
      <c r="E538" s="8">
        <v>8</v>
      </c>
      <c r="F538" s="9" t="s">
        <v>6160</v>
      </c>
      <c r="G538" t="str">
        <f>IFERROR(INDEX(Ticket!$B$2:$B$6001,MATCH(B538,Ticket!$A$2:$A$6001,0)),"Ticket introuvable")</f>
        <v>AG-006</v>
      </c>
    </row>
    <row r="539" spans="1:7" x14ac:dyDescent="0.35">
      <c r="A539" s="10" t="s">
        <v>6684</v>
      </c>
      <c r="B539" s="12" t="s">
        <v>1315</v>
      </c>
      <c r="C539" s="11">
        <v>45931</v>
      </c>
      <c r="D539" s="12">
        <v>4</v>
      </c>
      <c r="E539" s="12">
        <v>7</v>
      </c>
      <c r="F539" s="13" t="s">
        <v>8363</v>
      </c>
      <c r="G539" t="str">
        <f>IFERROR(INDEX(Ticket!$B$2:$B$6001,MATCH(B539,Ticket!$A$2:$A$6001,0)),"Ticket introuvable")</f>
        <v>AG-034</v>
      </c>
    </row>
    <row r="540" spans="1:7" x14ac:dyDescent="0.35">
      <c r="A540" s="6" t="s">
        <v>6685</v>
      </c>
      <c r="B540" s="8" t="s">
        <v>5548</v>
      </c>
      <c r="C540" s="7">
        <v>45786</v>
      </c>
      <c r="D540" s="8">
        <v>5</v>
      </c>
      <c r="E540" s="8">
        <v>3</v>
      </c>
      <c r="F540" s="9" t="s">
        <v>8363</v>
      </c>
      <c r="G540" t="str">
        <f>IFERROR(INDEX(Ticket!$B$2:$B$6001,MATCH(B540,Ticket!$A$2:$A$6001,0)),"Ticket introuvable")</f>
        <v>AG-007</v>
      </c>
    </row>
    <row r="541" spans="1:7" x14ac:dyDescent="0.35">
      <c r="A541" s="10" t="s">
        <v>6686</v>
      </c>
      <c r="B541" s="12" t="s">
        <v>112</v>
      </c>
      <c r="C541" s="11">
        <v>45676</v>
      </c>
      <c r="D541" s="12">
        <v>4</v>
      </c>
      <c r="E541" s="12">
        <v>8</v>
      </c>
      <c r="F541" s="13" t="s">
        <v>6142</v>
      </c>
      <c r="G541" t="str">
        <f>IFERROR(INDEX(Ticket!$B$2:$B$6001,MATCH(B541,Ticket!$A$2:$A$6001,0)),"Ticket introuvable")</f>
        <v>AG-014</v>
      </c>
    </row>
    <row r="542" spans="1:7" x14ac:dyDescent="0.35">
      <c r="A542" s="6" t="s">
        <v>6687</v>
      </c>
      <c r="B542" s="8" t="s">
        <v>5546</v>
      </c>
      <c r="C542" s="7">
        <v>45846</v>
      </c>
      <c r="D542" s="8">
        <v>4</v>
      </c>
      <c r="E542" s="8">
        <v>10</v>
      </c>
      <c r="F542" s="9" t="s">
        <v>8363</v>
      </c>
      <c r="G542" t="str">
        <f>IFERROR(INDEX(Ticket!$B$2:$B$6001,MATCH(B542,Ticket!$A$2:$A$6001,0)),"Ticket introuvable")</f>
        <v>AG-007</v>
      </c>
    </row>
    <row r="543" spans="1:7" x14ac:dyDescent="0.35">
      <c r="A543" s="10" t="s">
        <v>6688</v>
      </c>
      <c r="B543" s="12" t="s">
        <v>279</v>
      </c>
      <c r="C543" s="11">
        <v>45682</v>
      </c>
      <c r="D543" s="12">
        <v>3</v>
      </c>
      <c r="E543" s="12">
        <v>10</v>
      </c>
      <c r="F543" s="13" t="s">
        <v>6160</v>
      </c>
      <c r="G543" t="str">
        <f>IFERROR(INDEX(Ticket!$B$2:$B$6001,MATCH(B543,Ticket!$A$2:$A$6001,0)),"Ticket introuvable")</f>
        <v>AG-014</v>
      </c>
    </row>
    <row r="544" spans="1:7" x14ac:dyDescent="0.35">
      <c r="A544" s="6" t="s">
        <v>6689</v>
      </c>
      <c r="B544" s="8" t="s">
        <v>3397</v>
      </c>
      <c r="C544" s="7">
        <v>45977</v>
      </c>
      <c r="D544" s="8">
        <v>4</v>
      </c>
      <c r="E544" s="8">
        <v>7</v>
      </c>
      <c r="F544" s="9" t="s">
        <v>75</v>
      </c>
      <c r="G544" t="str">
        <f>IFERROR(INDEX(Ticket!$B$2:$B$6001,MATCH(B544,Ticket!$A$2:$A$6001,0)),"Ticket introuvable")</f>
        <v>AG-018</v>
      </c>
    </row>
    <row r="545" spans="1:7" x14ac:dyDescent="0.35">
      <c r="A545" s="10" t="s">
        <v>6690</v>
      </c>
      <c r="B545" s="12" t="s">
        <v>5688</v>
      </c>
      <c r="C545" s="11">
        <v>45911</v>
      </c>
      <c r="D545" s="12">
        <v>3</v>
      </c>
      <c r="E545" s="12">
        <v>5</v>
      </c>
      <c r="F545" s="13" t="s">
        <v>75</v>
      </c>
      <c r="G545" t="str">
        <f>IFERROR(INDEX(Ticket!$B$2:$B$6001,MATCH(B545,Ticket!$A$2:$A$6001,0)),"Ticket introuvable")</f>
        <v>AG-013</v>
      </c>
    </row>
    <row r="546" spans="1:7" x14ac:dyDescent="0.35">
      <c r="A546" s="6" t="s">
        <v>6691</v>
      </c>
      <c r="B546" s="8" t="s">
        <v>1277</v>
      </c>
      <c r="C546" s="7">
        <v>45888</v>
      </c>
      <c r="D546" s="8">
        <v>4</v>
      </c>
      <c r="E546" s="8">
        <v>5</v>
      </c>
      <c r="F546" s="9" t="s">
        <v>6142</v>
      </c>
      <c r="G546" t="str">
        <f>IFERROR(INDEX(Ticket!$B$2:$B$6001,MATCH(B546,Ticket!$A$2:$A$6001,0)),"Ticket introuvable")</f>
        <v>AG-003</v>
      </c>
    </row>
    <row r="547" spans="1:7" x14ac:dyDescent="0.35">
      <c r="A547" s="10" t="s">
        <v>6692</v>
      </c>
      <c r="B547" s="12" t="s">
        <v>2033</v>
      </c>
      <c r="C547" s="11">
        <v>45675</v>
      </c>
      <c r="D547" s="12">
        <v>4</v>
      </c>
      <c r="E547" s="12">
        <v>5</v>
      </c>
      <c r="F547" s="13" t="s">
        <v>75</v>
      </c>
      <c r="G547" t="str">
        <f>IFERROR(INDEX(Ticket!$B$2:$B$6001,MATCH(B547,Ticket!$A$2:$A$6001,0)),"Ticket introuvable")</f>
        <v>AG-016</v>
      </c>
    </row>
    <row r="548" spans="1:7" x14ac:dyDescent="0.35">
      <c r="A548" s="6" t="s">
        <v>6693</v>
      </c>
      <c r="B548" s="8" t="s">
        <v>4275</v>
      </c>
      <c r="C548" s="7">
        <v>45929</v>
      </c>
      <c r="D548" s="8">
        <v>5</v>
      </c>
      <c r="E548" s="8">
        <v>9</v>
      </c>
      <c r="F548" s="9" t="s">
        <v>6142</v>
      </c>
      <c r="G548" t="str">
        <f>IFERROR(INDEX(Ticket!$B$2:$B$6001,MATCH(B548,Ticket!$A$2:$A$6001,0)),"Ticket introuvable")</f>
        <v>AG-037</v>
      </c>
    </row>
    <row r="549" spans="1:7" x14ac:dyDescent="0.35">
      <c r="A549" s="10" t="s">
        <v>6694</v>
      </c>
      <c r="B549" s="12" t="s">
        <v>1338</v>
      </c>
      <c r="C549" s="11">
        <v>45728</v>
      </c>
      <c r="D549" s="12">
        <v>4</v>
      </c>
      <c r="E549" s="12">
        <v>0</v>
      </c>
      <c r="F549" s="13" t="s">
        <v>6142</v>
      </c>
      <c r="G549" t="str">
        <f>IFERROR(INDEX(Ticket!$B$2:$B$6001,MATCH(B549,Ticket!$A$2:$A$6001,0)),"Ticket introuvable")</f>
        <v>AG-034</v>
      </c>
    </row>
    <row r="550" spans="1:7" x14ac:dyDescent="0.35">
      <c r="A550" s="6" t="s">
        <v>6695</v>
      </c>
      <c r="B550" s="8" t="s">
        <v>2278</v>
      </c>
      <c r="C550" s="7">
        <v>45726</v>
      </c>
      <c r="D550" s="8">
        <v>1</v>
      </c>
      <c r="E550" s="8">
        <v>9</v>
      </c>
      <c r="F550" s="9" t="s">
        <v>75</v>
      </c>
      <c r="G550" t="str">
        <f>IFERROR(INDEX(Ticket!$B$2:$B$6001,MATCH(B550,Ticket!$A$2:$A$6001,0)),"Ticket introuvable")</f>
        <v>AG-011</v>
      </c>
    </row>
    <row r="551" spans="1:7" x14ac:dyDescent="0.35">
      <c r="A551" s="10" t="s">
        <v>6696</v>
      </c>
      <c r="B551" s="12" t="s">
        <v>4461</v>
      </c>
      <c r="C551" s="11">
        <v>45749</v>
      </c>
      <c r="D551" s="12">
        <v>4</v>
      </c>
      <c r="E551" s="12">
        <v>10</v>
      </c>
      <c r="F551" s="13" t="s">
        <v>6153</v>
      </c>
      <c r="G551" t="str">
        <f>IFERROR(INDEX(Ticket!$B$2:$B$6001,MATCH(B551,Ticket!$A$2:$A$6001,0)),"Ticket introuvable")</f>
        <v>AG-011</v>
      </c>
    </row>
    <row r="552" spans="1:7" x14ac:dyDescent="0.35">
      <c r="A552" s="6" t="s">
        <v>6697</v>
      </c>
      <c r="B552" s="8" t="s">
        <v>5219</v>
      </c>
      <c r="C552" s="7">
        <v>45828</v>
      </c>
      <c r="D552" s="8">
        <v>4</v>
      </c>
      <c r="E552" s="8">
        <v>10</v>
      </c>
      <c r="F552" s="9" t="s">
        <v>6153</v>
      </c>
      <c r="G552" t="str">
        <f>IFERROR(INDEX(Ticket!$B$2:$B$6001,MATCH(B552,Ticket!$A$2:$A$6001,0)),"Ticket introuvable")</f>
        <v>AG-013</v>
      </c>
    </row>
    <row r="553" spans="1:7" x14ac:dyDescent="0.35">
      <c r="A553" s="10" t="s">
        <v>6698</v>
      </c>
      <c r="B553" s="12" t="s">
        <v>700</v>
      </c>
      <c r="C553" s="11">
        <v>45735</v>
      </c>
      <c r="D553" s="12">
        <v>4</v>
      </c>
      <c r="E553" s="12">
        <v>3</v>
      </c>
      <c r="F553" s="13" t="s">
        <v>6142</v>
      </c>
      <c r="G553" t="str">
        <f>IFERROR(INDEX(Ticket!$B$2:$B$6001,MATCH(B553,Ticket!$A$2:$A$6001,0)),"Ticket introuvable")</f>
        <v>AG-019</v>
      </c>
    </row>
    <row r="554" spans="1:7" x14ac:dyDescent="0.35">
      <c r="A554" s="6" t="s">
        <v>6699</v>
      </c>
      <c r="B554" s="8" t="s">
        <v>5722</v>
      </c>
      <c r="C554" s="7">
        <v>45809</v>
      </c>
      <c r="D554" s="8">
        <v>5</v>
      </c>
      <c r="E554" s="8">
        <v>9</v>
      </c>
      <c r="F554" s="9" t="s">
        <v>6148</v>
      </c>
      <c r="G554" t="str">
        <f>IFERROR(INDEX(Ticket!$B$2:$B$6001,MATCH(B554,Ticket!$A$2:$A$6001,0)),"Ticket introuvable")</f>
        <v>AG-039</v>
      </c>
    </row>
    <row r="555" spans="1:7" x14ac:dyDescent="0.35">
      <c r="A555" s="10" t="s">
        <v>6700</v>
      </c>
      <c r="B555" s="12" t="s">
        <v>2188</v>
      </c>
      <c r="C555" s="11">
        <v>45821</v>
      </c>
      <c r="D555" s="12">
        <v>3</v>
      </c>
      <c r="E555" s="12">
        <v>7</v>
      </c>
      <c r="F555" s="13" t="s">
        <v>75</v>
      </c>
      <c r="G555" t="str">
        <f>IFERROR(INDEX(Ticket!$B$2:$B$6001,MATCH(B555,Ticket!$A$2:$A$6001,0)),"Ticket introuvable")</f>
        <v>AG-029</v>
      </c>
    </row>
    <row r="556" spans="1:7" x14ac:dyDescent="0.35">
      <c r="A556" s="6" t="s">
        <v>6701</v>
      </c>
      <c r="B556" s="8" t="s">
        <v>3424</v>
      </c>
      <c r="C556" s="7">
        <v>45697</v>
      </c>
      <c r="D556" s="8">
        <v>5</v>
      </c>
      <c r="E556" s="8"/>
      <c r="F556" s="9" t="s">
        <v>6142</v>
      </c>
      <c r="G556" t="str">
        <f>IFERROR(INDEX(Ticket!$B$2:$B$6001,MATCH(B556,Ticket!$A$2:$A$6001,0)),"Ticket introuvable")</f>
        <v>AG-024</v>
      </c>
    </row>
    <row r="557" spans="1:7" x14ac:dyDescent="0.35">
      <c r="A557" s="10" t="s">
        <v>6702</v>
      </c>
      <c r="B557" s="12" t="s">
        <v>5587</v>
      </c>
      <c r="C557" s="11">
        <v>45698</v>
      </c>
      <c r="D557" s="12">
        <v>4</v>
      </c>
      <c r="E557" s="12">
        <v>6</v>
      </c>
      <c r="F557" s="13" t="s">
        <v>8363</v>
      </c>
      <c r="G557" t="str">
        <f>IFERROR(INDEX(Ticket!$B$2:$B$6001,MATCH(B557,Ticket!$A$2:$A$6001,0)),"Ticket introuvable")</f>
        <v>AG-023</v>
      </c>
    </row>
    <row r="558" spans="1:7" x14ac:dyDescent="0.35">
      <c r="A558" s="6" t="s">
        <v>6703</v>
      </c>
      <c r="B558" s="8" t="s">
        <v>5756</v>
      </c>
      <c r="C558" s="7">
        <v>45667</v>
      </c>
      <c r="D558" s="8">
        <v>4</v>
      </c>
      <c r="E558" s="8">
        <v>8</v>
      </c>
      <c r="F558" s="9" t="s">
        <v>6160</v>
      </c>
      <c r="G558" t="str">
        <f>IFERROR(INDEX(Ticket!$B$2:$B$6001,MATCH(B558,Ticket!$A$2:$A$6001,0)),"Ticket introuvable")</f>
        <v>AG-029</v>
      </c>
    </row>
    <row r="559" spans="1:7" x14ac:dyDescent="0.35">
      <c r="A559" s="10" t="s">
        <v>6704</v>
      </c>
      <c r="B559" s="12" t="s">
        <v>650</v>
      </c>
      <c r="C559" s="11">
        <v>45802</v>
      </c>
      <c r="D559" s="12">
        <v>4</v>
      </c>
      <c r="E559" s="12">
        <v>0</v>
      </c>
      <c r="F559" s="13" t="s">
        <v>8363</v>
      </c>
      <c r="G559" t="str">
        <f>IFERROR(INDEX(Ticket!$B$2:$B$6001,MATCH(B559,Ticket!$A$2:$A$6001,0)),"Ticket introuvable")</f>
        <v>AG-022</v>
      </c>
    </row>
    <row r="560" spans="1:7" x14ac:dyDescent="0.35">
      <c r="A560" s="6" t="s">
        <v>6705</v>
      </c>
      <c r="B560" s="8" t="s">
        <v>881</v>
      </c>
      <c r="C560" s="7">
        <v>46002</v>
      </c>
      <c r="D560" s="8"/>
      <c r="E560" s="8">
        <v>7</v>
      </c>
      <c r="F560" s="9" t="s">
        <v>6142</v>
      </c>
      <c r="G560" t="str">
        <f>IFERROR(INDEX(Ticket!$B$2:$B$6001,MATCH(B560,Ticket!$A$2:$A$6001,0)),"Ticket introuvable")</f>
        <v>AG-006</v>
      </c>
    </row>
    <row r="561" spans="1:7" x14ac:dyDescent="0.35">
      <c r="A561" s="10" t="s">
        <v>6706</v>
      </c>
      <c r="B561" s="12" t="s">
        <v>261</v>
      </c>
      <c r="C561" s="11">
        <v>45916</v>
      </c>
      <c r="D561" s="12">
        <v>4</v>
      </c>
      <c r="E561" s="12">
        <v>6</v>
      </c>
      <c r="F561" s="13" t="s">
        <v>6160</v>
      </c>
      <c r="G561" t="str">
        <f>IFERROR(INDEX(Ticket!$B$2:$B$6001,MATCH(B561,Ticket!$A$2:$A$6001,0)),"Ticket introuvable")</f>
        <v>AG-026</v>
      </c>
    </row>
    <row r="562" spans="1:7" x14ac:dyDescent="0.35">
      <c r="A562" s="6" t="s">
        <v>6707</v>
      </c>
      <c r="B562" s="8" t="s">
        <v>5640</v>
      </c>
      <c r="C562" s="7">
        <v>45752</v>
      </c>
      <c r="D562" s="8">
        <v>5</v>
      </c>
      <c r="E562" s="8">
        <v>1</v>
      </c>
      <c r="F562" s="9" t="s">
        <v>6160</v>
      </c>
      <c r="G562" t="str">
        <f>IFERROR(INDEX(Ticket!$B$2:$B$6001,MATCH(B562,Ticket!$A$2:$A$6001,0)),"Ticket introuvable")</f>
        <v>AG-017</v>
      </c>
    </row>
    <row r="563" spans="1:7" x14ac:dyDescent="0.35">
      <c r="A563" s="10" t="s">
        <v>6708</v>
      </c>
      <c r="B563" s="12" t="s">
        <v>4064</v>
      </c>
      <c r="C563" s="11">
        <v>45872</v>
      </c>
      <c r="D563" s="12">
        <v>5</v>
      </c>
      <c r="E563" s="12"/>
      <c r="F563" s="13" t="s">
        <v>6153</v>
      </c>
      <c r="G563" t="str">
        <f>IFERROR(INDEX(Ticket!$B$2:$B$6001,MATCH(B563,Ticket!$A$2:$A$6001,0)),"Ticket introuvable")</f>
        <v>AG-038</v>
      </c>
    </row>
    <row r="564" spans="1:7" x14ac:dyDescent="0.35">
      <c r="A564" s="6" t="s">
        <v>6709</v>
      </c>
      <c r="B564" s="8" t="s">
        <v>5618</v>
      </c>
      <c r="C564" s="7">
        <v>45906</v>
      </c>
      <c r="D564" s="8">
        <v>5</v>
      </c>
      <c r="E564" s="8">
        <v>4</v>
      </c>
      <c r="F564" s="9" t="s">
        <v>75</v>
      </c>
      <c r="G564" t="str">
        <f>IFERROR(INDEX(Ticket!$B$2:$B$6001,MATCH(B564,Ticket!$A$2:$A$6001,0)),"Ticket introuvable")</f>
        <v>AG-024</v>
      </c>
    </row>
    <row r="565" spans="1:7" x14ac:dyDescent="0.35">
      <c r="A565" s="10" t="s">
        <v>6710</v>
      </c>
      <c r="B565" s="12" t="s">
        <v>2515</v>
      </c>
      <c r="C565" s="11">
        <v>45793</v>
      </c>
      <c r="D565" s="12">
        <v>4</v>
      </c>
      <c r="E565" s="12">
        <v>9</v>
      </c>
      <c r="F565" s="13" t="s">
        <v>6160</v>
      </c>
      <c r="G565" t="str">
        <f>IFERROR(INDEX(Ticket!$B$2:$B$6001,MATCH(B565,Ticket!$A$2:$A$6001,0)),"Ticket introuvable")</f>
        <v>AG-023</v>
      </c>
    </row>
    <row r="566" spans="1:7" x14ac:dyDescent="0.35">
      <c r="A566" s="6" t="s">
        <v>6711</v>
      </c>
      <c r="B566" s="8" t="s">
        <v>3423</v>
      </c>
      <c r="C566" s="7">
        <v>45890</v>
      </c>
      <c r="D566" s="8">
        <v>4</v>
      </c>
      <c r="E566" s="8">
        <v>6</v>
      </c>
      <c r="F566" s="9" t="s">
        <v>75</v>
      </c>
      <c r="G566" t="str">
        <f>IFERROR(INDEX(Ticket!$B$2:$B$6001,MATCH(B566,Ticket!$A$2:$A$6001,0)),"Ticket introuvable")</f>
        <v>AG-012</v>
      </c>
    </row>
    <row r="567" spans="1:7" x14ac:dyDescent="0.35">
      <c r="A567" s="10" t="s">
        <v>6712</v>
      </c>
      <c r="B567" s="12" t="s">
        <v>5619</v>
      </c>
      <c r="C567" s="11">
        <v>45896</v>
      </c>
      <c r="D567" s="12">
        <v>2</v>
      </c>
      <c r="E567" s="12">
        <v>8</v>
      </c>
      <c r="F567" s="13" t="s">
        <v>6160</v>
      </c>
      <c r="G567" t="str">
        <f>IFERROR(INDEX(Ticket!$B$2:$B$6001,MATCH(B567,Ticket!$A$2:$A$6001,0)),"Ticket introuvable")</f>
        <v>AG-039</v>
      </c>
    </row>
    <row r="568" spans="1:7" x14ac:dyDescent="0.35">
      <c r="A568" s="6" t="s">
        <v>6713</v>
      </c>
      <c r="B568" s="8" t="s">
        <v>2292</v>
      </c>
      <c r="C568" s="7">
        <v>45735</v>
      </c>
      <c r="D568" s="8"/>
      <c r="E568" s="8">
        <v>6</v>
      </c>
      <c r="F568" s="9" t="s">
        <v>75</v>
      </c>
      <c r="G568" t="str">
        <f>IFERROR(INDEX(Ticket!$B$2:$B$6001,MATCH(B568,Ticket!$A$2:$A$6001,0)),"Ticket introuvable")</f>
        <v>AG-010</v>
      </c>
    </row>
    <row r="569" spans="1:7" x14ac:dyDescent="0.35">
      <c r="A569" s="10" t="s">
        <v>6714</v>
      </c>
      <c r="B569" s="12" t="s">
        <v>4026</v>
      </c>
      <c r="C569" s="11">
        <v>45660</v>
      </c>
      <c r="D569" s="12">
        <v>5</v>
      </c>
      <c r="E569" s="12">
        <v>10</v>
      </c>
      <c r="F569" s="13" t="s">
        <v>6142</v>
      </c>
      <c r="G569" t="str">
        <f>IFERROR(INDEX(Ticket!$B$2:$B$6001,MATCH(B569,Ticket!$A$2:$A$6001,0)),"Ticket introuvable")</f>
        <v>AG-025</v>
      </c>
    </row>
    <row r="570" spans="1:7" x14ac:dyDescent="0.35">
      <c r="A570" s="6" t="s">
        <v>6715</v>
      </c>
      <c r="B570" s="8" t="s">
        <v>800</v>
      </c>
      <c r="C570" s="7">
        <v>45802</v>
      </c>
      <c r="D570" s="8">
        <v>5</v>
      </c>
      <c r="E570" s="8">
        <v>7</v>
      </c>
      <c r="F570" s="9" t="s">
        <v>6160</v>
      </c>
      <c r="G570" t="str">
        <f>IFERROR(INDEX(Ticket!$B$2:$B$6001,MATCH(B570,Ticket!$A$2:$A$6001,0)),"Ticket introuvable")</f>
        <v>AG-037</v>
      </c>
    </row>
    <row r="571" spans="1:7" x14ac:dyDescent="0.35">
      <c r="A571" s="10" t="s">
        <v>6716</v>
      </c>
      <c r="B571" s="12" t="s">
        <v>4009</v>
      </c>
      <c r="C571" s="11">
        <v>45760</v>
      </c>
      <c r="D571" s="12">
        <v>5</v>
      </c>
      <c r="E571" s="12">
        <v>9</v>
      </c>
      <c r="F571" s="13" t="s">
        <v>75</v>
      </c>
      <c r="G571" t="str">
        <f>IFERROR(INDEX(Ticket!$B$2:$B$6001,MATCH(B571,Ticket!$A$2:$A$6001,0)),"Ticket introuvable")</f>
        <v>AG-036</v>
      </c>
    </row>
    <row r="572" spans="1:7" x14ac:dyDescent="0.35">
      <c r="A572" s="6" t="s">
        <v>6717</v>
      </c>
      <c r="B572" s="8" t="s">
        <v>2001</v>
      </c>
      <c r="C572" s="7">
        <v>45951</v>
      </c>
      <c r="D572" s="8">
        <v>2</v>
      </c>
      <c r="E572" s="8">
        <v>9</v>
      </c>
      <c r="F572" s="9" t="s">
        <v>8363</v>
      </c>
      <c r="G572" t="str">
        <f>IFERROR(INDEX(Ticket!$B$2:$B$6001,MATCH(B572,Ticket!$A$2:$A$6001,0)),"Ticket introuvable")</f>
        <v>AG-038</v>
      </c>
    </row>
    <row r="573" spans="1:7" x14ac:dyDescent="0.35">
      <c r="A573" s="10" t="s">
        <v>6718</v>
      </c>
      <c r="B573" s="12" t="s">
        <v>5477</v>
      </c>
      <c r="C573" s="11">
        <v>45917</v>
      </c>
      <c r="D573" s="12">
        <v>4</v>
      </c>
      <c r="E573" s="12">
        <v>9</v>
      </c>
      <c r="F573" s="13" t="s">
        <v>6142</v>
      </c>
      <c r="G573" t="str">
        <f>IFERROR(INDEX(Ticket!$B$2:$B$6001,MATCH(B573,Ticket!$A$2:$A$6001,0)),"Ticket introuvable")</f>
        <v>AG-027</v>
      </c>
    </row>
    <row r="574" spans="1:7" x14ac:dyDescent="0.35">
      <c r="A574" s="6" t="s">
        <v>6719</v>
      </c>
      <c r="B574" s="8" t="s">
        <v>4147</v>
      </c>
      <c r="C574" s="7">
        <v>45758</v>
      </c>
      <c r="D574" s="8">
        <v>3</v>
      </c>
      <c r="E574" s="8">
        <v>10</v>
      </c>
      <c r="F574" s="9" t="s">
        <v>6148</v>
      </c>
      <c r="G574" t="str">
        <f>IFERROR(INDEX(Ticket!$B$2:$B$6001,MATCH(B574,Ticket!$A$2:$A$6001,0)),"Ticket introuvable")</f>
        <v>AG-003</v>
      </c>
    </row>
    <row r="575" spans="1:7" x14ac:dyDescent="0.35">
      <c r="A575" s="10" t="s">
        <v>6720</v>
      </c>
      <c r="B575" s="12" t="s">
        <v>5284</v>
      </c>
      <c r="C575" s="11">
        <v>45797</v>
      </c>
      <c r="D575" s="12">
        <v>4</v>
      </c>
      <c r="E575" s="12">
        <v>9</v>
      </c>
      <c r="F575" s="13" t="s">
        <v>6160</v>
      </c>
      <c r="G575" t="str">
        <f>IFERROR(INDEX(Ticket!$B$2:$B$6001,MATCH(B575,Ticket!$A$2:$A$6001,0)),"Ticket introuvable")</f>
        <v>AG-038</v>
      </c>
    </row>
    <row r="576" spans="1:7" x14ac:dyDescent="0.35">
      <c r="A576" s="6" t="s">
        <v>6721</v>
      </c>
      <c r="B576" s="8" t="s">
        <v>3207</v>
      </c>
      <c r="C576" s="7">
        <v>45758</v>
      </c>
      <c r="D576" s="8">
        <v>5</v>
      </c>
      <c r="E576" s="8">
        <v>9</v>
      </c>
      <c r="F576" s="9" t="s">
        <v>6142</v>
      </c>
      <c r="G576" t="str">
        <f>IFERROR(INDEX(Ticket!$B$2:$B$6001,MATCH(B576,Ticket!$A$2:$A$6001,0)),"Ticket introuvable")</f>
        <v>AG-037</v>
      </c>
    </row>
    <row r="577" spans="1:7" x14ac:dyDescent="0.35">
      <c r="A577" s="10" t="s">
        <v>6722</v>
      </c>
      <c r="B577" s="12" t="s">
        <v>3069</v>
      </c>
      <c r="C577" s="11">
        <v>45827</v>
      </c>
      <c r="D577" s="12">
        <v>4</v>
      </c>
      <c r="E577" s="12">
        <v>9</v>
      </c>
      <c r="F577" s="13" t="s">
        <v>8363</v>
      </c>
      <c r="G577" t="str">
        <f>IFERROR(INDEX(Ticket!$B$2:$B$6001,MATCH(B577,Ticket!$A$2:$A$6001,0)),"Ticket introuvable")</f>
        <v>AG-039</v>
      </c>
    </row>
    <row r="578" spans="1:7" x14ac:dyDescent="0.35">
      <c r="A578" s="6" t="s">
        <v>6723</v>
      </c>
      <c r="B578" s="8" t="s">
        <v>2322</v>
      </c>
      <c r="C578" s="7">
        <v>45762</v>
      </c>
      <c r="D578" s="8">
        <v>5</v>
      </c>
      <c r="E578" s="8">
        <v>4</v>
      </c>
      <c r="F578" s="9" t="s">
        <v>6142</v>
      </c>
      <c r="G578" t="str">
        <f>IFERROR(INDEX(Ticket!$B$2:$B$6001,MATCH(B578,Ticket!$A$2:$A$6001,0)),"Ticket introuvable")</f>
        <v>AG-029</v>
      </c>
    </row>
    <row r="579" spans="1:7" x14ac:dyDescent="0.35">
      <c r="A579" s="10" t="s">
        <v>6724</v>
      </c>
      <c r="B579" s="12" t="s">
        <v>921</v>
      </c>
      <c r="C579" s="11">
        <v>45947</v>
      </c>
      <c r="D579" s="12">
        <v>3</v>
      </c>
      <c r="E579" s="12">
        <v>6</v>
      </c>
      <c r="F579" s="13" t="s">
        <v>8363</v>
      </c>
      <c r="G579" t="str">
        <f>IFERROR(INDEX(Ticket!$B$2:$B$6001,MATCH(B579,Ticket!$A$2:$A$6001,0)),"Ticket introuvable")</f>
        <v>AG-011</v>
      </c>
    </row>
    <row r="580" spans="1:7" x14ac:dyDescent="0.35">
      <c r="A580" s="6" t="s">
        <v>6725</v>
      </c>
      <c r="B580" s="8" t="s">
        <v>4821</v>
      </c>
      <c r="C580" s="7">
        <v>45764</v>
      </c>
      <c r="D580" s="8">
        <v>1</v>
      </c>
      <c r="E580" s="8">
        <v>8</v>
      </c>
      <c r="F580" s="9" t="s">
        <v>6160</v>
      </c>
      <c r="G580" t="str">
        <f>IFERROR(INDEX(Ticket!$B$2:$B$6001,MATCH(B580,Ticket!$A$2:$A$6001,0)),"Ticket introuvable")</f>
        <v>AG-016</v>
      </c>
    </row>
    <row r="581" spans="1:7" x14ac:dyDescent="0.35">
      <c r="A581" s="10" t="s">
        <v>6726</v>
      </c>
      <c r="B581" s="12" t="s">
        <v>2943</v>
      </c>
      <c r="C581" s="11">
        <v>45782</v>
      </c>
      <c r="D581" s="12">
        <v>4</v>
      </c>
      <c r="E581" s="12">
        <v>9</v>
      </c>
      <c r="F581" s="13" t="s">
        <v>6153</v>
      </c>
      <c r="G581" t="str">
        <f>IFERROR(INDEX(Ticket!$B$2:$B$6001,MATCH(B581,Ticket!$A$2:$A$6001,0)),"Ticket introuvable")</f>
        <v>AG-008</v>
      </c>
    </row>
    <row r="582" spans="1:7" x14ac:dyDescent="0.35">
      <c r="A582" s="6" t="s">
        <v>6727</v>
      </c>
      <c r="B582" s="8" t="s">
        <v>1030</v>
      </c>
      <c r="C582" s="7">
        <v>45989</v>
      </c>
      <c r="D582" s="8">
        <v>1</v>
      </c>
      <c r="E582" s="8">
        <v>5</v>
      </c>
      <c r="F582" s="9" t="s">
        <v>8363</v>
      </c>
      <c r="G582" t="str">
        <f>IFERROR(INDEX(Ticket!$B$2:$B$6001,MATCH(B582,Ticket!$A$2:$A$6001,0)),"Ticket introuvable")</f>
        <v>AG-034</v>
      </c>
    </row>
    <row r="583" spans="1:7" x14ac:dyDescent="0.35">
      <c r="A583" s="10" t="s">
        <v>6728</v>
      </c>
      <c r="B583" s="12" t="s">
        <v>539</v>
      </c>
      <c r="C583" s="11">
        <v>45874</v>
      </c>
      <c r="D583" s="12">
        <v>5</v>
      </c>
      <c r="E583" s="12">
        <v>8</v>
      </c>
      <c r="F583" s="13" t="s">
        <v>6153</v>
      </c>
      <c r="G583" t="str">
        <f>IFERROR(INDEX(Ticket!$B$2:$B$6001,MATCH(B583,Ticket!$A$2:$A$6001,0)),"Ticket introuvable")</f>
        <v>AG-037</v>
      </c>
    </row>
    <row r="584" spans="1:7" x14ac:dyDescent="0.35">
      <c r="A584" s="6" t="s">
        <v>6729</v>
      </c>
      <c r="B584" s="8" t="s">
        <v>1489</v>
      </c>
      <c r="C584" s="7">
        <v>45820</v>
      </c>
      <c r="D584" s="8">
        <v>5</v>
      </c>
      <c r="E584" s="8">
        <v>10</v>
      </c>
      <c r="F584" s="9" t="s">
        <v>75</v>
      </c>
      <c r="G584" t="str">
        <f>IFERROR(INDEX(Ticket!$B$2:$B$6001,MATCH(B584,Ticket!$A$2:$A$6001,0)),"Ticket introuvable")</f>
        <v>AG-018</v>
      </c>
    </row>
    <row r="585" spans="1:7" x14ac:dyDescent="0.35">
      <c r="A585" s="10" t="s">
        <v>6730</v>
      </c>
      <c r="B585" s="12" t="s">
        <v>6731</v>
      </c>
      <c r="C585" s="11">
        <v>45671</v>
      </c>
      <c r="D585" s="12">
        <v>5</v>
      </c>
      <c r="E585" s="12">
        <v>6</v>
      </c>
      <c r="F585" s="13" t="s">
        <v>75</v>
      </c>
      <c r="G585" t="str">
        <f>IFERROR(INDEX(Ticket!$B$2:$B$6001,MATCH(B585,Ticket!$A$2:$A$6001,0)),"Ticket introuvable")</f>
        <v>Ticket introuvable</v>
      </c>
    </row>
    <row r="586" spans="1:7" x14ac:dyDescent="0.35">
      <c r="A586" s="6" t="s">
        <v>6732</v>
      </c>
      <c r="B586" s="8" t="s">
        <v>2432</v>
      </c>
      <c r="C586" s="7">
        <v>45904</v>
      </c>
      <c r="D586" s="8">
        <v>5</v>
      </c>
      <c r="E586" s="8">
        <v>9</v>
      </c>
      <c r="F586" s="9" t="s">
        <v>8363</v>
      </c>
      <c r="G586" t="str">
        <f>IFERROR(INDEX(Ticket!$B$2:$B$6001,MATCH(B586,Ticket!$A$2:$A$6001,0)),"Ticket introuvable")</f>
        <v>AG-023</v>
      </c>
    </row>
    <row r="587" spans="1:7" x14ac:dyDescent="0.35">
      <c r="A587" s="10" t="s">
        <v>6733</v>
      </c>
      <c r="B587" s="12" t="s">
        <v>4844</v>
      </c>
      <c r="C587" s="11">
        <v>45750</v>
      </c>
      <c r="D587" s="12">
        <v>5</v>
      </c>
      <c r="E587" s="12">
        <v>8</v>
      </c>
      <c r="F587" s="13" t="s">
        <v>6148</v>
      </c>
      <c r="G587" t="str">
        <f>IFERROR(INDEX(Ticket!$B$2:$B$6001,MATCH(B587,Ticket!$A$2:$A$6001,0)),"Ticket introuvable")</f>
        <v>AG-005</v>
      </c>
    </row>
    <row r="588" spans="1:7" x14ac:dyDescent="0.35">
      <c r="A588" s="6" t="s">
        <v>6734</v>
      </c>
      <c r="B588" s="8" t="s">
        <v>4946</v>
      </c>
      <c r="C588" s="7">
        <v>45908</v>
      </c>
      <c r="D588" s="8">
        <v>2</v>
      </c>
      <c r="E588" s="8">
        <v>1</v>
      </c>
      <c r="F588" s="9" t="s">
        <v>6153</v>
      </c>
      <c r="G588" t="str">
        <f>IFERROR(INDEX(Ticket!$B$2:$B$6001,MATCH(B588,Ticket!$A$2:$A$6001,0)),"Ticket introuvable")</f>
        <v>AG-020</v>
      </c>
    </row>
    <row r="589" spans="1:7" x14ac:dyDescent="0.35">
      <c r="A589" s="10" t="s">
        <v>6735</v>
      </c>
      <c r="B589" s="12" t="s">
        <v>1052</v>
      </c>
      <c r="C589" s="11">
        <v>45918</v>
      </c>
      <c r="D589" s="12">
        <v>4</v>
      </c>
      <c r="E589" s="12">
        <v>7</v>
      </c>
      <c r="F589" s="13" t="s">
        <v>8363</v>
      </c>
      <c r="G589" t="str">
        <f>IFERROR(INDEX(Ticket!$B$2:$B$6001,MATCH(B589,Ticket!$A$2:$A$6001,0)),"Ticket introuvable")</f>
        <v>AG-036</v>
      </c>
    </row>
    <row r="590" spans="1:7" x14ac:dyDescent="0.35">
      <c r="A590" s="6" t="s">
        <v>6736</v>
      </c>
      <c r="B590" s="8" t="s">
        <v>4725</v>
      </c>
      <c r="C590" s="7">
        <v>45713</v>
      </c>
      <c r="D590" s="8">
        <v>4</v>
      </c>
      <c r="E590" s="8">
        <v>9</v>
      </c>
      <c r="F590" s="9" t="s">
        <v>6142</v>
      </c>
      <c r="G590" t="str">
        <f>IFERROR(INDEX(Ticket!$B$2:$B$6001,MATCH(B590,Ticket!$A$2:$A$6001,0)),"Ticket introuvable")</f>
        <v>AG-034</v>
      </c>
    </row>
    <row r="591" spans="1:7" x14ac:dyDescent="0.35">
      <c r="A591" s="10" t="s">
        <v>6737</v>
      </c>
      <c r="B591" s="12" t="s">
        <v>3540</v>
      </c>
      <c r="C591" s="11">
        <v>45979</v>
      </c>
      <c r="D591" s="12">
        <v>4</v>
      </c>
      <c r="E591" s="12">
        <v>8</v>
      </c>
      <c r="F591" s="13" t="s">
        <v>6142</v>
      </c>
      <c r="G591" t="str">
        <f>IFERROR(INDEX(Ticket!$B$2:$B$6001,MATCH(B591,Ticket!$A$2:$A$6001,0)),"Ticket introuvable")</f>
        <v>AG-025</v>
      </c>
    </row>
    <row r="592" spans="1:7" x14ac:dyDescent="0.35">
      <c r="A592" s="6" t="s">
        <v>6738</v>
      </c>
      <c r="B592" s="8" t="s">
        <v>4106</v>
      </c>
      <c r="C592" s="7">
        <v>45671</v>
      </c>
      <c r="D592" s="8"/>
      <c r="E592" s="8">
        <v>8</v>
      </c>
      <c r="F592" s="9" t="s">
        <v>6142</v>
      </c>
      <c r="G592" t="str">
        <f>IFERROR(INDEX(Ticket!$B$2:$B$6001,MATCH(B592,Ticket!$A$2:$A$6001,0)),"Ticket introuvable")</f>
        <v>AG-007</v>
      </c>
    </row>
    <row r="593" spans="1:7" x14ac:dyDescent="0.35">
      <c r="A593" s="10" t="s">
        <v>6739</v>
      </c>
      <c r="B593" s="12" t="s">
        <v>658</v>
      </c>
      <c r="C593" s="11">
        <v>45997</v>
      </c>
      <c r="D593" s="12">
        <v>4</v>
      </c>
      <c r="E593" s="12">
        <v>7</v>
      </c>
      <c r="F593" s="13" t="s">
        <v>8363</v>
      </c>
      <c r="G593" t="str">
        <f>IFERROR(INDEX(Ticket!$B$2:$B$6001,MATCH(B593,Ticket!$A$2:$A$6001,0)),"Ticket introuvable")</f>
        <v>AG-012</v>
      </c>
    </row>
    <row r="594" spans="1:7" x14ac:dyDescent="0.35">
      <c r="A594" s="6" t="s">
        <v>6740</v>
      </c>
      <c r="B594" s="8" t="s">
        <v>491</v>
      </c>
      <c r="C594" s="7">
        <v>45849</v>
      </c>
      <c r="D594" s="8">
        <v>4</v>
      </c>
      <c r="E594" s="8">
        <v>10</v>
      </c>
      <c r="F594" s="9" t="s">
        <v>6160</v>
      </c>
      <c r="G594" t="str">
        <f>IFERROR(INDEX(Ticket!$B$2:$B$6001,MATCH(B594,Ticket!$A$2:$A$6001,0)),"Ticket introuvable")</f>
        <v>AG-029</v>
      </c>
    </row>
    <row r="595" spans="1:7" x14ac:dyDescent="0.35">
      <c r="A595" s="10" t="s">
        <v>6741</v>
      </c>
      <c r="B595" s="12" t="s">
        <v>2093</v>
      </c>
      <c r="C595" s="11">
        <v>46002</v>
      </c>
      <c r="D595" s="12">
        <v>1</v>
      </c>
      <c r="E595" s="12">
        <v>3</v>
      </c>
      <c r="F595" s="13" t="s">
        <v>8363</v>
      </c>
      <c r="G595" t="str">
        <f>IFERROR(INDEX(Ticket!$B$2:$B$6001,MATCH(B595,Ticket!$A$2:$A$6001,0)),"Ticket introuvable")</f>
        <v>AG-033</v>
      </c>
    </row>
    <row r="596" spans="1:7" x14ac:dyDescent="0.35">
      <c r="A596" s="6" t="s">
        <v>6742</v>
      </c>
      <c r="B596" s="8" t="s">
        <v>3894</v>
      </c>
      <c r="C596" s="7">
        <v>45903</v>
      </c>
      <c r="D596" s="8"/>
      <c r="E596" s="8">
        <v>8</v>
      </c>
      <c r="F596" s="9" t="s">
        <v>8363</v>
      </c>
      <c r="G596" t="str">
        <f>IFERROR(INDEX(Ticket!$B$2:$B$6001,MATCH(B596,Ticket!$A$2:$A$6001,0)),"Ticket introuvable")</f>
        <v>AG-032</v>
      </c>
    </row>
    <row r="597" spans="1:7" x14ac:dyDescent="0.35">
      <c r="A597" s="10" t="s">
        <v>6743</v>
      </c>
      <c r="B597" s="12" t="s">
        <v>5148</v>
      </c>
      <c r="C597" s="11">
        <v>45816</v>
      </c>
      <c r="D597" s="12">
        <v>5</v>
      </c>
      <c r="E597" s="12">
        <v>9</v>
      </c>
      <c r="F597" s="13" t="s">
        <v>75</v>
      </c>
      <c r="G597" t="str">
        <f>IFERROR(INDEX(Ticket!$B$2:$B$6001,MATCH(B597,Ticket!$A$2:$A$6001,0)),"Ticket introuvable")</f>
        <v>AG-029</v>
      </c>
    </row>
    <row r="598" spans="1:7" x14ac:dyDescent="0.35">
      <c r="A598" s="6" t="s">
        <v>6744</v>
      </c>
      <c r="B598" s="8" t="s">
        <v>4617</v>
      </c>
      <c r="C598" s="7">
        <v>45784</v>
      </c>
      <c r="D598" s="8">
        <v>5</v>
      </c>
      <c r="E598" s="8">
        <v>9</v>
      </c>
      <c r="F598" s="9" t="s">
        <v>75</v>
      </c>
      <c r="G598" t="str">
        <f>IFERROR(INDEX(Ticket!$B$2:$B$6001,MATCH(B598,Ticket!$A$2:$A$6001,0)),"Ticket introuvable")</f>
        <v>AG-005</v>
      </c>
    </row>
    <row r="599" spans="1:7" x14ac:dyDescent="0.35">
      <c r="A599" s="10" t="s">
        <v>6745</v>
      </c>
      <c r="B599" s="12" t="s">
        <v>1032</v>
      </c>
      <c r="C599" s="11">
        <v>45767</v>
      </c>
      <c r="D599" s="12">
        <v>1</v>
      </c>
      <c r="E599" s="12">
        <v>9</v>
      </c>
      <c r="F599" s="13" t="s">
        <v>8363</v>
      </c>
      <c r="G599" t="str">
        <f>IFERROR(INDEX(Ticket!$B$2:$B$6001,MATCH(B599,Ticket!$A$2:$A$6001,0)),"Ticket introuvable")</f>
        <v>AG-007</v>
      </c>
    </row>
    <row r="600" spans="1:7" x14ac:dyDescent="0.35">
      <c r="A600" s="6" t="s">
        <v>6746</v>
      </c>
      <c r="B600" s="8" t="s">
        <v>5909</v>
      </c>
      <c r="C600" s="7">
        <v>45963</v>
      </c>
      <c r="D600" s="8">
        <v>4</v>
      </c>
      <c r="E600" s="8">
        <v>7</v>
      </c>
      <c r="F600" s="9" t="s">
        <v>6142</v>
      </c>
      <c r="G600" t="str">
        <f>IFERROR(INDEX(Ticket!$B$2:$B$6001,MATCH(B600,Ticket!$A$2:$A$6001,0)),"Ticket introuvable")</f>
        <v>AG-024</v>
      </c>
    </row>
    <row r="601" spans="1:7" x14ac:dyDescent="0.35">
      <c r="A601" s="10" t="s">
        <v>6747</v>
      </c>
      <c r="B601" s="12" t="s">
        <v>3189</v>
      </c>
      <c r="C601" s="11">
        <v>45922</v>
      </c>
      <c r="D601" s="12">
        <v>3</v>
      </c>
      <c r="E601" s="12">
        <v>8</v>
      </c>
      <c r="F601" s="13" t="s">
        <v>8363</v>
      </c>
      <c r="G601" t="str">
        <f>IFERROR(INDEX(Ticket!$B$2:$B$6001,MATCH(B601,Ticket!$A$2:$A$6001,0)),"Ticket introuvable")</f>
        <v>AG-016</v>
      </c>
    </row>
    <row r="602" spans="1:7" x14ac:dyDescent="0.35">
      <c r="A602" s="6" t="s">
        <v>6748</v>
      </c>
      <c r="B602" s="8" t="s">
        <v>5375</v>
      </c>
      <c r="C602" s="7">
        <v>45997</v>
      </c>
      <c r="D602" s="8">
        <v>2</v>
      </c>
      <c r="E602" s="8">
        <v>8</v>
      </c>
      <c r="F602" s="9" t="s">
        <v>6160</v>
      </c>
      <c r="G602" t="str">
        <f>IFERROR(INDEX(Ticket!$B$2:$B$6001,MATCH(B602,Ticket!$A$2:$A$6001,0)),"Ticket introuvable")</f>
        <v>AG-031</v>
      </c>
    </row>
    <row r="603" spans="1:7" x14ac:dyDescent="0.35">
      <c r="A603" s="10" t="s">
        <v>6749</v>
      </c>
      <c r="B603" s="12" t="s">
        <v>2869</v>
      </c>
      <c r="C603" s="11">
        <v>45988</v>
      </c>
      <c r="D603" s="12">
        <v>4</v>
      </c>
      <c r="E603" s="12">
        <v>1</v>
      </c>
      <c r="F603" s="13" t="s">
        <v>8363</v>
      </c>
      <c r="G603" t="str">
        <f>IFERROR(INDEX(Ticket!$B$2:$B$6001,MATCH(B603,Ticket!$A$2:$A$6001,0)),"Ticket introuvable")</f>
        <v>AG-025</v>
      </c>
    </row>
    <row r="604" spans="1:7" x14ac:dyDescent="0.35">
      <c r="A604" s="6" t="s">
        <v>6750</v>
      </c>
      <c r="B604" s="8" t="s">
        <v>170</v>
      </c>
      <c r="C604" s="7">
        <v>45831</v>
      </c>
      <c r="D604" s="8">
        <v>5</v>
      </c>
      <c r="E604" s="8">
        <v>8</v>
      </c>
      <c r="F604" s="9" t="s">
        <v>8363</v>
      </c>
      <c r="G604" t="str">
        <f>IFERROR(INDEX(Ticket!$B$2:$B$6001,MATCH(B604,Ticket!$A$2:$A$6001,0)),"Ticket introuvable")</f>
        <v>AG-026</v>
      </c>
    </row>
    <row r="605" spans="1:7" x14ac:dyDescent="0.35">
      <c r="A605" s="10" t="s">
        <v>6751</v>
      </c>
      <c r="B605" s="12" t="s">
        <v>464</v>
      </c>
      <c r="C605" s="11">
        <v>45728</v>
      </c>
      <c r="D605" s="12">
        <v>5</v>
      </c>
      <c r="E605" s="12">
        <v>7</v>
      </c>
      <c r="F605" s="13" t="s">
        <v>6142</v>
      </c>
      <c r="G605" t="str">
        <f>IFERROR(INDEX(Ticket!$B$2:$B$6001,MATCH(B605,Ticket!$A$2:$A$6001,0)),"Ticket introuvable")</f>
        <v>AG-013</v>
      </c>
    </row>
    <row r="606" spans="1:7" x14ac:dyDescent="0.35">
      <c r="A606" s="6" t="s">
        <v>6752</v>
      </c>
      <c r="B606" s="8" t="s">
        <v>3338</v>
      </c>
      <c r="C606" s="7">
        <v>45943</v>
      </c>
      <c r="D606" s="8">
        <v>3</v>
      </c>
      <c r="E606" s="8">
        <v>10</v>
      </c>
      <c r="F606" s="9" t="s">
        <v>6160</v>
      </c>
      <c r="G606" t="str">
        <f>IFERROR(INDEX(Ticket!$B$2:$B$6001,MATCH(B606,Ticket!$A$2:$A$6001,0)),"Ticket introuvable")</f>
        <v>AG-010</v>
      </c>
    </row>
    <row r="607" spans="1:7" x14ac:dyDescent="0.35">
      <c r="A607" s="10" t="s">
        <v>6753</v>
      </c>
      <c r="B607" s="12" t="s">
        <v>1240</v>
      </c>
      <c r="C607" s="11">
        <v>45664</v>
      </c>
      <c r="D607" s="12">
        <v>4</v>
      </c>
      <c r="E607" s="12">
        <v>10</v>
      </c>
      <c r="F607" s="13" t="s">
        <v>6160</v>
      </c>
      <c r="G607" t="str">
        <f>IFERROR(INDEX(Ticket!$B$2:$B$6001,MATCH(B607,Ticket!$A$2:$A$6001,0)),"Ticket introuvable")</f>
        <v>AG-027</v>
      </c>
    </row>
    <row r="608" spans="1:7" x14ac:dyDescent="0.35">
      <c r="A608" s="6" t="s">
        <v>6754</v>
      </c>
      <c r="B608" s="8" t="s">
        <v>2470</v>
      </c>
      <c r="C608" s="7">
        <v>45709</v>
      </c>
      <c r="D608" s="8">
        <v>4</v>
      </c>
      <c r="E608" s="8">
        <v>10</v>
      </c>
      <c r="F608" s="9" t="s">
        <v>8363</v>
      </c>
      <c r="G608" t="str">
        <f>IFERROR(INDEX(Ticket!$B$2:$B$6001,MATCH(B608,Ticket!$A$2:$A$6001,0)),"Ticket introuvable")</f>
        <v>AG-021</v>
      </c>
    </row>
    <row r="609" spans="1:7" x14ac:dyDescent="0.35">
      <c r="A609" s="10" t="s">
        <v>6755</v>
      </c>
      <c r="B609" s="12" t="s">
        <v>3477</v>
      </c>
      <c r="C609" s="11">
        <v>45931</v>
      </c>
      <c r="D609" s="12">
        <v>4</v>
      </c>
      <c r="E609" s="12">
        <v>10</v>
      </c>
      <c r="F609" s="13" t="s">
        <v>8363</v>
      </c>
      <c r="G609" t="str">
        <f>IFERROR(INDEX(Ticket!$B$2:$B$6001,MATCH(B609,Ticket!$A$2:$A$6001,0)),"Ticket introuvable")</f>
        <v>AG-008</v>
      </c>
    </row>
    <row r="610" spans="1:7" x14ac:dyDescent="0.35">
      <c r="A610" s="6" t="s">
        <v>6756</v>
      </c>
      <c r="B610" s="8" t="s">
        <v>3219</v>
      </c>
      <c r="C610" s="7">
        <v>45798</v>
      </c>
      <c r="D610" s="8">
        <v>5</v>
      </c>
      <c r="E610" s="8">
        <v>8</v>
      </c>
      <c r="F610" s="9" t="s">
        <v>8363</v>
      </c>
      <c r="G610" t="str">
        <f>IFERROR(INDEX(Ticket!$B$2:$B$6001,MATCH(B610,Ticket!$A$2:$A$6001,0)),"Ticket introuvable")</f>
        <v>AG-037</v>
      </c>
    </row>
    <row r="611" spans="1:7" x14ac:dyDescent="0.35">
      <c r="A611" s="10" t="s">
        <v>6757</v>
      </c>
      <c r="B611" s="12" t="s">
        <v>153</v>
      </c>
      <c r="C611" s="11">
        <v>45997</v>
      </c>
      <c r="D611" s="12">
        <v>4</v>
      </c>
      <c r="E611" s="12"/>
      <c r="F611" s="13" t="s">
        <v>6160</v>
      </c>
      <c r="G611" t="str">
        <f>IFERROR(INDEX(Ticket!$B$2:$B$6001,MATCH(B611,Ticket!$A$2:$A$6001,0)),"Ticket introuvable")</f>
        <v>AG-005</v>
      </c>
    </row>
    <row r="612" spans="1:7" x14ac:dyDescent="0.35">
      <c r="A612" s="6" t="s">
        <v>6758</v>
      </c>
      <c r="B612" s="8" t="s">
        <v>4587</v>
      </c>
      <c r="C612" s="7">
        <v>45896</v>
      </c>
      <c r="D612" s="8">
        <v>5</v>
      </c>
      <c r="E612" s="8">
        <v>8</v>
      </c>
      <c r="F612" s="9" t="s">
        <v>75</v>
      </c>
      <c r="G612" t="str">
        <f>IFERROR(INDEX(Ticket!$B$2:$B$6001,MATCH(B612,Ticket!$A$2:$A$6001,0)),"Ticket introuvable")</f>
        <v>AG-007</v>
      </c>
    </row>
    <row r="613" spans="1:7" x14ac:dyDescent="0.35">
      <c r="A613" s="10" t="s">
        <v>6759</v>
      </c>
      <c r="B613" s="12" t="s">
        <v>4738</v>
      </c>
      <c r="C613" s="11">
        <v>45980</v>
      </c>
      <c r="D613" s="12">
        <v>3</v>
      </c>
      <c r="E613" s="12">
        <v>4</v>
      </c>
      <c r="F613" s="13" t="s">
        <v>6142</v>
      </c>
      <c r="G613" t="str">
        <f>IFERROR(INDEX(Ticket!$B$2:$B$6001,MATCH(B613,Ticket!$A$2:$A$6001,0)),"Ticket introuvable")</f>
        <v>AG-016</v>
      </c>
    </row>
    <row r="614" spans="1:7" x14ac:dyDescent="0.35">
      <c r="A614" s="6" t="s">
        <v>6760</v>
      </c>
      <c r="B614" s="8" t="s">
        <v>2781</v>
      </c>
      <c r="C614" s="7">
        <v>45916</v>
      </c>
      <c r="D614" s="8">
        <v>4</v>
      </c>
      <c r="E614" s="8">
        <v>10</v>
      </c>
      <c r="F614" s="9" t="s">
        <v>6148</v>
      </c>
      <c r="G614" t="str">
        <f>IFERROR(INDEX(Ticket!$B$2:$B$6001,MATCH(B614,Ticket!$A$2:$A$6001,0)),"Ticket introuvable")</f>
        <v>AG-018</v>
      </c>
    </row>
    <row r="615" spans="1:7" x14ac:dyDescent="0.35">
      <c r="A615" s="10" t="s">
        <v>6761</v>
      </c>
      <c r="B615" s="12" t="s">
        <v>322</v>
      </c>
      <c r="C615" s="11">
        <v>45669</v>
      </c>
      <c r="D615" s="12">
        <v>4</v>
      </c>
      <c r="E615" s="12">
        <v>6</v>
      </c>
      <c r="F615" s="13" t="s">
        <v>6153</v>
      </c>
      <c r="G615" t="str">
        <f>IFERROR(INDEX(Ticket!$B$2:$B$6001,MATCH(B615,Ticket!$A$2:$A$6001,0)),"Ticket introuvable")</f>
        <v>AG-012</v>
      </c>
    </row>
    <row r="616" spans="1:7" x14ac:dyDescent="0.35">
      <c r="A616" s="6" t="s">
        <v>6762</v>
      </c>
      <c r="B616" s="8" t="s">
        <v>497</v>
      </c>
      <c r="C616" s="7">
        <v>45687</v>
      </c>
      <c r="D616" s="8">
        <v>3</v>
      </c>
      <c r="E616" s="8">
        <v>5</v>
      </c>
      <c r="F616" s="9" t="s">
        <v>8363</v>
      </c>
      <c r="G616" t="str">
        <f>IFERROR(INDEX(Ticket!$B$2:$B$6001,MATCH(B616,Ticket!$A$2:$A$6001,0)),"Ticket introuvable")</f>
        <v>AG-020</v>
      </c>
    </row>
    <row r="617" spans="1:7" x14ac:dyDescent="0.35">
      <c r="A617" s="10" t="s">
        <v>6763</v>
      </c>
      <c r="B617" s="12" t="s">
        <v>5560</v>
      </c>
      <c r="C617" s="11">
        <v>45720</v>
      </c>
      <c r="D617" s="12">
        <v>3</v>
      </c>
      <c r="E617" s="12">
        <v>0</v>
      </c>
      <c r="F617" s="13" t="s">
        <v>8363</v>
      </c>
      <c r="G617" t="str">
        <f>IFERROR(INDEX(Ticket!$B$2:$B$6001,MATCH(B617,Ticket!$A$2:$A$6001,0)),"Ticket introuvable")</f>
        <v>AG-039</v>
      </c>
    </row>
    <row r="618" spans="1:7" x14ac:dyDescent="0.35">
      <c r="A618" s="6" t="s">
        <v>6764</v>
      </c>
      <c r="B618" s="8" t="s">
        <v>294</v>
      </c>
      <c r="C618" s="7">
        <v>45779</v>
      </c>
      <c r="D618" s="8">
        <v>1</v>
      </c>
      <c r="E618" s="8">
        <v>10</v>
      </c>
      <c r="F618" s="9" t="s">
        <v>8363</v>
      </c>
      <c r="G618" t="str">
        <f>IFERROR(INDEX(Ticket!$B$2:$B$6001,MATCH(B618,Ticket!$A$2:$A$6001,0)),"Ticket introuvable")</f>
        <v>AG-027</v>
      </c>
    </row>
    <row r="619" spans="1:7" x14ac:dyDescent="0.35">
      <c r="A619" s="10" t="s">
        <v>6765</v>
      </c>
      <c r="B619" s="12" t="s">
        <v>3995</v>
      </c>
      <c r="C619" s="11">
        <v>45936</v>
      </c>
      <c r="D619" s="12"/>
      <c r="E619" s="12">
        <v>4</v>
      </c>
      <c r="F619" s="13" t="s">
        <v>6142</v>
      </c>
      <c r="G619" t="str">
        <f>IFERROR(INDEX(Ticket!$B$2:$B$6001,MATCH(B619,Ticket!$A$2:$A$6001,0)),"Ticket introuvable")</f>
        <v>AG-012</v>
      </c>
    </row>
    <row r="620" spans="1:7" x14ac:dyDescent="0.35">
      <c r="A620" s="6" t="s">
        <v>6766</v>
      </c>
      <c r="B620" s="8" t="s">
        <v>5460</v>
      </c>
      <c r="C620" s="7">
        <v>45950</v>
      </c>
      <c r="D620" s="8">
        <v>4</v>
      </c>
      <c r="E620" s="8">
        <v>10</v>
      </c>
      <c r="F620" s="9" t="s">
        <v>8363</v>
      </c>
      <c r="G620" t="str">
        <f>IFERROR(INDEX(Ticket!$B$2:$B$6001,MATCH(B620,Ticket!$A$2:$A$6001,0)),"Ticket introuvable")</f>
        <v>AG-023</v>
      </c>
    </row>
    <row r="621" spans="1:7" x14ac:dyDescent="0.35">
      <c r="A621" s="10" t="s">
        <v>6767</v>
      </c>
      <c r="B621" s="12" t="s">
        <v>5995</v>
      </c>
      <c r="C621" s="11">
        <v>45760</v>
      </c>
      <c r="D621" s="12">
        <v>5</v>
      </c>
      <c r="E621" s="12">
        <v>7</v>
      </c>
      <c r="F621" s="13" t="s">
        <v>6160</v>
      </c>
      <c r="G621" t="str">
        <f>IFERROR(INDEX(Ticket!$B$2:$B$6001,MATCH(B621,Ticket!$A$2:$A$6001,0)),"Ticket introuvable")</f>
        <v>AG-027</v>
      </c>
    </row>
    <row r="622" spans="1:7" x14ac:dyDescent="0.35">
      <c r="A622" s="6" t="s">
        <v>6768</v>
      </c>
      <c r="B622" s="8" t="s">
        <v>3001</v>
      </c>
      <c r="C622" s="7">
        <v>45930</v>
      </c>
      <c r="D622" s="8">
        <v>5</v>
      </c>
      <c r="E622" s="8">
        <v>9</v>
      </c>
      <c r="F622" s="9" t="s">
        <v>6153</v>
      </c>
      <c r="G622" t="str">
        <f>IFERROR(INDEX(Ticket!$B$2:$B$6001,MATCH(B622,Ticket!$A$2:$A$6001,0)),"Ticket introuvable")</f>
        <v>AG-015</v>
      </c>
    </row>
    <row r="623" spans="1:7" x14ac:dyDescent="0.35">
      <c r="A623" s="10" t="s">
        <v>6769</v>
      </c>
      <c r="B623" s="12" t="s">
        <v>3495</v>
      </c>
      <c r="C623" s="11">
        <v>45907</v>
      </c>
      <c r="D623" s="12">
        <v>5</v>
      </c>
      <c r="E623" s="12">
        <v>0</v>
      </c>
      <c r="F623" s="13" t="s">
        <v>75</v>
      </c>
      <c r="G623" t="str">
        <f>IFERROR(INDEX(Ticket!$B$2:$B$6001,MATCH(B623,Ticket!$A$2:$A$6001,0)),"Ticket introuvable")</f>
        <v>AG-021</v>
      </c>
    </row>
    <row r="624" spans="1:7" x14ac:dyDescent="0.35">
      <c r="A624" s="6" t="s">
        <v>6770</v>
      </c>
      <c r="B624" s="8" t="s">
        <v>3515</v>
      </c>
      <c r="C624" s="7">
        <v>45948</v>
      </c>
      <c r="D624" s="8">
        <v>4</v>
      </c>
      <c r="E624" s="8">
        <v>7</v>
      </c>
      <c r="F624" s="9" t="s">
        <v>8363</v>
      </c>
      <c r="G624" t="str">
        <f>IFERROR(INDEX(Ticket!$B$2:$B$6001,MATCH(B624,Ticket!$A$2:$A$6001,0)),"Ticket introuvable")</f>
        <v>AG-039</v>
      </c>
    </row>
    <row r="625" spans="1:7" x14ac:dyDescent="0.35">
      <c r="A625" s="10" t="s">
        <v>6771</v>
      </c>
      <c r="B625" s="12" t="s">
        <v>959</v>
      </c>
      <c r="C625" s="11">
        <v>45912</v>
      </c>
      <c r="D625" s="12">
        <v>1</v>
      </c>
      <c r="E625" s="12">
        <v>10</v>
      </c>
      <c r="F625" s="13" t="s">
        <v>75</v>
      </c>
      <c r="G625" t="str">
        <f>IFERROR(INDEX(Ticket!$B$2:$B$6001,MATCH(B625,Ticket!$A$2:$A$6001,0)),"Ticket introuvable")</f>
        <v>AG-037</v>
      </c>
    </row>
    <row r="626" spans="1:7" x14ac:dyDescent="0.35">
      <c r="A626" s="6" t="s">
        <v>6772</v>
      </c>
      <c r="B626" s="8" t="s">
        <v>2829</v>
      </c>
      <c r="C626" s="7">
        <v>45880</v>
      </c>
      <c r="D626" s="8">
        <v>5</v>
      </c>
      <c r="E626" s="8"/>
      <c r="F626" s="9" t="s">
        <v>6153</v>
      </c>
      <c r="G626" t="str">
        <f>IFERROR(INDEX(Ticket!$B$2:$B$6001,MATCH(B626,Ticket!$A$2:$A$6001,0)),"Ticket introuvable")</f>
        <v>AG-022</v>
      </c>
    </row>
    <row r="627" spans="1:7" x14ac:dyDescent="0.35">
      <c r="A627" s="10" t="s">
        <v>6773</v>
      </c>
      <c r="B627" s="12" t="s">
        <v>2339</v>
      </c>
      <c r="C627" s="11">
        <v>45684</v>
      </c>
      <c r="D627" s="12">
        <v>4</v>
      </c>
      <c r="E627" s="12">
        <v>9</v>
      </c>
      <c r="F627" s="13" t="s">
        <v>75</v>
      </c>
      <c r="G627" t="str">
        <f>IFERROR(INDEX(Ticket!$B$2:$B$6001,MATCH(B627,Ticket!$A$2:$A$6001,0)),"Ticket introuvable")</f>
        <v>AG-020</v>
      </c>
    </row>
    <row r="628" spans="1:7" x14ac:dyDescent="0.35">
      <c r="A628" s="6" t="s">
        <v>6774</v>
      </c>
      <c r="B628" s="8" t="s">
        <v>1403</v>
      </c>
      <c r="C628" s="7">
        <v>45870</v>
      </c>
      <c r="D628" s="8">
        <v>4</v>
      </c>
      <c r="E628" s="8">
        <v>10</v>
      </c>
      <c r="F628" s="9" t="s">
        <v>6142</v>
      </c>
      <c r="G628" t="str">
        <f>IFERROR(INDEX(Ticket!$B$2:$B$6001,MATCH(B628,Ticket!$A$2:$A$6001,0)),"Ticket introuvable")</f>
        <v>AG-039</v>
      </c>
    </row>
    <row r="629" spans="1:7" x14ac:dyDescent="0.35">
      <c r="A629" s="10" t="s">
        <v>6775</v>
      </c>
      <c r="B629" s="12" t="s">
        <v>1643</v>
      </c>
      <c r="C629" s="11">
        <v>45746</v>
      </c>
      <c r="D629" s="12">
        <v>4</v>
      </c>
      <c r="E629" s="12">
        <v>7</v>
      </c>
      <c r="F629" s="13" t="s">
        <v>8363</v>
      </c>
      <c r="G629" t="str">
        <f>IFERROR(INDEX(Ticket!$B$2:$B$6001,MATCH(B629,Ticket!$A$2:$A$6001,0)),"Ticket introuvable")</f>
        <v>AG-014</v>
      </c>
    </row>
    <row r="630" spans="1:7" x14ac:dyDescent="0.35">
      <c r="A630" s="6" t="s">
        <v>6776</v>
      </c>
      <c r="B630" s="8" t="s">
        <v>4841</v>
      </c>
      <c r="C630" s="7">
        <v>45898</v>
      </c>
      <c r="D630" s="8">
        <v>5</v>
      </c>
      <c r="E630" s="8">
        <v>3</v>
      </c>
      <c r="F630" s="9" t="s">
        <v>75</v>
      </c>
      <c r="G630" t="str">
        <f>IFERROR(INDEX(Ticket!$B$2:$B$6001,MATCH(B630,Ticket!$A$2:$A$6001,0)),"Ticket introuvable")</f>
        <v>AG-027</v>
      </c>
    </row>
    <row r="631" spans="1:7" x14ac:dyDescent="0.35">
      <c r="A631" s="10" t="s">
        <v>6777</v>
      </c>
      <c r="B631" s="12" t="s">
        <v>4857</v>
      </c>
      <c r="C631" s="11">
        <v>45884</v>
      </c>
      <c r="D631" s="12"/>
      <c r="E631" s="12">
        <v>10</v>
      </c>
      <c r="F631" s="13" t="s">
        <v>6160</v>
      </c>
      <c r="G631" t="str">
        <f>IFERROR(INDEX(Ticket!$B$2:$B$6001,MATCH(B631,Ticket!$A$2:$A$6001,0)),"Ticket introuvable")</f>
        <v>AG-010</v>
      </c>
    </row>
    <row r="632" spans="1:7" x14ac:dyDescent="0.35">
      <c r="A632" s="6" t="s">
        <v>6778</v>
      </c>
      <c r="B632" s="8" t="s">
        <v>1360</v>
      </c>
      <c r="C632" s="7">
        <v>45748</v>
      </c>
      <c r="D632" s="8">
        <v>4</v>
      </c>
      <c r="E632" s="8">
        <v>9</v>
      </c>
      <c r="F632" s="9" t="s">
        <v>8363</v>
      </c>
      <c r="G632" t="str">
        <f>IFERROR(INDEX(Ticket!$B$2:$B$6001,MATCH(B632,Ticket!$A$2:$A$6001,0)),"Ticket introuvable")</f>
        <v>AG-025</v>
      </c>
    </row>
    <row r="633" spans="1:7" x14ac:dyDescent="0.35">
      <c r="A633" s="10" t="s">
        <v>6779</v>
      </c>
      <c r="B633" s="12" t="s">
        <v>1031</v>
      </c>
      <c r="C633" s="11">
        <v>45780</v>
      </c>
      <c r="D633" s="12">
        <v>4</v>
      </c>
      <c r="E633" s="12">
        <v>7</v>
      </c>
      <c r="F633" s="13" t="s">
        <v>8363</v>
      </c>
      <c r="G633" t="str">
        <f>IFERROR(INDEX(Ticket!$B$2:$B$6001,MATCH(B633,Ticket!$A$2:$A$6001,0)),"Ticket introuvable")</f>
        <v>AG-007</v>
      </c>
    </row>
    <row r="634" spans="1:7" x14ac:dyDescent="0.35">
      <c r="A634" s="6" t="s">
        <v>6780</v>
      </c>
      <c r="B634" s="8" t="s">
        <v>735</v>
      </c>
      <c r="C634" s="7">
        <v>45665</v>
      </c>
      <c r="D634" s="8">
        <v>4</v>
      </c>
      <c r="E634" s="8"/>
      <c r="F634" s="9" t="s">
        <v>6160</v>
      </c>
      <c r="G634" t="str">
        <f>IFERROR(INDEX(Ticket!$B$2:$B$6001,MATCH(B634,Ticket!$A$2:$A$6001,0)),"Ticket introuvable")</f>
        <v>AG-040</v>
      </c>
    </row>
    <row r="635" spans="1:7" x14ac:dyDescent="0.35">
      <c r="A635" s="10" t="s">
        <v>6781</v>
      </c>
      <c r="B635" s="12" t="s">
        <v>2702</v>
      </c>
      <c r="C635" s="11">
        <v>45885</v>
      </c>
      <c r="D635" s="12">
        <v>4</v>
      </c>
      <c r="E635" s="12">
        <v>7</v>
      </c>
      <c r="F635" s="13" t="s">
        <v>75</v>
      </c>
      <c r="G635" t="str">
        <f>IFERROR(INDEX(Ticket!$B$2:$B$6001,MATCH(B635,Ticket!$A$2:$A$6001,0)),"Ticket introuvable")</f>
        <v>AG-034</v>
      </c>
    </row>
    <row r="636" spans="1:7" x14ac:dyDescent="0.35">
      <c r="A636" s="6" t="s">
        <v>6782</v>
      </c>
      <c r="B636" s="8" t="s">
        <v>4665</v>
      </c>
      <c r="C636" s="7">
        <v>45793</v>
      </c>
      <c r="D636" s="8">
        <v>4</v>
      </c>
      <c r="E636" s="8">
        <v>9</v>
      </c>
      <c r="F636" s="9" t="s">
        <v>8363</v>
      </c>
      <c r="G636" t="str">
        <f>IFERROR(INDEX(Ticket!$B$2:$B$6001,MATCH(B636,Ticket!$A$2:$A$6001,0)),"Ticket introuvable")</f>
        <v>AG-032</v>
      </c>
    </row>
    <row r="637" spans="1:7" x14ac:dyDescent="0.35">
      <c r="A637" s="10" t="s">
        <v>6783</v>
      </c>
      <c r="B637" s="12" t="s">
        <v>1498</v>
      </c>
      <c r="C637" s="11">
        <v>45900</v>
      </c>
      <c r="D637" s="12">
        <v>2</v>
      </c>
      <c r="E637" s="12">
        <v>7</v>
      </c>
      <c r="F637" s="13" t="s">
        <v>8363</v>
      </c>
      <c r="G637" t="str">
        <f>IFERROR(INDEX(Ticket!$B$2:$B$6001,MATCH(B637,Ticket!$A$2:$A$6001,0)),"Ticket introuvable")</f>
        <v>AG-035</v>
      </c>
    </row>
    <row r="638" spans="1:7" x14ac:dyDescent="0.35">
      <c r="A638" s="6" t="s">
        <v>6784</v>
      </c>
      <c r="B638" s="8" t="s">
        <v>128</v>
      </c>
      <c r="C638" s="7">
        <v>46014</v>
      </c>
      <c r="D638" s="8">
        <v>4</v>
      </c>
      <c r="E638" s="8">
        <v>8</v>
      </c>
      <c r="F638" s="9" t="s">
        <v>6160</v>
      </c>
      <c r="G638" t="str">
        <f>IFERROR(INDEX(Ticket!$B$2:$B$6001,MATCH(B638,Ticket!$A$2:$A$6001,0)),"Ticket introuvable")</f>
        <v>AG-024</v>
      </c>
    </row>
    <row r="639" spans="1:7" x14ac:dyDescent="0.35">
      <c r="A639" s="10" t="s">
        <v>6785</v>
      </c>
      <c r="B639" s="12" t="s">
        <v>152</v>
      </c>
      <c r="C639" s="11">
        <v>45658</v>
      </c>
      <c r="D639" s="12">
        <v>5</v>
      </c>
      <c r="E639" s="12">
        <v>6</v>
      </c>
      <c r="F639" s="13" t="s">
        <v>8363</v>
      </c>
      <c r="G639" t="str">
        <f>IFERROR(INDEX(Ticket!$B$2:$B$6001,MATCH(B639,Ticket!$A$2:$A$6001,0)),"Ticket introuvable")</f>
        <v>AG-039</v>
      </c>
    </row>
    <row r="640" spans="1:7" x14ac:dyDescent="0.35">
      <c r="A640" s="6" t="s">
        <v>6786</v>
      </c>
      <c r="B640" s="8" t="s">
        <v>2665</v>
      </c>
      <c r="C640" s="7">
        <v>45778</v>
      </c>
      <c r="D640" s="8"/>
      <c r="E640" s="8">
        <v>8</v>
      </c>
      <c r="F640" s="9" t="s">
        <v>6153</v>
      </c>
      <c r="G640" t="str">
        <f>IFERROR(INDEX(Ticket!$B$2:$B$6001,MATCH(B640,Ticket!$A$2:$A$6001,0)),"Ticket introuvable")</f>
        <v>AG-038</v>
      </c>
    </row>
    <row r="641" spans="1:7" x14ac:dyDescent="0.35">
      <c r="A641" s="10" t="s">
        <v>6787</v>
      </c>
      <c r="B641" s="12" t="s">
        <v>6015</v>
      </c>
      <c r="C641" s="11">
        <v>45970</v>
      </c>
      <c r="D641" s="12">
        <v>3</v>
      </c>
      <c r="E641" s="12">
        <v>9</v>
      </c>
      <c r="F641" s="13" t="s">
        <v>6153</v>
      </c>
      <c r="G641" t="str">
        <f>IFERROR(INDEX(Ticket!$B$2:$B$6001,MATCH(B641,Ticket!$A$2:$A$6001,0)),"Ticket introuvable")</f>
        <v>AG-029</v>
      </c>
    </row>
    <row r="642" spans="1:7" x14ac:dyDescent="0.35">
      <c r="A642" s="6" t="s">
        <v>6788</v>
      </c>
      <c r="B642" s="8" t="s">
        <v>5116</v>
      </c>
      <c r="C642" s="7">
        <v>45854</v>
      </c>
      <c r="D642" s="8">
        <v>4</v>
      </c>
      <c r="E642" s="8">
        <v>6</v>
      </c>
      <c r="F642" s="9" t="s">
        <v>8363</v>
      </c>
      <c r="G642" t="str">
        <f>IFERROR(INDEX(Ticket!$B$2:$B$6001,MATCH(B642,Ticket!$A$2:$A$6001,0)),"Ticket introuvable")</f>
        <v>AG-014</v>
      </c>
    </row>
    <row r="643" spans="1:7" x14ac:dyDescent="0.35">
      <c r="A643" s="10" t="s">
        <v>6789</v>
      </c>
      <c r="B643" s="12" t="s">
        <v>6037</v>
      </c>
      <c r="C643" s="11">
        <v>45782</v>
      </c>
      <c r="D643" s="12">
        <v>5</v>
      </c>
      <c r="E643" s="12">
        <v>8</v>
      </c>
      <c r="F643" s="13" t="s">
        <v>8363</v>
      </c>
      <c r="G643" t="str">
        <f>IFERROR(INDEX(Ticket!$B$2:$B$6001,MATCH(B643,Ticket!$A$2:$A$6001,0)),"Ticket introuvable")</f>
        <v>AG-014</v>
      </c>
    </row>
    <row r="644" spans="1:7" x14ac:dyDescent="0.35">
      <c r="A644" s="6" t="s">
        <v>6790</v>
      </c>
      <c r="B644" s="8" t="s">
        <v>2291</v>
      </c>
      <c r="C644" s="7">
        <v>45828</v>
      </c>
      <c r="D644" s="8">
        <v>5</v>
      </c>
      <c r="E644" s="8">
        <v>9</v>
      </c>
      <c r="F644" s="9" t="s">
        <v>6148</v>
      </c>
      <c r="G644" t="str">
        <f>IFERROR(INDEX(Ticket!$B$2:$B$6001,MATCH(B644,Ticket!$A$2:$A$6001,0)),"Ticket introuvable")</f>
        <v>AG-025</v>
      </c>
    </row>
    <row r="645" spans="1:7" x14ac:dyDescent="0.35">
      <c r="A645" s="10" t="s">
        <v>6791</v>
      </c>
      <c r="B645" s="12" t="s">
        <v>1866</v>
      </c>
      <c r="C645" s="11">
        <v>45665</v>
      </c>
      <c r="D645" s="12">
        <v>5</v>
      </c>
      <c r="E645" s="12">
        <v>9</v>
      </c>
      <c r="F645" s="13" t="s">
        <v>6148</v>
      </c>
      <c r="G645" t="str">
        <f>IFERROR(INDEX(Ticket!$B$2:$B$6001,MATCH(B645,Ticket!$A$2:$A$6001,0)),"Ticket introuvable")</f>
        <v>AG-020</v>
      </c>
    </row>
    <row r="646" spans="1:7" x14ac:dyDescent="0.35">
      <c r="A646" s="6" t="s">
        <v>6792</v>
      </c>
      <c r="B646" s="8" t="s">
        <v>314</v>
      </c>
      <c r="C646" s="7">
        <v>45937</v>
      </c>
      <c r="D646" s="8">
        <v>5</v>
      </c>
      <c r="E646" s="8">
        <v>4</v>
      </c>
      <c r="F646" s="9" t="s">
        <v>8363</v>
      </c>
      <c r="G646" t="str">
        <f>IFERROR(INDEX(Ticket!$B$2:$B$6001,MATCH(B646,Ticket!$A$2:$A$6001,0)),"Ticket introuvable")</f>
        <v>AG-018</v>
      </c>
    </row>
    <row r="647" spans="1:7" x14ac:dyDescent="0.35">
      <c r="A647" s="10" t="s">
        <v>6793</v>
      </c>
      <c r="B647" s="12" t="s">
        <v>222</v>
      </c>
      <c r="C647" s="11">
        <v>45868</v>
      </c>
      <c r="D647" s="12">
        <v>5</v>
      </c>
      <c r="E647" s="12">
        <v>4</v>
      </c>
      <c r="F647" s="13" t="s">
        <v>6153</v>
      </c>
      <c r="G647" t="str">
        <f>IFERROR(INDEX(Ticket!$B$2:$B$6001,MATCH(B647,Ticket!$A$2:$A$6001,0)),"Ticket introuvable")</f>
        <v>AG-025</v>
      </c>
    </row>
    <row r="648" spans="1:7" x14ac:dyDescent="0.35">
      <c r="A648" s="6" t="s">
        <v>6794</v>
      </c>
      <c r="B648" s="8" t="s">
        <v>5128</v>
      </c>
      <c r="C648" s="7">
        <v>45797</v>
      </c>
      <c r="D648" s="8">
        <v>5</v>
      </c>
      <c r="E648" s="8">
        <v>10</v>
      </c>
      <c r="F648" s="9" t="s">
        <v>75</v>
      </c>
      <c r="G648" t="str">
        <f>IFERROR(INDEX(Ticket!$B$2:$B$6001,MATCH(B648,Ticket!$A$2:$A$6001,0)),"Ticket introuvable")</f>
        <v>AG-015</v>
      </c>
    </row>
    <row r="649" spans="1:7" x14ac:dyDescent="0.35">
      <c r="A649" s="10" t="s">
        <v>6795</v>
      </c>
      <c r="B649" s="12" t="s">
        <v>4994</v>
      </c>
      <c r="C649" s="11">
        <v>46000</v>
      </c>
      <c r="D649" s="12">
        <v>5</v>
      </c>
      <c r="E649" s="12">
        <v>9</v>
      </c>
      <c r="F649" s="13" t="s">
        <v>6142</v>
      </c>
      <c r="G649" t="str">
        <f>IFERROR(INDEX(Ticket!$B$2:$B$6001,MATCH(B649,Ticket!$A$2:$A$6001,0)),"Ticket introuvable")</f>
        <v>AG-039</v>
      </c>
    </row>
    <row r="650" spans="1:7" x14ac:dyDescent="0.35">
      <c r="A650" s="6" t="s">
        <v>6796</v>
      </c>
      <c r="B650" s="8" t="s">
        <v>2323</v>
      </c>
      <c r="C650" s="7">
        <v>45929</v>
      </c>
      <c r="D650" s="8">
        <v>4</v>
      </c>
      <c r="E650" s="8">
        <v>4</v>
      </c>
      <c r="F650" s="9" t="s">
        <v>6148</v>
      </c>
      <c r="G650" t="str">
        <f>IFERROR(INDEX(Ticket!$B$2:$B$6001,MATCH(B650,Ticket!$A$2:$A$6001,0)),"Ticket introuvable")</f>
        <v>AG-026</v>
      </c>
    </row>
    <row r="651" spans="1:7" x14ac:dyDescent="0.35">
      <c r="A651" s="10" t="s">
        <v>6797</v>
      </c>
      <c r="B651" s="12" t="s">
        <v>5838</v>
      </c>
      <c r="C651" s="11">
        <v>45890</v>
      </c>
      <c r="D651" s="12">
        <v>1</v>
      </c>
      <c r="E651" s="12">
        <v>8</v>
      </c>
      <c r="F651" s="13" t="s">
        <v>8363</v>
      </c>
      <c r="G651" t="str">
        <f>IFERROR(INDEX(Ticket!$B$2:$B$6001,MATCH(B651,Ticket!$A$2:$A$6001,0)),"Ticket introuvable")</f>
        <v>AG-014</v>
      </c>
    </row>
    <row r="652" spans="1:7" x14ac:dyDescent="0.35">
      <c r="A652" s="6" t="s">
        <v>6798</v>
      </c>
      <c r="B652" s="8" t="s">
        <v>5278</v>
      </c>
      <c r="C652" s="7">
        <v>45836</v>
      </c>
      <c r="D652" s="8"/>
      <c r="E652" s="8"/>
      <c r="F652" s="9" t="s">
        <v>6148</v>
      </c>
      <c r="G652" t="str">
        <f>IFERROR(INDEX(Ticket!$B$2:$B$6001,MATCH(B652,Ticket!$A$2:$A$6001,0)),"Ticket introuvable")</f>
        <v>AG-007</v>
      </c>
    </row>
    <row r="653" spans="1:7" x14ac:dyDescent="0.35">
      <c r="A653" s="10" t="s">
        <v>6799</v>
      </c>
      <c r="B653" s="12" t="s">
        <v>2386</v>
      </c>
      <c r="C653" s="11">
        <v>45993</v>
      </c>
      <c r="D653" s="12">
        <v>5</v>
      </c>
      <c r="E653" s="12">
        <v>8</v>
      </c>
      <c r="F653" s="13" t="s">
        <v>6160</v>
      </c>
      <c r="G653" t="str">
        <f>IFERROR(INDEX(Ticket!$B$2:$B$6001,MATCH(B653,Ticket!$A$2:$A$6001,0)),"Ticket introuvable")</f>
        <v>AG-014</v>
      </c>
    </row>
    <row r="654" spans="1:7" x14ac:dyDescent="0.35">
      <c r="A654" s="6" t="s">
        <v>6800</v>
      </c>
      <c r="B654" s="8" t="s">
        <v>1974</v>
      </c>
      <c r="C654" s="7">
        <v>45867</v>
      </c>
      <c r="D654" s="8"/>
      <c r="E654" s="8">
        <v>2</v>
      </c>
      <c r="F654" s="9" t="s">
        <v>6148</v>
      </c>
      <c r="G654" t="str">
        <f>IFERROR(INDEX(Ticket!$B$2:$B$6001,MATCH(B654,Ticket!$A$2:$A$6001,0)),"Ticket introuvable")</f>
        <v>AG-033</v>
      </c>
    </row>
    <row r="655" spans="1:7" x14ac:dyDescent="0.35">
      <c r="A655" s="10" t="s">
        <v>6801</v>
      </c>
      <c r="B655" s="12" t="s">
        <v>1663</v>
      </c>
      <c r="C655" s="11">
        <v>45903</v>
      </c>
      <c r="D655" s="12">
        <v>5</v>
      </c>
      <c r="E655" s="12">
        <v>7</v>
      </c>
      <c r="F655" s="13" t="s">
        <v>6153</v>
      </c>
      <c r="G655" t="str">
        <f>IFERROR(INDEX(Ticket!$B$2:$B$6001,MATCH(B655,Ticket!$A$2:$A$6001,0)),"Ticket introuvable")</f>
        <v>AG-018</v>
      </c>
    </row>
    <row r="656" spans="1:7" x14ac:dyDescent="0.35">
      <c r="A656" s="6" t="s">
        <v>6802</v>
      </c>
      <c r="B656" s="8" t="s">
        <v>4133</v>
      </c>
      <c r="C656" s="7">
        <v>45951</v>
      </c>
      <c r="D656" s="8">
        <v>4</v>
      </c>
      <c r="E656" s="8">
        <v>5</v>
      </c>
      <c r="F656" s="9" t="s">
        <v>8363</v>
      </c>
      <c r="G656" t="str">
        <f>IFERROR(INDEX(Ticket!$B$2:$B$6001,MATCH(B656,Ticket!$A$2:$A$6001,0)),"Ticket introuvable")</f>
        <v>AG-032</v>
      </c>
    </row>
    <row r="657" spans="1:7" x14ac:dyDescent="0.35">
      <c r="A657" s="10" t="s">
        <v>6803</v>
      </c>
      <c r="B657" s="12" t="s">
        <v>1038</v>
      </c>
      <c r="C657" s="11">
        <v>45818</v>
      </c>
      <c r="D657" s="12">
        <v>2</v>
      </c>
      <c r="E657" s="12">
        <v>10</v>
      </c>
      <c r="F657" s="13" t="s">
        <v>6153</v>
      </c>
      <c r="G657" t="str">
        <f>IFERROR(INDEX(Ticket!$B$2:$B$6001,MATCH(B657,Ticket!$A$2:$A$6001,0)),"Ticket introuvable")</f>
        <v>AG-038</v>
      </c>
    </row>
    <row r="658" spans="1:7" x14ac:dyDescent="0.35">
      <c r="A658" s="6" t="s">
        <v>6804</v>
      </c>
      <c r="B658" s="8" t="s">
        <v>2296</v>
      </c>
      <c r="C658" s="7">
        <v>45665</v>
      </c>
      <c r="D658" s="8">
        <v>2</v>
      </c>
      <c r="E658" s="8">
        <v>8</v>
      </c>
      <c r="F658" s="9" t="s">
        <v>75</v>
      </c>
      <c r="G658" t="str">
        <f>IFERROR(INDEX(Ticket!$B$2:$B$6001,MATCH(B658,Ticket!$A$2:$A$6001,0)),"Ticket introuvable")</f>
        <v>AG-003</v>
      </c>
    </row>
    <row r="659" spans="1:7" x14ac:dyDescent="0.35">
      <c r="A659" s="10" t="s">
        <v>6805</v>
      </c>
      <c r="B659" s="12" t="s">
        <v>82</v>
      </c>
      <c r="C659" s="11">
        <v>45889</v>
      </c>
      <c r="D659" s="12">
        <v>2</v>
      </c>
      <c r="E659" s="12">
        <v>5</v>
      </c>
      <c r="F659" s="13" t="s">
        <v>6160</v>
      </c>
      <c r="G659" t="str">
        <f>IFERROR(INDEX(Ticket!$B$2:$B$6001,MATCH(B659,Ticket!$A$2:$A$6001,0)),"Ticket introuvable")</f>
        <v>AG-034</v>
      </c>
    </row>
    <row r="660" spans="1:7" x14ac:dyDescent="0.35">
      <c r="A660" s="6" t="s">
        <v>6806</v>
      </c>
      <c r="B660" s="8" t="s">
        <v>3820</v>
      </c>
      <c r="C660" s="7">
        <v>45700</v>
      </c>
      <c r="D660" s="8">
        <v>5</v>
      </c>
      <c r="E660" s="8">
        <v>9</v>
      </c>
      <c r="F660" s="9" t="s">
        <v>6160</v>
      </c>
      <c r="G660" t="str">
        <f>IFERROR(INDEX(Ticket!$B$2:$B$6001,MATCH(B660,Ticket!$A$2:$A$6001,0)),"Ticket introuvable")</f>
        <v>AG-008</v>
      </c>
    </row>
    <row r="661" spans="1:7" x14ac:dyDescent="0.35">
      <c r="A661" s="10" t="s">
        <v>6807</v>
      </c>
      <c r="B661" s="12" t="s">
        <v>2771</v>
      </c>
      <c r="C661" s="11">
        <v>45824</v>
      </c>
      <c r="D661" s="12">
        <v>4</v>
      </c>
      <c r="E661" s="12">
        <v>9</v>
      </c>
      <c r="F661" s="13" t="s">
        <v>8363</v>
      </c>
      <c r="G661" t="str">
        <f>IFERROR(INDEX(Ticket!$B$2:$B$6001,MATCH(B661,Ticket!$A$2:$A$6001,0)),"Ticket introuvable")</f>
        <v>AG-014</v>
      </c>
    </row>
    <row r="662" spans="1:7" x14ac:dyDescent="0.35">
      <c r="A662" s="6" t="s">
        <v>6808</v>
      </c>
      <c r="B662" s="8" t="s">
        <v>5505</v>
      </c>
      <c r="C662" s="7">
        <v>45977</v>
      </c>
      <c r="D662" s="8">
        <v>5</v>
      </c>
      <c r="E662" s="8">
        <v>7</v>
      </c>
      <c r="F662" s="9" t="s">
        <v>6160</v>
      </c>
      <c r="G662" t="str">
        <f>IFERROR(INDEX(Ticket!$B$2:$B$6001,MATCH(B662,Ticket!$A$2:$A$6001,0)),"Ticket introuvable")</f>
        <v>AG-039</v>
      </c>
    </row>
    <row r="663" spans="1:7" x14ac:dyDescent="0.35">
      <c r="A663" s="10" t="s">
        <v>6809</v>
      </c>
      <c r="B663" s="12" t="s">
        <v>3532</v>
      </c>
      <c r="C663" s="11">
        <v>45897</v>
      </c>
      <c r="D663" s="12">
        <v>3</v>
      </c>
      <c r="E663" s="12">
        <v>3</v>
      </c>
      <c r="F663" s="13" t="s">
        <v>6148</v>
      </c>
      <c r="G663" t="str">
        <f>IFERROR(INDEX(Ticket!$B$2:$B$6001,MATCH(B663,Ticket!$A$2:$A$6001,0)),"Ticket introuvable")</f>
        <v>AG-027</v>
      </c>
    </row>
    <row r="664" spans="1:7" x14ac:dyDescent="0.35">
      <c r="A664" s="6" t="s">
        <v>6810</v>
      </c>
      <c r="B664" s="8" t="s">
        <v>5977</v>
      </c>
      <c r="C664" s="7">
        <v>45775</v>
      </c>
      <c r="D664" s="8">
        <v>1</v>
      </c>
      <c r="E664" s="8"/>
      <c r="F664" s="9" t="s">
        <v>8363</v>
      </c>
      <c r="G664" t="str">
        <f>IFERROR(INDEX(Ticket!$B$2:$B$6001,MATCH(B664,Ticket!$A$2:$A$6001,0)),"Ticket introuvable")</f>
        <v>AG-035</v>
      </c>
    </row>
    <row r="665" spans="1:7" x14ac:dyDescent="0.35">
      <c r="A665" s="10" t="s">
        <v>6811</v>
      </c>
      <c r="B665" s="12" t="s">
        <v>5754</v>
      </c>
      <c r="C665" s="11">
        <v>45679</v>
      </c>
      <c r="D665" s="12">
        <v>5</v>
      </c>
      <c r="E665" s="12">
        <v>2</v>
      </c>
      <c r="F665" s="13" t="s">
        <v>8363</v>
      </c>
      <c r="G665" t="str">
        <f>IFERROR(INDEX(Ticket!$B$2:$B$6001,MATCH(B665,Ticket!$A$2:$A$6001,0)),"Ticket introuvable")</f>
        <v>AG-033</v>
      </c>
    </row>
    <row r="666" spans="1:7" x14ac:dyDescent="0.35">
      <c r="A666" s="6" t="s">
        <v>6812</v>
      </c>
      <c r="B666" s="8" t="s">
        <v>4494</v>
      </c>
      <c r="C666" s="7">
        <v>45848</v>
      </c>
      <c r="D666" s="8">
        <v>4</v>
      </c>
      <c r="E666" s="8">
        <v>8</v>
      </c>
      <c r="F666" s="9" t="s">
        <v>6142</v>
      </c>
      <c r="G666" t="str">
        <f>IFERROR(INDEX(Ticket!$B$2:$B$6001,MATCH(B666,Ticket!$A$2:$A$6001,0)),"Ticket introuvable")</f>
        <v>AG-016</v>
      </c>
    </row>
    <row r="667" spans="1:7" x14ac:dyDescent="0.35">
      <c r="A667" s="10" t="s">
        <v>6813</v>
      </c>
      <c r="B667" s="12" t="s">
        <v>2083</v>
      </c>
      <c r="C667" s="11">
        <v>45974</v>
      </c>
      <c r="D667" s="12">
        <v>4</v>
      </c>
      <c r="E667" s="12"/>
      <c r="F667" s="13" t="s">
        <v>6142</v>
      </c>
      <c r="G667" t="str">
        <f>IFERROR(INDEX(Ticket!$B$2:$B$6001,MATCH(B667,Ticket!$A$2:$A$6001,0)),"Ticket introuvable")</f>
        <v>AG-033</v>
      </c>
    </row>
    <row r="668" spans="1:7" x14ac:dyDescent="0.35">
      <c r="A668" s="6" t="s">
        <v>6814</v>
      </c>
      <c r="B668" s="8" t="s">
        <v>4992</v>
      </c>
      <c r="C668" s="7">
        <v>45757</v>
      </c>
      <c r="D668" s="8">
        <v>5</v>
      </c>
      <c r="E668" s="8">
        <v>4</v>
      </c>
      <c r="F668" s="9" t="s">
        <v>6148</v>
      </c>
      <c r="G668" t="str">
        <f>IFERROR(INDEX(Ticket!$B$2:$B$6001,MATCH(B668,Ticket!$A$2:$A$6001,0)),"Ticket introuvable")</f>
        <v>AG-023</v>
      </c>
    </row>
    <row r="669" spans="1:7" x14ac:dyDescent="0.35">
      <c r="A669" s="10" t="s">
        <v>6815</v>
      </c>
      <c r="B669" s="12" t="s">
        <v>5559</v>
      </c>
      <c r="C669" s="11">
        <v>45791</v>
      </c>
      <c r="D669" s="12">
        <v>3</v>
      </c>
      <c r="E669" s="12">
        <v>9</v>
      </c>
      <c r="F669" s="13" t="s">
        <v>6142</v>
      </c>
      <c r="G669" t="str">
        <f>IFERROR(INDEX(Ticket!$B$2:$B$6001,MATCH(B669,Ticket!$A$2:$A$6001,0)),"Ticket introuvable")</f>
        <v>AG-007</v>
      </c>
    </row>
    <row r="670" spans="1:7" x14ac:dyDescent="0.35">
      <c r="A670" s="6" t="s">
        <v>6816</v>
      </c>
      <c r="B670" s="8" t="s">
        <v>2145</v>
      </c>
      <c r="C670" s="7">
        <v>45963</v>
      </c>
      <c r="D670" s="8">
        <v>2</v>
      </c>
      <c r="E670" s="8">
        <v>7</v>
      </c>
      <c r="F670" s="9" t="s">
        <v>75</v>
      </c>
      <c r="G670" t="str">
        <f>IFERROR(INDEX(Ticket!$B$2:$B$6001,MATCH(B670,Ticket!$A$2:$A$6001,0)),"Ticket introuvable")</f>
        <v>AG-023</v>
      </c>
    </row>
    <row r="671" spans="1:7" x14ac:dyDescent="0.35">
      <c r="A671" s="10" t="s">
        <v>6817</v>
      </c>
      <c r="B671" s="12" t="s">
        <v>5943</v>
      </c>
      <c r="C671" s="11">
        <v>45839</v>
      </c>
      <c r="D671" s="12">
        <v>1</v>
      </c>
      <c r="E671" s="12">
        <v>9</v>
      </c>
      <c r="F671" s="13" t="s">
        <v>6160</v>
      </c>
      <c r="G671" t="str">
        <f>IFERROR(INDEX(Ticket!$B$2:$B$6001,MATCH(B671,Ticket!$A$2:$A$6001,0)),"Ticket introuvable")</f>
        <v>AG-022</v>
      </c>
    </row>
    <row r="672" spans="1:7" x14ac:dyDescent="0.35">
      <c r="A672" s="6" t="s">
        <v>6818</v>
      </c>
      <c r="B672" s="8" t="s">
        <v>964</v>
      </c>
      <c r="C672" s="7">
        <v>45981</v>
      </c>
      <c r="D672" s="8">
        <v>5</v>
      </c>
      <c r="E672" s="8">
        <v>9</v>
      </c>
      <c r="F672" s="9" t="s">
        <v>6153</v>
      </c>
      <c r="G672" t="str">
        <f>IFERROR(INDEX(Ticket!$B$2:$B$6001,MATCH(B672,Ticket!$A$2:$A$6001,0)),"Ticket introuvable")</f>
        <v>AG-029</v>
      </c>
    </row>
    <row r="673" spans="1:7" x14ac:dyDescent="0.35">
      <c r="A673" s="10" t="s">
        <v>6819</v>
      </c>
      <c r="B673" s="12" t="s">
        <v>299</v>
      </c>
      <c r="C673" s="11">
        <v>45839</v>
      </c>
      <c r="D673" s="12">
        <v>3</v>
      </c>
      <c r="E673" s="12">
        <v>3</v>
      </c>
      <c r="F673" s="13" t="s">
        <v>6160</v>
      </c>
      <c r="G673" t="str">
        <f>IFERROR(INDEX(Ticket!$B$2:$B$6001,MATCH(B673,Ticket!$A$2:$A$6001,0)),"Ticket introuvable")</f>
        <v>AG-031</v>
      </c>
    </row>
    <row r="674" spans="1:7" x14ac:dyDescent="0.35">
      <c r="A674" s="6" t="s">
        <v>6820</v>
      </c>
      <c r="B674" s="8" t="s">
        <v>2344</v>
      </c>
      <c r="C674" s="7">
        <v>45967</v>
      </c>
      <c r="D674" s="8">
        <v>5</v>
      </c>
      <c r="E674" s="8">
        <v>9</v>
      </c>
      <c r="F674" s="9" t="s">
        <v>6160</v>
      </c>
      <c r="G674" t="str">
        <f>IFERROR(INDEX(Ticket!$B$2:$B$6001,MATCH(B674,Ticket!$A$2:$A$6001,0)),"Ticket introuvable")</f>
        <v>AG-014</v>
      </c>
    </row>
    <row r="675" spans="1:7" x14ac:dyDescent="0.35">
      <c r="A675" s="10" t="s">
        <v>6821</v>
      </c>
      <c r="B675" s="12" t="s">
        <v>2932</v>
      </c>
      <c r="C675" s="11">
        <v>45919</v>
      </c>
      <c r="D675" s="12">
        <v>5</v>
      </c>
      <c r="E675" s="12">
        <v>9</v>
      </c>
      <c r="F675" s="13" t="s">
        <v>6148</v>
      </c>
      <c r="G675" t="str">
        <f>IFERROR(INDEX(Ticket!$B$2:$B$6001,MATCH(B675,Ticket!$A$2:$A$6001,0)),"Ticket introuvable")</f>
        <v>AG-005</v>
      </c>
    </row>
    <row r="676" spans="1:7" x14ac:dyDescent="0.35">
      <c r="A676" s="6" t="s">
        <v>6822</v>
      </c>
      <c r="B676" s="8" t="s">
        <v>2951</v>
      </c>
      <c r="C676" s="7">
        <v>46003</v>
      </c>
      <c r="D676" s="8">
        <v>4</v>
      </c>
      <c r="E676" s="8">
        <v>10</v>
      </c>
      <c r="F676" s="9" t="s">
        <v>75</v>
      </c>
      <c r="G676" t="str">
        <f>IFERROR(INDEX(Ticket!$B$2:$B$6001,MATCH(B676,Ticket!$A$2:$A$6001,0)),"Ticket introuvable")</f>
        <v>AG-016</v>
      </c>
    </row>
    <row r="677" spans="1:7" x14ac:dyDescent="0.35">
      <c r="A677" s="10" t="s">
        <v>6823</v>
      </c>
      <c r="B677" s="12" t="s">
        <v>2213</v>
      </c>
      <c r="C677" s="11">
        <v>46009</v>
      </c>
      <c r="D677" s="12">
        <v>5</v>
      </c>
      <c r="E677" s="12">
        <v>8</v>
      </c>
      <c r="F677" s="13" t="s">
        <v>6142</v>
      </c>
      <c r="G677" t="str">
        <f>IFERROR(INDEX(Ticket!$B$2:$B$6001,MATCH(B677,Ticket!$A$2:$A$6001,0)),"Ticket introuvable")</f>
        <v>AG-008</v>
      </c>
    </row>
    <row r="678" spans="1:7" x14ac:dyDescent="0.35">
      <c r="A678" s="6" t="s">
        <v>6824</v>
      </c>
      <c r="B678" s="8" t="s">
        <v>4948</v>
      </c>
      <c r="C678" s="7">
        <v>45900</v>
      </c>
      <c r="D678" s="8">
        <v>5</v>
      </c>
      <c r="E678" s="8">
        <v>6</v>
      </c>
      <c r="F678" s="9" t="s">
        <v>8363</v>
      </c>
      <c r="G678" t="str">
        <f>IFERROR(INDEX(Ticket!$B$2:$B$6001,MATCH(B678,Ticket!$A$2:$A$6001,0)),"Ticket introuvable")</f>
        <v>AG-007</v>
      </c>
    </row>
    <row r="679" spans="1:7" x14ac:dyDescent="0.35">
      <c r="A679" s="10" t="s">
        <v>6825</v>
      </c>
      <c r="B679" s="12" t="s">
        <v>1109</v>
      </c>
      <c r="C679" s="11">
        <v>45778</v>
      </c>
      <c r="D679" s="12">
        <v>1</v>
      </c>
      <c r="E679" s="12">
        <v>8</v>
      </c>
      <c r="F679" s="13" t="s">
        <v>8363</v>
      </c>
      <c r="G679" t="str">
        <f>IFERROR(INDEX(Ticket!$B$2:$B$6001,MATCH(B679,Ticket!$A$2:$A$6001,0)),"Ticket introuvable")</f>
        <v>AG-040</v>
      </c>
    </row>
    <row r="680" spans="1:7" x14ac:dyDescent="0.35">
      <c r="A680" s="6" t="s">
        <v>6826</v>
      </c>
      <c r="B680" s="8" t="s">
        <v>886</v>
      </c>
      <c r="C680" s="7">
        <v>45945</v>
      </c>
      <c r="D680" s="8">
        <v>5</v>
      </c>
      <c r="E680" s="8">
        <v>10</v>
      </c>
      <c r="F680" s="9" t="s">
        <v>75</v>
      </c>
      <c r="G680" t="str">
        <f>IFERROR(INDEX(Ticket!$B$2:$B$6001,MATCH(B680,Ticket!$A$2:$A$6001,0)),"Ticket introuvable")</f>
        <v>AG-026</v>
      </c>
    </row>
    <row r="681" spans="1:7" x14ac:dyDescent="0.35">
      <c r="A681" s="10" t="s">
        <v>6827</v>
      </c>
      <c r="B681" s="12" t="s">
        <v>2424</v>
      </c>
      <c r="C681" s="11">
        <v>45920</v>
      </c>
      <c r="D681" s="12">
        <v>3</v>
      </c>
      <c r="E681" s="12">
        <v>3</v>
      </c>
      <c r="F681" s="13" t="s">
        <v>6142</v>
      </c>
      <c r="G681" t="str">
        <f>IFERROR(INDEX(Ticket!$B$2:$B$6001,MATCH(B681,Ticket!$A$2:$A$6001,0)),"Ticket introuvable")</f>
        <v>AG-032</v>
      </c>
    </row>
    <row r="682" spans="1:7" x14ac:dyDescent="0.35">
      <c r="A682" s="6" t="s">
        <v>6828</v>
      </c>
      <c r="B682" s="8" t="s">
        <v>4720</v>
      </c>
      <c r="C682" s="7">
        <v>45695</v>
      </c>
      <c r="D682" s="8">
        <v>4</v>
      </c>
      <c r="E682" s="8">
        <v>9</v>
      </c>
      <c r="F682" s="9" t="s">
        <v>8363</v>
      </c>
      <c r="G682" t="str">
        <f>IFERROR(INDEX(Ticket!$B$2:$B$6001,MATCH(B682,Ticket!$A$2:$A$6001,0)),"Ticket introuvable")</f>
        <v>AG-020</v>
      </c>
    </row>
    <row r="683" spans="1:7" x14ac:dyDescent="0.35">
      <c r="A683" s="10" t="s">
        <v>6829</v>
      </c>
      <c r="B683" s="12" t="s">
        <v>2838</v>
      </c>
      <c r="C683" s="11">
        <v>45869</v>
      </c>
      <c r="D683" s="12">
        <v>2</v>
      </c>
      <c r="E683" s="12">
        <v>10</v>
      </c>
      <c r="F683" s="13" t="s">
        <v>6153</v>
      </c>
      <c r="G683" t="str">
        <f>IFERROR(INDEX(Ticket!$B$2:$B$6001,MATCH(B683,Ticket!$A$2:$A$6001,0)),"Ticket introuvable")</f>
        <v>AG-033</v>
      </c>
    </row>
    <row r="684" spans="1:7" x14ac:dyDescent="0.35">
      <c r="A684" s="6" t="s">
        <v>6830</v>
      </c>
      <c r="B684" s="8" t="s">
        <v>3020</v>
      </c>
      <c r="C684" s="7">
        <v>45717</v>
      </c>
      <c r="D684" s="8">
        <v>5</v>
      </c>
      <c r="E684" s="8">
        <v>0</v>
      </c>
      <c r="F684" s="9" t="s">
        <v>6153</v>
      </c>
      <c r="G684" t="str">
        <f>IFERROR(INDEX(Ticket!$B$2:$B$6001,MATCH(B684,Ticket!$A$2:$A$6001,0)),"Ticket introuvable")</f>
        <v>AG-014</v>
      </c>
    </row>
    <row r="685" spans="1:7" x14ac:dyDescent="0.35">
      <c r="A685" s="10" t="s">
        <v>6831</v>
      </c>
      <c r="B685" s="12" t="s">
        <v>2084</v>
      </c>
      <c r="C685" s="11">
        <v>45936</v>
      </c>
      <c r="D685" s="12">
        <v>5</v>
      </c>
      <c r="E685" s="12">
        <v>9</v>
      </c>
      <c r="F685" s="13" t="s">
        <v>75</v>
      </c>
      <c r="G685" t="str">
        <f>IFERROR(INDEX(Ticket!$B$2:$B$6001,MATCH(B685,Ticket!$A$2:$A$6001,0)),"Ticket introuvable")</f>
        <v>AG-039</v>
      </c>
    </row>
    <row r="686" spans="1:7" x14ac:dyDescent="0.35">
      <c r="A686" s="6" t="s">
        <v>6832</v>
      </c>
      <c r="B686" s="8" t="s">
        <v>3707</v>
      </c>
      <c r="C686" s="7">
        <v>45815</v>
      </c>
      <c r="D686" s="8">
        <v>2</v>
      </c>
      <c r="E686" s="8">
        <v>6</v>
      </c>
      <c r="F686" s="9" t="s">
        <v>75</v>
      </c>
      <c r="G686" t="str">
        <f>IFERROR(INDEX(Ticket!$B$2:$B$6001,MATCH(B686,Ticket!$A$2:$A$6001,0)),"Ticket introuvable")</f>
        <v>AG-014</v>
      </c>
    </row>
    <row r="687" spans="1:7" x14ac:dyDescent="0.35">
      <c r="A687" s="10" t="s">
        <v>6833</v>
      </c>
      <c r="B687" s="12" t="s">
        <v>1518</v>
      </c>
      <c r="C687" s="11">
        <v>45765</v>
      </c>
      <c r="D687" s="12">
        <v>3</v>
      </c>
      <c r="E687" s="12">
        <v>6</v>
      </c>
      <c r="F687" s="13" t="s">
        <v>8363</v>
      </c>
      <c r="G687" t="str">
        <f>IFERROR(INDEX(Ticket!$B$2:$B$6001,MATCH(B687,Ticket!$A$2:$A$6001,0)),"Ticket introuvable")</f>
        <v>AG-027</v>
      </c>
    </row>
    <row r="688" spans="1:7" x14ac:dyDescent="0.35">
      <c r="A688" s="6" t="s">
        <v>6834</v>
      </c>
      <c r="B688" s="8" t="s">
        <v>947</v>
      </c>
      <c r="C688" s="7">
        <v>45905</v>
      </c>
      <c r="D688" s="8">
        <v>2</v>
      </c>
      <c r="E688" s="8">
        <v>6</v>
      </c>
      <c r="F688" s="9" t="s">
        <v>6153</v>
      </c>
      <c r="G688" t="str">
        <f>IFERROR(INDEX(Ticket!$B$2:$B$6001,MATCH(B688,Ticket!$A$2:$A$6001,0)),"Ticket introuvable")</f>
        <v>AG-008</v>
      </c>
    </row>
    <row r="689" spans="1:7" x14ac:dyDescent="0.35">
      <c r="A689" s="10" t="s">
        <v>6835</v>
      </c>
      <c r="B689" s="12" t="s">
        <v>3798</v>
      </c>
      <c r="C689" s="11">
        <v>45671</v>
      </c>
      <c r="D689" s="12"/>
      <c r="E689" s="12">
        <v>10</v>
      </c>
      <c r="F689" s="13" t="s">
        <v>75</v>
      </c>
      <c r="G689" t="str">
        <f>IFERROR(INDEX(Ticket!$B$2:$B$6001,MATCH(B689,Ticket!$A$2:$A$6001,0)),"Ticket introuvable")</f>
        <v>AG-039</v>
      </c>
    </row>
    <row r="690" spans="1:7" x14ac:dyDescent="0.35">
      <c r="A690" s="6" t="s">
        <v>6836</v>
      </c>
      <c r="B690" s="8" t="s">
        <v>5695</v>
      </c>
      <c r="C690" s="7">
        <v>45706</v>
      </c>
      <c r="D690" s="8">
        <v>5</v>
      </c>
      <c r="E690" s="8">
        <v>10</v>
      </c>
      <c r="F690" s="9" t="s">
        <v>6142</v>
      </c>
      <c r="G690" t="str">
        <f>IFERROR(INDEX(Ticket!$B$2:$B$6001,MATCH(B690,Ticket!$A$2:$A$6001,0)),"Ticket introuvable")</f>
        <v>AG-014</v>
      </c>
    </row>
    <row r="691" spans="1:7" x14ac:dyDescent="0.35">
      <c r="A691" s="10" t="s">
        <v>6837</v>
      </c>
      <c r="B691" s="12" t="s">
        <v>2511</v>
      </c>
      <c r="C691" s="11">
        <v>45784</v>
      </c>
      <c r="D691" s="12">
        <v>4</v>
      </c>
      <c r="E691" s="12">
        <v>4</v>
      </c>
      <c r="F691" s="13" t="s">
        <v>6160</v>
      </c>
      <c r="G691" t="str">
        <f>IFERROR(INDEX(Ticket!$B$2:$B$6001,MATCH(B691,Ticket!$A$2:$A$6001,0)),"Ticket introuvable")</f>
        <v>AG-038</v>
      </c>
    </row>
    <row r="692" spans="1:7" x14ac:dyDescent="0.35">
      <c r="A692" s="6" t="s">
        <v>6838</v>
      </c>
      <c r="B692" s="8" t="s">
        <v>2354</v>
      </c>
      <c r="C692" s="7">
        <v>45760</v>
      </c>
      <c r="D692" s="8">
        <v>4</v>
      </c>
      <c r="E692" s="8">
        <v>10</v>
      </c>
      <c r="F692" s="9" t="s">
        <v>8363</v>
      </c>
      <c r="G692" t="str">
        <f>IFERROR(INDEX(Ticket!$B$2:$B$6001,MATCH(B692,Ticket!$A$2:$A$6001,0)),"Ticket introuvable")</f>
        <v>AG-016</v>
      </c>
    </row>
    <row r="693" spans="1:7" x14ac:dyDescent="0.35">
      <c r="A693" s="10" t="s">
        <v>6839</v>
      </c>
      <c r="B693" s="12" t="s">
        <v>5593</v>
      </c>
      <c r="C693" s="11">
        <v>45714</v>
      </c>
      <c r="D693" s="12">
        <v>4</v>
      </c>
      <c r="E693" s="12"/>
      <c r="F693" s="13" t="s">
        <v>75</v>
      </c>
      <c r="G693" t="str">
        <f>IFERROR(INDEX(Ticket!$B$2:$B$6001,MATCH(B693,Ticket!$A$2:$A$6001,0)),"Ticket introuvable")</f>
        <v>AG-034</v>
      </c>
    </row>
    <row r="694" spans="1:7" x14ac:dyDescent="0.35">
      <c r="A694" s="6" t="s">
        <v>6840</v>
      </c>
      <c r="B694" s="8" t="s">
        <v>3306</v>
      </c>
      <c r="C694" s="7">
        <v>45732</v>
      </c>
      <c r="D694" s="8">
        <v>5</v>
      </c>
      <c r="E694" s="8">
        <v>7</v>
      </c>
      <c r="F694" s="9" t="s">
        <v>6142</v>
      </c>
      <c r="G694" t="str">
        <f>IFERROR(INDEX(Ticket!$B$2:$B$6001,MATCH(B694,Ticket!$A$2:$A$6001,0)),"Ticket introuvable")</f>
        <v>AG-007</v>
      </c>
    </row>
    <row r="695" spans="1:7" x14ac:dyDescent="0.35">
      <c r="A695" s="10" t="s">
        <v>6841</v>
      </c>
      <c r="B695" s="12" t="s">
        <v>547</v>
      </c>
      <c r="C695" s="11">
        <v>45783</v>
      </c>
      <c r="D695" s="12">
        <v>5</v>
      </c>
      <c r="E695" s="12">
        <v>9</v>
      </c>
      <c r="F695" s="13" t="s">
        <v>6148</v>
      </c>
      <c r="G695" t="str">
        <f>IFERROR(INDEX(Ticket!$B$2:$B$6001,MATCH(B695,Ticket!$A$2:$A$6001,0)),"Ticket introuvable")</f>
        <v>AG-014</v>
      </c>
    </row>
    <row r="696" spans="1:7" x14ac:dyDescent="0.35">
      <c r="A696" s="6" t="s">
        <v>6842</v>
      </c>
      <c r="B696" s="8" t="s">
        <v>2226</v>
      </c>
      <c r="C696" s="7">
        <v>45842</v>
      </c>
      <c r="D696" s="8">
        <v>4</v>
      </c>
      <c r="E696" s="8">
        <v>6</v>
      </c>
      <c r="F696" s="9" t="s">
        <v>8363</v>
      </c>
      <c r="G696" t="str">
        <f>IFERROR(INDEX(Ticket!$B$2:$B$6001,MATCH(B696,Ticket!$A$2:$A$6001,0)),"Ticket introuvable")</f>
        <v>AG-019</v>
      </c>
    </row>
    <row r="697" spans="1:7" x14ac:dyDescent="0.35">
      <c r="A697" s="10" t="s">
        <v>6843</v>
      </c>
      <c r="B697" s="12" t="s">
        <v>2363</v>
      </c>
      <c r="C697" s="11">
        <v>45932</v>
      </c>
      <c r="D697" s="12">
        <v>4</v>
      </c>
      <c r="E697" s="12">
        <v>10</v>
      </c>
      <c r="F697" s="13" t="s">
        <v>6153</v>
      </c>
      <c r="G697" t="str">
        <f>IFERROR(INDEX(Ticket!$B$2:$B$6001,MATCH(B697,Ticket!$A$2:$A$6001,0)),"Ticket introuvable")</f>
        <v>AG-008</v>
      </c>
    </row>
    <row r="698" spans="1:7" x14ac:dyDescent="0.35">
      <c r="A698" s="6" t="s">
        <v>6844</v>
      </c>
      <c r="B698" s="8" t="s">
        <v>2797</v>
      </c>
      <c r="C698" s="7">
        <v>45796</v>
      </c>
      <c r="D698" s="8">
        <v>5</v>
      </c>
      <c r="E698" s="8">
        <v>9</v>
      </c>
      <c r="F698" s="9" t="s">
        <v>75</v>
      </c>
      <c r="G698" t="str">
        <f>IFERROR(INDEX(Ticket!$B$2:$B$6001,MATCH(B698,Ticket!$A$2:$A$6001,0)),"Ticket introuvable")</f>
        <v>AG-038</v>
      </c>
    </row>
    <row r="699" spans="1:7" x14ac:dyDescent="0.35">
      <c r="A699" s="10" t="s">
        <v>6845</v>
      </c>
      <c r="B699" s="12" t="s">
        <v>4837</v>
      </c>
      <c r="C699" s="11">
        <v>45828</v>
      </c>
      <c r="D699" s="12">
        <v>4</v>
      </c>
      <c r="E699" s="12">
        <v>9</v>
      </c>
      <c r="F699" s="13" t="s">
        <v>8363</v>
      </c>
      <c r="G699" t="str">
        <f>IFERROR(INDEX(Ticket!$B$2:$B$6001,MATCH(B699,Ticket!$A$2:$A$6001,0)),"Ticket introuvable")</f>
        <v>AG-011</v>
      </c>
    </row>
    <row r="700" spans="1:7" x14ac:dyDescent="0.35">
      <c r="A700" s="6" t="s">
        <v>6846</v>
      </c>
      <c r="B700" s="8" t="s">
        <v>2536</v>
      </c>
      <c r="C700" s="7">
        <v>45721</v>
      </c>
      <c r="D700" s="8">
        <v>4</v>
      </c>
      <c r="E700" s="8">
        <v>9</v>
      </c>
      <c r="F700" s="9" t="s">
        <v>75</v>
      </c>
      <c r="G700" t="str">
        <f>IFERROR(INDEX(Ticket!$B$2:$B$6001,MATCH(B700,Ticket!$A$2:$A$6001,0)),"Ticket introuvable")</f>
        <v>AG-034</v>
      </c>
    </row>
    <row r="701" spans="1:7" x14ac:dyDescent="0.35">
      <c r="A701" s="10" t="s">
        <v>6847</v>
      </c>
      <c r="B701" s="12" t="s">
        <v>5419</v>
      </c>
      <c r="C701" s="11">
        <v>45825</v>
      </c>
      <c r="D701" s="12">
        <v>5</v>
      </c>
      <c r="E701" s="12">
        <v>5</v>
      </c>
      <c r="F701" s="13" t="s">
        <v>6153</v>
      </c>
      <c r="G701" t="str">
        <f>IFERROR(INDEX(Ticket!$B$2:$B$6001,MATCH(B701,Ticket!$A$2:$A$6001,0)),"Ticket introuvable")</f>
        <v>AG-011</v>
      </c>
    </row>
    <row r="702" spans="1:7" x14ac:dyDescent="0.35">
      <c r="A702" s="6" t="s">
        <v>6848</v>
      </c>
      <c r="B702" s="8" t="s">
        <v>5111</v>
      </c>
      <c r="C702" s="7">
        <v>45802</v>
      </c>
      <c r="D702" s="8">
        <v>2</v>
      </c>
      <c r="E702" s="8">
        <v>2</v>
      </c>
      <c r="F702" s="9" t="s">
        <v>6160</v>
      </c>
      <c r="G702" t="str">
        <f>IFERROR(INDEX(Ticket!$B$2:$B$6001,MATCH(B702,Ticket!$A$2:$A$6001,0)),"Ticket introuvable")</f>
        <v>AG-037</v>
      </c>
    </row>
    <row r="703" spans="1:7" x14ac:dyDescent="0.35">
      <c r="A703" s="10" t="s">
        <v>6849</v>
      </c>
      <c r="B703" s="12" t="s">
        <v>5351</v>
      </c>
      <c r="C703" s="11">
        <v>45700</v>
      </c>
      <c r="D703" s="12">
        <v>4</v>
      </c>
      <c r="E703" s="12">
        <v>2</v>
      </c>
      <c r="F703" s="13" t="s">
        <v>8363</v>
      </c>
      <c r="G703" t="str">
        <f>IFERROR(INDEX(Ticket!$B$2:$B$6001,MATCH(B703,Ticket!$A$2:$A$6001,0)),"Ticket introuvable")</f>
        <v>AG-026</v>
      </c>
    </row>
    <row r="704" spans="1:7" x14ac:dyDescent="0.35">
      <c r="A704" s="6" t="s">
        <v>6850</v>
      </c>
      <c r="B704" s="8" t="s">
        <v>746</v>
      </c>
      <c r="C704" s="7">
        <v>45659</v>
      </c>
      <c r="D704" s="8">
        <v>2</v>
      </c>
      <c r="E704" s="8">
        <v>5</v>
      </c>
      <c r="F704" s="9" t="s">
        <v>6142</v>
      </c>
      <c r="G704" t="str">
        <f>IFERROR(INDEX(Ticket!$B$2:$B$6001,MATCH(B704,Ticket!$A$2:$A$6001,0)),"Ticket introuvable")</f>
        <v>AG-024</v>
      </c>
    </row>
    <row r="705" spans="1:7" x14ac:dyDescent="0.35">
      <c r="A705" s="10" t="s">
        <v>6851</v>
      </c>
      <c r="B705" s="12" t="s">
        <v>4149</v>
      </c>
      <c r="C705" s="11">
        <v>45879</v>
      </c>
      <c r="D705" s="12">
        <v>4</v>
      </c>
      <c r="E705" s="12">
        <v>7</v>
      </c>
      <c r="F705" s="13" t="s">
        <v>75</v>
      </c>
      <c r="G705" t="str">
        <f>IFERROR(INDEX(Ticket!$B$2:$B$6001,MATCH(B705,Ticket!$A$2:$A$6001,0)),"Ticket introuvable")</f>
        <v>AG-033</v>
      </c>
    </row>
    <row r="706" spans="1:7" x14ac:dyDescent="0.35">
      <c r="A706" s="6" t="s">
        <v>6852</v>
      </c>
      <c r="B706" s="8" t="s">
        <v>1227</v>
      </c>
      <c r="C706" s="7">
        <v>45968</v>
      </c>
      <c r="D706" s="8">
        <v>4</v>
      </c>
      <c r="E706" s="8"/>
      <c r="F706" s="9" t="s">
        <v>8363</v>
      </c>
      <c r="G706" t="str">
        <f>IFERROR(INDEX(Ticket!$B$2:$B$6001,MATCH(B706,Ticket!$A$2:$A$6001,0)),"Ticket introuvable")</f>
        <v>AG-014</v>
      </c>
    </row>
    <row r="707" spans="1:7" x14ac:dyDescent="0.35">
      <c r="A707" s="10" t="s">
        <v>6853</v>
      </c>
      <c r="B707" s="12" t="s">
        <v>6854</v>
      </c>
      <c r="C707" s="11">
        <v>45799</v>
      </c>
      <c r="D707" s="12">
        <v>3</v>
      </c>
      <c r="E707" s="12">
        <v>9</v>
      </c>
      <c r="F707" s="13" t="s">
        <v>8363</v>
      </c>
      <c r="G707" t="str">
        <f>IFERROR(INDEX(Ticket!$B$2:$B$6001,MATCH(B707,Ticket!$A$2:$A$6001,0)),"Ticket introuvable")</f>
        <v>Ticket introuvable</v>
      </c>
    </row>
    <row r="708" spans="1:7" x14ac:dyDescent="0.35">
      <c r="A708" s="6" t="s">
        <v>6855</v>
      </c>
      <c r="B708" s="8" t="s">
        <v>2779</v>
      </c>
      <c r="C708" s="7">
        <v>45791</v>
      </c>
      <c r="D708" s="8">
        <v>5</v>
      </c>
      <c r="E708" s="8">
        <v>8</v>
      </c>
      <c r="F708" s="9" t="s">
        <v>6142</v>
      </c>
      <c r="G708" t="str">
        <f>IFERROR(INDEX(Ticket!$B$2:$B$6001,MATCH(B708,Ticket!$A$2:$A$6001,0)),"Ticket introuvable")</f>
        <v>AG-021</v>
      </c>
    </row>
    <row r="709" spans="1:7" x14ac:dyDescent="0.35">
      <c r="A709" s="10" t="s">
        <v>6856</v>
      </c>
      <c r="B709" s="12" t="s">
        <v>2611</v>
      </c>
      <c r="C709" s="11">
        <v>45747</v>
      </c>
      <c r="D709" s="12">
        <v>4</v>
      </c>
      <c r="E709" s="12">
        <v>6</v>
      </c>
      <c r="F709" s="13" t="s">
        <v>6142</v>
      </c>
      <c r="G709" t="str">
        <f>IFERROR(INDEX(Ticket!$B$2:$B$6001,MATCH(B709,Ticket!$A$2:$A$6001,0)),"Ticket introuvable")</f>
        <v>AG-024</v>
      </c>
    </row>
    <row r="710" spans="1:7" x14ac:dyDescent="0.35">
      <c r="A710" s="6" t="s">
        <v>6857</v>
      </c>
      <c r="B710" s="8" t="s">
        <v>841</v>
      </c>
      <c r="C710" s="7">
        <v>45833</v>
      </c>
      <c r="D710" s="8">
        <v>3</v>
      </c>
      <c r="E710" s="8">
        <v>10</v>
      </c>
      <c r="F710" s="9" t="s">
        <v>6153</v>
      </c>
      <c r="G710" t="str">
        <f>IFERROR(INDEX(Ticket!$B$2:$B$6001,MATCH(B710,Ticket!$A$2:$A$6001,0)),"Ticket introuvable")</f>
        <v>AG-034</v>
      </c>
    </row>
    <row r="711" spans="1:7" x14ac:dyDescent="0.35">
      <c r="A711" s="10" t="s">
        <v>6858</v>
      </c>
      <c r="B711" s="12" t="s">
        <v>5075</v>
      </c>
      <c r="C711" s="11">
        <v>45668</v>
      </c>
      <c r="D711" s="12">
        <v>4</v>
      </c>
      <c r="E711" s="12">
        <v>7</v>
      </c>
      <c r="F711" s="13" t="s">
        <v>8363</v>
      </c>
      <c r="G711" t="str">
        <f>IFERROR(INDEX(Ticket!$B$2:$B$6001,MATCH(B711,Ticket!$A$2:$A$6001,0)),"Ticket introuvable")</f>
        <v>AG-011</v>
      </c>
    </row>
    <row r="712" spans="1:7" x14ac:dyDescent="0.35">
      <c r="A712" s="6" t="s">
        <v>6859</v>
      </c>
      <c r="B712" s="8" t="s">
        <v>5820</v>
      </c>
      <c r="C712" s="7">
        <v>45806</v>
      </c>
      <c r="D712" s="8">
        <v>5</v>
      </c>
      <c r="E712" s="8">
        <v>6</v>
      </c>
      <c r="F712" s="9" t="s">
        <v>8363</v>
      </c>
      <c r="G712" t="str">
        <f>IFERROR(INDEX(Ticket!$B$2:$B$6001,MATCH(B712,Ticket!$A$2:$A$6001,0)),"Ticket introuvable")</f>
        <v>AG-025</v>
      </c>
    </row>
    <row r="713" spans="1:7" x14ac:dyDescent="0.35">
      <c r="A713" s="10" t="s">
        <v>6860</v>
      </c>
      <c r="B713" s="12" t="s">
        <v>98</v>
      </c>
      <c r="C713" s="11">
        <v>45837</v>
      </c>
      <c r="D713" s="12">
        <v>5</v>
      </c>
      <c r="E713" s="12">
        <v>10</v>
      </c>
      <c r="F713" s="13" t="s">
        <v>6148</v>
      </c>
      <c r="G713" t="str">
        <f>IFERROR(INDEX(Ticket!$B$2:$B$6001,MATCH(B713,Ticket!$A$2:$A$6001,0)),"Ticket introuvable")</f>
        <v>AG-003</v>
      </c>
    </row>
    <row r="714" spans="1:7" x14ac:dyDescent="0.35">
      <c r="A714" s="6" t="s">
        <v>6861</v>
      </c>
      <c r="B714" s="8" t="s">
        <v>568</v>
      </c>
      <c r="C714" s="7">
        <v>45820</v>
      </c>
      <c r="D714" s="8">
        <v>2</v>
      </c>
      <c r="E714" s="8">
        <v>9</v>
      </c>
      <c r="F714" s="9" t="s">
        <v>8363</v>
      </c>
      <c r="G714" t="str">
        <f>IFERROR(INDEX(Ticket!$B$2:$B$6001,MATCH(B714,Ticket!$A$2:$A$6001,0)),"Ticket introuvable")</f>
        <v>AG-019</v>
      </c>
    </row>
    <row r="715" spans="1:7" x14ac:dyDescent="0.35">
      <c r="A715" s="10" t="s">
        <v>6862</v>
      </c>
      <c r="B715" s="12" t="s">
        <v>4288</v>
      </c>
      <c r="C715" s="11">
        <v>45918</v>
      </c>
      <c r="D715" s="12">
        <v>4</v>
      </c>
      <c r="E715" s="12">
        <v>9</v>
      </c>
      <c r="F715" s="13" t="s">
        <v>6153</v>
      </c>
      <c r="G715" t="str">
        <f>IFERROR(INDEX(Ticket!$B$2:$B$6001,MATCH(B715,Ticket!$A$2:$A$6001,0)),"Ticket introuvable")</f>
        <v>AG-007</v>
      </c>
    </row>
    <row r="716" spans="1:7" x14ac:dyDescent="0.35">
      <c r="A716" s="6" t="s">
        <v>6863</v>
      </c>
      <c r="B716" s="8" t="s">
        <v>2186</v>
      </c>
      <c r="C716" s="7">
        <v>45787</v>
      </c>
      <c r="D716" s="8">
        <v>5</v>
      </c>
      <c r="E716" s="8">
        <v>4</v>
      </c>
      <c r="F716" s="9" t="s">
        <v>6160</v>
      </c>
      <c r="G716" t="str">
        <f>IFERROR(INDEX(Ticket!$B$2:$B$6001,MATCH(B716,Ticket!$A$2:$A$6001,0)),"Ticket introuvable")</f>
        <v>AG-023</v>
      </c>
    </row>
    <row r="717" spans="1:7" x14ac:dyDescent="0.35">
      <c r="A717" s="10" t="s">
        <v>6864</v>
      </c>
      <c r="B717" s="12" t="s">
        <v>4680</v>
      </c>
      <c r="C717" s="11">
        <v>45926</v>
      </c>
      <c r="D717" s="12">
        <v>4</v>
      </c>
      <c r="E717" s="12">
        <v>9</v>
      </c>
      <c r="F717" s="13" t="s">
        <v>6153</v>
      </c>
      <c r="G717" t="str">
        <f>IFERROR(INDEX(Ticket!$B$2:$B$6001,MATCH(B717,Ticket!$A$2:$A$6001,0)),"Ticket introuvable")</f>
        <v>AG-011</v>
      </c>
    </row>
    <row r="718" spans="1:7" x14ac:dyDescent="0.35">
      <c r="A718" s="6" t="s">
        <v>6865</v>
      </c>
      <c r="B718" s="8" t="s">
        <v>4877</v>
      </c>
      <c r="C718" s="7">
        <v>46011</v>
      </c>
      <c r="D718" s="8">
        <v>2</v>
      </c>
      <c r="E718" s="8">
        <v>9</v>
      </c>
      <c r="F718" s="9" t="s">
        <v>8363</v>
      </c>
      <c r="G718" t="str">
        <f>IFERROR(INDEX(Ticket!$B$2:$B$6001,MATCH(B718,Ticket!$A$2:$A$6001,0)),"Ticket introuvable")</f>
        <v>AG-019</v>
      </c>
    </row>
    <row r="719" spans="1:7" x14ac:dyDescent="0.35">
      <c r="A719" s="10" t="s">
        <v>6866</v>
      </c>
      <c r="B719" s="12" t="s">
        <v>829</v>
      </c>
      <c r="C719" s="11">
        <v>45884</v>
      </c>
      <c r="D719" s="12">
        <v>4</v>
      </c>
      <c r="E719" s="12">
        <v>7</v>
      </c>
      <c r="F719" s="13" t="s">
        <v>75</v>
      </c>
      <c r="G719" t="str">
        <f>IFERROR(INDEX(Ticket!$B$2:$B$6001,MATCH(B719,Ticket!$A$2:$A$6001,0)),"Ticket introuvable")</f>
        <v>AG-013</v>
      </c>
    </row>
    <row r="720" spans="1:7" x14ac:dyDescent="0.35">
      <c r="A720" s="6" t="s">
        <v>6867</v>
      </c>
      <c r="B720" s="8" t="s">
        <v>3571</v>
      </c>
      <c r="C720" s="7">
        <v>45948</v>
      </c>
      <c r="D720" s="8">
        <v>3</v>
      </c>
      <c r="E720" s="8">
        <v>7</v>
      </c>
      <c r="F720" s="9" t="s">
        <v>8363</v>
      </c>
      <c r="G720" t="str">
        <f>IFERROR(INDEX(Ticket!$B$2:$B$6001,MATCH(B720,Ticket!$A$2:$A$6001,0)),"Ticket introuvable")</f>
        <v>AG-037</v>
      </c>
    </row>
    <row r="721" spans="1:7" x14ac:dyDescent="0.35">
      <c r="A721" s="10" t="s">
        <v>6868</v>
      </c>
      <c r="B721" s="12" t="s">
        <v>1180</v>
      </c>
      <c r="C721" s="11">
        <v>45878</v>
      </c>
      <c r="D721" s="12">
        <v>4</v>
      </c>
      <c r="E721" s="12"/>
      <c r="F721" s="13" t="s">
        <v>8363</v>
      </c>
      <c r="G721" t="str">
        <f>IFERROR(INDEX(Ticket!$B$2:$B$6001,MATCH(B721,Ticket!$A$2:$A$6001,0)),"Ticket introuvable")</f>
        <v>AG-011</v>
      </c>
    </row>
    <row r="722" spans="1:7" x14ac:dyDescent="0.35">
      <c r="A722" s="6" t="s">
        <v>6869</v>
      </c>
      <c r="B722" s="8" t="s">
        <v>6027</v>
      </c>
      <c r="C722" s="7">
        <v>45757</v>
      </c>
      <c r="D722" s="8">
        <v>4</v>
      </c>
      <c r="E722" s="8">
        <v>8</v>
      </c>
      <c r="F722" s="9" t="s">
        <v>6160</v>
      </c>
      <c r="G722" t="str">
        <f>IFERROR(INDEX(Ticket!$B$2:$B$6001,MATCH(B722,Ticket!$A$2:$A$6001,0)),"Ticket introuvable")</f>
        <v>AG-015</v>
      </c>
    </row>
    <row r="723" spans="1:7" x14ac:dyDescent="0.35">
      <c r="A723" s="10" t="s">
        <v>6870</v>
      </c>
      <c r="B723" s="12" t="s">
        <v>1823</v>
      </c>
      <c r="C723" s="11">
        <v>46015</v>
      </c>
      <c r="D723" s="12"/>
      <c r="E723" s="12">
        <v>7</v>
      </c>
      <c r="F723" s="13" t="s">
        <v>6148</v>
      </c>
      <c r="G723" t="str">
        <f>IFERROR(INDEX(Ticket!$B$2:$B$6001,MATCH(B723,Ticket!$A$2:$A$6001,0)),"Ticket introuvable")</f>
        <v>AG-016</v>
      </c>
    </row>
    <row r="724" spans="1:7" x14ac:dyDescent="0.35">
      <c r="A724" s="6" t="s">
        <v>6871</v>
      </c>
      <c r="B724" s="8" t="s">
        <v>1400</v>
      </c>
      <c r="C724" s="7">
        <v>45766</v>
      </c>
      <c r="D724" s="8">
        <v>5</v>
      </c>
      <c r="E724" s="8">
        <v>10</v>
      </c>
      <c r="F724" s="9" t="s">
        <v>75</v>
      </c>
      <c r="G724" t="str">
        <f>IFERROR(INDEX(Ticket!$B$2:$B$6001,MATCH(B724,Ticket!$A$2:$A$6001,0)),"Ticket introuvable")</f>
        <v>AG-018</v>
      </c>
    </row>
    <row r="725" spans="1:7" x14ac:dyDescent="0.35">
      <c r="A725" s="10" t="s">
        <v>6872</v>
      </c>
      <c r="B725" s="12" t="s">
        <v>5889</v>
      </c>
      <c r="C725" s="11">
        <v>45929</v>
      </c>
      <c r="D725" s="12">
        <v>3</v>
      </c>
      <c r="E725" s="12">
        <v>0</v>
      </c>
      <c r="F725" s="13" t="s">
        <v>8363</v>
      </c>
      <c r="G725" t="str">
        <f>IFERROR(INDEX(Ticket!$B$2:$B$6001,MATCH(B725,Ticket!$A$2:$A$6001,0)),"Ticket introuvable")</f>
        <v>AG-007</v>
      </c>
    </row>
    <row r="726" spans="1:7" x14ac:dyDescent="0.35">
      <c r="A726" s="6" t="s">
        <v>6873</v>
      </c>
      <c r="B726" s="8" t="s">
        <v>3148</v>
      </c>
      <c r="C726" s="7">
        <v>45897</v>
      </c>
      <c r="D726" s="8">
        <v>5</v>
      </c>
      <c r="E726" s="8">
        <v>10</v>
      </c>
      <c r="F726" s="9" t="s">
        <v>6142</v>
      </c>
      <c r="G726" t="str">
        <f>IFERROR(INDEX(Ticket!$B$2:$B$6001,MATCH(B726,Ticket!$A$2:$A$6001,0)),"Ticket introuvable")</f>
        <v>AG-038</v>
      </c>
    </row>
    <row r="727" spans="1:7" x14ac:dyDescent="0.35">
      <c r="A727" s="10" t="s">
        <v>6874</v>
      </c>
      <c r="B727" s="12" t="s">
        <v>877</v>
      </c>
      <c r="C727" s="11">
        <v>45850</v>
      </c>
      <c r="D727" s="12">
        <v>5</v>
      </c>
      <c r="E727" s="12">
        <v>8</v>
      </c>
      <c r="F727" s="13" t="s">
        <v>6142</v>
      </c>
      <c r="G727" t="str">
        <f>IFERROR(INDEX(Ticket!$B$2:$B$6001,MATCH(B727,Ticket!$A$2:$A$6001,0)),"Ticket introuvable")</f>
        <v>AG-031</v>
      </c>
    </row>
    <row r="728" spans="1:7" x14ac:dyDescent="0.35">
      <c r="A728" s="6" t="s">
        <v>6875</v>
      </c>
      <c r="B728" s="8" t="s">
        <v>351</v>
      </c>
      <c r="C728" s="7">
        <v>45687</v>
      </c>
      <c r="D728" s="8">
        <v>5</v>
      </c>
      <c r="E728" s="8">
        <v>2</v>
      </c>
      <c r="F728" s="9" t="s">
        <v>8363</v>
      </c>
      <c r="G728" t="str">
        <f>IFERROR(INDEX(Ticket!$B$2:$B$6001,MATCH(B728,Ticket!$A$2:$A$6001,0)),"Ticket introuvable")</f>
        <v>AG-035</v>
      </c>
    </row>
    <row r="729" spans="1:7" x14ac:dyDescent="0.35">
      <c r="A729" s="10" t="s">
        <v>6876</v>
      </c>
      <c r="B729" s="12" t="s">
        <v>4373</v>
      </c>
      <c r="C729" s="11">
        <v>46010</v>
      </c>
      <c r="D729" s="12">
        <v>5</v>
      </c>
      <c r="E729" s="12">
        <v>5</v>
      </c>
      <c r="F729" s="13" t="s">
        <v>6142</v>
      </c>
      <c r="G729" t="str">
        <f>IFERROR(INDEX(Ticket!$B$2:$B$6001,MATCH(B729,Ticket!$A$2:$A$6001,0)),"Ticket introuvable")</f>
        <v>AG-035</v>
      </c>
    </row>
    <row r="730" spans="1:7" x14ac:dyDescent="0.35">
      <c r="A730" s="6" t="s">
        <v>6877</v>
      </c>
      <c r="B730" s="8" t="s">
        <v>1958</v>
      </c>
      <c r="C730" s="7">
        <v>45942</v>
      </c>
      <c r="D730" s="8">
        <v>5</v>
      </c>
      <c r="E730" s="8">
        <v>10</v>
      </c>
      <c r="F730" s="9" t="s">
        <v>8363</v>
      </c>
      <c r="G730" t="str">
        <f>IFERROR(INDEX(Ticket!$B$2:$B$6001,MATCH(B730,Ticket!$A$2:$A$6001,0)),"Ticket introuvable")</f>
        <v>AG-013</v>
      </c>
    </row>
    <row r="731" spans="1:7" x14ac:dyDescent="0.35">
      <c r="A731" s="10" t="s">
        <v>6878</v>
      </c>
      <c r="B731" s="12" t="s">
        <v>5851</v>
      </c>
      <c r="C731" s="11">
        <v>45735</v>
      </c>
      <c r="D731" s="12">
        <v>3</v>
      </c>
      <c r="E731" s="12">
        <v>9</v>
      </c>
      <c r="F731" s="13" t="s">
        <v>6160</v>
      </c>
      <c r="G731" t="str">
        <f>IFERROR(INDEX(Ticket!$B$2:$B$6001,MATCH(B731,Ticket!$A$2:$A$6001,0)),"Ticket introuvable")</f>
        <v>AG-039</v>
      </c>
    </row>
    <row r="732" spans="1:7" x14ac:dyDescent="0.35">
      <c r="A732" s="6" t="s">
        <v>6879</v>
      </c>
      <c r="B732" s="8" t="s">
        <v>807</v>
      </c>
      <c r="C732" s="7">
        <v>45963</v>
      </c>
      <c r="D732" s="8">
        <v>5</v>
      </c>
      <c r="E732" s="8">
        <v>5</v>
      </c>
      <c r="F732" s="9" t="s">
        <v>8363</v>
      </c>
      <c r="G732" t="str">
        <f>IFERROR(INDEX(Ticket!$B$2:$B$6001,MATCH(B732,Ticket!$A$2:$A$6001,0)),"Ticket introuvable")</f>
        <v>AG-032</v>
      </c>
    </row>
    <row r="733" spans="1:7" x14ac:dyDescent="0.35">
      <c r="A733" s="10" t="s">
        <v>6880</v>
      </c>
      <c r="B733" s="12" t="s">
        <v>1512</v>
      </c>
      <c r="C733" s="11">
        <v>45825</v>
      </c>
      <c r="D733" s="12">
        <v>5</v>
      </c>
      <c r="E733" s="12">
        <v>7</v>
      </c>
      <c r="F733" s="13" t="s">
        <v>6148</v>
      </c>
      <c r="G733" t="str">
        <f>IFERROR(INDEX(Ticket!$B$2:$B$6001,MATCH(B733,Ticket!$A$2:$A$6001,0)),"Ticket introuvable")</f>
        <v>AG-025</v>
      </c>
    </row>
    <row r="734" spans="1:7" x14ac:dyDescent="0.35">
      <c r="A734" s="6" t="s">
        <v>6881</v>
      </c>
      <c r="B734" s="8" t="s">
        <v>5078</v>
      </c>
      <c r="C734" s="7">
        <v>45758</v>
      </c>
      <c r="D734" s="8">
        <v>5</v>
      </c>
      <c r="E734" s="8">
        <v>7</v>
      </c>
      <c r="F734" s="9" t="s">
        <v>75</v>
      </c>
      <c r="G734" t="str">
        <f>IFERROR(INDEX(Ticket!$B$2:$B$6001,MATCH(B734,Ticket!$A$2:$A$6001,0)),"Ticket introuvable")</f>
        <v>AG-034</v>
      </c>
    </row>
    <row r="735" spans="1:7" x14ac:dyDescent="0.35">
      <c r="A735" s="10" t="s">
        <v>6882</v>
      </c>
      <c r="B735" s="12" t="s">
        <v>3153</v>
      </c>
      <c r="C735" s="11">
        <v>46023</v>
      </c>
      <c r="D735" s="12">
        <v>5</v>
      </c>
      <c r="E735" s="12">
        <v>8</v>
      </c>
      <c r="F735" s="13" t="s">
        <v>6142</v>
      </c>
      <c r="G735" t="str">
        <f>IFERROR(INDEX(Ticket!$B$2:$B$6001,MATCH(B735,Ticket!$A$2:$A$6001,0)),"Ticket introuvable")</f>
        <v>AG-037</v>
      </c>
    </row>
    <row r="736" spans="1:7" x14ac:dyDescent="0.35">
      <c r="A736" s="6" t="s">
        <v>6883</v>
      </c>
      <c r="B736" s="8" t="s">
        <v>337</v>
      </c>
      <c r="C736" s="7">
        <v>45894</v>
      </c>
      <c r="D736" s="8">
        <v>4</v>
      </c>
      <c r="E736" s="8">
        <v>10</v>
      </c>
      <c r="F736" s="9" t="s">
        <v>6148</v>
      </c>
      <c r="G736" t="str">
        <f>IFERROR(INDEX(Ticket!$B$2:$B$6001,MATCH(B736,Ticket!$A$2:$A$6001,0)),"Ticket introuvable")</f>
        <v>AG-008</v>
      </c>
    </row>
    <row r="737" spans="1:7" x14ac:dyDescent="0.35">
      <c r="A737" s="10" t="s">
        <v>6884</v>
      </c>
      <c r="B737" s="12" t="s">
        <v>2122</v>
      </c>
      <c r="C737" s="11">
        <v>46007</v>
      </c>
      <c r="D737" s="12">
        <v>3</v>
      </c>
      <c r="E737" s="12">
        <v>9</v>
      </c>
      <c r="F737" s="13" t="s">
        <v>6142</v>
      </c>
      <c r="G737" t="str">
        <f>IFERROR(INDEX(Ticket!$B$2:$B$6001,MATCH(B737,Ticket!$A$2:$A$6001,0)),"Ticket introuvable")</f>
        <v>AG-006</v>
      </c>
    </row>
    <row r="738" spans="1:7" x14ac:dyDescent="0.35">
      <c r="A738" s="6" t="s">
        <v>6885</v>
      </c>
      <c r="B738" s="8" t="s">
        <v>3274</v>
      </c>
      <c r="C738" s="7">
        <v>45875</v>
      </c>
      <c r="D738" s="8">
        <v>5</v>
      </c>
      <c r="E738" s="8">
        <v>10</v>
      </c>
      <c r="F738" s="9" t="s">
        <v>6160</v>
      </c>
      <c r="G738" t="str">
        <f>IFERROR(INDEX(Ticket!$B$2:$B$6001,MATCH(B738,Ticket!$A$2:$A$6001,0)),"Ticket introuvable")</f>
        <v>AG-018</v>
      </c>
    </row>
    <row r="739" spans="1:7" x14ac:dyDescent="0.35">
      <c r="A739" s="10" t="s">
        <v>6886</v>
      </c>
      <c r="B739" s="12" t="s">
        <v>2863</v>
      </c>
      <c r="C739" s="11">
        <v>45930</v>
      </c>
      <c r="D739" s="12">
        <v>5</v>
      </c>
      <c r="E739" s="12">
        <v>4</v>
      </c>
      <c r="F739" s="13" t="s">
        <v>6160</v>
      </c>
      <c r="G739" t="str">
        <f>IFERROR(INDEX(Ticket!$B$2:$B$6001,MATCH(B739,Ticket!$A$2:$A$6001,0)),"Ticket introuvable")</f>
        <v>AG-038</v>
      </c>
    </row>
    <row r="740" spans="1:7" x14ac:dyDescent="0.35">
      <c r="A740" s="6" t="s">
        <v>6887</v>
      </c>
      <c r="B740" s="8" t="s">
        <v>1656</v>
      </c>
      <c r="C740" s="7">
        <v>45720</v>
      </c>
      <c r="D740" s="8">
        <v>5</v>
      </c>
      <c r="E740" s="8"/>
      <c r="F740" s="9" t="s">
        <v>6153</v>
      </c>
      <c r="G740" t="str">
        <f>IFERROR(INDEX(Ticket!$B$2:$B$6001,MATCH(B740,Ticket!$A$2:$A$6001,0)),"Ticket introuvable")</f>
        <v>AG-025</v>
      </c>
    </row>
    <row r="741" spans="1:7" x14ac:dyDescent="0.35">
      <c r="A741" s="10" t="s">
        <v>6888</v>
      </c>
      <c r="B741" s="12" t="s">
        <v>827</v>
      </c>
      <c r="C741" s="11">
        <v>45748</v>
      </c>
      <c r="D741" s="12">
        <v>4</v>
      </c>
      <c r="E741" s="12">
        <v>10</v>
      </c>
      <c r="F741" s="13" t="s">
        <v>6148</v>
      </c>
      <c r="G741" t="str">
        <f>IFERROR(INDEX(Ticket!$B$2:$B$6001,MATCH(B741,Ticket!$A$2:$A$6001,0)),"Ticket introuvable")</f>
        <v>AG-007</v>
      </c>
    </row>
    <row r="742" spans="1:7" x14ac:dyDescent="0.35">
      <c r="A742" s="6" t="s">
        <v>6889</v>
      </c>
      <c r="B742" s="8" t="s">
        <v>1336</v>
      </c>
      <c r="C742" s="7">
        <v>45852</v>
      </c>
      <c r="D742" s="8">
        <v>2</v>
      </c>
      <c r="E742" s="8">
        <v>7</v>
      </c>
      <c r="F742" s="9" t="s">
        <v>6153</v>
      </c>
      <c r="G742" t="str">
        <f>IFERROR(INDEX(Ticket!$B$2:$B$6001,MATCH(B742,Ticket!$A$2:$A$6001,0)),"Ticket introuvable")</f>
        <v>AG-033</v>
      </c>
    </row>
    <row r="743" spans="1:7" x14ac:dyDescent="0.35">
      <c r="A743" s="10" t="s">
        <v>6890</v>
      </c>
      <c r="B743" s="12" t="s">
        <v>2684</v>
      </c>
      <c r="C743" s="11">
        <v>45812</v>
      </c>
      <c r="D743" s="12">
        <v>5</v>
      </c>
      <c r="E743" s="12">
        <v>0</v>
      </c>
      <c r="F743" s="13" t="s">
        <v>75</v>
      </c>
      <c r="G743" t="str">
        <f>IFERROR(INDEX(Ticket!$B$2:$B$6001,MATCH(B743,Ticket!$A$2:$A$6001,0)),"Ticket introuvable")</f>
        <v>AG-019</v>
      </c>
    </row>
    <row r="744" spans="1:7" x14ac:dyDescent="0.35">
      <c r="A744" s="6" t="s">
        <v>6891</v>
      </c>
      <c r="B744" s="8" t="s">
        <v>1724</v>
      </c>
      <c r="C744" s="7">
        <v>45689</v>
      </c>
      <c r="D744" s="8">
        <v>2</v>
      </c>
      <c r="E744" s="8">
        <v>3</v>
      </c>
      <c r="F744" s="9" t="s">
        <v>8363</v>
      </c>
      <c r="G744" t="str">
        <f>IFERROR(INDEX(Ticket!$B$2:$B$6001,MATCH(B744,Ticket!$A$2:$A$6001,0)),"Ticket introuvable")</f>
        <v>AG-034</v>
      </c>
    </row>
    <row r="745" spans="1:7" x14ac:dyDescent="0.35">
      <c r="A745" s="10" t="s">
        <v>6892</v>
      </c>
      <c r="B745" s="12" t="s">
        <v>244</v>
      </c>
      <c r="C745" s="11">
        <v>45803</v>
      </c>
      <c r="D745" s="12">
        <v>4</v>
      </c>
      <c r="E745" s="12">
        <v>9</v>
      </c>
      <c r="F745" s="13" t="s">
        <v>75</v>
      </c>
      <c r="G745" t="str">
        <f>IFERROR(INDEX(Ticket!$B$2:$B$6001,MATCH(B745,Ticket!$A$2:$A$6001,0)),"Ticket introuvable")</f>
        <v>AG-040</v>
      </c>
    </row>
    <row r="746" spans="1:7" x14ac:dyDescent="0.35">
      <c r="A746" s="6" t="s">
        <v>6893</v>
      </c>
      <c r="B746" s="8" t="s">
        <v>3181</v>
      </c>
      <c r="C746" s="7">
        <v>45982</v>
      </c>
      <c r="D746" s="8">
        <v>3</v>
      </c>
      <c r="E746" s="8">
        <v>9</v>
      </c>
      <c r="F746" s="9" t="s">
        <v>6148</v>
      </c>
      <c r="G746" t="str">
        <f>IFERROR(INDEX(Ticket!$B$2:$B$6001,MATCH(B746,Ticket!$A$2:$A$6001,0)),"Ticket introuvable")</f>
        <v>AG-037</v>
      </c>
    </row>
    <row r="747" spans="1:7" x14ac:dyDescent="0.35">
      <c r="A747" s="10" t="s">
        <v>6894</v>
      </c>
      <c r="B747" s="12" t="s">
        <v>2433</v>
      </c>
      <c r="C747" s="11">
        <v>45696</v>
      </c>
      <c r="D747" s="12">
        <v>5</v>
      </c>
      <c r="E747" s="12">
        <v>4</v>
      </c>
      <c r="F747" s="13" t="s">
        <v>6142</v>
      </c>
      <c r="G747" t="str">
        <f>IFERROR(INDEX(Ticket!$B$2:$B$6001,MATCH(B747,Ticket!$A$2:$A$6001,0)),"Ticket introuvable")</f>
        <v>AG-031</v>
      </c>
    </row>
    <row r="748" spans="1:7" x14ac:dyDescent="0.35">
      <c r="A748" s="6" t="s">
        <v>6895</v>
      </c>
      <c r="B748" s="8" t="s">
        <v>4315</v>
      </c>
      <c r="C748" s="7">
        <v>45920</v>
      </c>
      <c r="D748" s="8">
        <v>4</v>
      </c>
      <c r="E748" s="8">
        <v>10</v>
      </c>
      <c r="F748" s="9" t="s">
        <v>6160</v>
      </c>
      <c r="G748" t="str">
        <f>IFERROR(INDEX(Ticket!$B$2:$B$6001,MATCH(B748,Ticket!$A$2:$A$6001,0)),"Ticket introuvable")</f>
        <v>AG-010</v>
      </c>
    </row>
    <row r="749" spans="1:7" x14ac:dyDescent="0.35">
      <c r="A749" s="10" t="s">
        <v>6896</v>
      </c>
      <c r="B749" s="12" t="s">
        <v>3392</v>
      </c>
      <c r="C749" s="11">
        <v>45858</v>
      </c>
      <c r="D749" s="12">
        <v>1</v>
      </c>
      <c r="E749" s="12">
        <v>8</v>
      </c>
      <c r="F749" s="13" t="s">
        <v>8363</v>
      </c>
      <c r="G749" t="str">
        <f>IFERROR(INDEX(Ticket!$B$2:$B$6001,MATCH(B749,Ticket!$A$2:$A$6001,0)),"Ticket introuvable")</f>
        <v>AG-036</v>
      </c>
    </row>
    <row r="750" spans="1:7" x14ac:dyDescent="0.35">
      <c r="A750" s="6" t="s">
        <v>6897</v>
      </c>
      <c r="B750" s="8" t="s">
        <v>3672</v>
      </c>
      <c r="C750" s="7">
        <v>45665</v>
      </c>
      <c r="D750" s="8">
        <v>2</v>
      </c>
      <c r="E750" s="8">
        <v>10</v>
      </c>
      <c r="F750" s="9" t="s">
        <v>8363</v>
      </c>
      <c r="G750" t="str">
        <f>IFERROR(INDEX(Ticket!$B$2:$B$6001,MATCH(B750,Ticket!$A$2:$A$6001,0)),"Ticket introuvable")</f>
        <v>AG-033</v>
      </c>
    </row>
    <row r="751" spans="1:7" x14ac:dyDescent="0.35">
      <c r="A751" s="10" t="s">
        <v>6898</v>
      </c>
      <c r="B751" s="12" t="s">
        <v>5965</v>
      </c>
      <c r="C751" s="11">
        <v>45744</v>
      </c>
      <c r="D751" s="12"/>
      <c r="E751" s="12">
        <v>9</v>
      </c>
      <c r="F751" s="13" t="s">
        <v>75</v>
      </c>
      <c r="G751" t="str">
        <f>IFERROR(INDEX(Ticket!$B$2:$B$6001,MATCH(B751,Ticket!$A$2:$A$6001,0)),"Ticket introuvable")</f>
        <v>AG-033</v>
      </c>
    </row>
    <row r="752" spans="1:7" x14ac:dyDescent="0.35">
      <c r="A752" s="6" t="s">
        <v>6899</v>
      </c>
      <c r="B752" s="8" t="s">
        <v>434</v>
      </c>
      <c r="C752" s="7">
        <v>45896</v>
      </c>
      <c r="D752" s="8">
        <v>4</v>
      </c>
      <c r="E752" s="8">
        <v>5</v>
      </c>
      <c r="F752" s="9" t="s">
        <v>6153</v>
      </c>
      <c r="G752" t="str">
        <f>IFERROR(INDEX(Ticket!$B$2:$B$6001,MATCH(B752,Ticket!$A$2:$A$6001,0)),"Ticket introuvable")</f>
        <v>AG-040</v>
      </c>
    </row>
    <row r="753" spans="1:7" x14ac:dyDescent="0.35">
      <c r="A753" s="10" t="s">
        <v>6900</v>
      </c>
      <c r="B753" s="12" t="s">
        <v>4175</v>
      </c>
      <c r="C753" s="11">
        <v>45951</v>
      </c>
      <c r="D753" s="12">
        <v>5</v>
      </c>
      <c r="E753" s="12">
        <v>5</v>
      </c>
      <c r="F753" s="13" t="s">
        <v>8363</v>
      </c>
      <c r="G753" t="str">
        <f>IFERROR(INDEX(Ticket!$B$2:$B$6001,MATCH(B753,Ticket!$A$2:$A$6001,0)),"Ticket introuvable")</f>
        <v>AG-033</v>
      </c>
    </row>
    <row r="754" spans="1:7" x14ac:dyDescent="0.35">
      <c r="A754" s="6" t="s">
        <v>6901</v>
      </c>
      <c r="B754" s="8" t="s">
        <v>3500</v>
      </c>
      <c r="C754" s="7">
        <v>45700</v>
      </c>
      <c r="D754" s="8">
        <v>4</v>
      </c>
      <c r="E754" s="8">
        <v>9</v>
      </c>
      <c r="F754" s="9" t="s">
        <v>6160</v>
      </c>
      <c r="G754" t="str">
        <f>IFERROR(INDEX(Ticket!$B$2:$B$6001,MATCH(B754,Ticket!$A$2:$A$6001,0)),"Ticket introuvable")</f>
        <v>AG-015</v>
      </c>
    </row>
    <row r="755" spans="1:7" x14ac:dyDescent="0.35">
      <c r="A755" s="10" t="s">
        <v>6902</v>
      </c>
      <c r="B755" s="12" t="s">
        <v>1314</v>
      </c>
      <c r="C755" s="11">
        <v>45921</v>
      </c>
      <c r="D755" s="12">
        <v>3</v>
      </c>
      <c r="E755" s="12">
        <v>9</v>
      </c>
      <c r="F755" s="13" t="s">
        <v>8363</v>
      </c>
      <c r="G755" t="str">
        <f>IFERROR(INDEX(Ticket!$B$2:$B$6001,MATCH(B755,Ticket!$A$2:$A$6001,0)),"Ticket introuvable")</f>
        <v>AG-040</v>
      </c>
    </row>
    <row r="756" spans="1:7" x14ac:dyDescent="0.35">
      <c r="A756" s="6" t="s">
        <v>6903</v>
      </c>
      <c r="B756" s="8" t="s">
        <v>3132</v>
      </c>
      <c r="C756" s="7">
        <v>45924</v>
      </c>
      <c r="D756" s="8">
        <v>3</v>
      </c>
      <c r="E756" s="8">
        <v>6</v>
      </c>
      <c r="F756" s="9" t="s">
        <v>6153</v>
      </c>
      <c r="G756" t="str">
        <f>IFERROR(INDEX(Ticket!$B$2:$B$6001,MATCH(B756,Ticket!$A$2:$A$6001,0)),"Ticket introuvable")</f>
        <v>AG-037</v>
      </c>
    </row>
    <row r="757" spans="1:7" x14ac:dyDescent="0.35">
      <c r="A757" s="10" t="s">
        <v>6904</v>
      </c>
      <c r="B757" s="12" t="s">
        <v>2980</v>
      </c>
      <c r="C757" s="11">
        <v>45974</v>
      </c>
      <c r="D757" s="12">
        <v>3</v>
      </c>
      <c r="E757" s="12">
        <v>10</v>
      </c>
      <c r="F757" s="13" t="s">
        <v>6148</v>
      </c>
      <c r="G757" t="str">
        <f>IFERROR(INDEX(Ticket!$B$2:$B$6001,MATCH(B757,Ticket!$A$2:$A$6001,0)),"Ticket introuvable")</f>
        <v>AG-021</v>
      </c>
    </row>
    <row r="758" spans="1:7" x14ac:dyDescent="0.35">
      <c r="A758" s="6" t="s">
        <v>6905</v>
      </c>
      <c r="B758" s="8" t="s">
        <v>249</v>
      </c>
      <c r="C758" s="7">
        <v>45706</v>
      </c>
      <c r="D758" s="8">
        <v>4</v>
      </c>
      <c r="E758" s="8">
        <v>8</v>
      </c>
      <c r="F758" s="9" t="s">
        <v>8363</v>
      </c>
      <c r="G758" t="str">
        <f>IFERROR(INDEX(Ticket!$B$2:$B$6001,MATCH(B758,Ticket!$A$2:$A$6001,0)),"Ticket introuvable")</f>
        <v>AG-024</v>
      </c>
    </row>
    <row r="759" spans="1:7" x14ac:dyDescent="0.35">
      <c r="A759" s="10" t="s">
        <v>6906</v>
      </c>
      <c r="B759" s="12" t="s">
        <v>6033</v>
      </c>
      <c r="C759" s="11">
        <v>45725</v>
      </c>
      <c r="D759" s="12">
        <v>4</v>
      </c>
      <c r="E759" s="12">
        <v>10</v>
      </c>
      <c r="F759" s="13" t="s">
        <v>6142</v>
      </c>
      <c r="G759" t="str">
        <f>IFERROR(INDEX(Ticket!$B$2:$B$6001,MATCH(B759,Ticket!$A$2:$A$6001,0)),"Ticket introuvable")</f>
        <v>AG-014</v>
      </c>
    </row>
    <row r="760" spans="1:7" x14ac:dyDescent="0.35">
      <c r="A760" s="6" t="s">
        <v>6907</v>
      </c>
      <c r="B760" s="8" t="s">
        <v>5297</v>
      </c>
      <c r="C760" s="7">
        <v>45760</v>
      </c>
      <c r="D760" s="8">
        <v>4</v>
      </c>
      <c r="E760" s="8">
        <v>3</v>
      </c>
      <c r="F760" s="9" t="s">
        <v>8363</v>
      </c>
      <c r="G760" t="str">
        <f>IFERROR(INDEX(Ticket!$B$2:$B$6001,MATCH(B760,Ticket!$A$2:$A$6001,0)),"Ticket introuvable")</f>
        <v>AG-020</v>
      </c>
    </row>
    <row r="761" spans="1:7" x14ac:dyDescent="0.35">
      <c r="A761" s="10" t="s">
        <v>6908</v>
      </c>
      <c r="B761" s="12" t="s">
        <v>3799</v>
      </c>
      <c r="C761" s="11">
        <v>45678</v>
      </c>
      <c r="D761" s="12">
        <v>4</v>
      </c>
      <c r="E761" s="12">
        <v>9</v>
      </c>
      <c r="F761" s="13" t="s">
        <v>6148</v>
      </c>
      <c r="G761" t="str">
        <f>IFERROR(INDEX(Ticket!$B$2:$B$6001,MATCH(B761,Ticket!$A$2:$A$6001,0)),"Ticket introuvable")</f>
        <v>AG-039</v>
      </c>
    </row>
    <row r="762" spans="1:7" x14ac:dyDescent="0.35">
      <c r="A762" s="6" t="s">
        <v>6909</v>
      </c>
      <c r="B762" s="8" t="s">
        <v>5180</v>
      </c>
      <c r="C762" s="7">
        <v>45918</v>
      </c>
      <c r="D762" s="8">
        <v>3</v>
      </c>
      <c r="E762" s="8">
        <v>10</v>
      </c>
      <c r="F762" s="9" t="s">
        <v>6148</v>
      </c>
      <c r="G762" t="str">
        <f>IFERROR(INDEX(Ticket!$B$2:$B$6001,MATCH(B762,Ticket!$A$2:$A$6001,0)),"Ticket introuvable")</f>
        <v>AG-023</v>
      </c>
    </row>
    <row r="763" spans="1:7" x14ac:dyDescent="0.35">
      <c r="A763" s="10" t="s">
        <v>6910</v>
      </c>
      <c r="B763" s="12" t="s">
        <v>5322</v>
      </c>
      <c r="C763" s="11">
        <v>45695</v>
      </c>
      <c r="D763" s="12">
        <v>4</v>
      </c>
      <c r="E763" s="12">
        <v>2</v>
      </c>
      <c r="F763" s="13" t="s">
        <v>75</v>
      </c>
      <c r="G763" t="str">
        <f>IFERROR(INDEX(Ticket!$B$2:$B$6001,MATCH(B763,Ticket!$A$2:$A$6001,0)),"Ticket introuvable")</f>
        <v>AG-012</v>
      </c>
    </row>
    <row r="764" spans="1:7" x14ac:dyDescent="0.35">
      <c r="A764" s="6" t="s">
        <v>6911</v>
      </c>
      <c r="B764" s="8" t="s">
        <v>3958</v>
      </c>
      <c r="C764" s="7">
        <v>45852</v>
      </c>
      <c r="D764" s="8">
        <v>5</v>
      </c>
      <c r="E764" s="8"/>
      <c r="F764" s="9" t="s">
        <v>6148</v>
      </c>
      <c r="G764" t="str">
        <f>IFERROR(INDEX(Ticket!$B$2:$B$6001,MATCH(B764,Ticket!$A$2:$A$6001,0)),"Ticket introuvable")</f>
        <v>AG-020</v>
      </c>
    </row>
    <row r="765" spans="1:7" x14ac:dyDescent="0.35">
      <c r="A765" s="10" t="s">
        <v>6912</v>
      </c>
      <c r="B765" s="12" t="s">
        <v>4451</v>
      </c>
      <c r="C765" s="11">
        <v>45810</v>
      </c>
      <c r="D765" s="12">
        <v>2</v>
      </c>
      <c r="E765" s="12">
        <v>9</v>
      </c>
      <c r="F765" s="13" t="s">
        <v>8363</v>
      </c>
      <c r="G765" t="str">
        <f>IFERROR(INDEX(Ticket!$B$2:$B$6001,MATCH(B765,Ticket!$A$2:$A$6001,0)),"Ticket introuvable")</f>
        <v>AG-014</v>
      </c>
    </row>
    <row r="766" spans="1:7" x14ac:dyDescent="0.35">
      <c r="A766" s="6" t="s">
        <v>6913</v>
      </c>
      <c r="B766" s="8" t="s">
        <v>3774</v>
      </c>
      <c r="C766" s="7">
        <v>45988</v>
      </c>
      <c r="D766" s="8">
        <v>4</v>
      </c>
      <c r="E766" s="8">
        <v>10</v>
      </c>
      <c r="F766" s="9" t="s">
        <v>6153</v>
      </c>
      <c r="G766" t="str">
        <f>IFERROR(INDEX(Ticket!$B$2:$B$6001,MATCH(B766,Ticket!$A$2:$A$6001,0)),"Ticket introuvable")</f>
        <v>AG-039</v>
      </c>
    </row>
    <row r="767" spans="1:7" x14ac:dyDescent="0.35">
      <c r="A767" s="10" t="s">
        <v>6914</v>
      </c>
      <c r="B767" s="12" t="s">
        <v>5309</v>
      </c>
      <c r="C767" s="11">
        <v>45924</v>
      </c>
      <c r="D767" s="12"/>
      <c r="E767" s="12">
        <v>9</v>
      </c>
      <c r="F767" s="13" t="s">
        <v>6148</v>
      </c>
      <c r="G767" t="str">
        <f>IFERROR(INDEX(Ticket!$B$2:$B$6001,MATCH(B767,Ticket!$A$2:$A$6001,0)),"Ticket introuvable")</f>
        <v>AG-039</v>
      </c>
    </row>
    <row r="768" spans="1:7" x14ac:dyDescent="0.35">
      <c r="A768" s="6" t="s">
        <v>6915</v>
      </c>
      <c r="B768" s="8" t="s">
        <v>1501</v>
      </c>
      <c r="C768" s="7">
        <v>45664</v>
      </c>
      <c r="D768" s="8">
        <v>3</v>
      </c>
      <c r="E768" s="8">
        <v>4</v>
      </c>
      <c r="F768" s="9" t="s">
        <v>6153</v>
      </c>
      <c r="G768" t="str">
        <f>IFERROR(INDEX(Ticket!$B$2:$B$6001,MATCH(B768,Ticket!$A$2:$A$6001,0)),"Ticket introuvable")</f>
        <v>AG-010</v>
      </c>
    </row>
    <row r="769" spans="1:7" x14ac:dyDescent="0.35">
      <c r="A769" s="10" t="s">
        <v>6916</v>
      </c>
      <c r="B769" s="12" t="s">
        <v>2201</v>
      </c>
      <c r="C769" s="11">
        <v>45933</v>
      </c>
      <c r="D769" s="12">
        <v>4</v>
      </c>
      <c r="E769" s="12">
        <v>7</v>
      </c>
      <c r="F769" s="13" t="s">
        <v>6153</v>
      </c>
      <c r="G769" t="str">
        <f>IFERROR(INDEX(Ticket!$B$2:$B$6001,MATCH(B769,Ticket!$A$2:$A$6001,0)),"Ticket introuvable")</f>
        <v>AG-006</v>
      </c>
    </row>
    <row r="770" spans="1:7" x14ac:dyDescent="0.35">
      <c r="A770" s="6" t="s">
        <v>6917</v>
      </c>
      <c r="B770" s="8" t="s">
        <v>2377</v>
      </c>
      <c r="C770" s="7">
        <v>45678</v>
      </c>
      <c r="D770" s="8">
        <v>3</v>
      </c>
      <c r="E770" s="8">
        <v>5</v>
      </c>
      <c r="F770" s="9" t="s">
        <v>8363</v>
      </c>
      <c r="G770" t="str">
        <f>IFERROR(INDEX(Ticket!$B$2:$B$6001,MATCH(B770,Ticket!$A$2:$A$6001,0)),"Ticket introuvable")</f>
        <v>AG-025</v>
      </c>
    </row>
    <row r="771" spans="1:7" x14ac:dyDescent="0.35">
      <c r="A771" s="10" t="s">
        <v>6918</v>
      </c>
      <c r="B771" s="12" t="s">
        <v>2667</v>
      </c>
      <c r="C771" s="11">
        <v>45850</v>
      </c>
      <c r="D771" s="12">
        <v>4</v>
      </c>
      <c r="E771" s="12"/>
      <c r="F771" s="13" t="s">
        <v>6153</v>
      </c>
      <c r="G771" t="str">
        <f>IFERROR(INDEX(Ticket!$B$2:$B$6001,MATCH(B771,Ticket!$A$2:$A$6001,0)),"Ticket introuvable")</f>
        <v>AG-024</v>
      </c>
    </row>
    <row r="772" spans="1:7" x14ac:dyDescent="0.35">
      <c r="A772" s="6" t="s">
        <v>6919</v>
      </c>
      <c r="B772" s="8" t="s">
        <v>2693</v>
      </c>
      <c r="C772" s="7">
        <v>45876</v>
      </c>
      <c r="D772" s="8">
        <v>5</v>
      </c>
      <c r="E772" s="8">
        <v>4</v>
      </c>
      <c r="F772" s="9" t="s">
        <v>6160</v>
      </c>
      <c r="G772" t="str">
        <f>IFERROR(INDEX(Ticket!$B$2:$B$6001,MATCH(B772,Ticket!$A$2:$A$6001,0)),"Ticket introuvable")</f>
        <v>AG-039</v>
      </c>
    </row>
    <row r="773" spans="1:7" x14ac:dyDescent="0.35">
      <c r="A773" s="10" t="s">
        <v>6920</v>
      </c>
      <c r="B773" s="12" t="s">
        <v>3663</v>
      </c>
      <c r="C773" s="11">
        <v>45703</v>
      </c>
      <c r="D773" s="12">
        <v>4</v>
      </c>
      <c r="E773" s="12">
        <v>6</v>
      </c>
      <c r="F773" s="13" t="s">
        <v>6153</v>
      </c>
      <c r="G773" t="str">
        <f>IFERROR(INDEX(Ticket!$B$2:$B$6001,MATCH(B773,Ticket!$A$2:$A$6001,0)),"Ticket introuvable")</f>
        <v>AG-007</v>
      </c>
    </row>
    <row r="774" spans="1:7" x14ac:dyDescent="0.35">
      <c r="A774" s="6" t="s">
        <v>6921</v>
      </c>
      <c r="B774" s="8" t="s">
        <v>3445</v>
      </c>
      <c r="C774" s="7">
        <v>45903</v>
      </c>
      <c r="D774" s="8">
        <v>4</v>
      </c>
      <c r="E774" s="8">
        <v>10</v>
      </c>
      <c r="F774" s="9" t="s">
        <v>75</v>
      </c>
      <c r="G774" t="str">
        <f>IFERROR(INDEX(Ticket!$B$2:$B$6001,MATCH(B774,Ticket!$A$2:$A$6001,0)),"Ticket introuvable")</f>
        <v>AG-027</v>
      </c>
    </row>
    <row r="775" spans="1:7" x14ac:dyDescent="0.35">
      <c r="A775" s="10" t="s">
        <v>6922</v>
      </c>
      <c r="B775" s="12" t="s">
        <v>3897</v>
      </c>
      <c r="C775" s="11">
        <v>45960</v>
      </c>
      <c r="D775" s="12">
        <v>3</v>
      </c>
      <c r="E775" s="12">
        <v>8</v>
      </c>
      <c r="F775" s="13" t="s">
        <v>8363</v>
      </c>
      <c r="G775" t="str">
        <f>IFERROR(INDEX(Ticket!$B$2:$B$6001,MATCH(B775,Ticket!$A$2:$A$6001,0)),"Ticket introuvable")</f>
        <v>AG-029</v>
      </c>
    </row>
    <row r="776" spans="1:7" x14ac:dyDescent="0.35">
      <c r="A776" s="6" t="s">
        <v>6923</v>
      </c>
      <c r="B776" s="8" t="s">
        <v>2952</v>
      </c>
      <c r="C776" s="7">
        <v>45719</v>
      </c>
      <c r="D776" s="8">
        <v>2</v>
      </c>
      <c r="E776" s="8">
        <v>5</v>
      </c>
      <c r="F776" s="9" t="s">
        <v>6148</v>
      </c>
      <c r="G776" t="str">
        <f>IFERROR(INDEX(Ticket!$B$2:$B$6001,MATCH(B776,Ticket!$A$2:$A$6001,0)),"Ticket introuvable")</f>
        <v>AG-028</v>
      </c>
    </row>
    <row r="777" spans="1:7" x14ac:dyDescent="0.35">
      <c r="A777" s="10" t="s">
        <v>6924</v>
      </c>
      <c r="B777" s="12" t="s">
        <v>4983</v>
      </c>
      <c r="C777" s="11">
        <v>46021</v>
      </c>
      <c r="D777" s="12">
        <v>2</v>
      </c>
      <c r="E777" s="12">
        <v>8</v>
      </c>
      <c r="F777" s="13" t="s">
        <v>8363</v>
      </c>
      <c r="G777" t="str">
        <f>IFERROR(INDEX(Ticket!$B$2:$B$6001,MATCH(B777,Ticket!$A$2:$A$6001,0)),"Ticket introuvable")</f>
        <v>AG-024</v>
      </c>
    </row>
    <row r="778" spans="1:7" x14ac:dyDescent="0.35">
      <c r="A778" s="6" t="s">
        <v>6925</v>
      </c>
      <c r="B778" s="8" t="s">
        <v>4073</v>
      </c>
      <c r="C778" s="7">
        <v>45726</v>
      </c>
      <c r="D778" s="8">
        <v>1</v>
      </c>
      <c r="E778" s="8">
        <v>8</v>
      </c>
      <c r="F778" s="9" t="s">
        <v>6160</v>
      </c>
      <c r="G778" t="str">
        <f>IFERROR(INDEX(Ticket!$B$2:$B$6001,MATCH(B778,Ticket!$A$2:$A$6001,0)),"Ticket introuvable")</f>
        <v>AG-035</v>
      </c>
    </row>
    <row r="779" spans="1:7" x14ac:dyDescent="0.35">
      <c r="A779" s="10" t="s">
        <v>6926</v>
      </c>
      <c r="B779" s="12" t="s">
        <v>2531</v>
      </c>
      <c r="C779" s="11">
        <v>45907</v>
      </c>
      <c r="D779" s="12">
        <v>4</v>
      </c>
      <c r="E779" s="12">
        <v>7</v>
      </c>
      <c r="F779" s="13" t="s">
        <v>8363</v>
      </c>
      <c r="G779" t="str">
        <f>IFERROR(INDEX(Ticket!$B$2:$B$6001,MATCH(B779,Ticket!$A$2:$A$6001,0)),"Ticket introuvable")</f>
        <v>AG-020</v>
      </c>
    </row>
    <row r="780" spans="1:7" x14ac:dyDescent="0.35">
      <c r="A780" s="6" t="s">
        <v>6927</v>
      </c>
      <c r="B780" s="8" t="s">
        <v>3337</v>
      </c>
      <c r="C780" s="7">
        <v>45733</v>
      </c>
      <c r="D780" s="8">
        <v>5</v>
      </c>
      <c r="E780" s="8">
        <v>10</v>
      </c>
      <c r="F780" s="9" t="s">
        <v>6153</v>
      </c>
      <c r="G780" t="str">
        <f>IFERROR(INDEX(Ticket!$B$2:$B$6001,MATCH(B780,Ticket!$A$2:$A$6001,0)),"Ticket introuvable")</f>
        <v>AG-039</v>
      </c>
    </row>
    <row r="781" spans="1:7" x14ac:dyDescent="0.35">
      <c r="A781" s="10" t="s">
        <v>6928</v>
      </c>
      <c r="B781" s="12" t="s">
        <v>5537</v>
      </c>
      <c r="C781" s="11">
        <v>45973</v>
      </c>
      <c r="D781" s="12">
        <v>5</v>
      </c>
      <c r="E781" s="12">
        <v>5</v>
      </c>
      <c r="F781" s="13" t="s">
        <v>6160</v>
      </c>
      <c r="G781" t="str">
        <f>IFERROR(INDEX(Ticket!$B$2:$B$6001,MATCH(B781,Ticket!$A$2:$A$6001,0)),"Ticket introuvable")</f>
        <v>AG-006</v>
      </c>
    </row>
    <row r="782" spans="1:7" x14ac:dyDescent="0.35">
      <c r="A782" s="6" t="s">
        <v>6929</v>
      </c>
      <c r="B782" s="8" t="s">
        <v>5364</v>
      </c>
      <c r="C782" s="7">
        <v>45665</v>
      </c>
      <c r="D782" s="8">
        <v>4</v>
      </c>
      <c r="E782" s="8">
        <v>9</v>
      </c>
      <c r="F782" s="9" t="s">
        <v>6160</v>
      </c>
      <c r="G782" t="str">
        <f>IFERROR(INDEX(Ticket!$B$2:$B$6001,MATCH(B782,Ticket!$A$2:$A$6001,0)),"Ticket introuvable")</f>
        <v>AG-018</v>
      </c>
    </row>
    <row r="783" spans="1:7" x14ac:dyDescent="0.35">
      <c r="A783" s="10" t="s">
        <v>6930</v>
      </c>
      <c r="B783" s="12" t="s">
        <v>5314</v>
      </c>
      <c r="C783" s="11">
        <v>45722</v>
      </c>
      <c r="D783" s="12">
        <v>3</v>
      </c>
      <c r="E783" s="12">
        <v>9</v>
      </c>
      <c r="F783" s="13" t="s">
        <v>6153</v>
      </c>
      <c r="G783" t="str">
        <f>IFERROR(INDEX(Ticket!$B$2:$B$6001,MATCH(B783,Ticket!$A$2:$A$6001,0)),"Ticket introuvable")</f>
        <v>AG-011</v>
      </c>
    </row>
    <row r="784" spans="1:7" x14ac:dyDescent="0.35">
      <c r="A784" s="6" t="s">
        <v>6931</v>
      </c>
      <c r="B784" s="8" t="s">
        <v>3979</v>
      </c>
      <c r="C784" s="7">
        <v>45679</v>
      </c>
      <c r="D784" s="8">
        <v>5</v>
      </c>
      <c r="E784" s="8">
        <v>7</v>
      </c>
      <c r="F784" s="9" t="s">
        <v>8363</v>
      </c>
      <c r="G784" t="str">
        <f>IFERROR(INDEX(Ticket!$B$2:$B$6001,MATCH(B784,Ticket!$A$2:$A$6001,0)),"Ticket introuvable")</f>
        <v>AG-016</v>
      </c>
    </row>
    <row r="785" spans="1:7" x14ac:dyDescent="0.35">
      <c r="A785" s="10" t="s">
        <v>6932</v>
      </c>
      <c r="B785" s="12" t="s">
        <v>1254</v>
      </c>
      <c r="C785" s="11">
        <v>45780</v>
      </c>
      <c r="D785" s="12">
        <v>2</v>
      </c>
      <c r="E785" s="12">
        <v>5</v>
      </c>
      <c r="F785" s="13" t="s">
        <v>6160</v>
      </c>
      <c r="G785" t="str">
        <f>IFERROR(INDEX(Ticket!$B$2:$B$6001,MATCH(B785,Ticket!$A$2:$A$6001,0)),"Ticket introuvable")</f>
        <v>AG-032</v>
      </c>
    </row>
    <row r="786" spans="1:7" x14ac:dyDescent="0.35">
      <c r="A786" s="6" t="s">
        <v>6933</v>
      </c>
      <c r="B786" s="8" t="s">
        <v>5092</v>
      </c>
      <c r="C786" s="7">
        <v>45884</v>
      </c>
      <c r="D786" s="8">
        <v>4</v>
      </c>
      <c r="E786" s="8">
        <v>10</v>
      </c>
      <c r="F786" s="9" t="s">
        <v>8363</v>
      </c>
      <c r="G786" t="str">
        <f>IFERROR(INDEX(Ticket!$B$2:$B$6001,MATCH(B786,Ticket!$A$2:$A$6001,0)),"Ticket introuvable")</f>
        <v>AG-035</v>
      </c>
    </row>
    <row r="787" spans="1:7" x14ac:dyDescent="0.35">
      <c r="A787" s="10" t="s">
        <v>6934</v>
      </c>
      <c r="B787" s="12" t="s">
        <v>189</v>
      </c>
      <c r="C787" s="11">
        <v>45726</v>
      </c>
      <c r="D787" s="12"/>
      <c r="E787" s="12">
        <v>9</v>
      </c>
      <c r="F787" s="13" t="s">
        <v>6142</v>
      </c>
      <c r="G787" t="str">
        <f>IFERROR(INDEX(Ticket!$B$2:$B$6001,MATCH(B787,Ticket!$A$2:$A$6001,0)),"Ticket introuvable")</f>
        <v>AG-039</v>
      </c>
    </row>
    <row r="788" spans="1:7" x14ac:dyDescent="0.35">
      <c r="A788" s="6" t="s">
        <v>6935</v>
      </c>
      <c r="B788" s="8" t="s">
        <v>920</v>
      </c>
      <c r="C788" s="7">
        <v>45775</v>
      </c>
      <c r="D788" s="8">
        <v>4</v>
      </c>
      <c r="E788" s="8">
        <v>5</v>
      </c>
      <c r="F788" s="9" t="s">
        <v>8363</v>
      </c>
      <c r="G788" t="str">
        <f>IFERROR(INDEX(Ticket!$B$2:$B$6001,MATCH(B788,Ticket!$A$2:$A$6001,0)),"Ticket introuvable")</f>
        <v>AG-032</v>
      </c>
    </row>
    <row r="789" spans="1:7" x14ac:dyDescent="0.35">
      <c r="A789" s="10" t="s">
        <v>6936</v>
      </c>
      <c r="B789" s="12" t="s">
        <v>5135</v>
      </c>
      <c r="C789" s="11">
        <v>45984</v>
      </c>
      <c r="D789" s="12">
        <v>3</v>
      </c>
      <c r="E789" s="12">
        <v>9</v>
      </c>
      <c r="F789" s="13" t="s">
        <v>8363</v>
      </c>
      <c r="G789" t="str">
        <f>IFERROR(INDEX(Ticket!$B$2:$B$6001,MATCH(B789,Ticket!$A$2:$A$6001,0)),"Ticket introuvable")</f>
        <v>AG-014</v>
      </c>
    </row>
    <row r="790" spans="1:7" x14ac:dyDescent="0.35">
      <c r="A790" s="6" t="s">
        <v>6937</v>
      </c>
      <c r="B790" s="8" t="s">
        <v>2584</v>
      </c>
      <c r="C790" s="7">
        <v>45762</v>
      </c>
      <c r="D790" s="8">
        <v>2</v>
      </c>
      <c r="E790" s="8">
        <v>8</v>
      </c>
      <c r="F790" s="9" t="s">
        <v>75</v>
      </c>
      <c r="G790" t="str">
        <f>IFERROR(INDEX(Ticket!$B$2:$B$6001,MATCH(B790,Ticket!$A$2:$A$6001,0)),"Ticket introuvable")</f>
        <v>AG-010</v>
      </c>
    </row>
    <row r="791" spans="1:7" x14ac:dyDescent="0.35">
      <c r="A791" s="10" t="s">
        <v>6938</v>
      </c>
      <c r="B791" s="12" t="s">
        <v>2203</v>
      </c>
      <c r="C791" s="11">
        <v>45885</v>
      </c>
      <c r="D791" s="12">
        <v>5</v>
      </c>
      <c r="E791" s="12">
        <v>6</v>
      </c>
      <c r="F791" s="13" t="s">
        <v>75</v>
      </c>
      <c r="G791" t="str">
        <f>IFERROR(INDEX(Ticket!$B$2:$B$6001,MATCH(B791,Ticket!$A$2:$A$6001,0)),"Ticket introuvable")</f>
        <v>AG-039</v>
      </c>
    </row>
    <row r="792" spans="1:7" x14ac:dyDescent="0.35">
      <c r="A792" s="6" t="s">
        <v>6939</v>
      </c>
      <c r="B792" s="8" t="s">
        <v>4986</v>
      </c>
      <c r="C792" s="7">
        <v>45829</v>
      </c>
      <c r="D792" s="8">
        <v>5</v>
      </c>
      <c r="E792" s="8"/>
      <c r="F792" s="9" t="s">
        <v>8363</v>
      </c>
      <c r="G792" t="str">
        <f>IFERROR(INDEX(Ticket!$B$2:$B$6001,MATCH(B792,Ticket!$A$2:$A$6001,0)),"Ticket introuvable")</f>
        <v>AG-008</v>
      </c>
    </row>
    <row r="793" spans="1:7" x14ac:dyDescent="0.35">
      <c r="A793" s="10" t="s">
        <v>6940</v>
      </c>
      <c r="B793" s="12" t="s">
        <v>132</v>
      </c>
      <c r="C793" s="11">
        <v>45894</v>
      </c>
      <c r="D793" s="12">
        <v>4</v>
      </c>
      <c r="E793" s="12">
        <v>10</v>
      </c>
      <c r="F793" s="13" t="s">
        <v>6148</v>
      </c>
      <c r="G793" t="str">
        <f>IFERROR(INDEX(Ticket!$B$2:$B$6001,MATCH(B793,Ticket!$A$2:$A$6001,0)),"Ticket introuvable")</f>
        <v>AG-017</v>
      </c>
    </row>
    <row r="794" spans="1:7" x14ac:dyDescent="0.35">
      <c r="A794" s="6" t="s">
        <v>6941</v>
      </c>
      <c r="B794" s="8" t="s">
        <v>1175</v>
      </c>
      <c r="C794" s="7">
        <v>45994</v>
      </c>
      <c r="D794" s="8">
        <v>4</v>
      </c>
      <c r="E794" s="8">
        <v>10</v>
      </c>
      <c r="F794" s="9" t="s">
        <v>75</v>
      </c>
      <c r="G794" t="str">
        <f>IFERROR(INDEX(Ticket!$B$2:$B$6001,MATCH(B794,Ticket!$A$2:$A$6001,0)),"Ticket introuvable")</f>
        <v>AG-033</v>
      </c>
    </row>
    <row r="795" spans="1:7" x14ac:dyDescent="0.35">
      <c r="A795" s="10" t="s">
        <v>6942</v>
      </c>
      <c r="B795" s="12" t="s">
        <v>2793</v>
      </c>
      <c r="C795" s="11">
        <v>45746</v>
      </c>
      <c r="D795" s="12"/>
      <c r="E795" s="12">
        <v>9</v>
      </c>
      <c r="F795" s="13" t="s">
        <v>8363</v>
      </c>
      <c r="G795" t="str">
        <f>IFERROR(INDEX(Ticket!$B$2:$B$6001,MATCH(B795,Ticket!$A$2:$A$6001,0)),"Ticket introuvable")</f>
        <v>AG-034</v>
      </c>
    </row>
    <row r="796" spans="1:7" x14ac:dyDescent="0.35">
      <c r="A796" s="6" t="s">
        <v>6943</v>
      </c>
      <c r="B796" s="8" t="s">
        <v>1697</v>
      </c>
      <c r="C796" s="7">
        <v>45737</v>
      </c>
      <c r="D796" s="8">
        <v>4</v>
      </c>
      <c r="E796" s="8">
        <v>9</v>
      </c>
      <c r="F796" s="9" t="s">
        <v>6142</v>
      </c>
      <c r="G796" t="str">
        <f>IFERROR(INDEX(Ticket!$B$2:$B$6001,MATCH(B796,Ticket!$A$2:$A$6001,0)),"Ticket introuvable")</f>
        <v>AG-013</v>
      </c>
    </row>
    <row r="797" spans="1:7" x14ac:dyDescent="0.35">
      <c r="A797" s="10" t="s">
        <v>6944</v>
      </c>
      <c r="B797" s="12" t="s">
        <v>1837</v>
      </c>
      <c r="C797" s="11">
        <v>45792</v>
      </c>
      <c r="D797" s="12">
        <v>5</v>
      </c>
      <c r="E797" s="12">
        <v>7</v>
      </c>
      <c r="F797" s="13" t="s">
        <v>75</v>
      </c>
      <c r="G797" t="str">
        <f>IFERROR(INDEX(Ticket!$B$2:$B$6001,MATCH(B797,Ticket!$A$2:$A$6001,0)),"Ticket introuvable")</f>
        <v>AG-024</v>
      </c>
    </row>
    <row r="798" spans="1:7" x14ac:dyDescent="0.35">
      <c r="A798" s="6" t="s">
        <v>6945</v>
      </c>
      <c r="B798" s="8" t="s">
        <v>2098</v>
      </c>
      <c r="C798" s="7">
        <v>45749</v>
      </c>
      <c r="D798" s="8">
        <v>5</v>
      </c>
      <c r="E798" s="8">
        <v>10</v>
      </c>
      <c r="F798" s="9" t="s">
        <v>6148</v>
      </c>
      <c r="G798" t="str">
        <f>IFERROR(INDEX(Ticket!$B$2:$B$6001,MATCH(B798,Ticket!$A$2:$A$6001,0)),"Ticket introuvable")</f>
        <v>AG-035</v>
      </c>
    </row>
    <row r="799" spans="1:7" x14ac:dyDescent="0.35">
      <c r="A799" s="10" t="s">
        <v>6946</v>
      </c>
      <c r="B799" s="12" t="s">
        <v>648</v>
      </c>
      <c r="C799" s="11">
        <v>45897</v>
      </c>
      <c r="D799" s="12">
        <v>4</v>
      </c>
      <c r="E799" s="12">
        <v>5</v>
      </c>
      <c r="F799" s="13" t="s">
        <v>8363</v>
      </c>
      <c r="G799" t="str">
        <f>IFERROR(INDEX(Ticket!$B$2:$B$6001,MATCH(B799,Ticket!$A$2:$A$6001,0)),"Ticket introuvable")</f>
        <v>AG-036</v>
      </c>
    </row>
    <row r="800" spans="1:7" x14ac:dyDescent="0.35">
      <c r="A800" s="6" t="s">
        <v>6947</v>
      </c>
      <c r="B800" s="8" t="s">
        <v>5923</v>
      </c>
      <c r="C800" s="7">
        <v>46021</v>
      </c>
      <c r="D800" s="8">
        <v>4</v>
      </c>
      <c r="E800" s="8">
        <v>1</v>
      </c>
      <c r="F800" s="9" t="s">
        <v>6153</v>
      </c>
      <c r="G800" t="str">
        <f>IFERROR(INDEX(Ticket!$B$2:$B$6001,MATCH(B800,Ticket!$A$2:$A$6001,0)),"Ticket introuvable")</f>
        <v>AG-040</v>
      </c>
    </row>
    <row r="801" spans="1:7" x14ac:dyDescent="0.35">
      <c r="A801" s="10" t="s">
        <v>6948</v>
      </c>
      <c r="B801" s="12" t="s">
        <v>5620</v>
      </c>
      <c r="C801" s="11">
        <v>46017</v>
      </c>
      <c r="D801" s="12">
        <v>4</v>
      </c>
      <c r="E801" s="12">
        <v>8</v>
      </c>
      <c r="F801" s="13" t="s">
        <v>8363</v>
      </c>
      <c r="G801" t="str">
        <f>IFERROR(INDEX(Ticket!$B$2:$B$6001,MATCH(B801,Ticket!$A$2:$A$6001,0)),"Ticket introuvable")</f>
        <v>AG-012</v>
      </c>
    </row>
    <row r="802" spans="1:7" x14ac:dyDescent="0.35">
      <c r="A802" s="6" t="s">
        <v>6949</v>
      </c>
      <c r="B802" s="8" t="s">
        <v>5956</v>
      </c>
      <c r="C802" s="7">
        <v>45873</v>
      </c>
      <c r="D802" s="8">
        <v>5</v>
      </c>
      <c r="E802" s="8">
        <v>7</v>
      </c>
      <c r="F802" s="9" t="s">
        <v>8363</v>
      </c>
      <c r="G802" t="str">
        <f>IFERROR(INDEX(Ticket!$B$2:$B$6001,MATCH(B802,Ticket!$A$2:$A$6001,0)),"Ticket introuvable")</f>
        <v>AG-020</v>
      </c>
    </row>
    <row r="803" spans="1:7" x14ac:dyDescent="0.35">
      <c r="A803" s="10" t="s">
        <v>6950</v>
      </c>
      <c r="B803" s="12" t="s">
        <v>1226</v>
      </c>
      <c r="C803" s="11">
        <v>45705</v>
      </c>
      <c r="D803" s="12"/>
      <c r="E803" s="12">
        <v>6</v>
      </c>
      <c r="F803" s="13" t="s">
        <v>6153</v>
      </c>
      <c r="G803" t="str">
        <f>IFERROR(INDEX(Ticket!$B$2:$B$6001,MATCH(B803,Ticket!$A$2:$A$6001,0)),"Ticket introuvable")</f>
        <v>AG-034</v>
      </c>
    </row>
    <row r="804" spans="1:7" x14ac:dyDescent="0.35">
      <c r="A804" s="6" t="s">
        <v>6951</v>
      </c>
      <c r="B804" s="8" t="s">
        <v>1182</v>
      </c>
      <c r="C804" s="7">
        <v>45776</v>
      </c>
      <c r="D804" s="8">
        <v>2</v>
      </c>
      <c r="E804" s="8">
        <v>0</v>
      </c>
      <c r="F804" s="9" t="s">
        <v>8363</v>
      </c>
      <c r="G804" t="str">
        <f>IFERROR(INDEX(Ticket!$B$2:$B$6001,MATCH(B804,Ticket!$A$2:$A$6001,0)),"Ticket introuvable")</f>
        <v>AG-025</v>
      </c>
    </row>
    <row r="805" spans="1:7" x14ac:dyDescent="0.35">
      <c r="A805" s="10" t="s">
        <v>6952</v>
      </c>
      <c r="B805" s="12" t="s">
        <v>5088</v>
      </c>
      <c r="C805" s="11">
        <v>45858</v>
      </c>
      <c r="D805" s="12">
        <v>4</v>
      </c>
      <c r="E805" s="12">
        <v>9</v>
      </c>
      <c r="F805" s="13" t="s">
        <v>6153</v>
      </c>
      <c r="G805" t="str">
        <f>IFERROR(INDEX(Ticket!$B$2:$B$6001,MATCH(B805,Ticket!$A$2:$A$6001,0)),"Ticket introuvable")</f>
        <v>AG-008</v>
      </c>
    </row>
    <row r="806" spans="1:7" x14ac:dyDescent="0.35">
      <c r="A806" s="6" t="s">
        <v>6953</v>
      </c>
      <c r="B806" s="8" t="s">
        <v>3323</v>
      </c>
      <c r="C806" s="7">
        <v>45756</v>
      </c>
      <c r="D806" s="8">
        <v>5</v>
      </c>
      <c r="E806" s="8">
        <v>10</v>
      </c>
      <c r="F806" s="9" t="s">
        <v>75</v>
      </c>
      <c r="G806" t="str">
        <f>IFERROR(INDEX(Ticket!$B$2:$B$6001,MATCH(B806,Ticket!$A$2:$A$6001,0)),"Ticket introuvable")</f>
        <v>AG-005</v>
      </c>
    </row>
    <row r="807" spans="1:7" x14ac:dyDescent="0.35">
      <c r="A807" s="10" t="s">
        <v>6954</v>
      </c>
      <c r="B807" s="12" t="s">
        <v>3206</v>
      </c>
      <c r="C807" s="11">
        <v>45990</v>
      </c>
      <c r="D807" s="12">
        <v>4</v>
      </c>
      <c r="E807" s="12"/>
      <c r="F807" s="13" t="s">
        <v>6153</v>
      </c>
      <c r="G807" t="str">
        <f>IFERROR(INDEX(Ticket!$B$2:$B$6001,MATCH(B807,Ticket!$A$2:$A$6001,0)),"Ticket introuvable")</f>
        <v>AG-037</v>
      </c>
    </row>
    <row r="808" spans="1:7" x14ac:dyDescent="0.35">
      <c r="A808" s="6" t="s">
        <v>6955</v>
      </c>
      <c r="B808" s="8" t="s">
        <v>1625</v>
      </c>
      <c r="C808" s="7">
        <v>45682</v>
      </c>
      <c r="D808" s="8">
        <v>5</v>
      </c>
      <c r="E808" s="8">
        <v>0</v>
      </c>
      <c r="F808" s="9" t="s">
        <v>75</v>
      </c>
      <c r="G808" t="str">
        <f>IFERROR(INDEX(Ticket!$B$2:$B$6001,MATCH(B808,Ticket!$A$2:$A$6001,0)),"Ticket introuvable")</f>
        <v>AG-038</v>
      </c>
    </row>
    <row r="809" spans="1:7" x14ac:dyDescent="0.35">
      <c r="A809" s="10" t="s">
        <v>6956</v>
      </c>
      <c r="B809" s="12" t="s">
        <v>4005</v>
      </c>
      <c r="C809" s="11">
        <v>45723</v>
      </c>
      <c r="D809" s="12">
        <v>5</v>
      </c>
      <c r="E809" s="12">
        <v>9</v>
      </c>
      <c r="F809" s="13" t="s">
        <v>8363</v>
      </c>
      <c r="G809" t="str">
        <f>IFERROR(INDEX(Ticket!$B$2:$B$6001,MATCH(B809,Ticket!$A$2:$A$6001,0)),"Ticket introuvable")</f>
        <v>AG-039</v>
      </c>
    </row>
    <row r="810" spans="1:7" x14ac:dyDescent="0.35">
      <c r="A810" s="6" t="s">
        <v>6957</v>
      </c>
      <c r="B810" s="8" t="s">
        <v>4850</v>
      </c>
      <c r="C810" s="7">
        <v>45864</v>
      </c>
      <c r="D810" s="8">
        <v>1</v>
      </c>
      <c r="E810" s="8">
        <v>7</v>
      </c>
      <c r="F810" s="9" t="s">
        <v>8363</v>
      </c>
      <c r="G810" t="str">
        <f>IFERROR(INDEX(Ticket!$B$2:$B$6001,MATCH(B810,Ticket!$A$2:$A$6001,0)),"Ticket introuvable")</f>
        <v>AG-039</v>
      </c>
    </row>
    <row r="811" spans="1:7" x14ac:dyDescent="0.35">
      <c r="A811" s="10" t="s">
        <v>6958</v>
      </c>
      <c r="B811" s="12" t="s">
        <v>2652</v>
      </c>
      <c r="C811" s="11">
        <v>45982</v>
      </c>
      <c r="D811" s="12">
        <v>5</v>
      </c>
      <c r="E811" s="12">
        <v>6</v>
      </c>
      <c r="F811" s="13" t="s">
        <v>6160</v>
      </c>
      <c r="G811" t="str">
        <f>IFERROR(INDEX(Ticket!$B$2:$B$6001,MATCH(B811,Ticket!$A$2:$A$6001,0)),"Ticket introuvable")</f>
        <v>AG-013</v>
      </c>
    </row>
    <row r="812" spans="1:7" x14ac:dyDescent="0.35">
      <c r="A812" s="6" t="s">
        <v>6959</v>
      </c>
      <c r="B812" s="8" t="s">
        <v>2551</v>
      </c>
      <c r="C812" s="7">
        <v>45838</v>
      </c>
      <c r="D812" s="8">
        <v>5</v>
      </c>
      <c r="E812" s="8">
        <v>9</v>
      </c>
      <c r="F812" s="9" t="s">
        <v>75</v>
      </c>
      <c r="G812" t="str">
        <f>IFERROR(INDEX(Ticket!$B$2:$B$6001,MATCH(B812,Ticket!$A$2:$A$6001,0)),"Ticket introuvable")</f>
        <v>AG-014</v>
      </c>
    </row>
    <row r="813" spans="1:7" x14ac:dyDescent="0.35">
      <c r="A813" s="10" t="s">
        <v>6960</v>
      </c>
      <c r="B813" s="12" t="s">
        <v>2937</v>
      </c>
      <c r="C813" s="11">
        <v>45835</v>
      </c>
      <c r="D813" s="12">
        <v>4</v>
      </c>
      <c r="E813" s="12">
        <v>8</v>
      </c>
      <c r="F813" s="13" t="s">
        <v>75</v>
      </c>
      <c r="G813" t="str">
        <f>IFERROR(INDEX(Ticket!$B$2:$B$6001,MATCH(B813,Ticket!$A$2:$A$6001,0)),"Ticket introuvable")</f>
        <v>AG-023</v>
      </c>
    </row>
    <row r="814" spans="1:7" x14ac:dyDescent="0.35">
      <c r="A814" s="6" t="s">
        <v>6961</v>
      </c>
      <c r="B814" s="8" t="s">
        <v>100</v>
      </c>
      <c r="C814" s="7">
        <v>45891</v>
      </c>
      <c r="D814" s="8">
        <v>3</v>
      </c>
      <c r="E814" s="8">
        <v>8</v>
      </c>
      <c r="F814" s="9" t="s">
        <v>6148</v>
      </c>
      <c r="G814" t="str">
        <f>IFERROR(INDEX(Ticket!$B$2:$B$6001,MATCH(B814,Ticket!$A$2:$A$6001,0)),"Ticket introuvable")</f>
        <v>AG-024</v>
      </c>
    </row>
    <row r="815" spans="1:7" x14ac:dyDescent="0.35">
      <c r="A815" s="10" t="s">
        <v>6962</v>
      </c>
      <c r="B815" s="12" t="s">
        <v>1826</v>
      </c>
      <c r="C815" s="11">
        <v>45679</v>
      </c>
      <c r="D815" s="12">
        <v>5</v>
      </c>
      <c r="E815" s="12">
        <v>1</v>
      </c>
      <c r="F815" s="13" t="s">
        <v>6160</v>
      </c>
      <c r="G815" t="str">
        <f>IFERROR(INDEX(Ticket!$B$2:$B$6001,MATCH(B815,Ticket!$A$2:$A$6001,0)),"Ticket introuvable")</f>
        <v>AG-035</v>
      </c>
    </row>
    <row r="816" spans="1:7" x14ac:dyDescent="0.35">
      <c r="A816" s="6" t="s">
        <v>6963</v>
      </c>
      <c r="B816" s="8" t="s">
        <v>2878</v>
      </c>
      <c r="C816" s="7">
        <v>46007</v>
      </c>
      <c r="D816" s="8"/>
      <c r="E816" s="8">
        <v>7</v>
      </c>
      <c r="F816" s="9" t="s">
        <v>75</v>
      </c>
      <c r="G816" t="str">
        <f>IFERROR(INDEX(Ticket!$B$2:$B$6001,MATCH(B816,Ticket!$A$2:$A$6001,0)),"Ticket introuvable")</f>
        <v>AG-031</v>
      </c>
    </row>
    <row r="817" spans="1:7" x14ac:dyDescent="0.35">
      <c r="A817" s="10" t="s">
        <v>6964</v>
      </c>
      <c r="B817" s="12" t="s">
        <v>4807</v>
      </c>
      <c r="C817" s="11">
        <v>45779</v>
      </c>
      <c r="D817" s="12">
        <v>5</v>
      </c>
      <c r="E817" s="12">
        <v>9</v>
      </c>
      <c r="F817" s="13" t="s">
        <v>6153</v>
      </c>
      <c r="G817" t="str">
        <f>IFERROR(INDEX(Ticket!$B$2:$B$6001,MATCH(B817,Ticket!$A$2:$A$6001,0)),"Ticket introuvable")</f>
        <v>AG-007</v>
      </c>
    </row>
    <row r="818" spans="1:7" x14ac:dyDescent="0.35">
      <c r="A818" s="6" t="s">
        <v>6965</v>
      </c>
      <c r="B818" s="8" t="s">
        <v>5700</v>
      </c>
      <c r="C818" s="7">
        <v>45718</v>
      </c>
      <c r="D818" s="8">
        <v>4</v>
      </c>
      <c r="E818" s="8">
        <v>10</v>
      </c>
      <c r="F818" s="9" t="s">
        <v>6148</v>
      </c>
      <c r="G818" t="str">
        <f>IFERROR(INDEX(Ticket!$B$2:$B$6001,MATCH(B818,Ticket!$A$2:$A$6001,0)),"Ticket introuvable")</f>
        <v>AG-019</v>
      </c>
    </row>
    <row r="819" spans="1:7" x14ac:dyDescent="0.35">
      <c r="A819" s="10" t="s">
        <v>6966</v>
      </c>
      <c r="B819" s="12" t="s">
        <v>5637</v>
      </c>
      <c r="C819" s="11">
        <v>45706</v>
      </c>
      <c r="D819" s="12">
        <v>4</v>
      </c>
      <c r="E819" s="12">
        <v>8</v>
      </c>
      <c r="F819" s="13" t="s">
        <v>6148</v>
      </c>
      <c r="G819" t="str">
        <f>IFERROR(INDEX(Ticket!$B$2:$B$6001,MATCH(B819,Ticket!$A$2:$A$6001,0)),"Ticket introuvable")</f>
        <v>AG-022</v>
      </c>
    </row>
    <row r="820" spans="1:7" x14ac:dyDescent="0.35">
      <c r="A820" s="6" t="s">
        <v>6967</v>
      </c>
      <c r="B820" s="8" t="s">
        <v>4654</v>
      </c>
      <c r="C820" s="7">
        <v>45757</v>
      </c>
      <c r="D820" s="8">
        <v>4</v>
      </c>
      <c r="E820" s="8">
        <v>10</v>
      </c>
      <c r="F820" s="9" t="s">
        <v>75</v>
      </c>
      <c r="G820" t="str">
        <f>IFERROR(INDEX(Ticket!$B$2:$B$6001,MATCH(B820,Ticket!$A$2:$A$6001,0)),"Ticket introuvable")</f>
        <v>AG-037</v>
      </c>
    </row>
    <row r="821" spans="1:7" x14ac:dyDescent="0.35">
      <c r="A821" s="10" t="s">
        <v>6968</v>
      </c>
      <c r="B821" s="12" t="s">
        <v>5199</v>
      </c>
      <c r="C821" s="11">
        <v>45992</v>
      </c>
      <c r="D821" s="12">
        <v>5</v>
      </c>
      <c r="E821" s="12">
        <v>8</v>
      </c>
      <c r="F821" s="13" t="s">
        <v>6153</v>
      </c>
      <c r="G821" t="str">
        <f>IFERROR(INDEX(Ticket!$B$2:$B$6001,MATCH(B821,Ticket!$A$2:$A$6001,0)),"Ticket introuvable")</f>
        <v>AG-037</v>
      </c>
    </row>
    <row r="822" spans="1:7" x14ac:dyDescent="0.35">
      <c r="A822" s="6" t="s">
        <v>6969</v>
      </c>
      <c r="B822" s="8" t="s">
        <v>3440</v>
      </c>
      <c r="C822" s="7">
        <v>45691</v>
      </c>
      <c r="D822" s="8">
        <v>5</v>
      </c>
      <c r="E822" s="8">
        <v>6</v>
      </c>
      <c r="F822" s="9" t="s">
        <v>8363</v>
      </c>
      <c r="G822" t="str">
        <f>IFERROR(INDEX(Ticket!$B$2:$B$6001,MATCH(B822,Ticket!$A$2:$A$6001,0)),"Ticket introuvable")</f>
        <v>AG-017</v>
      </c>
    </row>
    <row r="823" spans="1:7" x14ac:dyDescent="0.35">
      <c r="A823" s="10" t="s">
        <v>6970</v>
      </c>
      <c r="B823" s="12" t="s">
        <v>5483</v>
      </c>
      <c r="C823" s="11">
        <v>45790</v>
      </c>
      <c r="D823" s="12">
        <v>5</v>
      </c>
      <c r="E823" s="12">
        <v>7</v>
      </c>
      <c r="F823" s="13" t="s">
        <v>75</v>
      </c>
      <c r="G823" t="str">
        <f>IFERROR(INDEX(Ticket!$B$2:$B$6001,MATCH(B823,Ticket!$A$2:$A$6001,0)),"Ticket introuvable")</f>
        <v>AG-023</v>
      </c>
    </row>
    <row r="824" spans="1:7" x14ac:dyDescent="0.35">
      <c r="A824" s="6" t="s">
        <v>6971</v>
      </c>
      <c r="B824" s="8" t="s">
        <v>1628</v>
      </c>
      <c r="C824" s="7">
        <v>45792</v>
      </c>
      <c r="D824" s="8">
        <v>2</v>
      </c>
      <c r="E824" s="8">
        <v>5</v>
      </c>
      <c r="F824" s="9" t="s">
        <v>6142</v>
      </c>
      <c r="G824" t="str">
        <f>IFERROR(INDEX(Ticket!$B$2:$B$6001,MATCH(B824,Ticket!$A$2:$A$6001,0)),"Ticket introuvable")</f>
        <v>AG-003</v>
      </c>
    </row>
    <row r="825" spans="1:7" x14ac:dyDescent="0.35">
      <c r="A825" s="10" t="s">
        <v>6972</v>
      </c>
      <c r="B825" s="12" t="s">
        <v>4366</v>
      </c>
      <c r="C825" s="11">
        <v>45941</v>
      </c>
      <c r="D825" s="12">
        <v>4</v>
      </c>
      <c r="E825" s="12">
        <v>9</v>
      </c>
      <c r="F825" s="13" t="s">
        <v>75</v>
      </c>
      <c r="G825" t="str">
        <f>IFERROR(INDEX(Ticket!$B$2:$B$6001,MATCH(B825,Ticket!$A$2:$A$6001,0)),"Ticket introuvable")</f>
        <v>AG-029</v>
      </c>
    </row>
    <row r="826" spans="1:7" x14ac:dyDescent="0.35">
      <c r="A826" s="6" t="s">
        <v>6973</v>
      </c>
      <c r="B826" s="8" t="s">
        <v>6974</v>
      </c>
      <c r="C826" s="7">
        <v>45699</v>
      </c>
      <c r="D826" s="8">
        <v>5</v>
      </c>
      <c r="E826" s="8">
        <v>2</v>
      </c>
      <c r="F826" s="9" t="s">
        <v>75</v>
      </c>
      <c r="G826" t="str">
        <f>IFERROR(INDEX(Ticket!$B$2:$B$6001,MATCH(B826,Ticket!$A$2:$A$6001,0)),"Ticket introuvable")</f>
        <v>Ticket introuvable</v>
      </c>
    </row>
    <row r="827" spans="1:7" x14ac:dyDescent="0.35">
      <c r="A827" s="10" t="s">
        <v>6975</v>
      </c>
      <c r="B827" s="12" t="s">
        <v>2406</v>
      </c>
      <c r="C827" s="11">
        <v>45728</v>
      </c>
      <c r="D827" s="12">
        <v>5</v>
      </c>
      <c r="E827" s="12">
        <v>10</v>
      </c>
      <c r="F827" s="13" t="s">
        <v>8363</v>
      </c>
      <c r="G827" t="str">
        <f>IFERROR(INDEX(Ticket!$B$2:$B$6001,MATCH(B827,Ticket!$A$2:$A$6001,0)),"Ticket introuvable")</f>
        <v>AG-003</v>
      </c>
    </row>
    <row r="828" spans="1:7" x14ac:dyDescent="0.35">
      <c r="A828" s="6" t="s">
        <v>6976</v>
      </c>
      <c r="B828" s="8" t="s">
        <v>3626</v>
      </c>
      <c r="C828" s="7">
        <v>45909</v>
      </c>
      <c r="D828" s="8">
        <v>4</v>
      </c>
      <c r="E828" s="8">
        <v>7</v>
      </c>
      <c r="F828" s="9" t="s">
        <v>8363</v>
      </c>
      <c r="G828" t="str">
        <f>IFERROR(INDEX(Ticket!$B$2:$B$6001,MATCH(B828,Ticket!$A$2:$A$6001,0)),"Ticket introuvable")</f>
        <v>AG-025</v>
      </c>
    </row>
    <row r="829" spans="1:7" x14ac:dyDescent="0.35">
      <c r="A829" s="10" t="s">
        <v>6977</v>
      </c>
      <c r="B829" s="12" t="s">
        <v>1893</v>
      </c>
      <c r="C829" s="11">
        <v>45830</v>
      </c>
      <c r="D829" s="12">
        <v>5</v>
      </c>
      <c r="E829" s="12">
        <v>10</v>
      </c>
      <c r="F829" s="13" t="s">
        <v>8363</v>
      </c>
      <c r="G829" t="str">
        <f>IFERROR(INDEX(Ticket!$B$2:$B$6001,MATCH(B829,Ticket!$A$2:$A$6001,0)),"Ticket introuvable")</f>
        <v>AG-005</v>
      </c>
    </row>
    <row r="830" spans="1:7" x14ac:dyDescent="0.35">
      <c r="A830" s="6" t="s">
        <v>6978</v>
      </c>
      <c r="B830" s="8" t="s">
        <v>2276</v>
      </c>
      <c r="C830" s="7">
        <v>45924</v>
      </c>
      <c r="D830" s="8">
        <v>3</v>
      </c>
      <c r="E830" s="8">
        <v>10</v>
      </c>
      <c r="F830" s="9" t="s">
        <v>8363</v>
      </c>
      <c r="G830" t="str">
        <f>IFERROR(INDEX(Ticket!$B$2:$B$6001,MATCH(B830,Ticket!$A$2:$A$6001,0)),"Ticket introuvable")</f>
        <v>AG-037</v>
      </c>
    </row>
    <row r="831" spans="1:7" x14ac:dyDescent="0.35">
      <c r="A831" s="10" t="s">
        <v>6979</v>
      </c>
      <c r="B831" s="12" t="s">
        <v>3639</v>
      </c>
      <c r="C831" s="11">
        <v>45884</v>
      </c>
      <c r="D831" s="12">
        <v>4</v>
      </c>
      <c r="E831" s="12">
        <v>5</v>
      </c>
      <c r="F831" s="13" t="s">
        <v>8363</v>
      </c>
      <c r="G831" t="str">
        <f>IFERROR(INDEX(Ticket!$B$2:$B$6001,MATCH(B831,Ticket!$A$2:$A$6001,0)),"Ticket introuvable")</f>
        <v>AG-005</v>
      </c>
    </row>
    <row r="832" spans="1:7" x14ac:dyDescent="0.35">
      <c r="A832" s="6" t="s">
        <v>6980</v>
      </c>
      <c r="B832" s="8" t="s">
        <v>652</v>
      </c>
      <c r="C832" s="7">
        <v>45816</v>
      </c>
      <c r="D832" s="8"/>
      <c r="E832" s="8">
        <v>0</v>
      </c>
      <c r="F832" s="9" t="s">
        <v>6160</v>
      </c>
      <c r="G832" t="str">
        <f>IFERROR(INDEX(Ticket!$B$2:$B$6001,MATCH(B832,Ticket!$A$2:$A$6001,0)),"Ticket introuvable")</f>
        <v>AG-032</v>
      </c>
    </row>
    <row r="833" spans="1:7" x14ac:dyDescent="0.35">
      <c r="A833" s="10" t="s">
        <v>6981</v>
      </c>
      <c r="B833" s="12" t="s">
        <v>2759</v>
      </c>
      <c r="C833" s="11">
        <v>45969</v>
      </c>
      <c r="D833" s="12">
        <v>1</v>
      </c>
      <c r="E833" s="12">
        <v>7</v>
      </c>
      <c r="F833" s="13" t="s">
        <v>75</v>
      </c>
      <c r="G833" t="str">
        <f>IFERROR(INDEX(Ticket!$B$2:$B$6001,MATCH(B833,Ticket!$A$2:$A$6001,0)),"Ticket introuvable")</f>
        <v>AG-010</v>
      </c>
    </row>
    <row r="834" spans="1:7" x14ac:dyDescent="0.35">
      <c r="A834" s="6" t="s">
        <v>6982</v>
      </c>
      <c r="B834" s="8" t="s">
        <v>2389</v>
      </c>
      <c r="C834" s="7">
        <v>45976</v>
      </c>
      <c r="D834" s="8">
        <v>4</v>
      </c>
      <c r="E834" s="8">
        <v>2</v>
      </c>
      <c r="F834" s="9" t="s">
        <v>6153</v>
      </c>
      <c r="G834" t="str">
        <f>IFERROR(INDEX(Ticket!$B$2:$B$6001,MATCH(B834,Ticket!$A$2:$A$6001,0)),"Ticket introuvable")</f>
        <v>AG-032</v>
      </c>
    </row>
    <row r="835" spans="1:7" x14ac:dyDescent="0.35">
      <c r="A835" s="10" t="s">
        <v>6983</v>
      </c>
      <c r="B835" s="12" t="s">
        <v>1410</v>
      </c>
      <c r="C835" s="11">
        <v>45859</v>
      </c>
      <c r="D835" s="12">
        <v>4</v>
      </c>
      <c r="E835" s="12">
        <v>5</v>
      </c>
      <c r="F835" s="13" t="s">
        <v>6160</v>
      </c>
      <c r="G835" t="str">
        <f>IFERROR(INDEX(Ticket!$B$2:$B$6001,MATCH(B835,Ticket!$A$2:$A$6001,0)),"Ticket introuvable")</f>
        <v>AG-028</v>
      </c>
    </row>
    <row r="836" spans="1:7" x14ac:dyDescent="0.35">
      <c r="A836" s="6" t="s">
        <v>6984</v>
      </c>
      <c r="B836" s="8" t="s">
        <v>3977</v>
      </c>
      <c r="C836" s="7">
        <v>45859</v>
      </c>
      <c r="D836" s="8">
        <v>4</v>
      </c>
      <c r="E836" s="8">
        <v>9</v>
      </c>
      <c r="F836" s="9" t="s">
        <v>75</v>
      </c>
      <c r="G836" t="str">
        <f>IFERROR(INDEX(Ticket!$B$2:$B$6001,MATCH(B836,Ticket!$A$2:$A$6001,0)),"Ticket introuvable")</f>
        <v>AG-021</v>
      </c>
    </row>
    <row r="837" spans="1:7" x14ac:dyDescent="0.35">
      <c r="A837" s="10" t="s">
        <v>6985</v>
      </c>
      <c r="B837" s="12" t="s">
        <v>673</v>
      </c>
      <c r="C837" s="11">
        <v>45683</v>
      </c>
      <c r="D837" s="12"/>
      <c r="E837" s="12">
        <v>8</v>
      </c>
      <c r="F837" s="13" t="s">
        <v>75</v>
      </c>
      <c r="G837" t="str">
        <f>IFERROR(INDEX(Ticket!$B$2:$B$6001,MATCH(B837,Ticket!$A$2:$A$6001,0)),"Ticket introuvable")</f>
        <v>AG-036</v>
      </c>
    </row>
    <row r="838" spans="1:7" x14ac:dyDescent="0.35">
      <c r="A838" s="6" t="s">
        <v>6986</v>
      </c>
      <c r="B838" s="8" t="s">
        <v>2648</v>
      </c>
      <c r="C838" s="7">
        <v>45839</v>
      </c>
      <c r="D838" s="8">
        <v>4</v>
      </c>
      <c r="E838" s="8">
        <v>8</v>
      </c>
      <c r="F838" s="9" t="s">
        <v>6148</v>
      </c>
      <c r="G838" t="str">
        <f>IFERROR(INDEX(Ticket!$B$2:$B$6001,MATCH(B838,Ticket!$A$2:$A$6001,0)),"Ticket introuvable")</f>
        <v>AG-037</v>
      </c>
    </row>
    <row r="839" spans="1:7" x14ac:dyDescent="0.35">
      <c r="A839" s="10" t="s">
        <v>6987</v>
      </c>
      <c r="B839" s="12" t="s">
        <v>5764</v>
      </c>
      <c r="C839" s="11">
        <v>45850</v>
      </c>
      <c r="D839" s="12">
        <v>5</v>
      </c>
      <c r="E839" s="12">
        <v>10</v>
      </c>
      <c r="F839" s="13" t="s">
        <v>6153</v>
      </c>
      <c r="G839" t="str">
        <f>IFERROR(INDEX(Ticket!$B$2:$B$6001,MATCH(B839,Ticket!$A$2:$A$6001,0)),"Ticket introuvable")</f>
        <v>AG-007</v>
      </c>
    </row>
    <row r="840" spans="1:7" x14ac:dyDescent="0.35">
      <c r="A840" s="6" t="s">
        <v>6988</v>
      </c>
      <c r="B840" s="8" t="s">
        <v>4303</v>
      </c>
      <c r="C840" s="7">
        <v>45983</v>
      </c>
      <c r="D840" s="8">
        <v>4</v>
      </c>
      <c r="E840" s="8">
        <v>2</v>
      </c>
      <c r="F840" s="9" t="s">
        <v>8363</v>
      </c>
      <c r="G840" t="str">
        <f>IFERROR(INDEX(Ticket!$B$2:$B$6001,MATCH(B840,Ticket!$A$2:$A$6001,0)),"Ticket introuvable")</f>
        <v>AG-025</v>
      </c>
    </row>
    <row r="841" spans="1:7" x14ac:dyDescent="0.35">
      <c r="A841" s="10" t="s">
        <v>6989</v>
      </c>
      <c r="B841" s="12" t="s">
        <v>3147</v>
      </c>
      <c r="C841" s="11">
        <v>45961</v>
      </c>
      <c r="D841" s="12">
        <v>1</v>
      </c>
      <c r="E841" s="12">
        <v>10</v>
      </c>
      <c r="F841" s="13" t="s">
        <v>8363</v>
      </c>
      <c r="G841" t="str">
        <f>IFERROR(INDEX(Ticket!$B$2:$B$6001,MATCH(B841,Ticket!$A$2:$A$6001,0)),"Ticket introuvable")</f>
        <v>AG-016</v>
      </c>
    </row>
    <row r="842" spans="1:7" x14ac:dyDescent="0.35">
      <c r="A842" s="6" t="s">
        <v>6990</v>
      </c>
      <c r="B842" s="8" t="s">
        <v>180</v>
      </c>
      <c r="C842" s="7">
        <v>45874</v>
      </c>
      <c r="D842" s="8">
        <v>3</v>
      </c>
      <c r="E842" s="8">
        <v>10</v>
      </c>
      <c r="F842" s="9" t="s">
        <v>6148</v>
      </c>
      <c r="G842" t="str">
        <f>IFERROR(INDEX(Ticket!$B$2:$B$6001,MATCH(B842,Ticket!$A$2:$A$6001,0)),"Ticket introuvable")</f>
        <v>AG-031</v>
      </c>
    </row>
    <row r="843" spans="1:7" x14ac:dyDescent="0.35">
      <c r="A843" s="10" t="s">
        <v>6991</v>
      </c>
      <c r="B843" s="12" t="s">
        <v>278</v>
      </c>
      <c r="C843" s="11">
        <v>45857</v>
      </c>
      <c r="D843" s="12"/>
      <c r="E843" s="12">
        <v>9</v>
      </c>
      <c r="F843" s="13" t="s">
        <v>8363</v>
      </c>
      <c r="G843" t="str">
        <f>IFERROR(INDEX(Ticket!$B$2:$B$6001,MATCH(B843,Ticket!$A$2:$A$6001,0)),"Ticket introuvable")</f>
        <v>AG-039</v>
      </c>
    </row>
    <row r="844" spans="1:7" x14ac:dyDescent="0.35">
      <c r="A844" s="6" t="s">
        <v>6992</v>
      </c>
      <c r="B844" s="8" t="s">
        <v>1841</v>
      </c>
      <c r="C844" s="7">
        <v>45758</v>
      </c>
      <c r="D844" s="8">
        <v>5</v>
      </c>
      <c r="E844" s="8">
        <v>5</v>
      </c>
      <c r="F844" s="9" t="s">
        <v>8363</v>
      </c>
      <c r="G844" t="str">
        <f>IFERROR(INDEX(Ticket!$B$2:$B$6001,MATCH(B844,Ticket!$A$2:$A$6001,0)),"Ticket introuvable")</f>
        <v>AG-011</v>
      </c>
    </row>
    <row r="845" spans="1:7" x14ac:dyDescent="0.35">
      <c r="A845" s="10" t="s">
        <v>6993</v>
      </c>
      <c r="B845" s="12" t="s">
        <v>1462</v>
      </c>
      <c r="C845" s="11">
        <v>45963</v>
      </c>
      <c r="D845" s="12">
        <v>5</v>
      </c>
      <c r="E845" s="12">
        <v>8</v>
      </c>
      <c r="F845" s="13" t="s">
        <v>8363</v>
      </c>
      <c r="G845" t="str">
        <f>IFERROR(INDEX(Ticket!$B$2:$B$6001,MATCH(B845,Ticket!$A$2:$A$6001,0)),"Ticket introuvable")</f>
        <v>AG-013</v>
      </c>
    </row>
    <row r="846" spans="1:7" x14ac:dyDescent="0.35">
      <c r="A846" s="6" t="s">
        <v>6994</v>
      </c>
      <c r="B846" s="8" t="s">
        <v>1545</v>
      </c>
      <c r="C846" s="7">
        <v>45738</v>
      </c>
      <c r="D846" s="8">
        <v>4</v>
      </c>
      <c r="E846" s="8">
        <v>5</v>
      </c>
      <c r="F846" s="9" t="s">
        <v>8363</v>
      </c>
      <c r="G846" t="str">
        <f>IFERROR(INDEX(Ticket!$B$2:$B$6001,MATCH(B846,Ticket!$A$2:$A$6001,0)),"Ticket introuvable")</f>
        <v>AG-026</v>
      </c>
    </row>
    <row r="847" spans="1:7" x14ac:dyDescent="0.35">
      <c r="A847" s="10" t="s">
        <v>6995</v>
      </c>
      <c r="B847" s="12" t="s">
        <v>3043</v>
      </c>
      <c r="C847" s="11">
        <v>45849</v>
      </c>
      <c r="D847" s="12">
        <v>4</v>
      </c>
      <c r="E847" s="12"/>
      <c r="F847" s="13" t="s">
        <v>6142</v>
      </c>
      <c r="G847" t="str">
        <f>IFERROR(INDEX(Ticket!$B$2:$B$6001,MATCH(B847,Ticket!$A$2:$A$6001,0)),"Ticket introuvable")</f>
        <v>AG-035</v>
      </c>
    </row>
    <row r="848" spans="1:7" x14ac:dyDescent="0.35">
      <c r="A848" s="6" t="s">
        <v>6996</v>
      </c>
      <c r="B848" s="8" t="s">
        <v>856</v>
      </c>
      <c r="C848" s="7">
        <v>45805</v>
      </c>
      <c r="D848" s="8">
        <v>2</v>
      </c>
      <c r="E848" s="8">
        <v>5</v>
      </c>
      <c r="F848" s="9" t="s">
        <v>6148</v>
      </c>
      <c r="G848" t="str">
        <f>IFERROR(INDEX(Ticket!$B$2:$B$6001,MATCH(B848,Ticket!$A$2:$A$6001,0)),"Ticket introuvable")</f>
        <v>AG-008</v>
      </c>
    </row>
    <row r="849" spans="1:7" x14ac:dyDescent="0.35">
      <c r="A849" s="10" t="s">
        <v>6997</v>
      </c>
      <c r="B849" s="12" t="s">
        <v>2566</v>
      </c>
      <c r="C849" s="11">
        <v>45745</v>
      </c>
      <c r="D849" s="12">
        <v>4</v>
      </c>
      <c r="E849" s="12"/>
      <c r="F849" s="13" t="s">
        <v>75</v>
      </c>
      <c r="G849" t="str">
        <f>IFERROR(INDEX(Ticket!$B$2:$B$6001,MATCH(B849,Ticket!$A$2:$A$6001,0)),"Ticket introuvable")</f>
        <v>AG-010</v>
      </c>
    </row>
    <row r="850" spans="1:7" x14ac:dyDescent="0.35">
      <c r="A850" s="6" t="s">
        <v>6998</v>
      </c>
      <c r="B850" s="8" t="s">
        <v>554</v>
      </c>
      <c r="C850" s="7">
        <v>45693</v>
      </c>
      <c r="D850" s="8"/>
      <c r="E850" s="8">
        <v>9</v>
      </c>
      <c r="F850" s="9" t="s">
        <v>8363</v>
      </c>
      <c r="G850" t="str">
        <f>IFERROR(INDEX(Ticket!$B$2:$B$6001,MATCH(B850,Ticket!$A$2:$A$6001,0)),"Ticket introuvable")</f>
        <v>AG-020</v>
      </c>
    </row>
    <row r="851" spans="1:7" x14ac:dyDescent="0.35">
      <c r="A851" s="10" t="s">
        <v>6999</v>
      </c>
      <c r="B851" s="12" t="s">
        <v>2694</v>
      </c>
      <c r="C851" s="11">
        <v>45992</v>
      </c>
      <c r="D851" s="12">
        <v>4</v>
      </c>
      <c r="E851" s="12">
        <v>1</v>
      </c>
      <c r="F851" s="13" t="s">
        <v>6142</v>
      </c>
      <c r="G851" t="str">
        <f>IFERROR(INDEX(Ticket!$B$2:$B$6001,MATCH(B851,Ticket!$A$2:$A$6001,0)),"Ticket introuvable")</f>
        <v>AG-034</v>
      </c>
    </row>
    <row r="852" spans="1:7" x14ac:dyDescent="0.35">
      <c r="A852" s="6" t="s">
        <v>7000</v>
      </c>
      <c r="B852" s="8" t="s">
        <v>2481</v>
      </c>
      <c r="C852" s="7">
        <v>45984</v>
      </c>
      <c r="D852" s="8">
        <v>4</v>
      </c>
      <c r="E852" s="8">
        <v>7</v>
      </c>
      <c r="F852" s="9" t="s">
        <v>8363</v>
      </c>
      <c r="G852" t="str">
        <f>IFERROR(INDEX(Ticket!$B$2:$B$6001,MATCH(B852,Ticket!$A$2:$A$6001,0)),"Ticket introuvable")</f>
        <v>AG-037</v>
      </c>
    </row>
    <row r="853" spans="1:7" x14ac:dyDescent="0.35">
      <c r="A853" s="10" t="s">
        <v>7001</v>
      </c>
      <c r="B853" s="12" t="s">
        <v>1928</v>
      </c>
      <c r="C853" s="11">
        <v>45680</v>
      </c>
      <c r="D853" s="12">
        <v>5</v>
      </c>
      <c r="E853" s="12">
        <v>10</v>
      </c>
      <c r="F853" s="13" t="s">
        <v>8363</v>
      </c>
      <c r="G853" t="str">
        <f>IFERROR(INDEX(Ticket!$B$2:$B$6001,MATCH(B853,Ticket!$A$2:$A$6001,0)),"Ticket introuvable")</f>
        <v>AG-039</v>
      </c>
    </row>
    <row r="854" spans="1:7" x14ac:dyDescent="0.35">
      <c r="A854" s="6" t="s">
        <v>7002</v>
      </c>
      <c r="B854" s="8" t="s">
        <v>5720</v>
      </c>
      <c r="C854" s="7">
        <v>45943</v>
      </c>
      <c r="D854" s="8">
        <v>1</v>
      </c>
      <c r="E854" s="8">
        <v>10</v>
      </c>
      <c r="F854" s="9" t="s">
        <v>75</v>
      </c>
      <c r="G854" t="str">
        <f>IFERROR(INDEX(Ticket!$B$2:$B$6001,MATCH(B854,Ticket!$A$2:$A$6001,0)),"Ticket introuvable")</f>
        <v>AG-039</v>
      </c>
    </row>
    <row r="855" spans="1:7" x14ac:dyDescent="0.35">
      <c r="A855" s="10" t="s">
        <v>7003</v>
      </c>
      <c r="B855" s="12" t="s">
        <v>2168</v>
      </c>
      <c r="C855" s="11">
        <v>45923</v>
      </c>
      <c r="D855" s="12">
        <v>5</v>
      </c>
      <c r="E855" s="12">
        <v>8</v>
      </c>
      <c r="F855" s="13" t="s">
        <v>75</v>
      </c>
      <c r="G855" t="str">
        <f>IFERROR(INDEX(Ticket!$B$2:$B$6001,MATCH(B855,Ticket!$A$2:$A$6001,0)),"Ticket introuvable")</f>
        <v>AG-008</v>
      </c>
    </row>
    <row r="856" spans="1:7" x14ac:dyDescent="0.35">
      <c r="A856" s="6" t="s">
        <v>7004</v>
      </c>
      <c r="B856" s="8" t="s">
        <v>2528</v>
      </c>
      <c r="C856" s="7">
        <v>45685</v>
      </c>
      <c r="D856" s="8">
        <v>4</v>
      </c>
      <c r="E856" s="8">
        <v>10</v>
      </c>
      <c r="F856" s="9" t="s">
        <v>6153</v>
      </c>
      <c r="G856" t="str">
        <f>IFERROR(INDEX(Ticket!$B$2:$B$6001,MATCH(B856,Ticket!$A$2:$A$6001,0)),"Ticket introuvable")</f>
        <v>AG-037</v>
      </c>
    </row>
    <row r="857" spans="1:7" x14ac:dyDescent="0.35">
      <c r="A857" s="10" t="s">
        <v>7005</v>
      </c>
      <c r="B857" s="12" t="s">
        <v>3070</v>
      </c>
      <c r="C857" s="11">
        <v>45916</v>
      </c>
      <c r="D857" s="12">
        <v>3</v>
      </c>
      <c r="E857" s="12">
        <v>1</v>
      </c>
      <c r="F857" s="13" t="s">
        <v>6148</v>
      </c>
      <c r="G857" t="str">
        <f>IFERROR(INDEX(Ticket!$B$2:$B$6001,MATCH(B857,Ticket!$A$2:$A$6001,0)),"Ticket introuvable")</f>
        <v>AG-021</v>
      </c>
    </row>
    <row r="858" spans="1:7" x14ac:dyDescent="0.35">
      <c r="A858" s="6" t="s">
        <v>7006</v>
      </c>
      <c r="B858" s="8" t="s">
        <v>3791</v>
      </c>
      <c r="C858" s="7">
        <v>45985</v>
      </c>
      <c r="D858" s="8">
        <v>4</v>
      </c>
      <c r="E858" s="8">
        <v>1</v>
      </c>
      <c r="F858" s="9" t="s">
        <v>6160</v>
      </c>
      <c r="G858" t="str">
        <f>IFERROR(INDEX(Ticket!$B$2:$B$6001,MATCH(B858,Ticket!$A$2:$A$6001,0)),"Ticket introuvable")</f>
        <v>AG-035</v>
      </c>
    </row>
    <row r="859" spans="1:7" x14ac:dyDescent="0.35">
      <c r="A859" s="10" t="s">
        <v>7007</v>
      </c>
      <c r="B859" s="12" t="s">
        <v>2916</v>
      </c>
      <c r="C859" s="11">
        <v>46004</v>
      </c>
      <c r="D859" s="12">
        <v>5</v>
      </c>
      <c r="E859" s="12">
        <v>7</v>
      </c>
      <c r="F859" s="13" t="s">
        <v>6153</v>
      </c>
      <c r="G859" t="str">
        <f>IFERROR(INDEX(Ticket!$B$2:$B$6001,MATCH(B859,Ticket!$A$2:$A$6001,0)),"Ticket introuvable")</f>
        <v>AG-016</v>
      </c>
    </row>
    <row r="860" spans="1:7" x14ac:dyDescent="0.35">
      <c r="A860" s="6" t="s">
        <v>7008</v>
      </c>
      <c r="B860" s="8" t="s">
        <v>3998</v>
      </c>
      <c r="C860" s="7">
        <v>45940</v>
      </c>
      <c r="D860" s="8">
        <v>5</v>
      </c>
      <c r="E860" s="8">
        <v>7</v>
      </c>
      <c r="F860" s="9" t="s">
        <v>8363</v>
      </c>
      <c r="G860" t="str">
        <f>IFERROR(INDEX(Ticket!$B$2:$B$6001,MATCH(B860,Ticket!$A$2:$A$6001,0)),"Ticket introuvable")</f>
        <v>AG-021</v>
      </c>
    </row>
    <row r="861" spans="1:7" x14ac:dyDescent="0.35">
      <c r="A861" s="10" t="s">
        <v>7009</v>
      </c>
      <c r="B861" s="12" t="s">
        <v>2394</v>
      </c>
      <c r="C861" s="11">
        <v>45803</v>
      </c>
      <c r="D861" s="12">
        <v>5</v>
      </c>
      <c r="E861" s="12">
        <v>9</v>
      </c>
      <c r="F861" s="13" t="s">
        <v>8363</v>
      </c>
      <c r="G861" t="str">
        <f>IFERROR(INDEX(Ticket!$B$2:$B$6001,MATCH(B861,Ticket!$A$2:$A$6001,0)),"Ticket introuvable")</f>
        <v>AG-019</v>
      </c>
    </row>
    <row r="862" spans="1:7" x14ac:dyDescent="0.35">
      <c r="A862" s="6" t="s">
        <v>7010</v>
      </c>
      <c r="B862" s="8" t="s">
        <v>3790</v>
      </c>
      <c r="C862" s="7">
        <v>45742</v>
      </c>
      <c r="D862" s="8">
        <v>3</v>
      </c>
      <c r="E862" s="8">
        <v>5</v>
      </c>
      <c r="F862" s="9" t="s">
        <v>8363</v>
      </c>
      <c r="G862" t="str">
        <f>IFERROR(INDEX(Ticket!$B$2:$B$6001,MATCH(B862,Ticket!$A$2:$A$6001,0)),"Ticket introuvable")</f>
        <v>AG-016</v>
      </c>
    </row>
    <row r="863" spans="1:7" x14ac:dyDescent="0.35">
      <c r="A863" s="10" t="s">
        <v>7011</v>
      </c>
      <c r="B863" s="12" t="s">
        <v>3906</v>
      </c>
      <c r="C863" s="11">
        <v>45978</v>
      </c>
      <c r="D863" s="12">
        <v>5</v>
      </c>
      <c r="E863" s="12">
        <v>8</v>
      </c>
      <c r="F863" s="13" t="s">
        <v>6160</v>
      </c>
      <c r="G863" t="str">
        <f>IFERROR(INDEX(Ticket!$B$2:$B$6001,MATCH(B863,Ticket!$A$2:$A$6001,0)),"Ticket introuvable")</f>
        <v>AG-023</v>
      </c>
    </row>
    <row r="864" spans="1:7" x14ac:dyDescent="0.35">
      <c r="A864" s="6" t="s">
        <v>7012</v>
      </c>
      <c r="B864" s="8" t="s">
        <v>5283</v>
      </c>
      <c r="C864" s="7">
        <v>45845</v>
      </c>
      <c r="D864" s="8">
        <v>5</v>
      </c>
      <c r="E864" s="8">
        <v>9</v>
      </c>
      <c r="F864" s="9" t="s">
        <v>6160</v>
      </c>
      <c r="G864" t="str">
        <f>IFERROR(INDEX(Ticket!$B$2:$B$6001,MATCH(B864,Ticket!$A$2:$A$6001,0)),"Ticket introuvable")</f>
        <v>AG-038</v>
      </c>
    </row>
    <row r="865" spans="1:7" x14ac:dyDescent="0.35">
      <c r="A865" s="10" t="s">
        <v>7013</v>
      </c>
      <c r="B865" s="12" t="s">
        <v>5159</v>
      </c>
      <c r="C865" s="11">
        <v>45773</v>
      </c>
      <c r="D865" s="12">
        <v>3</v>
      </c>
      <c r="E865" s="12"/>
      <c r="F865" s="13" t="s">
        <v>75</v>
      </c>
      <c r="G865" t="str">
        <f>IFERROR(INDEX(Ticket!$B$2:$B$6001,MATCH(B865,Ticket!$A$2:$A$6001,0)),"Ticket introuvable")</f>
        <v>AG-023</v>
      </c>
    </row>
    <row r="866" spans="1:7" x14ac:dyDescent="0.35">
      <c r="A866" s="6" t="s">
        <v>7014</v>
      </c>
      <c r="B866" s="8" t="s">
        <v>206</v>
      </c>
      <c r="C866" s="7">
        <v>45684</v>
      </c>
      <c r="D866" s="8">
        <v>3</v>
      </c>
      <c r="E866" s="8">
        <v>10</v>
      </c>
      <c r="F866" s="9" t="s">
        <v>75</v>
      </c>
      <c r="G866" t="str">
        <f>IFERROR(INDEX(Ticket!$B$2:$B$6001,MATCH(B866,Ticket!$A$2:$A$6001,0)),"Ticket introuvable")</f>
        <v>AG-032</v>
      </c>
    </row>
    <row r="867" spans="1:7" x14ac:dyDescent="0.35">
      <c r="A867" s="10" t="s">
        <v>7015</v>
      </c>
      <c r="B867" s="12" t="s">
        <v>5024</v>
      </c>
      <c r="C867" s="11">
        <v>45681</v>
      </c>
      <c r="D867" s="12">
        <v>4</v>
      </c>
      <c r="E867" s="12">
        <v>10</v>
      </c>
      <c r="F867" s="13" t="s">
        <v>6160</v>
      </c>
      <c r="G867" t="str">
        <f>IFERROR(INDEX(Ticket!$B$2:$B$6001,MATCH(B867,Ticket!$A$2:$A$6001,0)),"Ticket introuvable")</f>
        <v>AG-035</v>
      </c>
    </row>
    <row r="868" spans="1:7" x14ac:dyDescent="0.35">
      <c r="A868" s="6" t="s">
        <v>7016</v>
      </c>
      <c r="B868" s="8" t="s">
        <v>1017</v>
      </c>
      <c r="C868" s="7">
        <v>45679</v>
      </c>
      <c r="D868" s="8">
        <v>1</v>
      </c>
      <c r="E868" s="8">
        <v>8</v>
      </c>
      <c r="F868" s="9" t="s">
        <v>6148</v>
      </c>
      <c r="G868" t="str">
        <f>IFERROR(INDEX(Ticket!$B$2:$B$6001,MATCH(B868,Ticket!$A$2:$A$6001,0)),"Ticket introuvable")</f>
        <v>AG-039</v>
      </c>
    </row>
    <row r="869" spans="1:7" x14ac:dyDescent="0.35">
      <c r="A869" s="10" t="s">
        <v>7017</v>
      </c>
      <c r="B869" s="12" t="s">
        <v>4564</v>
      </c>
      <c r="C869" s="11">
        <v>45996</v>
      </c>
      <c r="D869" s="12">
        <v>4</v>
      </c>
      <c r="E869" s="12">
        <v>4</v>
      </c>
      <c r="F869" s="13" t="s">
        <v>6153</v>
      </c>
      <c r="G869" t="str">
        <f>IFERROR(INDEX(Ticket!$B$2:$B$6001,MATCH(B869,Ticket!$A$2:$A$6001,0)),"Ticket introuvable")</f>
        <v>AG-035</v>
      </c>
    </row>
    <row r="870" spans="1:7" x14ac:dyDescent="0.35">
      <c r="A870" s="6" t="s">
        <v>7018</v>
      </c>
      <c r="B870" s="8" t="s">
        <v>3091</v>
      </c>
      <c r="C870" s="7">
        <v>45943</v>
      </c>
      <c r="D870" s="8">
        <v>5</v>
      </c>
      <c r="E870" s="8">
        <v>9</v>
      </c>
      <c r="F870" s="9" t="s">
        <v>8363</v>
      </c>
      <c r="G870" t="str">
        <f>IFERROR(INDEX(Ticket!$B$2:$B$6001,MATCH(B870,Ticket!$A$2:$A$6001,0)),"Ticket introuvable")</f>
        <v>AG-008</v>
      </c>
    </row>
    <row r="871" spans="1:7" x14ac:dyDescent="0.35">
      <c r="A871" s="10" t="s">
        <v>7019</v>
      </c>
      <c r="B871" s="12" t="s">
        <v>1019</v>
      </c>
      <c r="C871" s="11">
        <v>45968</v>
      </c>
      <c r="D871" s="12">
        <v>4</v>
      </c>
      <c r="E871" s="12">
        <v>1</v>
      </c>
      <c r="F871" s="13" t="s">
        <v>6148</v>
      </c>
      <c r="G871" t="str">
        <f>IFERROR(INDEX(Ticket!$B$2:$B$6001,MATCH(B871,Ticket!$A$2:$A$6001,0)),"Ticket introuvable")</f>
        <v>AG-021</v>
      </c>
    </row>
    <row r="872" spans="1:7" x14ac:dyDescent="0.35">
      <c r="A872" s="6" t="s">
        <v>7020</v>
      </c>
      <c r="B872" s="8" t="s">
        <v>1959</v>
      </c>
      <c r="C872" s="7">
        <v>45710</v>
      </c>
      <c r="D872" s="8">
        <v>4</v>
      </c>
      <c r="E872" s="8">
        <v>9</v>
      </c>
      <c r="F872" s="9" t="s">
        <v>6148</v>
      </c>
      <c r="G872" t="str">
        <f>IFERROR(INDEX(Ticket!$B$2:$B$6001,MATCH(B872,Ticket!$A$2:$A$6001,0)),"Ticket introuvable")</f>
        <v>AG-026</v>
      </c>
    </row>
    <row r="873" spans="1:7" x14ac:dyDescent="0.35">
      <c r="A873" s="10" t="s">
        <v>7021</v>
      </c>
      <c r="B873" s="12" t="s">
        <v>1582</v>
      </c>
      <c r="C873" s="11">
        <v>45798</v>
      </c>
      <c r="D873" s="12">
        <v>5</v>
      </c>
      <c r="E873" s="12">
        <v>10</v>
      </c>
      <c r="F873" s="13" t="s">
        <v>8363</v>
      </c>
      <c r="G873" t="str">
        <f>IFERROR(INDEX(Ticket!$B$2:$B$6001,MATCH(B873,Ticket!$A$2:$A$6001,0)),"Ticket introuvable")</f>
        <v>AG-017</v>
      </c>
    </row>
    <row r="874" spans="1:7" x14ac:dyDescent="0.35">
      <c r="A874" s="6" t="s">
        <v>7022</v>
      </c>
      <c r="B874" s="8" t="s">
        <v>1091</v>
      </c>
      <c r="C874" s="7">
        <v>45710</v>
      </c>
      <c r="D874" s="8">
        <v>4</v>
      </c>
      <c r="E874" s="8">
        <v>5</v>
      </c>
      <c r="F874" s="9" t="s">
        <v>8363</v>
      </c>
      <c r="G874" t="str">
        <f>IFERROR(INDEX(Ticket!$B$2:$B$6001,MATCH(B874,Ticket!$A$2:$A$6001,0)),"Ticket introuvable")</f>
        <v>AG-033</v>
      </c>
    </row>
    <row r="875" spans="1:7" x14ac:dyDescent="0.35">
      <c r="A875" s="10" t="s">
        <v>7023</v>
      </c>
      <c r="B875" s="12" t="s">
        <v>2864</v>
      </c>
      <c r="C875" s="11">
        <v>45977</v>
      </c>
      <c r="D875" s="12">
        <v>5</v>
      </c>
      <c r="E875" s="12">
        <v>8</v>
      </c>
      <c r="F875" s="13" t="s">
        <v>6160</v>
      </c>
      <c r="G875" t="str">
        <f>IFERROR(INDEX(Ticket!$B$2:$B$6001,MATCH(B875,Ticket!$A$2:$A$6001,0)),"Ticket introuvable")</f>
        <v>AG-039</v>
      </c>
    </row>
    <row r="876" spans="1:7" x14ac:dyDescent="0.35">
      <c r="A876" s="6" t="s">
        <v>7024</v>
      </c>
      <c r="B876" s="8" t="s">
        <v>5245</v>
      </c>
      <c r="C876" s="7">
        <v>45776</v>
      </c>
      <c r="D876" s="8">
        <v>5</v>
      </c>
      <c r="E876" s="8">
        <v>9</v>
      </c>
      <c r="F876" s="9" t="s">
        <v>6142</v>
      </c>
      <c r="G876" t="str">
        <f>IFERROR(INDEX(Ticket!$B$2:$B$6001,MATCH(B876,Ticket!$A$2:$A$6001,0)),"Ticket introuvable")</f>
        <v>AG-003</v>
      </c>
    </row>
    <row r="877" spans="1:7" x14ac:dyDescent="0.35">
      <c r="A877" s="10" t="s">
        <v>7025</v>
      </c>
      <c r="B877" s="12" t="s">
        <v>4476</v>
      </c>
      <c r="C877" s="11">
        <v>45816</v>
      </c>
      <c r="D877" s="12">
        <v>4</v>
      </c>
      <c r="E877" s="12">
        <v>8</v>
      </c>
      <c r="F877" s="13" t="s">
        <v>75</v>
      </c>
      <c r="G877" t="str">
        <f>IFERROR(INDEX(Ticket!$B$2:$B$6001,MATCH(B877,Ticket!$A$2:$A$6001,0)),"Ticket introuvable")</f>
        <v>AG-005</v>
      </c>
    </row>
    <row r="878" spans="1:7" x14ac:dyDescent="0.35">
      <c r="A878" s="6" t="s">
        <v>7026</v>
      </c>
      <c r="B878" s="8" t="s">
        <v>208</v>
      </c>
      <c r="C878" s="7">
        <v>45727</v>
      </c>
      <c r="D878" s="8">
        <v>4</v>
      </c>
      <c r="E878" s="8">
        <v>7</v>
      </c>
      <c r="F878" s="9" t="s">
        <v>8363</v>
      </c>
      <c r="G878" t="str">
        <f>IFERROR(INDEX(Ticket!$B$2:$B$6001,MATCH(B878,Ticket!$A$2:$A$6001,0)),"Ticket introuvable")</f>
        <v>AG-022</v>
      </c>
    </row>
    <row r="879" spans="1:7" x14ac:dyDescent="0.35">
      <c r="A879" s="10" t="s">
        <v>7027</v>
      </c>
      <c r="B879" s="12" t="s">
        <v>595</v>
      </c>
      <c r="C879" s="11">
        <v>45996</v>
      </c>
      <c r="D879" s="12">
        <v>5</v>
      </c>
      <c r="E879" s="12">
        <v>7</v>
      </c>
      <c r="F879" s="13" t="s">
        <v>6160</v>
      </c>
      <c r="G879" t="str">
        <f>IFERROR(INDEX(Ticket!$B$2:$B$6001,MATCH(B879,Ticket!$A$2:$A$6001,0)),"Ticket introuvable")</f>
        <v>AG-019</v>
      </c>
    </row>
    <row r="880" spans="1:7" x14ac:dyDescent="0.35">
      <c r="A880" s="6" t="s">
        <v>7028</v>
      </c>
      <c r="B880" s="8" t="s">
        <v>1894</v>
      </c>
      <c r="C880" s="7">
        <v>45682</v>
      </c>
      <c r="D880" s="8">
        <v>5</v>
      </c>
      <c r="E880" s="8"/>
      <c r="F880" s="9" t="s">
        <v>8363</v>
      </c>
      <c r="G880" t="str">
        <f>IFERROR(INDEX(Ticket!$B$2:$B$6001,MATCH(B880,Ticket!$A$2:$A$6001,0)),"Ticket introuvable")</f>
        <v>AG-023</v>
      </c>
    </row>
    <row r="881" spans="1:7" x14ac:dyDescent="0.35">
      <c r="A881" s="10" t="s">
        <v>7029</v>
      </c>
      <c r="B881" s="12" t="s">
        <v>4517</v>
      </c>
      <c r="C881" s="11">
        <v>46013</v>
      </c>
      <c r="D881" s="12">
        <v>4</v>
      </c>
      <c r="E881" s="12">
        <v>10</v>
      </c>
      <c r="F881" s="13" t="s">
        <v>8363</v>
      </c>
      <c r="G881" t="str">
        <f>IFERROR(INDEX(Ticket!$B$2:$B$6001,MATCH(B881,Ticket!$A$2:$A$6001,0)),"Ticket introuvable")</f>
        <v>AG-010</v>
      </c>
    </row>
    <row r="882" spans="1:7" x14ac:dyDescent="0.35">
      <c r="A882" s="6" t="s">
        <v>7030</v>
      </c>
      <c r="B882" s="8" t="s">
        <v>4422</v>
      </c>
      <c r="C882" s="7">
        <v>45828</v>
      </c>
      <c r="D882" s="8">
        <v>4</v>
      </c>
      <c r="E882" s="8"/>
      <c r="F882" s="9" t="s">
        <v>6153</v>
      </c>
      <c r="G882" t="str">
        <f>IFERROR(INDEX(Ticket!$B$2:$B$6001,MATCH(B882,Ticket!$A$2:$A$6001,0)),"Ticket introuvable")</f>
        <v>AG-018</v>
      </c>
    </row>
    <row r="883" spans="1:7" x14ac:dyDescent="0.35">
      <c r="A883" s="10" t="s">
        <v>7031</v>
      </c>
      <c r="B883" s="12" t="s">
        <v>1429</v>
      </c>
      <c r="C883" s="11">
        <v>45984</v>
      </c>
      <c r="D883" s="12">
        <v>4</v>
      </c>
      <c r="E883" s="12">
        <v>5</v>
      </c>
      <c r="F883" s="13" t="s">
        <v>8363</v>
      </c>
      <c r="G883" t="str">
        <f>IFERROR(INDEX(Ticket!$B$2:$B$6001,MATCH(B883,Ticket!$A$2:$A$6001,0)),"Ticket introuvable")</f>
        <v>AG-013</v>
      </c>
    </row>
    <row r="884" spans="1:7" x14ac:dyDescent="0.35">
      <c r="A884" s="6" t="s">
        <v>7032</v>
      </c>
      <c r="B884" s="8" t="s">
        <v>5846</v>
      </c>
      <c r="C884" s="7">
        <v>45955</v>
      </c>
      <c r="D884" s="8">
        <v>4</v>
      </c>
      <c r="E884" s="8">
        <v>8</v>
      </c>
      <c r="F884" s="9" t="s">
        <v>75</v>
      </c>
      <c r="G884" t="str">
        <f>IFERROR(INDEX(Ticket!$B$2:$B$6001,MATCH(B884,Ticket!$A$2:$A$6001,0)),"Ticket introuvable")</f>
        <v>AG-014</v>
      </c>
    </row>
    <row r="885" spans="1:7" x14ac:dyDescent="0.35">
      <c r="A885" s="10" t="s">
        <v>7033</v>
      </c>
      <c r="B885" s="12" t="s">
        <v>496</v>
      </c>
      <c r="C885" s="11">
        <v>45778</v>
      </c>
      <c r="D885" s="12">
        <v>5</v>
      </c>
      <c r="E885" s="12">
        <v>3</v>
      </c>
      <c r="F885" s="13" t="s">
        <v>6148</v>
      </c>
      <c r="G885" t="str">
        <f>IFERROR(INDEX(Ticket!$B$2:$B$6001,MATCH(B885,Ticket!$A$2:$A$6001,0)),"Ticket introuvable")</f>
        <v>AG-039</v>
      </c>
    </row>
    <row r="886" spans="1:7" x14ac:dyDescent="0.35">
      <c r="A886" s="6" t="s">
        <v>7034</v>
      </c>
      <c r="B886" s="8" t="s">
        <v>5469</v>
      </c>
      <c r="C886" s="7">
        <v>45967</v>
      </c>
      <c r="D886" s="8">
        <v>4</v>
      </c>
      <c r="E886" s="8">
        <v>10</v>
      </c>
      <c r="F886" s="9" t="s">
        <v>6160</v>
      </c>
      <c r="G886" t="str">
        <f>IFERROR(INDEX(Ticket!$B$2:$B$6001,MATCH(B886,Ticket!$A$2:$A$6001,0)),"Ticket introuvable")</f>
        <v>AG-032</v>
      </c>
    </row>
    <row r="887" spans="1:7" x14ac:dyDescent="0.35">
      <c r="A887" s="10" t="s">
        <v>7035</v>
      </c>
      <c r="B887" s="12" t="s">
        <v>1619</v>
      </c>
      <c r="C887" s="11">
        <v>45906</v>
      </c>
      <c r="D887" s="12">
        <v>5</v>
      </c>
      <c r="E887" s="12">
        <v>6</v>
      </c>
      <c r="F887" s="13" t="s">
        <v>6153</v>
      </c>
      <c r="G887" t="str">
        <f>IFERROR(INDEX(Ticket!$B$2:$B$6001,MATCH(B887,Ticket!$A$2:$A$6001,0)),"Ticket introuvable")</f>
        <v>AG-035</v>
      </c>
    </row>
    <row r="888" spans="1:7" x14ac:dyDescent="0.35">
      <c r="A888" s="6" t="s">
        <v>7036</v>
      </c>
      <c r="B888" s="8" t="s">
        <v>631</v>
      </c>
      <c r="C888" s="7">
        <v>45784</v>
      </c>
      <c r="D888" s="8">
        <v>5</v>
      </c>
      <c r="E888" s="8">
        <v>10</v>
      </c>
      <c r="F888" s="9" t="s">
        <v>6153</v>
      </c>
      <c r="G888" t="str">
        <f>IFERROR(INDEX(Ticket!$B$2:$B$6001,MATCH(B888,Ticket!$A$2:$A$6001,0)),"Ticket introuvable")</f>
        <v>AG-010</v>
      </c>
    </row>
    <row r="889" spans="1:7" x14ac:dyDescent="0.35">
      <c r="A889" s="10" t="s">
        <v>7037</v>
      </c>
      <c r="B889" s="12" t="s">
        <v>5424</v>
      </c>
      <c r="C889" s="11">
        <v>46015</v>
      </c>
      <c r="D889" s="12">
        <v>4</v>
      </c>
      <c r="E889" s="12">
        <v>5</v>
      </c>
      <c r="F889" s="13" t="s">
        <v>75</v>
      </c>
      <c r="G889" t="str">
        <f>IFERROR(INDEX(Ticket!$B$2:$B$6001,MATCH(B889,Ticket!$A$2:$A$6001,0)),"Ticket introuvable")</f>
        <v>AG-005</v>
      </c>
    </row>
    <row r="890" spans="1:7" x14ac:dyDescent="0.35">
      <c r="A890" s="6" t="s">
        <v>7038</v>
      </c>
      <c r="B890" s="8" t="s">
        <v>441</v>
      </c>
      <c r="C890" s="7">
        <v>45943</v>
      </c>
      <c r="D890" s="8">
        <v>4</v>
      </c>
      <c r="E890" s="8">
        <v>7</v>
      </c>
      <c r="F890" s="9" t="s">
        <v>8363</v>
      </c>
      <c r="G890" t="str">
        <f>IFERROR(INDEX(Ticket!$B$2:$B$6001,MATCH(B890,Ticket!$A$2:$A$6001,0)),"Ticket introuvable")</f>
        <v>AG-019</v>
      </c>
    </row>
    <row r="891" spans="1:7" x14ac:dyDescent="0.35">
      <c r="A891" s="10" t="s">
        <v>7039</v>
      </c>
      <c r="B891" s="12" t="s">
        <v>3400</v>
      </c>
      <c r="C891" s="11">
        <v>45901</v>
      </c>
      <c r="D891" s="12">
        <v>5</v>
      </c>
      <c r="E891" s="12">
        <v>7</v>
      </c>
      <c r="F891" s="13" t="s">
        <v>6142</v>
      </c>
      <c r="G891" t="str">
        <f>IFERROR(INDEX(Ticket!$B$2:$B$6001,MATCH(B891,Ticket!$A$2:$A$6001,0)),"Ticket introuvable")</f>
        <v>AG-037</v>
      </c>
    </row>
    <row r="892" spans="1:7" x14ac:dyDescent="0.35">
      <c r="A892" s="6" t="s">
        <v>7040</v>
      </c>
      <c r="B892" s="8" t="s">
        <v>4446</v>
      </c>
      <c r="C892" s="7">
        <v>45700</v>
      </c>
      <c r="D892" s="8">
        <v>1</v>
      </c>
      <c r="E892" s="8"/>
      <c r="F892" s="9" t="s">
        <v>6153</v>
      </c>
      <c r="G892" t="str">
        <f>IFERROR(INDEX(Ticket!$B$2:$B$6001,MATCH(B892,Ticket!$A$2:$A$6001,0)),"Ticket introuvable")</f>
        <v>AG-014</v>
      </c>
    </row>
    <row r="893" spans="1:7" x14ac:dyDescent="0.35">
      <c r="A893" s="10" t="s">
        <v>7041</v>
      </c>
      <c r="B893" s="12" t="s">
        <v>5193</v>
      </c>
      <c r="C893" s="11">
        <v>45698</v>
      </c>
      <c r="D893" s="12">
        <v>4</v>
      </c>
      <c r="E893" s="12">
        <v>10</v>
      </c>
      <c r="F893" s="13" t="s">
        <v>6160</v>
      </c>
      <c r="G893" t="str">
        <f>IFERROR(INDEX(Ticket!$B$2:$B$6001,MATCH(B893,Ticket!$A$2:$A$6001,0)),"Ticket introuvable")</f>
        <v>AG-003</v>
      </c>
    </row>
    <row r="894" spans="1:7" x14ac:dyDescent="0.35">
      <c r="A894" s="6" t="s">
        <v>7042</v>
      </c>
      <c r="B894" s="8" t="s">
        <v>1954</v>
      </c>
      <c r="C894" s="7">
        <v>45957</v>
      </c>
      <c r="D894" s="8"/>
      <c r="E894" s="8">
        <v>8</v>
      </c>
      <c r="F894" s="9" t="s">
        <v>75</v>
      </c>
      <c r="G894" t="str">
        <f>IFERROR(INDEX(Ticket!$B$2:$B$6001,MATCH(B894,Ticket!$A$2:$A$6001,0)),"Ticket introuvable")</f>
        <v>AG-033</v>
      </c>
    </row>
    <row r="895" spans="1:7" x14ac:dyDescent="0.35">
      <c r="A895" s="10" t="s">
        <v>7043</v>
      </c>
      <c r="B895" s="12" t="s">
        <v>5248</v>
      </c>
      <c r="C895" s="11">
        <v>45851</v>
      </c>
      <c r="D895" s="12">
        <v>4</v>
      </c>
      <c r="E895" s="12">
        <v>10</v>
      </c>
      <c r="F895" s="13" t="s">
        <v>6142</v>
      </c>
      <c r="G895" t="str">
        <f>IFERROR(INDEX(Ticket!$B$2:$B$6001,MATCH(B895,Ticket!$A$2:$A$6001,0)),"Ticket introuvable")</f>
        <v>AG-024</v>
      </c>
    </row>
    <row r="896" spans="1:7" x14ac:dyDescent="0.35">
      <c r="A896" s="6" t="s">
        <v>7044</v>
      </c>
      <c r="B896" s="8" t="s">
        <v>2054</v>
      </c>
      <c r="C896" s="7">
        <v>45895</v>
      </c>
      <c r="D896" s="8">
        <v>4</v>
      </c>
      <c r="E896" s="8">
        <v>9</v>
      </c>
      <c r="F896" s="9" t="s">
        <v>75</v>
      </c>
      <c r="G896" t="str">
        <f>IFERROR(INDEX(Ticket!$B$2:$B$6001,MATCH(B896,Ticket!$A$2:$A$6001,0)),"Ticket introuvable")</f>
        <v>AG-029</v>
      </c>
    </row>
    <row r="897" spans="1:7" x14ac:dyDescent="0.35">
      <c r="A897" s="10" t="s">
        <v>7045</v>
      </c>
      <c r="B897" s="12" t="s">
        <v>4277</v>
      </c>
      <c r="C897" s="11">
        <v>45980</v>
      </c>
      <c r="D897" s="12">
        <v>5</v>
      </c>
      <c r="E897" s="12">
        <v>6</v>
      </c>
      <c r="F897" s="13" t="s">
        <v>75</v>
      </c>
      <c r="G897" t="str">
        <f>IFERROR(INDEX(Ticket!$B$2:$B$6001,MATCH(B897,Ticket!$A$2:$A$6001,0)),"Ticket introuvable")</f>
        <v>AG-032</v>
      </c>
    </row>
    <row r="898" spans="1:7" x14ac:dyDescent="0.35">
      <c r="A898" s="6" t="s">
        <v>7046</v>
      </c>
      <c r="B898" s="8" t="s">
        <v>2631</v>
      </c>
      <c r="C898" s="7">
        <v>45940</v>
      </c>
      <c r="D898" s="8">
        <v>4</v>
      </c>
      <c r="E898" s="8">
        <v>10</v>
      </c>
      <c r="F898" s="9" t="s">
        <v>6142</v>
      </c>
      <c r="G898" t="str">
        <f>IFERROR(INDEX(Ticket!$B$2:$B$6001,MATCH(B898,Ticket!$A$2:$A$6001,0)),"Ticket introuvable")</f>
        <v>AG-038</v>
      </c>
    </row>
    <row r="899" spans="1:7" x14ac:dyDescent="0.35">
      <c r="A899" s="10" t="s">
        <v>7047</v>
      </c>
      <c r="B899" s="12" t="s">
        <v>5852</v>
      </c>
      <c r="C899" s="11">
        <v>45928</v>
      </c>
      <c r="D899" s="12">
        <v>4</v>
      </c>
      <c r="E899" s="12">
        <v>9</v>
      </c>
      <c r="F899" s="13" t="s">
        <v>8363</v>
      </c>
      <c r="G899" t="str">
        <f>IFERROR(INDEX(Ticket!$B$2:$B$6001,MATCH(B899,Ticket!$A$2:$A$6001,0)),"Ticket introuvable")</f>
        <v>AG-026</v>
      </c>
    </row>
    <row r="900" spans="1:7" x14ac:dyDescent="0.35">
      <c r="A900" s="6" t="s">
        <v>7048</v>
      </c>
      <c r="B900" s="8" t="s">
        <v>3739</v>
      </c>
      <c r="C900" s="7">
        <v>45904</v>
      </c>
      <c r="D900" s="8">
        <v>3</v>
      </c>
      <c r="E900" s="8">
        <v>8</v>
      </c>
      <c r="F900" s="9" t="s">
        <v>8363</v>
      </c>
      <c r="G900" t="str">
        <f>IFERROR(INDEX(Ticket!$B$2:$B$6001,MATCH(B900,Ticket!$A$2:$A$6001,0)),"Ticket introuvable")</f>
        <v>AG-016</v>
      </c>
    </row>
    <row r="901" spans="1:7" x14ac:dyDescent="0.35">
      <c r="A901" s="10" t="s">
        <v>7049</v>
      </c>
      <c r="B901" s="12" t="s">
        <v>3034</v>
      </c>
      <c r="C901" s="11">
        <v>45940</v>
      </c>
      <c r="D901" s="12">
        <v>2</v>
      </c>
      <c r="E901" s="12">
        <v>8</v>
      </c>
      <c r="F901" s="13" t="s">
        <v>8363</v>
      </c>
      <c r="G901" t="str">
        <f>IFERROR(INDEX(Ticket!$B$2:$B$6001,MATCH(B901,Ticket!$A$2:$A$6001,0)),"Ticket introuvable")</f>
        <v>AG-039</v>
      </c>
    </row>
    <row r="902" spans="1:7" x14ac:dyDescent="0.35">
      <c r="A902" s="6" t="s">
        <v>7050</v>
      </c>
      <c r="B902" s="8" t="s">
        <v>1523</v>
      </c>
      <c r="C902" s="7">
        <v>45801</v>
      </c>
      <c r="D902" s="8">
        <v>4</v>
      </c>
      <c r="E902" s="8">
        <v>9</v>
      </c>
      <c r="F902" s="9" t="s">
        <v>8363</v>
      </c>
      <c r="G902" t="str">
        <f>IFERROR(INDEX(Ticket!$B$2:$B$6001,MATCH(B902,Ticket!$A$2:$A$6001,0)),"Ticket introuvable")</f>
        <v>AG-033</v>
      </c>
    </row>
    <row r="903" spans="1:7" x14ac:dyDescent="0.35">
      <c r="A903" s="10" t="s">
        <v>7051</v>
      </c>
      <c r="B903" s="12" t="s">
        <v>606</v>
      </c>
      <c r="C903" s="11">
        <v>45941</v>
      </c>
      <c r="D903" s="12">
        <v>4</v>
      </c>
      <c r="E903" s="12">
        <v>8</v>
      </c>
      <c r="F903" s="13" t="s">
        <v>6153</v>
      </c>
      <c r="G903" t="str">
        <f>IFERROR(INDEX(Ticket!$B$2:$B$6001,MATCH(B903,Ticket!$A$2:$A$6001,0)),"Ticket introuvable")</f>
        <v>AG-023</v>
      </c>
    </row>
    <row r="904" spans="1:7" x14ac:dyDescent="0.35">
      <c r="A904" s="6" t="s">
        <v>7052</v>
      </c>
      <c r="B904" s="8" t="s">
        <v>3134</v>
      </c>
      <c r="C904" s="7">
        <v>45741</v>
      </c>
      <c r="D904" s="8">
        <v>5</v>
      </c>
      <c r="E904" s="8">
        <v>7</v>
      </c>
      <c r="F904" s="9" t="s">
        <v>75</v>
      </c>
      <c r="G904" t="str">
        <f>IFERROR(INDEX(Ticket!$B$2:$B$6001,MATCH(B904,Ticket!$A$2:$A$6001,0)),"Ticket introuvable")</f>
        <v>AG-039</v>
      </c>
    </row>
    <row r="905" spans="1:7" x14ac:dyDescent="0.35">
      <c r="A905" s="10" t="s">
        <v>7053</v>
      </c>
      <c r="B905" s="12" t="s">
        <v>2815</v>
      </c>
      <c r="C905" s="11">
        <v>45770</v>
      </c>
      <c r="D905" s="12">
        <v>3</v>
      </c>
      <c r="E905" s="12">
        <v>8</v>
      </c>
      <c r="F905" s="13" t="s">
        <v>8363</v>
      </c>
      <c r="G905" t="str">
        <f>IFERROR(INDEX(Ticket!$B$2:$B$6001,MATCH(B905,Ticket!$A$2:$A$6001,0)),"Ticket introuvable")</f>
        <v>AG-035</v>
      </c>
    </row>
    <row r="906" spans="1:7" x14ac:dyDescent="0.35">
      <c r="A906" s="6" t="s">
        <v>7054</v>
      </c>
      <c r="B906" s="8" t="s">
        <v>2679</v>
      </c>
      <c r="C906" s="7">
        <v>45749</v>
      </c>
      <c r="D906" s="8">
        <v>5</v>
      </c>
      <c r="E906" s="8"/>
      <c r="F906" s="9" t="s">
        <v>8363</v>
      </c>
      <c r="G906" t="str">
        <f>IFERROR(INDEX(Ticket!$B$2:$B$6001,MATCH(B906,Ticket!$A$2:$A$6001,0)),"Ticket introuvable")</f>
        <v>AG-025</v>
      </c>
    </row>
    <row r="907" spans="1:7" x14ac:dyDescent="0.35">
      <c r="A907" s="10" t="s">
        <v>7055</v>
      </c>
      <c r="B907" s="12" t="s">
        <v>540</v>
      </c>
      <c r="C907" s="11">
        <v>45939</v>
      </c>
      <c r="D907" s="12">
        <v>4</v>
      </c>
      <c r="E907" s="12">
        <v>6</v>
      </c>
      <c r="F907" s="13" t="s">
        <v>6160</v>
      </c>
      <c r="G907" t="str">
        <f>IFERROR(INDEX(Ticket!$B$2:$B$6001,MATCH(B907,Ticket!$A$2:$A$6001,0)),"Ticket introuvable")</f>
        <v>AG-039</v>
      </c>
    </row>
    <row r="908" spans="1:7" x14ac:dyDescent="0.35">
      <c r="A908" s="6" t="s">
        <v>7056</v>
      </c>
      <c r="B908" s="8" t="s">
        <v>5383</v>
      </c>
      <c r="C908" s="7">
        <v>45817</v>
      </c>
      <c r="D908" s="8">
        <v>5</v>
      </c>
      <c r="E908" s="8">
        <v>6</v>
      </c>
      <c r="F908" s="9" t="s">
        <v>8363</v>
      </c>
      <c r="G908" t="str">
        <f>IFERROR(INDEX(Ticket!$B$2:$B$6001,MATCH(B908,Ticket!$A$2:$A$6001,0)),"Ticket introuvable")</f>
        <v>AG-024</v>
      </c>
    </row>
    <row r="909" spans="1:7" x14ac:dyDescent="0.35">
      <c r="A909" s="10" t="s">
        <v>7057</v>
      </c>
      <c r="B909" s="12" t="s">
        <v>4827</v>
      </c>
      <c r="C909" s="11">
        <v>45923</v>
      </c>
      <c r="D909" s="12">
        <v>4</v>
      </c>
      <c r="E909" s="12">
        <v>10</v>
      </c>
      <c r="F909" s="13" t="s">
        <v>6142</v>
      </c>
      <c r="G909" t="str">
        <f>IFERROR(INDEX(Ticket!$B$2:$B$6001,MATCH(B909,Ticket!$A$2:$A$6001,0)),"Ticket introuvable")</f>
        <v>AG-012</v>
      </c>
    </row>
    <row r="910" spans="1:7" x14ac:dyDescent="0.35">
      <c r="A910" s="6" t="s">
        <v>7058</v>
      </c>
      <c r="B910" s="8" t="s">
        <v>3716</v>
      </c>
      <c r="C910" s="7">
        <v>45729</v>
      </c>
      <c r="D910" s="8">
        <v>5</v>
      </c>
      <c r="E910" s="8">
        <v>7</v>
      </c>
      <c r="F910" s="9" t="s">
        <v>8363</v>
      </c>
      <c r="G910" t="str">
        <f>IFERROR(INDEX(Ticket!$B$2:$B$6001,MATCH(B910,Ticket!$A$2:$A$6001,0)),"Ticket introuvable")</f>
        <v>AG-037</v>
      </c>
    </row>
    <row r="911" spans="1:7" x14ac:dyDescent="0.35">
      <c r="A911" s="10" t="s">
        <v>7059</v>
      </c>
      <c r="B911" s="12" t="s">
        <v>297</v>
      </c>
      <c r="C911" s="11">
        <v>45724</v>
      </c>
      <c r="D911" s="12">
        <v>5</v>
      </c>
      <c r="E911" s="12"/>
      <c r="F911" s="13" t="s">
        <v>8363</v>
      </c>
      <c r="G911" t="str">
        <f>IFERROR(INDEX(Ticket!$B$2:$B$6001,MATCH(B911,Ticket!$A$2:$A$6001,0)),"Ticket introuvable")</f>
        <v>AG-007</v>
      </c>
    </row>
    <row r="912" spans="1:7" x14ac:dyDescent="0.35">
      <c r="A912" s="6" t="s">
        <v>7060</v>
      </c>
      <c r="B912" s="8" t="s">
        <v>2493</v>
      </c>
      <c r="C912" s="7">
        <v>45739</v>
      </c>
      <c r="D912" s="8">
        <v>4</v>
      </c>
      <c r="E912" s="8">
        <v>6</v>
      </c>
      <c r="F912" s="9" t="s">
        <v>8363</v>
      </c>
      <c r="G912" t="str">
        <f>IFERROR(INDEX(Ticket!$B$2:$B$6001,MATCH(B912,Ticket!$A$2:$A$6001,0)),"Ticket introuvable")</f>
        <v>AG-028</v>
      </c>
    </row>
    <row r="913" spans="1:7" x14ac:dyDescent="0.35">
      <c r="A913" s="10" t="s">
        <v>7061</v>
      </c>
      <c r="B913" s="12" t="s">
        <v>5491</v>
      </c>
      <c r="C913" s="11">
        <v>45961</v>
      </c>
      <c r="D913" s="12"/>
      <c r="E913" s="12">
        <v>8</v>
      </c>
      <c r="F913" s="13" t="s">
        <v>8363</v>
      </c>
      <c r="G913" t="str">
        <f>IFERROR(INDEX(Ticket!$B$2:$B$6001,MATCH(B913,Ticket!$A$2:$A$6001,0)),"Ticket introuvable")</f>
        <v>AG-029</v>
      </c>
    </row>
    <row r="914" spans="1:7" x14ac:dyDescent="0.35">
      <c r="A914" s="6" t="s">
        <v>7062</v>
      </c>
      <c r="B914" s="8" t="s">
        <v>944</v>
      </c>
      <c r="C914" s="7">
        <v>45719</v>
      </c>
      <c r="D914" s="8">
        <v>4</v>
      </c>
      <c r="E914" s="8">
        <v>9</v>
      </c>
      <c r="F914" s="9" t="s">
        <v>6160</v>
      </c>
      <c r="G914" t="str">
        <f>IFERROR(INDEX(Ticket!$B$2:$B$6001,MATCH(B914,Ticket!$A$2:$A$6001,0)),"Ticket introuvable")</f>
        <v>AG-010</v>
      </c>
    </row>
    <row r="915" spans="1:7" x14ac:dyDescent="0.35">
      <c r="A915" s="10" t="s">
        <v>7063</v>
      </c>
      <c r="B915" s="12" t="s">
        <v>757</v>
      </c>
      <c r="C915" s="11">
        <v>45795</v>
      </c>
      <c r="D915" s="12">
        <v>3</v>
      </c>
      <c r="E915" s="12">
        <v>7</v>
      </c>
      <c r="F915" s="13" t="s">
        <v>6160</v>
      </c>
      <c r="G915" t="str">
        <f>IFERROR(INDEX(Ticket!$B$2:$B$6001,MATCH(B915,Ticket!$A$2:$A$6001,0)),"Ticket introuvable")</f>
        <v>AG-011</v>
      </c>
    </row>
    <row r="916" spans="1:7" x14ac:dyDescent="0.35">
      <c r="A916" s="6" t="s">
        <v>7064</v>
      </c>
      <c r="B916" s="8" t="s">
        <v>5020</v>
      </c>
      <c r="C916" s="7">
        <v>45718</v>
      </c>
      <c r="D916" s="8">
        <v>4</v>
      </c>
      <c r="E916" s="8">
        <v>5</v>
      </c>
      <c r="F916" s="9" t="s">
        <v>6142</v>
      </c>
      <c r="G916" t="str">
        <f>IFERROR(INDEX(Ticket!$B$2:$B$6001,MATCH(B916,Ticket!$A$2:$A$6001,0)),"Ticket introuvable")</f>
        <v>AG-026</v>
      </c>
    </row>
    <row r="917" spans="1:7" x14ac:dyDescent="0.35">
      <c r="A917" s="10" t="s">
        <v>7065</v>
      </c>
      <c r="B917" s="12" t="s">
        <v>381</v>
      </c>
      <c r="C917" s="11">
        <v>45935</v>
      </c>
      <c r="D917" s="12">
        <v>3</v>
      </c>
      <c r="E917" s="12">
        <v>6</v>
      </c>
      <c r="F917" s="13" t="s">
        <v>6160</v>
      </c>
      <c r="G917" t="str">
        <f>IFERROR(INDEX(Ticket!$B$2:$B$6001,MATCH(B917,Ticket!$A$2:$A$6001,0)),"Ticket introuvable")</f>
        <v>AG-022</v>
      </c>
    </row>
    <row r="918" spans="1:7" x14ac:dyDescent="0.35">
      <c r="A918" s="6" t="s">
        <v>7066</v>
      </c>
      <c r="B918" s="8" t="s">
        <v>3740</v>
      </c>
      <c r="C918" s="7">
        <v>45675</v>
      </c>
      <c r="D918" s="8">
        <v>5</v>
      </c>
      <c r="E918" s="8">
        <v>8</v>
      </c>
      <c r="F918" s="9" t="s">
        <v>6142</v>
      </c>
      <c r="G918" t="str">
        <f>IFERROR(INDEX(Ticket!$B$2:$B$6001,MATCH(B918,Ticket!$A$2:$A$6001,0)),"Ticket introuvable")</f>
        <v>AG-029</v>
      </c>
    </row>
    <row r="919" spans="1:7" x14ac:dyDescent="0.35">
      <c r="A919" s="10" t="s">
        <v>7067</v>
      </c>
      <c r="B919" s="12" t="s">
        <v>3610</v>
      </c>
      <c r="C919" s="11">
        <v>45670</v>
      </c>
      <c r="D919" s="12">
        <v>4</v>
      </c>
      <c r="E919" s="12">
        <v>3</v>
      </c>
      <c r="F919" s="13" t="s">
        <v>6142</v>
      </c>
      <c r="G919" t="str">
        <f>IFERROR(INDEX(Ticket!$B$2:$B$6001,MATCH(B919,Ticket!$A$2:$A$6001,0)),"Ticket introuvable")</f>
        <v>AG-022</v>
      </c>
    </row>
    <row r="920" spans="1:7" x14ac:dyDescent="0.35">
      <c r="A920" s="6" t="s">
        <v>7068</v>
      </c>
      <c r="B920" s="8" t="s">
        <v>4687</v>
      </c>
      <c r="C920" s="7">
        <v>45802</v>
      </c>
      <c r="D920" s="8">
        <v>5</v>
      </c>
      <c r="E920" s="8">
        <v>8</v>
      </c>
      <c r="F920" s="9" t="s">
        <v>8363</v>
      </c>
      <c r="G920" t="str">
        <f>IFERROR(INDEX(Ticket!$B$2:$B$6001,MATCH(B920,Ticket!$A$2:$A$6001,0)),"Ticket introuvable")</f>
        <v>AG-028</v>
      </c>
    </row>
    <row r="921" spans="1:7" x14ac:dyDescent="0.35">
      <c r="A921" s="10" t="s">
        <v>7069</v>
      </c>
      <c r="B921" s="12" t="s">
        <v>233</v>
      </c>
      <c r="C921" s="11">
        <v>45670</v>
      </c>
      <c r="D921" s="12">
        <v>4</v>
      </c>
      <c r="E921" s="12">
        <v>9</v>
      </c>
      <c r="F921" s="13" t="s">
        <v>6148</v>
      </c>
      <c r="G921" t="str">
        <f>IFERROR(INDEX(Ticket!$B$2:$B$6001,MATCH(B921,Ticket!$A$2:$A$6001,0)),"Ticket introuvable")</f>
        <v>AG-012</v>
      </c>
    </row>
    <row r="922" spans="1:7" x14ac:dyDescent="0.35">
      <c r="A922" s="6" t="s">
        <v>7070</v>
      </c>
      <c r="B922" s="8" t="s">
        <v>1383</v>
      </c>
      <c r="C922" s="7">
        <v>45832</v>
      </c>
      <c r="D922" s="8">
        <v>4</v>
      </c>
      <c r="E922" s="8">
        <v>1</v>
      </c>
      <c r="F922" s="9" t="s">
        <v>8363</v>
      </c>
      <c r="G922" t="str">
        <f>IFERROR(INDEX(Ticket!$B$2:$B$6001,MATCH(B922,Ticket!$A$2:$A$6001,0)),"Ticket introuvable")</f>
        <v>AG-026</v>
      </c>
    </row>
    <row r="923" spans="1:7" x14ac:dyDescent="0.35">
      <c r="A923" s="10" t="s">
        <v>7071</v>
      </c>
      <c r="B923" s="12" t="s">
        <v>1921</v>
      </c>
      <c r="C923" s="11">
        <v>45679</v>
      </c>
      <c r="D923" s="12">
        <v>4</v>
      </c>
      <c r="E923" s="12">
        <v>3</v>
      </c>
      <c r="F923" s="13" t="s">
        <v>8363</v>
      </c>
      <c r="G923" t="str">
        <f>IFERROR(INDEX(Ticket!$B$2:$B$6001,MATCH(B923,Ticket!$A$2:$A$6001,0)),"Ticket introuvable")</f>
        <v>AG-027</v>
      </c>
    </row>
    <row r="924" spans="1:7" x14ac:dyDescent="0.35">
      <c r="A924" s="6" t="s">
        <v>7072</v>
      </c>
      <c r="B924" s="8" t="s">
        <v>1224</v>
      </c>
      <c r="C924" s="7">
        <v>45973</v>
      </c>
      <c r="D924" s="8">
        <v>3</v>
      </c>
      <c r="E924" s="8">
        <v>8</v>
      </c>
      <c r="F924" s="9" t="s">
        <v>75</v>
      </c>
      <c r="G924" t="str">
        <f>IFERROR(INDEX(Ticket!$B$2:$B$6001,MATCH(B924,Ticket!$A$2:$A$6001,0)),"Ticket introuvable")</f>
        <v>AG-038</v>
      </c>
    </row>
    <row r="925" spans="1:7" x14ac:dyDescent="0.35">
      <c r="A925" s="10" t="s">
        <v>7073</v>
      </c>
      <c r="B925" s="12" t="s">
        <v>4703</v>
      </c>
      <c r="C925" s="11">
        <v>45660</v>
      </c>
      <c r="D925" s="12">
        <v>4</v>
      </c>
      <c r="E925" s="12">
        <v>7</v>
      </c>
      <c r="F925" s="13" t="s">
        <v>6153</v>
      </c>
      <c r="G925" t="str">
        <f>IFERROR(INDEX(Ticket!$B$2:$B$6001,MATCH(B925,Ticket!$A$2:$A$6001,0)),"Ticket introuvable")</f>
        <v>AG-023</v>
      </c>
    </row>
    <row r="926" spans="1:7" x14ac:dyDescent="0.35">
      <c r="A926" s="6" t="s">
        <v>7074</v>
      </c>
      <c r="B926" s="8" t="s">
        <v>5972</v>
      </c>
      <c r="C926" s="7">
        <v>45958</v>
      </c>
      <c r="D926" s="8">
        <v>5</v>
      </c>
      <c r="E926" s="8">
        <v>10</v>
      </c>
      <c r="F926" s="9" t="s">
        <v>8363</v>
      </c>
      <c r="G926" t="str">
        <f>IFERROR(INDEX(Ticket!$B$2:$B$6001,MATCH(B926,Ticket!$A$2:$A$6001,0)),"Ticket introuvable")</f>
        <v>AG-006</v>
      </c>
    </row>
    <row r="927" spans="1:7" x14ac:dyDescent="0.35">
      <c r="A927" s="10" t="s">
        <v>7075</v>
      </c>
      <c r="B927" s="12" t="s">
        <v>6070</v>
      </c>
      <c r="C927" s="11">
        <v>45998</v>
      </c>
      <c r="D927" s="12">
        <v>4</v>
      </c>
      <c r="E927" s="12">
        <v>5</v>
      </c>
      <c r="F927" s="13" t="s">
        <v>6160</v>
      </c>
      <c r="G927" t="str">
        <f>IFERROR(INDEX(Ticket!$B$2:$B$6001,MATCH(B927,Ticket!$A$2:$A$6001,0)),"Ticket introuvable")</f>
        <v>AG-025</v>
      </c>
    </row>
    <row r="928" spans="1:7" x14ac:dyDescent="0.35">
      <c r="A928" s="6" t="s">
        <v>7076</v>
      </c>
      <c r="B928" s="8" t="s">
        <v>4098</v>
      </c>
      <c r="C928" s="7">
        <v>45905</v>
      </c>
      <c r="D928" s="8">
        <v>3</v>
      </c>
      <c r="E928" s="8">
        <v>10</v>
      </c>
      <c r="F928" s="9" t="s">
        <v>6153</v>
      </c>
      <c r="G928" t="str">
        <f>IFERROR(INDEX(Ticket!$B$2:$B$6001,MATCH(B928,Ticket!$A$2:$A$6001,0)),"Ticket introuvable")</f>
        <v>AG-032</v>
      </c>
    </row>
    <row r="929" spans="1:7" x14ac:dyDescent="0.35">
      <c r="A929" s="10" t="s">
        <v>7077</v>
      </c>
      <c r="B929" s="12" t="s">
        <v>3714</v>
      </c>
      <c r="C929" s="11">
        <v>45793</v>
      </c>
      <c r="D929" s="12">
        <v>1</v>
      </c>
      <c r="E929" s="12">
        <v>8</v>
      </c>
      <c r="F929" s="13" t="s">
        <v>6142</v>
      </c>
      <c r="G929" t="str">
        <f>IFERROR(INDEX(Ticket!$B$2:$B$6001,MATCH(B929,Ticket!$A$2:$A$6001,0)),"Ticket introuvable")</f>
        <v>AG-021</v>
      </c>
    </row>
    <row r="930" spans="1:7" x14ac:dyDescent="0.35">
      <c r="A930" s="6" t="s">
        <v>7078</v>
      </c>
      <c r="B930" s="8" t="s">
        <v>2342</v>
      </c>
      <c r="C930" s="7">
        <v>45999</v>
      </c>
      <c r="D930" s="8">
        <v>1</v>
      </c>
      <c r="E930" s="8">
        <v>10</v>
      </c>
      <c r="F930" s="9" t="s">
        <v>6160</v>
      </c>
      <c r="G930" t="str">
        <f>IFERROR(INDEX(Ticket!$B$2:$B$6001,MATCH(B930,Ticket!$A$2:$A$6001,0)),"Ticket introuvable")</f>
        <v>AG-021</v>
      </c>
    </row>
    <row r="931" spans="1:7" x14ac:dyDescent="0.35">
      <c r="A931" s="10" t="s">
        <v>7079</v>
      </c>
      <c r="B931" s="12" t="s">
        <v>1096</v>
      </c>
      <c r="C931" s="11">
        <v>45965</v>
      </c>
      <c r="D931" s="12">
        <v>4</v>
      </c>
      <c r="E931" s="12">
        <v>10</v>
      </c>
      <c r="F931" s="13" t="s">
        <v>6153</v>
      </c>
      <c r="G931" t="str">
        <f>IFERROR(INDEX(Ticket!$B$2:$B$6001,MATCH(B931,Ticket!$A$2:$A$6001,0)),"Ticket introuvable")</f>
        <v>AG-031</v>
      </c>
    </row>
    <row r="932" spans="1:7" x14ac:dyDescent="0.35">
      <c r="A932" s="6" t="s">
        <v>7080</v>
      </c>
      <c r="B932" s="8" t="s">
        <v>3622</v>
      </c>
      <c r="C932" s="7">
        <v>45951</v>
      </c>
      <c r="D932" s="8">
        <v>4</v>
      </c>
      <c r="E932" s="8">
        <v>7</v>
      </c>
      <c r="F932" s="9" t="s">
        <v>8363</v>
      </c>
      <c r="G932" t="str">
        <f>IFERROR(INDEX(Ticket!$B$2:$B$6001,MATCH(B932,Ticket!$A$2:$A$6001,0)),"Ticket introuvable")</f>
        <v>AG-028</v>
      </c>
    </row>
    <row r="933" spans="1:7" x14ac:dyDescent="0.35">
      <c r="A933" s="10" t="s">
        <v>7081</v>
      </c>
      <c r="B933" s="12" t="s">
        <v>5064</v>
      </c>
      <c r="C933" s="11">
        <v>45767</v>
      </c>
      <c r="D933" s="12">
        <v>1</v>
      </c>
      <c r="E933" s="12">
        <v>7</v>
      </c>
      <c r="F933" s="13" t="s">
        <v>75</v>
      </c>
      <c r="G933" t="str">
        <f>IFERROR(INDEX(Ticket!$B$2:$B$6001,MATCH(B933,Ticket!$A$2:$A$6001,0)),"Ticket introuvable")</f>
        <v>AG-021</v>
      </c>
    </row>
    <row r="934" spans="1:7" x14ac:dyDescent="0.35">
      <c r="A934" s="6" t="s">
        <v>7082</v>
      </c>
      <c r="B934" s="8" t="s">
        <v>629</v>
      </c>
      <c r="C934" s="7">
        <v>45900</v>
      </c>
      <c r="D934" s="8">
        <v>5</v>
      </c>
      <c r="E934" s="8">
        <v>9</v>
      </c>
      <c r="F934" s="9" t="s">
        <v>6153</v>
      </c>
      <c r="G934" t="str">
        <f>IFERROR(INDEX(Ticket!$B$2:$B$6001,MATCH(B934,Ticket!$A$2:$A$6001,0)),"Ticket introuvable")</f>
        <v>AG-012</v>
      </c>
    </row>
    <row r="935" spans="1:7" x14ac:dyDescent="0.35">
      <c r="A935" s="10" t="s">
        <v>7083</v>
      </c>
      <c r="B935" s="12" t="s">
        <v>2965</v>
      </c>
      <c r="C935" s="11">
        <v>45834</v>
      </c>
      <c r="D935" s="12">
        <v>2</v>
      </c>
      <c r="E935" s="12">
        <v>9</v>
      </c>
      <c r="F935" s="13" t="s">
        <v>8363</v>
      </c>
      <c r="G935" t="str">
        <f>IFERROR(INDEX(Ticket!$B$2:$B$6001,MATCH(B935,Ticket!$A$2:$A$6001,0)),"Ticket introuvable")</f>
        <v>AG-033</v>
      </c>
    </row>
    <row r="936" spans="1:7" x14ac:dyDescent="0.35">
      <c r="A936" s="6" t="s">
        <v>7084</v>
      </c>
      <c r="B936" s="8" t="s">
        <v>8367</v>
      </c>
      <c r="C936" s="7">
        <v>45858</v>
      </c>
      <c r="D936" s="8">
        <v>4</v>
      </c>
      <c r="E936" s="8">
        <v>0</v>
      </c>
      <c r="F936" s="9" t="s">
        <v>75</v>
      </c>
      <c r="G936" t="str">
        <f>IFERROR(INDEX(Ticket!$B$2:$B$6001,MATCH(B936,Ticket!$A$2:$A$6001,0)),"Ticket introuvable")</f>
        <v>Ticket introuvable</v>
      </c>
    </row>
    <row r="937" spans="1:7" x14ac:dyDescent="0.35">
      <c r="A937" s="10" t="s">
        <v>7085</v>
      </c>
      <c r="B937" s="12" t="s">
        <v>4694</v>
      </c>
      <c r="C937" s="11">
        <v>45959</v>
      </c>
      <c r="D937" s="12">
        <v>3</v>
      </c>
      <c r="E937" s="12">
        <v>8</v>
      </c>
      <c r="F937" s="13" t="s">
        <v>6148</v>
      </c>
      <c r="G937" t="str">
        <f>IFERROR(INDEX(Ticket!$B$2:$B$6001,MATCH(B937,Ticket!$A$2:$A$6001,0)),"Ticket introuvable")</f>
        <v>AG-038</v>
      </c>
    </row>
    <row r="938" spans="1:7" x14ac:dyDescent="0.35">
      <c r="A938" s="6" t="s">
        <v>7086</v>
      </c>
      <c r="B938" s="8" t="s">
        <v>847</v>
      </c>
      <c r="C938" s="7">
        <v>45967</v>
      </c>
      <c r="D938" s="8">
        <v>5</v>
      </c>
      <c r="E938" s="8">
        <v>4</v>
      </c>
      <c r="F938" s="9" t="s">
        <v>8363</v>
      </c>
      <c r="G938" t="str">
        <f>IFERROR(INDEX(Ticket!$B$2:$B$6001,MATCH(B938,Ticket!$A$2:$A$6001,0)),"Ticket introuvable")</f>
        <v>AG-029</v>
      </c>
    </row>
    <row r="939" spans="1:7" x14ac:dyDescent="0.35">
      <c r="A939" s="10" t="s">
        <v>7087</v>
      </c>
      <c r="B939" s="12" t="s">
        <v>2636</v>
      </c>
      <c r="C939" s="11">
        <v>45704</v>
      </c>
      <c r="D939" s="12">
        <v>5</v>
      </c>
      <c r="E939" s="12">
        <v>10</v>
      </c>
      <c r="F939" s="13" t="s">
        <v>6148</v>
      </c>
      <c r="G939" t="str">
        <f>IFERROR(INDEX(Ticket!$B$2:$B$6001,MATCH(B939,Ticket!$A$2:$A$6001,0)),"Ticket introuvable")</f>
        <v>AG-028</v>
      </c>
    </row>
    <row r="940" spans="1:7" x14ac:dyDescent="0.35">
      <c r="A940" s="6" t="s">
        <v>7088</v>
      </c>
      <c r="B940" s="8" t="s">
        <v>2669</v>
      </c>
      <c r="C940" s="7">
        <v>45818</v>
      </c>
      <c r="D940" s="8">
        <v>5</v>
      </c>
      <c r="E940" s="8">
        <v>6</v>
      </c>
      <c r="F940" s="9" t="s">
        <v>6142</v>
      </c>
      <c r="G940" t="str">
        <f>IFERROR(INDEX(Ticket!$B$2:$B$6001,MATCH(B940,Ticket!$A$2:$A$6001,0)),"Ticket introuvable")</f>
        <v>AG-037</v>
      </c>
    </row>
    <row r="941" spans="1:7" x14ac:dyDescent="0.35">
      <c r="A941" s="10" t="s">
        <v>7089</v>
      </c>
      <c r="B941" s="12" t="s">
        <v>2380</v>
      </c>
      <c r="C941" s="11">
        <v>46008</v>
      </c>
      <c r="D941" s="12">
        <v>5</v>
      </c>
      <c r="E941" s="12">
        <v>9</v>
      </c>
      <c r="F941" s="13" t="s">
        <v>8363</v>
      </c>
      <c r="G941" t="str">
        <f>IFERROR(INDEX(Ticket!$B$2:$B$6001,MATCH(B941,Ticket!$A$2:$A$6001,0)),"Ticket introuvable")</f>
        <v>AG-008</v>
      </c>
    </row>
    <row r="942" spans="1:7" x14ac:dyDescent="0.35">
      <c r="A942" s="6" t="s">
        <v>7090</v>
      </c>
      <c r="B942" s="8" t="s">
        <v>4293</v>
      </c>
      <c r="C942" s="7">
        <v>45840</v>
      </c>
      <c r="D942" s="8">
        <v>5</v>
      </c>
      <c r="E942" s="8"/>
      <c r="F942" s="9" t="s">
        <v>75</v>
      </c>
      <c r="G942" t="str">
        <f>IFERROR(INDEX(Ticket!$B$2:$B$6001,MATCH(B942,Ticket!$A$2:$A$6001,0)),"Ticket introuvable")</f>
        <v>AG-026</v>
      </c>
    </row>
    <row r="943" spans="1:7" x14ac:dyDescent="0.35">
      <c r="A943" s="10" t="s">
        <v>7091</v>
      </c>
      <c r="B943" s="12" t="s">
        <v>1955</v>
      </c>
      <c r="C943" s="11">
        <v>45885</v>
      </c>
      <c r="D943" s="12">
        <v>5</v>
      </c>
      <c r="E943" s="12">
        <v>10</v>
      </c>
      <c r="F943" s="13" t="s">
        <v>75</v>
      </c>
      <c r="G943" t="str">
        <f>IFERROR(INDEX(Ticket!$B$2:$B$6001,MATCH(B943,Ticket!$A$2:$A$6001,0)),"Ticket introuvable")</f>
        <v>AG-024</v>
      </c>
    </row>
    <row r="944" spans="1:7" x14ac:dyDescent="0.35">
      <c r="A944" s="6" t="s">
        <v>7092</v>
      </c>
      <c r="B944" s="8" t="s">
        <v>5785</v>
      </c>
      <c r="C944" s="7">
        <v>45888</v>
      </c>
      <c r="D944" s="8">
        <v>5</v>
      </c>
      <c r="E944" s="8">
        <v>9</v>
      </c>
      <c r="F944" s="9" t="s">
        <v>75</v>
      </c>
      <c r="G944" t="str">
        <f>IFERROR(INDEX(Ticket!$B$2:$B$6001,MATCH(B944,Ticket!$A$2:$A$6001,0)),"Ticket introuvable")</f>
        <v>AG-036</v>
      </c>
    </row>
    <row r="945" spans="1:7" x14ac:dyDescent="0.35">
      <c r="A945" s="10" t="s">
        <v>7093</v>
      </c>
      <c r="B945" s="12" t="s">
        <v>4185</v>
      </c>
      <c r="C945" s="11">
        <v>45906</v>
      </c>
      <c r="D945" s="12">
        <v>4</v>
      </c>
      <c r="E945" s="12">
        <v>4</v>
      </c>
      <c r="F945" s="13" t="s">
        <v>8363</v>
      </c>
      <c r="G945" t="str">
        <f>IFERROR(INDEX(Ticket!$B$2:$B$6001,MATCH(B945,Ticket!$A$2:$A$6001,0)),"Ticket introuvable")</f>
        <v>AG-031</v>
      </c>
    </row>
    <row r="946" spans="1:7" x14ac:dyDescent="0.35">
      <c r="A946" s="6" t="s">
        <v>7094</v>
      </c>
      <c r="B946" s="8" t="s">
        <v>240</v>
      </c>
      <c r="C946" s="7">
        <v>45690</v>
      </c>
      <c r="D946" s="8">
        <v>3</v>
      </c>
      <c r="E946" s="8">
        <v>9</v>
      </c>
      <c r="F946" s="9" t="s">
        <v>6142</v>
      </c>
      <c r="G946" t="str">
        <f>IFERROR(INDEX(Ticket!$B$2:$B$6001,MATCH(B946,Ticket!$A$2:$A$6001,0)),"Ticket introuvable")</f>
        <v>AG-037</v>
      </c>
    </row>
    <row r="947" spans="1:7" x14ac:dyDescent="0.35">
      <c r="A947" s="10" t="s">
        <v>7095</v>
      </c>
      <c r="B947" s="12" t="s">
        <v>5246</v>
      </c>
      <c r="C947" s="11">
        <v>45831</v>
      </c>
      <c r="D947" s="12">
        <v>3</v>
      </c>
      <c r="E947" s="12">
        <v>10</v>
      </c>
      <c r="F947" s="13" t="s">
        <v>6142</v>
      </c>
      <c r="G947" t="str">
        <f>IFERROR(INDEX(Ticket!$B$2:$B$6001,MATCH(B947,Ticket!$A$2:$A$6001,0)),"Ticket introuvable")</f>
        <v>AG-011</v>
      </c>
    </row>
    <row r="948" spans="1:7" x14ac:dyDescent="0.35">
      <c r="A948" s="6" t="s">
        <v>7096</v>
      </c>
      <c r="B948" s="8" t="s">
        <v>3722</v>
      </c>
      <c r="C948" s="7">
        <v>45885</v>
      </c>
      <c r="D948" s="8"/>
      <c r="E948" s="8">
        <v>10</v>
      </c>
      <c r="F948" s="9" t="s">
        <v>8363</v>
      </c>
      <c r="G948" t="str">
        <f>IFERROR(INDEX(Ticket!$B$2:$B$6001,MATCH(B948,Ticket!$A$2:$A$6001,0)),"Ticket introuvable")</f>
        <v>AG-023</v>
      </c>
    </row>
    <row r="949" spans="1:7" x14ac:dyDescent="0.35">
      <c r="A949" s="10" t="s">
        <v>7097</v>
      </c>
      <c r="B949" s="12" t="s">
        <v>3974</v>
      </c>
      <c r="C949" s="11">
        <v>45812</v>
      </c>
      <c r="D949" s="12">
        <v>5</v>
      </c>
      <c r="E949" s="12">
        <v>7</v>
      </c>
      <c r="F949" s="13" t="s">
        <v>6148</v>
      </c>
      <c r="G949" t="str">
        <f>IFERROR(INDEX(Ticket!$B$2:$B$6001,MATCH(B949,Ticket!$A$2:$A$6001,0)),"Ticket introuvable")</f>
        <v>AG-026</v>
      </c>
    </row>
    <row r="950" spans="1:7" x14ac:dyDescent="0.35">
      <c r="A950" s="6" t="s">
        <v>7098</v>
      </c>
      <c r="B950" s="8" t="s">
        <v>941</v>
      </c>
      <c r="C950" s="7">
        <v>45990</v>
      </c>
      <c r="D950" s="8">
        <v>2</v>
      </c>
      <c r="E950" s="8">
        <v>9</v>
      </c>
      <c r="F950" s="9" t="s">
        <v>6142</v>
      </c>
      <c r="G950" t="str">
        <f>IFERROR(INDEX(Ticket!$B$2:$B$6001,MATCH(B950,Ticket!$A$2:$A$6001,0)),"Ticket introuvable")</f>
        <v>AG-010</v>
      </c>
    </row>
    <row r="951" spans="1:7" x14ac:dyDescent="0.35">
      <c r="A951" s="10" t="s">
        <v>7099</v>
      </c>
      <c r="B951" s="12" t="s">
        <v>641</v>
      </c>
      <c r="C951" s="11">
        <v>45681</v>
      </c>
      <c r="D951" s="12"/>
      <c r="E951" s="12">
        <v>8</v>
      </c>
      <c r="F951" s="13" t="s">
        <v>6148</v>
      </c>
      <c r="G951" t="str">
        <f>IFERROR(INDEX(Ticket!$B$2:$B$6001,MATCH(B951,Ticket!$A$2:$A$6001,0)),"Ticket introuvable")</f>
        <v>AG-013</v>
      </c>
    </row>
    <row r="952" spans="1:7" x14ac:dyDescent="0.35">
      <c r="A952" s="6" t="s">
        <v>7100</v>
      </c>
      <c r="B952" s="8" t="s">
        <v>3110</v>
      </c>
      <c r="C952" s="7">
        <v>45912</v>
      </c>
      <c r="D952" s="8">
        <v>5</v>
      </c>
      <c r="E952" s="8">
        <v>7</v>
      </c>
      <c r="F952" s="9" t="s">
        <v>75</v>
      </c>
      <c r="G952" t="str">
        <f>IFERROR(INDEX(Ticket!$B$2:$B$6001,MATCH(B952,Ticket!$A$2:$A$6001,0)),"Ticket introuvable")</f>
        <v>AG-013</v>
      </c>
    </row>
    <row r="953" spans="1:7" x14ac:dyDescent="0.35">
      <c r="A953" s="10" t="s">
        <v>7101</v>
      </c>
      <c r="B953" s="12" t="s">
        <v>4933</v>
      </c>
      <c r="C953" s="11">
        <v>45787</v>
      </c>
      <c r="D953" s="12">
        <v>5</v>
      </c>
      <c r="E953" s="12"/>
      <c r="F953" s="13" t="s">
        <v>8363</v>
      </c>
      <c r="G953" t="str">
        <f>IFERROR(INDEX(Ticket!$B$2:$B$6001,MATCH(B953,Ticket!$A$2:$A$6001,0)),"Ticket introuvable")</f>
        <v>AG-019</v>
      </c>
    </row>
    <row r="954" spans="1:7" x14ac:dyDescent="0.35">
      <c r="A954" s="6" t="s">
        <v>7102</v>
      </c>
      <c r="B954" s="8" t="s">
        <v>3680</v>
      </c>
      <c r="C954" s="7">
        <v>45897</v>
      </c>
      <c r="D954" s="8"/>
      <c r="E954" s="8">
        <v>6</v>
      </c>
      <c r="F954" s="9" t="s">
        <v>6148</v>
      </c>
      <c r="G954" t="str">
        <f>IFERROR(INDEX(Ticket!$B$2:$B$6001,MATCH(B954,Ticket!$A$2:$A$6001,0)),"Ticket introuvable")</f>
        <v>AG-026</v>
      </c>
    </row>
    <row r="955" spans="1:7" x14ac:dyDescent="0.35">
      <c r="A955" s="10" t="s">
        <v>7103</v>
      </c>
      <c r="B955" s="12" t="s">
        <v>4406</v>
      </c>
      <c r="C955" s="11">
        <v>45893</v>
      </c>
      <c r="D955" s="12">
        <v>5</v>
      </c>
      <c r="E955" s="12"/>
      <c r="F955" s="13" t="s">
        <v>8363</v>
      </c>
      <c r="G955" t="str">
        <f>IFERROR(INDEX(Ticket!$B$2:$B$6001,MATCH(B955,Ticket!$A$2:$A$6001,0)),"Ticket introuvable")</f>
        <v>AG-032</v>
      </c>
    </row>
    <row r="956" spans="1:7" x14ac:dyDescent="0.35">
      <c r="A956" s="6" t="s">
        <v>7104</v>
      </c>
      <c r="B956" s="8" t="s">
        <v>7940</v>
      </c>
      <c r="C956" s="7">
        <v>45957</v>
      </c>
      <c r="D956" s="8">
        <v>5</v>
      </c>
      <c r="E956" s="8">
        <v>9</v>
      </c>
      <c r="F956" s="9" t="s">
        <v>75</v>
      </c>
      <c r="G956" t="str">
        <f>IFERROR(INDEX(Ticket!$B$2:$B$6001,MATCH(B956,Ticket!$A$2:$A$6001,0)),"Ticket introuvable")</f>
        <v>Ticket introuvable</v>
      </c>
    </row>
    <row r="957" spans="1:7" x14ac:dyDescent="0.35">
      <c r="A957" s="10" t="s">
        <v>7105</v>
      </c>
      <c r="B957" s="12" t="s">
        <v>5473</v>
      </c>
      <c r="C957" s="11">
        <v>45878</v>
      </c>
      <c r="D957" s="12">
        <v>4</v>
      </c>
      <c r="E957" s="12">
        <v>10</v>
      </c>
      <c r="F957" s="13" t="s">
        <v>8363</v>
      </c>
      <c r="G957" t="str">
        <f>IFERROR(INDEX(Ticket!$B$2:$B$6001,MATCH(B957,Ticket!$A$2:$A$6001,0)),"Ticket introuvable")</f>
        <v>AG-008</v>
      </c>
    </row>
    <row r="958" spans="1:7" x14ac:dyDescent="0.35">
      <c r="A958" s="6" t="s">
        <v>7106</v>
      </c>
      <c r="B958" s="8" t="s">
        <v>2121</v>
      </c>
      <c r="C958" s="7">
        <v>45673</v>
      </c>
      <c r="D958" s="8"/>
      <c r="E958" s="8">
        <v>9</v>
      </c>
      <c r="F958" s="9" t="s">
        <v>8363</v>
      </c>
      <c r="G958" t="str">
        <f>IFERROR(INDEX(Ticket!$B$2:$B$6001,MATCH(B958,Ticket!$A$2:$A$6001,0)),"Ticket introuvable")</f>
        <v>AG-014</v>
      </c>
    </row>
    <row r="959" spans="1:7" x14ac:dyDescent="0.35">
      <c r="A959" s="10" t="s">
        <v>7107</v>
      </c>
      <c r="B959" s="12" t="s">
        <v>3954</v>
      </c>
      <c r="C959" s="11">
        <v>45663</v>
      </c>
      <c r="D959" s="12">
        <v>4</v>
      </c>
      <c r="E959" s="12"/>
      <c r="F959" s="13" t="s">
        <v>6142</v>
      </c>
      <c r="G959" t="str">
        <f>IFERROR(INDEX(Ticket!$B$2:$B$6001,MATCH(B959,Ticket!$A$2:$A$6001,0)),"Ticket introuvable")</f>
        <v>AG-007</v>
      </c>
    </row>
    <row r="960" spans="1:7" x14ac:dyDescent="0.35">
      <c r="A960" s="6" t="s">
        <v>7108</v>
      </c>
      <c r="B960" s="8" t="s">
        <v>1603</v>
      </c>
      <c r="C960" s="7">
        <v>45905</v>
      </c>
      <c r="D960" s="8">
        <v>5</v>
      </c>
      <c r="E960" s="8">
        <v>8</v>
      </c>
      <c r="F960" s="9" t="s">
        <v>8363</v>
      </c>
      <c r="G960" t="str">
        <f>IFERROR(INDEX(Ticket!$B$2:$B$6001,MATCH(B960,Ticket!$A$2:$A$6001,0)),"Ticket introuvable")</f>
        <v>AG-011</v>
      </c>
    </row>
    <row r="961" spans="1:7" x14ac:dyDescent="0.35">
      <c r="A961" s="10" t="s">
        <v>7109</v>
      </c>
      <c r="B961" s="12" t="s">
        <v>4346</v>
      </c>
      <c r="C961" s="11">
        <v>45985</v>
      </c>
      <c r="D961" s="12">
        <v>5</v>
      </c>
      <c r="E961" s="12">
        <v>10</v>
      </c>
      <c r="F961" s="13" t="s">
        <v>6142</v>
      </c>
      <c r="G961" t="str">
        <f>IFERROR(INDEX(Ticket!$B$2:$B$6001,MATCH(B961,Ticket!$A$2:$A$6001,0)),"Ticket introuvable")</f>
        <v>AG-034</v>
      </c>
    </row>
    <row r="962" spans="1:7" x14ac:dyDescent="0.35">
      <c r="A962" s="6" t="s">
        <v>7110</v>
      </c>
      <c r="B962" s="8" t="s">
        <v>1136</v>
      </c>
      <c r="C962" s="7">
        <v>45758</v>
      </c>
      <c r="D962" s="8">
        <v>3</v>
      </c>
      <c r="E962" s="8">
        <v>8</v>
      </c>
      <c r="F962" s="9" t="s">
        <v>6153</v>
      </c>
      <c r="G962" t="str">
        <f>IFERROR(INDEX(Ticket!$B$2:$B$6001,MATCH(B962,Ticket!$A$2:$A$6001,0)),"Ticket introuvable")</f>
        <v>AG-034</v>
      </c>
    </row>
    <row r="963" spans="1:7" x14ac:dyDescent="0.35">
      <c r="A963" s="10" t="s">
        <v>7111</v>
      </c>
      <c r="B963" s="12" t="s">
        <v>4082</v>
      </c>
      <c r="C963" s="11">
        <v>45799</v>
      </c>
      <c r="D963" s="12">
        <v>3</v>
      </c>
      <c r="E963" s="12">
        <v>10</v>
      </c>
      <c r="F963" s="13" t="s">
        <v>6148</v>
      </c>
      <c r="G963" t="str">
        <f>IFERROR(INDEX(Ticket!$B$2:$B$6001,MATCH(B963,Ticket!$A$2:$A$6001,0)),"Ticket introuvable")</f>
        <v>AG-029</v>
      </c>
    </row>
    <row r="964" spans="1:7" x14ac:dyDescent="0.35">
      <c r="A964" s="6" t="s">
        <v>7112</v>
      </c>
      <c r="B964" s="8" t="s">
        <v>412</v>
      </c>
      <c r="C964" s="7">
        <v>45704</v>
      </c>
      <c r="D964" s="8">
        <v>5</v>
      </c>
      <c r="E964" s="8">
        <v>8</v>
      </c>
      <c r="F964" s="9" t="s">
        <v>6142</v>
      </c>
      <c r="G964" t="str">
        <f>IFERROR(INDEX(Ticket!$B$2:$B$6001,MATCH(B964,Ticket!$A$2:$A$6001,0)),"Ticket introuvable")</f>
        <v>AG-037</v>
      </c>
    </row>
    <row r="965" spans="1:7" x14ac:dyDescent="0.35">
      <c r="A965" s="10" t="s">
        <v>7113</v>
      </c>
      <c r="B965" s="12" t="s">
        <v>2285</v>
      </c>
      <c r="C965" s="11">
        <v>45695</v>
      </c>
      <c r="D965" s="12">
        <v>5</v>
      </c>
      <c r="E965" s="12">
        <v>6</v>
      </c>
      <c r="F965" s="13" t="s">
        <v>6148</v>
      </c>
      <c r="G965" t="str">
        <f>IFERROR(INDEX(Ticket!$B$2:$B$6001,MATCH(B965,Ticket!$A$2:$A$6001,0)),"Ticket introuvable")</f>
        <v>AG-014</v>
      </c>
    </row>
    <row r="966" spans="1:7" x14ac:dyDescent="0.35">
      <c r="A966" s="6" t="s">
        <v>7114</v>
      </c>
      <c r="B966" s="8" t="s">
        <v>530</v>
      </c>
      <c r="C966" s="7">
        <v>45806</v>
      </c>
      <c r="D966" s="8">
        <v>4</v>
      </c>
      <c r="E966" s="8">
        <v>5</v>
      </c>
      <c r="F966" s="9" t="s">
        <v>75</v>
      </c>
      <c r="G966" t="str">
        <f>IFERROR(INDEX(Ticket!$B$2:$B$6001,MATCH(B966,Ticket!$A$2:$A$6001,0)),"Ticket introuvable")</f>
        <v>AG-037</v>
      </c>
    </row>
    <row r="967" spans="1:7" x14ac:dyDescent="0.35">
      <c r="A967" s="10" t="s">
        <v>7115</v>
      </c>
      <c r="B967" s="12" t="s">
        <v>2015</v>
      </c>
      <c r="C967" s="11">
        <v>45930</v>
      </c>
      <c r="D967" s="12">
        <v>3</v>
      </c>
      <c r="E967" s="12">
        <v>4</v>
      </c>
      <c r="F967" s="13" t="s">
        <v>6142</v>
      </c>
      <c r="G967" t="str">
        <f>IFERROR(INDEX(Ticket!$B$2:$B$6001,MATCH(B967,Ticket!$A$2:$A$6001,0)),"Ticket introuvable")</f>
        <v>AG-014</v>
      </c>
    </row>
    <row r="968" spans="1:7" x14ac:dyDescent="0.35">
      <c r="A968" s="6" t="s">
        <v>7116</v>
      </c>
      <c r="B968" s="8" t="s">
        <v>1911</v>
      </c>
      <c r="C968" s="7">
        <v>45747</v>
      </c>
      <c r="D968" s="8">
        <v>5</v>
      </c>
      <c r="E968" s="8">
        <v>6</v>
      </c>
      <c r="F968" s="9" t="s">
        <v>6148</v>
      </c>
      <c r="G968" t="str">
        <f>IFERROR(INDEX(Ticket!$B$2:$B$6001,MATCH(B968,Ticket!$A$2:$A$6001,0)),"Ticket introuvable")</f>
        <v>AG-027</v>
      </c>
    </row>
    <row r="969" spans="1:7" x14ac:dyDescent="0.35">
      <c r="A969" s="10" t="s">
        <v>7117</v>
      </c>
      <c r="B969" s="12" t="s">
        <v>4646</v>
      </c>
      <c r="C969" s="11">
        <v>45739</v>
      </c>
      <c r="D969" s="12">
        <v>3</v>
      </c>
      <c r="E969" s="12">
        <v>8</v>
      </c>
      <c r="F969" s="13" t="s">
        <v>6160</v>
      </c>
      <c r="G969" t="str">
        <f>IFERROR(INDEX(Ticket!$B$2:$B$6001,MATCH(B969,Ticket!$A$2:$A$6001,0)),"Ticket introuvable")</f>
        <v>AG-007</v>
      </c>
    </row>
    <row r="970" spans="1:7" x14ac:dyDescent="0.35">
      <c r="A970" s="6" t="s">
        <v>7118</v>
      </c>
      <c r="B970" s="8" t="s">
        <v>5175</v>
      </c>
      <c r="C970" s="7">
        <v>45942</v>
      </c>
      <c r="D970" s="8">
        <v>1</v>
      </c>
      <c r="E970" s="8">
        <v>8</v>
      </c>
      <c r="F970" s="9" t="s">
        <v>8363</v>
      </c>
      <c r="G970" t="str">
        <f>IFERROR(INDEX(Ticket!$B$2:$B$6001,MATCH(B970,Ticket!$A$2:$A$6001,0)),"Ticket introuvable")</f>
        <v>AG-007</v>
      </c>
    </row>
    <row r="971" spans="1:7" x14ac:dyDescent="0.35">
      <c r="A971" s="10" t="s">
        <v>7119</v>
      </c>
      <c r="B971" s="12" t="s">
        <v>4644</v>
      </c>
      <c r="C971" s="11">
        <v>45780</v>
      </c>
      <c r="D971" s="12">
        <v>5</v>
      </c>
      <c r="E971" s="12">
        <v>8</v>
      </c>
      <c r="F971" s="13" t="s">
        <v>75</v>
      </c>
      <c r="G971" t="str">
        <f>IFERROR(INDEX(Ticket!$B$2:$B$6001,MATCH(B971,Ticket!$A$2:$A$6001,0)),"Ticket introuvable")</f>
        <v>AG-017</v>
      </c>
    </row>
    <row r="972" spans="1:7" x14ac:dyDescent="0.35">
      <c r="A972" s="6" t="s">
        <v>7120</v>
      </c>
      <c r="B972" s="8" t="s">
        <v>4710</v>
      </c>
      <c r="C972" s="7">
        <v>46023</v>
      </c>
      <c r="D972" s="8">
        <v>4</v>
      </c>
      <c r="E972" s="8">
        <v>7</v>
      </c>
      <c r="F972" s="9" t="s">
        <v>6160</v>
      </c>
      <c r="G972" t="str">
        <f>IFERROR(INDEX(Ticket!$B$2:$B$6001,MATCH(B972,Ticket!$A$2:$A$6001,0)),"Ticket introuvable")</f>
        <v>AG-026</v>
      </c>
    </row>
    <row r="973" spans="1:7" x14ac:dyDescent="0.35">
      <c r="A973" s="10" t="s">
        <v>7121</v>
      </c>
      <c r="B973" s="12" t="s">
        <v>2426</v>
      </c>
      <c r="C973" s="11">
        <v>45826</v>
      </c>
      <c r="D973" s="12">
        <v>5</v>
      </c>
      <c r="E973" s="12">
        <v>9</v>
      </c>
      <c r="F973" s="13" t="s">
        <v>8363</v>
      </c>
      <c r="G973" t="str">
        <f>IFERROR(INDEX(Ticket!$B$2:$B$6001,MATCH(B973,Ticket!$A$2:$A$6001,0)),"Ticket introuvable")</f>
        <v>AG-034</v>
      </c>
    </row>
    <row r="974" spans="1:7" x14ac:dyDescent="0.35">
      <c r="A974" s="6" t="s">
        <v>7122</v>
      </c>
      <c r="B974" s="8" t="s">
        <v>2025</v>
      </c>
      <c r="C974" s="7">
        <v>45999</v>
      </c>
      <c r="D974" s="8"/>
      <c r="E974" s="8">
        <v>0</v>
      </c>
      <c r="F974" s="9" t="s">
        <v>6148</v>
      </c>
      <c r="G974" t="str">
        <f>IFERROR(INDEX(Ticket!$B$2:$B$6001,MATCH(B974,Ticket!$A$2:$A$6001,0)),"Ticket introuvable")</f>
        <v>AG-005</v>
      </c>
    </row>
    <row r="975" spans="1:7" x14ac:dyDescent="0.35">
      <c r="A975" s="10" t="s">
        <v>7123</v>
      </c>
      <c r="B975" s="12" t="s">
        <v>3190</v>
      </c>
      <c r="C975" s="11">
        <v>45817</v>
      </c>
      <c r="D975" s="12">
        <v>4</v>
      </c>
      <c r="E975" s="12">
        <v>0</v>
      </c>
      <c r="F975" s="13" t="s">
        <v>8363</v>
      </c>
      <c r="G975" t="str">
        <f>IFERROR(INDEX(Ticket!$B$2:$B$6001,MATCH(B975,Ticket!$A$2:$A$6001,0)),"Ticket introuvable")</f>
        <v>AG-039</v>
      </c>
    </row>
    <row r="976" spans="1:7" x14ac:dyDescent="0.35">
      <c r="A976" s="6" t="s">
        <v>7124</v>
      </c>
      <c r="B976" s="8" t="s">
        <v>2583</v>
      </c>
      <c r="C976" s="7">
        <v>45815</v>
      </c>
      <c r="D976" s="8">
        <v>4</v>
      </c>
      <c r="E976" s="8"/>
      <c r="F976" s="9" t="s">
        <v>8363</v>
      </c>
      <c r="G976" t="str">
        <f>IFERROR(INDEX(Ticket!$B$2:$B$6001,MATCH(B976,Ticket!$A$2:$A$6001,0)),"Ticket introuvable")</f>
        <v>AG-020</v>
      </c>
    </row>
    <row r="977" spans="1:7" x14ac:dyDescent="0.35">
      <c r="A977" s="10" t="s">
        <v>7125</v>
      </c>
      <c r="B977" s="12" t="s">
        <v>2624</v>
      </c>
      <c r="C977" s="11">
        <v>45678</v>
      </c>
      <c r="D977" s="12">
        <v>5</v>
      </c>
      <c r="E977" s="12">
        <v>8</v>
      </c>
      <c r="F977" s="13" t="s">
        <v>6153</v>
      </c>
      <c r="G977" t="str">
        <f>IFERROR(INDEX(Ticket!$B$2:$B$6001,MATCH(B977,Ticket!$A$2:$A$6001,0)),"Ticket introuvable")</f>
        <v>AG-038</v>
      </c>
    </row>
    <row r="978" spans="1:7" x14ac:dyDescent="0.35">
      <c r="A978" s="6" t="s">
        <v>7126</v>
      </c>
      <c r="B978" s="8" t="s">
        <v>905</v>
      </c>
      <c r="C978" s="7">
        <v>45834</v>
      </c>
      <c r="D978" s="8">
        <v>4</v>
      </c>
      <c r="E978" s="8">
        <v>10</v>
      </c>
      <c r="F978" s="9" t="s">
        <v>6148</v>
      </c>
      <c r="G978" t="str">
        <f>IFERROR(INDEX(Ticket!$B$2:$B$6001,MATCH(B978,Ticket!$A$2:$A$6001,0)),"Ticket introuvable")</f>
        <v>AG-013</v>
      </c>
    </row>
    <row r="979" spans="1:7" x14ac:dyDescent="0.35">
      <c r="A979" s="10" t="s">
        <v>7127</v>
      </c>
      <c r="B979" s="12" t="s">
        <v>4401</v>
      </c>
      <c r="C979" s="11">
        <v>45693</v>
      </c>
      <c r="D979" s="12">
        <v>5</v>
      </c>
      <c r="E979" s="12">
        <v>9</v>
      </c>
      <c r="F979" s="13" t="s">
        <v>6160</v>
      </c>
      <c r="G979" t="str">
        <f>IFERROR(INDEX(Ticket!$B$2:$B$6001,MATCH(B979,Ticket!$A$2:$A$6001,0)),"Ticket introuvable")</f>
        <v>AG-007</v>
      </c>
    </row>
    <row r="980" spans="1:7" x14ac:dyDescent="0.35">
      <c r="A980" s="6" t="s">
        <v>7128</v>
      </c>
      <c r="B980" s="8" t="s">
        <v>4046</v>
      </c>
      <c r="C980" s="7">
        <v>45992</v>
      </c>
      <c r="D980" s="8">
        <v>4</v>
      </c>
      <c r="E980" s="8">
        <v>3</v>
      </c>
      <c r="F980" s="9" t="s">
        <v>6142</v>
      </c>
      <c r="G980" t="str">
        <f>IFERROR(INDEX(Ticket!$B$2:$B$6001,MATCH(B980,Ticket!$A$2:$A$6001,0)),"Ticket introuvable")</f>
        <v>AG-011</v>
      </c>
    </row>
    <row r="981" spans="1:7" x14ac:dyDescent="0.35">
      <c r="A981" s="10" t="s">
        <v>7129</v>
      </c>
      <c r="B981" s="12" t="s">
        <v>3130</v>
      </c>
      <c r="C981" s="11">
        <v>45895</v>
      </c>
      <c r="D981" s="12">
        <v>4</v>
      </c>
      <c r="E981" s="12">
        <v>9</v>
      </c>
      <c r="F981" s="13" t="s">
        <v>8363</v>
      </c>
      <c r="G981" t="str">
        <f>IFERROR(INDEX(Ticket!$B$2:$B$6001,MATCH(B981,Ticket!$A$2:$A$6001,0)),"Ticket introuvable")</f>
        <v>AG-037</v>
      </c>
    </row>
    <row r="982" spans="1:7" x14ac:dyDescent="0.35">
      <c r="A982" s="6" t="s">
        <v>7130</v>
      </c>
      <c r="B982" s="8" t="s">
        <v>2914</v>
      </c>
      <c r="C982" s="7">
        <v>45907</v>
      </c>
      <c r="D982" s="8">
        <v>4</v>
      </c>
      <c r="E982" s="8">
        <v>6</v>
      </c>
      <c r="F982" s="9" t="s">
        <v>6160</v>
      </c>
      <c r="G982" t="str">
        <f>IFERROR(INDEX(Ticket!$B$2:$B$6001,MATCH(B982,Ticket!$A$2:$A$6001,0)),"Ticket introuvable")</f>
        <v>AG-029</v>
      </c>
    </row>
    <row r="983" spans="1:7" x14ac:dyDescent="0.35">
      <c r="A983" s="10" t="s">
        <v>7131</v>
      </c>
      <c r="B983" s="12" t="s">
        <v>19</v>
      </c>
      <c r="C983" s="11">
        <v>45864</v>
      </c>
      <c r="D983" s="12">
        <v>5</v>
      </c>
      <c r="E983" s="12">
        <v>3</v>
      </c>
      <c r="F983" s="13" t="s">
        <v>8363</v>
      </c>
      <c r="G983" t="str">
        <f>IFERROR(INDEX(Ticket!$B$2:$B$6001,MATCH(B983,Ticket!$A$2:$A$6001,0)),"Ticket introuvable")</f>
        <v>AG-040</v>
      </c>
    </row>
    <row r="984" spans="1:7" x14ac:dyDescent="0.35">
      <c r="A984" s="6" t="s">
        <v>7132</v>
      </c>
      <c r="B984" s="8" t="s">
        <v>447</v>
      </c>
      <c r="C984" s="7">
        <v>45933</v>
      </c>
      <c r="D984" s="8">
        <v>4</v>
      </c>
      <c r="E984" s="8">
        <v>8</v>
      </c>
      <c r="F984" s="9" t="s">
        <v>6142</v>
      </c>
      <c r="G984" t="str">
        <f>IFERROR(INDEX(Ticket!$B$2:$B$6001,MATCH(B984,Ticket!$A$2:$A$6001,0)),"Ticket introuvable")</f>
        <v>AG-015</v>
      </c>
    </row>
    <row r="985" spans="1:7" x14ac:dyDescent="0.35">
      <c r="A985" s="10" t="s">
        <v>7133</v>
      </c>
      <c r="B985" s="12" t="s">
        <v>3642</v>
      </c>
      <c r="C985" s="11">
        <v>45775</v>
      </c>
      <c r="D985" s="12">
        <v>4</v>
      </c>
      <c r="E985" s="12">
        <v>5</v>
      </c>
      <c r="F985" s="13" t="s">
        <v>6148</v>
      </c>
      <c r="G985" t="str">
        <f>IFERROR(INDEX(Ticket!$B$2:$B$6001,MATCH(B985,Ticket!$A$2:$A$6001,0)),"Ticket introuvable")</f>
        <v>AG-034</v>
      </c>
    </row>
    <row r="986" spans="1:7" x14ac:dyDescent="0.35">
      <c r="A986" s="6" t="s">
        <v>7134</v>
      </c>
      <c r="B986" s="8" t="s">
        <v>1010</v>
      </c>
      <c r="C986" s="7">
        <v>45659</v>
      </c>
      <c r="D986" s="8">
        <v>4</v>
      </c>
      <c r="E986" s="8">
        <v>5</v>
      </c>
      <c r="F986" s="9" t="s">
        <v>8363</v>
      </c>
      <c r="G986" t="str">
        <f>IFERROR(INDEX(Ticket!$B$2:$B$6001,MATCH(B986,Ticket!$A$2:$A$6001,0)),"Ticket introuvable")</f>
        <v>AG-034</v>
      </c>
    </row>
    <row r="987" spans="1:7" x14ac:dyDescent="0.35">
      <c r="A987" s="10" t="s">
        <v>7135</v>
      </c>
      <c r="B987" s="12" t="s">
        <v>422</v>
      </c>
      <c r="C987" s="11">
        <v>46009</v>
      </c>
      <c r="D987" s="12">
        <v>5</v>
      </c>
      <c r="E987" s="12">
        <v>10</v>
      </c>
      <c r="F987" s="13" t="s">
        <v>6153</v>
      </c>
      <c r="G987" t="str">
        <f>IFERROR(INDEX(Ticket!$B$2:$B$6001,MATCH(B987,Ticket!$A$2:$A$6001,0)),"Ticket introuvable")</f>
        <v>AG-012</v>
      </c>
    </row>
    <row r="988" spans="1:7" x14ac:dyDescent="0.35">
      <c r="A988" s="6" t="s">
        <v>7136</v>
      </c>
      <c r="B988" s="8" t="s">
        <v>2429</v>
      </c>
      <c r="C988" s="7">
        <v>45732</v>
      </c>
      <c r="D988" s="8">
        <v>5</v>
      </c>
      <c r="E988" s="8">
        <v>6</v>
      </c>
      <c r="F988" s="9" t="s">
        <v>6160</v>
      </c>
      <c r="G988" t="str">
        <f>IFERROR(INDEX(Ticket!$B$2:$B$6001,MATCH(B988,Ticket!$A$2:$A$6001,0)),"Ticket introuvable")</f>
        <v>AG-011</v>
      </c>
    </row>
    <row r="989" spans="1:7" x14ac:dyDescent="0.35">
      <c r="A989" s="10" t="s">
        <v>7137</v>
      </c>
      <c r="B989" s="12" t="s">
        <v>6009</v>
      </c>
      <c r="C989" s="11">
        <v>45837</v>
      </c>
      <c r="D989" s="12">
        <v>4</v>
      </c>
      <c r="E989" s="12"/>
      <c r="F989" s="13" t="s">
        <v>75</v>
      </c>
      <c r="G989" t="str">
        <f>IFERROR(INDEX(Ticket!$B$2:$B$6001,MATCH(B989,Ticket!$A$2:$A$6001,0)),"Ticket introuvable")</f>
        <v>AG-021</v>
      </c>
    </row>
    <row r="990" spans="1:7" x14ac:dyDescent="0.35">
      <c r="A990" s="6" t="s">
        <v>7138</v>
      </c>
      <c r="B990" s="8" t="s">
        <v>3912</v>
      </c>
      <c r="C990" s="7">
        <v>45952</v>
      </c>
      <c r="D990" s="8">
        <v>5</v>
      </c>
      <c r="E990" s="8">
        <v>6</v>
      </c>
      <c r="F990" s="9" t="s">
        <v>6148</v>
      </c>
      <c r="G990" t="str">
        <f>IFERROR(INDEX(Ticket!$B$2:$B$6001,MATCH(B990,Ticket!$A$2:$A$6001,0)),"Ticket introuvable")</f>
        <v>AG-033</v>
      </c>
    </row>
    <row r="991" spans="1:7" x14ac:dyDescent="0.35">
      <c r="A991" s="10" t="s">
        <v>7139</v>
      </c>
      <c r="B991" s="12" t="s">
        <v>5221</v>
      </c>
      <c r="C991" s="11">
        <v>45967</v>
      </c>
      <c r="D991" s="12">
        <v>3</v>
      </c>
      <c r="E991" s="12">
        <v>9</v>
      </c>
      <c r="F991" s="13" t="s">
        <v>75</v>
      </c>
      <c r="G991" t="str">
        <f>IFERROR(INDEX(Ticket!$B$2:$B$6001,MATCH(B991,Ticket!$A$2:$A$6001,0)),"Ticket introuvable")</f>
        <v>AG-025</v>
      </c>
    </row>
    <row r="992" spans="1:7" x14ac:dyDescent="0.35">
      <c r="A992" s="6" t="s">
        <v>7140</v>
      </c>
      <c r="B992" s="8" t="s">
        <v>854</v>
      </c>
      <c r="C992" s="7">
        <v>45997</v>
      </c>
      <c r="D992" s="8">
        <v>5</v>
      </c>
      <c r="E992" s="8">
        <v>10</v>
      </c>
      <c r="F992" s="9" t="s">
        <v>6153</v>
      </c>
      <c r="G992" t="str">
        <f>IFERROR(INDEX(Ticket!$B$2:$B$6001,MATCH(B992,Ticket!$A$2:$A$6001,0)),"Ticket introuvable")</f>
        <v>AG-038</v>
      </c>
    </row>
    <row r="993" spans="1:7" x14ac:dyDescent="0.35">
      <c r="A993" s="10" t="s">
        <v>7141</v>
      </c>
      <c r="B993" s="12" t="s">
        <v>5698</v>
      </c>
      <c r="C993" s="11">
        <v>45759</v>
      </c>
      <c r="D993" s="12">
        <v>2</v>
      </c>
      <c r="E993" s="12">
        <v>7</v>
      </c>
      <c r="F993" s="13" t="s">
        <v>6153</v>
      </c>
      <c r="G993" t="str">
        <f>IFERROR(INDEX(Ticket!$B$2:$B$6001,MATCH(B993,Ticket!$A$2:$A$6001,0)),"Ticket introuvable")</f>
        <v>AG-029</v>
      </c>
    </row>
    <row r="994" spans="1:7" x14ac:dyDescent="0.35">
      <c r="A994" s="6" t="s">
        <v>7142</v>
      </c>
      <c r="B994" s="8" t="s">
        <v>4235</v>
      </c>
      <c r="C994" s="7">
        <v>45834</v>
      </c>
      <c r="D994" s="8">
        <v>4</v>
      </c>
      <c r="E994" s="8">
        <v>9</v>
      </c>
      <c r="F994" s="9" t="s">
        <v>6142</v>
      </c>
      <c r="G994" t="str">
        <f>IFERROR(INDEX(Ticket!$B$2:$B$6001,MATCH(B994,Ticket!$A$2:$A$6001,0)),"Ticket introuvable")</f>
        <v>AG-031</v>
      </c>
    </row>
    <row r="995" spans="1:7" x14ac:dyDescent="0.35">
      <c r="A995" s="10" t="s">
        <v>7143</v>
      </c>
      <c r="B995" s="12" t="s">
        <v>386</v>
      </c>
      <c r="C995" s="11">
        <v>45986</v>
      </c>
      <c r="D995" s="12">
        <v>5</v>
      </c>
      <c r="E995" s="12">
        <v>8</v>
      </c>
      <c r="F995" s="13" t="s">
        <v>6148</v>
      </c>
      <c r="G995" t="str">
        <f>IFERROR(INDEX(Ticket!$B$2:$B$6001,MATCH(B995,Ticket!$A$2:$A$6001,0)),"Ticket introuvable")</f>
        <v>AG-017</v>
      </c>
    </row>
    <row r="996" spans="1:7" x14ac:dyDescent="0.35">
      <c r="A996" s="6" t="s">
        <v>7144</v>
      </c>
      <c r="B996" s="8" t="s">
        <v>2885</v>
      </c>
      <c r="C996" s="7">
        <v>45871</v>
      </c>
      <c r="D996" s="8">
        <v>4</v>
      </c>
      <c r="E996" s="8">
        <v>8</v>
      </c>
      <c r="F996" s="9" t="s">
        <v>8363</v>
      </c>
      <c r="G996" t="str">
        <f>IFERROR(INDEX(Ticket!$B$2:$B$6001,MATCH(B996,Ticket!$A$2:$A$6001,0)),"Ticket introuvable")</f>
        <v>AG-007</v>
      </c>
    </row>
    <row r="997" spans="1:7" x14ac:dyDescent="0.35">
      <c r="A997" s="10" t="s">
        <v>7145</v>
      </c>
      <c r="B997" s="12" t="s">
        <v>3145</v>
      </c>
      <c r="C997" s="11">
        <v>46012</v>
      </c>
      <c r="D997" s="12">
        <v>4</v>
      </c>
      <c r="E997" s="12">
        <v>10</v>
      </c>
      <c r="F997" s="13" t="s">
        <v>8363</v>
      </c>
      <c r="G997" t="str">
        <f>IFERROR(INDEX(Ticket!$B$2:$B$6001,MATCH(B997,Ticket!$A$2:$A$6001,0)),"Ticket introuvable")</f>
        <v>AG-008</v>
      </c>
    </row>
    <row r="998" spans="1:7" x14ac:dyDescent="0.35">
      <c r="A998" s="6" t="s">
        <v>7146</v>
      </c>
      <c r="B998" s="8" t="s">
        <v>718</v>
      </c>
      <c r="C998" s="7">
        <v>45746</v>
      </c>
      <c r="D998" s="8">
        <v>4</v>
      </c>
      <c r="E998" s="8">
        <v>4</v>
      </c>
      <c r="F998" s="9" t="s">
        <v>8363</v>
      </c>
      <c r="G998" t="str">
        <f>IFERROR(INDEX(Ticket!$B$2:$B$6001,MATCH(B998,Ticket!$A$2:$A$6001,0)),"Ticket introuvable")</f>
        <v>AG-014</v>
      </c>
    </row>
    <row r="999" spans="1:7" x14ac:dyDescent="0.35">
      <c r="A999" s="10" t="s">
        <v>7147</v>
      </c>
      <c r="B999" s="12" t="s">
        <v>981</v>
      </c>
      <c r="C999" s="11">
        <v>45989</v>
      </c>
      <c r="D999" s="12">
        <v>2</v>
      </c>
      <c r="E999" s="12">
        <v>8</v>
      </c>
      <c r="F999" s="13" t="s">
        <v>8363</v>
      </c>
      <c r="G999" t="str">
        <f>IFERROR(INDEX(Ticket!$B$2:$B$6001,MATCH(B999,Ticket!$A$2:$A$6001,0)),"Ticket introuvable")</f>
        <v>AG-033</v>
      </c>
    </row>
    <row r="1000" spans="1:7" x14ac:dyDescent="0.35">
      <c r="A1000" s="6" t="s">
        <v>7148</v>
      </c>
      <c r="B1000" s="8" t="s">
        <v>4750</v>
      </c>
      <c r="C1000" s="7">
        <v>45666</v>
      </c>
      <c r="D1000" s="8">
        <v>5</v>
      </c>
      <c r="E1000" s="8">
        <v>7</v>
      </c>
      <c r="F1000" s="9" t="s">
        <v>75</v>
      </c>
      <c r="G1000" t="str">
        <f>IFERROR(INDEX(Ticket!$B$2:$B$6001,MATCH(B1000,Ticket!$A$2:$A$6001,0)),"Ticket introuvable")</f>
        <v>AG-024</v>
      </c>
    </row>
    <row r="1001" spans="1:7" x14ac:dyDescent="0.35">
      <c r="A1001" s="10" t="s">
        <v>7149</v>
      </c>
      <c r="B1001" s="12" t="s">
        <v>3781</v>
      </c>
      <c r="C1001" s="11">
        <v>45734</v>
      </c>
      <c r="D1001" s="12">
        <v>2</v>
      </c>
      <c r="E1001" s="12">
        <v>9</v>
      </c>
      <c r="F1001" s="13" t="s">
        <v>6153</v>
      </c>
      <c r="G1001" t="str">
        <f>IFERROR(INDEX(Ticket!$B$2:$B$6001,MATCH(B1001,Ticket!$A$2:$A$6001,0)),"Ticket introuvable")</f>
        <v>AG-014</v>
      </c>
    </row>
    <row r="1002" spans="1:7" x14ac:dyDescent="0.35">
      <c r="A1002" s="6" t="s">
        <v>7150</v>
      </c>
      <c r="B1002" s="8" t="s">
        <v>4068</v>
      </c>
      <c r="C1002" s="7">
        <v>45760</v>
      </c>
      <c r="D1002" s="8">
        <v>4</v>
      </c>
      <c r="E1002" s="8">
        <v>0</v>
      </c>
      <c r="F1002" s="9" t="s">
        <v>6142</v>
      </c>
      <c r="G1002" t="str">
        <f>IFERROR(INDEX(Ticket!$B$2:$B$6001,MATCH(B1002,Ticket!$A$2:$A$6001,0)),"Ticket introuvable")</f>
        <v>AG-034</v>
      </c>
    </row>
    <row r="1003" spans="1:7" x14ac:dyDescent="0.35">
      <c r="A1003" s="10" t="s">
        <v>7151</v>
      </c>
      <c r="B1003" s="12" t="s">
        <v>5600</v>
      </c>
      <c r="C1003" s="11">
        <v>45819</v>
      </c>
      <c r="D1003" s="12">
        <v>3</v>
      </c>
      <c r="E1003" s="12">
        <v>8</v>
      </c>
      <c r="F1003" s="13" t="s">
        <v>8363</v>
      </c>
      <c r="G1003" t="str">
        <f>IFERROR(INDEX(Ticket!$B$2:$B$6001,MATCH(B1003,Ticket!$A$2:$A$6001,0)),"Ticket introuvable")</f>
        <v>AG-018</v>
      </c>
    </row>
    <row r="1004" spans="1:7" x14ac:dyDescent="0.35">
      <c r="A1004" s="6" t="s">
        <v>7152</v>
      </c>
      <c r="B1004" s="8" t="s">
        <v>1525</v>
      </c>
      <c r="C1004" s="7">
        <v>45820</v>
      </c>
      <c r="D1004" s="8">
        <v>5</v>
      </c>
      <c r="E1004" s="8">
        <v>6</v>
      </c>
      <c r="F1004" s="9" t="s">
        <v>75</v>
      </c>
      <c r="G1004" t="str">
        <f>IFERROR(INDEX(Ticket!$B$2:$B$6001,MATCH(B1004,Ticket!$A$2:$A$6001,0)),"Ticket introuvable")</f>
        <v>AG-029</v>
      </c>
    </row>
    <row r="1005" spans="1:7" x14ac:dyDescent="0.35">
      <c r="A1005" s="10" t="s">
        <v>7153</v>
      </c>
      <c r="B1005" s="12" t="s">
        <v>3484</v>
      </c>
      <c r="C1005" s="11">
        <v>45959</v>
      </c>
      <c r="D1005" s="12">
        <v>4</v>
      </c>
      <c r="E1005" s="12">
        <v>7</v>
      </c>
      <c r="F1005" s="13" t="s">
        <v>75</v>
      </c>
      <c r="G1005" t="str">
        <f>IFERROR(INDEX(Ticket!$B$2:$B$6001,MATCH(B1005,Ticket!$A$2:$A$6001,0)),"Ticket introuvable")</f>
        <v>AG-022</v>
      </c>
    </row>
    <row r="1006" spans="1:7" x14ac:dyDescent="0.35">
      <c r="A1006" s="6" t="s">
        <v>7154</v>
      </c>
      <c r="B1006" s="8" t="s">
        <v>570</v>
      </c>
      <c r="C1006" s="7">
        <v>46015</v>
      </c>
      <c r="D1006" s="8">
        <v>5</v>
      </c>
      <c r="E1006" s="8">
        <v>10</v>
      </c>
      <c r="F1006" s="9" t="s">
        <v>8363</v>
      </c>
      <c r="G1006" t="str">
        <f>IFERROR(INDEX(Ticket!$B$2:$B$6001,MATCH(B1006,Ticket!$A$2:$A$6001,0)),"Ticket introuvable")</f>
        <v>AG-014</v>
      </c>
    </row>
    <row r="1007" spans="1:7" x14ac:dyDescent="0.35">
      <c r="A1007" s="10" t="s">
        <v>7155</v>
      </c>
      <c r="B1007" s="12" t="s">
        <v>1521</v>
      </c>
      <c r="C1007" s="11">
        <v>45919</v>
      </c>
      <c r="D1007" s="12">
        <v>4</v>
      </c>
      <c r="E1007" s="12">
        <v>10</v>
      </c>
      <c r="F1007" s="13" t="s">
        <v>6148</v>
      </c>
      <c r="G1007" t="str">
        <f>IFERROR(INDEX(Ticket!$B$2:$B$6001,MATCH(B1007,Ticket!$A$2:$A$6001,0)),"Ticket introuvable")</f>
        <v>AG-014</v>
      </c>
    </row>
    <row r="1008" spans="1:7" x14ac:dyDescent="0.35">
      <c r="A1008" s="6" t="s">
        <v>7156</v>
      </c>
      <c r="B1008" s="8" t="s">
        <v>5387</v>
      </c>
      <c r="C1008" s="7">
        <v>45916</v>
      </c>
      <c r="D1008" s="8">
        <v>5</v>
      </c>
      <c r="E1008" s="8">
        <v>10</v>
      </c>
      <c r="F1008" s="9" t="s">
        <v>8363</v>
      </c>
      <c r="G1008" t="str">
        <f>IFERROR(INDEX(Ticket!$B$2:$B$6001,MATCH(B1008,Ticket!$A$2:$A$6001,0)),"Ticket introuvable")</f>
        <v>AG-011</v>
      </c>
    </row>
    <row r="1009" spans="1:7" x14ac:dyDescent="0.35">
      <c r="A1009" s="10" t="s">
        <v>7157</v>
      </c>
      <c r="B1009" s="12" t="s">
        <v>955</v>
      </c>
      <c r="C1009" s="11">
        <v>45703</v>
      </c>
      <c r="D1009" s="12">
        <v>4</v>
      </c>
      <c r="E1009" s="12">
        <v>7</v>
      </c>
      <c r="F1009" s="13" t="s">
        <v>8363</v>
      </c>
      <c r="G1009" t="str">
        <f>IFERROR(INDEX(Ticket!$B$2:$B$6001,MATCH(B1009,Ticket!$A$2:$A$6001,0)),"Ticket introuvable")</f>
        <v>AG-017</v>
      </c>
    </row>
    <row r="1010" spans="1:7" x14ac:dyDescent="0.35">
      <c r="A1010" s="6" t="s">
        <v>7158</v>
      </c>
      <c r="B1010" s="8" t="s">
        <v>3590</v>
      </c>
      <c r="C1010" s="7">
        <v>45787</v>
      </c>
      <c r="D1010" s="8">
        <v>5</v>
      </c>
      <c r="E1010" s="8">
        <v>7</v>
      </c>
      <c r="F1010" s="9" t="s">
        <v>6142</v>
      </c>
      <c r="G1010" t="str">
        <f>IFERROR(INDEX(Ticket!$B$2:$B$6001,MATCH(B1010,Ticket!$A$2:$A$6001,0)),"Ticket introuvable")</f>
        <v>AG-006</v>
      </c>
    </row>
    <row r="1011" spans="1:7" x14ac:dyDescent="0.35">
      <c r="A1011" s="10" t="s">
        <v>7159</v>
      </c>
      <c r="B1011" s="12" t="s">
        <v>489</v>
      </c>
      <c r="C1011" s="11">
        <v>45974</v>
      </c>
      <c r="D1011" s="12">
        <v>3</v>
      </c>
      <c r="E1011" s="12">
        <v>10</v>
      </c>
      <c r="F1011" s="13" t="s">
        <v>6142</v>
      </c>
      <c r="G1011" t="str">
        <f>IFERROR(INDEX(Ticket!$B$2:$B$6001,MATCH(B1011,Ticket!$A$2:$A$6001,0)),"Ticket introuvable")</f>
        <v>AG-037</v>
      </c>
    </row>
    <row r="1012" spans="1:7" x14ac:dyDescent="0.35">
      <c r="A1012" s="6" t="s">
        <v>7160</v>
      </c>
      <c r="B1012" s="8" t="s">
        <v>2219</v>
      </c>
      <c r="C1012" s="7">
        <v>45842</v>
      </c>
      <c r="D1012" s="8">
        <v>4</v>
      </c>
      <c r="E1012" s="8">
        <v>7</v>
      </c>
      <c r="F1012" s="9" t="s">
        <v>8363</v>
      </c>
      <c r="G1012" t="str">
        <f>IFERROR(INDEX(Ticket!$B$2:$B$6001,MATCH(B1012,Ticket!$A$2:$A$6001,0)),"Ticket introuvable")</f>
        <v>AG-031</v>
      </c>
    </row>
    <row r="1013" spans="1:7" x14ac:dyDescent="0.35">
      <c r="A1013" s="10" t="s">
        <v>7161</v>
      </c>
      <c r="B1013" s="12" t="s">
        <v>3946</v>
      </c>
      <c r="C1013" s="11">
        <v>45881</v>
      </c>
      <c r="D1013" s="12">
        <v>1</v>
      </c>
      <c r="E1013" s="12">
        <v>10</v>
      </c>
      <c r="F1013" s="13" t="s">
        <v>6142</v>
      </c>
      <c r="G1013" t="str">
        <f>IFERROR(INDEX(Ticket!$B$2:$B$6001,MATCH(B1013,Ticket!$A$2:$A$6001,0)),"Ticket introuvable")</f>
        <v>AG-037</v>
      </c>
    </row>
    <row r="1014" spans="1:7" x14ac:dyDescent="0.35">
      <c r="A1014" s="6" t="s">
        <v>7162</v>
      </c>
      <c r="B1014" s="8" t="s">
        <v>1342</v>
      </c>
      <c r="C1014" s="7">
        <v>45883</v>
      </c>
      <c r="D1014" s="8">
        <v>4</v>
      </c>
      <c r="E1014" s="8">
        <v>7</v>
      </c>
      <c r="F1014" s="9" t="s">
        <v>8363</v>
      </c>
      <c r="G1014" t="str">
        <f>IFERROR(INDEX(Ticket!$B$2:$B$6001,MATCH(B1014,Ticket!$A$2:$A$6001,0)),"Ticket introuvable")</f>
        <v>AG-032</v>
      </c>
    </row>
    <row r="1015" spans="1:7" x14ac:dyDescent="0.35">
      <c r="A1015" s="10" t="s">
        <v>7163</v>
      </c>
      <c r="B1015" s="12" t="s">
        <v>775</v>
      </c>
      <c r="C1015" s="11">
        <v>45809</v>
      </c>
      <c r="D1015" s="12">
        <v>4</v>
      </c>
      <c r="E1015" s="12">
        <v>5</v>
      </c>
      <c r="F1015" s="13" t="s">
        <v>8363</v>
      </c>
      <c r="G1015" t="str">
        <f>IFERROR(INDEX(Ticket!$B$2:$B$6001,MATCH(B1015,Ticket!$A$2:$A$6001,0)),"Ticket introuvable")</f>
        <v>AG-031</v>
      </c>
    </row>
    <row r="1016" spans="1:7" x14ac:dyDescent="0.35">
      <c r="A1016" s="6" t="s">
        <v>7164</v>
      </c>
      <c r="B1016" s="8" t="s">
        <v>472</v>
      </c>
      <c r="C1016" s="7">
        <v>45866</v>
      </c>
      <c r="D1016" s="8">
        <v>4</v>
      </c>
      <c r="E1016" s="8">
        <v>8</v>
      </c>
      <c r="F1016" s="9" t="s">
        <v>6148</v>
      </c>
      <c r="G1016" t="str">
        <f>IFERROR(INDEX(Ticket!$B$2:$B$6001,MATCH(B1016,Ticket!$A$2:$A$6001,0)),"Ticket introuvable")</f>
        <v>AG-022</v>
      </c>
    </row>
    <row r="1017" spans="1:7" x14ac:dyDescent="0.35">
      <c r="A1017" s="10" t="s">
        <v>7165</v>
      </c>
      <c r="B1017" s="12" t="s">
        <v>252</v>
      </c>
      <c r="C1017" s="11">
        <v>45764</v>
      </c>
      <c r="D1017" s="12">
        <v>4</v>
      </c>
      <c r="E1017" s="12">
        <v>10</v>
      </c>
      <c r="F1017" s="13" t="s">
        <v>8363</v>
      </c>
      <c r="G1017" t="str">
        <f>IFERROR(INDEX(Ticket!$B$2:$B$6001,MATCH(B1017,Ticket!$A$2:$A$6001,0)),"Ticket introuvable")</f>
        <v>AG-015</v>
      </c>
    </row>
    <row r="1018" spans="1:7" x14ac:dyDescent="0.35">
      <c r="A1018" s="6" t="s">
        <v>7166</v>
      </c>
      <c r="B1018" s="8" t="s">
        <v>5143</v>
      </c>
      <c r="C1018" s="7">
        <v>45944</v>
      </c>
      <c r="D1018" s="8">
        <v>4</v>
      </c>
      <c r="E1018" s="8">
        <v>10</v>
      </c>
      <c r="F1018" s="9" t="s">
        <v>8363</v>
      </c>
      <c r="G1018" t="str">
        <f>IFERROR(INDEX(Ticket!$B$2:$B$6001,MATCH(B1018,Ticket!$A$2:$A$6001,0)),"Ticket introuvable")</f>
        <v>AG-016</v>
      </c>
    </row>
    <row r="1019" spans="1:7" x14ac:dyDescent="0.35">
      <c r="A1019" s="10" t="s">
        <v>7167</v>
      </c>
      <c r="B1019" s="12" t="s">
        <v>1977</v>
      </c>
      <c r="C1019" s="11">
        <v>45856</v>
      </c>
      <c r="D1019" s="12">
        <v>4</v>
      </c>
      <c r="E1019" s="12">
        <v>5</v>
      </c>
      <c r="F1019" s="13" t="s">
        <v>75</v>
      </c>
      <c r="G1019" t="str">
        <f>IFERROR(INDEX(Ticket!$B$2:$B$6001,MATCH(B1019,Ticket!$A$2:$A$6001,0)),"Ticket introuvable")</f>
        <v>AG-039</v>
      </c>
    </row>
    <row r="1020" spans="1:7" x14ac:dyDescent="0.35">
      <c r="A1020" s="6" t="s">
        <v>7168</v>
      </c>
      <c r="B1020" s="8" t="s">
        <v>4351</v>
      </c>
      <c r="C1020" s="7">
        <v>45931</v>
      </c>
      <c r="D1020" s="8">
        <v>2</v>
      </c>
      <c r="E1020" s="8">
        <v>8</v>
      </c>
      <c r="F1020" s="9" t="s">
        <v>8363</v>
      </c>
      <c r="G1020" t="str">
        <f>IFERROR(INDEX(Ticket!$B$2:$B$6001,MATCH(B1020,Ticket!$A$2:$A$6001,0)),"Ticket introuvable")</f>
        <v>AG-006</v>
      </c>
    </row>
    <row r="1021" spans="1:7" x14ac:dyDescent="0.35">
      <c r="A1021" s="10" t="s">
        <v>7169</v>
      </c>
      <c r="B1021" s="12" t="s">
        <v>3711</v>
      </c>
      <c r="C1021" s="11">
        <v>45834</v>
      </c>
      <c r="D1021" s="12">
        <v>3</v>
      </c>
      <c r="E1021" s="12">
        <v>8</v>
      </c>
      <c r="F1021" s="13" t="s">
        <v>75</v>
      </c>
      <c r="G1021" t="str">
        <f>IFERROR(INDEX(Ticket!$B$2:$B$6001,MATCH(B1021,Ticket!$A$2:$A$6001,0)),"Ticket introuvable")</f>
        <v>AG-040</v>
      </c>
    </row>
    <row r="1022" spans="1:7" x14ac:dyDescent="0.35">
      <c r="A1022" s="6" t="s">
        <v>7170</v>
      </c>
      <c r="B1022" s="8" t="s">
        <v>2250</v>
      </c>
      <c r="C1022" s="7">
        <v>45685</v>
      </c>
      <c r="D1022" s="8">
        <v>4</v>
      </c>
      <c r="E1022" s="8">
        <v>10</v>
      </c>
      <c r="F1022" s="9" t="s">
        <v>6153</v>
      </c>
      <c r="G1022" t="str">
        <f>IFERROR(INDEX(Ticket!$B$2:$B$6001,MATCH(B1022,Ticket!$A$2:$A$6001,0)),"Ticket introuvable")</f>
        <v>AG-037</v>
      </c>
    </row>
    <row r="1023" spans="1:7" x14ac:dyDescent="0.35">
      <c r="A1023" s="10" t="s">
        <v>7171</v>
      </c>
      <c r="B1023" s="12" t="s">
        <v>4154</v>
      </c>
      <c r="C1023" s="11">
        <v>45687</v>
      </c>
      <c r="D1023" s="12">
        <v>5</v>
      </c>
      <c r="E1023" s="12">
        <v>10</v>
      </c>
      <c r="F1023" s="13" t="s">
        <v>6160</v>
      </c>
      <c r="G1023" t="str">
        <f>IFERROR(INDEX(Ticket!$B$2:$B$6001,MATCH(B1023,Ticket!$A$2:$A$6001,0)),"Ticket introuvable")</f>
        <v>AG-016</v>
      </c>
    </row>
    <row r="1024" spans="1:7" x14ac:dyDescent="0.35">
      <c r="A1024" s="6" t="s">
        <v>7172</v>
      </c>
      <c r="B1024" s="8" t="s">
        <v>5949</v>
      </c>
      <c r="C1024" s="7">
        <v>46008</v>
      </c>
      <c r="D1024" s="8">
        <v>5</v>
      </c>
      <c r="E1024" s="8">
        <v>7</v>
      </c>
      <c r="F1024" s="9" t="s">
        <v>6160</v>
      </c>
      <c r="G1024" t="str">
        <f>IFERROR(INDEX(Ticket!$B$2:$B$6001,MATCH(B1024,Ticket!$A$2:$A$6001,0)),"Ticket introuvable")</f>
        <v>AG-007</v>
      </c>
    </row>
    <row r="1025" spans="1:7" x14ac:dyDescent="0.35">
      <c r="A1025" s="10" t="s">
        <v>7173</v>
      </c>
      <c r="B1025" s="12" t="s">
        <v>2254</v>
      </c>
      <c r="C1025" s="11">
        <v>45853</v>
      </c>
      <c r="D1025" s="12">
        <v>4</v>
      </c>
      <c r="E1025" s="12">
        <v>9</v>
      </c>
      <c r="F1025" s="13" t="s">
        <v>6160</v>
      </c>
      <c r="G1025" t="str">
        <f>IFERROR(INDEX(Ticket!$B$2:$B$6001,MATCH(B1025,Ticket!$A$2:$A$6001,0)),"Ticket introuvable")</f>
        <v>AG-015</v>
      </c>
    </row>
    <row r="1026" spans="1:7" x14ac:dyDescent="0.35">
      <c r="A1026" s="6" t="s">
        <v>7174</v>
      </c>
      <c r="B1026" s="8" t="s">
        <v>2245</v>
      </c>
      <c r="C1026" s="7">
        <v>45704</v>
      </c>
      <c r="D1026" s="8">
        <v>3</v>
      </c>
      <c r="E1026" s="8">
        <v>7</v>
      </c>
      <c r="F1026" s="9" t="s">
        <v>8363</v>
      </c>
      <c r="G1026" t="str">
        <f>IFERROR(INDEX(Ticket!$B$2:$B$6001,MATCH(B1026,Ticket!$A$2:$A$6001,0)),"Ticket introuvable")</f>
        <v>AG-006</v>
      </c>
    </row>
    <row r="1027" spans="1:7" x14ac:dyDescent="0.35">
      <c r="A1027" s="10" t="s">
        <v>7175</v>
      </c>
      <c r="B1027" s="12" t="s">
        <v>1100</v>
      </c>
      <c r="C1027" s="11">
        <v>45732</v>
      </c>
      <c r="D1027" s="12">
        <v>4</v>
      </c>
      <c r="E1027" s="12"/>
      <c r="F1027" s="13" t="s">
        <v>75</v>
      </c>
      <c r="G1027" t="str">
        <f>IFERROR(INDEX(Ticket!$B$2:$B$6001,MATCH(B1027,Ticket!$A$2:$A$6001,0)),"Ticket introuvable")</f>
        <v>AG-023</v>
      </c>
    </row>
    <row r="1028" spans="1:7" x14ac:dyDescent="0.35">
      <c r="A1028" s="6" t="s">
        <v>7176</v>
      </c>
      <c r="B1028" s="8" t="s">
        <v>1890</v>
      </c>
      <c r="C1028" s="7">
        <v>45890</v>
      </c>
      <c r="D1028" s="8">
        <v>4</v>
      </c>
      <c r="E1028" s="8">
        <v>9</v>
      </c>
      <c r="F1028" s="9" t="s">
        <v>6153</v>
      </c>
      <c r="G1028" t="str">
        <f>IFERROR(INDEX(Ticket!$B$2:$B$6001,MATCH(B1028,Ticket!$A$2:$A$6001,0)),"Ticket introuvable")</f>
        <v>AG-024</v>
      </c>
    </row>
    <row r="1029" spans="1:7" x14ac:dyDescent="0.35">
      <c r="A1029" s="10" t="s">
        <v>7177</v>
      </c>
      <c r="B1029" s="12" t="s">
        <v>4296</v>
      </c>
      <c r="C1029" s="11">
        <v>45941</v>
      </c>
      <c r="D1029" s="12">
        <v>5</v>
      </c>
      <c r="E1029" s="12">
        <v>6</v>
      </c>
      <c r="F1029" s="13" t="s">
        <v>6148</v>
      </c>
      <c r="G1029" t="str">
        <f>IFERROR(INDEX(Ticket!$B$2:$B$6001,MATCH(B1029,Ticket!$A$2:$A$6001,0)),"Ticket introuvable")</f>
        <v>AG-016</v>
      </c>
    </row>
    <row r="1030" spans="1:7" x14ac:dyDescent="0.35">
      <c r="A1030" s="6" t="s">
        <v>7178</v>
      </c>
      <c r="B1030" s="8" t="s">
        <v>4108</v>
      </c>
      <c r="C1030" s="7">
        <v>45890</v>
      </c>
      <c r="D1030" s="8">
        <v>5</v>
      </c>
      <c r="E1030" s="8">
        <v>10</v>
      </c>
      <c r="F1030" s="9" t="s">
        <v>6142</v>
      </c>
      <c r="G1030" t="str">
        <f>IFERROR(INDEX(Ticket!$B$2:$B$6001,MATCH(B1030,Ticket!$A$2:$A$6001,0)),"Ticket introuvable")</f>
        <v>AG-003</v>
      </c>
    </row>
    <row r="1031" spans="1:7" x14ac:dyDescent="0.35">
      <c r="A1031" s="10" t="s">
        <v>7179</v>
      </c>
      <c r="B1031" s="12" t="s">
        <v>5249</v>
      </c>
      <c r="C1031" s="11">
        <v>45928</v>
      </c>
      <c r="D1031" s="12">
        <v>3</v>
      </c>
      <c r="E1031" s="12">
        <v>0</v>
      </c>
      <c r="F1031" s="13" t="s">
        <v>6160</v>
      </c>
      <c r="G1031" t="str">
        <f>IFERROR(INDEX(Ticket!$B$2:$B$6001,MATCH(B1031,Ticket!$A$2:$A$6001,0)),"Ticket introuvable")</f>
        <v>AG-023</v>
      </c>
    </row>
    <row r="1032" spans="1:7" x14ac:dyDescent="0.35">
      <c r="A1032" s="6" t="s">
        <v>7180</v>
      </c>
      <c r="B1032" s="8" t="s">
        <v>2958</v>
      </c>
      <c r="C1032" s="7">
        <v>45770</v>
      </c>
      <c r="D1032" s="8">
        <v>5</v>
      </c>
      <c r="E1032" s="8">
        <v>6</v>
      </c>
      <c r="F1032" s="9" t="s">
        <v>6153</v>
      </c>
      <c r="G1032" t="str">
        <f>IFERROR(INDEX(Ticket!$B$2:$B$6001,MATCH(B1032,Ticket!$A$2:$A$6001,0)),"Ticket introuvable")</f>
        <v>AG-010</v>
      </c>
    </row>
    <row r="1033" spans="1:7" x14ac:dyDescent="0.35">
      <c r="A1033" s="10" t="s">
        <v>7181</v>
      </c>
      <c r="B1033" s="12" t="s">
        <v>2176</v>
      </c>
      <c r="C1033" s="11">
        <v>45890</v>
      </c>
      <c r="D1033" s="12">
        <v>4</v>
      </c>
      <c r="E1033" s="12"/>
      <c r="F1033" s="13" t="s">
        <v>8363</v>
      </c>
      <c r="G1033" t="str">
        <f>IFERROR(INDEX(Ticket!$B$2:$B$6001,MATCH(B1033,Ticket!$A$2:$A$6001,0)),"Ticket introuvable")</f>
        <v>AG-035</v>
      </c>
    </row>
    <row r="1034" spans="1:7" x14ac:dyDescent="0.35">
      <c r="A1034" s="6" t="s">
        <v>7182</v>
      </c>
      <c r="B1034" s="8" t="s">
        <v>3548</v>
      </c>
      <c r="C1034" s="7">
        <v>45959</v>
      </c>
      <c r="D1034" s="8">
        <v>5</v>
      </c>
      <c r="E1034" s="8">
        <v>3</v>
      </c>
      <c r="F1034" s="9" t="s">
        <v>8363</v>
      </c>
      <c r="G1034" t="str">
        <f>IFERROR(INDEX(Ticket!$B$2:$B$6001,MATCH(B1034,Ticket!$A$2:$A$6001,0)),"Ticket introuvable")</f>
        <v>AG-039</v>
      </c>
    </row>
    <row r="1035" spans="1:7" x14ac:dyDescent="0.35">
      <c r="A1035" s="10" t="s">
        <v>7183</v>
      </c>
      <c r="B1035" s="12" t="s">
        <v>141</v>
      </c>
      <c r="C1035" s="11">
        <v>45739</v>
      </c>
      <c r="D1035" s="12">
        <v>4</v>
      </c>
      <c r="E1035" s="12">
        <v>5</v>
      </c>
      <c r="F1035" s="13" t="s">
        <v>8363</v>
      </c>
      <c r="G1035" t="str">
        <f>IFERROR(INDEX(Ticket!$B$2:$B$6001,MATCH(B1035,Ticket!$A$2:$A$6001,0)),"Ticket introuvable")</f>
        <v>AG-026</v>
      </c>
    </row>
    <row r="1036" spans="1:7" x14ac:dyDescent="0.35">
      <c r="A1036" s="6" t="s">
        <v>7184</v>
      </c>
      <c r="B1036" s="8" t="s">
        <v>782</v>
      </c>
      <c r="C1036" s="7">
        <v>45983</v>
      </c>
      <c r="D1036" s="8">
        <v>5</v>
      </c>
      <c r="E1036" s="8">
        <v>10</v>
      </c>
      <c r="F1036" s="9" t="s">
        <v>6160</v>
      </c>
      <c r="G1036" t="str">
        <f>IFERROR(INDEX(Ticket!$B$2:$B$6001,MATCH(B1036,Ticket!$A$2:$A$6001,0)),"Ticket introuvable")</f>
        <v>AG-026</v>
      </c>
    </row>
    <row r="1037" spans="1:7" x14ac:dyDescent="0.35">
      <c r="A1037" s="10" t="s">
        <v>7185</v>
      </c>
      <c r="B1037" s="12" t="s">
        <v>4880</v>
      </c>
      <c r="C1037" s="11">
        <v>45767</v>
      </c>
      <c r="D1037" s="12">
        <v>5</v>
      </c>
      <c r="E1037" s="12">
        <v>9</v>
      </c>
      <c r="F1037" s="13" t="s">
        <v>6142</v>
      </c>
      <c r="G1037" t="str">
        <f>IFERROR(INDEX(Ticket!$B$2:$B$6001,MATCH(B1037,Ticket!$A$2:$A$6001,0)),"Ticket introuvable")</f>
        <v>AG-022</v>
      </c>
    </row>
    <row r="1038" spans="1:7" x14ac:dyDescent="0.35">
      <c r="A1038" s="6" t="s">
        <v>7186</v>
      </c>
      <c r="B1038" s="8" t="s">
        <v>485</v>
      </c>
      <c r="C1038" s="7">
        <v>45939</v>
      </c>
      <c r="D1038" s="8">
        <v>4</v>
      </c>
      <c r="E1038" s="8">
        <v>8</v>
      </c>
      <c r="F1038" s="9" t="s">
        <v>8363</v>
      </c>
      <c r="G1038" t="str">
        <f>IFERROR(INDEX(Ticket!$B$2:$B$6001,MATCH(B1038,Ticket!$A$2:$A$6001,0)),"Ticket introuvable")</f>
        <v>AG-007</v>
      </c>
    </row>
    <row r="1039" spans="1:7" x14ac:dyDescent="0.35">
      <c r="A1039" s="10" t="s">
        <v>7187</v>
      </c>
      <c r="B1039" s="12" t="s">
        <v>4211</v>
      </c>
      <c r="C1039" s="11">
        <v>45702</v>
      </c>
      <c r="D1039" s="12">
        <v>4</v>
      </c>
      <c r="E1039" s="12">
        <v>9</v>
      </c>
      <c r="F1039" s="13" t="s">
        <v>6148</v>
      </c>
      <c r="G1039" t="str">
        <f>IFERROR(INDEX(Ticket!$B$2:$B$6001,MATCH(B1039,Ticket!$A$2:$A$6001,0)),"Ticket introuvable")</f>
        <v>AG-039</v>
      </c>
    </row>
    <row r="1040" spans="1:7" x14ac:dyDescent="0.35">
      <c r="A1040" s="6" t="s">
        <v>7188</v>
      </c>
      <c r="B1040" s="8" t="s">
        <v>4377</v>
      </c>
      <c r="C1040" s="7">
        <v>45994</v>
      </c>
      <c r="D1040" s="8">
        <v>3</v>
      </c>
      <c r="E1040" s="8">
        <v>9</v>
      </c>
      <c r="F1040" s="9" t="s">
        <v>6160</v>
      </c>
      <c r="G1040" t="str">
        <f>IFERROR(INDEX(Ticket!$B$2:$B$6001,MATCH(B1040,Ticket!$A$2:$A$6001,0)),"Ticket introuvable")</f>
        <v>AG-039</v>
      </c>
    </row>
    <row r="1041" spans="1:7" x14ac:dyDescent="0.35">
      <c r="A1041" s="10" t="s">
        <v>7189</v>
      </c>
      <c r="B1041" s="12" t="s">
        <v>5566</v>
      </c>
      <c r="C1041" s="11">
        <v>46023</v>
      </c>
      <c r="D1041" s="12">
        <v>2</v>
      </c>
      <c r="E1041" s="12">
        <v>8</v>
      </c>
      <c r="F1041" s="13" t="s">
        <v>8363</v>
      </c>
      <c r="G1041" t="str">
        <f>IFERROR(INDEX(Ticket!$B$2:$B$6001,MATCH(B1041,Ticket!$A$2:$A$6001,0)),"Ticket introuvable")</f>
        <v>AG-023</v>
      </c>
    </row>
    <row r="1042" spans="1:7" x14ac:dyDescent="0.35">
      <c r="A1042" s="6" t="s">
        <v>7190</v>
      </c>
      <c r="B1042" s="8" t="s">
        <v>7191</v>
      </c>
      <c r="C1042" s="7">
        <v>45671</v>
      </c>
      <c r="D1042" s="8">
        <v>4</v>
      </c>
      <c r="E1042" s="8">
        <v>9</v>
      </c>
      <c r="F1042" s="9" t="s">
        <v>6153</v>
      </c>
      <c r="G1042" t="str">
        <f>IFERROR(INDEX(Ticket!$B$2:$B$6001,MATCH(B1042,Ticket!$A$2:$A$6001,0)),"Ticket introuvable")</f>
        <v>Ticket introuvable</v>
      </c>
    </row>
    <row r="1043" spans="1:7" x14ac:dyDescent="0.35">
      <c r="A1043" s="10" t="s">
        <v>7192</v>
      </c>
      <c r="B1043" s="12" t="s">
        <v>4585</v>
      </c>
      <c r="C1043" s="11">
        <v>46016</v>
      </c>
      <c r="D1043" s="12"/>
      <c r="E1043" s="12">
        <v>9</v>
      </c>
      <c r="F1043" s="13" t="s">
        <v>8363</v>
      </c>
      <c r="G1043" t="str">
        <f>IFERROR(INDEX(Ticket!$B$2:$B$6001,MATCH(B1043,Ticket!$A$2:$A$6001,0)),"Ticket introuvable")</f>
        <v>AG-008</v>
      </c>
    </row>
    <row r="1044" spans="1:7" x14ac:dyDescent="0.35">
      <c r="A1044" s="6" t="s">
        <v>7193</v>
      </c>
      <c r="B1044" s="8" t="s">
        <v>4712</v>
      </c>
      <c r="C1044" s="7">
        <v>45883</v>
      </c>
      <c r="D1044" s="8">
        <v>5</v>
      </c>
      <c r="E1044" s="8">
        <v>7</v>
      </c>
      <c r="F1044" s="9" t="s">
        <v>6160</v>
      </c>
      <c r="G1044" t="str">
        <f>IFERROR(INDEX(Ticket!$B$2:$B$6001,MATCH(B1044,Ticket!$A$2:$A$6001,0)),"Ticket introuvable")</f>
        <v>AG-038</v>
      </c>
    </row>
    <row r="1045" spans="1:7" x14ac:dyDescent="0.35">
      <c r="A1045" s="10" t="s">
        <v>7194</v>
      </c>
      <c r="B1045" s="12" t="s">
        <v>4798</v>
      </c>
      <c r="C1045" s="11">
        <v>45684</v>
      </c>
      <c r="D1045" s="12">
        <v>5</v>
      </c>
      <c r="E1045" s="12">
        <v>8</v>
      </c>
      <c r="F1045" s="13" t="s">
        <v>75</v>
      </c>
      <c r="G1045" t="str">
        <f>IFERROR(INDEX(Ticket!$B$2:$B$6001,MATCH(B1045,Ticket!$A$2:$A$6001,0)),"Ticket introuvable")</f>
        <v>AG-016</v>
      </c>
    </row>
    <row r="1046" spans="1:7" x14ac:dyDescent="0.35">
      <c r="A1046" s="6" t="s">
        <v>7195</v>
      </c>
      <c r="B1046" s="8" t="s">
        <v>3614</v>
      </c>
      <c r="C1046" s="7">
        <v>45751</v>
      </c>
      <c r="D1046" s="8">
        <v>5</v>
      </c>
      <c r="E1046" s="8">
        <v>9</v>
      </c>
      <c r="F1046" s="9" t="s">
        <v>8363</v>
      </c>
      <c r="G1046" t="str">
        <f>IFERROR(INDEX(Ticket!$B$2:$B$6001,MATCH(B1046,Ticket!$A$2:$A$6001,0)),"Ticket introuvable")</f>
        <v>AG-014</v>
      </c>
    </row>
    <row r="1047" spans="1:7" x14ac:dyDescent="0.35">
      <c r="A1047" s="10" t="s">
        <v>7196</v>
      </c>
      <c r="B1047" s="12" t="s">
        <v>5866</v>
      </c>
      <c r="C1047" s="11">
        <v>46016</v>
      </c>
      <c r="D1047" s="12"/>
      <c r="E1047" s="12">
        <v>0</v>
      </c>
      <c r="F1047" s="13" t="s">
        <v>75</v>
      </c>
      <c r="G1047" t="str">
        <f>IFERROR(INDEX(Ticket!$B$2:$B$6001,MATCH(B1047,Ticket!$A$2:$A$6001,0)),"Ticket introuvable")</f>
        <v>AG-023</v>
      </c>
    </row>
    <row r="1048" spans="1:7" x14ac:dyDescent="0.35">
      <c r="A1048" s="6" t="s">
        <v>7197</v>
      </c>
      <c r="B1048" s="8" t="s">
        <v>712</v>
      </c>
      <c r="C1048" s="7">
        <v>45661</v>
      </c>
      <c r="D1048" s="8">
        <v>5</v>
      </c>
      <c r="E1048" s="8">
        <v>9</v>
      </c>
      <c r="F1048" s="9" t="s">
        <v>6148</v>
      </c>
      <c r="G1048" t="str">
        <f>IFERROR(INDEX(Ticket!$B$2:$B$6001,MATCH(B1048,Ticket!$A$2:$A$6001,0)),"Ticket introuvable")</f>
        <v>AG-025</v>
      </c>
    </row>
    <row r="1049" spans="1:7" x14ac:dyDescent="0.35">
      <c r="A1049" s="10" t="s">
        <v>7198</v>
      </c>
      <c r="B1049" s="12" t="s">
        <v>3633</v>
      </c>
      <c r="C1049" s="11">
        <v>45685</v>
      </c>
      <c r="D1049" s="12">
        <v>5</v>
      </c>
      <c r="E1049" s="12">
        <v>6</v>
      </c>
      <c r="F1049" s="13" t="s">
        <v>75</v>
      </c>
      <c r="G1049" t="str">
        <f>IFERROR(INDEX(Ticket!$B$2:$B$6001,MATCH(B1049,Ticket!$A$2:$A$6001,0)),"Ticket introuvable")</f>
        <v>AG-014</v>
      </c>
    </row>
    <row r="1050" spans="1:7" x14ac:dyDescent="0.35">
      <c r="A1050" s="6" t="s">
        <v>7199</v>
      </c>
      <c r="B1050" s="8" t="s">
        <v>5181</v>
      </c>
      <c r="C1050" s="7">
        <v>45838</v>
      </c>
      <c r="D1050" s="8">
        <v>4</v>
      </c>
      <c r="E1050" s="8">
        <v>10</v>
      </c>
      <c r="F1050" s="9" t="s">
        <v>8363</v>
      </c>
      <c r="G1050" t="str">
        <f>IFERROR(INDEX(Ticket!$B$2:$B$6001,MATCH(B1050,Ticket!$A$2:$A$6001,0)),"Ticket introuvable")</f>
        <v>AG-014</v>
      </c>
    </row>
    <row r="1051" spans="1:7" x14ac:dyDescent="0.35">
      <c r="A1051" s="10" t="s">
        <v>7200</v>
      </c>
      <c r="B1051" s="12" t="s">
        <v>5904</v>
      </c>
      <c r="C1051" s="11">
        <v>45906</v>
      </c>
      <c r="D1051" s="12">
        <v>4</v>
      </c>
      <c r="E1051" s="12">
        <v>4</v>
      </c>
      <c r="F1051" s="13" t="s">
        <v>6153</v>
      </c>
      <c r="G1051" t="str">
        <f>IFERROR(INDEX(Ticket!$B$2:$B$6001,MATCH(B1051,Ticket!$A$2:$A$6001,0)),"Ticket introuvable")</f>
        <v>AG-025</v>
      </c>
    </row>
    <row r="1052" spans="1:7" x14ac:dyDescent="0.35">
      <c r="A1052" s="6" t="s">
        <v>7201</v>
      </c>
      <c r="B1052" s="8" t="s">
        <v>3347</v>
      </c>
      <c r="C1052" s="7">
        <v>45801</v>
      </c>
      <c r="D1052" s="8">
        <v>3</v>
      </c>
      <c r="E1052" s="8">
        <v>0</v>
      </c>
      <c r="F1052" s="9" t="s">
        <v>6148</v>
      </c>
      <c r="G1052" t="str">
        <f>IFERROR(INDEX(Ticket!$B$2:$B$6001,MATCH(B1052,Ticket!$A$2:$A$6001,0)),"Ticket introuvable")</f>
        <v>AG-020</v>
      </c>
    </row>
    <row r="1053" spans="1:7" x14ac:dyDescent="0.35">
      <c r="A1053" s="10" t="s">
        <v>7202</v>
      </c>
      <c r="B1053" s="12" t="s">
        <v>5447</v>
      </c>
      <c r="C1053" s="11">
        <v>45879</v>
      </c>
      <c r="D1053" s="12"/>
      <c r="E1053" s="12">
        <v>9</v>
      </c>
      <c r="F1053" s="13" t="s">
        <v>8363</v>
      </c>
      <c r="G1053" t="str">
        <f>IFERROR(INDEX(Ticket!$B$2:$B$6001,MATCH(B1053,Ticket!$A$2:$A$6001,0)),"Ticket introuvable")</f>
        <v>AG-036</v>
      </c>
    </row>
    <row r="1054" spans="1:7" x14ac:dyDescent="0.35">
      <c r="A1054" s="6" t="s">
        <v>7203</v>
      </c>
      <c r="B1054" s="8" t="s">
        <v>4943</v>
      </c>
      <c r="C1054" s="7">
        <v>45711</v>
      </c>
      <c r="D1054" s="8">
        <v>3</v>
      </c>
      <c r="E1054" s="8">
        <v>7</v>
      </c>
      <c r="F1054" s="9" t="s">
        <v>6148</v>
      </c>
      <c r="G1054" t="str">
        <f>IFERROR(INDEX(Ticket!$B$2:$B$6001,MATCH(B1054,Ticket!$A$2:$A$6001,0)),"Ticket introuvable")</f>
        <v>AG-037</v>
      </c>
    </row>
    <row r="1055" spans="1:7" x14ac:dyDescent="0.35">
      <c r="A1055" s="10" t="s">
        <v>7204</v>
      </c>
      <c r="B1055" s="12" t="s">
        <v>3480</v>
      </c>
      <c r="C1055" s="11">
        <v>45885</v>
      </c>
      <c r="D1055" s="12">
        <v>3</v>
      </c>
      <c r="E1055" s="12">
        <v>2</v>
      </c>
      <c r="F1055" s="13" t="s">
        <v>6142</v>
      </c>
      <c r="G1055" t="str">
        <f>IFERROR(INDEX(Ticket!$B$2:$B$6001,MATCH(B1055,Ticket!$A$2:$A$6001,0)),"Ticket introuvable")</f>
        <v>AG-037</v>
      </c>
    </row>
    <row r="1056" spans="1:7" x14ac:dyDescent="0.35">
      <c r="A1056" s="6" t="s">
        <v>7205</v>
      </c>
      <c r="B1056" s="8" t="s">
        <v>4079</v>
      </c>
      <c r="C1056" s="7">
        <v>45989</v>
      </c>
      <c r="D1056" s="8">
        <v>4</v>
      </c>
      <c r="E1056" s="8">
        <v>9</v>
      </c>
      <c r="F1056" s="9" t="s">
        <v>75</v>
      </c>
      <c r="G1056" t="str">
        <f>IFERROR(INDEX(Ticket!$B$2:$B$6001,MATCH(B1056,Ticket!$A$2:$A$6001,0)),"Ticket introuvable")</f>
        <v>AG-032</v>
      </c>
    </row>
    <row r="1057" spans="1:7" x14ac:dyDescent="0.35">
      <c r="A1057" s="10" t="s">
        <v>7206</v>
      </c>
      <c r="B1057" s="12" t="s">
        <v>1378</v>
      </c>
      <c r="C1057" s="11">
        <v>45939</v>
      </c>
      <c r="D1057" s="12">
        <v>5</v>
      </c>
      <c r="E1057" s="12">
        <v>2</v>
      </c>
      <c r="F1057" s="13" t="s">
        <v>6160</v>
      </c>
      <c r="G1057" t="str">
        <f>IFERROR(INDEX(Ticket!$B$2:$B$6001,MATCH(B1057,Ticket!$A$2:$A$6001,0)),"Ticket introuvable")</f>
        <v>AG-014</v>
      </c>
    </row>
    <row r="1058" spans="1:7" x14ac:dyDescent="0.35">
      <c r="A1058" s="6" t="s">
        <v>7207</v>
      </c>
      <c r="B1058" s="8" t="s">
        <v>1294</v>
      </c>
      <c r="C1058" s="7">
        <v>45709</v>
      </c>
      <c r="D1058" s="8">
        <v>4</v>
      </c>
      <c r="E1058" s="8">
        <v>1</v>
      </c>
      <c r="F1058" s="9" t="s">
        <v>8363</v>
      </c>
      <c r="G1058" t="str">
        <f>IFERROR(INDEX(Ticket!$B$2:$B$6001,MATCH(B1058,Ticket!$A$2:$A$6001,0)),"Ticket introuvable")</f>
        <v>AG-023</v>
      </c>
    </row>
    <row r="1059" spans="1:7" x14ac:dyDescent="0.35">
      <c r="A1059" s="10" t="s">
        <v>7208</v>
      </c>
      <c r="B1059" s="12" t="s">
        <v>4041</v>
      </c>
      <c r="C1059" s="11">
        <v>46010</v>
      </c>
      <c r="D1059" s="12">
        <v>3</v>
      </c>
      <c r="E1059" s="12">
        <v>7</v>
      </c>
      <c r="F1059" s="13" t="s">
        <v>6160</v>
      </c>
      <c r="G1059" t="str">
        <f>IFERROR(INDEX(Ticket!$B$2:$B$6001,MATCH(B1059,Ticket!$A$2:$A$6001,0)),"Ticket introuvable")</f>
        <v>AG-038</v>
      </c>
    </row>
    <row r="1060" spans="1:7" x14ac:dyDescent="0.35">
      <c r="A1060" s="6" t="s">
        <v>7209</v>
      </c>
      <c r="B1060" s="8" t="s">
        <v>747</v>
      </c>
      <c r="C1060" s="7">
        <v>45789</v>
      </c>
      <c r="D1060" s="8">
        <v>4</v>
      </c>
      <c r="E1060" s="8">
        <v>10</v>
      </c>
      <c r="F1060" s="9" t="s">
        <v>75</v>
      </c>
      <c r="G1060" t="str">
        <f>IFERROR(INDEX(Ticket!$B$2:$B$6001,MATCH(B1060,Ticket!$A$2:$A$6001,0)),"Ticket introuvable")</f>
        <v>AG-027</v>
      </c>
    </row>
    <row r="1061" spans="1:7" x14ac:dyDescent="0.35">
      <c r="A1061" s="10" t="s">
        <v>7210</v>
      </c>
      <c r="B1061" s="12" t="s">
        <v>5051</v>
      </c>
      <c r="C1061" s="11">
        <v>46014</v>
      </c>
      <c r="D1061" s="12">
        <v>5</v>
      </c>
      <c r="E1061" s="12">
        <v>2</v>
      </c>
      <c r="F1061" s="13" t="s">
        <v>75</v>
      </c>
      <c r="G1061" t="str">
        <f>IFERROR(INDEX(Ticket!$B$2:$B$6001,MATCH(B1061,Ticket!$A$2:$A$6001,0)),"Ticket introuvable")</f>
        <v>AG-019</v>
      </c>
    </row>
    <row r="1062" spans="1:7" x14ac:dyDescent="0.35">
      <c r="A1062" s="6" t="s">
        <v>7211</v>
      </c>
      <c r="B1062" s="8" t="s">
        <v>5994</v>
      </c>
      <c r="C1062" s="7">
        <v>45836</v>
      </c>
      <c r="D1062" s="8">
        <v>5</v>
      </c>
      <c r="E1062" s="8">
        <v>10</v>
      </c>
      <c r="F1062" s="9" t="s">
        <v>6160</v>
      </c>
      <c r="G1062" t="str">
        <f>IFERROR(INDEX(Ticket!$B$2:$B$6001,MATCH(B1062,Ticket!$A$2:$A$6001,0)),"Ticket introuvable")</f>
        <v>AG-026</v>
      </c>
    </row>
    <row r="1063" spans="1:7" x14ac:dyDescent="0.35">
      <c r="A1063" s="10" t="s">
        <v>7212</v>
      </c>
      <c r="B1063" s="12" t="s">
        <v>4601</v>
      </c>
      <c r="C1063" s="11">
        <v>45902</v>
      </c>
      <c r="D1063" s="12">
        <v>5</v>
      </c>
      <c r="E1063" s="12">
        <v>8</v>
      </c>
      <c r="F1063" s="13" t="s">
        <v>75</v>
      </c>
      <c r="G1063" t="str">
        <f>IFERROR(INDEX(Ticket!$B$2:$B$6001,MATCH(B1063,Ticket!$A$2:$A$6001,0)),"Ticket introuvable")</f>
        <v>AG-040</v>
      </c>
    </row>
    <row r="1064" spans="1:7" x14ac:dyDescent="0.35">
      <c r="A1064" s="6" t="s">
        <v>7213</v>
      </c>
      <c r="B1064" s="8" t="s">
        <v>1422</v>
      </c>
      <c r="C1064" s="7">
        <v>45683</v>
      </c>
      <c r="D1064" s="8">
        <v>3</v>
      </c>
      <c r="E1064" s="8">
        <v>7</v>
      </c>
      <c r="F1064" s="9" t="s">
        <v>6160</v>
      </c>
      <c r="G1064" t="str">
        <f>IFERROR(INDEX(Ticket!$B$2:$B$6001,MATCH(B1064,Ticket!$A$2:$A$6001,0)),"Ticket introuvable")</f>
        <v>AG-013</v>
      </c>
    </row>
    <row r="1065" spans="1:7" x14ac:dyDescent="0.35">
      <c r="A1065" s="10" t="s">
        <v>7214</v>
      </c>
      <c r="B1065" s="12" t="s">
        <v>1539</v>
      </c>
      <c r="C1065" s="11">
        <v>45736</v>
      </c>
      <c r="D1065" s="12">
        <v>5</v>
      </c>
      <c r="E1065" s="12">
        <v>3</v>
      </c>
      <c r="F1065" s="13" t="s">
        <v>8363</v>
      </c>
      <c r="G1065" t="str">
        <f>IFERROR(INDEX(Ticket!$B$2:$B$6001,MATCH(B1065,Ticket!$A$2:$A$6001,0)),"Ticket introuvable")</f>
        <v>AG-032</v>
      </c>
    </row>
    <row r="1066" spans="1:7" x14ac:dyDescent="0.35">
      <c r="A1066" s="6" t="s">
        <v>7215</v>
      </c>
      <c r="B1066" s="8" t="s">
        <v>2938</v>
      </c>
      <c r="C1066" s="7">
        <v>45701</v>
      </c>
      <c r="D1066" s="8">
        <v>4</v>
      </c>
      <c r="E1066" s="8">
        <v>9</v>
      </c>
      <c r="F1066" s="9" t="s">
        <v>75</v>
      </c>
      <c r="G1066" t="str">
        <f>IFERROR(INDEX(Ticket!$B$2:$B$6001,MATCH(B1066,Ticket!$A$2:$A$6001,0)),"Ticket introuvable")</f>
        <v>AG-020</v>
      </c>
    </row>
    <row r="1067" spans="1:7" x14ac:dyDescent="0.35">
      <c r="A1067" s="10" t="s">
        <v>7216</v>
      </c>
      <c r="B1067" s="12" t="s">
        <v>1145</v>
      </c>
      <c r="C1067" s="11">
        <v>45812</v>
      </c>
      <c r="D1067" s="12">
        <v>5</v>
      </c>
      <c r="E1067" s="12">
        <v>8</v>
      </c>
      <c r="F1067" s="13" t="s">
        <v>6142</v>
      </c>
      <c r="G1067" t="str">
        <f>IFERROR(INDEX(Ticket!$B$2:$B$6001,MATCH(B1067,Ticket!$A$2:$A$6001,0)),"Ticket introuvable")</f>
        <v>AG-003</v>
      </c>
    </row>
    <row r="1068" spans="1:7" x14ac:dyDescent="0.35">
      <c r="A1068" s="6" t="s">
        <v>7217</v>
      </c>
      <c r="B1068" s="8" t="s">
        <v>5435</v>
      </c>
      <c r="C1068" s="7">
        <v>45941</v>
      </c>
      <c r="D1068" s="8">
        <v>4</v>
      </c>
      <c r="E1068" s="8">
        <v>9</v>
      </c>
      <c r="F1068" s="9" t="s">
        <v>6142</v>
      </c>
      <c r="G1068" t="str">
        <f>IFERROR(INDEX(Ticket!$B$2:$B$6001,MATCH(B1068,Ticket!$A$2:$A$6001,0)),"Ticket introuvable")</f>
        <v>AG-008</v>
      </c>
    </row>
    <row r="1069" spans="1:7" x14ac:dyDescent="0.35">
      <c r="A1069" s="10" t="s">
        <v>7218</v>
      </c>
      <c r="B1069" s="12" t="s">
        <v>3823</v>
      </c>
      <c r="C1069" s="11">
        <v>45748</v>
      </c>
      <c r="D1069" s="12">
        <v>1</v>
      </c>
      <c r="E1069" s="12">
        <v>3</v>
      </c>
      <c r="F1069" s="13" t="s">
        <v>6148</v>
      </c>
      <c r="G1069" t="str">
        <f>IFERROR(INDEX(Ticket!$B$2:$B$6001,MATCH(B1069,Ticket!$A$2:$A$6001,0)),"Ticket introuvable")</f>
        <v>AG-014</v>
      </c>
    </row>
    <row r="1070" spans="1:7" x14ac:dyDescent="0.35">
      <c r="A1070" s="6" t="s">
        <v>7219</v>
      </c>
      <c r="B1070" s="8" t="s">
        <v>5633</v>
      </c>
      <c r="C1070" s="7">
        <v>46008</v>
      </c>
      <c r="D1070" s="8">
        <v>4</v>
      </c>
      <c r="E1070" s="8">
        <v>7</v>
      </c>
      <c r="F1070" s="9" t="s">
        <v>75</v>
      </c>
      <c r="G1070" t="str">
        <f>IFERROR(INDEX(Ticket!$B$2:$B$6001,MATCH(B1070,Ticket!$A$2:$A$6001,0)),"Ticket introuvable")</f>
        <v>AG-029</v>
      </c>
    </row>
    <row r="1071" spans="1:7" x14ac:dyDescent="0.35">
      <c r="A1071" s="10" t="s">
        <v>7220</v>
      </c>
      <c r="B1071" s="12" t="s">
        <v>2159</v>
      </c>
      <c r="C1071" s="11">
        <v>45895</v>
      </c>
      <c r="D1071" s="12">
        <v>4</v>
      </c>
      <c r="E1071" s="12"/>
      <c r="F1071" s="13" t="s">
        <v>8363</v>
      </c>
      <c r="G1071" t="str">
        <f>IFERROR(INDEX(Ticket!$B$2:$B$6001,MATCH(B1071,Ticket!$A$2:$A$6001,0)),"Ticket introuvable")</f>
        <v>AG-031</v>
      </c>
    </row>
    <row r="1072" spans="1:7" x14ac:dyDescent="0.35">
      <c r="A1072" s="6" t="s">
        <v>7221</v>
      </c>
      <c r="B1072" s="8" t="s">
        <v>2676</v>
      </c>
      <c r="C1072" s="7">
        <v>45752</v>
      </c>
      <c r="D1072" s="8">
        <v>4</v>
      </c>
      <c r="E1072" s="8">
        <v>8</v>
      </c>
      <c r="F1072" s="9" t="s">
        <v>8363</v>
      </c>
      <c r="G1072" t="str">
        <f>IFERROR(INDEX(Ticket!$B$2:$B$6001,MATCH(B1072,Ticket!$A$2:$A$6001,0)),"Ticket introuvable")</f>
        <v>AG-008</v>
      </c>
    </row>
    <row r="1073" spans="1:7" x14ac:dyDescent="0.35">
      <c r="A1073" s="10" t="s">
        <v>7222</v>
      </c>
      <c r="B1073" s="12" t="s">
        <v>4966</v>
      </c>
      <c r="C1073" s="11">
        <v>45764</v>
      </c>
      <c r="D1073" s="12">
        <v>5</v>
      </c>
      <c r="E1073" s="12">
        <v>9</v>
      </c>
      <c r="F1073" s="13" t="s">
        <v>8363</v>
      </c>
      <c r="G1073" t="str">
        <f>IFERROR(INDEX(Ticket!$B$2:$B$6001,MATCH(B1073,Ticket!$A$2:$A$6001,0)),"Ticket introuvable")</f>
        <v>AG-021</v>
      </c>
    </row>
    <row r="1074" spans="1:7" x14ac:dyDescent="0.35">
      <c r="A1074" s="6" t="s">
        <v>7223</v>
      </c>
      <c r="B1074" s="8" t="s">
        <v>2106</v>
      </c>
      <c r="C1074" s="7">
        <v>45688</v>
      </c>
      <c r="D1074" s="8">
        <v>2</v>
      </c>
      <c r="E1074" s="8">
        <v>10</v>
      </c>
      <c r="F1074" s="9" t="s">
        <v>6153</v>
      </c>
      <c r="G1074" t="str">
        <f>IFERROR(INDEX(Ticket!$B$2:$B$6001,MATCH(B1074,Ticket!$A$2:$A$6001,0)),"Ticket introuvable")</f>
        <v>AG-017</v>
      </c>
    </row>
    <row r="1075" spans="1:7" x14ac:dyDescent="0.35">
      <c r="A1075" s="10" t="s">
        <v>7224</v>
      </c>
      <c r="B1075" s="12" t="s">
        <v>604</v>
      </c>
      <c r="C1075" s="11">
        <v>45896</v>
      </c>
      <c r="D1075" s="12">
        <v>4</v>
      </c>
      <c r="E1075" s="12">
        <v>7</v>
      </c>
      <c r="F1075" s="13" t="s">
        <v>8363</v>
      </c>
      <c r="G1075" t="str">
        <f>IFERROR(INDEX(Ticket!$B$2:$B$6001,MATCH(B1075,Ticket!$A$2:$A$6001,0)),"Ticket introuvable")</f>
        <v>AG-039</v>
      </c>
    </row>
    <row r="1076" spans="1:7" x14ac:dyDescent="0.35">
      <c r="A1076" s="6" t="s">
        <v>7225</v>
      </c>
      <c r="B1076" s="8" t="s">
        <v>4340</v>
      </c>
      <c r="C1076" s="7">
        <v>45671</v>
      </c>
      <c r="D1076" s="8">
        <v>5</v>
      </c>
      <c r="E1076" s="8">
        <v>10</v>
      </c>
      <c r="F1076" s="9" t="s">
        <v>8363</v>
      </c>
      <c r="G1076" t="str">
        <f>IFERROR(INDEX(Ticket!$B$2:$B$6001,MATCH(B1076,Ticket!$A$2:$A$6001,0)),"Ticket introuvable")</f>
        <v>AG-040</v>
      </c>
    </row>
    <row r="1077" spans="1:7" x14ac:dyDescent="0.35">
      <c r="A1077" s="10" t="s">
        <v>7226</v>
      </c>
      <c r="B1077" s="12" t="s">
        <v>3025</v>
      </c>
      <c r="C1077" s="11">
        <v>45955</v>
      </c>
      <c r="D1077" s="12">
        <v>5</v>
      </c>
      <c r="E1077" s="12">
        <v>5</v>
      </c>
      <c r="F1077" s="13" t="s">
        <v>6148</v>
      </c>
      <c r="G1077" t="str">
        <f>IFERROR(INDEX(Ticket!$B$2:$B$6001,MATCH(B1077,Ticket!$A$2:$A$6001,0)),"Ticket introuvable")</f>
        <v>AG-021</v>
      </c>
    </row>
    <row r="1078" spans="1:7" x14ac:dyDescent="0.35">
      <c r="A1078" s="6" t="s">
        <v>7227</v>
      </c>
      <c r="B1078" s="8" t="s">
        <v>6064</v>
      </c>
      <c r="C1078" s="7">
        <v>45793</v>
      </c>
      <c r="D1078" s="8">
        <v>4</v>
      </c>
      <c r="E1078" s="8">
        <v>9</v>
      </c>
      <c r="F1078" s="9" t="s">
        <v>6142</v>
      </c>
      <c r="G1078" t="str">
        <f>IFERROR(INDEX(Ticket!$B$2:$B$6001,MATCH(B1078,Ticket!$A$2:$A$6001,0)),"Ticket introuvable")</f>
        <v>AG-022</v>
      </c>
    </row>
    <row r="1079" spans="1:7" x14ac:dyDescent="0.35">
      <c r="A1079" s="10" t="s">
        <v>7228</v>
      </c>
      <c r="B1079" s="12" t="s">
        <v>4284</v>
      </c>
      <c r="C1079" s="11">
        <v>45881</v>
      </c>
      <c r="D1079" s="12"/>
      <c r="E1079" s="12">
        <v>10</v>
      </c>
      <c r="F1079" s="13" t="s">
        <v>75</v>
      </c>
      <c r="G1079" t="str">
        <f>IFERROR(INDEX(Ticket!$B$2:$B$6001,MATCH(B1079,Ticket!$A$2:$A$6001,0)),"Ticket introuvable")</f>
        <v>AG-012</v>
      </c>
    </row>
    <row r="1080" spans="1:7" x14ac:dyDescent="0.35">
      <c r="A1080" s="6" t="s">
        <v>7229</v>
      </c>
      <c r="B1080" s="8" t="s">
        <v>1611</v>
      </c>
      <c r="C1080" s="7">
        <v>45913</v>
      </c>
      <c r="D1080" s="8">
        <v>5</v>
      </c>
      <c r="E1080" s="8">
        <v>6</v>
      </c>
      <c r="F1080" s="9" t="s">
        <v>75</v>
      </c>
      <c r="G1080" t="str">
        <f>IFERROR(INDEX(Ticket!$B$2:$B$6001,MATCH(B1080,Ticket!$A$2:$A$6001,0)),"Ticket introuvable")</f>
        <v>AG-026</v>
      </c>
    </row>
    <row r="1081" spans="1:7" x14ac:dyDescent="0.35">
      <c r="A1081" s="10" t="s">
        <v>7230</v>
      </c>
      <c r="B1081" s="12" t="s">
        <v>2752</v>
      </c>
      <c r="C1081" s="11">
        <v>45794</v>
      </c>
      <c r="D1081" s="12">
        <v>5</v>
      </c>
      <c r="E1081" s="12">
        <v>7</v>
      </c>
      <c r="F1081" s="13" t="s">
        <v>75</v>
      </c>
      <c r="G1081" t="str">
        <f>IFERROR(INDEX(Ticket!$B$2:$B$6001,MATCH(B1081,Ticket!$A$2:$A$6001,0)),"Ticket introuvable")</f>
        <v>AG-016</v>
      </c>
    </row>
    <row r="1082" spans="1:7" x14ac:dyDescent="0.35">
      <c r="A1082" s="6" t="s">
        <v>7231</v>
      </c>
      <c r="B1082" s="8" t="s">
        <v>1692</v>
      </c>
      <c r="C1082" s="7">
        <v>45890</v>
      </c>
      <c r="D1082" s="8">
        <v>3</v>
      </c>
      <c r="E1082" s="8">
        <v>7</v>
      </c>
      <c r="F1082" s="9" t="s">
        <v>6142</v>
      </c>
      <c r="G1082" t="str">
        <f>IFERROR(INDEX(Ticket!$B$2:$B$6001,MATCH(B1082,Ticket!$A$2:$A$6001,0)),"Ticket introuvable")</f>
        <v>AG-029</v>
      </c>
    </row>
    <row r="1083" spans="1:7" x14ac:dyDescent="0.35">
      <c r="A1083" s="10" t="s">
        <v>7232</v>
      </c>
      <c r="B1083" s="12" t="s">
        <v>4831</v>
      </c>
      <c r="C1083" s="11">
        <v>45868</v>
      </c>
      <c r="D1083" s="12">
        <v>4</v>
      </c>
      <c r="E1083" s="12">
        <v>10</v>
      </c>
      <c r="F1083" s="13" t="s">
        <v>6160</v>
      </c>
      <c r="G1083" t="str">
        <f>IFERROR(INDEX(Ticket!$B$2:$B$6001,MATCH(B1083,Ticket!$A$2:$A$6001,0)),"Ticket introuvable")</f>
        <v>AG-007</v>
      </c>
    </row>
    <row r="1084" spans="1:7" x14ac:dyDescent="0.35">
      <c r="A1084" s="6" t="s">
        <v>7233</v>
      </c>
      <c r="B1084" s="8" t="s">
        <v>4944</v>
      </c>
      <c r="C1084" s="7">
        <v>45702</v>
      </c>
      <c r="D1084" s="8">
        <v>5</v>
      </c>
      <c r="E1084" s="8">
        <v>3</v>
      </c>
      <c r="F1084" s="9" t="s">
        <v>8363</v>
      </c>
      <c r="G1084" t="str">
        <f>IFERROR(INDEX(Ticket!$B$2:$B$6001,MATCH(B1084,Ticket!$A$2:$A$6001,0)),"Ticket introuvable")</f>
        <v>AG-033</v>
      </c>
    </row>
    <row r="1085" spans="1:7" x14ac:dyDescent="0.35">
      <c r="A1085" s="10" t="s">
        <v>7234</v>
      </c>
      <c r="B1085" s="12" t="s">
        <v>2946</v>
      </c>
      <c r="C1085" s="11">
        <v>45674</v>
      </c>
      <c r="D1085" s="12">
        <v>4</v>
      </c>
      <c r="E1085" s="12">
        <v>0</v>
      </c>
      <c r="F1085" s="13" t="s">
        <v>6142</v>
      </c>
      <c r="G1085" t="str">
        <f>IFERROR(INDEX(Ticket!$B$2:$B$6001,MATCH(B1085,Ticket!$A$2:$A$6001,0)),"Ticket introuvable")</f>
        <v>AG-022</v>
      </c>
    </row>
    <row r="1086" spans="1:7" x14ac:dyDescent="0.35">
      <c r="A1086" s="6" t="s">
        <v>7235</v>
      </c>
      <c r="B1086" s="8" t="s">
        <v>3102</v>
      </c>
      <c r="C1086" s="7">
        <v>45667</v>
      </c>
      <c r="D1086" s="8">
        <v>5</v>
      </c>
      <c r="E1086" s="8">
        <v>6</v>
      </c>
      <c r="F1086" s="9" t="s">
        <v>6148</v>
      </c>
      <c r="G1086" t="str">
        <f>IFERROR(INDEX(Ticket!$B$2:$B$6001,MATCH(B1086,Ticket!$A$2:$A$6001,0)),"Ticket introuvable")</f>
        <v>AG-012</v>
      </c>
    </row>
    <row r="1087" spans="1:7" x14ac:dyDescent="0.35">
      <c r="A1087" s="10" t="s">
        <v>7236</v>
      </c>
      <c r="B1087" s="12" t="s">
        <v>4224</v>
      </c>
      <c r="C1087" s="11">
        <v>46002</v>
      </c>
      <c r="D1087" s="12">
        <v>3</v>
      </c>
      <c r="E1087" s="12">
        <v>3</v>
      </c>
      <c r="F1087" s="13" t="s">
        <v>8363</v>
      </c>
      <c r="G1087" t="str">
        <f>IFERROR(INDEX(Ticket!$B$2:$B$6001,MATCH(B1087,Ticket!$A$2:$A$6001,0)),"Ticket introuvable")</f>
        <v>AG-021</v>
      </c>
    </row>
    <row r="1088" spans="1:7" x14ac:dyDescent="0.35">
      <c r="A1088" s="6" t="s">
        <v>7237</v>
      </c>
      <c r="B1088" s="8" t="s">
        <v>1808</v>
      </c>
      <c r="C1088" s="7">
        <v>45887</v>
      </c>
      <c r="D1088" s="8">
        <v>3</v>
      </c>
      <c r="E1088" s="8">
        <v>9</v>
      </c>
      <c r="F1088" s="9" t="s">
        <v>6160</v>
      </c>
      <c r="G1088" t="str">
        <f>IFERROR(INDEX(Ticket!$B$2:$B$6001,MATCH(B1088,Ticket!$A$2:$A$6001,0)),"Ticket introuvable")</f>
        <v>AG-006</v>
      </c>
    </row>
    <row r="1089" spans="1:7" x14ac:dyDescent="0.35">
      <c r="A1089" s="10" t="s">
        <v>7238</v>
      </c>
      <c r="B1089" s="12" t="s">
        <v>2683</v>
      </c>
      <c r="C1089" s="11">
        <v>45823</v>
      </c>
      <c r="D1089" s="12">
        <v>2</v>
      </c>
      <c r="E1089" s="12">
        <v>9</v>
      </c>
      <c r="F1089" s="13" t="s">
        <v>6153</v>
      </c>
      <c r="G1089" t="str">
        <f>IFERROR(INDEX(Ticket!$B$2:$B$6001,MATCH(B1089,Ticket!$A$2:$A$6001,0)),"Ticket introuvable")</f>
        <v>AG-006</v>
      </c>
    </row>
    <row r="1090" spans="1:7" x14ac:dyDescent="0.35">
      <c r="A1090" s="6" t="s">
        <v>7239</v>
      </c>
      <c r="B1090" s="8" t="s">
        <v>589</v>
      </c>
      <c r="C1090" s="7">
        <v>45816</v>
      </c>
      <c r="D1090" s="8"/>
      <c r="E1090" s="8">
        <v>10</v>
      </c>
      <c r="F1090" s="9" t="s">
        <v>75</v>
      </c>
      <c r="G1090" t="str">
        <f>IFERROR(INDEX(Ticket!$B$2:$B$6001,MATCH(B1090,Ticket!$A$2:$A$6001,0)),"Ticket introuvable")</f>
        <v>AG-033</v>
      </c>
    </row>
    <row r="1091" spans="1:7" x14ac:dyDescent="0.35">
      <c r="A1091" s="10" t="s">
        <v>7240</v>
      </c>
      <c r="B1091" s="12" t="s">
        <v>4670</v>
      </c>
      <c r="C1091" s="11">
        <v>45762</v>
      </c>
      <c r="D1091" s="12"/>
      <c r="E1091" s="12">
        <v>9</v>
      </c>
      <c r="F1091" s="13" t="s">
        <v>75</v>
      </c>
      <c r="G1091" t="str">
        <f>IFERROR(INDEX(Ticket!$B$2:$B$6001,MATCH(B1091,Ticket!$A$2:$A$6001,0)),"Ticket introuvable")</f>
        <v>AG-010</v>
      </c>
    </row>
    <row r="1092" spans="1:7" x14ac:dyDescent="0.35">
      <c r="A1092" s="6" t="s">
        <v>7241</v>
      </c>
      <c r="B1092" s="8" t="s">
        <v>3976</v>
      </c>
      <c r="C1092" s="7">
        <v>45789</v>
      </c>
      <c r="D1092" s="8">
        <v>4</v>
      </c>
      <c r="E1092" s="8">
        <v>6</v>
      </c>
      <c r="F1092" s="9" t="s">
        <v>6153</v>
      </c>
      <c r="G1092" t="str">
        <f>IFERROR(INDEX(Ticket!$B$2:$B$6001,MATCH(B1092,Ticket!$A$2:$A$6001,0)),"Ticket introuvable")</f>
        <v>AG-017</v>
      </c>
    </row>
    <row r="1093" spans="1:7" x14ac:dyDescent="0.35">
      <c r="A1093" s="10" t="s">
        <v>7242</v>
      </c>
      <c r="B1093" s="12" t="s">
        <v>1867</v>
      </c>
      <c r="C1093" s="11">
        <v>45667</v>
      </c>
      <c r="D1093" s="12">
        <v>1</v>
      </c>
      <c r="E1093" s="12"/>
      <c r="F1093" s="13" t="s">
        <v>75</v>
      </c>
      <c r="G1093" t="str">
        <f>IFERROR(INDEX(Ticket!$B$2:$B$6001,MATCH(B1093,Ticket!$A$2:$A$6001,0)),"Ticket introuvable")</f>
        <v>AG-038</v>
      </c>
    </row>
    <row r="1094" spans="1:7" x14ac:dyDescent="0.35">
      <c r="A1094" s="6" t="s">
        <v>7243</v>
      </c>
      <c r="B1094" s="8" t="s">
        <v>3010</v>
      </c>
      <c r="C1094" s="7">
        <v>45978</v>
      </c>
      <c r="D1094" s="8">
        <v>3</v>
      </c>
      <c r="E1094" s="8">
        <v>7</v>
      </c>
      <c r="F1094" s="9" t="s">
        <v>8363</v>
      </c>
      <c r="G1094" t="str">
        <f>IFERROR(INDEX(Ticket!$B$2:$B$6001,MATCH(B1094,Ticket!$A$2:$A$6001,0)),"Ticket introuvable")</f>
        <v>AG-036</v>
      </c>
    </row>
    <row r="1095" spans="1:7" x14ac:dyDescent="0.35">
      <c r="A1095" s="10" t="s">
        <v>7244</v>
      </c>
      <c r="B1095" s="12" t="s">
        <v>2616</v>
      </c>
      <c r="C1095" s="11">
        <v>45843</v>
      </c>
      <c r="D1095" s="12">
        <v>4</v>
      </c>
      <c r="E1095" s="12">
        <v>7</v>
      </c>
      <c r="F1095" s="13" t="s">
        <v>6160</v>
      </c>
      <c r="G1095" t="str">
        <f>IFERROR(INDEX(Ticket!$B$2:$B$6001,MATCH(B1095,Ticket!$A$2:$A$6001,0)),"Ticket introuvable")</f>
        <v>AG-014</v>
      </c>
    </row>
    <row r="1096" spans="1:7" x14ac:dyDescent="0.35">
      <c r="A1096" s="6" t="s">
        <v>7245</v>
      </c>
      <c r="B1096" s="8" t="s">
        <v>5739</v>
      </c>
      <c r="C1096" s="7">
        <v>45906</v>
      </c>
      <c r="D1096" s="8">
        <v>4</v>
      </c>
      <c r="E1096" s="8">
        <v>8</v>
      </c>
      <c r="F1096" s="9" t="s">
        <v>6148</v>
      </c>
      <c r="G1096" t="str">
        <f>IFERROR(INDEX(Ticket!$B$2:$B$6001,MATCH(B1096,Ticket!$A$2:$A$6001,0)),"Ticket introuvable")</f>
        <v>AG-003</v>
      </c>
    </row>
    <row r="1097" spans="1:7" x14ac:dyDescent="0.35">
      <c r="A1097" s="10" t="s">
        <v>7246</v>
      </c>
      <c r="B1097" s="12" t="s">
        <v>142</v>
      </c>
      <c r="C1097" s="11">
        <v>45954</v>
      </c>
      <c r="D1097" s="12">
        <v>5</v>
      </c>
      <c r="E1097" s="12">
        <v>0</v>
      </c>
      <c r="F1097" s="13" t="s">
        <v>6142</v>
      </c>
      <c r="G1097" t="str">
        <f>IFERROR(INDEX(Ticket!$B$2:$B$6001,MATCH(B1097,Ticket!$A$2:$A$6001,0)),"Ticket introuvable")</f>
        <v>AG-023</v>
      </c>
    </row>
    <row r="1098" spans="1:7" x14ac:dyDescent="0.35">
      <c r="A1098" s="6" t="s">
        <v>7247</v>
      </c>
      <c r="B1098" s="8" t="s">
        <v>5125</v>
      </c>
      <c r="C1098" s="7">
        <v>45960</v>
      </c>
      <c r="D1098" s="8">
        <v>5</v>
      </c>
      <c r="E1098" s="8">
        <v>6</v>
      </c>
      <c r="F1098" s="9" t="s">
        <v>6142</v>
      </c>
      <c r="G1098" t="str">
        <f>IFERROR(INDEX(Ticket!$B$2:$B$6001,MATCH(B1098,Ticket!$A$2:$A$6001,0)),"Ticket introuvable")</f>
        <v>AG-025</v>
      </c>
    </row>
    <row r="1099" spans="1:7" x14ac:dyDescent="0.35">
      <c r="A1099" s="10" t="s">
        <v>7248</v>
      </c>
      <c r="B1099" s="12" t="s">
        <v>5448</v>
      </c>
      <c r="C1099" s="11">
        <v>45993</v>
      </c>
      <c r="D1099" s="12">
        <v>2</v>
      </c>
      <c r="E1099" s="12">
        <v>10</v>
      </c>
      <c r="F1099" s="13" t="s">
        <v>6148</v>
      </c>
      <c r="G1099" t="str">
        <f>IFERROR(INDEX(Ticket!$B$2:$B$6001,MATCH(B1099,Ticket!$A$2:$A$6001,0)),"Ticket introuvable")</f>
        <v>AG-013</v>
      </c>
    </row>
    <row r="1100" spans="1:7" x14ac:dyDescent="0.35">
      <c r="A1100" s="6" t="s">
        <v>7249</v>
      </c>
      <c r="B1100" s="8" t="s">
        <v>3580</v>
      </c>
      <c r="C1100" s="7">
        <v>45849</v>
      </c>
      <c r="D1100" s="8">
        <v>5</v>
      </c>
      <c r="E1100" s="8">
        <v>10</v>
      </c>
      <c r="F1100" s="9" t="s">
        <v>8363</v>
      </c>
      <c r="G1100" t="str">
        <f>IFERROR(INDEX(Ticket!$B$2:$B$6001,MATCH(B1100,Ticket!$A$2:$A$6001,0)),"Ticket introuvable")</f>
        <v>AG-016</v>
      </c>
    </row>
    <row r="1101" spans="1:7" x14ac:dyDescent="0.35">
      <c r="A1101" s="10" t="s">
        <v>7250</v>
      </c>
      <c r="B1101" s="12" t="s">
        <v>4828</v>
      </c>
      <c r="C1101" s="11">
        <v>45753</v>
      </c>
      <c r="D1101" s="12">
        <v>4</v>
      </c>
      <c r="E1101" s="12">
        <v>10</v>
      </c>
      <c r="F1101" s="13" t="s">
        <v>6148</v>
      </c>
      <c r="G1101" t="str">
        <f>IFERROR(INDEX(Ticket!$B$2:$B$6001,MATCH(B1101,Ticket!$A$2:$A$6001,0)),"Ticket introuvable")</f>
        <v>AG-029</v>
      </c>
    </row>
    <row r="1102" spans="1:7" x14ac:dyDescent="0.35">
      <c r="A1102" s="6" t="s">
        <v>7251</v>
      </c>
      <c r="B1102" s="8" t="s">
        <v>3901</v>
      </c>
      <c r="C1102" s="7">
        <v>45836</v>
      </c>
      <c r="D1102" s="8">
        <v>4</v>
      </c>
      <c r="E1102" s="8">
        <v>5</v>
      </c>
      <c r="F1102" s="9" t="s">
        <v>6148</v>
      </c>
      <c r="G1102" t="str">
        <f>IFERROR(INDEX(Ticket!$B$2:$B$6001,MATCH(B1102,Ticket!$A$2:$A$6001,0)),"Ticket introuvable")</f>
        <v>AG-029</v>
      </c>
    </row>
    <row r="1103" spans="1:7" x14ac:dyDescent="0.35">
      <c r="A1103" s="10" t="s">
        <v>7252</v>
      </c>
      <c r="B1103" s="12" t="s">
        <v>2772</v>
      </c>
      <c r="C1103" s="11">
        <v>45759</v>
      </c>
      <c r="D1103" s="12">
        <v>5</v>
      </c>
      <c r="E1103" s="12">
        <v>7</v>
      </c>
      <c r="F1103" s="13" t="s">
        <v>8363</v>
      </c>
      <c r="G1103" t="str">
        <f>IFERROR(INDEX(Ticket!$B$2:$B$6001,MATCH(B1103,Ticket!$A$2:$A$6001,0)),"Ticket introuvable")</f>
        <v>AG-036</v>
      </c>
    </row>
    <row r="1104" spans="1:7" x14ac:dyDescent="0.35">
      <c r="A1104" s="6" t="s">
        <v>7253</v>
      </c>
      <c r="B1104" s="8" t="s">
        <v>3795</v>
      </c>
      <c r="C1104" s="7">
        <v>45759</v>
      </c>
      <c r="D1104" s="8">
        <v>5</v>
      </c>
      <c r="E1104" s="8">
        <v>9</v>
      </c>
      <c r="F1104" s="9" t="s">
        <v>6148</v>
      </c>
      <c r="G1104" t="str">
        <f>IFERROR(INDEX(Ticket!$B$2:$B$6001,MATCH(B1104,Ticket!$A$2:$A$6001,0)),"Ticket introuvable")</f>
        <v>AG-018</v>
      </c>
    </row>
    <row r="1105" spans="1:7" x14ac:dyDescent="0.35">
      <c r="A1105" s="10" t="s">
        <v>7254</v>
      </c>
      <c r="B1105" s="12" t="s">
        <v>3593</v>
      </c>
      <c r="C1105" s="11">
        <v>45674</v>
      </c>
      <c r="D1105" s="12">
        <v>5</v>
      </c>
      <c r="E1105" s="12">
        <v>10</v>
      </c>
      <c r="F1105" s="13" t="s">
        <v>6160</v>
      </c>
      <c r="G1105" t="str">
        <f>IFERROR(INDEX(Ticket!$B$2:$B$6001,MATCH(B1105,Ticket!$A$2:$A$6001,0)),"Ticket introuvable")</f>
        <v>AG-026</v>
      </c>
    </row>
    <row r="1106" spans="1:7" x14ac:dyDescent="0.35">
      <c r="A1106" s="6" t="s">
        <v>7255</v>
      </c>
      <c r="B1106" s="8" t="s">
        <v>3215</v>
      </c>
      <c r="C1106" s="7">
        <v>46008</v>
      </c>
      <c r="D1106" s="8">
        <v>4</v>
      </c>
      <c r="E1106" s="8">
        <v>9</v>
      </c>
      <c r="F1106" s="9" t="s">
        <v>8363</v>
      </c>
      <c r="G1106" t="str">
        <f>IFERROR(INDEX(Ticket!$B$2:$B$6001,MATCH(B1106,Ticket!$A$2:$A$6001,0)),"Ticket introuvable")</f>
        <v>AG-040</v>
      </c>
    </row>
    <row r="1107" spans="1:7" x14ac:dyDescent="0.35">
      <c r="A1107" s="10" t="s">
        <v>7256</v>
      </c>
      <c r="B1107" s="12" t="s">
        <v>2050</v>
      </c>
      <c r="C1107" s="11">
        <v>45898</v>
      </c>
      <c r="D1107" s="12">
        <v>3</v>
      </c>
      <c r="E1107" s="12"/>
      <c r="F1107" s="13" t="s">
        <v>6148</v>
      </c>
      <c r="G1107" t="str">
        <f>IFERROR(INDEX(Ticket!$B$2:$B$6001,MATCH(B1107,Ticket!$A$2:$A$6001,0)),"Ticket introuvable")</f>
        <v>AG-037</v>
      </c>
    </row>
    <row r="1108" spans="1:7" x14ac:dyDescent="0.35">
      <c r="A1108" s="6" t="s">
        <v>7257</v>
      </c>
      <c r="B1108" s="8" t="s">
        <v>2502</v>
      </c>
      <c r="C1108" s="7">
        <v>46023</v>
      </c>
      <c r="D1108" s="8">
        <v>5</v>
      </c>
      <c r="E1108" s="8">
        <v>6</v>
      </c>
      <c r="F1108" s="9" t="s">
        <v>75</v>
      </c>
      <c r="G1108" t="str">
        <f>IFERROR(INDEX(Ticket!$B$2:$B$6001,MATCH(B1108,Ticket!$A$2:$A$6001,0)),"Ticket introuvable")</f>
        <v>AG-039</v>
      </c>
    </row>
    <row r="1109" spans="1:7" x14ac:dyDescent="0.35">
      <c r="A1109" s="10" t="s">
        <v>7258</v>
      </c>
      <c r="B1109" s="12" t="s">
        <v>2350</v>
      </c>
      <c r="C1109" s="11">
        <v>45763</v>
      </c>
      <c r="D1109" s="12">
        <v>5</v>
      </c>
      <c r="E1109" s="12">
        <v>3</v>
      </c>
      <c r="F1109" s="13" t="s">
        <v>75</v>
      </c>
      <c r="G1109" t="str">
        <f>IFERROR(INDEX(Ticket!$B$2:$B$6001,MATCH(B1109,Ticket!$A$2:$A$6001,0)),"Ticket introuvable")</f>
        <v>AG-021</v>
      </c>
    </row>
    <row r="1110" spans="1:7" x14ac:dyDescent="0.35">
      <c r="A1110" s="6" t="s">
        <v>7259</v>
      </c>
      <c r="B1110" s="8" t="s">
        <v>3066</v>
      </c>
      <c r="C1110" s="7">
        <v>45789</v>
      </c>
      <c r="D1110" s="8">
        <v>4</v>
      </c>
      <c r="E1110" s="8">
        <v>3</v>
      </c>
      <c r="F1110" s="9" t="s">
        <v>6153</v>
      </c>
      <c r="G1110" t="str">
        <f>IFERROR(INDEX(Ticket!$B$2:$B$6001,MATCH(B1110,Ticket!$A$2:$A$6001,0)),"Ticket introuvable")</f>
        <v>AG-017</v>
      </c>
    </row>
    <row r="1111" spans="1:7" x14ac:dyDescent="0.35">
      <c r="A1111" s="10" t="s">
        <v>7260</v>
      </c>
      <c r="B1111" s="12" t="s">
        <v>4674</v>
      </c>
      <c r="C1111" s="11">
        <v>45911</v>
      </c>
      <c r="D1111" s="12">
        <v>3</v>
      </c>
      <c r="E1111" s="12">
        <v>3</v>
      </c>
      <c r="F1111" s="13" t="s">
        <v>6153</v>
      </c>
      <c r="G1111" t="str">
        <f>IFERROR(INDEX(Ticket!$B$2:$B$6001,MATCH(B1111,Ticket!$A$2:$A$6001,0)),"Ticket introuvable")</f>
        <v>AG-032</v>
      </c>
    </row>
    <row r="1112" spans="1:7" x14ac:dyDescent="0.35">
      <c r="A1112" s="6" t="s">
        <v>7261</v>
      </c>
      <c r="B1112" s="8" t="s">
        <v>3196</v>
      </c>
      <c r="C1112" s="7">
        <v>45783</v>
      </c>
      <c r="D1112" s="8">
        <v>5</v>
      </c>
      <c r="E1112" s="8">
        <v>9</v>
      </c>
      <c r="F1112" s="9" t="s">
        <v>8363</v>
      </c>
      <c r="G1112" t="str">
        <f>IFERROR(INDEX(Ticket!$B$2:$B$6001,MATCH(B1112,Ticket!$A$2:$A$6001,0)),"Ticket introuvable")</f>
        <v>AG-023</v>
      </c>
    </row>
    <row r="1113" spans="1:7" x14ac:dyDescent="0.35">
      <c r="A1113" s="10" t="s">
        <v>7262</v>
      </c>
      <c r="B1113" s="12" t="s">
        <v>2194</v>
      </c>
      <c r="C1113" s="11">
        <v>45869</v>
      </c>
      <c r="D1113" s="12">
        <v>5</v>
      </c>
      <c r="E1113" s="12">
        <v>10</v>
      </c>
      <c r="F1113" s="13" t="s">
        <v>6148</v>
      </c>
      <c r="G1113" t="str">
        <f>IFERROR(INDEX(Ticket!$B$2:$B$6001,MATCH(B1113,Ticket!$A$2:$A$6001,0)),"Ticket introuvable")</f>
        <v>AG-025</v>
      </c>
    </row>
    <row r="1114" spans="1:7" x14ac:dyDescent="0.35">
      <c r="A1114" s="6" t="s">
        <v>7263</v>
      </c>
      <c r="B1114" s="8" t="s">
        <v>1738</v>
      </c>
      <c r="C1114" s="7">
        <v>45698</v>
      </c>
      <c r="D1114" s="8">
        <v>5</v>
      </c>
      <c r="E1114" s="8">
        <v>9</v>
      </c>
      <c r="F1114" s="9" t="s">
        <v>8363</v>
      </c>
      <c r="G1114" t="str">
        <f>IFERROR(INDEX(Ticket!$B$2:$B$6001,MATCH(B1114,Ticket!$A$2:$A$6001,0)),"Ticket introuvable")</f>
        <v>AG-020</v>
      </c>
    </row>
    <row r="1115" spans="1:7" x14ac:dyDescent="0.35">
      <c r="A1115" s="10" t="s">
        <v>7264</v>
      </c>
      <c r="B1115" s="12" t="s">
        <v>4964</v>
      </c>
      <c r="C1115" s="11">
        <v>46004</v>
      </c>
      <c r="D1115" s="12">
        <v>5</v>
      </c>
      <c r="E1115" s="12">
        <v>9</v>
      </c>
      <c r="F1115" s="13" t="s">
        <v>8363</v>
      </c>
      <c r="G1115" t="str">
        <f>IFERROR(INDEX(Ticket!$B$2:$B$6001,MATCH(B1115,Ticket!$A$2:$A$6001,0)),"Ticket introuvable")</f>
        <v>AG-029</v>
      </c>
    </row>
    <row r="1116" spans="1:7" x14ac:dyDescent="0.35">
      <c r="A1116" s="6" t="s">
        <v>7265</v>
      </c>
      <c r="B1116" s="8" t="s">
        <v>5285</v>
      </c>
      <c r="C1116" s="7">
        <v>45778</v>
      </c>
      <c r="D1116" s="8">
        <v>5</v>
      </c>
      <c r="E1116" s="8">
        <v>5</v>
      </c>
      <c r="F1116" s="9" t="s">
        <v>6142</v>
      </c>
      <c r="G1116" t="str">
        <f>IFERROR(INDEX(Ticket!$B$2:$B$6001,MATCH(B1116,Ticket!$A$2:$A$6001,0)),"Ticket introuvable")</f>
        <v>AG-023</v>
      </c>
    </row>
    <row r="1117" spans="1:7" x14ac:dyDescent="0.35">
      <c r="A1117" s="10" t="s">
        <v>7266</v>
      </c>
      <c r="B1117" s="12" t="s">
        <v>2707</v>
      </c>
      <c r="C1117" s="11">
        <v>45729</v>
      </c>
      <c r="D1117" s="12">
        <v>5</v>
      </c>
      <c r="E1117" s="12">
        <v>9</v>
      </c>
      <c r="F1117" s="13" t="s">
        <v>6142</v>
      </c>
      <c r="G1117" t="str">
        <f>IFERROR(INDEX(Ticket!$B$2:$B$6001,MATCH(B1117,Ticket!$A$2:$A$6001,0)),"Ticket introuvable")</f>
        <v>AG-019</v>
      </c>
    </row>
    <row r="1118" spans="1:7" x14ac:dyDescent="0.35">
      <c r="A1118" s="6" t="s">
        <v>7267</v>
      </c>
      <c r="B1118" s="8" t="s">
        <v>915</v>
      </c>
      <c r="C1118" s="7">
        <v>45933</v>
      </c>
      <c r="D1118" s="8">
        <v>3</v>
      </c>
      <c r="E1118" s="8">
        <v>9</v>
      </c>
      <c r="F1118" s="9" t="s">
        <v>6148</v>
      </c>
      <c r="G1118" t="str">
        <f>IFERROR(INDEX(Ticket!$B$2:$B$6001,MATCH(B1118,Ticket!$A$2:$A$6001,0)),"Ticket introuvable")</f>
        <v>AG-025</v>
      </c>
    </row>
    <row r="1119" spans="1:7" x14ac:dyDescent="0.35">
      <c r="A1119" s="10" t="s">
        <v>7268</v>
      </c>
      <c r="B1119" s="12" t="s">
        <v>5610</v>
      </c>
      <c r="C1119" s="11">
        <v>45730</v>
      </c>
      <c r="D1119" s="12">
        <v>4</v>
      </c>
      <c r="E1119" s="12">
        <v>7</v>
      </c>
      <c r="F1119" s="13" t="s">
        <v>8363</v>
      </c>
      <c r="G1119" t="str">
        <f>IFERROR(INDEX(Ticket!$B$2:$B$6001,MATCH(B1119,Ticket!$A$2:$A$6001,0)),"Ticket introuvable")</f>
        <v>AG-015</v>
      </c>
    </row>
    <row r="1120" spans="1:7" x14ac:dyDescent="0.35">
      <c r="A1120" s="6" t="s">
        <v>7269</v>
      </c>
      <c r="B1120" s="8" t="s">
        <v>1346</v>
      </c>
      <c r="C1120" s="7">
        <v>45821</v>
      </c>
      <c r="D1120" s="8"/>
      <c r="E1120" s="8">
        <v>6</v>
      </c>
      <c r="F1120" s="9" t="s">
        <v>8363</v>
      </c>
      <c r="G1120" t="str">
        <f>IFERROR(INDEX(Ticket!$B$2:$B$6001,MATCH(B1120,Ticket!$A$2:$A$6001,0)),"Ticket introuvable")</f>
        <v>AG-026</v>
      </c>
    </row>
    <row r="1121" spans="1:7" x14ac:dyDescent="0.35">
      <c r="A1121" s="10" t="s">
        <v>7270</v>
      </c>
      <c r="B1121" s="12" t="s">
        <v>5165</v>
      </c>
      <c r="C1121" s="11">
        <v>45852</v>
      </c>
      <c r="D1121" s="12">
        <v>4</v>
      </c>
      <c r="E1121" s="12">
        <v>5</v>
      </c>
      <c r="F1121" s="13" t="s">
        <v>6153</v>
      </c>
      <c r="G1121" t="str">
        <f>IFERROR(INDEX(Ticket!$B$2:$B$6001,MATCH(B1121,Ticket!$A$2:$A$6001,0)),"Ticket introuvable")</f>
        <v>AG-039</v>
      </c>
    </row>
    <row r="1122" spans="1:7" x14ac:dyDescent="0.35">
      <c r="A1122" s="6" t="s">
        <v>7271</v>
      </c>
      <c r="B1122" s="8" t="s">
        <v>4758</v>
      </c>
      <c r="C1122" s="7">
        <v>45716</v>
      </c>
      <c r="D1122" s="8">
        <v>3</v>
      </c>
      <c r="E1122" s="8">
        <v>3</v>
      </c>
      <c r="F1122" s="9" t="s">
        <v>6148</v>
      </c>
      <c r="G1122" t="str">
        <f>IFERROR(INDEX(Ticket!$B$2:$B$6001,MATCH(B1122,Ticket!$A$2:$A$6001,0)),"Ticket introuvable")</f>
        <v>AG-008</v>
      </c>
    </row>
    <row r="1123" spans="1:7" x14ac:dyDescent="0.35">
      <c r="A1123" s="10" t="s">
        <v>7272</v>
      </c>
      <c r="B1123" s="12" t="s">
        <v>5440</v>
      </c>
      <c r="C1123" s="11">
        <v>45658</v>
      </c>
      <c r="D1123" s="12">
        <v>5</v>
      </c>
      <c r="E1123" s="12">
        <v>10</v>
      </c>
      <c r="F1123" s="13" t="s">
        <v>8363</v>
      </c>
      <c r="G1123" t="str">
        <f>IFERROR(INDEX(Ticket!$B$2:$B$6001,MATCH(B1123,Ticket!$A$2:$A$6001,0)),"Ticket introuvable")</f>
        <v>AG-035</v>
      </c>
    </row>
    <row r="1124" spans="1:7" x14ac:dyDescent="0.35">
      <c r="A1124" s="6" t="s">
        <v>7273</v>
      </c>
      <c r="B1124" s="8" t="s">
        <v>3736</v>
      </c>
      <c r="C1124" s="7">
        <v>45818</v>
      </c>
      <c r="D1124" s="8"/>
      <c r="E1124" s="8">
        <v>9</v>
      </c>
      <c r="F1124" s="9" t="s">
        <v>75</v>
      </c>
      <c r="G1124" t="str">
        <f>IFERROR(INDEX(Ticket!$B$2:$B$6001,MATCH(B1124,Ticket!$A$2:$A$6001,0)),"Ticket introuvable")</f>
        <v>AG-003</v>
      </c>
    </row>
    <row r="1125" spans="1:7" x14ac:dyDescent="0.35">
      <c r="A1125" s="10" t="s">
        <v>7274</v>
      </c>
      <c r="B1125" s="12" t="s">
        <v>4165</v>
      </c>
      <c r="C1125" s="11">
        <v>45866</v>
      </c>
      <c r="D1125" s="12">
        <v>3</v>
      </c>
      <c r="E1125" s="12">
        <v>7</v>
      </c>
      <c r="F1125" s="13" t="s">
        <v>8363</v>
      </c>
      <c r="G1125" t="str">
        <f>IFERROR(INDEX(Ticket!$B$2:$B$6001,MATCH(B1125,Ticket!$A$2:$A$6001,0)),"Ticket introuvable")</f>
        <v>AG-023</v>
      </c>
    </row>
    <row r="1126" spans="1:7" x14ac:dyDescent="0.35">
      <c r="A1126" s="6" t="s">
        <v>7275</v>
      </c>
      <c r="B1126" s="8" t="s">
        <v>2911</v>
      </c>
      <c r="C1126" s="7">
        <v>45779</v>
      </c>
      <c r="D1126" s="8">
        <v>5</v>
      </c>
      <c r="E1126" s="8">
        <v>5</v>
      </c>
      <c r="F1126" s="9" t="s">
        <v>8363</v>
      </c>
      <c r="G1126" t="str">
        <f>IFERROR(INDEX(Ticket!$B$2:$B$6001,MATCH(B1126,Ticket!$A$2:$A$6001,0)),"Ticket introuvable")</f>
        <v>AG-035</v>
      </c>
    </row>
    <row r="1127" spans="1:7" x14ac:dyDescent="0.35">
      <c r="A1127" s="10" t="s">
        <v>7276</v>
      </c>
      <c r="B1127" s="12" t="s">
        <v>495</v>
      </c>
      <c r="C1127" s="11">
        <v>45825</v>
      </c>
      <c r="D1127" s="12">
        <v>1</v>
      </c>
      <c r="E1127" s="12">
        <v>8</v>
      </c>
      <c r="F1127" s="13" t="s">
        <v>75</v>
      </c>
      <c r="G1127" t="str">
        <f>IFERROR(INDEX(Ticket!$B$2:$B$6001,MATCH(B1127,Ticket!$A$2:$A$6001,0)),"Ticket introuvable")</f>
        <v>AG-025</v>
      </c>
    </row>
    <row r="1128" spans="1:7" x14ac:dyDescent="0.35">
      <c r="A1128" s="6" t="s">
        <v>7277</v>
      </c>
      <c r="B1128" s="8" t="s">
        <v>5517</v>
      </c>
      <c r="C1128" s="7">
        <v>45790</v>
      </c>
      <c r="D1128" s="8">
        <v>5</v>
      </c>
      <c r="E1128" s="8">
        <v>6</v>
      </c>
      <c r="F1128" s="9" t="s">
        <v>8363</v>
      </c>
      <c r="G1128" t="str">
        <f>IFERROR(INDEX(Ticket!$B$2:$B$6001,MATCH(B1128,Ticket!$A$2:$A$6001,0)),"Ticket introuvable")</f>
        <v>AG-010</v>
      </c>
    </row>
    <row r="1129" spans="1:7" x14ac:dyDescent="0.35">
      <c r="A1129" s="10" t="s">
        <v>7278</v>
      </c>
      <c r="B1129" s="12" t="s">
        <v>3320</v>
      </c>
      <c r="C1129" s="11">
        <v>45945</v>
      </c>
      <c r="D1129" s="12"/>
      <c r="E1129" s="12">
        <v>7</v>
      </c>
      <c r="F1129" s="13" t="s">
        <v>8363</v>
      </c>
      <c r="G1129" t="str">
        <f>IFERROR(INDEX(Ticket!$B$2:$B$6001,MATCH(B1129,Ticket!$A$2:$A$6001,0)),"Ticket introuvable")</f>
        <v>AG-026</v>
      </c>
    </row>
    <row r="1130" spans="1:7" x14ac:dyDescent="0.35">
      <c r="A1130" s="6" t="s">
        <v>7279</v>
      </c>
      <c r="B1130" s="8" t="s">
        <v>248</v>
      </c>
      <c r="C1130" s="7">
        <v>45966</v>
      </c>
      <c r="D1130" s="8">
        <v>5</v>
      </c>
      <c r="E1130" s="8">
        <v>5</v>
      </c>
      <c r="F1130" s="9" t="s">
        <v>6153</v>
      </c>
      <c r="G1130" t="str">
        <f>IFERROR(INDEX(Ticket!$B$2:$B$6001,MATCH(B1130,Ticket!$A$2:$A$6001,0)),"Ticket introuvable")</f>
        <v>AG-019</v>
      </c>
    </row>
    <row r="1131" spans="1:7" x14ac:dyDescent="0.35">
      <c r="A1131" s="10" t="s">
        <v>7280</v>
      </c>
      <c r="B1131" s="12" t="s">
        <v>656</v>
      </c>
      <c r="C1131" s="11">
        <v>45872</v>
      </c>
      <c r="D1131" s="12">
        <v>5</v>
      </c>
      <c r="E1131" s="12">
        <v>9</v>
      </c>
      <c r="F1131" s="13" t="s">
        <v>8363</v>
      </c>
      <c r="G1131" t="str">
        <f>IFERROR(INDEX(Ticket!$B$2:$B$6001,MATCH(B1131,Ticket!$A$2:$A$6001,0)),"Ticket introuvable")</f>
        <v>AG-026</v>
      </c>
    </row>
    <row r="1132" spans="1:7" x14ac:dyDescent="0.35">
      <c r="A1132" s="6" t="s">
        <v>7281</v>
      </c>
      <c r="B1132" s="8" t="s">
        <v>619</v>
      </c>
      <c r="C1132" s="7">
        <v>45659</v>
      </c>
      <c r="D1132" s="8">
        <v>1</v>
      </c>
      <c r="E1132" s="8">
        <v>9</v>
      </c>
      <c r="F1132" s="9" t="s">
        <v>8363</v>
      </c>
      <c r="G1132" t="str">
        <f>IFERROR(INDEX(Ticket!$B$2:$B$6001,MATCH(B1132,Ticket!$A$2:$A$6001,0)),"Ticket introuvable")</f>
        <v>AG-034</v>
      </c>
    </row>
    <row r="1133" spans="1:7" x14ac:dyDescent="0.35">
      <c r="A1133" s="10" t="s">
        <v>7282</v>
      </c>
      <c r="B1133" s="12" t="s">
        <v>1452</v>
      </c>
      <c r="C1133" s="11">
        <v>45863</v>
      </c>
      <c r="D1133" s="12">
        <v>4</v>
      </c>
      <c r="E1133" s="12">
        <v>6</v>
      </c>
      <c r="F1133" s="13" t="s">
        <v>8363</v>
      </c>
      <c r="G1133" t="str">
        <f>IFERROR(INDEX(Ticket!$B$2:$B$6001,MATCH(B1133,Ticket!$A$2:$A$6001,0)),"Ticket introuvable")</f>
        <v>AG-003</v>
      </c>
    </row>
    <row r="1134" spans="1:7" x14ac:dyDescent="0.35">
      <c r="A1134" s="6" t="s">
        <v>7283</v>
      </c>
      <c r="B1134" s="8" t="s">
        <v>420</v>
      </c>
      <c r="C1134" s="7">
        <v>45819</v>
      </c>
      <c r="D1134" s="8">
        <v>5</v>
      </c>
      <c r="E1134" s="8">
        <v>8</v>
      </c>
      <c r="F1134" s="9" t="s">
        <v>8363</v>
      </c>
      <c r="G1134" t="str">
        <f>IFERROR(INDEX(Ticket!$B$2:$B$6001,MATCH(B1134,Ticket!$A$2:$A$6001,0)),"Ticket introuvable")</f>
        <v>AG-010</v>
      </c>
    </row>
    <row r="1135" spans="1:7" x14ac:dyDescent="0.35">
      <c r="A1135" s="10" t="s">
        <v>7284</v>
      </c>
      <c r="B1135" s="12" t="s">
        <v>1035</v>
      </c>
      <c r="C1135" s="11">
        <v>45979</v>
      </c>
      <c r="D1135" s="12">
        <v>2</v>
      </c>
      <c r="E1135" s="12"/>
      <c r="F1135" s="13" t="s">
        <v>8363</v>
      </c>
      <c r="G1135" t="str">
        <f>IFERROR(INDEX(Ticket!$B$2:$B$6001,MATCH(B1135,Ticket!$A$2:$A$6001,0)),"Ticket introuvable")</f>
        <v>AG-017</v>
      </c>
    </row>
    <row r="1136" spans="1:7" x14ac:dyDescent="0.35">
      <c r="A1136" s="6" t="s">
        <v>7285</v>
      </c>
      <c r="B1136" s="8" t="s">
        <v>5184</v>
      </c>
      <c r="C1136" s="7">
        <v>45761</v>
      </c>
      <c r="D1136" s="8">
        <v>4</v>
      </c>
      <c r="E1136" s="8">
        <v>8</v>
      </c>
      <c r="F1136" s="9" t="s">
        <v>6148</v>
      </c>
      <c r="G1136" t="str">
        <f>IFERROR(INDEX(Ticket!$B$2:$B$6001,MATCH(B1136,Ticket!$A$2:$A$6001,0)),"Ticket introuvable")</f>
        <v>AG-037</v>
      </c>
    </row>
    <row r="1137" spans="1:7" x14ac:dyDescent="0.35">
      <c r="A1137" s="10" t="s">
        <v>7286</v>
      </c>
      <c r="B1137" s="12" t="s">
        <v>4326</v>
      </c>
      <c r="C1137" s="11">
        <v>46023</v>
      </c>
      <c r="D1137" s="12">
        <v>5</v>
      </c>
      <c r="E1137" s="12">
        <v>6</v>
      </c>
      <c r="F1137" s="13" t="s">
        <v>8363</v>
      </c>
      <c r="G1137" t="str">
        <f>IFERROR(INDEX(Ticket!$B$2:$B$6001,MATCH(B1137,Ticket!$A$2:$A$6001,0)),"Ticket introuvable")</f>
        <v>AG-017</v>
      </c>
    </row>
    <row r="1138" spans="1:7" x14ac:dyDescent="0.35">
      <c r="A1138" s="6" t="s">
        <v>7287</v>
      </c>
      <c r="B1138" s="8" t="s">
        <v>4728</v>
      </c>
      <c r="C1138" s="7">
        <v>45986</v>
      </c>
      <c r="D1138" s="8">
        <v>3</v>
      </c>
      <c r="E1138" s="8">
        <v>4</v>
      </c>
      <c r="F1138" s="9" t="s">
        <v>8363</v>
      </c>
      <c r="G1138" t="str">
        <f>IFERROR(INDEX(Ticket!$B$2:$B$6001,MATCH(B1138,Ticket!$A$2:$A$6001,0)),"Ticket introuvable")</f>
        <v>AG-007</v>
      </c>
    </row>
    <row r="1139" spans="1:7" x14ac:dyDescent="0.35">
      <c r="A1139" s="10" t="s">
        <v>7288</v>
      </c>
      <c r="B1139" s="12" t="s">
        <v>5195</v>
      </c>
      <c r="C1139" s="11">
        <v>45660</v>
      </c>
      <c r="D1139" s="12">
        <v>5</v>
      </c>
      <c r="E1139" s="12">
        <v>5</v>
      </c>
      <c r="F1139" s="13" t="s">
        <v>6148</v>
      </c>
      <c r="G1139" t="str">
        <f>IFERROR(INDEX(Ticket!$B$2:$B$6001,MATCH(B1139,Ticket!$A$2:$A$6001,0)),"Ticket introuvable")</f>
        <v>AG-032</v>
      </c>
    </row>
    <row r="1140" spans="1:7" x14ac:dyDescent="0.35">
      <c r="A1140" s="6" t="s">
        <v>7289</v>
      </c>
      <c r="B1140" s="8" t="s">
        <v>1393</v>
      </c>
      <c r="C1140" s="7">
        <v>45751</v>
      </c>
      <c r="D1140" s="8">
        <v>4</v>
      </c>
      <c r="E1140" s="8">
        <v>8</v>
      </c>
      <c r="F1140" s="9" t="s">
        <v>6142</v>
      </c>
      <c r="G1140" t="str">
        <f>IFERROR(INDEX(Ticket!$B$2:$B$6001,MATCH(B1140,Ticket!$A$2:$A$6001,0)),"Ticket introuvable")</f>
        <v>AG-007</v>
      </c>
    </row>
    <row r="1141" spans="1:7" x14ac:dyDescent="0.35">
      <c r="A1141" s="10" t="s">
        <v>7290</v>
      </c>
      <c r="B1141" s="12" t="s">
        <v>3299</v>
      </c>
      <c r="C1141" s="11">
        <v>45778</v>
      </c>
      <c r="D1141" s="12">
        <v>5</v>
      </c>
      <c r="E1141" s="12">
        <v>9</v>
      </c>
      <c r="F1141" s="13" t="s">
        <v>8363</v>
      </c>
      <c r="G1141" t="str">
        <f>IFERROR(INDEX(Ticket!$B$2:$B$6001,MATCH(B1141,Ticket!$A$2:$A$6001,0)),"Ticket introuvable")</f>
        <v>AG-011</v>
      </c>
    </row>
    <row r="1142" spans="1:7" x14ac:dyDescent="0.35">
      <c r="A1142" s="6" t="s">
        <v>7291</v>
      </c>
      <c r="B1142" s="8" t="s">
        <v>2483</v>
      </c>
      <c r="C1142" s="7">
        <v>45870</v>
      </c>
      <c r="D1142" s="8">
        <v>3</v>
      </c>
      <c r="E1142" s="8">
        <v>10</v>
      </c>
      <c r="F1142" s="9" t="s">
        <v>8363</v>
      </c>
      <c r="G1142" t="str">
        <f>IFERROR(INDEX(Ticket!$B$2:$B$6001,MATCH(B1142,Ticket!$A$2:$A$6001,0)),"Ticket introuvable")</f>
        <v>AG-039</v>
      </c>
    </row>
    <row r="1143" spans="1:7" x14ac:dyDescent="0.35">
      <c r="A1143" s="10" t="s">
        <v>7292</v>
      </c>
      <c r="B1143" s="12" t="s">
        <v>5654</v>
      </c>
      <c r="C1143" s="11">
        <v>45775</v>
      </c>
      <c r="D1143" s="12">
        <v>5</v>
      </c>
      <c r="E1143" s="12">
        <v>10</v>
      </c>
      <c r="F1143" s="13" t="s">
        <v>75</v>
      </c>
      <c r="G1143" t="str">
        <f>IFERROR(INDEX(Ticket!$B$2:$B$6001,MATCH(B1143,Ticket!$A$2:$A$6001,0)),"Ticket introuvable")</f>
        <v>AG-035</v>
      </c>
    </row>
    <row r="1144" spans="1:7" x14ac:dyDescent="0.35">
      <c r="A1144" s="6" t="s">
        <v>7293</v>
      </c>
      <c r="B1144" s="8" t="s">
        <v>666</v>
      </c>
      <c r="C1144" s="7">
        <v>45917</v>
      </c>
      <c r="D1144" s="8">
        <v>5</v>
      </c>
      <c r="E1144" s="8">
        <v>7</v>
      </c>
      <c r="F1144" s="9" t="s">
        <v>8363</v>
      </c>
      <c r="G1144" t="str">
        <f>IFERROR(INDEX(Ticket!$B$2:$B$6001,MATCH(B1144,Ticket!$A$2:$A$6001,0)),"Ticket introuvable")</f>
        <v>AG-029</v>
      </c>
    </row>
    <row r="1145" spans="1:7" x14ac:dyDescent="0.35">
      <c r="A1145" s="10" t="s">
        <v>7294</v>
      </c>
      <c r="B1145" s="12" t="s">
        <v>1048</v>
      </c>
      <c r="C1145" s="11">
        <v>46013</v>
      </c>
      <c r="D1145" s="12">
        <v>4</v>
      </c>
      <c r="E1145" s="12">
        <v>9</v>
      </c>
      <c r="F1145" s="13" t="s">
        <v>6142</v>
      </c>
      <c r="G1145" t="str">
        <f>IFERROR(INDEX(Ticket!$B$2:$B$6001,MATCH(B1145,Ticket!$A$2:$A$6001,0)),"Ticket introuvable")</f>
        <v>AG-014</v>
      </c>
    </row>
    <row r="1146" spans="1:7" x14ac:dyDescent="0.35">
      <c r="A1146" s="6" t="s">
        <v>7295</v>
      </c>
      <c r="B1146" s="8" t="s">
        <v>3269</v>
      </c>
      <c r="C1146" s="7">
        <v>45709</v>
      </c>
      <c r="D1146" s="8">
        <v>5</v>
      </c>
      <c r="E1146" s="8">
        <v>3</v>
      </c>
      <c r="F1146" s="9" t="s">
        <v>6160</v>
      </c>
      <c r="G1146" t="str">
        <f>IFERROR(INDEX(Ticket!$B$2:$B$6001,MATCH(B1146,Ticket!$A$2:$A$6001,0)),"Ticket introuvable")</f>
        <v>AG-007</v>
      </c>
    </row>
    <row r="1147" spans="1:7" x14ac:dyDescent="0.35">
      <c r="A1147" s="10" t="s">
        <v>7296</v>
      </c>
      <c r="B1147" s="12" t="s">
        <v>5526</v>
      </c>
      <c r="C1147" s="11">
        <v>45849</v>
      </c>
      <c r="D1147" s="12">
        <v>4</v>
      </c>
      <c r="E1147" s="12">
        <v>7</v>
      </c>
      <c r="F1147" s="13" t="s">
        <v>8363</v>
      </c>
      <c r="G1147" t="str">
        <f>IFERROR(INDEX(Ticket!$B$2:$B$6001,MATCH(B1147,Ticket!$A$2:$A$6001,0)),"Ticket introuvable")</f>
        <v>AG-027</v>
      </c>
    </row>
    <row r="1148" spans="1:7" x14ac:dyDescent="0.35">
      <c r="A1148" s="6" t="s">
        <v>7297</v>
      </c>
      <c r="B1148" s="8" t="s">
        <v>3556</v>
      </c>
      <c r="C1148" s="7">
        <v>45916</v>
      </c>
      <c r="D1148" s="8">
        <v>5</v>
      </c>
      <c r="E1148" s="8">
        <v>7</v>
      </c>
      <c r="F1148" s="9" t="s">
        <v>6148</v>
      </c>
      <c r="G1148" t="str">
        <f>IFERROR(INDEX(Ticket!$B$2:$B$6001,MATCH(B1148,Ticket!$A$2:$A$6001,0)),"Ticket introuvable")</f>
        <v>AG-016</v>
      </c>
    </row>
    <row r="1149" spans="1:7" x14ac:dyDescent="0.35">
      <c r="A1149" s="10" t="s">
        <v>7298</v>
      </c>
      <c r="B1149" s="12" t="s">
        <v>3505</v>
      </c>
      <c r="C1149" s="11">
        <v>45900</v>
      </c>
      <c r="D1149" s="12"/>
      <c r="E1149" s="12">
        <v>6</v>
      </c>
      <c r="F1149" s="13" t="s">
        <v>6160</v>
      </c>
      <c r="G1149" t="str">
        <f>IFERROR(INDEX(Ticket!$B$2:$B$6001,MATCH(B1149,Ticket!$A$2:$A$6001,0)),"Ticket introuvable")</f>
        <v>AG-003</v>
      </c>
    </row>
    <row r="1150" spans="1:7" x14ac:dyDescent="0.35">
      <c r="A1150" s="6" t="s">
        <v>7299</v>
      </c>
      <c r="B1150" s="8" t="s">
        <v>4577</v>
      </c>
      <c r="C1150" s="7">
        <v>45662</v>
      </c>
      <c r="D1150" s="8">
        <v>4</v>
      </c>
      <c r="E1150" s="8">
        <v>10</v>
      </c>
      <c r="F1150" s="9" t="s">
        <v>6160</v>
      </c>
      <c r="G1150" t="str">
        <f>IFERROR(INDEX(Ticket!$B$2:$B$6001,MATCH(B1150,Ticket!$A$2:$A$6001,0)),"Ticket introuvable")</f>
        <v>AG-039</v>
      </c>
    </row>
    <row r="1151" spans="1:7" x14ac:dyDescent="0.35">
      <c r="A1151" s="10" t="s">
        <v>7300</v>
      </c>
      <c r="B1151" s="12" t="s">
        <v>1368</v>
      </c>
      <c r="C1151" s="11">
        <v>45951</v>
      </c>
      <c r="D1151" s="12">
        <v>4</v>
      </c>
      <c r="E1151" s="12"/>
      <c r="F1151" s="13" t="s">
        <v>6153</v>
      </c>
      <c r="G1151" t="str">
        <f>IFERROR(INDEX(Ticket!$B$2:$B$6001,MATCH(B1151,Ticket!$A$2:$A$6001,0)),"Ticket introuvable")</f>
        <v>AG-020</v>
      </c>
    </row>
    <row r="1152" spans="1:7" x14ac:dyDescent="0.35">
      <c r="A1152" s="6" t="s">
        <v>7301</v>
      </c>
      <c r="B1152" s="8" t="s">
        <v>2788</v>
      </c>
      <c r="C1152" s="7">
        <v>45943</v>
      </c>
      <c r="D1152" s="8">
        <v>4</v>
      </c>
      <c r="E1152" s="8">
        <v>7</v>
      </c>
      <c r="F1152" s="9" t="s">
        <v>6148</v>
      </c>
      <c r="G1152" t="str">
        <f>IFERROR(INDEX(Ticket!$B$2:$B$6001,MATCH(B1152,Ticket!$A$2:$A$6001,0)),"Ticket introuvable")</f>
        <v>AG-023</v>
      </c>
    </row>
    <row r="1153" spans="1:7" x14ac:dyDescent="0.35">
      <c r="A1153" s="10" t="s">
        <v>7302</v>
      </c>
      <c r="B1153" s="12" t="s">
        <v>2717</v>
      </c>
      <c r="C1153" s="11">
        <v>45718</v>
      </c>
      <c r="D1153" s="12">
        <v>1</v>
      </c>
      <c r="E1153" s="12">
        <v>9</v>
      </c>
      <c r="F1153" s="13" t="s">
        <v>6160</v>
      </c>
      <c r="G1153" t="str">
        <f>IFERROR(INDEX(Ticket!$B$2:$B$6001,MATCH(B1153,Ticket!$A$2:$A$6001,0)),"Ticket introuvable")</f>
        <v>AG-016</v>
      </c>
    </row>
    <row r="1154" spans="1:7" x14ac:dyDescent="0.35">
      <c r="A1154" s="6" t="s">
        <v>7303</v>
      </c>
      <c r="B1154" s="8" t="s">
        <v>4724</v>
      </c>
      <c r="C1154" s="7">
        <v>45906</v>
      </c>
      <c r="D1154" s="8">
        <v>5</v>
      </c>
      <c r="E1154" s="8">
        <v>0</v>
      </c>
      <c r="F1154" s="9" t="s">
        <v>6153</v>
      </c>
      <c r="G1154" t="str">
        <f>IFERROR(INDEX(Ticket!$B$2:$B$6001,MATCH(B1154,Ticket!$A$2:$A$6001,0)),"Ticket introuvable")</f>
        <v>AG-037</v>
      </c>
    </row>
    <row r="1155" spans="1:7" x14ac:dyDescent="0.35">
      <c r="A1155" s="10" t="s">
        <v>7304</v>
      </c>
      <c r="B1155" s="12" t="s">
        <v>1006</v>
      </c>
      <c r="C1155" s="11">
        <v>45996</v>
      </c>
      <c r="D1155" s="12"/>
      <c r="E1155" s="12">
        <v>0</v>
      </c>
      <c r="F1155" s="13" t="s">
        <v>6148</v>
      </c>
      <c r="G1155" t="str">
        <f>IFERROR(INDEX(Ticket!$B$2:$B$6001,MATCH(B1155,Ticket!$A$2:$A$6001,0)),"Ticket introuvable")</f>
        <v>AG-008</v>
      </c>
    </row>
    <row r="1156" spans="1:7" x14ac:dyDescent="0.35">
      <c r="A1156" s="6" t="s">
        <v>7305</v>
      </c>
      <c r="B1156" s="8" t="s">
        <v>4121</v>
      </c>
      <c r="C1156" s="7">
        <v>45683</v>
      </c>
      <c r="D1156" s="8">
        <v>5</v>
      </c>
      <c r="E1156" s="8">
        <v>1</v>
      </c>
      <c r="F1156" s="9" t="s">
        <v>6160</v>
      </c>
      <c r="G1156" t="str">
        <f>IFERROR(INDEX(Ticket!$B$2:$B$6001,MATCH(B1156,Ticket!$A$2:$A$6001,0)),"Ticket introuvable")</f>
        <v>AG-025</v>
      </c>
    </row>
    <row r="1157" spans="1:7" x14ac:dyDescent="0.35">
      <c r="A1157" s="10" t="s">
        <v>7306</v>
      </c>
      <c r="B1157" s="12" t="s">
        <v>2785</v>
      </c>
      <c r="C1157" s="11">
        <v>45900</v>
      </c>
      <c r="D1157" s="12">
        <v>3</v>
      </c>
      <c r="E1157" s="12">
        <v>5</v>
      </c>
      <c r="F1157" s="13" t="s">
        <v>6160</v>
      </c>
      <c r="G1157" t="str">
        <f>IFERROR(INDEX(Ticket!$B$2:$B$6001,MATCH(B1157,Ticket!$A$2:$A$6001,0)),"Ticket introuvable")</f>
        <v>AG-037</v>
      </c>
    </row>
    <row r="1158" spans="1:7" x14ac:dyDescent="0.35">
      <c r="A1158" s="6" t="s">
        <v>7307</v>
      </c>
      <c r="B1158" s="8" t="s">
        <v>374</v>
      </c>
      <c r="C1158" s="7">
        <v>45997</v>
      </c>
      <c r="D1158" s="8">
        <v>3</v>
      </c>
      <c r="E1158" s="8">
        <v>5</v>
      </c>
      <c r="F1158" s="9" t="s">
        <v>8363</v>
      </c>
      <c r="G1158" t="str">
        <f>IFERROR(INDEX(Ticket!$B$2:$B$6001,MATCH(B1158,Ticket!$A$2:$A$6001,0)),"Ticket introuvable")</f>
        <v>AG-016</v>
      </c>
    </row>
    <row r="1159" spans="1:7" x14ac:dyDescent="0.35">
      <c r="A1159" s="10" t="s">
        <v>7308</v>
      </c>
      <c r="B1159" s="12" t="s">
        <v>3277</v>
      </c>
      <c r="C1159" s="11">
        <v>45685</v>
      </c>
      <c r="D1159" s="12">
        <v>5</v>
      </c>
      <c r="E1159" s="12">
        <v>4</v>
      </c>
      <c r="F1159" s="13" t="s">
        <v>6148</v>
      </c>
      <c r="G1159" t="str">
        <f>IFERROR(INDEX(Ticket!$B$2:$B$6001,MATCH(B1159,Ticket!$A$2:$A$6001,0)),"Ticket introuvable")</f>
        <v>AG-015</v>
      </c>
    </row>
    <row r="1160" spans="1:7" x14ac:dyDescent="0.35">
      <c r="A1160" s="6" t="s">
        <v>7309</v>
      </c>
      <c r="B1160" s="8" t="s">
        <v>2646</v>
      </c>
      <c r="C1160" s="7">
        <v>45988</v>
      </c>
      <c r="D1160" s="8">
        <v>5</v>
      </c>
      <c r="E1160" s="8">
        <v>9</v>
      </c>
      <c r="F1160" s="9" t="s">
        <v>8363</v>
      </c>
      <c r="G1160" t="str">
        <f>IFERROR(INDEX(Ticket!$B$2:$B$6001,MATCH(B1160,Ticket!$A$2:$A$6001,0)),"Ticket introuvable")</f>
        <v>AG-039</v>
      </c>
    </row>
    <row r="1161" spans="1:7" x14ac:dyDescent="0.35">
      <c r="A1161" s="10" t="s">
        <v>7310</v>
      </c>
      <c r="B1161" s="12" t="s">
        <v>2107</v>
      </c>
      <c r="C1161" s="11">
        <v>45906</v>
      </c>
      <c r="D1161" s="12"/>
      <c r="E1161" s="12">
        <v>10</v>
      </c>
      <c r="F1161" s="13" t="s">
        <v>6160</v>
      </c>
      <c r="G1161" t="str">
        <f>IFERROR(INDEX(Ticket!$B$2:$B$6001,MATCH(B1161,Ticket!$A$2:$A$6001,0)),"Ticket introuvable")</f>
        <v>AG-023</v>
      </c>
    </row>
    <row r="1162" spans="1:7" x14ac:dyDescent="0.35">
      <c r="A1162" s="6" t="s">
        <v>7311</v>
      </c>
      <c r="B1162" s="8" t="s">
        <v>1664</v>
      </c>
      <c r="C1162" s="7">
        <v>45763</v>
      </c>
      <c r="D1162" s="8">
        <v>5</v>
      </c>
      <c r="E1162" s="8">
        <v>4</v>
      </c>
      <c r="F1162" s="9" t="s">
        <v>8363</v>
      </c>
      <c r="G1162" t="str">
        <f>IFERROR(INDEX(Ticket!$B$2:$B$6001,MATCH(B1162,Ticket!$A$2:$A$6001,0)),"Ticket introuvable")</f>
        <v>AG-038</v>
      </c>
    </row>
    <row r="1163" spans="1:7" x14ac:dyDescent="0.35">
      <c r="A1163" s="10" t="s">
        <v>7312</v>
      </c>
      <c r="B1163" s="12" t="s">
        <v>2765</v>
      </c>
      <c r="C1163" s="11">
        <v>45922</v>
      </c>
      <c r="D1163" s="12">
        <v>5</v>
      </c>
      <c r="E1163" s="12">
        <v>8</v>
      </c>
      <c r="F1163" s="13" t="s">
        <v>8363</v>
      </c>
      <c r="G1163" t="str">
        <f>IFERROR(INDEX(Ticket!$B$2:$B$6001,MATCH(B1163,Ticket!$A$2:$A$6001,0)),"Ticket introuvable")</f>
        <v>AG-032</v>
      </c>
    </row>
    <row r="1164" spans="1:7" x14ac:dyDescent="0.35">
      <c r="A1164" s="6" t="s">
        <v>7313</v>
      </c>
      <c r="B1164" s="8" t="s">
        <v>843</v>
      </c>
      <c r="C1164" s="7">
        <v>45938</v>
      </c>
      <c r="D1164" s="8">
        <v>4</v>
      </c>
      <c r="E1164" s="8">
        <v>4</v>
      </c>
      <c r="F1164" s="9" t="s">
        <v>6148</v>
      </c>
      <c r="G1164" t="str">
        <f>IFERROR(INDEX(Ticket!$B$2:$B$6001,MATCH(B1164,Ticket!$A$2:$A$6001,0)),"Ticket introuvable")</f>
        <v>AG-024</v>
      </c>
    </row>
    <row r="1165" spans="1:7" x14ac:dyDescent="0.35">
      <c r="A1165" s="10" t="s">
        <v>7314</v>
      </c>
      <c r="B1165" s="12" t="s">
        <v>3851</v>
      </c>
      <c r="C1165" s="11">
        <v>45754</v>
      </c>
      <c r="D1165" s="12">
        <v>4</v>
      </c>
      <c r="E1165" s="12">
        <v>5</v>
      </c>
      <c r="F1165" s="13" t="s">
        <v>6148</v>
      </c>
      <c r="G1165" t="str">
        <f>IFERROR(INDEX(Ticket!$B$2:$B$6001,MATCH(B1165,Ticket!$A$2:$A$6001,0)),"Ticket introuvable")</f>
        <v>AG-023</v>
      </c>
    </row>
    <row r="1166" spans="1:7" x14ac:dyDescent="0.35">
      <c r="A1166" s="6" t="s">
        <v>7315</v>
      </c>
      <c r="B1166" s="8" t="s">
        <v>3905</v>
      </c>
      <c r="C1166" s="7">
        <v>45942</v>
      </c>
      <c r="D1166" s="8">
        <v>4</v>
      </c>
      <c r="E1166" s="8">
        <v>10</v>
      </c>
      <c r="F1166" s="9" t="s">
        <v>6153</v>
      </c>
      <c r="G1166" t="str">
        <f>IFERROR(INDEX(Ticket!$B$2:$B$6001,MATCH(B1166,Ticket!$A$2:$A$6001,0)),"Ticket introuvable")</f>
        <v>AG-026</v>
      </c>
    </row>
    <row r="1167" spans="1:7" x14ac:dyDescent="0.35">
      <c r="A1167" s="10" t="s">
        <v>7316</v>
      </c>
      <c r="B1167" s="12" t="s">
        <v>1672</v>
      </c>
      <c r="C1167" s="11">
        <v>45839</v>
      </c>
      <c r="D1167" s="12">
        <v>5</v>
      </c>
      <c r="E1167" s="12"/>
      <c r="F1167" s="13" t="s">
        <v>8363</v>
      </c>
      <c r="G1167" t="str">
        <f>IFERROR(INDEX(Ticket!$B$2:$B$6001,MATCH(B1167,Ticket!$A$2:$A$6001,0)),"Ticket introuvable")</f>
        <v>AG-013</v>
      </c>
    </row>
    <row r="1168" spans="1:7" x14ac:dyDescent="0.35">
      <c r="A1168" s="6" t="s">
        <v>7317</v>
      </c>
      <c r="B1168" s="8" t="s">
        <v>2468</v>
      </c>
      <c r="C1168" s="7">
        <v>45901</v>
      </c>
      <c r="D1168" s="8">
        <v>5</v>
      </c>
      <c r="E1168" s="8">
        <v>5</v>
      </c>
      <c r="F1168" s="9" t="s">
        <v>6142</v>
      </c>
      <c r="G1168" t="str">
        <f>IFERROR(INDEX(Ticket!$B$2:$B$6001,MATCH(B1168,Ticket!$A$2:$A$6001,0)),"Ticket introuvable")</f>
        <v>AG-019</v>
      </c>
    </row>
    <row r="1169" spans="1:7" x14ac:dyDescent="0.35">
      <c r="A1169" s="10" t="s">
        <v>7318</v>
      </c>
      <c r="B1169" s="12" t="s">
        <v>743</v>
      </c>
      <c r="C1169" s="11">
        <v>45697</v>
      </c>
      <c r="D1169" s="12"/>
      <c r="E1169" s="12">
        <v>10</v>
      </c>
      <c r="F1169" s="13" t="s">
        <v>8363</v>
      </c>
      <c r="G1169" t="str">
        <f>IFERROR(INDEX(Ticket!$B$2:$B$6001,MATCH(B1169,Ticket!$A$2:$A$6001,0)),"Ticket introuvable")</f>
        <v>AG-021</v>
      </c>
    </row>
    <row r="1170" spans="1:7" x14ac:dyDescent="0.35">
      <c r="A1170" s="6" t="s">
        <v>7319</v>
      </c>
      <c r="B1170" s="8" t="s">
        <v>3850</v>
      </c>
      <c r="C1170" s="7">
        <v>45708</v>
      </c>
      <c r="D1170" s="8">
        <v>5</v>
      </c>
      <c r="E1170" s="8">
        <v>10</v>
      </c>
      <c r="F1170" s="9" t="s">
        <v>8363</v>
      </c>
      <c r="G1170" t="str">
        <f>IFERROR(INDEX(Ticket!$B$2:$B$6001,MATCH(B1170,Ticket!$A$2:$A$6001,0)),"Ticket introuvable")</f>
        <v>AG-036</v>
      </c>
    </row>
    <row r="1171" spans="1:7" x14ac:dyDescent="0.35">
      <c r="A1171" s="10" t="s">
        <v>7320</v>
      </c>
      <c r="B1171" s="12" t="s">
        <v>1726</v>
      </c>
      <c r="C1171" s="11">
        <v>45843</v>
      </c>
      <c r="D1171" s="12">
        <v>1</v>
      </c>
      <c r="E1171" s="12">
        <v>8</v>
      </c>
      <c r="F1171" s="13" t="s">
        <v>8363</v>
      </c>
      <c r="G1171" t="str">
        <f>IFERROR(INDEX(Ticket!$B$2:$B$6001,MATCH(B1171,Ticket!$A$2:$A$6001,0)),"Ticket introuvable")</f>
        <v>AG-011</v>
      </c>
    </row>
    <row r="1172" spans="1:7" x14ac:dyDescent="0.35">
      <c r="A1172" s="6" t="s">
        <v>7321</v>
      </c>
      <c r="B1172" s="8" t="s">
        <v>1719</v>
      </c>
      <c r="C1172" s="7">
        <v>45916</v>
      </c>
      <c r="D1172" s="8">
        <v>4</v>
      </c>
      <c r="E1172" s="8">
        <v>7</v>
      </c>
      <c r="F1172" s="9" t="s">
        <v>6160</v>
      </c>
      <c r="G1172" t="str">
        <f>IFERROR(INDEX(Ticket!$B$2:$B$6001,MATCH(B1172,Ticket!$A$2:$A$6001,0)),"Ticket introuvable")</f>
        <v>AG-028</v>
      </c>
    </row>
    <row r="1173" spans="1:7" x14ac:dyDescent="0.35">
      <c r="A1173" s="10" t="s">
        <v>7322</v>
      </c>
      <c r="B1173" s="12" t="s">
        <v>3727</v>
      </c>
      <c r="C1173" s="11">
        <v>45995</v>
      </c>
      <c r="D1173" s="12">
        <v>5</v>
      </c>
      <c r="E1173" s="12">
        <v>10</v>
      </c>
      <c r="F1173" s="13" t="s">
        <v>6142</v>
      </c>
      <c r="G1173" t="str">
        <f>IFERROR(INDEX(Ticket!$B$2:$B$6001,MATCH(B1173,Ticket!$A$2:$A$6001,0)),"Ticket introuvable")</f>
        <v>AG-022</v>
      </c>
    </row>
    <row r="1174" spans="1:7" x14ac:dyDescent="0.35">
      <c r="A1174" s="6" t="s">
        <v>7323</v>
      </c>
      <c r="B1174" s="8" t="s">
        <v>1781</v>
      </c>
      <c r="C1174" s="7">
        <v>45720</v>
      </c>
      <c r="D1174" s="8">
        <v>4</v>
      </c>
      <c r="E1174" s="8">
        <v>9</v>
      </c>
      <c r="F1174" s="9" t="s">
        <v>6153</v>
      </c>
      <c r="G1174" t="str">
        <f>IFERROR(INDEX(Ticket!$B$2:$B$6001,MATCH(B1174,Ticket!$A$2:$A$6001,0)),"Ticket introuvable")</f>
        <v>AG-037</v>
      </c>
    </row>
    <row r="1175" spans="1:7" x14ac:dyDescent="0.35">
      <c r="A1175" s="10" t="s">
        <v>7324</v>
      </c>
      <c r="B1175" s="12" t="s">
        <v>5434</v>
      </c>
      <c r="C1175" s="11">
        <v>45960</v>
      </c>
      <c r="D1175" s="12">
        <v>5</v>
      </c>
      <c r="E1175" s="12">
        <v>10</v>
      </c>
      <c r="F1175" s="13" t="s">
        <v>6148</v>
      </c>
      <c r="G1175" t="str">
        <f>IFERROR(INDEX(Ticket!$B$2:$B$6001,MATCH(B1175,Ticket!$A$2:$A$6001,0)),"Ticket introuvable")</f>
        <v>AG-015</v>
      </c>
    </row>
    <row r="1176" spans="1:7" x14ac:dyDescent="0.35">
      <c r="A1176" s="6" t="s">
        <v>7325</v>
      </c>
      <c r="B1176" s="8" t="s">
        <v>5966</v>
      </c>
      <c r="C1176" s="7">
        <v>45716</v>
      </c>
      <c r="D1176" s="8">
        <v>5</v>
      </c>
      <c r="E1176" s="8">
        <v>9</v>
      </c>
      <c r="F1176" s="9" t="s">
        <v>6160</v>
      </c>
      <c r="G1176" t="str">
        <f>IFERROR(INDEX(Ticket!$B$2:$B$6001,MATCH(B1176,Ticket!$A$2:$A$6001,0)),"Ticket introuvable")</f>
        <v>AG-029</v>
      </c>
    </row>
    <row r="1177" spans="1:7" x14ac:dyDescent="0.35">
      <c r="A1177" s="10" t="s">
        <v>7326</v>
      </c>
      <c r="B1177" s="12" t="s">
        <v>4096</v>
      </c>
      <c r="C1177" s="11">
        <v>45771</v>
      </c>
      <c r="D1177" s="12">
        <v>4</v>
      </c>
      <c r="E1177" s="12">
        <v>9</v>
      </c>
      <c r="F1177" s="13" t="s">
        <v>75</v>
      </c>
      <c r="G1177" t="str">
        <f>IFERROR(INDEX(Ticket!$B$2:$B$6001,MATCH(B1177,Ticket!$A$2:$A$6001,0)),"Ticket introuvable")</f>
        <v>AG-025</v>
      </c>
    </row>
    <row r="1178" spans="1:7" x14ac:dyDescent="0.35">
      <c r="A1178" s="6" t="s">
        <v>7327</v>
      </c>
      <c r="B1178" s="8" t="s">
        <v>1418</v>
      </c>
      <c r="C1178" s="7">
        <v>46017</v>
      </c>
      <c r="D1178" s="8">
        <v>5</v>
      </c>
      <c r="E1178" s="8">
        <v>7</v>
      </c>
      <c r="F1178" s="9" t="s">
        <v>8363</v>
      </c>
      <c r="G1178" t="str">
        <f>IFERROR(INDEX(Ticket!$B$2:$B$6001,MATCH(B1178,Ticket!$A$2:$A$6001,0)),"Ticket introuvable")</f>
        <v>AG-027</v>
      </c>
    </row>
    <row r="1179" spans="1:7" x14ac:dyDescent="0.35">
      <c r="A1179" s="10" t="s">
        <v>7328</v>
      </c>
      <c r="B1179" s="12" t="s">
        <v>4805</v>
      </c>
      <c r="C1179" s="11">
        <v>45698</v>
      </c>
      <c r="D1179" s="12">
        <v>2</v>
      </c>
      <c r="E1179" s="12">
        <v>8</v>
      </c>
      <c r="F1179" s="13" t="s">
        <v>75</v>
      </c>
      <c r="G1179" t="str">
        <f>IFERROR(INDEX(Ticket!$B$2:$B$6001,MATCH(B1179,Ticket!$A$2:$A$6001,0)),"Ticket introuvable")</f>
        <v>AG-006</v>
      </c>
    </row>
    <row r="1180" spans="1:7" x14ac:dyDescent="0.35">
      <c r="A1180" s="6" t="s">
        <v>7329</v>
      </c>
      <c r="B1180" s="8" t="s">
        <v>2704</v>
      </c>
      <c r="C1180" s="7">
        <v>45882</v>
      </c>
      <c r="D1180" s="8">
        <v>3</v>
      </c>
      <c r="E1180" s="8">
        <v>7</v>
      </c>
      <c r="F1180" s="9" t="s">
        <v>6148</v>
      </c>
      <c r="G1180" t="str">
        <f>IFERROR(INDEX(Ticket!$B$2:$B$6001,MATCH(B1180,Ticket!$A$2:$A$6001,0)),"Ticket introuvable")</f>
        <v>AG-020</v>
      </c>
    </row>
    <row r="1181" spans="1:7" x14ac:dyDescent="0.35">
      <c r="A1181" s="10" t="s">
        <v>7330</v>
      </c>
      <c r="B1181" s="12" t="s">
        <v>3587</v>
      </c>
      <c r="C1181" s="11">
        <v>45746</v>
      </c>
      <c r="D1181" s="12">
        <v>4</v>
      </c>
      <c r="E1181" s="12">
        <v>10</v>
      </c>
      <c r="F1181" s="13" t="s">
        <v>6153</v>
      </c>
      <c r="G1181" t="str">
        <f>IFERROR(INDEX(Ticket!$B$2:$B$6001,MATCH(B1181,Ticket!$A$2:$A$6001,0)),"Ticket introuvable")</f>
        <v>AG-029</v>
      </c>
    </row>
    <row r="1182" spans="1:7" x14ac:dyDescent="0.35">
      <c r="A1182" s="6" t="s">
        <v>7331</v>
      </c>
      <c r="B1182" s="8" t="s">
        <v>4961</v>
      </c>
      <c r="C1182" s="7">
        <v>45712</v>
      </c>
      <c r="D1182" s="8">
        <v>4</v>
      </c>
      <c r="E1182" s="8">
        <v>2</v>
      </c>
      <c r="F1182" s="9" t="s">
        <v>6148</v>
      </c>
      <c r="G1182" t="str">
        <f>IFERROR(INDEX(Ticket!$B$2:$B$6001,MATCH(B1182,Ticket!$A$2:$A$6001,0)),"Ticket introuvable")</f>
        <v>AG-040</v>
      </c>
    </row>
    <row r="1183" spans="1:7" x14ac:dyDescent="0.35">
      <c r="A1183" s="10" t="s">
        <v>7332</v>
      </c>
      <c r="B1183" s="12" t="s">
        <v>2311</v>
      </c>
      <c r="C1183" s="11">
        <v>45914</v>
      </c>
      <c r="D1183" s="12">
        <v>5</v>
      </c>
      <c r="E1183" s="12">
        <v>10</v>
      </c>
      <c r="F1183" s="13" t="s">
        <v>6142</v>
      </c>
      <c r="G1183" t="str">
        <f>IFERROR(INDEX(Ticket!$B$2:$B$6001,MATCH(B1183,Ticket!$A$2:$A$6001,0)),"Ticket introuvable")</f>
        <v>AG-035</v>
      </c>
    </row>
    <row r="1184" spans="1:7" x14ac:dyDescent="0.35">
      <c r="A1184" s="6" t="s">
        <v>7333</v>
      </c>
      <c r="B1184" s="8" t="s">
        <v>5234</v>
      </c>
      <c r="C1184" s="7">
        <v>45804</v>
      </c>
      <c r="D1184" s="8">
        <v>3</v>
      </c>
      <c r="E1184" s="8">
        <v>10</v>
      </c>
      <c r="F1184" s="9" t="s">
        <v>6148</v>
      </c>
      <c r="G1184" t="str">
        <f>IFERROR(INDEX(Ticket!$B$2:$B$6001,MATCH(B1184,Ticket!$A$2:$A$6001,0)),"Ticket introuvable")</f>
        <v>AG-025</v>
      </c>
    </row>
    <row r="1185" spans="1:7" x14ac:dyDescent="0.35">
      <c r="A1185" s="10" t="s">
        <v>7334</v>
      </c>
      <c r="B1185" s="12" t="s">
        <v>2856</v>
      </c>
      <c r="C1185" s="11">
        <v>45672</v>
      </c>
      <c r="D1185" s="12">
        <v>2</v>
      </c>
      <c r="E1185" s="12">
        <v>2</v>
      </c>
      <c r="F1185" s="13" t="s">
        <v>6153</v>
      </c>
      <c r="G1185" t="str">
        <f>IFERROR(INDEX(Ticket!$B$2:$B$6001,MATCH(B1185,Ticket!$A$2:$A$6001,0)),"Ticket introuvable")</f>
        <v>AG-014</v>
      </c>
    </row>
    <row r="1186" spans="1:7" x14ac:dyDescent="0.35">
      <c r="A1186" s="6" t="s">
        <v>7335</v>
      </c>
      <c r="B1186" s="8" t="s">
        <v>2390</v>
      </c>
      <c r="C1186" s="7">
        <v>45798</v>
      </c>
      <c r="D1186" s="8">
        <v>4</v>
      </c>
      <c r="E1186" s="8">
        <v>8</v>
      </c>
      <c r="F1186" s="9" t="s">
        <v>6153</v>
      </c>
      <c r="G1186" t="str">
        <f>IFERROR(INDEX(Ticket!$B$2:$B$6001,MATCH(B1186,Ticket!$A$2:$A$6001,0)),"Ticket introuvable")</f>
        <v>AG-008</v>
      </c>
    </row>
    <row r="1187" spans="1:7" x14ac:dyDescent="0.35">
      <c r="A1187" s="10" t="s">
        <v>7336</v>
      </c>
      <c r="B1187" s="12" t="s">
        <v>4298</v>
      </c>
      <c r="C1187" s="11">
        <v>45755</v>
      </c>
      <c r="D1187" s="12">
        <v>2</v>
      </c>
      <c r="E1187" s="12">
        <v>1</v>
      </c>
      <c r="F1187" s="13" t="s">
        <v>6148</v>
      </c>
      <c r="G1187" t="str">
        <f>IFERROR(INDEX(Ticket!$B$2:$B$6001,MATCH(B1187,Ticket!$A$2:$A$6001,0)),"Ticket introuvable")</f>
        <v>AG-024</v>
      </c>
    </row>
    <row r="1188" spans="1:7" x14ac:dyDescent="0.35">
      <c r="A1188" s="6" t="s">
        <v>7337</v>
      </c>
      <c r="B1188" s="8" t="s">
        <v>3017</v>
      </c>
      <c r="C1188" s="7">
        <v>45722</v>
      </c>
      <c r="D1188" s="8">
        <v>3</v>
      </c>
      <c r="E1188" s="8">
        <v>9</v>
      </c>
      <c r="F1188" s="9" t="s">
        <v>8363</v>
      </c>
      <c r="G1188" t="str">
        <f>IFERROR(INDEX(Ticket!$B$2:$B$6001,MATCH(B1188,Ticket!$A$2:$A$6001,0)),"Ticket introuvable")</f>
        <v>AG-027</v>
      </c>
    </row>
    <row r="1189" spans="1:7" x14ac:dyDescent="0.35">
      <c r="A1189" s="10" t="s">
        <v>7338</v>
      </c>
      <c r="B1189" s="12" t="s">
        <v>2896</v>
      </c>
      <c r="C1189" s="11">
        <v>45718</v>
      </c>
      <c r="D1189" s="12">
        <v>4</v>
      </c>
      <c r="E1189" s="12">
        <v>8</v>
      </c>
      <c r="F1189" s="13" t="s">
        <v>6160</v>
      </c>
      <c r="G1189" t="str">
        <f>IFERROR(INDEX(Ticket!$B$2:$B$6001,MATCH(B1189,Ticket!$A$2:$A$6001,0)),"Ticket introuvable")</f>
        <v>AG-039</v>
      </c>
    </row>
    <row r="1190" spans="1:7" x14ac:dyDescent="0.35">
      <c r="A1190" s="6" t="s">
        <v>7339</v>
      </c>
      <c r="B1190" s="8" t="s">
        <v>1396</v>
      </c>
      <c r="C1190" s="7">
        <v>45999</v>
      </c>
      <c r="D1190" s="8">
        <v>4</v>
      </c>
      <c r="E1190" s="8">
        <v>4</v>
      </c>
      <c r="F1190" s="9" t="s">
        <v>8363</v>
      </c>
      <c r="G1190" t="str">
        <f>IFERROR(INDEX(Ticket!$B$2:$B$6001,MATCH(B1190,Ticket!$A$2:$A$6001,0)),"Ticket introuvable")</f>
        <v>AG-021</v>
      </c>
    </row>
    <row r="1191" spans="1:7" x14ac:dyDescent="0.35">
      <c r="A1191" s="10" t="s">
        <v>7340</v>
      </c>
      <c r="B1191" s="12" t="s">
        <v>425</v>
      </c>
      <c r="C1191" s="11">
        <v>45841</v>
      </c>
      <c r="D1191" s="12">
        <v>5</v>
      </c>
      <c r="E1191" s="12">
        <v>10</v>
      </c>
      <c r="F1191" s="13" t="s">
        <v>6160</v>
      </c>
      <c r="G1191" t="str">
        <f>IFERROR(INDEX(Ticket!$B$2:$B$6001,MATCH(B1191,Ticket!$A$2:$A$6001,0)),"Ticket introuvable")</f>
        <v>AG-035</v>
      </c>
    </row>
    <row r="1192" spans="1:7" x14ac:dyDescent="0.35">
      <c r="A1192" s="6" t="s">
        <v>7341</v>
      </c>
      <c r="B1192" s="8" t="s">
        <v>3258</v>
      </c>
      <c r="C1192" s="7">
        <v>45862</v>
      </c>
      <c r="D1192" s="8"/>
      <c r="E1192" s="8">
        <v>8</v>
      </c>
      <c r="F1192" s="9" t="s">
        <v>75</v>
      </c>
      <c r="G1192" t="str">
        <f>IFERROR(INDEX(Ticket!$B$2:$B$6001,MATCH(B1192,Ticket!$A$2:$A$6001,0)),"Ticket introuvable")</f>
        <v>AG-023</v>
      </c>
    </row>
    <row r="1193" spans="1:7" x14ac:dyDescent="0.35">
      <c r="A1193" s="10" t="s">
        <v>7342</v>
      </c>
      <c r="B1193" s="12" t="s">
        <v>219</v>
      </c>
      <c r="C1193" s="11">
        <v>45739</v>
      </c>
      <c r="D1193" s="12">
        <v>4</v>
      </c>
      <c r="E1193" s="12">
        <v>10</v>
      </c>
      <c r="F1193" s="13" t="s">
        <v>8363</v>
      </c>
      <c r="G1193" t="str">
        <f>IFERROR(INDEX(Ticket!$B$2:$B$6001,MATCH(B1193,Ticket!$A$2:$A$6001,0)),"Ticket introuvable")</f>
        <v>AG-005</v>
      </c>
    </row>
    <row r="1194" spans="1:7" x14ac:dyDescent="0.35">
      <c r="A1194" s="6" t="s">
        <v>7343</v>
      </c>
      <c r="B1194" s="8" t="s">
        <v>5932</v>
      </c>
      <c r="C1194" s="7">
        <v>46011</v>
      </c>
      <c r="D1194" s="8">
        <v>5</v>
      </c>
      <c r="E1194" s="8">
        <v>2</v>
      </c>
      <c r="F1194" s="9" t="s">
        <v>6153</v>
      </c>
      <c r="G1194" t="str">
        <f>IFERROR(INDEX(Ticket!$B$2:$B$6001,MATCH(B1194,Ticket!$A$2:$A$6001,0)),"Ticket introuvable")</f>
        <v>AG-017</v>
      </c>
    </row>
    <row r="1195" spans="1:7" x14ac:dyDescent="0.35">
      <c r="A1195" s="10" t="s">
        <v>7344</v>
      </c>
      <c r="B1195" s="12" t="s">
        <v>3362</v>
      </c>
      <c r="C1195" s="11">
        <v>45943</v>
      </c>
      <c r="D1195" s="12">
        <v>3</v>
      </c>
      <c r="E1195" s="12">
        <v>10</v>
      </c>
      <c r="F1195" s="13" t="s">
        <v>6142</v>
      </c>
      <c r="G1195" t="str">
        <f>IFERROR(INDEX(Ticket!$B$2:$B$6001,MATCH(B1195,Ticket!$A$2:$A$6001,0)),"Ticket introuvable")</f>
        <v>AG-037</v>
      </c>
    </row>
    <row r="1196" spans="1:7" x14ac:dyDescent="0.35">
      <c r="A1196" s="6" t="s">
        <v>7345</v>
      </c>
      <c r="B1196" s="8" t="s">
        <v>1965</v>
      </c>
      <c r="C1196" s="7">
        <v>45692</v>
      </c>
      <c r="D1196" s="8">
        <v>4</v>
      </c>
      <c r="E1196" s="8">
        <v>2</v>
      </c>
      <c r="F1196" s="9" t="s">
        <v>75</v>
      </c>
      <c r="G1196" t="str">
        <f>IFERROR(INDEX(Ticket!$B$2:$B$6001,MATCH(B1196,Ticket!$A$2:$A$6001,0)),"Ticket introuvable")</f>
        <v>AG-014</v>
      </c>
    </row>
    <row r="1197" spans="1:7" x14ac:dyDescent="0.35">
      <c r="A1197" s="10" t="s">
        <v>7346</v>
      </c>
      <c r="B1197" s="12" t="s">
        <v>3531</v>
      </c>
      <c r="C1197" s="11">
        <v>45954</v>
      </c>
      <c r="D1197" s="12">
        <v>1</v>
      </c>
      <c r="E1197" s="12">
        <v>10</v>
      </c>
      <c r="F1197" s="13" t="s">
        <v>6148</v>
      </c>
      <c r="G1197" t="str">
        <f>IFERROR(INDEX(Ticket!$B$2:$B$6001,MATCH(B1197,Ticket!$A$2:$A$6001,0)),"Ticket introuvable")</f>
        <v>AG-008</v>
      </c>
    </row>
    <row r="1198" spans="1:7" x14ac:dyDescent="0.35">
      <c r="A1198" s="6" t="s">
        <v>7347</v>
      </c>
      <c r="B1198" s="8" t="s">
        <v>1935</v>
      </c>
      <c r="C1198" s="7">
        <v>45758</v>
      </c>
      <c r="D1198" s="8">
        <v>4</v>
      </c>
      <c r="E1198" s="8">
        <v>5</v>
      </c>
      <c r="F1198" s="9" t="s">
        <v>6148</v>
      </c>
      <c r="G1198" t="str">
        <f>IFERROR(INDEX(Ticket!$B$2:$B$6001,MATCH(B1198,Ticket!$A$2:$A$6001,0)),"Ticket introuvable")</f>
        <v>AG-025</v>
      </c>
    </row>
    <row r="1199" spans="1:7" x14ac:dyDescent="0.35">
      <c r="A1199" s="10" t="s">
        <v>7348</v>
      </c>
      <c r="B1199" s="12" t="s">
        <v>4520</v>
      </c>
      <c r="C1199" s="11">
        <v>45892</v>
      </c>
      <c r="D1199" s="12">
        <v>5</v>
      </c>
      <c r="E1199" s="12">
        <v>6</v>
      </c>
      <c r="F1199" s="13" t="s">
        <v>75</v>
      </c>
      <c r="G1199" t="str">
        <f>IFERROR(INDEX(Ticket!$B$2:$B$6001,MATCH(B1199,Ticket!$A$2:$A$6001,0)),"Ticket introuvable")</f>
        <v>AG-017</v>
      </c>
    </row>
    <row r="1200" spans="1:7" x14ac:dyDescent="0.35">
      <c r="A1200" s="6" t="s">
        <v>7349</v>
      </c>
      <c r="B1200" s="8" t="s">
        <v>358</v>
      </c>
      <c r="C1200" s="7">
        <v>45688</v>
      </c>
      <c r="D1200" s="8">
        <v>2</v>
      </c>
      <c r="E1200" s="8">
        <v>7</v>
      </c>
      <c r="F1200" s="9" t="s">
        <v>6153</v>
      </c>
      <c r="G1200" t="str">
        <f>IFERROR(INDEX(Ticket!$B$2:$B$6001,MATCH(B1200,Ticket!$A$2:$A$6001,0)),"Ticket introuvable")</f>
        <v>AG-032</v>
      </c>
    </row>
    <row r="1201" spans="1:7" x14ac:dyDescent="0.35">
      <c r="A1201" s="10" t="s">
        <v>7350</v>
      </c>
      <c r="B1201" s="12" t="s">
        <v>3113</v>
      </c>
      <c r="C1201" s="11">
        <v>45936</v>
      </c>
      <c r="D1201" s="12">
        <v>3</v>
      </c>
      <c r="E1201" s="12">
        <v>9</v>
      </c>
      <c r="F1201" s="13" t="s">
        <v>6148</v>
      </c>
      <c r="G1201" t="str">
        <f>IFERROR(INDEX(Ticket!$B$2:$B$6001,MATCH(B1201,Ticket!$A$2:$A$6001,0)),"Ticket introuvable")</f>
        <v>AG-039</v>
      </c>
    </row>
    <row r="1202" spans="1:7" x14ac:dyDescent="0.35">
      <c r="A1202" s="6" t="s">
        <v>7351</v>
      </c>
      <c r="B1202" s="8" t="s">
        <v>3217</v>
      </c>
      <c r="C1202" s="7">
        <v>45730</v>
      </c>
      <c r="D1202" s="8">
        <v>3</v>
      </c>
      <c r="E1202" s="8">
        <v>8</v>
      </c>
      <c r="F1202" s="9" t="s">
        <v>6148</v>
      </c>
      <c r="G1202" t="str">
        <f>IFERROR(INDEX(Ticket!$B$2:$B$6001,MATCH(B1202,Ticket!$A$2:$A$6001,0)),"Ticket introuvable")</f>
        <v>AG-032</v>
      </c>
    </row>
    <row r="1203" spans="1:7" x14ac:dyDescent="0.35">
      <c r="A1203" s="10" t="s">
        <v>7352</v>
      </c>
      <c r="B1203" s="12" t="s">
        <v>1000</v>
      </c>
      <c r="C1203" s="11">
        <v>45881</v>
      </c>
      <c r="D1203" s="12">
        <v>4</v>
      </c>
      <c r="E1203" s="12">
        <v>7</v>
      </c>
      <c r="F1203" s="13" t="s">
        <v>6148</v>
      </c>
      <c r="G1203" t="str">
        <f>IFERROR(INDEX(Ticket!$B$2:$B$6001,MATCH(B1203,Ticket!$A$2:$A$6001,0)),"Ticket introuvable")</f>
        <v>AG-040</v>
      </c>
    </row>
    <row r="1204" spans="1:7" x14ac:dyDescent="0.35">
      <c r="A1204" s="6" t="s">
        <v>7353</v>
      </c>
      <c r="B1204" s="8" t="s">
        <v>1642</v>
      </c>
      <c r="C1204" s="7">
        <v>45972</v>
      </c>
      <c r="D1204" s="8">
        <v>1</v>
      </c>
      <c r="E1204" s="8">
        <v>8</v>
      </c>
      <c r="F1204" s="9" t="s">
        <v>6153</v>
      </c>
      <c r="G1204" t="str">
        <f>IFERROR(INDEX(Ticket!$B$2:$B$6001,MATCH(B1204,Ticket!$A$2:$A$6001,0)),"Ticket introuvable")</f>
        <v>AG-006</v>
      </c>
    </row>
    <row r="1205" spans="1:7" x14ac:dyDescent="0.35">
      <c r="A1205" s="10" t="s">
        <v>7354</v>
      </c>
      <c r="B1205" s="12" t="s">
        <v>4492</v>
      </c>
      <c r="C1205" s="11">
        <v>45996</v>
      </c>
      <c r="D1205" s="12">
        <v>4</v>
      </c>
      <c r="E1205" s="12">
        <v>10</v>
      </c>
      <c r="F1205" s="13" t="s">
        <v>6148</v>
      </c>
      <c r="G1205" t="str">
        <f>IFERROR(INDEX(Ticket!$B$2:$B$6001,MATCH(B1205,Ticket!$A$2:$A$6001,0)),"Ticket introuvable")</f>
        <v>AG-008</v>
      </c>
    </row>
    <row r="1206" spans="1:7" x14ac:dyDescent="0.35">
      <c r="A1206" s="6" t="s">
        <v>7355</v>
      </c>
      <c r="B1206" s="8" t="s">
        <v>5168</v>
      </c>
      <c r="C1206" s="7">
        <v>45690</v>
      </c>
      <c r="D1206" s="8">
        <v>4</v>
      </c>
      <c r="E1206" s="8">
        <v>9</v>
      </c>
      <c r="F1206" s="9" t="s">
        <v>6148</v>
      </c>
      <c r="G1206" t="str">
        <f>IFERROR(INDEX(Ticket!$B$2:$B$6001,MATCH(B1206,Ticket!$A$2:$A$6001,0)),"Ticket introuvable")</f>
        <v>AG-025</v>
      </c>
    </row>
    <row r="1207" spans="1:7" x14ac:dyDescent="0.35">
      <c r="A1207" s="10" t="s">
        <v>7356</v>
      </c>
      <c r="B1207" s="12" t="s">
        <v>2567</v>
      </c>
      <c r="C1207" s="11">
        <v>45854</v>
      </c>
      <c r="D1207" s="12">
        <v>4</v>
      </c>
      <c r="E1207" s="12">
        <v>10</v>
      </c>
      <c r="F1207" s="13" t="s">
        <v>6142</v>
      </c>
      <c r="G1207" t="str">
        <f>IFERROR(INDEX(Ticket!$B$2:$B$6001,MATCH(B1207,Ticket!$A$2:$A$6001,0)),"Ticket introuvable")</f>
        <v>AG-027</v>
      </c>
    </row>
    <row r="1208" spans="1:7" x14ac:dyDescent="0.35">
      <c r="A1208" s="6" t="s">
        <v>7357</v>
      </c>
      <c r="B1208" s="8" t="s">
        <v>2907</v>
      </c>
      <c r="C1208" s="7">
        <v>45822</v>
      </c>
      <c r="D1208" s="8">
        <v>3</v>
      </c>
      <c r="E1208" s="8"/>
      <c r="F1208" s="9" t="s">
        <v>75</v>
      </c>
      <c r="G1208" t="str">
        <f>IFERROR(INDEX(Ticket!$B$2:$B$6001,MATCH(B1208,Ticket!$A$2:$A$6001,0)),"Ticket introuvable")</f>
        <v>AG-011</v>
      </c>
    </row>
    <row r="1209" spans="1:7" x14ac:dyDescent="0.35">
      <c r="A1209" s="10" t="s">
        <v>7358</v>
      </c>
      <c r="B1209" s="12" t="s">
        <v>1780</v>
      </c>
      <c r="C1209" s="11">
        <v>45772</v>
      </c>
      <c r="D1209" s="12">
        <v>5</v>
      </c>
      <c r="E1209" s="12">
        <v>0</v>
      </c>
      <c r="F1209" s="13" t="s">
        <v>6142</v>
      </c>
      <c r="G1209" t="str">
        <f>IFERROR(INDEX(Ticket!$B$2:$B$6001,MATCH(B1209,Ticket!$A$2:$A$6001,0)),"Ticket introuvable")</f>
        <v>AG-035</v>
      </c>
    </row>
    <row r="1210" spans="1:7" x14ac:dyDescent="0.35">
      <c r="A1210" s="6" t="s">
        <v>7359</v>
      </c>
      <c r="B1210" s="8" t="s">
        <v>4454</v>
      </c>
      <c r="C1210" s="7">
        <v>46018</v>
      </c>
      <c r="D1210" s="8">
        <v>5</v>
      </c>
      <c r="E1210" s="8">
        <v>10</v>
      </c>
      <c r="F1210" s="9" t="s">
        <v>6148</v>
      </c>
      <c r="G1210" t="str">
        <f>IFERROR(INDEX(Ticket!$B$2:$B$6001,MATCH(B1210,Ticket!$A$2:$A$6001,0)),"Ticket introuvable")</f>
        <v>AG-035</v>
      </c>
    </row>
    <row r="1211" spans="1:7" x14ac:dyDescent="0.35">
      <c r="A1211" s="10" t="s">
        <v>7360</v>
      </c>
      <c r="B1211" s="12" t="s">
        <v>2488</v>
      </c>
      <c r="C1211" s="11">
        <v>45683</v>
      </c>
      <c r="D1211" s="12">
        <v>5</v>
      </c>
      <c r="E1211" s="12">
        <v>7</v>
      </c>
      <c r="F1211" s="13" t="s">
        <v>8363</v>
      </c>
      <c r="G1211" t="str">
        <f>IFERROR(INDEX(Ticket!$B$2:$B$6001,MATCH(B1211,Ticket!$A$2:$A$6001,0)),"Ticket introuvable")</f>
        <v>AG-039</v>
      </c>
    </row>
    <row r="1212" spans="1:7" x14ac:dyDescent="0.35">
      <c r="A1212" s="6" t="s">
        <v>7361</v>
      </c>
      <c r="B1212" s="8" t="s">
        <v>3559</v>
      </c>
      <c r="C1212" s="7">
        <v>45689</v>
      </c>
      <c r="D1212" s="8"/>
      <c r="E1212" s="8">
        <v>6</v>
      </c>
      <c r="F1212" s="9" t="s">
        <v>8363</v>
      </c>
      <c r="G1212" t="str">
        <f>IFERROR(INDEX(Ticket!$B$2:$B$6001,MATCH(B1212,Ticket!$A$2:$A$6001,0)),"Ticket introuvable")</f>
        <v>AG-039</v>
      </c>
    </row>
    <row r="1213" spans="1:7" x14ac:dyDescent="0.35">
      <c r="A1213" s="10" t="s">
        <v>7362</v>
      </c>
      <c r="B1213" s="12" t="s">
        <v>4768</v>
      </c>
      <c r="C1213" s="11">
        <v>45895</v>
      </c>
      <c r="D1213" s="12">
        <v>3</v>
      </c>
      <c r="E1213" s="12">
        <v>9</v>
      </c>
      <c r="F1213" s="13" t="s">
        <v>6160</v>
      </c>
      <c r="G1213" t="str">
        <f>IFERROR(INDEX(Ticket!$B$2:$B$6001,MATCH(B1213,Ticket!$A$2:$A$6001,0)),"Ticket introuvable")</f>
        <v>AG-006</v>
      </c>
    </row>
    <row r="1214" spans="1:7" x14ac:dyDescent="0.35">
      <c r="A1214" s="6" t="s">
        <v>7363</v>
      </c>
      <c r="B1214" s="8" t="s">
        <v>1575</v>
      </c>
      <c r="C1214" s="7">
        <v>45987</v>
      </c>
      <c r="D1214" s="8">
        <v>2</v>
      </c>
      <c r="E1214" s="8">
        <v>9</v>
      </c>
      <c r="F1214" s="9" t="s">
        <v>8363</v>
      </c>
      <c r="G1214" t="str">
        <f>IFERROR(INDEX(Ticket!$B$2:$B$6001,MATCH(B1214,Ticket!$A$2:$A$6001,0)),"Ticket introuvable")</f>
        <v>AG-028</v>
      </c>
    </row>
    <row r="1215" spans="1:7" x14ac:dyDescent="0.35">
      <c r="A1215" s="10" t="s">
        <v>7364</v>
      </c>
      <c r="B1215" s="12" t="s">
        <v>3779</v>
      </c>
      <c r="C1215" s="11">
        <v>45708</v>
      </c>
      <c r="D1215" s="12">
        <v>5</v>
      </c>
      <c r="E1215" s="12">
        <v>6</v>
      </c>
      <c r="F1215" s="13" t="s">
        <v>6160</v>
      </c>
      <c r="G1215" t="str">
        <f>IFERROR(INDEX(Ticket!$B$2:$B$6001,MATCH(B1215,Ticket!$A$2:$A$6001,0)),"Ticket introuvable")</f>
        <v>AG-037</v>
      </c>
    </row>
    <row r="1216" spans="1:7" x14ac:dyDescent="0.35">
      <c r="A1216" s="6" t="s">
        <v>7365</v>
      </c>
      <c r="B1216" s="8" t="s">
        <v>1362</v>
      </c>
      <c r="C1216" s="7">
        <v>46010</v>
      </c>
      <c r="D1216" s="8">
        <v>3</v>
      </c>
      <c r="E1216" s="8"/>
      <c r="F1216" s="9" t="s">
        <v>6160</v>
      </c>
      <c r="G1216" t="str">
        <f>IFERROR(INDEX(Ticket!$B$2:$B$6001,MATCH(B1216,Ticket!$A$2:$A$6001,0)),"Ticket introuvable")</f>
        <v>AG-003</v>
      </c>
    </row>
    <row r="1217" spans="1:7" x14ac:dyDescent="0.35">
      <c r="A1217" s="10" t="s">
        <v>7366</v>
      </c>
      <c r="B1217" s="12" t="s">
        <v>861</v>
      </c>
      <c r="C1217" s="11">
        <v>45809</v>
      </c>
      <c r="D1217" s="12">
        <v>4</v>
      </c>
      <c r="E1217" s="12">
        <v>3</v>
      </c>
      <c r="F1217" s="13" t="s">
        <v>8363</v>
      </c>
      <c r="G1217" t="str">
        <f>IFERROR(INDEX(Ticket!$B$2:$B$6001,MATCH(B1217,Ticket!$A$2:$A$6001,0)),"Ticket introuvable")</f>
        <v>AG-003</v>
      </c>
    </row>
    <row r="1218" spans="1:7" x14ac:dyDescent="0.35">
      <c r="A1218" s="6" t="s">
        <v>7367</v>
      </c>
      <c r="B1218" s="8" t="s">
        <v>2848</v>
      </c>
      <c r="C1218" s="7">
        <v>46004</v>
      </c>
      <c r="D1218" s="8">
        <v>3</v>
      </c>
      <c r="E1218" s="8">
        <v>10</v>
      </c>
      <c r="F1218" s="9" t="s">
        <v>6142</v>
      </c>
      <c r="G1218" t="str">
        <f>IFERROR(INDEX(Ticket!$B$2:$B$6001,MATCH(B1218,Ticket!$A$2:$A$6001,0)),"Ticket introuvable")</f>
        <v>AG-034</v>
      </c>
    </row>
    <row r="1219" spans="1:7" x14ac:dyDescent="0.35">
      <c r="A1219" s="10" t="s">
        <v>7368</v>
      </c>
      <c r="B1219" s="12" t="s">
        <v>516</v>
      </c>
      <c r="C1219" s="11">
        <v>45810</v>
      </c>
      <c r="D1219" s="12">
        <v>5</v>
      </c>
      <c r="E1219" s="12">
        <v>8</v>
      </c>
      <c r="F1219" s="13" t="s">
        <v>6153</v>
      </c>
      <c r="G1219" t="str">
        <f>IFERROR(INDEX(Ticket!$B$2:$B$6001,MATCH(B1219,Ticket!$A$2:$A$6001,0)),"Ticket introuvable")</f>
        <v>AG-037</v>
      </c>
    </row>
    <row r="1220" spans="1:7" x14ac:dyDescent="0.35">
      <c r="A1220" s="6" t="s">
        <v>7369</v>
      </c>
      <c r="B1220" s="8" t="s">
        <v>1996</v>
      </c>
      <c r="C1220" s="7">
        <v>45928</v>
      </c>
      <c r="D1220" s="8"/>
      <c r="E1220" s="8">
        <v>9</v>
      </c>
      <c r="F1220" s="9" t="s">
        <v>6153</v>
      </c>
      <c r="G1220" t="str">
        <f>IFERROR(INDEX(Ticket!$B$2:$B$6001,MATCH(B1220,Ticket!$A$2:$A$6001,0)),"Ticket introuvable")</f>
        <v>AG-012</v>
      </c>
    </row>
    <row r="1221" spans="1:7" x14ac:dyDescent="0.35">
      <c r="A1221" s="10" t="s">
        <v>7370</v>
      </c>
      <c r="B1221" s="12" t="s">
        <v>3053</v>
      </c>
      <c r="C1221" s="11">
        <v>45684</v>
      </c>
      <c r="D1221" s="12">
        <v>4</v>
      </c>
      <c r="E1221" s="12">
        <v>4</v>
      </c>
      <c r="F1221" s="13" t="s">
        <v>75</v>
      </c>
      <c r="G1221" t="str">
        <f>IFERROR(INDEX(Ticket!$B$2:$B$6001,MATCH(B1221,Ticket!$A$2:$A$6001,0)),"Ticket introuvable")</f>
        <v>AG-014</v>
      </c>
    </row>
    <row r="1222" spans="1:7" x14ac:dyDescent="0.35">
      <c r="A1222" s="6" t="s">
        <v>7371</v>
      </c>
      <c r="B1222" s="8" t="s">
        <v>1797</v>
      </c>
      <c r="C1222" s="7">
        <v>45939</v>
      </c>
      <c r="D1222" s="8">
        <v>5</v>
      </c>
      <c r="E1222" s="8">
        <v>10</v>
      </c>
      <c r="F1222" s="9" t="s">
        <v>6160</v>
      </c>
      <c r="G1222" t="str">
        <f>IFERROR(INDEX(Ticket!$B$2:$B$6001,MATCH(B1222,Ticket!$A$2:$A$6001,0)),"Ticket introuvable")</f>
        <v>AG-006</v>
      </c>
    </row>
    <row r="1223" spans="1:7" x14ac:dyDescent="0.35">
      <c r="A1223" s="10" t="s">
        <v>7372</v>
      </c>
      <c r="B1223" s="12" t="s">
        <v>2787</v>
      </c>
      <c r="C1223" s="11">
        <v>45659</v>
      </c>
      <c r="D1223" s="12">
        <v>4</v>
      </c>
      <c r="E1223" s="12">
        <v>1</v>
      </c>
      <c r="F1223" s="13" t="s">
        <v>8363</v>
      </c>
      <c r="G1223" t="str">
        <f>IFERROR(INDEX(Ticket!$B$2:$B$6001,MATCH(B1223,Ticket!$A$2:$A$6001,0)),"Ticket introuvable")</f>
        <v>AG-023</v>
      </c>
    </row>
    <row r="1224" spans="1:7" x14ac:dyDescent="0.35">
      <c r="A1224" s="6" t="s">
        <v>7373</v>
      </c>
      <c r="B1224" s="8" t="s">
        <v>5556</v>
      </c>
      <c r="C1224" s="7">
        <v>46018</v>
      </c>
      <c r="D1224" s="8">
        <v>5</v>
      </c>
      <c r="E1224" s="8"/>
      <c r="F1224" s="9" t="s">
        <v>6142</v>
      </c>
      <c r="G1224" t="str">
        <f>IFERROR(INDEX(Ticket!$B$2:$B$6001,MATCH(B1224,Ticket!$A$2:$A$6001,0)),"Ticket introuvable")</f>
        <v>AG-019</v>
      </c>
    </row>
    <row r="1225" spans="1:7" x14ac:dyDescent="0.35">
      <c r="A1225" s="10" t="s">
        <v>7374</v>
      </c>
      <c r="B1225" s="12" t="s">
        <v>1118</v>
      </c>
      <c r="C1225" s="11">
        <v>45672</v>
      </c>
      <c r="D1225" s="12">
        <v>5</v>
      </c>
      <c r="E1225" s="12">
        <v>2</v>
      </c>
      <c r="F1225" s="13" t="s">
        <v>6148</v>
      </c>
      <c r="G1225" t="str">
        <f>IFERROR(INDEX(Ticket!$B$2:$B$6001,MATCH(B1225,Ticket!$A$2:$A$6001,0)),"Ticket introuvable")</f>
        <v>AG-037</v>
      </c>
    </row>
    <row r="1226" spans="1:7" x14ac:dyDescent="0.35">
      <c r="A1226" s="6" t="s">
        <v>7375</v>
      </c>
      <c r="B1226" s="8" t="s">
        <v>1632</v>
      </c>
      <c r="C1226" s="7">
        <v>45830</v>
      </c>
      <c r="D1226" s="8">
        <v>5</v>
      </c>
      <c r="E1226" s="8">
        <v>10</v>
      </c>
      <c r="F1226" s="9" t="s">
        <v>6148</v>
      </c>
      <c r="G1226" t="str">
        <f>IFERROR(INDEX(Ticket!$B$2:$B$6001,MATCH(B1226,Ticket!$A$2:$A$6001,0)),"Ticket introuvable")</f>
        <v>AG-038</v>
      </c>
    </row>
    <row r="1227" spans="1:7" x14ac:dyDescent="0.35">
      <c r="A1227" s="10" t="s">
        <v>7376</v>
      </c>
      <c r="B1227" s="12" t="s">
        <v>4048</v>
      </c>
      <c r="C1227" s="11">
        <v>45840</v>
      </c>
      <c r="D1227" s="12">
        <v>2</v>
      </c>
      <c r="E1227" s="12">
        <v>0</v>
      </c>
      <c r="F1227" s="13" t="s">
        <v>6148</v>
      </c>
      <c r="G1227" t="str">
        <f>IFERROR(INDEX(Ticket!$B$2:$B$6001,MATCH(B1227,Ticket!$A$2:$A$6001,0)),"Ticket introuvable")</f>
        <v>AG-036</v>
      </c>
    </row>
    <row r="1228" spans="1:7" x14ac:dyDescent="0.35">
      <c r="A1228" s="6" t="s">
        <v>7377</v>
      </c>
      <c r="B1228" s="8" t="s">
        <v>1059</v>
      </c>
      <c r="C1228" s="7">
        <v>45803</v>
      </c>
      <c r="D1228" s="8">
        <v>4</v>
      </c>
      <c r="E1228" s="8">
        <v>8</v>
      </c>
      <c r="F1228" s="9" t="s">
        <v>6160</v>
      </c>
      <c r="G1228" t="str">
        <f>IFERROR(INDEX(Ticket!$B$2:$B$6001,MATCH(B1228,Ticket!$A$2:$A$6001,0)),"Ticket introuvable")</f>
        <v>AG-039</v>
      </c>
    </row>
    <row r="1229" spans="1:7" x14ac:dyDescent="0.35">
      <c r="A1229" s="10" t="s">
        <v>7378</v>
      </c>
      <c r="B1229" s="12" t="s">
        <v>2845</v>
      </c>
      <c r="C1229" s="11">
        <v>45711</v>
      </c>
      <c r="D1229" s="12">
        <v>5</v>
      </c>
      <c r="E1229" s="12">
        <v>2</v>
      </c>
      <c r="F1229" s="13" t="s">
        <v>6153</v>
      </c>
      <c r="G1229" t="str">
        <f>IFERROR(INDEX(Ticket!$B$2:$B$6001,MATCH(B1229,Ticket!$A$2:$A$6001,0)),"Ticket introuvable")</f>
        <v>AG-028</v>
      </c>
    </row>
    <row r="1230" spans="1:7" x14ac:dyDescent="0.35">
      <c r="A1230" s="6" t="s">
        <v>7379</v>
      </c>
      <c r="B1230" s="8" t="s">
        <v>6066</v>
      </c>
      <c r="C1230" s="7">
        <v>45993</v>
      </c>
      <c r="D1230" s="8">
        <v>1</v>
      </c>
      <c r="E1230" s="8">
        <v>3</v>
      </c>
      <c r="F1230" s="9" t="s">
        <v>8363</v>
      </c>
      <c r="G1230" t="str">
        <f>IFERROR(INDEX(Ticket!$B$2:$B$6001,MATCH(B1230,Ticket!$A$2:$A$6001,0)),"Ticket introuvable")</f>
        <v>AG-031</v>
      </c>
    </row>
    <row r="1231" spans="1:7" x14ac:dyDescent="0.35">
      <c r="A1231" s="10" t="s">
        <v>7380</v>
      </c>
      <c r="B1231" s="12" t="s">
        <v>3990</v>
      </c>
      <c r="C1231" s="11">
        <v>45698</v>
      </c>
      <c r="D1231" s="12">
        <v>4</v>
      </c>
      <c r="E1231" s="12">
        <v>10</v>
      </c>
      <c r="F1231" s="13" t="s">
        <v>8363</v>
      </c>
      <c r="G1231" t="str">
        <f>IFERROR(INDEX(Ticket!$B$2:$B$6001,MATCH(B1231,Ticket!$A$2:$A$6001,0)),"Ticket introuvable")</f>
        <v>AG-022</v>
      </c>
    </row>
    <row r="1232" spans="1:7" x14ac:dyDescent="0.35">
      <c r="A1232" s="6" t="s">
        <v>7381</v>
      </c>
      <c r="B1232" s="8" t="s">
        <v>2026</v>
      </c>
      <c r="C1232" s="7">
        <v>45853</v>
      </c>
      <c r="D1232" s="8">
        <v>5</v>
      </c>
      <c r="E1232" s="8">
        <v>9</v>
      </c>
      <c r="F1232" s="9" t="s">
        <v>6153</v>
      </c>
      <c r="G1232" t="str">
        <f>IFERROR(INDEX(Ticket!$B$2:$B$6001,MATCH(B1232,Ticket!$A$2:$A$6001,0)),"Ticket introuvable")</f>
        <v>AG-028</v>
      </c>
    </row>
    <row r="1233" spans="1:7" x14ac:dyDescent="0.35">
      <c r="A1233" s="10" t="s">
        <v>7382</v>
      </c>
      <c r="B1233" s="12" t="s">
        <v>3376</v>
      </c>
      <c r="C1233" s="11">
        <v>45725</v>
      </c>
      <c r="D1233" s="12">
        <v>4</v>
      </c>
      <c r="E1233" s="12">
        <v>8</v>
      </c>
      <c r="F1233" s="13" t="s">
        <v>8363</v>
      </c>
      <c r="G1233" t="str">
        <f>IFERROR(INDEX(Ticket!$B$2:$B$6001,MATCH(B1233,Ticket!$A$2:$A$6001,0)),"Ticket introuvable")</f>
        <v>AG-015</v>
      </c>
    </row>
    <row r="1234" spans="1:7" x14ac:dyDescent="0.35">
      <c r="A1234" s="6" t="s">
        <v>7383</v>
      </c>
      <c r="B1234" s="8" t="s">
        <v>1685</v>
      </c>
      <c r="C1234" s="7">
        <v>45723</v>
      </c>
      <c r="D1234" s="8">
        <v>4</v>
      </c>
      <c r="E1234" s="8">
        <v>6</v>
      </c>
      <c r="F1234" s="9" t="s">
        <v>8363</v>
      </c>
      <c r="G1234" t="str">
        <f>IFERROR(INDEX(Ticket!$B$2:$B$6001,MATCH(B1234,Ticket!$A$2:$A$6001,0)),"Ticket introuvable")</f>
        <v>AG-032</v>
      </c>
    </row>
    <row r="1235" spans="1:7" x14ac:dyDescent="0.35">
      <c r="A1235" s="10" t="s">
        <v>7384</v>
      </c>
      <c r="B1235" s="12" t="s">
        <v>1503</v>
      </c>
      <c r="C1235" s="11">
        <v>45770</v>
      </c>
      <c r="D1235" s="12">
        <v>4</v>
      </c>
      <c r="E1235" s="12">
        <v>0</v>
      </c>
      <c r="F1235" s="13" t="s">
        <v>6142</v>
      </c>
      <c r="G1235" t="str">
        <f>IFERROR(INDEX(Ticket!$B$2:$B$6001,MATCH(B1235,Ticket!$A$2:$A$6001,0)),"Ticket introuvable")</f>
        <v>AG-017</v>
      </c>
    </row>
    <row r="1236" spans="1:7" x14ac:dyDescent="0.35">
      <c r="A1236" s="6" t="s">
        <v>7385</v>
      </c>
      <c r="B1236" s="8" t="s">
        <v>1567</v>
      </c>
      <c r="C1236" s="7">
        <v>45706</v>
      </c>
      <c r="D1236" s="8">
        <v>4</v>
      </c>
      <c r="E1236" s="8">
        <v>8</v>
      </c>
      <c r="F1236" s="9" t="s">
        <v>6153</v>
      </c>
      <c r="G1236" t="str">
        <f>IFERROR(INDEX(Ticket!$B$2:$B$6001,MATCH(B1236,Ticket!$A$2:$A$6001,0)),"Ticket introuvable")</f>
        <v>AG-017</v>
      </c>
    </row>
    <row r="1237" spans="1:7" x14ac:dyDescent="0.35">
      <c r="A1237" s="10" t="s">
        <v>7386</v>
      </c>
      <c r="B1237" s="12" t="s">
        <v>451</v>
      </c>
      <c r="C1237" s="11">
        <v>45899</v>
      </c>
      <c r="D1237" s="12">
        <v>5</v>
      </c>
      <c r="E1237" s="12">
        <v>9</v>
      </c>
      <c r="F1237" s="13" t="s">
        <v>6142</v>
      </c>
      <c r="G1237" t="str">
        <f>IFERROR(INDEX(Ticket!$B$2:$B$6001,MATCH(B1237,Ticket!$A$2:$A$6001,0)),"Ticket introuvable")</f>
        <v>AG-005</v>
      </c>
    </row>
    <row r="1238" spans="1:7" x14ac:dyDescent="0.35">
      <c r="A1238" s="6" t="s">
        <v>7387</v>
      </c>
      <c r="B1238" s="8" t="s">
        <v>3021</v>
      </c>
      <c r="C1238" s="7">
        <v>45729</v>
      </c>
      <c r="D1238" s="8">
        <v>3</v>
      </c>
      <c r="E1238" s="8">
        <v>2</v>
      </c>
      <c r="F1238" s="9" t="s">
        <v>8363</v>
      </c>
      <c r="G1238" t="str">
        <f>IFERROR(INDEX(Ticket!$B$2:$B$6001,MATCH(B1238,Ticket!$A$2:$A$6001,0)),"Ticket introuvable")</f>
        <v>AG-011</v>
      </c>
    </row>
    <row r="1239" spans="1:7" x14ac:dyDescent="0.35">
      <c r="A1239" s="10" t="s">
        <v>7388</v>
      </c>
      <c r="B1239" s="12" t="s">
        <v>1458</v>
      </c>
      <c r="C1239" s="11">
        <v>45965</v>
      </c>
      <c r="D1239" s="12">
        <v>5</v>
      </c>
      <c r="E1239" s="12"/>
      <c r="F1239" s="13" t="s">
        <v>6142</v>
      </c>
      <c r="G1239" t="str">
        <f>IFERROR(INDEX(Ticket!$B$2:$B$6001,MATCH(B1239,Ticket!$A$2:$A$6001,0)),"Ticket introuvable")</f>
        <v>AG-028</v>
      </c>
    </row>
    <row r="1240" spans="1:7" x14ac:dyDescent="0.35">
      <c r="A1240" s="6" t="s">
        <v>7389</v>
      </c>
      <c r="B1240" s="8" t="s">
        <v>5019</v>
      </c>
      <c r="C1240" s="7">
        <v>46005</v>
      </c>
      <c r="D1240" s="8">
        <v>2</v>
      </c>
      <c r="E1240" s="8">
        <v>0</v>
      </c>
      <c r="F1240" s="9" t="s">
        <v>6160</v>
      </c>
      <c r="G1240" t="str">
        <f>IFERROR(INDEX(Ticket!$B$2:$B$6001,MATCH(B1240,Ticket!$A$2:$A$6001,0)),"Ticket introuvable")</f>
        <v>AG-013</v>
      </c>
    </row>
    <row r="1241" spans="1:7" x14ac:dyDescent="0.35">
      <c r="A1241" s="10" t="s">
        <v>7390</v>
      </c>
      <c r="B1241" s="12" t="s">
        <v>5187</v>
      </c>
      <c r="C1241" s="11">
        <v>45726</v>
      </c>
      <c r="D1241" s="12">
        <v>4</v>
      </c>
      <c r="E1241" s="12">
        <v>5</v>
      </c>
      <c r="F1241" s="13" t="s">
        <v>6142</v>
      </c>
      <c r="G1241" t="str">
        <f>IFERROR(INDEX(Ticket!$B$2:$B$6001,MATCH(B1241,Ticket!$A$2:$A$6001,0)),"Ticket introuvable")</f>
        <v>AG-031</v>
      </c>
    </row>
    <row r="1242" spans="1:7" x14ac:dyDescent="0.35">
      <c r="A1242" s="6" t="s">
        <v>7391</v>
      </c>
      <c r="B1242" s="8" t="s">
        <v>196</v>
      </c>
      <c r="C1242" s="7">
        <v>45722</v>
      </c>
      <c r="D1242" s="8">
        <v>4</v>
      </c>
      <c r="E1242" s="8">
        <v>8</v>
      </c>
      <c r="F1242" s="9" t="s">
        <v>6153</v>
      </c>
      <c r="G1242" t="str">
        <f>IFERROR(INDEX(Ticket!$B$2:$B$6001,MATCH(B1242,Ticket!$A$2:$A$6001,0)),"Ticket introuvable")</f>
        <v>AG-040</v>
      </c>
    </row>
    <row r="1243" spans="1:7" x14ac:dyDescent="0.35">
      <c r="A1243" s="10" t="s">
        <v>7392</v>
      </c>
      <c r="B1243" s="12" t="s">
        <v>1868</v>
      </c>
      <c r="C1243" s="11">
        <v>45871</v>
      </c>
      <c r="D1243" s="12">
        <v>5</v>
      </c>
      <c r="E1243" s="12">
        <v>6</v>
      </c>
      <c r="F1243" s="13" t="s">
        <v>8363</v>
      </c>
      <c r="G1243" t="str">
        <f>IFERROR(INDEX(Ticket!$B$2:$B$6001,MATCH(B1243,Ticket!$A$2:$A$6001,0)),"Ticket introuvable")</f>
        <v>AG-018</v>
      </c>
    </row>
    <row r="1244" spans="1:7" x14ac:dyDescent="0.35">
      <c r="A1244" s="6" t="s">
        <v>7393</v>
      </c>
      <c r="B1244" s="8" t="s">
        <v>2757</v>
      </c>
      <c r="C1244" s="7">
        <v>45671</v>
      </c>
      <c r="D1244" s="8">
        <v>4</v>
      </c>
      <c r="E1244" s="8">
        <v>10</v>
      </c>
      <c r="F1244" s="9" t="s">
        <v>6160</v>
      </c>
      <c r="G1244" t="str">
        <f>IFERROR(INDEX(Ticket!$B$2:$B$6001,MATCH(B1244,Ticket!$A$2:$A$6001,0)),"Ticket introuvable")</f>
        <v>AG-023</v>
      </c>
    </row>
    <row r="1245" spans="1:7" x14ac:dyDescent="0.35">
      <c r="A1245" s="10" t="s">
        <v>7394</v>
      </c>
      <c r="B1245" s="12" t="s">
        <v>3666</v>
      </c>
      <c r="C1245" s="11">
        <v>45887</v>
      </c>
      <c r="D1245" s="12">
        <v>4</v>
      </c>
      <c r="E1245" s="12">
        <v>8</v>
      </c>
      <c r="F1245" s="13" t="s">
        <v>6142</v>
      </c>
      <c r="G1245" t="str">
        <f>IFERROR(INDEX(Ticket!$B$2:$B$6001,MATCH(B1245,Ticket!$A$2:$A$6001,0)),"Ticket introuvable")</f>
        <v>AG-022</v>
      </c>
    </row>
    <row r="1246" spans="1:7" x14ac:dyDescent="0.35">
      <c r="A1246" s="6" t="s">
        <v>7395</v>
      </c>
      <c r="B1246" s="8" t="s">
        <v>5115</v>
      </c>
      <c r="C1246" s="7">
        <v>45889</v>
      </c>
      <c r="D1246" s="8">
        <v>3</v>
      </c>
      <c r="E1246" s="8">
        <v>9</v>
      </c>
      <c r="F1246" s="9" t="s">
        <v>8363</v>
      </c>
      <c r="G1246" t="str">
        <f>IFERROR(INDEX(Ticket!$B$2:$B$6001,MATCH(B1246,Ticket!$A$2:$A$6001,0)),"Ticket introuvable")</f>
        <v>AG-013</v>
      </c>
    </row>
    <row r="1247" spans="1:7" x14ac:dyDescent="0.35">
      <c r="A1247" s="10" t="s">
        <v>7396</v>
      </c>
      <c r="B1247" s="12" t="s">
        <v>218</v>
      </c>
      <c r="C1247" s="11">
        <v>45904</v>
      </c>
      <c r="D1247" s="12">
        <v>5</v>
      </c>
      <c r="E1247" s="12">
        <v>9</v>
      </c>
      <c r="F1247" s="13" t="s">
        <v>8363</v>
      </c>
      <c r="G1247" t="str">
        <f>IFERROR(INDEX(Ticket!$B$2:$B$6001,MATCH(B1247,Ticket!$A$2:$A$6001,0)),"Ticket introuvable")</f>
        <v>AG-033</v>
      </c>
    </row>
    <row r="1248" spans="1:7" x14ac:dyDescent="0.35">
      <c r="A1248" s="6" t="s">
        <v>7397</v>
      </c>
      <c r="B1248" s="8" t="s">
        <v>3687</v>
      </c>
      <c r="C1248" s="7">
        <v>45708</v>
      </c>
      <c r="D1248" s="8"/>
      <c r="E1248" s="8">
        <v>7</v>
      </c>
      <c r="F1248" s="9" t="s">
        <v>75</v>
      </c>
      <c r="G1248" t="str">
        <f>IFERROR(INDEX(Ticket!$B$2:$B$6001,MATCH(B1248,Ticket!$A$2:$A$6001,0)),"Ticket introuvable")</f>
        <v>AG-017</v>
      </c>
    </row>
    <row r="1249" spans="1:7" x14ac:dyDescent="0.35">
      <c r="A1249" s="10" t="s">
        <v>7398</v>
      </c>
      <c r="B1249" s="12" t="s">
        <v>1782</v>
      </c>
      <c r="C1249" s="11">
        <v>45670</v>
      </c>
      <c r="D1249" s="12">
        <v>5</v>
      </c>
      <c r="E1249" s="12"/>
      <c r="F1249" s="13" t="s">
        <v>6160</v>
      </c>
      <c r="G1249" t="str">
        <f>IFERROR(INDEX(Ticket!$B$2:$B$6001,MATCH(B1249,Ticket!$A$2:$A$6001,0)),"Ticket introuvable")</f>
        <v>AG-014</v>
      </c>
    </row>
    <row r="1250" spans="1:7" x14ac:dyDescent="0.35">
      <c r="A1250" s="6" t="s">
        <v>7399</v>
      </c>
      <c r="B1250" s="8" t="s">
        <v>2212</v>
      </c>
      <c r="C1250" s="7">
        <v>45873</v>
      </c>
      <c r="D1250" s="8">
        <v>5</v>
      </c>
      <c r="E1250" s="8">
        <v>8</v>
      </c>
      <c r="F1250" s="9" t="s">
        <v>8363</v>
      </c>
      <c r="G1250" t="str">
        <f>IFERROR(INDEX(Ticket!$B$2:$B$6001,MATCH(B1250,Ticket!$A$2:$A$6001,0)),"Ticket introuvable")</f>
        <v>AG-039</v>
      </c>
    </row>
    <row r="1251" spans="1:7" x14ac:dyDescent="0.35">
      <c r="A1251" s="10" t="s">
        <v>7400</v>
      </c>
      <c r="B1251" s="12" t="s">
        <v>2746</v>
      </c>
      <c r="C1251" s="11">
        <v>46006</v>
      </c>
      <c r="D1251" s="12">
        <v>4</v>
      </c>
      <c r="E1251" s="12"/>
      <c r="F1251" s="13" t="s">
        <v>6153</v>
      </c>
      <c r="G1251" t="str">
        <f>IFERROR(INDEX(Ticket!$B$2:$B$6001,MATCH(B1251,Ticket!$A$2:$A$6001,0)),"Ticket introuvable")</f>
        <v>AG-032</v>
      </c>
    </row>
    <row r="1252" spans="1:7" x14ac:dyDescent="0.35">
      <c r="A1252" s="6" t="s">
        <v>7401</v>
      </c>
      <c r="B1252" s="8" t="s">
        <v>4400</v>
      </c>
      <c r="C1252" s="7">
        <v>45739</v>
      </c>
      <c r="D1252" s="8"/>
      <c r="E1252" s="8">
        <v>9</v>
      </c>
      <c r="F1252" s="9" t="s">
        <v>75</v>
      </c>
      <c r="G1252" t="str">
        <f>IFERROR(INDEX(Ticket!$B$2:$B$6001,MATCH(B1252,Ticket!$A$2:$A$6001,0)),"Ticket introuvable")</f>
        <v>AG-032</v>
      </c>
    </row>
    <row r="1253" spans="1:7" x14ac:dyDescent="0.35">
      <c r="A1253" s="10" t="s">
        <v>7402</v>
      </c>
      <c r="B1253" s="12" t="s">
        <v>4083</v>
      </c>
      <c r="C1253" s="11">
        <v>45661</v>
      </c>
      <c r="D1253" s="12">
        <v>3</v>
      </c>
      <c r="E1253" s="12">
        <v>7</v>
      </c>
      <c r="F1253" s="13" t="s">
        <v>6153</v>
      </c>
      <c r="G1253" t="str">
        <f>IFERROR(INDEX(Ticket!$B$2:$B$6001,MATCH(B1253,Ticket!$A$2:$A$6001,0)),"Ticket introuvable")</f>
        <v>AG-035</v>
      </c>
    </row>
    <row r="1254" spans="1:7" x14ac:dyDescent="0.35">
      <c r="A1254" s="6" t="s">
        <v>7403</v>
      </c>
      <c r="B1254" s="8" t="s">
        <v>2362</v>
      </c>
      <c r="C1254" s="7">
        <v>45872</v>
      </c>
      <c r="D1254" s="8">
        <v>5</v>
      </c>
      <c r="E1254" s="8">
        <v>9</v>
      </c>
      <c r="F1254" s="9" t="s">
        <v>75</v>
      </c>
      <c r="G1254" t="str">
        <f>IFERROR(INDEX(Ticket!$B$2:$B$6001,MATCH(B1254,Ticket!$A$2:$A$6001,0)),"Ticket introuvable")</f>
        <v>AG-012</v>
      </c>
    </row>
    <row r="1255" spans="1:7" x14ac:dyDescent="0.35">
      <c r="A1255" s="10" t="s">
        <v>7404</v>
      </c>
      <c r="B1255" s="12" t="s">
        <v>4123</v>
      </c>
      <c r="C1255" s="11">
        <v>45897</v>
      </c>
      <c r="D1255" s="12">
        <v>5</v>
      </c>
      <c r="E1255" s="12">
        <v>10</v>
      </c>
      <c r="F1255" s="13" t="s">
        <v>75</v>
      </c>
      <c r="G1255" t="str">
        <f>IFERROR(INDEX(Ticket!$B$2:$B$6001,MATCH(B1255,Ticket!$A$2:$A$6001,0)),"Ticket introuvable")</f>
        <v>AG-037</v>
      </c>
    </row>
    <row r="1256" spans="1:7" x14ac:dyDescent="0.35">
      <c r="A1256" s="6" t="s">
        <v>7405</v>
      </c>
      <c r="B1256" s="8" t="s">
        <v>336</v>
      </c>
      <c r="C1256" s="7">
        <v>45945</v>
      </c>
      <c r="D1256" s="8">
        <v>4</v>
      </c>
      <c r="E1256" s="8">
        <v>7</v>
      </c>
      <c r="F1256" s="9" t="s">
        <v>6148</v>
      </c>
      <c r="G1256" t="str">
        <f>IFERROR(INDEX(Ticket!$B$2:$B$6001,MATCH(B1256,Ticket!$A$2:$A$6001,0)),"Ticket introuvable")</f>
        <v>AG-037</v>
      </c>
    </row>
    <row r="1257" spans="1:7" x14ac:dyDescent="0.35">
      <c r="A1257" s="10" t="s">
        <v>7406</v>
      </c>
      <c r="B1257" s="12" t="s">
        <v>5896</v>
      </c>
      <c r="C1257" s="11">
        <v>45668</v>
      </c>
      <c r="D1257" s="12">
        <v>4</v>
      </c>
      <c r="E1257" s="12">
        <v>8</v>
      </c>
      <c r="F1257" s="13" t="s">
        <v>6160</v>
      </c>
      <c r="G1257" t="str">
        <f>IFERROR(INDEX(Ticket!$B$2:$B$6001,MATCH(B1257,Ticket!$A$2:$A$6001,0)),"Ticket introuvable")</f>
        <v>AG-028</v>
      </c>
    </row>
    <row r="1258" spans="1:7" x14ac:dyDescent="0.35">
      <c r="A1258" s="6" t="s">
        <v>7407</v>
      </c>
      <c r="B1258" s="8" t="s">
        <v>3871</v>
      </c>
      <c r="C1258" s="7">
        <v>46019</v>
      </c>
      <c r="D1258" s="8">
        <v>3</v>
      </c>
      <c r="E1258" s="8">
        <v>8</v>
      </c>
      <c r="F1258" s="9" t="s">
        <v>6153</v>
      </c>
      <c r="G1258" t="str">
        <f>IFERROR(INDEX(Ticket!$B$2:$B$6001,MATCH(B1258,Ticket!$A$2:$A$6001,0)),"Ticket introuvable")</f>
        <v>AG-025</v>
      </c>
    </row>
    <row r="1259" spans="1:7" x14ac:dyDescent="0.35">
      <c r="A1259" s="10" t="s">
        <v>7408</v>
      </c>
      <c r="B1259" s="12" t="s">
        <v>6025</v>
      </c>
      <c r="C1259" s="11">
        <v>45685</v>
      </c>
      <c r="D1259" s="12">
        <v>2</v>
      </c>
      <c r="E1259" s="12">
        <v>0</v>
      </c>
      <c r="F1259" s="13" t="s">
        <v>6160</v>
      </c>
      <c r="G1259" t="str">
        <f>IFERROR(INDEX(Ticket!$B$2:$B$6001,MATCH(B1259,Ticket!$A$2:$A$6001,0)),"Ticket introuvable")</f>
        <v>AG-029</v>
      </c>
    </row>
    <row r="1260" spans="1:7" x14ac:dyDescent="0.35">
      <c r="A1260" s="6" t="s">
        <v>7409</v>
      </c>
      <c r="B1260" s="8" t="s">
        <v>4721</v>
      </c>
      <c r="C1260" s="7">
        <v>45672</v>
      </c>
      <c r="D1260" s="8">
        <v>2</v>
      </c>
      <c r="E1260" s="8">
        <v>8</v>
      </c>
      <c r="F1260" s="9" t="s">
        <v>8363</v>
      </c>
      <c r="G1260" t="str">
        <f>IFERROR(INDEX(Ticket!$B$2:$B$6001,MATCH(B1260,Ticket!$A$2:$A$6001,0)),"Ticket introuvable")</f>
        <v>AG-010</v>
      </c>
    </row>
    <row r="1261" spans="1:7" x14ac:dyDescent="0.35">
      <c r="A1261" s="10" t="s">
        <v>7410</v>
      </c>
      <c r="B1261" s="12" t="s">
        <v>7411</v>
      </c>
      <c r="C1261" s="11">
        <v>45729</v>
      </c>
      <c r="D1261" s="12"/>
      <c r="E1261" s="12">
        <v>5</v>
      </c>
      <c r="F1261" s="13" t="s">
        <v>6148</v>
      </c>
      <c r="G1261" t="str">
        <f>IFERROR(INDEX(Ticket!$B$2:$B$6001,MATCH(B1261,Ticket!$A$2:$A$6001,0)),"Ticket introuvable")</f>
        <v>Ticket introuvable</v>
      </c>
    </row>
    <row r="1262" spans="1:7" x14ac:dyDescent="0.35">
      <c r="A1262" s="6" t="s">
        <v>7412</v>
      </c>
      <c r="B1262" s="8" t="s">
        <v>5564</v>
      </c>
      <c r="C1262" s="7">
        <v>45964</v>
      </c>
      <c r="D1262" s="8">
        <v>3</v>
      </c>
      <c r="E1262" s="8"/>
      <c r="F1262" s="9" t="s">
        <v>6153</v>
      </c>
      <c r="G1262" t="str">
        <f>IFERROR(INDEX(Ticket!$B$2:$B$6001,MATCH(B1262,Ticket!$A$2:$A$6001,0)),"Ticket introuvable")</f>
        <v>AG-023</v>
      </c>
    </row>
    <row r="1263" spans="1:7" x14ac:dyDescent="0.35">
      <c r="A1263" s="10" t="s">
        <v>7413</v>
      </c>
      <c r="B1263" s="12" t="s">
        <v>7414</v>
      </c>
      <c r="C1263" s="11">
        <v>45931</v>
      </c>
      <c r="D1263" s="12">
        <v>5</v>
      </c>
      <c r="E1263" s="12">
        <v>8</v>
      </c>
      <c r="F1263" s="13" t="s">
        <v>8363</v>
      </c>
      <c r="G1263" t="str">
        <f>IFERROR(INDEX(Ticket!$B$2:$B$6001,MATCH(B1263,Ticket!$A$2:$A$6001,0)),"Ticket introuvable")</f>
        <v>Ticket introuvable</v>
      </c>
    </row>
    <row r="1264" spans="1:7" x14ac:dyDescent="0.35">
      <c r="A1264" s="6" t="s">
        <v>7415</v>
      </c>
      <c r="B1264" s="8" t="s">
        <v>1629</v>
      </c>
      <c r="C1264" s="7">
        <v>45822</v>
      </c>
      <c r="D1264" s="8">
        <v>4</v>
      </c>
      <c r="E1264" s="8">
        <v>10</v>
      </c>
      <c r="F1264" s="9" t="s">
        <v>6148</v>
      </c>
      <c r="G1264" t="str">
        <f>IFERROR(INDEX(Ticket!$B$2:$B$6001,MATCH(B1264,Ticket!$A$2:$A$6001,0)),"Ticket introuvable")</f>
        <v>AG-003</v>
      </c>
    </row>
    <row r="1265" spans="1:7" x14ac:dyDescent="0.35">
      <c r="A1265" s="10" t="s">
        <v>7416</v>
      </c>
      <c r="B1265" s="12" t="s">
        <v>5118</v>
      </c>
      <c r="C1265" s="11">
        <v>45747</v>
      </c>
      <c r="D1265" s="12">
        <v>4</v>
      </c>
      <c r="E1265" s="12">
        <v>1</v>
      </c>
      <c r="F1265" s="13" t="s">
        <v>6153</v>
      </c>
      <c r="G1265" t="str">
        <f>IFERROR(INDEX(Ticket!$B$2:$B$6001,MATCH(B1265,Ticket!$A$2:$A$6001,0)),"Ticket introuvable")</f>
        <v>AG-017</v>
      </c>
    </row>
    <row r="1266" spans="1:7" x14ac:dyDescent="0.35">
      <c r="A1266" s="6" t="s">
        <v>7417</v>
      </c>
      <c r="B1266" s="8" t="s">
        <v>1665</v>
      </c>
      <c r="C1266" s="7">
        <v>45918</v>
      </c>
      <c r="D1266" s="8">
        <v>4</v>
      </c>
      <c r="E1266" s="8">
        <v>9</v>
      </c>
      <c r="F1266" s="9" t="s">
        <v>8363</v>
      </c>
      <c r="G1266" t="str">
        <f>IFERROR(INDEX(Ticket!$B$2:$B$6001,MATCH(B1266,Ticket!$A$2:$A$6001,0)),"Ticket introuvable")</f>
        <v>AG-035</v>
      </c>
    </row>
    <row r="1267" spans="1:7" x14ac:dyDescent="0.35">
      <c r="A1267" s="10" t="s">
        <v>7418</v>
      </c>
      <c r="B1267" s="12" t="s">
        <v>7419</v>
      </c>
      <c r="C1267" s="11">
        <v>45805</v>
      </c>
      <c r="D1267" s="12">
        <v>5</v>
      </c>
      <c r="E1267" s="12">
        <v>8</v>
      </c>
      <c r="F1267" s="13" t="s">
        <v>6160</v>
      </c>
      <c r="G1267" t="str">
        <f>IFERROR(INDEX(Ticket!$B$2:$B$6001,MATCH(B1267,Ticket!$A$2:$A$6001,0)),"Ticket introuvable")</f>
        <v>Ticket introuvable</v>
      </c>
    </row>
    <row r="1268" spans="1:7" x14ac:dyDescent="0.35">
      <c r="A1268" s="6" t="s">
        <v>7420</v>
      </c>
      <c r="B1268" s="8" t="s">
        <v>694</v>
      </c>
      <c r="C1268" s="7">
        <v>45793</v>
      </c>
      <c r="D1268" s="8">
        <v>5</v>
      </c>
      <c r="E1268" s="8">
        <v>9</v>
      </c>
      <c r="F1268" s="9" t="s">
        <v>75</v>
      </c>
      <c r="G1268" t="str">
        <f>IFERROR(INDEX(Ticket!$B$2:$B$6001,MATCH(B1268,Ticket!$A$2:$A$6001,0)),"Ticket introuvable")</f>
        <v>AG-028</v>
      </c>
    </row>
    <row r="1269" spans="1:7" x14ac:dyDescent="0.35">
      <c r="A1269" s="10" t="s">
        <v>7421</v>
      </c>
      <c r="B1269" s="12" t="s">
        <v>2252</v>
      </c>
      <c r="C1269" s="11">
        <v>45956</v>
      </c>
      <c r="D1269" s="12">
        <v>2</v>
      </c>
      <c r="E1269" s="12">
        <v>9</v>
      </c>
      <c r="F1269" s="13" t="s">
        <v>6153</v>
      </c>
      <c r="G1269" t="str">
        <f>IFERROR(INDEX(Ticket!$B$2:$B$6001,MATCH(B1269,Ticket!$A$2:$A$6001,0)),"Ticket introuvable")</f>
        <v>AG-035</v>
      </c>
    </row>
    <row r="1270" spans="1:7" x14ac:dyDescent="0.35">
      <c r="A1270" s="6" t="s">
        <v>7422</v>
      </c>
      <c r="B1270" s="8" t="s">
        <v>1786</v>
      </c>
      <c r="C1270" s="7">
        <v>45816</v>
      </c>
      <c r="D1270" s="8">
        <v>2</v>
      </c>
      <c r="E1270" s="8">
        <v>8</v>
      </c>
      <c r="F1270" s="9" t="s">
        <v>6148</v>
      </c>
      <c r="G1270" t="str">
        <f>IFERROR(INDEX(Ticket!$B$2:$B$6001,MATCH(B1270,Ticket!$A$2:$A$6001,0)),"Ticket introuvable")</f>
        <v>AG-026</v>
      </c>
    </row>
    <row r="1271" spans="1:7" x14ac:dyDescent="0.35">
      <c r="A1271" s="10" t="s">
        <v>7423</v>
      </c>
      <c r="B1271" s="12" t="s">
        <v>5815</v>
      </c>
      <c r="C1271" s="11">
        <v>45739</v>
      </c>
      <c r="D1271" s="12">
        <v>1</v>
      </c>
      <c r="E1271" s="12">
        <v>9</v>
      </c>
      <c r="F1271" s="13" t="s">
        <v>8363</v>
      </c>
      <c r="G1271" t="str">
        <f>IFERROR(INDEX(Ticket!$B$2:$B$6001,MATCH(B1271,Ticket!$A$2:$A$6001,0)),"Ticket introuvable")</f>
        <v>AG-026</v>
      </c>
    </row>
    <row r="1272" spans="1:7" x14ac:dyDescent="0.35">
      <c r="A1272" s="6" t="s">
        <v>7424</v>
      </c>
      <c r="B1272" s="8" t="s">
        <v>5288</v>
      </c>
      <c r="C1272" s="7">
        <v>45902</v>
      </c>
      <c r="D1272" s="8">
        <v>1</v>
      </c>
      <c r="E1272" s="8">
        <v>9</v>
      </c>
      <c r="F1272" s="9" t="s">
        <v>6153</v>
      </c>
      <c r="G1272" t="str">
        <f>IFERROR(INDEX(Ticket!$B$2:$B$6001,MATCH(B1272,Ticket!$A$2:$A$6001,0)),"Ticket introuvable")</f>
        <v>AG-026</v>
      </c>
    </row>
    <row r="1273" spans="1:7" x14ac:dyDescent="0.35">
      <c r="A1273" s="10" t="s">
        <v>7425</v>
      </c>
      <c r="B1273" s="12" t="s">
        <v>3422</v>
      </c>
      <c r="C1273" s="11">
        <v>45842</v>
      </c>
      <c r="D1273" s="12">
        <v>5</v>
      </c>
      <c r="E1273" s="12">
        <v>7</v>
      </c>
      <c r="F1273" s="13" t="s">
        <v>6160</v>
      </c>
      <c r="G1273" t="str">
        <f>IFERROR(INDEX(Ticket!$B$2:$B$6001,MATCH(B1273,Ticket!$A$2:$A$6001,0)),"Ticket introuvable")</f>
        <v>AG-022</v>
      </c>
    </row>
    <row r="1274" spans="1:7" x14ac:dyDescent="0.35">
      <c r="A1274" s="6" t="s">
        <v>7426</v>
      </c>
      <c r="B1274" s="8" t="s">
        <v>5841</v>
      </c>
      <c r="C1274" s="7">
        <v>45981</v>
      </c>
      <c r="D1274" s="8">
        <v>1</v>
      </c>
      <c r="E1274" s="8">
        <v>5</v>
      </c>
      <c r="F1274" s="9" t="s">
        <v>6153</v>
      </c>
      <c r="G1274" t="str">
        <f>IFERROR(INDEX(Ticket!$B$2:$B$6001,MATCH(B1274,Ticket!$A$2:$A$6001,0)),"Ticket introuvable")</f>
        <v>AG-036</v>
      </c>
    </row>
    <row r="1275" spans="1:7" x14ac:dyDescent="0.35">
      <c r="A1275" s="10" t="s">
        <v>7427</v>
      </c>
      <c r="B1275" s="12" t="s">
        <v>5567</v>
      </c>
      <c r="C1275" s="11">
        <v>45663</v>
      </c>
      <c r="D1275" s="12">
        <v>3</v>
      </c>
      <c r="E1275" s="12">
        <v>6</v>
      </c>
      <c r="F1275" s="13" t="s">
        <v>6148</v>
      </c>
      <c r="G1275" t="str">
        <f>IFERROR(INDEX(Ticket!$B$2:$B$6001,MATCH(B1275,Ticket!$A$2:$A$6001,0)),"Ticket introuvable")</f>
        <v>AG-014</v>
      </c>
    </row>
    <row r="1276" spans="1:7" x14ac:dyDescent="0.35">
      <c r="A1276" s="6" t="s">
        <v>7428</v>
      </c>
      <c r="B1276" s="8" t="s">
        <v>582</v>
      </c>
      <c r="C1276" s="7">
        <v>45883</v>
      </c>
      <c r="D1276" s="8">
        <v>5</v>
      </c>
      <c r="E1276" s="8">
        <v>9</v>
      </c>
      <c r="F1276" s="9" t="s">
        <v>6153</v>
      </c>
      <c r="G1276" t="str">
        <f>IFERROR(INDEX(Ticket!$B$2:$B$6001,MATCH(B1276,Ticket!$A$2:$A$6001,0)),"Ticket introuvable")</f>
        <v>AG-018</v>
      </c>
    </row>
    <row r="1277" spans="1:7" x14ac:dyDescent="0.35">
      <c r="A1277" s="10" t="s">
        <v>7429</v>
      </c>
      <c r="B1277" s="12" t="s">
        <v>706</v>
      </c>
      <c r="C1277" s="11">
        <v>45691</v>
      </c>
      <c r="D1277" s="12">
        <v>1</v>
      </c>
      <c r="E1277" s="12">
        <v>7</v>
      </c>
      <c r="F1277" s="13" t="s">
        <v>8363</v>
      </c>
      <c r="G1277" t="str">
        <f>IFERROR(INDEX(Ticket!$B$2:$B$6001,MATCH(B1277,Ticket!$A$2:$A$6001,0)),"Ticket introuvable")</f>
        <v>AG-033</v>
      </c>
    </row>
    <row r="1278" spans="1:7" x14ac:dyDescent="0.35">
      <c r="A1278" s="6" t="s">
        <v>7430</v>
      </c>
      <c r="B1278" s="8" t="s">
        <v>3778</v>
      </c>
      <c r="C1278" s="7">
        <v>45953</v>
      </c>
      <c r="D1278" s="8">
        <v>5</v>
      </c>
      <c r="E1278" s="8">
        <v>8</v>
      </c>
      <c r="F1278" s="9" t="s">
        <v>75</v>
      </c>
      <c r="G1278" t="str">
        <f>IFERROR(INDEX(Ticket!$B$2:$B$6001,MATCH(B1278,Ticket!$A$2:$A$6001,0)),"Ticket introuvable")</f>
        <v>AG-014</v>
      </c>
    </row>
    <row r="1279" spans="1:7" x14ac:dyDescent="0.35">
      <c r="A1279" s="10" t="s">
        <v>7431</v>
      </c>
      <c r="B1279" s="12" t="s">
        <v>5053</v>
      </c>
      <c r="C1279" s="11">
        <v>45935</v>
      </c>
      <c r="D1279" s="12">
        <v>3</v>
      </c>
      <c r="E1279" s="12">
        <v>10</v>
      </c>
      <c r="F1279" s="13" t="s">
        <v>6160</v>
      </c>
      <c r="G1279" t="str">
        <f>IFERROR(INDEX(Ticket!$B$2:$B$6001,MATCH(B1279,Ticket!$A$2:$A$6001,0)),"Ticket introuvable")</f>
        <v>AG-036</v>
      </c>
    </row>
    <row r="1280" spans="1:7" x14ac:dyDescent="0.35">
      <c r="A1280" s="6" t="s">
        <v>7432</v>
      </c>
      <c r="B1280" s="8" t="s">
        <v>3627</v>
      </c>
      <c r="C1280" s="7">
        <v>45927</v>
      </c>
      <c r="D1280" s="8">
        <v>5</v>
      </c>
      <c r="E1280" s="8">
        <v>10</v>
      </c>
      <c r="F1280" s="9" t="s">
        <v>6160</v>
      </c>
      <c r="G1280" t="str">
        <f>IFERROR(INDEX(Ticket!$B$2:$B$6001,MATCH(B1280,Ticket!$A$2:$A$6001,0)),"Ticket introuvable")</f>
        <v>AG-039</v>
      </c>
    </row>
    <row r="1281" spans="1:7" x14ac:dyDescent="0.35">
      <c r="A1281" s="10" t="s">
        <v>7433</v>
      </c>
      <c r="B1281" s="12" t="s">
        <v>2999</v>
      </c>
      <c r="C1281" s="11">
        <v>45666</v>
      </c>
      <c r="D1281" s="12">
        <v>2</v>
      </c>
      <c r="E1281" s="12">
        <v>8</v>
      </c>
      <c r="F1281" s="13" t="s">
        <v>6148</v>
      </c>
      <c r="G1281" t="str">
        <f>IFERROR(INDEX(Ticket!$B$2:$B$6001,MATCH(B1281,Ticket!$A$2:$A$6001,0)),"Ticket introuvable")</f>
        <v>AG-024</v>
      </c>
    </row>
    <row r="1282" spans="1:7" x14ac:dyDescent="0.35">
      <c r="A1282" s="6" t="s">
        <v>7434</v>
      </c>
      <c r="B1282" s="8" t="s">
        <v>5048</v>
      </c>
      <c r="C1282" s="7">
        <v>45930</v>
      </c>
      <c r="D1282" s="8">
        <v>5</v>
      </c>
      <c r="E1282" s="8">
        <v>6</v>
      </c>
      <c r="F1282" s="9" t="s">
        <v>6148</v>
      </c>
      <c r="G1282" t="str">
        <f>IFERROR(INDEX(Ticket!$B$2:$B$6001,MATCH(B1282,Ticket!$A$2:$A$6001,0)),"Ticket introuvable")</f>
        <v>AG-025</v>
      </c>
    </row>
    <row r="1283" spans="1:7" x14ac:dyDescent="0.35">
      <c r="A1283" s="10" t="s">
        <v>7435</v>
      </c>
      <c r="B1283" s="12" t="s">
        <v>3629</v>
      </c>
      <c r="C1283" s="11">
        <v>45805</v>
      </c>
      <c r="D1283" s="12">
        <v>4</v>
      </c>
      <c r="E1283" s="12">
        <v>7</v>
      </c>
      <c r="F1283" s="13" t="s">
        <v>75</v>
      </c>
      <c r="G1283" t="str">
        <f>IFERROR(INDEX(Ticket!$B$2:$B$6001,MATCH(B1283,Ticket!$A$2:$A$6001,0)),"Ticket introuvable")</f>
        <v>AG-039</v>
      </c>
    </row>
    <row r="1284" spans="1:7" x14ac:dyDescent="0.35">
      <c r="A1284" s="6" t="s">
        <v>7436</v>
      </c>
      <c r="B1284" s="8" t="s">
        <v>4309</v>
      </c>
      <c r="C1284" s="7">
        <v>45716</v>
      </c>
      <c r="D1284" s="8">
        <v>5</v>
      </c>
      <c r="E1284" s="8">
        <v>10</v>
      </c>
      <c r="F1284" s="9" t="s">
        <v>8363</v>
      </c>
      <c r="G1284" t="str">
        <f>IFERROR(INDEX(Ticket!$B$2:$B$6001,MATCH(B1284,Ticket!$A$2:$A$6001,0)),"Ticket introuvable")</f>
        <v>AG-013</v>
      </c>
    </row>
    <row r="1285" spans="1:7" x14ac:dyDescent="0.35">
      <c r="A1285" s="10" t="s">
        <v>7437</v>
      </c>
      <c r="B1285" s="12" t="s">
        <v>973</v>
      </c>
      <c r="C1285" s="11">
        <v>45873</v>
      </c>
      <c r="D1285" s="12">
        <v>4</v>
      </c>
      <c r="E1285" s="12">
        <v>8</v>
      </c>
      <c r="F1285" s="13" t="s">
        <v>6148</v>
      </c>
      <c r="G1285" t="str">
        <f>IFERROR(INDEX(Ticket!$B$2:$B$6001,MATCH(B1285,Ticket!$A$2:$A$6001,0)),"Ticket introuvable")</f>
        <v>AG-033</v>
      </c>
    </row>
    <row r="1286" spans="1:7" x14ac:dyDescent="0.35">
      <c r="A1286" s="6" t="s">
        <v>7438</v>
      </c>
      <c r="B1286" s="8" t="s">
        <v>2745</v>
      </c>
      <c r="C1286" s="7">
        <v>45707</v>
      </c>
      <c r="D1286" s="8">
        <v>1</v>
      </c>
      <c r="E1286" s="8"/>
      <c r="F1286" s="9" t="s">
        <v>8363</v>
      </c>
      <c r="G1286" t="str">
        <f>IFERROR(INDEX(Ticket!$B$2:$B$6001,MATCH(B1286,Ticket!$A$2:$A$6001,0)),"Ticket introuvable")</f>
        <v>AG-024</v>
      </c>
    </row>
    <row r="1287" spans="1:7" x14ac:dyDescent="0.35">
      <c r="A1287" s="10" t="s">
        <v>7439</v>
      </c>
      <c r="B1287" s="12" t="s">
        <v>1993</v>
      </c>
      <c r="C1287" s="11">
        <v>45717</v>
      </c>
      <c r="D1287" s="12">
        <v>2</v>
      </c>
      <c r="E1287" s="12">
        <v>3</v>
      </c>
      <c r="F1287" s="13" t="s">
        <v>8363</v>
      </c>
      <c r="G1287" t="str">
        <f>IFERROR(INDEX(Ticket!$B$2:$B$6001,MATCH(B1287,Ticket!$A$2:$A$6001,0)),"Ticket introuvable")</f>
        <v>AG-036</v>
      </c>
    </row>
    <row r="1288" spans="1:7" x14ac:dyDescent="0.35">
      <c r="A1288" s="6" t="s">
        <v>7440</v>
      </c>
      <c r="B1288" s="8" t="s">
        <v>1051</v>
      </c>
      <c r="C1288" s="7">
        <v>45828</v>
      </c>
      <c r="D1288" s="8">
        <v>2</v>
      </c>
      <c r="E1288" s="8">
        <v>7</v>
      </c>
      <c r="F1288" s="9" t="s">
        <v>6160</v>
      </c>
      <c r="G1288" t="str">
        <f>IFERROR(INDEX(Ticket!$B$2:$B$6001,MATCH(B1288,Ticket!$A$2:$A$6001,0)),"Ticket introuvable")</f>
        <v>AG-039</v>
      </c>
    </row>
    <row r="1289" spans="1:7" x14ac:dyDescent="0.35">
      <c r="A1289" s="10" t="s">
        <v>7441</v>
      </c>
      <c r="B1289" s="12" t="s">
        <v>3049</v>
      </c>
      <c r="C1289" s="11">
        <v>45741</v>
      </c>
      <c r="D1289" s="12">
        <v>5</v>
      </c>
      <c r="E1289" s="12"/>
      <c r="F1289" s="13" t="s">
        <v>6153</v>
      </c>
      <c r="G1289" t="str">
        <f>IFERROR(INDEX(Ticket!$B$2:$B$6001,MATCH(B1289,Ticket!$A$2:$A$6001,0)),"Ticket introuvable")</f>
        <v>AG-016</v>
      </c>
    </row>
    <row r="1290" spans="1:7" x14ac:dyDescent="0.35">
      <c r="A1290" s="6" t="s">
        <v>7442</v>
      </c>
      <c r="B1290" s="8" t="s">
        <v>1024</v>
      </c>
      <c r="C1290" s="7">
        <v>45813</v>
      </c>
      <c r="D1290" s="8">
        <v>5</v>
      </c>
      <c r="E1290" s="8">
        <v>2</v>
      </c>
      <c r="F1290" s="9" t="s">
        <v>8363</v>
      </c>
      <c r="G1290" t="str">
        <f>IFERROR(INDEX(Ticket!$B$2:$B$6001,MATCH(B1290,Ticket!$A$2:$A$6001,0)),"Ticket introuvable")</f>
        <v>AG-032</v>
      </c>
    </row>
    <row r="1291" spans="1:7" x14ac:dyDescent="0.35">
      <c r="A1291" s="10" t="s">
        <v>7443</v>
      </c>
      <c r="B1291" s="12" t="s">
        <v>3296</v>
      </c>
      <c r="C1291" s="11">
        <v>45903</v>
      </c>
      <c r="D1291" s="12">
        <v>1</v>
      </c>
      <c r="E1291" s="12">
        <v>10</v>
      </c>
      <c r="F1291" s="13" t="s">
        <v>8363</v>
      </c>
      <c r="G1291" t="str">
        <f>IFERROR(INDEX(Ticket!$B$2:$B$6001,MATCH(B1291,Ticket!$A$2:$A$6001,0)),"Ticket introuvable")</f>
        <v>AG-033</v>
      </c>
    </row>
    <row r="1292" spans="1:7" x14ac:dyDescent="0.35">
      <c r="A1292" s="6" t="s">
        <v>7444</v>
      </c>
      <c r="B1292" s="8" t="s">
        <v>5045</v>
      </c>
      <c r="C1292" s="7">
        <v>45811</v>
      </c>
      <c r="D1292" s="8">
        <v>3</v>
      </c>
      <c r="E1292" s="8">
        <v>8</v>
      </c>
      <c r="F1292" s="9" t="s">
        <v>6148</v>
      </c>
      <c r="G1292" t="str">
        <f>IFERROR(INDEX(Ticket!$B$2:$B$6001,MATCH(B1292,Ticket!$A$2:$A$6001,0)),"Ticket introuvable")</f>
        <v>AG-003</v>
      </c>
    </row>
    <row r="1293" spans="1:7" x14ac:dyDescent="0.35">
      <c r="A1293" s="10" t="s">
        <v>7445</v>
      </c>
      <c r="B1293" s="12" t="s">
        <v>801</v>
      </c>
      <c r="C1293" s="11">
        <v>45891</v>
      </c>
      <c r="D1293" s="12">
        <v>4</v>
      </c>
      <c r="E1293" s="12">
        <v>8</v>
      </c>
      <c r="F1293" s="13" t="s">
        <v>75</v>
      </c>
      <c r="G1293" t="str">
        <f>IFERROR(INDEX(Ticket!$B$2:$B$6001,MATCH(B1293,Ticket!$A$2:$A$6001,0)),"Ticket introuvable")</f>
        <v>AG-029</v>
      </c>
    </row>
    <row r="1294" spans="1:7" x14ac:dyDescent="0.35">
      <c r="A1294" s="6" t="s">
        <v>7446</v>
      </c>
      <c r="B1294" s="8" t="s">
        <v>5675</v>
      </c>
      <c r="C1294" s="7">
        <v>45770</v>
      </c>
      <c r="D1294" s="8">
        <v>5</v>
      </c>
      <c r="E1294" s="8">
        <v>8</v>
      </c>
      <c r="F1294" s="9" t="s">
        <v>8363</v>
      </c>
      <c r="G1294" t="str">
        <f>IFERROR(INDEX(Ticket!$B$2:$B$6001,MATCH(B1294,Ticket!$A$2:$A$6001,0)),"Ticket introuvable")</f>
        <v>AG-023</v>
      </c>
    </row>
    <row r="1295" spans="1:7" x14ac:dyDescent="0.35">
      <c r="A1295" s="10" t="s">
        <v>7447</v>
      </c>
      <c r="B1295" s="12" t="s">
        <v>2524</v>
      </c>
      <c r="C1295" s="11">
        <v>45957</v>
      </c>
      <c r="D1295" s="12">
        <v>3</v>
      </c>
      <c r="E1295" s="12">
        <v>4</v>
      </c>
      <c r="F1295" s="13" t="s">
        <v>6148</v>
      </c>
      <c r="G1295" t="str">
        <f>IFERROR(INDEX(Ticket!$B$2:$B$6001,MATCH(B1295,Ticket!$A$2:$A$6001,0)),"Ticket introuvable")</f>
        <v>AG-007</v>
      </c>
    </row>
    <row r="1296" spans="1:7" x14ac:dyDescent="0.35">
      <c r="A1296" s="6" t="s">
        <v>7448</v>
      </c>
      <c r="B1296" s="8" t="s">
        <v>709</v>
      </c>
      <c r="C1296" s="7">
        <v>45982</v>
      </c>
      <c r="D1296" s="8">
        <v>3</v>
      </c>
      <c r="E1296" s="8">
        <v>10</v>
      </c>
      <c r="F1296" s="9" t="s">
        <v>8363</v>
      </c>
      <c r="G1296" t="str">
        <f>IFERROR(INDEX(Ticket!$B$2:$B$6001,MATCH(B1296,Ticket!$A$2:$A$6001,0)),"Ticket introuvable")</f>
        <v>AG-010</v>
      </c>
    </row>
    <row r="1297" spans="1:7" x14ac:dyDescent="0.35">
      <c r="A1297" s="10" t="s">
        <v>7449</v>
      </c>
      <c r="B1297" s="12" t="s">
        <v>4715</v>
      </c>
      <c r="C1297" s="11">
        <v>46016</v>
      </c>
      <c r="D1297" s="12">
        <v>4</v>
      </c>
      <c r="E1297" s="12">
        <v>3</v>
      </c>
      <c r="F1297" s="13" t="s">
        <v>6142</v>
      </c>
      <c r="G1297" t="str">
        <f>IFERROR(INDEX(Ticket!$B$2:$B$6001,MATCH(B1297,Ticket!$A$2:$A$6001,0)),"Ticket introuvable")</f>
        <v>AG-014</v>
      </c>
    </row>
    <row r="1298" spans="1:7" x14ac:dyDescent="0.35">
      <c r="A1298" s="6" t="s">
        <v>7450</v>
      </c>
      <c r="B1298" s="8" t="s">
        <v>4104</v>
      </c>
      <c r="C1298" s="7">
        <v>45662</v>
      </c>
      <c r="D1298" s="8">
        <v>5</v>
      </c>
      <c r="E1298" s="8">
        <v>9</v>
      </c>
      <c r="F1298" s="9" t="s">
        <v>6160</v>
      </c>
      <c r="G1298" t="str">
        <f>IFERROR(INDEX(Ticket!$B$2:$B$6001,MATCH(B1298,Ticket!$A$2:$A$6001,0)),"Ticket introuvable")</f>
        <v>AG-023</v>
      </c>
    </row>
    <row r="1299" spans="1:7" x14ac:dyDescent="0.35">
      <c r="A1299" s="10" t="s">
        <v>7451</v>
      </c>
      <c r="B1299" s="12" t="s">
        <v>4289</v>
      </c>
      <c r="C1299" s="11">
        <v>45866</v>
      </c>
      <c r="D1299" s="12">
        <v>4</v>
      </c>
      <c r="E1299" s="12">
        <v>9</v>
      </c>
      <c r="F1299" s="13" t="s">
        <v>6142</v>
      </c>
      <c r="G1299" t="str">
        <f>IFERROR(INDEX(Ticket!$B$2:$B$6001,MATCH(B1299,Ticket!$A$2:$A$6001,0)),"Ticket introuvable")</f>
        <v>AG-035</v>
      </c>
    </row>
    <row r="1300" spans="1:7" x14ac:dyDescent="0.35">
      <c r="A1300" s="6" t="s">
        <v>7452</v>
      </c>
      <c r="B1300" s="8" t="s">
        <v>5194</v>
      </c>
      <c r="C1300" s="7">
        <v>45676</v>
      </c>
      <c r="D1300" s="8">
        <v>4</v>
      </c>
      <c r="E1300" s="8">
        <v>8</v>
      </c>
      <c r="F1300" s="9" t="s">
        <v>6142</v>
      </c>
      <c r="G1300" t="str">
        <f>IFERROR(INDEX(Ticket!$B$2:$B$6001,MATCH(B1300,Ticket!$A$2:$A$6001,0)),"Ticket introuvable")</f>
        <v>AG-028</v>
      </c>
    </row>
    <row r="1301" spans="1:7" x14ac:dyDescent="0.35">
      <c r="A1301" s="10" t="s">
        <v>7453</v>
      </c>
      <c r="B1301" s="12" t="s">
        <v>2484</v>
      </c>
      <c r="C1301" s="11">
        <v>45838</v>
      </c>
      <c r="D1301" s="12">
        <v>5</v>
      </c>
      <c r="E1301" s="12">
        <v>9</v>
      </c>
      <c r="F1301" s="13" t="s">
        <v>6160</v>
      </c>
      <c r="G1301" t="str">
        <f>IFERROR(INDEX(Ticket!$B$2:$B$6001,MATCH(B1301,Ticket!$A$2:$A$6001,0)),"Ticket introuvable")</f>
        <v>AG-029</v>
      </c>
    </row>
    <row r="1302" spans="1:7" x14ac:dyDescent="0.35">
      <c r="A1302" s="6" t="s">
        <v>7454</v>
      </c>
      <c r="B1302" s="8" t="s">
        <v>5059</v>
      </c>
      <c r="C1302" s="7">
        <v>45712</v>
      </c>
      <c r="D1302" s="8">
        <v>4</v>
      </c>
      <c r="E1302" s="8">
        <v>4</v>
      </c>
      <c r="F1302" s="9" t="s">
        <v>6142</v>
      </c>
      <c r="G1302" t="str">
        <f>IFERROR(INDEX(Ticket!$B$2:$B$6001,MATCH(B1302,Ticket!$A$2:$A$6001,0)),"Ticket introuvable")</f>
        <v>AG-039</v>
      </c>
    </row>
    <row r="1303" spans="1:7" x14ac:dyDescent="0.35">
      <c r="A1303" s="10" t="s">
        <v>7455</v>
      </c>
      <c r="B1303" s="12" t="s">
        <v>2065</v>
      </c>
      <c r="C1303" s="11">
        <v>45897</v>
      </c>
      <c r="D1303" s="12">
        <v>5</v>
      </c>
      <c r="E1303" s="12">
        <v>9</v>
      </c>
      <c r="F1303" s="13" t="s">
        <v>75</v>
      </c>
      <c r="G1303" t="str">
        <f>IFERROR(INDEX(Ticket!$B$2:$B$6001,MATCH(B1303,Ticket!$A$2:$A$6001,0)),"Ticket introuvable")</f>
        <v>AG-036</v>
      </c>
    </row>
    <row r="1304" spans="1:7" x14ac:dyDescent="0.35">
      <c r="A1304" s="6" t="s">
        <v>7456</v>
      </c>
      <c r="B1304" s="8" t="s">
        <v>4643</v>
      </c>
      <c r="C1304" s="7">
        <v>45703</v>
      </c>
      <c r="D1304" s="8">
        <v>5</v>
      </c>
      <c r="E1304" s="8">
        <v>1</v>
      </c>
      <c r="F1304" s="9" t="s">
        <v>6153</v>
      </c>
      <c r="G1304" t="str">
        <f>IFERROR(INDEX(Ticket!$B$2:$B$6001,MATCH(B1304,Ticket!$A$2:$A$6001,0)),"Ticket introuvable")</f>
        <v>AG-007</v>
      </c>
    </row>
    <row r="1305" spans="1:7" x14ac:dyDescent="0.35">
      <c r="A1305" s="10" t="s">
        <v>7457</v>
      </c>
      <c r="B1305" s="12" t="s">
        <v>3789</v>
      </c>
      <c r="C1305" s="11">
        <v>45869</v>
      </c>
      <c r="D1305" s="12">
        <v>5</v>
      </c>
      <c r="E1305" s="12">
        <v>10</v>
      </c>
      <c r="F1305" s="13" t="s">
        <v>8363</v>
      </c>
      <c r="G1305" t="str">
        <f>IFERROR(INDEX(Ticket!$B$2:$B$6001,MATCH(B1305,Ticket!$A$2:$A$6001,0)),"Ticket introuvable")</f>
        <v>AG-016</v>
      </c>
    </row>
    <row r="1306" spans="1:7" x14ac:dyDescent="0.35">
      <c r="A1306" s="6" t="s">
        <v>7458</v>
      </c>
      <c r="B1306" s="8" t="s">
        <v>4237</v>
      </c>
      <c r="C1306" s="7">
        <v>45911</v>
      </c>
      <c r="D1306" s="8">
        <v>5</v>
      </c>
      <c r="E1306" s="8"/>
      <c r="F1306" s="9" t="s">
        <v>6142</v>
      </c>
      <c r="G1306" t="str">
        <f>IFERROR(INDEX(Ticket!$B$2:$B$6001,MATCH(B1306,Ticket!$A$2:$A$6001,0)),"Ticket introuvable")</f>
        <v>AG-038</v>
      </c>
    </row>
    <row r="1307" spans="1:7" x14ac:dyDescent="0.35">
      <c r="A1307" s="10" t="s">
        <v>7459</v>
      </c>
      <c r="B1307" s="12" t="s">
        <v>3186</v>
      </c>
      <c r="C1307" s="11">
        <v>45756</v>
      </c>
      <c r="D1307" s="12">
        <v>5</v>
      </c>
      <c r="E1307" s="12">
        <v>1</v>
      </c>
      <c r="F1307" s="13" t="s">
        <v>6160</v>
      </c>
      <c r="G1307" t="str">
        <f>IFERROR(INDEX(Ticket!$B$2:$B$6001,MATCH(B1307,Ticket!$A$2:$A$6001,0)),"Ticket introuvable")</f>
        <v>AG-033</v>
      </c>
    </row>
    <row r="1308" spans="1:7" x14ac:dyDescent="0.35">
      <c r="A1308" s="6" t="s">
        <v>7460</v>
      </c>
      <c r="B1308" s="8" t="s">
        <v>1132</v>
      </c>
      <c r="C1308" s="7">
        <v>45859</v>
      </c>
      <c r="D1308" s="8">
        <v>5</v>
      </c>
      <c r="E1308" s="8">
        <v>5</v>
      </c>
      <c r="F1308" s="9" t="s">
        <v>8363</v>
      </c>
      <c r="G1308" t="str">
        <f>IFERROR(INDEX(Ticket!$B$2:$B$6001,MATCH(B1308,Ticket!$A$2:$A$6001,0)),"Ticket introuvable")</f>
        <v>AG-027</v>
      </c>
    </row>
    <row r="1309" spans="1:7" x14ac:dyDescent="0.35">
      <c r="A1309" s="10" t="s">
        <v>7461</v>
      </c>
      <c r="B1309" s="12" t="s">
        <v>1341</v>
      </c>
      <c r="C1309" s="11">
        <v>45740</v>
      </c>
      <c r="D1309" s="12">
        <v>3</v>
      </c>
      <c r="E1309" s="12">
        <v>10</v>
      </c>
      <c r="F1309" s="13" t="s">
        <v>8363</v>
      </c>
      <c r="G1309" t="str">
        <f>IFERROR(INDEX(Ticket!$B$2:$B$6001,MATCH(B1309,Ticket!$A$2:$A$6001,0)),"Ticket introuvable")</f>
        <v>AG-013</v>
      </c>
    </row>
    <row r="1310" spans="1:7" x14ac:dyDescent="0.35">
      <c r="A1310" s="6" t="s">
        <v>7462</v>
      </c>
      <c r="B1310" s="8" t="s">
        <v>3205</v>
      </c>
      <c r="C1310" s="7">
        <v>45778</v>
      </c>
      <c r="D1310" s="8">
        <v>4</v>
      </c>
      <c r="E1310" s="8">
        <v>2</v>
      </c>
      <c r="F1310" s="9" t="s">
        <v>6142</v>
      </c>
      <c r="G1310" t="str">
        <f>IFERROR(INDEX(Ticket!$B$2:$B$6001,MATCH(B1310,Ticket!$A$2:$A$6001,0)),"Ticket introuvable")</f>
        <v>AG-037</v>
      </c>
    </row>
    <row r="1311" spans="1:7" x14ac:dyDescent="0.35">
      <c r="A1311" s="10" t="s">
        <v>7463</v>
      </c>
      <c r="B1311" s="12" t="s">
        <v>5642</v>
      </c>
      <c r="C1311" s="11">
        <v>45743</v>
      </c>
      <c r="D1311" s="12">
        <v>5</v>
      </c>
      <c r="E1311" s="12">
        <v>10</v>
      </c>
      <c r="F1311" s="13" t="s">
        <v>6142</v>
      </c>
      <c r="G1311" t="str">
        <f>IFERROR(INDEX(Ticket!$B$2:$B$6001,MATCH(B1311,Ticket!$A$2:$A$6001,0)),"Ticket introuvable")</f>
        <v>AG-037</v>
      </c>
    </row>
    <row r="1312" spans="1:7" x14ac:dyDescent="0.35">
      <c r="A1312" s="6" t="s">
        <v>7464</v>
      </c>
      <c r="B1312" s="8" t="s">
        <v>632</v>
      </c>
      <c r="C1312" s="7">
        <v>45826</v>
      </c>
      <c r="D1312" s="8">
        <v>5</v>
      </c>
      <c r="E1312" s="8">
        <v>10</v>
      </c>
      <c r="F1312" s="9" t="s">
        <v>6142</v>
      </c>
      <c r="G1312" t="str">
        <f>IFERROR(INDEX(Ticket!$B$2:$B$6001,MATCH(B1312,Ticket!$A$2:$A$6001,0)),"Ticket introuvable")</f>
        <v>AG-026</v>
      </c>
    </row>
    <row r="1313" spans="1:7" x14ac:dyDescent="0.35">
      <c r="A1313" s="10" t="s">
        <v>7465</v>
      </c>
      <c r="B1313" s="12" t="s">
        <v>3865</v>
      </c>
      <c r="C1313" s="11">
        <v>45940</v>
      </c>
      <c r="D1313" s="12">
        <v>5</v>
      </c>
      <c r="E1313" s="12">
        <v>4</v>
      </c>
      <c r="F1313" s="13" t="s">
        <v>6160</v>
      </c>
      <c r="G1313" t="str">
        <f>IFERROR(INDEX(Ticket!$B$2:$B$6001,MATCH(B1313,Ticket!$A$2:$A$6001,0)),"Ticket introuvable")</f>
        <v>AG-025</v>
      </c>
    </row>
    <row r="1314" spans="1:7" x14ac:dyDescent="0.35">
      <c r="A1314" s="6" t="s">
        <v>7466</v>
      </c>
      <c r="B1314" s="8" t="s">
        <v>5547</v>
      </c>
      <c r="C1314" s="7">
        <v>45765</v>
      </c>
      <c r="D1314" s="8">
        <v>5</v>
      </c>
      <c r="E1314" s="8">
        <v>5</v>
      </c>
      <c r="F1314" s="9" t="s">
        <v>6160</v>
      </c>
      <c r="G1314" t="str">
        <f>IFERROR(INDEX(Ticket!$B$2:$B$6001,MATCH(B1314,Ticket!$A$2:$A$6001,0)),"Ticket introuvable")</f>
        <v>AG-011</v>
      </c>
    </row>
    <row r="1315" spans="1:7" x14ac:dyDescent="0.35">
      <c r="A1315" s="10" t="s">
        <v>7467</v>
      </c>
      <c r="B1315" s="12" t="s">
        <v>5761</v>
      </c>
      <c r="C1315" s="11">
        <v>45695</v>
      </c>
      <c r="D1315" s="12">
        <v>5</v>
      </c>
      <c r="E1315" s="12">
        <v>2</v>
      </c>
      <c r="F1315" s="13" t="s">
        <v>75</v>
      </c>
      <c r="G1315" t="str">
        <f>IFERROR(INDEX(Ticket!$B$2:$B$6001,MATCH(B1315,Ticket!$A$2:$A$6001,0)),"Ticket introuvable")</f>
        <v>AG-018</v>
      </c>
    </row>
    <row r="1316" spans="1:7" x14ac:dyDescent="0.35">
      <c r="A1316" s="6" t="s">
        <v>7468</v>
      </c>
      <c r="B1316" s="8" t="s">
        <v>503</v>
      </c>
      <c r="C1316" s="7">
        <v>45795</v>
      </c>
      <c r="D1316" s="8">
        <v>5</v>
      </c>
      <c r="E1316" s="8">
        <v>7</v>
      </c>
      <c r="F1316" s="9" t="s">
        <v>75</v>
      </c>
      <c r="G1316" t="str">
        <f>IFERROR(INDEX(Ticket!$B$2:$B$6001,MATCH(B1316,Ticket!$A$2:$A$6001,0)),"Ticket introuvable")</f>
        <v>AG-026</v>
      </c>
    </row>
    <row r="1317" spans="1:7" x14ac:dyDescent="0.35">
      <c r="A1317" s="10" t="s">
        <v>7469</v>
      </c>
      <c r="B1317" s="12" t="s">
        <v>5918</v>
      </c>
      <c r="C1317" s="11">
        <v>45817</v>
      </c>
      <c r="D1317" s="12">
        <v>5</v>
      </c>
      <c r="E1317" s="12">
        <v>10</v>
      </c>
      <c r="F1317" s="13" t="s">
        <v>8363</v>
      </c>
      <c r="G1317" t="str">
        <f>IFERROR(INDEX(Ticket!$B$2:$B$6001,MATCH(B1317,Ticket!$A$2:$A$6001,0)),"Ticket introuvable")</f>
        <v>AG-032</v>
      </c>
    </row>
    <row r="1318" spans="1:7" x14ac:dyDescent="0.35">
      <c r="A1318" s="6" t="s">
        <v>7470</v>
      </c>
      <c r="B1318" s="8" t="s">
        <v>2603</v>
      </c>
      <c r="C1318" s="7">
        <v>45924</v>
      </c>
      <c r="D1318" s="8">
        <v>5</v>
      </c>
      <c r="E1318" s="8"/>
      <c r="F1318" s="9" t="s">
        <v>6153</v>
      </c>
      <c r="G1318" t="str">
        <f>IFERROR(INDEX(Ticket!$B$2:$B$6001,MATCH(B1318,Ticket!$A$2:$A$6001,0)),"Ticket introuvable")</f>
        <v>AG-039</v>
      </c>
    </row>
    <row r="1319" spans="1:7" x14ac:dyDescent="0.35">
      <c r="A1319" s="10" t="s">
        <v>7471</v>
      </c>
      <c r="B1319" s="12" t="s">
        <v>4216</v>
      </c>
      <c r="C1319" s="11">
        <v>45908</v>
      </c>
      <c r="D1319" s="12">
        <v>4</v>
      </c>
      <c r="E1319" s="12">
        <v>9</v>
      </c>
      <c r="F1319" s="13" t="s">
        <v>8363</v>
      </c>
      <c r="G1319" t="str">
        <f>IFERROR(INDEX(Ticket!$B$2:$B$6001,MATCH(B1319,Ticket!$A$2:$A$6001,0)),"Ticket introuvable")</f>
        <v>AG-012</v>
      </c>
    </row>
    <row r="1320" spans="1:7" x14ac:dyDescent="0.35">
      <c r="A1320" s="6" t="s">
        <v>7472</v>
      </c>
      <c r="B1320" s="8" t="s">
        <v>7473</v>
      </c>
      <c r="C1320" s="7">
        <v>45660</v>
      </c>
      <c r="D1320" s="8">
        <v>4</v>
      </c>
      <c r="E1320" s="8">
        <v>8</v>
      </c>
      <c r="F1320" s="9" t="s">
        <v>6148</v>
      </c>
      <c r="G1320" t="str">
        <f>IFERROR(INDEX(Ticket!$B$2:$B$6001,MATCH(B1320,Ticket!$A$2:$A$6001,0)),"Ticket introuvable")</f>
        <v>Ticket introuvable</v>
      </c>
    </row>
    <row r="1321" spans="1:7" x14ac:dyDescent="0.35">
      <c r="A1321" s="10" t="s">
        <v>7474</v>
      </c>
      <c r="B1321" s="12" t="s">
        <v>1436</v>
      </c>
      <c r="C1321" s="11">
        <v>46014</v>
      </c>
      <c r="D1321" s="12">
        <v>5</v>
      </c>
      <c r="E1321" s="12">
        <v>9</v>
      </c>
      <c r="F1321" s="13" t="s">
        <v>8363</v>
      </c>
      <c r="G1321" t="str">
        <f>IFERROR(INDEX(Ticket!$B$2:$B$6001,MATCH(B1321,Ticket!$A$2:$A$6001,0)),"Ticket introuvable")</f>
        <v>AG-040</v>
      </c>
    </row>
    <row r="1322" spans="1:7" x14ac:dyDescent="0.35">
      <c r="A1322" s="6" t="s">
        <v>7475</v>
      </c>
      <c r="B1322" s="8" t="s">
        <v>3887</v>
      </c>
      <c r="C1322" s="7">
        <v>45844</v>
      </c>
      <c r="D1322" s="8">
        <v>4</v>
      </c>
      <c r="E1322" s="8">
        <v>3</v>
      </c>
      <c r="F1322" s="9" t="s">
        <v>8363</v>
      </c>
      <c r="G1322" t="str">
        <f>IFERROR(INDEX(Ticket!$B$2:$B$6001,MATCH(B1322,Ticket!$A$2:$A$6001,0)),"Ticket introuvable")</f>
        <v>AG-027</v>
      </c>
    </row>
    <row r="1323" spans="1:7" x14ac:dyDescent="0.35">
      <c r="A1323" s="10" t="s">
        <v>7476</v>
      </c>
      <c r="B1323" s="12" t="s">
        <v>2902</v>
      </c>
      <c r="C1323" s="11">
        <v>45832</v>
      </c>
      <c r="D1323" s="12">
        <v>5</v>
      </c>
      <c r="E1323" s="12">
        <v>8</v>
      </c>
      <c r="F1323" s="13" t="s">
        <v>6142</v>
      </c>
      <c r="G1323" t="str">
        <f>IFERROR(INDEX(Ticket!$B$2:$B$6001,MATCH(B1323,Ticket!$A$2:$A$6001,0)),"Ticket introuvable")</f>
        <v>AG-022</v>
      </c>
    </row>
    <row r="1324" spans="1:7" x14ac:dyDescent="0.35">
      <c r="A1324" s="6" t="s">
        <v>7477</v>
      </c>
      <c r="B1324" s="8" t="s">
        <v>2564</v>
      </c>
      <c r="C1324" s="7">
        <v>45794</v>
      </c>
      <c r="D1324" s="8">
        <v>5</v>
      </c>
      <c r="E1324" s="8">
        <v>8</v>
      </c>
      <c r="F1324" s="9" t="s">
        <v>6160</v>
      </c>
      <c r="G1324" t="str">
        <f>IFERROR(INDEX(Ticket!$B$2:$B$6001,MATCH(B1324,Ticket!$A$2:$A$6001,0)),"Ticket introuvable")</f>
        <v>AG-029</v>
      </c>
    </row>
    <row r="1325" spans="1:7" x14ac:dyDescent="0.35">
      <c r="A1325" s="10" t="s">
        <v>7478</v>
      </c>
      <c r="B1325" s="12" t="s">
        <v>868</v>
      </c>
      <c r="C1325" s="11">
        <v>45825</v>
      </c>
      <c r="D1325" s="12">
        <v>3</v>
      </c>
      <c r="E1325" s="12">
        <v>9</v>
      </c>
      <c r="F1325" s="13" t="s">
        <v>6153</v>
      </c>
      <c r="G1325" t="str">
        <f>IFERROR(INDEX(Ticket!$B$2:$B$6001,MATCH(B1325,Ticket!$A$2:$A$6001,0)),"Ticket introuvable")</f>
        <v>AG-007</v>
      </c>
    </row>
    <row r="1326" spans="1:7" x14ac:dyDescent="0.35">
      <c r="A1326" s="6" t="s">
        <v>7479</v>
      </c>
      <c r="B1326" s="8" t="s">
        <v>691</v>
      </c>
      <c r="C1326" s="7">
        <v>45903</v>
      </c>
      <c r="D1326" s="8">
        <v>5</v>
      </c>
      <c r="E1326" s="8">
        <v>10</v>
      </c>
      <c r="F1326" s="9" t="s">
        <v>8363</v>
      </c>
      <c r="G1326" t="str">
        <f>IFERROR(INDEX(Ticket!$B$2:$B$6001,MATCH(B1326,Ticket!$A$2:$A$6001,0)),"Ticket introuvable")</f>
        <v>AG-038</v>
      </c>
    </row>
    <row r="1327" spans="1:7" x14ac:dyDescent="0.35">
      <c r="A1327" s="10" t="s">
        <v>7480</v>
      </c>
      <c r="B1327" s="12" t="s">
        <v>4755</v>
      </c>
      <c r="C1327" s="11">
        <v>45785</v>
      </c>
      <c r="D1327" s="12">
        <v>4</v>
      </c>
      <c r="E1327" s="12">
        <v>10</v>
      </c>
      <c r="F1327" s="13" t="s">
        <v>6142</v>
      </c>
      <c r="G1327" t="str">
        <f>IFERROR(INDEX(Ticket!$B$2:$B$6001,MATCH(B1327,Ticket!$A$2:$A$6001,0)),"Ticket introuvable")</f>
        <v>AG-013</v>
      </c>
    </row>
    <row r="1328" spans="1:7" x14ac:dyDescent="0.35">
      <c r="A1328" s="6" t="s">
        <v>7481</v>
      </c>
      <c r="B1328" s="8" t="s">
        <v>2192</v>
      </c>
      <c r="C1328" s="7">
        <v>45742</v>
      </c>
      <c r="D1328" s="8">
        <v>5</v>
      </c>
      <c r="E1328" s="8">
        <v>2</v>
      </c>
      <c r="F1328" s="9" t="s">
        <v>8363</v>
      </c>
      <c r="G1328" t="str">
        <f>IFERROR(INDEX(Ticket!$B$2:$B$6001,MATCH(B1328,Ticket!$A$2:$A$6001,0)),"Ticket introuvable")</f>
        <v>AG-015</v>
      </c>
    </row>
    <row r="1329" spans="1:7" x14ac:dyDescent="0.35">
      <c r="A1329" s="10" t="s">
        <v>7482</v>
      </c>
      <c r="B1329" s="12" t="s">
        <v>3829</v>
      </c>
      <c r="C1329" s="11">
        <v>45672</v>
      </c>
      <c r="D1329" s="12">
        <v>5</v>
      </c>
      <c r="E1329" s="12">
        <v>8</v>
      </c>
      <c r="F1329" s="13" t="s">
        <v>6142</v>
      </c>
      <c r="G1329" t="str">
        <f>IFERROR(INDEX(Ticket!$B$2:$B$6001,MATCH(B1329,Ticket!$A$2:$A$6001,0)),"Ticket introuvable")</f>
        <v>AG-008</v>
      </c>
    </row>
    <row r="1330" spans="1:7" x14ac:dyDescent="0.35">
      <c r="A1330" s="6" t="s">
        <v>7483</v>
      </c>
      <c r="B1330" s="8" t="s">
        <v>3120</v>
      </c>
      <c r="C1330" s="7">
        <v>45832</v>
      </c>
      <c r="D1330" s="8"/>
      <c r="E1330" s="8">
        <v>7</v>
      </c>
      <c r="F1330" s="9" t="s">
        <v>6160</v>
      </c>
      <c r="G1330" t="str">
        <f>IFERROR(INDEX(Ticket!$B$2:$B$6001,MATCH(B1330,Ticket!$A$2:$A$6001,0)),"Ticket introuvable")</f>
        <v>AG-036</v>
      </c>
    </row>
    <row r="1331" spans="1:7" x14ac:dyDescent="0.35">
      <c r="A1331" s="10" t="s">
        <v>7484</v>
      </c>
      <c r="B1331" s="12" t="s">
        <v>3024</v>
      </c>
      <c r="C1331" s="11">
        <v>45973</v>
      </c>
      <c r="D1331" s="12">
        <v>4</v>
      </c>
      <c r="E1331" s="12">
        <v>10</v>
      </c>
      <c r="F1331" s="13" t="s">
        <v>75</v>
      </c>
      <c r="G1331" t="str">
        <f>IFERROR(INDEX(Ticket!$B$2:$B$6001,MATCH(B1331,Ticket!$A$2:$A$6001,0)),"Ticket introuvable")</f>
        <v>AG-038</v>
      </c>
    </row>
    <row r="1332" spans="1:7" x14ac:dyDescent="0.35">
      <c r="A1332" s="6" t="s">
        <v>7485</v>
      </c>
      <c r="B1332" s="8" t="s">
        <v>4120</v>
      </c>
      <c r="C1332" s="7">
        <v>45792</v>
      </c>
      <c r="D1332" s="8">
        <v>4</v>
      </c>
      <c r="E1332" s="8">
        <v>1</v>
      </c>
      <c r="F1332" s="9" t="s">
        <v>8363</v>
      </c>
      <c r="G1332" t="str">
        <f>IFERROR(INDEX(Ticket!$B$2:$B$6001,MATCH(B1332,Ticket!$A$2:$A$6001,0)),"Ticket introuvable")</f>
        <v>AG-039</v>
      </c>
    </row>
    <row r="1333" spans="1:7" x14ac:dyDescent="0.35">
      <c r="A1333" s="10" t="s">
        <v>7486</v>
      </c>
      <c r="B1333" s="12" t="s">
        <v>5596</v>
      </c>
      <c r="C1333" s="11">
        <v>45949</v>
      </c>
      <c r="D1333" s="12">
        <v>5</v>
      </c>
      <c r="E1333" s="12">
        <v>7</v>
      </c>
      <c r="F1333" s="13" t="s">
        <v>8363</v>
      </c>
      <c r="G1333" t="str">
        <f>IFERROR(INDEX(Ticket!$B$2:$B$6001,MATCH(B1333,Ticket!$A$2:$A$6001,0)),"Ticket introuvable")</f>
        <v>AG-035</v>
      </c>
    </row>
    <row r="1334" spans="1:7" x14ac:dyDescent="0.35">
      <c r="A1334" s="6" t="s">
        <v>7487</v>
      </c>
      <c r="B1334" s="8" t="s">
        <v>2343</v>
      </c>
      <c r="C1334" s="7">
        <v>45990</v>
      </c>
      <c r="D1334" s="8">
        <v>5</v>
      </c>
      <c r="E1334" s="8"/>
      <c r="F1334" s="9" t="s">
        <v>8363</v>
      </c>
      <c r="G1334" t="str">
        <f>IFERROR(INDEX(Ticket!$B$2:$B$6001,MATCH(B1334,Ticket!$A$2:$A$6001,0)),"Ticket introuvable")</f>
        <v>AG-016</v>
      </c>
    </row>
    <row r="1335" spans="1:7" x14ac:dyDescent="0.35">
      <c r="A1335" s="10" t="s">
        <v>7488</v>
      </c>
      <c r="B1335" s="12" t="s">
        <v>1195</v>
      </c>
      <c r="C1335" s="11">
        <v>45896</v>
      </c>
      <c r="D1335" s="12">
        <v>5</v>
      </c>
      <c r="E1335" s="12">
        <v>7</v>
      </c>
      <c r="F1335" s="13" t="s">
        <v>8363</v>
      </c>
      <c r="G1335" t="str">
        <f>IFERROR(INDEX(Ticket!$B$2:$B$6001,MATCH(B1335,Ticket!$A$2:$A$6001,0)),"Ticket introuvable")</f>
        <v>AG-026</v>
      </c>
    </row>
    <row r="1336" spans="1:7" x14ac:dyDescent="0.35">
      <c r="A1336" s="6" t="s">
        <v>7489</v>
      </c>
      <c r="B1336" s="8" t="s">
        <v>5106</v>
      </c>
      <c r="C1336" s="7">
        <v>45819</v>
      </c>
      <c r="D1336" s="8"/>
      <c r="E1336" s="8">
        <v>9</v>
      </c>
      <c r="F1336" s="9" t="s">
        <v>8363</v>
      </c>
      <c r="G1336" t="str">
        <f>IFERROR(INDEX(Ticket!$B$2:$B$6001,MATCH(B1336,Ticket!$A$2:$A$6001,0)),"Ticket introuvable")</f>
        <v>AG-033</v>
      </c>
    </row>
    <row r="1337" spans="1:7" x14ac:dyDescent="0.35">
      <c r="A1337" s="10" t="s">
        <v>7490</v>
      </c>
      <c r="B1337" s="12" t="s">
        <v>4863</v>
      </c>
      <c r="C1337" s="11">
        <v>45787</v>
      </c>
      <c r="D1337" s="12">
        <v>5</v>
      </c>
      <c r="E1337" s="12">
        <v>10</v>
      </c>
      <c r="F1337" s="13" t="s">
        <v>6142</v>
      </c>
      <c r="G1337" t="str">
        <f>IFERROR(INDEX(Ticket!$B$2:$B$6001,MATCH(B1337,Ticket!$A$2:$A$6001,0)),"Ticket introuvable")</f>
        <v>AG-006</v>
      </c>
    </row>
    <row r="1338" spans="1:7" x14ac:dyDescent="0.35">
      <c r="A1338" s="6" t="s">
        <v>7491</v>
      </c>
      <c r="B1338" s="8" t="s">
        <v>3673</v>
      </c>
      <c r="C1338" s="7">
        <v>45663</v>
      </c>
      <c r="D1338" s="8">
        <v>4</v>
      </c>
      <c r="E1338" s="8">
        <v>8</v>
      </c>
      <c r="F1338" s="9" t="s">
        <v>6148</v>
      </c>
      <c r="G1338" t="str">
        <f>IFERROR(INDEX(Ticket!$B$2:$B$6001,MATCH(B1338,Ticket!$A$2:$A$6001,0)),"Ticket introuvable")</f>
        <v>AG-006</v>
      </c>
    </row>
    <row r="1339" spans="1:7" x14ac:dyDescent="0.35">
      <c r="A1339" s="10" t="s">
        <v>7492</v>
      </c>
      <c r="B1339" s="12" t="s">
        <v>380</v>
      </c>
      <c r="C1339" s="11">
        <v>45785</v>
      </c>
      <c r="D1339" s="12">
        <v>3</v>
      </c>
      <c r="E1339" s="12">
        <v>5</v>
      </c>
      <c r="F1339" s="13" t="s">
        <v>8363</v>
      </c>
      <c r="G1339" t="str">
        <f>IFERROR(INDEX(Ticket!$B$2:$B$6001,MATCH(B1339,Ticket!$A$2:$A$6001,0)),"Ticket introuvable")</f>
        <v>AG-029</v>
      </c>
    </row>
    <row r="1340" spans="1:7" x14ac:dyDescent="0.35">
      <c r="A1340" s="6" t="s">
        <v>7493</v>
      </c>
      <c r="B1340" s="8" t="s">
        <v>4432</v>
      </c>
      <c r="C1340" s="7">
        <v>45789</v>
      </c>
      <c r="D1340" s="8">
        <v>2</v>
      </c>
      <c r="E1340" s="8">
        <v>10</v>
      </c>
      <c r="F1340" s="9" t="s">
        <v>8363</v>
      </c>
      <c r="G1340" t="str">
        <f>IFERROR(INDEX(Ticket!$B$2:$B$6001,MATCH(B1340,Ticket!$A$2:$A$6001,0)),"Ticket introuvable")</f>
        <v>AG-037</v>
      </c>
    </row>
    <row r="1341" spans="1:7" x14ac:dyDescent="0.35">
      <c r="A1341" s="10" t="s">
        <v>7494</v>
      </c>
      <c r="B1341" s="12" t="s">
        <v>5412</v>
      </c>
      <c r="C1341" s="11">
        <v>45965</v>
      </c>
      <c r="D1341" s="12">
        <v>5</v>
      </c>
      <c r="E1341" s="12">
        <v>9</v>
      </c>
      <c r="F1341" s="13" t="s">
        <v>8363</v>
      </c>
      <c r="G1341" t="str">
        <f>IFERROR(INDEX(Ticket!$B$2:$B$6001,MATCH(B1341,Ticket!$A$2:$A$6001,0)),"Ticket introuvable")</f>
        <v>AG-021</v>
      </c>
    </row>
    <row r="1342" spans="1:7" x14ac:dyDescent="0.35">
      <c r="A1342" s="6" t="s">
        <v>7495</v>
      </c>
      <c r="B1342" s="8" t="s">
        <v>1563</v>
      </c>
      <c r="C1342" s="7">
        <v>45817</v>
      </c>
      <c r="D1342" s="8">
        <v>2</v>
      </c>
      <c r="E1342" s="8">
        <v>8</v>
      </c>
      <c r="F1342" s="9" t="s">
        <v>6148</v>
      </c>
      <c r="G1342" t="str">
        <f>IFERROR(INDEX(Ticket!$B$2:$B$6001,MATCH(B1342,Ticket!$A$2:$A$6001,0)),"Ticket introuvable")</f>
        <v>AG-008</v>
      </c>
    </row>
    <row r="1343" spans="1:7" x14ac:dyDescent="0.35">
      <c r="A1343" s="10" t="s">
        <v>7496</v>
      </c>
      <c r="B1343" s="12" t="s">
        <v>4928</v>
      </c>
      <c r="C1343" s="11">
        <v>45801</v>
      </c>
      <c r="D1343" s="12">
        <v>2</v>
      </c>
      <c r="E1343" s="12">
        <v>10</v>
      </c>
      <c r="F1343" s="13" t="s">
        <v>6142</v>
      </c>
      <c r="G1343" t="str">
        <f>IFERROR(INDEX(Ticket!$B$2:$B$6001,MATCH(B1343,Ticket!$A$2:$A$6001,0)),"Ticket introuvable")</f>
        <v>AG-025</v>
      </c>
    </row>
    <row r="1344" spans="1:7" x14ac:dyDescent="0.35">
      <c r="A1344" s="6" t="s">
        <v>7497</v>
      </c>
      <c r="B1344" s="8" t="s">
        <v>788</v>
      </c>
      <c r="C1344" s="7">
        <v>45829</v>
      </c>
      <c r="D1344" s="8">
        <v>4</v>
      </c>
      <c r="E1344" s="8">
        <v>8</v>
      </c>
      <c r="F1344" s="9" t="s">
        <v>6160</v>
      </c>
      <c r="G1344" t="str">
        <f>IFERROR(INDEX(Ticket!$B$2:$B$6001,MATCH(B1344,Ticket!$A$2:$A$6001,0)),"Ticket introuvable")</f>
        <v>AG-022</v>
      </c>
    </row>
    <row r="1345" spans="1:7" x14ac:dyDescent="0.35">
      <c r="A1345" s="10" t="s">
        <v>7498</v>
      </c>
      <c r="B1345" s="12" t="s">
        <v>2689</v>
      </c>
      <c r="C1345" s="11">
        <v>45840</v>
      </c>
      <c r="D1345" s="12">
        <v>4</v>
      </c>
      <c r="E1345" s="12">
        <v>6</v>
      </c>
      <c r="F1345" s="13" t="s">
        <v>6142</v>
      </c>
      <c r="G1345" t="str">
        <f>IFERROR(INDEX(Ticket!$B$2:$B$6001,MATCH(B1345,Ticket!$A$2:$A$6001,0)),"Ticket introuvable")</f>
        <v>AG-027</v>
      </c>
    </row>
    <row r="1346" spans="1:7" x14ac:dyDescent="0.35">
      <c r="A1346" s="6" t="s">
        <v>7499</v>
      </c>
      <c r="B1346" s="8" t="s">
        <v>772</v>
      </c>
      <c r="C1346" s="7">
        <v>45889</v>
      </c>
      <c r="D1346" s="8">
        <v>5</v>
      </c>
      <c r="E1346" s="8">
        <v>8</v>
      </c>
      <c r="F1346" s="9" t="s">
        <v>6153</v>
      </c>
      <c r="G1346" t="str">
        <f>IFERROR(INDEX(Ticket!$B$2:$B$6001,MATCH(B1346,Ticket!$A$2:$A$6001,0)),"Ticket introuvable")</f>
        <v>AG-029</v>
      </c>
    </row>
    <row r="1347" spans="1:7" x14ac:dyDescent="0.35">
      <c r="A1347" s="10" t="s">
        <v>7500</v>
      </c>
      <c r="B1347" s="12" t="s">
        <v>478</v>
      </c>
      <c r="C1347" s="11">
        <v>45999</v>
      </c>
      <c r="D1347" s="12">
        <v>5</v>
      </c>
      <c r="E1347" s="12">
        <v>0</v>
      </c>
      <c r="F1347" s="13" t="s">
        <v>8363</v>
      </c>
      <c r="G1347" t="str">
        <f>IFERROR(INDEX(Ticket!$B$2:$B$6001,MATCH(B1347,Ticket!$A$2:$A$6001,0)),"Ticket introuvable")</f>
        <v>AG-024</v>
      </c>
    </row>
    <row r="1348" spans="1:7" x14ac:dyDescent="0.35">
      <c r="A1348" s="6" t="s">
        <v>7501</v>
      </c>
      <c r="B1348" s="8" t="s">
        <v>3318</v>
      </c>
      <c r="C1348" s="7">
        <v>45915</v>
      </c>
      <c r="D1348" s="8">
        <v>5</v>
      </c>
      <c r="E1348" s="8">
        <v>6</v>
      </c>
      <c r="F1348" s="9" t="s">
        <v>6148</v>
      </c>
      <c r="G1348" t="str">
        <f>IFERROR(INDEX(Ticket!$B$2:$B$6001,MATCH(B1348,Ticket!$A$2:$A$6001,0)),"Ticket introuvable")</f>
        <v>AG-015</v>
      </c>
    </row>
    <row r="1349" spans="1:7" x14ac:dyDescent="0.35">
      <c r="A1349" s="10" t="s">
        <v>7502</v>
      </c>
      <c r="B1349" s="12" t="s">
        <v>5415</v>
      </c>
      <c r="C1349" s="11">
        <v>46014</v>
      </c>
      <c r="D1349" s="12">
        <v>4</v>
      </c>
      <c r="E1349" s="12">
        <v>8</v>
      </c>
      <c r="F1349" s="13" t="s">
        <v>6148</v>
      </c>
      <c r="G1349" t="str">
        <f>IFERROR(INDEX(Ticket!$B$2:$B$6001,MATCH(B1349,Ticket!$A$2:$A$6001,0)),"Ticket introuvable")</f>
        <v>AG-029</v>
      </c>
    </row>
    <row r="1350" spans="1:7" x14ac:dyDescent="0.35">
      <c r="A1350" s="6" t="s">
        <v>7503</v>
      </c>
      <c r="B1350" s="8" t="s">
        <v>2164</v>
      </c>
      <c r="C1350" s="7">
        <v>45969</v>
      </c>
      <c r="D1350" s="8">
        <v>3</v>
      </c>
      <c r="E1350" s="8">
        <v>6</v>
      </c>
      <c r="F1350" s="9" t="s">
        <v>8363</v>
      </c>
      <c r="G1350" t="str">
        <f>IFERROR(INDEX(Ticket!$B$2:$B$6001,MATCH(B1350,Ticket!$A$2:$A$6001,0)),"Ticket introuvable")</f>
        <v>AG-027</v>
      </c>
    </row>
    <row r="1351" spans="1:7" x14ac:dyDescent="0.35">
      <c r="A1351" s="10" t="s">
        <v>7504</v>
      </c>
      <c r="B1351" s="12" t="s">
        <v>2199</v>
      </c>
      <c r="C1351" s="11">
        <v>45911</v>
      </c>
      <c r="D1351" s="12">
        <v>5</v>
      </c>
      <c r="E1351" s="12">
        <v>6</v>
      </c>
      <c r="F1351" s="13" t="s">
        <v>8363</v>
      </c>
      <c r="G1351" t="str">
        <f>IFERROR(INDEX(Ticket!$B$2:$B$6001,MATCH(B1351,Ticket!$A$2:$A$6001,0)),"Ticket introuvable")</f>
        <v>AG-016</v>
      </c>
    </row>
    <row r="1352" spans="1:7" x14ac:dyDescent="0.35">
      <c r="A1352" s="6" t="s">
        <v>7505</v>
      </c>
      <c r="B1352" s="8" t="s">
        <v>5988</v>
      </c>
      <c r="C1352" s="7">
        <v>45886</v>
      </c>
      <c r="D1352" s="8">
        <v>4</v>
      </c>
      <c r="E1352" s="8">
        <v>8</v>
      </c>
      <c r="F1352" s="9" t="s">
        <v>6160</v>
      </c>
      <c r="G1352" t="str">
        <f>IFERROR(INDEX(Ticket!$B$2:$B$6001,MATCH(B1352,Ticket!$A$2:$A$6001,0)),"Ticket introuvable")</f>
        <v>AG-038</v>
      </c>
    </row>
    <row r="1353" spans="1:7" x14ac:dyDescent="0.35">
      <c r="A1353" s="10" t="s">
        <v>7506</v>
      </c>
      <c r="B1353" s="12" t="s">
        <v>1836</v>
      </c>
      <c r="C1353" s="11">
        <v>45746</v>
      </c>
      <c r="D1353" s="12">
        <v>5</v>
      </c>
      <c r="E1353" s="12">
        <v>9</v>
      </c>
      <c r="F1353" s="13" t="s">
        <v>6148</v>
      </c>
      <c r="G1353" t="str">
        <f>IFERROR(INDEX(Ticket!$B$2:$B$6001,MATCH(B1353,Ticket!$A$2:$A$6001,0)),"Ticket introuvable")</f>
        <v>AG-029</v>
      </c>
    </row>
    <row r="1354" spans="1:7" x14ac:dyDescent="0.35">
      <c r="A1354" s="6" t="s">
        <v>7507</v>
      </c>
      <c r="B1354" s="8" t="s">
        <v>6054</v>
      </c>
      <c r="C1354" s="7">
        <v>45843</v>
      </c>
      <c r="D1354" s="8">
        <v>4</v>
      </c>
      <c r="E1354" s="8">
        <v>4</v>
      </c>
      <c r="F1354" s="9" t="s">
        <v>8363</v>
      </c>
      <c r="G1354" t="str">
        <f>IFERROR(INDEX(Ticket!$B$2:$B$6001,MATCH(B1354,Ticket!$A$2:$A$6001,0)),"Ticket introuvable")</f>
        <v>AG-021</v>
      </c>
    </row>
    <row r="1355" spans="1:7" x14ac:dyDescent="0.35">
      <c r="A1355" s="10" t="s">
        <v>7508</v>
      </c>
      <c r="B1355" s="12" t="s">
        <v>3754</v>
      </c>
      <c r="C1355" s="11">
        <v>45839</v>
      </c>
      <c r="D1355" s="12">
        <v>5</v>
      </c>
      <c r="E1355" s="12">
        <v>8</v>
      </c>
      <c r="F1355" s="13" t="s">
        <v>6142</v>
      </c>
      <c r="G1355" t="str">
        <f>IFERROR(INDEX(Ticket!$B$2:$B$6001,MATCH(B1355,Ticket!$A$2:$A$6001,0)),"Ticket introuvable")</f>
        <v>AG-017</v>
      </c>
    </row>
    <row r="1356" spans="1:7" x14ac:dyDescent="0.35">
      <c r="A1356" s="6" t="s">
        <v>7509</v>
      </c>
      <c r="B1356" s="8" t="s">
        <v>2977</v>
      </c>
      <c r="C1356" s="7">
        <v>45664</v>
      </c>
      <c r="D1356" s="8"/>
      <c r="E1356" s="8">
        <v>10</v>
      </c>
      <c r="F1356" s="9" t="s">
        <v>6160</v>
      </c>
      <c r="G1356" t="str">
        <f>IFERROR(INDEX(Ticket!$B$2:$B$6001,MATCH(B1356,Ticket!$A$2:$A$6001,0)),"Ticket introuvable")</f>
        <v>AG-013</v>
      </c>
    </row>
    <row r="1357" spans="1:7" x14ac:dyDescent="0.35">
      <c r="A1357" s="10" t="s">
        <v>7510</v>
      </c>
      <c r="B1357" s="12" t="s">
        <v>3506</v>
      </c>
      <c r="C1357" s="11">
        <v>45984</v>
      </c>
      <c r="D1357" s="12">
        <v>2</v>
      </c>
      <c r="E1357" s="12">
        <v>4</v>
      </c>
      <c r="F1357" s="13" t="s">
        <v>6142</v>
      </c>
      <c r="G1357" t="str">
        <f>IFERROR(INDEX(Ticket!$B$2:$B$6001,MATCH(B1357,Ticket!$A$2:$A$6001,0)),"Ticket introuvable")</f>
        <v>AG-032</v>
      </c>
    </row>
    <row r="1358" spans="1:7" x14ac:dyDescent="0.35">
      <c r="A1358" s="6" t="s">
        <v>7511</v>
      </c>
      <c r="B1358" s="8" t="s">
        <v>1983</v>
      </c>
      <c r="C1358" s="7">
        <v>45793</v>
      </c>
      <c r="D1358" s="8">
        <v>3</v>
      </c>
      <c r="E1358" s="8">
        <v>9</v>
      </c>
      <c r="F1358" s="9" t="s">
        <v>6142</v>
      </c>
      <c r="G1358" t="str">
        <f>IFERROR(INDEX(Ticket!$B$2:$B$6001,MATCH(B1358,Ticket!$A$2:$A$6001,0)),"Ticket introuvable")</f>
        <v>AG-010</v>
      </c>
    </row>
    <row r="1359" spans="1:7" x14ac:dyDescent="0.35">
      <c r="A1359" s="10" t="s">
        <v>7512</v>
      </c>
      <c r="B1359" s="12" t="s">
        <v>300</v>
      </c>
      <c r="C1359" s="11">
        <v>45702</v>
      </c>
      <c r="D1359" s="12">
        <v>3</v>
      </c>
      <c r="E1359" s="12">
        <v>6</v>
      </c>
      <c r="F1359" s="13" t="s">
        <v>6142</v>
      </c>
      <c r="G1359" t="str">
        <f>IFERROR(INDEX(Ticket!$B$2:$B$6001,MATCH(B1359,Ticket!$A$2:$A$6001,0)),"Ticket introuvable")</f>
        <v>AG-025</v>
      </c>
    </row>
    <row r="1360" spans="1:7" x14ac:dyDescent="0.35">
      <c r="A1360" s="6" t="s">
        <v>7513</v>
      </c>
      <c r="B1360" s="8" t="s">
        <v>5706</v>
      </c>
      <c r="C1360" s="7">
        <v>45998</v>
      </c>
      <c r="D1360" s="8">
        <v>5</v>
      </c>
      <c r="E1360" s="8">
        <v>0</v>
      </c>
      <c r="F1360" s="9" t="s">
        <v>75</v>
      </c>
      <c r="G1360" t="str">
        <f>IFERROR(INDEX(Ticket!$B$2:$B$6001,MATCH(B1360,Ticket!$A$2:$A$6001,0)),"Ticket introuvable")</f>
        <v>AG-036</v>
      </c>
    </row>
    <row r="1361" spans="1:7" x14ac:dyDescent="0.35">
      <c r="A1361" s="10" t="s">
        <v>7514</v>
      </c>
      <c r="B1361" s="12" t="s">
        <v>4417</v>
      </c>
      <c r="C1361" s="11">
        <v>45772</v>
      </c>
      <c r="D1361" s="12">
        <v>3</v>
      </c>
      <c r="E1361" s="12">
        <v>5</v>
      </c>
      <c r="F1361" s="13" t="s">
        <v>6148</v>
      </c>
      <c r="G1361" t="str">
        <f>IFERROR(INDEX(Ticket!$B$2:$B$6001,MATCH(B1361,Ticket!$A$2:$A$6001,0)),"Ticket introuvable")</f>
        <v>AG-014</v>
      </c>
    </row>
    <row r="1362" spans="1:7" x14ac:dyDescent="0.35">
      <c r="A1362" s="6" t="s">
        <v>7515</v>
      </c>
      <c r="B1362" s="8" t="s">
        <v>3432</v>
      </c>
      <c r="C1362" s="7">
        <v>45706</v>
      </c>
      <c r="D1362" s="8">
        <v>4</v>
      </c>
      <c r="E1362" s="8">
        <v>10</v>
      </c>
      <c r="F1362" s="9" t="s">
        <v>6148</v>
      </c>
      <c r="G1362" t="str">
        <f>IFERROR(INDEX(Ticket!$B$2:$B$6001,MATCH(B1362,Ticket!$A$2:$A$6001,0)),"Ticket introuvable")</f>
        <v>AG-006</v>
      </c>
    </row>
    <row r="1363" spans="1:7" x14ac:dyDescent="0.35">
      <c r="A1363" s="10" t="s">
        <v>7516</v>
      </c>
      <c r="B1363" s="12" t="s">
        <v>1944</v>
      </c>
      <c r="C1363" s="11">
        <v>45975</v>
      </c>
      <c r="D1363" s="12">
        <v>5</v>
      </c>
      <c r="E1363" s="12">
        <v>10</v>
      </c>
      <c r="F1363" s="13" t="s">
        <v>6142</v>
      </c>
      <c r="G1363" t="str">
        <f>IFERROR(INDEX(Ticket!$B$2:$B$6001,MATCH(B1363,Ticket!$A$2:$A$6001,0)),"Ticket introuvable")</f>
        <v>AG-026</v>
      </c>
    </row>
    <row r="1364" spans="1:7" x14ac:dyDescent="0.35">
      <c r="A1364" s="6" t="s">
        <v>7517</v>
      </c>
      <c r="B1364" s="8" t="s">
        <v>683</v>
      </c>
      <c r="C1364" s="7">
        <v>45889</v>
      </c>
      <c r="D1364" s="8">
        <v>5</v>
      </c>
      <c r="E1364" s="8">
        <v>10</v>
      </c>
      <c r="F1364" s="9" t="s">
        <v>6160</v>
      </c>
      <c r="G1364" t="str">
        <f>IFERROR(INDEX(Ticket!$B$2:$B$6001,MATCH(B1364,Ticket!$A$2:$A$6001,0)),"Ticket introuvable")</f>
        <v>AG-036</v>
      </c>
    </row>
    <row r="1365" spans="1:7" x14ac:dyDescent="0.35">
      <c r="A1365" s="10" t="s">
        <v>7518</v>
      </c>
      <c r="B1365" s="12" t="s">
        <v>4560</v>
      </c>
      <c r="C1365" s="11">
        <v>46013</v>
      </c>
      <c r="D1365" s="12">
        <v>4</v>
      </c>
      <c r="E1365" s="12">
        <v>3</v>
      </c>
      <c r="F1365" s="13" t="s">
        <v>6142</v>
      </c>
      <c r="G1365" t="str">
        <f>IFERROR(INDEX(Ticket!$B$2:$B$6001,MATCH(B1365,Ticket!$A$2:$A$6001,0)),"Ticket introuvable")</f>
        <v>AG-025</v>
      </c>
    </row>
    <row r="1366" spans="1:7" x14ac:dyDescent="0.35">
      <c r="A1366" s="6" t="s">
        <v>7519</v>
      </c>
      <c r="B1366" s="8" t="s">
        <v>824</v>
      </c>
      <c r="C1366" s="7">
        <v>45935</v>
      </c>
      <c r="D1366" s="8">
        <v>4</v>
      </c>
      <c r="E1366" s="8">
        <v>9</v>
      </c>
      <c r="F1366" s="9" t="s">
        <v>6160</v>
      </c>
      <c r="G1366" t="str">
        <f>IFERROR(INDEX(Ticket!$B$2:$B$6001,MATCH(B1366,Ticket!$A$2:$A$6001,0)),"Ticket introuvable")</f>
        <v>AG-029</v>
      </c>
    </row>
    <row r="1367" spans="1:7" x14ac:dyDescent="0.35">
      <c r="A1367" s="10" t="s">
        <v>7520</v>
      </c>
      <c r="B1367" s="12" t="s">
        <v>3026</v>
      </c>
      <c r="C1367" s="11">
        <v>45662</v>
      </c>
      <c r="D1367" s="12">
        <v>5</v>
      </c>
      <c r="E1367" s="12"/>
      <c r="F1367" s="13" t="s">
        <v>8363</v>
      </c>
      <c r="G1367" t="str">
        <f>IFERROR(INDEX(Ticket!$B$2:$B$6001,MATCH(B1367,Ticket!$A$2:$A$6001,0)),"Ticket introuvable")</f>
        <v>AG-037</v>
      </c>
    </row>
    <row r="1368" spans="1:7" x14ac:dyDescent="0.35">
      <c r="A1368" s="6" t="s">
        <v>7521</v>
      </c>
      <c r="B1368" s="8" t="s">
        <v>3118</v>
      </c>
      <c r="C1368" s="7">
        <v>45823</v>
      </c>
      <c r="D1368" s="8">
        <v>5</v>
      </c>
      <c r="E1368" s="8">
        <v>10</v>
      </c>
      <c r="F1368" s="9" t="s">
        <v>6160</v>
      </c>
      <c r="G1368" t="str">
        <f>IFERROR(INDEX(Ticket!$B$2:$B$6001,MATCH(B1368,Ticket!$A$2:$A$6001,0)),"Ticket introuvable")</f>
        <v>AG-015</v>
      </c>
    </row>
    <row r="1369" spans="1:7" x14ac:dyDescent="0.35">
      <c r="A1369" s="10" t="s">
        <v>7522</v>
      </c>
      <c r="B1369" s="12" t="s">
        <v>243</v>
      </c>
      <c r="C1369" s="11">
        <v>45904</v>
      </c>
      <c r="D1369" s="12">
        <v>3</v>
      </c>
      <c r="E1369" s="12">
        <v>9</v>
      </c>
      <c r="F1369" s="13" t="s">
        <v>6160</v>
      </c>
      <c r="G1369" t="str">
        <f>IFERROR(INDEX(Ticket!$B$2:$B$6001,MATCH(B1369,Ticket!$A$2:$A$6001,0)),"Ticket introuvable")</f>
        <v>AG-021</v>
      </c>
    </row>
    <row r="1370" spans="1:7" x14ac:dyDescent="0.35">
      <c r="A1370" s="6" t="s">
        <v>7523</v>
      </c>
      <c r="B1370" s="8" t="s">
        <v>488</v>
      </c>
      <c r="C1370" s="7">
        <v>46012</v>
      </c>
      <c r="D1370" s="8">
        <v>4</v>
      </c>
      <c r="E1370" s="8">
        <v>10</v>
      </c>
      <c r="F1370" s="9" t="s">
        <v>8363</v>
      </c>
      <c r="G1370" t="str">
        <f>IFERROR(INDEX(Ticket!$B$2:$B$6001,MATCH(B1370,Ticket!$A$2:$A$6001,0)),"Ticket introuvable")</f>
        <v>AG-039</v>
      </c>
    </row>
    <row r="1371" spans="1:7" x14ac:dyDescent="0.35">
      <c r="A1371" s="10" t="s">
        <v>7524</v>
      </c>
      <c r="B1371" s="12" t="s">
        <v>2950</v>
      </c>
      <c r="C1371" s="11">
        <v>45841</v>
      </c>
      <c r="D1371" s="12"/>
      <c r="E1371" s="12">
        <v>8</v>
      </c>
      <c r="F1371" s="13" t="s">
        <v>8363</v>
      </c>
      <c r="G1371" t="str">
        <f>IFERROR(INDEX(Ticket!$B$2:$B$6001,MATCH(B1371,Ticket!$A$2:$A$6001,0)),"Ticket introuvable")</f>
        <v>AG-032</v>
      </c>
    </row>
    <row r="1372" spans="1:7" x14ac:dyDescent="0.35">
      <c r="A1372" s="6" t="s">
        <v>7525</v>
      </c>
      <c r="B1372" s="8" t="s">
        <v>2130</v>
      </c>
      <c r="C1372" s="7">
        <v>45917</v>
      </c>
      <c r="D1372" s="8"/>
      <c r="E1372" s="8">
        <v>7</v>
      </c>
      <c r="F1372" s="9" t="s">
        <v>6160</v>
      </c>
      <c r="G1372" t="str">
        <f>IFERROR(INDEX(Ticket!$B$2:$B$6001,MATCH(B1372,Ticket!$A$2:$A$6001,0)),"Ticket introuvable")</f>
        <v>AG-038</v>
      </c>
    </row>
    <row r="1373" spans="1:7" x14ac:dyDescent="0.35">
      <c r="A1373" s="10" t="s">
        <v>7526</v>
      </c>
      <c r="B1373" s="12" t="s">
        <v>3911</v>
      </c>
      <c r="C1373" s="11">
        <v>45920</v>
      </c>
      <c r="D1373" s="12">
        <v>4</v>
      </c>
      <c r="E1373" s="12">
        <v>9</v>
      </c>
      <c r="F1373" s="13" t="s">
        <v>6148</v>
      </c>
      <c r="G1373" t="str">
        <f>IFERROR(INDEX(Ticket!$B$2:$B$6001,MATCH(B1373,Ticket!$A$2:$A$6001,0)),"Ticket introuvable")</f>
        <v>AG-026</v>
      </c>
    </row>
    <row r="1374" spans="1:7" x14ac:dyDescent="0.35">
      <c r="A1374" s="6" t="s">
        <v>7527</v>
      </c>
      <c r="B1374" s="8" t="s">
        <v>2367</v>
      </c>
      <c r="C1374" s="7">
        <v>45976</v>
      </c>
      <c r="D1374" s="8">
        <v>4</v>
      </c>
      <c r="E1374" s="8">
        <v>8</v>
      </c>
      <c r="F1374" s="9" t="s">
        <v>75</v>
      </c>
      <c r="G1374" t="str">
        <f>IFERROR(INDEX(Ticket!$B$2:$B$6001,MATCH(B1374,Ticket!$A$2:$A$6001,0)),"Ticket introuvable")</f>
        <v>AG-018</v>
      </c>
    </row>
    <row r="1375" spans="1:7" x14ac:dyDescent="0.35">
      <c r="A1375" s="10" t="s">
        <v>7528</v>
      </c>
      <c r="B1375" s="12" t="s">
        <v>4540</v>
      </c>
      <c r="C1375" s="11">
        <v>45882</v>
      </c>
      <c r="D1375" s="12">
        <v>3</v>
      </c>
      <c r="E1375" s="12">
        <v>10</v>
      </c>
      <c r="F1375" s="13" t="s">
        <v>8363</v>
      </c>
      <c r="G1375" t="str">
        <f>IFERROR(INDEX(Ticket!$B$2:$B$6001,MATCH(B1375,Ticket!$A$2:$A$6001,0)),"Ticket introuvable")</f>
        <v>AG-023</v>
      </c>
    </row>
    <row r="1376" spans="1:7" x14ac:dyDescent="0.35">
      <c r="A1376" s="6" t="s">
        <v>7529</v>
      </c>
      <c r="B1376" s="8" t="s">
        <v>4815</v>
      </c>
      <c r="C1376" s="7">
        <v>45950</v>
      </c>
      <c r="D1376" s="8">
        <v>3</v>
      </c>
      <c r="E1376" s="8">
        <v>9</v>
      </c>
      <c r="F1376" s="9" t="s">
        <v>75</v>
      </c>
      <c r="G1376" t="str">
        <f>IFERROR(INDEX(Ticket!$B$2:$B$6001,MATCH(B1376,Ticket!$A$2:$A$6001,0)),"Ticket introuvable")</f>
        <v>AG-008</v>
      </c>
    </row>
    <row r="1377" spans="1:7" x14ac:dyDescent="0.35">
      <c r="A1377" s="10" t="s">
        <v>7530</v>
      </c>
      <c r="B1377" s="12" t="s">
        <v>67</v>
      </c>
      <c r="C1377" s="11">
        <v>45682</v>
      </c>
      <c r="D1377" s="12">
        <v>4</v>
      </c>
      <c r="E1377" s="12"/>
      <c r="F1377" s="13" t="s">
        <v>6160</v>
      </c>
      <c r="G1377" t="str">
        <f>IFERROR(INDEX(Ticket!$B$2:$B$6001,MATCH(B1377,Ticket!$A$2:$A$6001,0)),"Ticket introuvable")</f>
        <v>AG-039</v>
      </c>
    </row>
    <row r="1378" spans="1:7" x14ac:dyDescent="0.35">
      <c r="A1378" s="6" t="s">
        <v>7531</v>
      </c>
      <c r="B1378" s="8" t="s">
        <v>825</v>
      </c>
      <c r="C1378" s="7">
        <v>46008</v>
      </c>
      <c r="D1378" s="8">
        <v>5</v>
      </c>
      <c r="E1378" s="8">
        <v>8</v>
      </c>
      <c r="F1378" s="9" t="s">
        <v>6148</v>
      </c>
      <c r="G1378" t="str">
        <f>IFERROR(INDEX(Ticket!$B$2:$B$6001,MATCH(B1378,Ticket!$A$2:$A$6001,0)),"Ticket introuvable")</f>
        <v>AG-032</v>
      </c>
    </row>
    <row r="1379" spans="1:7" x14ac:dyDescent="0.35">
      <c r="A1379" s="10" t="s">
        <v>7532</v>
      </c>
      <c r="B1379" s="12" t="s">
        <v>1298</v>
      </c>
      <c r="C1379" s="11">
        <v>45858</v>
      </c>
      <c r="D1379" s="12">
        <v>5</v>
      </c>
      <c r="E1379" s="12">
        <v>3</v>
      </c>
      <c r="F1379" s="13" t="s">
        <v>75</v>
      </c>
      <c r="G1379" t="str">
        <f>IFERROR(INDEX(Ticket!$B$2:$B$6001,MATCH(B1379,Ticket!$A$2:$A$6001,0)),"Ticket introuvable")</f>
        <v>AG-035</v>
      </c>
    </row>
    <row r="1380" spans="1:7" x14ac:dyDescent="0.35">
      <c r="A1380" s="6" t="s">
        <v>7533</v>
      </c>
      <c r="B1380" s="8" t="s">
        <v>3634</v>
      </c>
      <c r="C1380" s="7">
        <v>45953</v>
      </c>
      <c r="D1380" s="8">
        <v>4</v>
      </c>
      <c r="E1380" s="8">
        <v>10</v>
      </c>
      <c r="F1380" s="9" t="s">
        <v>8363</v>
      </c>
      <c r="G1380" t="str">
        <f>IFERROR(INDEX(Ticket!$B$2:$B$6001,MATCH(B1380,Ticket!$A$2:$A$6001,0)),"Ticket introuvable")</f>
        <v>AG-010</v>
      </c>
    </row>
    <row r="1381" spans="1:7" x14ac:dyDescent="0.35">
      <c r="A1381" s="10" t="s">
        <v>7534</v>
      </c>
      <c r="B1381" s="12" t="s">
        <v>4168</v>
      </c>
      <c r="C1381" s="11">
        <v>45949</v>
      </c>
      <c r="D1381" s="12">
        <v>3</v>
      </c>
      <c r="E1381" s="12">
        <v>8</v>
      </c>
      <c r="F1381" s="13" t="s">
        <v>6148</v>
      </c>
      <c r="G1381" t="str">
        <f>IFERROR(INDEX(Ticket!$B$2:$B$6001,MATCH(B1381,Ticket!$A$2:$A$6001,0)),"Ticket introuvable")</f>
        <v>AG-013</v>
      </c>
    </row>
    <row r="1382" spans="1:7" x14ac:dyDescent="0.35">
      <c r="A1382" s="6" t="s">
        <v>7535</v>
      </c>
      <c r="B1382" s="8" t="s">
        <v>5999</v>
      </c>
      <c r="C1382" s="7">
        <v>45672</v>
      </c>
      <c r="D1382" s="8">
        <v>5</v>
      </c>
      <c r="E1382" s="8">
        <v>9</v>
      </c>
      <c r="F1382" s="9" t="s">
        <v>8363</v>
      </c>
      <c r="G1382" t="str">
        <f>IFERROR(INDEX(Ticket!$B$2:$B$6001,MATCH(B1382,Ticket!$A$2:$A$6001,0)),"Ticket introuvable")</f>
        <v>AG-036</v>
      </c>
    </row>
    <row r="1383" spans="1:7" x14ac:dyDescent="0.35">
      <c r="A1383" s="10" t="s">
        <v>7536</v>
      </c>
      <c r="B1383" s="12" t="s">
        <v>4509</v>
      </c>
      <c r="C1383" s="11">
        <v>45841</v>
      </c>
      <c r="D1383" s="12">
        <v>2</v>
      </c>
      <c r="E1383" s="12">
        <v>9</v>
      </c>
      <c r="F1383" s="13" t="s">
        <v>75</v>
      </c>
      <c r="G1383" t="str">
        <f>IFERROR(INDEX(Ticket!$B$2:$B$6001,MATCH(B1383,Ticket!$A$2:$A$6001,0)),"Ticket introuvable")</f>
        <v>AG-025</v>
      </c>
    </row>
    <row r="1384" spans="1:7" x14ac:dyDescent="0.35">
      <c r="A1384" s="6" t="s">
        <v>7537</v>
      </c>
      <c r="B1384" s="8" t="s">
        <v>2792</v>
      </c>
      <c r="C1384" s="7">
        <v>45738</v>
      </c>
      <c r="D1384" s="8">
        <v>3</v>
      </c>
      <c r="E1384" s="8">
        <v>1</v>
      </c>
      <c r="F1384" s="9" t="s">
        <v>8363</v>
      </c>
      <c r="G1384" t="str">
        <f>IFERROR(INDEX(Ticket!$B$2:$B$6001,MATCH(B1384,Ticket!$A$2:$A$6001,0)),"Ticket introuvable")</f>
        <v>AG-035</v>
      </c>
    </row>
    <row r="1385" spans="1:7" x14ac:dyDescent="0.35">
      <c r="A1385" s="10" t="s">
        <v>7538</v>
      </c>
      <c r="B1385" s="12" t="s">
        <v>4189</v>
      </c>
      <c r="C1385" s="11">
        <v>46000</v>
      </c>
      <c r="D1385" s="12">
        <v>4</v>
      </c>
      <c r="E1385" s="12">
        <v>9</v>
      </c>
      <c r="F1385" s="13" t="s">
        <v>6160</v>
      </c>
      <c r="G1385" t="str">
        <f>IFERROR(INDEX(Ticket!$B$2:$B$6001,MATCH(B1385,Ticket!$A$2:$A$6001,0)),"Ticket introuvable")</f>
        <v>AG-040</v>
      </c>
    </row>
    <row r="1386" spans="1:7" x14ac:dyDescent="0.35">
      <c r="A1386" s="6" t="s">
        <v>7539</v>
      </c>
      <c r="B1386" s="8" t="s">
        <v>61</v>
      </c>
      <c r="C1386" s="7">
        <v>45978</v>
      </c>
      <c r="D1386" s="8">
        <v>4</v>
      </c>
      <c r="E1386" s="8">
        <v>8</v>
      </c>
      <c r="F1386" s="9" t="s">
        <v>75</v>
      </c>
      <c r="G1386" t="str">
        <f>IFERROR(INDEX(Ticket!$B$2:$B$6001,MATCH(B1386,Ticket!$A$2:$A$6001,0)),"Ticket introuvable")</f>
        <v>AG-035</v>
      </c>
    </row>
    <row r="1387" spans="1:7" x14ac:dyDescent="0.35">
      <c r="A1387" s="10" t="s">
        <v>7540</v>
      </c>
      <c r="B1387" s="12" t="s">
        <v>3213</v>
      </c>
      <c r="C1387" s="11">
        <v>45934</v>
      </c>
      <c r="D1387" s="12">
        <v>1</v>
      </c>
      <c r="E1387" s="12">
        <v>8</v>
      </c>
      <c r="F1387" s="13" t="s">
        <v>6160</v>
      </c>
      <c r="G1387" t="str">
        <f>IFERROR(INDEX(Ticket!$B$2:$B$6001,MATCH(B1387,Ticket!$A$2:$A$6001,0)),"Ticket introuvable")</f>
        <v>AG-007</v>
      </c>
    </row>
    <row r="1388" spans="1:7" x14ac:dyDescent="0.35">
      <c r="A1388" s="6" t="s">
        <v>7541</v>
      </c>
      <c r="B1388" s="8" t="s">
        <v>4817</v>
      </c>
      <c r="C1388" s="7">
        <v>45702</v>
      </c>
      <c r="D1388" s="8">
        <v>4</v>
      </c>
      <c r="E1388" s="8">
        <v>9</v>
      </c>
      <c r="F1388" s="9" t="s">
        <v>8363</v>
      </c>
      <c r="G1388" t="str">
        <f>IFERROR(INDEX(Ticket!$B$2:$B$6001,MATCH(B1388,Ticket!$A$2:$A$6001,0)),"Ticket introuvable")</f>
        <v>AG-035</v>
      </c>
    </row>
    <row r="1389" spans="1:7" x14ac:dyDescent="0.35">
      <c r="A1389" s="10" t="s">
        <v>7542</v>
      </c>
      <c r="B1389" s="12" t="s">
        <v>5484</v>
      </c>
      <c r="C1389" s="11">
        <v>45662</v>
      </c>
      <c r="D1389" s="12">
        <v>3</v>
      </c>
      <c r="E1389" s="12">
        <v>1</v>
      </c>
      <c r="F1389" s="13" t="s">
        <v>6148</v>
      </c>
      <c r="G1389" t="str">
        <f>IFERROR(INDEX(Ticket!$B$2:$B$6001,MATCH(B1389,Ticket!$A$2:$A$6001,0)),"Ticket introuvable")</f>
        <v>AG-005</v>
      </c>
    </row>
    <row r="1390" spans="1:7" x14ac:dyDescent="0.35">
      <c r="A1390" s="6" t="s">
        <v>7543</v>
      </c>
      <c r="B1390" s="8" t="s">
        <v>4460</v>
      </c>
      <c r="C1390" s="7">
        <v>45759</v>
      </c>
      <c r="D1390" s="8"/>
      <c r="E1390" s="8">
        <v>5</v>
      </c>
      <c r="F1390" s="9" t="s">
        <v>6153</v>
      </c>
      <c r="G1390" t="str">
        <f>IFERROR(INDEX(Ticket!$B$2:$B$6001,MATCH(B1390,Ticket!$A$2:$A$6001,0)),"Ticket introuvable")</f>
        <v>AG-026</v>
      </c>
    </row>
    <row r="1391" spans="1:7" x14ac:dyDescent="0.35">
      <c r="A1391" s="10" t="s">
        <v>7544</v>
      </c>
      <c r="B1391" s="12" t="s">
        <v>450</v>
      </c>
      <c r="C1391" s="11">
        <v>45706</v>
      </c>
      <c r="D1391" s="12">
        <v>5</v>
      </c>
      <c r="E1391" s="12">
        <v>8</v>
      </c>
      <c r="F1391" s="13" t="s">
        <v>6160</v>
      </c>
      <c r="G1391" t="str">
        <f>IFERROR(INDEX(Ticket!$B$2:$B$6001,MATCH(B1391,Ticket!$A$2:$A$6001,0)),"Ticket introuvable")</f>
        <v>AG-037</v>
      </c>
    </row>
    <row r="1392" spans="1:7" x14ac:dyDescent="0.35">
      <c r="A1392" s="6" t="s">
        <v>7545</v>
      </c>
      <c r="B1392" s="8" t="s">
        <v>5289</v>
      </c>
      <c r="C1392" s="7">
        <v>45794</v>
      </c>
      <c r="D1392" s="8">
        <v>2</v>
      </c>
      <c r="E1392" s="8">
        <v>8</v>
      </c>
      <c r="F1392" s="9" t="s">
        <v>6142</v>
      </c>
      <c r="G1392" t="str">
        <f>IFERROR(INDEX(Ticket!$B$2:$B$6001,MATCH(B1392,Ticket!$A$2:$A$6001,0)),"Ticket introuvable")</f>
        <v>AG-026</v>
      </c>
    </row>
    <row r="1393" spans="1:7" x14ac:dyDescent="0.35">
      <c r="A1393" s="10" t="s">
        <v>7546</v>
      </c>
      <c r="B1393" s="12" t="s">
        <v>2058</v>
      </c>
      <c r="C1393" s="11">
        <v>45842</v>
      </c>
      <c r="D1393" s="12">
        <v>5</v>
      </c>
      <c r="E1393" s="12">
        <v>10</v>
      </c>
      <c r="F1393" s="13" t="s">
        <v>8363</v>
      </c>
      <c r="G1393" t="str">
        <f>IFERROR(INDEX(Ticket!$B$2:$B$6001,MATCH(B1393,Ticket!$A$2:$A$6001,0)),"Ticket introuvable")</f>
        <v>AG-015</v>
      </c>
    </row>
    <row r="1394" spans="1:7" x14ac:dyDescent="0.35">
      <c r="A1394" s="6" t="s">
        <v>7547</v>
      </c>
      <c r="B1394" s="8" t="s">
        <v>4250</v>
      </c>
      <c r="C1394" s="7">
        <v>46007</v>
      </c>
      <c r="D1394" s="8"/>
      <c r="E1394" s="8">
        <v>9</v>
      </c>
      <c r="F1394" s="9" t="s">
        <v>6142</v>
      </c>
      <c r="G1394" t="str">
        <f>IFERROR(INDEX(Ticket!$B$2:$B$6001,MATCH(B1394,Ticket!$A$2:$A$6001,0)),"Ticket introuvable")</f>
        <v>AG-014</v>
      </c>
    </row>
    <row r="1395" spans="1:7" x14ac:dyDescent="0.35">
      <c r="A1395" s="10" t="s">
        <v>7548</v>
      </c>
      <c r="B1395" s="12" t="s">
        <v>4804</v>
      </c>
      <c r="C1395" s="11">
        <v>45914</v>
      </c>
      <c r="D1395" s="12">
        <v>3</v>
      </c>
      <c r="E1395" s="12">
        <v>3</v>
      </c>
      <c r="F1395" s="13" t="s">
        <v>8363</v>
      </c>
      <c r="G1395" t="str">
        <f>IFERROR(INDEX(Ticket!$B$2:$B$6001,MATCH(B1395,Ticket!$A$2:$A$6001,0)),"Ticket introuvable")</f>
        <v>AG-022</v>
      </c>
    </row>
    <row r="1396" spans="1:7" x14ac:dyDescent="0.35">
      <c r="A1396" s="6" t="s">
        <v>7549</v>
      </c>
      <c r="B1396" s="8" t="s">
        <v>4573</v>
      </c>
      <c r="C1396" s="7">
        <v>45944</v>
      </c>
      <c r="D1396" s="8">
        <v>2</v>
      </c>
      <c r="E1396" s="8">
        <v>10</v>
      </c>
      <c r="F1396" s="9" t="s">
        <v>8363</v>
      </c>
      <c r="G1396" t="str">
        <f>IFERROR(INDEX(Ticket!$B$2:$B$6001,MATCH(B1396,Ticket!$A$2:$A$6001,0)),"Ticket introuvable")</f>
        <v>AG-032</v>
      </c>
    </row>
    <row r="1397" spans="1:7" x14ac:dyDescent="0.35">
      <c r="A1397" s="10" t="s">
        <v>7550</v>
      </c>
      <c r="B1397" s="12" t="s">
        <v>2650</v>
      </c>
      <c r="C1397" s="11">
        <v>45744</v>
      </c>
      <c r="D1397" s="12">
        <v>3</v>
      </c>
      <c r="E1397" s="12">
        <v>7</v>
      </c>
      <c r="F1397" s="13" t="s">
        <v>8363</v>
      </c>
      <c r="G1397" t="str">
        <f>IFERROR(INDEX(Ticket!$B$2:$B$6001,MATCH(B1397,Ticket!$A$2:$A$6001,0)),"Ticket introuvable")</f>
        <v>AG-029</v>
      </c>
    </row>
    <row r="1398" spans="1:7" x14ac:dyDescent="0.35">
      <c r="A1398" s="6" t="s">
        <v>7551</v>
      </c>
      <c r="B1398" s="8" t="s">
        <v>138</v>
      </c>
      <c r="C1398" s="7">
        <v>45697</v>
      </c>
      <c r="D1398" s="8">
        <v>5</v>
      </c>
      <c r="E1398" s="8">
        <v>7</v>
      </c>
      <c r="F1398" s="9" t="s">
        <v>6153</v>
      </c>
      <c r="G1398" t="str">
        <f>IFERROR(INDEX(Ticket!$B$2:$B$6001,MATCH(B1398,Ticket!$A$2:$A$6001,0)),"Ticket introuvable")</f>
        <v>AG-020</v>
      </c>
    </row>
    <row r="1399" spans="1:7" x14ac:dyDescent="0.35">
      <c r="A1399" s="10" t="s">
        <v>7552</v>
      </c>
      <c r="B1399" s="12" t="s">
        <v>4782</v>
      </c>
      <c r="C1399" s="11">
        <v>45957</v>
      </c>
      <c r="D1399" s="12">
        <v>5</v>
      </c>
      <c r="E1399" s="12"/>
      <c r="F1399" s="13" t="s">
        <v>6153</v>
      </c>
      <c r="G1399" t="str">
        <f>IFERROR(INDEX(Ticket!$B$2:$B$6001,MATCH(B1399,Ticket!$A$2:$A$6001,0)),"Ticket introuvable")</f>
        <v>AG-016</v>
      </c>
    </row>
    <row r="1400" spans="1:7" x14ac:dyDescent="0.35">
      <c r="A1400" s="6" t="s">
        <v>7553</v>
      </c>
      <c r="B1400" s="8" t="s">
        <v>3007</v>
      </c>
      <c r="C1400" s="7">
        <v>46006</v>
      </c>
      <c r="D1400" s="8">
        <v>4</v>
      </c>
      <c r="E1400" s="8">
        <v>7</v>
      </c>
      <c r="F1400" s="9" t="s">
        <v>6142</v>
      </c>
      <c r="G1400" t="str">
        <f>IFERROR(INDEX(Ticket!$B$2:$B$6001,MATCH(B1400,Ticket!$A$2:$A$6001,0)),"Ticket introuvable")</f>
        <v>AG-037</v>
      </c>
    </row>
    <row r="1401" spans="1:7" x14ac:dyDescent="0.35">
      <c r="A1401" s="10" t="s">
        <v>7554</v>
      </c>
      <c r="B1401" s="12" t="s">
        <v>2221</v>
      </c>
      <c r="C1401" s="11">
        <v>45709</v>
      </c>
      <c r="D1401" s="12">
        <v>4</v>
      </c>
      <c r="E1401" s="12">
        <v>9</v>
      </c>
      <c r="F1401" s="13" t="s">
        <v>8363</v>
      </c>
      <c r="G1401" t="str">
        <f>IFERROR(INDEX(Ticket!$B$2:$B$6001,MATCH(B1401,Ticket!$A$2:$A$6001,0)),"Ticket introuvable")</f>
        <v>AG-028</v>
      </c>
    </row>
    <row r="1402" spans="1:7" x14ac:dyDescent="0.35">
      <c r="A1402" s="6" t="s">
        <v>7555</v>
      </c>
      <c r="B1402" s="8" t="s">
        <v>275</v>
      </c>
      <c r="C1402" s="7">
        <v>45663</v>
      </c>
      <c r="D1402" s="8">
        <v>3</v>
      </c>
      <c r="E1402" s="8">
        <v>10</v>
      </c>
      <c r="F1402" s="9" t="s">
        <v>6153</v>
      </c>
      <c r="G1402" t="str">
        <f>IFERROR(INDEX(Ticket!$B$2:$B$6001,MATCH(B1402,Ticket!$A$2:$A$6001,0)),"Ticket introuvable")</f>
        <v>AG-028</v>
      </c>
    </row>
    <row r="1403" spans="1:7" x14ac:dyDescent="0.35">
      <c r="A1403" s="10" t="s">
        <v>7556</v>
      </c>
      <c r="B1403" s="12" t="s">
        <v>4698</v>
      </c>
      <c r="C1403" s="11">
        <v>45960</v>
      </c>
      <c r="D1403" s="12">
        <v>3</v>
      </c>
      <c r="E1403" s="12">
        <v>6</v>
      </c>
      <c r="F1403" s="13" t="s">
        <v>6153</v>
      </c>
      <c r="G1403" t="str">
        <f>IFERROR(INDEX(Ticket!$B$2:$B$6001,MATCH(B1403,Ticket!$A$2:$A$6001,0)),"Ticket introuvable")</f>
        <v>AG-025</v>
      </c>
    </row>
    <row r="1404" spans="1:7" x14ac:dyDescent="0.35">
      <c r="A1404" s="6" t="s">
        <v>7557</v>
      </c>
      <c r="B1404" s="8" t="s">
        <v>493</v>
      </c>
      <c r="C1404" s="7">
        <v>45754</v>
      </c>
      <c r="D1404" s="8">
        <v>3</v>
      </c>
      <c r="E1404" s="8">
        <v>6</v>
      </c>
      <c r="F1404" s="9" t="s">
        <v>6160</v>
      </c>
      <c r="G1404" t="str">
        <f>IFERROR(INDEX(Ticket!$B$2:$B$6001,MATCH(B1404,Ticket!$A$2:$A$6001,0)),"Ticket introuvable")</f>
        <v>AG-026</v>
      </c>
    </row>
    <row r="1405" spans="1:7" x14ac:dyDescent="0.35">
      <c r="A1405" s="10" t="s">
        <v>7558</v>
      </c>
      <c r="B1405" s="12" t="s">
        <v>320</v>
      </c>
      <c r="C1405" s="11">
        <v>46003</v>
      </c>
      <c r="D1405" s="12">
        <v>2</v>
      </c>
      <c r="E1405" s="12"/>
      <c r="F1405" s="13" t="s">
        <v>6153</v>
      </c>
      <c r="G1405" t="str">
        <f>IFERROR(INDEX(Ticket!$B$2:$B$6001,MATCH(B1405,Ticket!$A$2:$A$6001,0)),"Ticket introuvable")</f>
        <v>AG-008</v>
      </c>
    </row>
    <row r="1406" spans="1:7" x14ac:dyDescent="0.35">
      <c r="A1406" s="6" t="s">
        <v>7559</v>
      </c>
      <c r="B1406" s="8" t="s">
        <v>5423</v>
      </c>
      <c r="C1406" s="7">
        <v>45873</v>
      </c>
      <c r="D1406" s="8">
        <v>1</v>
      </c>
      <c r="E1406" s="8">
        <v>2</v>
      </c>
      <c r="F1406" s="9" t="s">
        <v>6160</v>
      </c>
      <c r="G1406" t="str">
        <f>IFERROR(INDEX(Ticket!$B$2:$B$6001,MATCH(B1406,Ticket!$A$2:$A$6001,0)),"Ticket introuvable")</f>
        <v>AG-029</v>
      </c>
    </row>
    <row r="1407" spans="1:7" x14ac:dyDescent="0.35">
      <c r="A1407" s="10" t="s">
        <v>7560</v>
      </c>
      <c r="B1407" s="12" t="s">
        <v>2553</v>
      </c>
      <c r="C1407" s="11">
        <v>45812</v>
      </c>
      <c r="D1407" s="12">
        <v>5</v>
      </c>
      <c r="E1407" s="12">
        <v>7</v>
      </c>
      <c r="F1407" s="13" t="s">
        <v>6148</v>
      </c>
      <c r="G1407" t="str">
        <f>IFERROR(INDEX(Ticket!$B$2:$B$6001,MATCH(B1407,Ticket!$A$2:$A$6001,0)),"Ticket introuvable")</f>
        <v>AG-039</v>
      </c>
    </row>
    <row r="1408" spans="1:7" x14ac:dyDescent="0.35">
      <c r="A1408" s="6" t="s">
        <v>7561</v>
      </c>
      <c r="B1408" s="8" t="s">
        <v>1799</v>
      </c>
      <c r="C1408" s="7">
        <v>46013</v>
      </c>
      <c r="D1408" s="8">
        <v>5</v>
      </c>
      <c r="E1408" s="8">
        <v>8</v>
      </c>
      <c r="F1408" s="9" t="s">
        <v>8363</v>
      </c>
      <c r="G1408" t="str">
        <f>IFERROR(INDEX(Ticket!$B$2:$B$6001,MATCH(B1408,Ticket!$A$2:$A$6001,0)),"Ticket introuvable")</f>
        <v>AG-014</v>
      </c>
    </row>
    <row r="1409" spans="1:7" x14ac:dyDescent="0.35">
      <c r="A1409" s="10" t="s">
        <v>7562</v>
      </c>
      <c r="B1409" s="12" t="s">
        <v>3294</v>
      </c>
      <c r="C1409" s="11">
        <v>45776</v>
      </c>
      <c r="D1409" s="12">
        <v>4</v>
      </c>
      <c r="E1409" s="12">
        <v>8</v>
      </c>
      <c r="F1409" s="13" t="s">
        <v>75</v>
      </c>
      <c r="G1409" t="str">
        <f>IFERROR(INDEX(Ticket!$B$2:$B$6001,MATCH(B1409,Ticket!$A$2:$A$6001,0)),"Ticket introuvable")</f>
        <v>AG-011</v>
      </c>
    </row>
    <row r="1410" spans="1:7" x14ac:dyDescent="0.35">
      <c r="A1410" s="6" t="s">
        <v>7563</v>
      </c>
      <c r="B1410" s="8" t="s">
        <v>1887</v>
      </c>
      <c r="C1410" s="7">
        <v>45872</v>
      </c>
      <c r="D1410" s="8"/>
      <c r="E1410" s="8">
        <v>8</v>
      </c>
      <c r="F1410" s="9" t="s">
        <v>6160</v>
      </c>
      <c r="G1410" t="str">
        <f>IFERROR(INDEX(Ticket!$B$2:$B$6001,MATCH(B1410,Ticket!$A$2:$A$6001,0)),"Ticket introuvable")</f>
        <v>AG-022</v>
      </c>
    </row>
    <row r="1411" spans="1:7" x14ac:dyDescent="0.35">
      <c r="A1411" s="10" t="s">
        <v>7564</v>
      </c>
      <c r="B1411" s="12" t="s">
        <v>4955</v>
      </c>
      <c r="C1411" s="11">
        <v>45699</v>
      </c>
      <c r="D1411" s="12"/>
      <c r="E1411" s="12">
        <v>0</v>
      </c>
      <c r="F1411" s="13" t="s">
        <v>8363</v>
      </c>
      <c r="G1411" t="str">
        <f>IFERROR(INDEX(Ticket!$B$2:$B$6001,MATCH(B1411,Ticket!$A$2:$A$6001,0)),"Ticket introuvable")</f>
        <v>AG-007</v>
      </c>
    </row>
    <row r="1412" spans="1:7" x14ac:dyDescent="0.35">
      <c r="A1412" s="6" t="s">
        <v>7565</v>
      </c>
      <c r="B1412" s="8" t="s">
        <v>1482</v>
      </c>
      <c r="C1412" s="7">
        <v>46007</v>
      </c>
      <c r="D1412" s="8">
        <v>5</v>
      </c>
      <c r="E1412" s="8">
        <v>9</v>
      </c>
      <c r="F1412" s="9" t="s">
        <v>6148</v>
      </c>
      <c r="G1412" t="str">
        <f>IFERROR(INDEX(Ticket!$B$2:$B$6001,MATCH(B1412,Ticket!$A$2:$A$6001,0)),"Ticket introuvable")</f>
        <v>AG-037</v>
      </c>
    </row>
    <row r="1413" spans="1:7" x14ac:dyDescent="0.35">
      <c r="A1413" s="10" t="s">
        <v>7566</v>
      </c>
      <c r="B1413" s="12" t="s">
        <v>4562</v>
      </c>
      <c r="C1413" s="11">
        <v>45754</v>
      </c>
      <c r="D1413" s="12">
        <v>4</v>
      </c>
      <c r="E1413" s="12">
        <v>8</v>
      </c>
      <c r="F1413" s="13" t="s">
        <v>6142</v>
      </c>
      <c r="G1413" t="str">
        <f>IFERROR(INDEX(Ticket!$B$2:$B$6001,MATCH(B1413,Ticket!$A$2:$A$6001,0)),"Ticket introuvable")</f>
        <v>AG-038</v>
      </c>
    </row>
    <row r="1414" spans="1:7" x14ac:dyDescent="0.35">
      <c r="A1414" s="6" t="s">
        <v>7567</v>
      </c>
      <c r="B1414" s="8" t="s">
        <v>4650</v>
      </c>
      <c r="C1414" s="7">
        <v>45919</v>
      </c>
      <c r="D1414" s="8">
        <v>5</v>
      </c>
      <c r="E1414" s="8">
        <v>9</v>
      </c>
      <c r="F1414" s="9" t="s">
        <v>6160</v>
      </c>
      <c r="G1414" t="str">
        <f>IFERROR(INDEX(Ticket!$B$2:$B$6001,MATCH(B1414,Ticket!$A$2:$A$6001,0)),"Ticket introuvable")</f>
        <v>AG-025</v>
      </c>
    </row>
    <row r="1415" spans="1:7" x14ac:dyDescent="0.35">
      <c r="A1415" s="10" t="s">
        <v>7568</v>
      </c>
      <c r="B1415" s="12" t="s">
        <v>5359</v>
      </c>
      <c r="C1415" s="11">
        <v>45725</v>
      </c>
      <c r="D1415" s="12">
        <v>5</v>
      </c>
      <c r="E1415" s="12">
        <v>9</v>
      </c>
      <c r="F1415" s="13" t="s">
        <v>8363</v>
      </c>
      <c r="G1415" t="str">
        <f>IFERROR(INDEX(Ticket!$B$2:$B$6001,MATCH(B1415,Ticket!$A$2:$A$6001,0)),"Ticket introuvable")</f>
        <v>AG-017</v>
      </c>
    </row>
    <row r="1416" spans="1:7" x14ac:dyDescent="0.35">
      <c r="A1416" s="6" t="s">
        <v>7569</v>
      </c>
      <c r="B1416" s="8" t="s">
        <v>4203</v>
      </c>
      <c r="C1416" s="7">
        <v>45838</v>
      </c>
      <c r="D1416" s="8">
        <v>5</v>
      </c>
      <c r="E1416" s="8">
        <v>10</v>
      </c>
      <c r="F1416" s="9" t="s">
        <v>8363</v>
      </c>
      <c r="G1416" t="str">
        <f>IFERROR(INDEX(Ticket!$B$2:$B$6001,MATCH(B1416,Ticket!$A$2:$A$6001,0)),"Ticket introuvable")</f>
        <v>AG-032</v>
      </c>
    </row>
    <row r="1417" spans="1:7" x14ac:dyDescent="0.35">
      <c r="A1417" s="10" t="s">
        <v>7570</v>
      </c>
      <c r="B1417" s="12" t="s">
        <v>4418</v>
      </c>
      <c r="C1417" s="11">
        <v>45713</v>
      </c>
      <c r="D1417" s="12">
        <v>3</v>
      </c>
      <c r="E1417" s="12">
        <v>9</v>
      </c>
      <c r="F1417" s="13" t="s">
        <v>6148</v>
      </c>
      <c r="G1417" t="str">
        <f>IFERROR(INDEX(Ticket!$B$2:$B$6001,MATCH(B1417,Ticket!$A$2:$A$6001,0)),"Ticket introuvable")</f>
        <v>AG-005</v>
      </c>
    </row>
    <row r="1418" spans="1:7" x14ac:dyDescent="0.35">
      <c r="A1418" s="6" t="s">
        <v>7571</v>
      </c>
      <c r="B1418" s="8" t="s">
        <v>5758</v>
      </c>
      <c r="C1418" s="7">
        <v>45732</v>
      </c>
      <c r="D1418" s="8">
        <v>4</v>
      </c>
      <c r="E1418" s="8">
        <v>4</v>
      </c>
      <c r="F1418" s="9" t="s">
        <v>8363</v>
      </c>
      <c r="G1418" t="str">
        <f>IFERROR(INDEX(Ticket!$B$2:$B$6001,MATCH(B1418,Ticket!$A$2:$A$6001,0)),"Ticket introuvable")</f>
        <v>AG-012</v>
      </c>
    </row>
    <row r="1419" spans="1:7" x14ac:dyDescent="0.35">
      <c r="A1419" s="10" t="s">
        <v>7572</v>
      </c>
      <c r="B1419" s="12" t="s">
        <v>1854</v>
      </c>
      <c r="C1419" s="11">
        <v>45899</v>
      </c>
      <c r="D1419" s="12">
        <v>4</v>
      </c>
      <c r="E1419" s="12">
        <v>6</v>
      </c>
      <c r="F1419" s="13" t="s">
        <v>6153</v>
      </c>
      <c r="G1419" t="str">
        <f>IFERROR(INDEX(Ticket!$B$2:$B$6001,MATCH(B1419,Ticket!$A$2:$A$6001,0)),"Ticket introuvable")</f>
        <v>AG-017</v>
      </c>
    </row>
    <row r="1420" spans="1:7" x14ac:dyDescent="0.35">
      <c r="A1420" s="6" t="s">
        <v>7573</v>
      </c>
      <c r="B1420" s="8" t="s">
        <v>1099</v>
      </c>
      <c r="C1420" s="7">
        <v>45723</v>
      </c>
      <c r="D1420" s="8">
        <v>2</v>
      </c>
      <c r="E1420" s="8">
        <v>9</v>
      </c>
      <c r="F1420" s="9" t="s">
        <v>8363</v>
      </c>
      <c r="G1420" t="str">
        <f>IFERROR(INDEX(Ticket!$B$2:$B$6001,MATCH(B1420,Ticket!$A$2:$A$6001,0)),"Ticket introuvable")</f>
        <v>AG-027</v>
      </c>
    </row>
    <row r="1421" spans="1:7" x14ac:dyDescent="0.35">
      <c r="A1421" s="10" t="s">
        <v>7574</v>
      </c>
      <c r="B1421" s="12" t="s">
        <v>769</v>
      </c>
      <c r="C1421" s="11">
        <v>45812</v>
      </c>
      <c r="D1421" s="12">
        <v>4</v>
      </c>
      <c r="E1421" s="12"/>
      <c r="F1421" s="13" t="s">
        <v>8363</v>
      </c>
      <c r="G1421" t="str">
        <f>IFERROR(INDEX(Ticket!$B$2:$B$6001,MATCH(B1421,Ticket!$A$2:$A$6001,0)),"Ticket introuvable")</f>
        <v>AG-040</v>
      </c>
    </row>
    <row r="1422" spans="1:7" x14ac:dyDescent="0.35">
      <c r="A1422" s="6" t="s">
        <v>7575</v>
      </c>
      <c r="B1422" s="8" t="s">
        <v>4425</v>
      </c>
      <c r="C1422" s="7">
        <v>45895</v>
      </c>
      <c r="D1422" s="8">
        <v>2</v>
      </c>
      <c r="E1422" s="8">
        <v>7</v>
      </c>
      <c r="F1422" s="9" t="s">
        <v>8363</v>
      </c>
      <c r="G1422" t="str">
        <f>IFERROR(INDEX(Ticket!$B$2:$B$6001,MATCH(B1422,Ticket!$A$2:$A$6001,0)),"Ticket introuvable")</f>
        <v>AG-023</v>
      </c>
    </row>
    <row r="1423" spans="1:7" x14ac:dyDescent="0.35">
      <c r="A1423" s="10" t="s">
        <v>7576</v>
      </c>
      <c r="B1423" s="12" t="s">
        <v>5365</v>
      </c>
      <c r="C1423" s="11">
        <v>45992</v>
      </c>
      <c r="D1423" s="12">
        <v>4</v>
      </c>
      <c r="E1423" s="12">
        <v>9</v>
      </c>
      <c r="F1423" s="13" t="s">
        <v>8363</v>
      </c>
      <c r="G1423" t="str">
        <f>IFERROR(INDEX(Ticket!$B$2:$B$6001,MATCH(B1423,Ticket!$A$2:$A$6001,0)),"Ticket introuvable")</f>
        <v>AG-033</v>
      </c>
    </row>
    <row r="1424" spans="1:7" x14ac:dyDescent="0.35">
      <c r="A1424" s="6" t="s">
        <v>7577</v>
      </c>
      <c r="B1424" s="8" t="s">
        <v>2024</v>
      </c>
      <c r="C1424" s="7">
        <v>45814</v>
      </c>
      <c r="D1424" s="8">
        <v>5</v>
      </c>
      <c r="E1424" s="8">
        <v>7</v>
      </c>
      <c r="F1424" s="9" t="s">
        <v>6142</v>
      </c>
      <c r="G1424" t="str">
        <f>IFERROR(INDEX(Ticket!$B$2:$B$6001,MATCH(B1424,Ticket!$A$2:$A$6001,0)),"Ticket introuvable")</f>
        <v>AG-006</v>
      </c>
    </row>
    <row r="1425" spans="1:7" x14ac:dyDescent="0.35">
      <c r="A1425" s="10" t="s">
        <v>7578</v>
      </c>
      <c r="B1425" s="12" t="s">
        <v>1814</v>
      </c>
      <c r="C1425" s="11">
        <v>45693</v>
      </c>
      <c r="D1425" s="12">
        <v>4</v>
      </c>
      <c r="E1425" s="12">
        <v>10</v>
      </c>
      <c r="F1425" s="13" t="s">
        <v>6142</v>
      </c>
      <c r="G1425" t="str">
        <f>IFERROR(INDEX(Ticket!$B$2:$B$6001,MATCH(B1425,Ticket!$A$2:$A$6001,0)),"Ticket introuvable")</f>
        <v>AG-025</v>
      </c>
    </row>
    <row r="1426" spans="1:7" x14ac:dyDescent="0.35">
      <c r="A1426" s="6" t="s">
        <v>7579</v>
      </c>
      <c r="B1426" s="8" t="s">
        <v>2722</v>
      </c>
      <c r="C1426" s="7">
        <v>45890</v>
      </c>
      <c r="D1426" s="8">
        <v>4</v>
      </c>
      <c r="E1426" s="8">
        <v>10</v>
      </c>
      <c r="F1426" s="9" t="s">
        <v>8363</v>
      </c>
      <c r="G1426" t="str">
        <f>IFERROR(INDEX(Ticket!$B$2:$B$6001,MATCH(B1426,Ticket!$A$2:$A$6001,0)),"Ticket introuvable")</f>
        <v>AG-034</v>
      </c>
    </row>
    <row r="1427" spans="1:7" x14ac:dyDescent="0.35">
      <c r="A1427" s="10" t="s">
        <v>7580</v>
      </c>
      <c r="B1427" s="12" t="s">
        <v>1766</v>
      </c>
      <c r="C1427" s="11">
        <v>45677</v>
      </c>
      <c r="D1427" s="12">
        <v>5</v>
      </c>
      <c r="E1427" s="12">
        <v>9</v>
      </c>
      <c r="F1427" s="13" t="s">
        <v>6153</v>
      </c>
      <c r="G1427" t="str">
        <f>IFERROR(INDEX(Ticket!$B$2:$B$6001,MATCH(B1427,Ticket!$A$2:$A$6001,0)),"Ticket introuvable")</f>
        <v>AG-035</v>
      </c>
    </row>
    <row r="1428" spans="1:7" x14ac:dyDescent="0.35">
      <c r="A1428" s="6" t="s">
        <v>7581</v>
      </c>
      <c r="B1428" s="8" t="s">
        <v>1930</v>
      </c>
      <c r="C1428" s="7">
        <v>45685</v>
      </c>
      <c r="D1428" s="8">
        <v>3</v>
      </c>
      <c r="E1428" s="8">
        <v>8</v>
      </c>
      <c r="F1428" s="9" t="s">
        <v>6160</v>
      </c>
      <c r="G1428" t="str">
        <f>IFERROR(INDEX(Ticket!$B$2:$B$6001,MATCH(B1428,Ticket!$A$2:$A$6001,0)),"Ticket introuvable")</f>
        <v>AG-014</v>
      </c>
    </row>
    <row r="1429" spans="1:7" x14ac:dyDescent="0.35">
      <c r="A1429" s="10" t="s">
        <v>7582</v>
      </c>
      <c r="B1429" s="12" t="s">
        <v>5449</v>
      </c>
      <c r="C1429" s="11">
        <v>45819</v>
      </c>
      <c r="D1429" s="12">
        <v>5</v>
      </c>
      <c r="E1429" s="12">
        <v>6</v>
      </c>
      <c r="F1429" s="13" t="s">
        <v>6148</v>
      </c>
      <c r="G1429" t="str">
        <f>IFERROR(INDEX(Ticket!$B$2:$B$6001,MATCH(B1429,Ticket!$A$2:$A$6001,0)),"Ticket introuvable")</f>
        <v>AG-016</v>
      </c>
    </row>
    <row r="1430" spans="1:7" x14ac:dyDescent="0.35">
      <c r="A1430" s="6" t="s">
        <v>7583</v>
      </c>
      <c r="B1430" s="8" t="s">
        <v>5933</v>
      </c>
      <c r="C1430" s="7">
        <v>45848</v>
      </c>
      <c r="D1430" s="8">
        <v>4</v>
      </c>
      <c r="E1430" s="8">
        <v>9</v>
      </c>
      <c r="F1430" s="9" t="s">
        <v>75</v>
      </c>
      <c r="G1430" t="str">
        <f>IFERROR(INDEX(Ticket!$B$2:$B$6001,MATCH(B1430,Ticket!$A$2:$A$6001,0)),"Ticket introuvable")</f>
        <v>AG-025</v>
      </c>
    </row>
    <row r="1431" spans="1:7" x14ac:dyDescent="0.35">
      <c r="A1431" s="10" t="s">
        <v>7584</v>
      </c>
      <c r="B1431" s="12" t="s">
        <v>234</v>
      </c>
      <c r="C1431" s="11">
        <v>45670</v>
      </c>
      <c r="D1431" s="12">
        <v>2</v>
      </c>
      <c r="E1431" s="12">
        <v>6</v>
      </c>
      <c r="F1431" s="13" t="s">
        <v>6160</v>
      </c>
      <c r="G1431" t="str">
        <f>IFERROR(INDEX(Ticket!$B$2:$B$6001,MATCH(B1431,Ticket!$A$2:$A$6001,0)),"Ticket introuvable")</f>
        <v>AG-025</v>
      </c>
    </row>
    <row r="1432" spans="1:7" x14ac:dyDescent="0.35">
      <c r="A1432" s="6" t="s">
        <v>7585</v>
      </c>
      <c r="B1432" s="8" t="s">
        <v>745</v>
      </c>
      <c r="C1432" s="7">
        <v>45879</v>
      </c>
      <c r="D1432" s="8">
        <v>2</v>
      </c>
      <c r="E1432" s="8">
        <v>2</v>
      </c>
      <c r="F1432" s="9" t="s">
        <v>8363</v>
      </c>
      <c r="G1432" t="str">
        <f>IFERROR(INDEX(Ticket!$B$2:$B$6001,MATCH(B1432,Ticket!$A$2:$A$6001,0)),"Ticket introuvable")</f>
        <v>AG-016</v>
      </c>
    </row>
    <row r="1433" spans="1:7" x14ac:dyDescent="0.35">
      <c r="A1433" s="10" t="s">
        <v>7586</v>
      </c>
      <c r="B1433" s="12" t="s">
        <v>3671</v>
      </c>
      <c r="C1433" s="11">
        <v>45963</v>
      </c>
      <c r="D1433" s="12">
        <v>2</v>
      </c>
      <c r="E1433" s="12">
        <v>7</v>
      </c>
      <c r="F1433" s="13" t="s">
        <v>6160</v>
      </c>
      <c r="G1433" t="str">
        <f>IFERROR(INDEX(Ticket!$B$2:$B$6001,MATCH(B1433,Ticket!$A$2:$A$6001,0)),"Ticket introuvable")</f>
        <v>AG-026</v>
      </c>
    </row>
    <row r="1434" spans="1:7" x14ac:dyDescent="0.35">
      <c r="A1434" s="6" t="s">
        <v>7587</v>
      </c>
      <c r="B1434" s="8" t="s">
        <v>7588</v>
      </c>
      <c r="C1434" s="7">
        <v>45989</v>
      </c>
      <c r="D1434" s="8">
        <v>2</v>
      </c>
      <c r="E1434" s="8">
        <v>10</v>
      </c>
      <c r="F1434" s="9" t="s">
        <v>6148</v>
      </c>
      <c r="G1434" t="str">
        <f>IFERROR(INDEX(Ticket!$B$2:$B$6001,MATCH(B1434,Ticket!$A$2:$A$6001,0)),"Ticket introuvable")</f>
        <v>Ticket introuvable</v>
      </c>
    </row>
    <row r="1435" spans="1:7" x14ac:dyDescent="0.35">
      <c r="A1435" s="10" t="s">
        <v>7589</v>
      </c>
      <c r="B1435" s="12" t="s">
        <v>1649</v>
      </c>
      <c r="C1435" s="11">
        <v>45804</v>
      </c>
      <c r="D1435" s="12">
        <v>1</v>
      </c>
      <c r="E1435" s="12">
        <v>7</v>
      </c>
      <c r="F1435" s="13" t="s">
        <v>6160</v>
      </c>
      <c r="G1435" t="str">
        <f>IFERROR(INDEX(Ticket!$B$2:$B$6001,MATCH(B1435,Ticket!$A$2:$A$6001,0)),"Ticket introuvable")</f>
        <v>AG-008</v>
      </c>
    </row>
    <row r="1436" spans="1:7" x14ac:dyDescent="0.35">
      <c r="A1436" s="6" t="s">
        <v>7590</v>
      </c>
      <c r="B1436" s="8" t="s">
        <v>1612</v>
      </c>
      <c r="C1436" s="7">
        <v>45819</v>
      </c>
      <c r="D1436" s="8">
        <v>4</v>
      </c>
      <c r="E1436" s="8">
        <v>8</v>
      </c>
      <c r="F1436" s="9" t="s">
        <v>8363</v>
      </c>
      <c r="G1436" t="str">
        <f>IFERROR(INDEX(Ticket!$B$2:$B$6001,MATCH(B1436,Ticket!$A$2:$A$6001,0)),"Ticket introuvable")</f>
        <v>AG-037</v>
      </c>
    </row>
    <row r="1437" spans="1:7" x14ac:dyDescent="0.35">
      <c r="A1437" s="10" t="s">
        <v>7591</v>
      </c>
      <c r="B1437" s="12" t="s">
        <v>4825</v>
      </c>
      <c r="C1437" s="11">
        <v>45738</v>
      </c>
      <c r="D1437" s="12">
        <v>4</v>
      </c>
      <c r="E1437" s="12">
        <v>6</v>
      </c>
      <c r="F1437" s="13" t="s">
        <v>8363</v>
      </c>
      <c r="G1437" t="str">
        <f>IFERROR(INDEX(Ticket!$B$2:$B$6001,MATCH(B1437,Ticket!$A$2:$A$6001,0)),"Ticket introuvable")</f>
        <v>AG-010</v>
      </c>
    </row>
    <row r="1438" spans="1:7" x14ac:dyDescent="0.35">
      <c r="A1438" s="6" t="s">
        <v>7592</v>
      </c>
      <c r="B1438" s="8" t="s">
        <v>1680</v>
      </c>
      <c r="C1438" s="7">
        <v>45890</v>
      </c>
      <c r="D1438" s="8">
        <v>5</v>
      </c>
      <c r="E1438" s="8">
        <v>10</v>
      </c>
      <c r="F1438" s="9" t="s">
        <v>6142</v>
      </c>
      <c r="G1438" t="str">
        <f>IFERROR(INDEX(Ticket!$B$2:$B$6001,MATCH(B1438,Ticket!$A$2:$A$6001,0)),"Ticket introuvable")</f>
        <v>AG-007</v>
      </c>
    </row>
    <row r="1439" spans="1:7" x14ac:dyDescent="0.35">
      <c r="A1439" s="10" t="s">
        <v>7593</v>
      </c>
      <c r="B1439" s="12" t="s">
        <v>4555</v>
      </c>
      <c r="C1439" s="11">
        <v>45766</v>
      </c>
      <c r="D1439" s="12">
        <v>1</v>
      </c>
      <c r="E1439" s="12">
        <v>7</v>
      </c>
      <c r="F1439" s="13" t="s">
        <v>6153</v>
      </c>
      <c r="G1439" t="str">
        <f>IFERROR(INDEX(Ticket!$B$2:$B$6001,MATCH(B1439,Ticket!$A$2:$A$6001,0)),"Ticket introuvable")</f>
        <v>AG-014</v>
      </c>
    </row>
    <row r="1440" spans="1:7" x14ac:dyDescent="0.35">
      <c r="A1440" s="6" t="s">
        <v>7594</v>
      </c>
      <c r="B1440" s="8" t="s">
        <v>5301</v>
      </c>
      <c r="C1440" s="7">
        <v>45993</v>
      </c>
      <c r="D1440" s="8">
        <v>4</v>
      </c>
      <c r="E1440" s="8">
        <v>10</v>
      </c>
      <c r="F1440" s="9" t="s">
        <v>8363</v>
      </c>
      <c r="G1440" t="str">
        <f>IFERROR(INDEX(Ticket!$B$2:$B$6001,MATCH(B1440,Ticket!$A$2:$A$6001,0)),"Ticket introuvable")</f>
        <v>AG-013</v>
      </c>
    </row>
    <row r="1441" spans="1:7" x14ac:dyDescent="0.35">
      <c r="A1441" s="10" t="s">
        <v>7595</v>
      </c>
      <c r="B1441" s="12" t="s">
        <v>1110</v>
      </c>
      <c r="C1441" s="11">
        <v>45778</v>
      </c>
      <c r="D1441" s="12">
        <v>2</v>
      </c>
      <c r="E1441" s="12">
        <v>5</v>
      </c>
      <c r="F1441" s="13" t="s">
        <v>75</v>
      </c>
      <c r="G1441" t="str">
        <f>IFERROR(INDEX(Ticket!$B$2:$B$6001,MATCH(B1441,Ticket!$A$2:$A$6001,0)),"Ticket introuvable")</f>
        <v>AG-037</v>
      </c>
    </row>
    <row r="1442" spans="1:7" x14ac:dyDescent="0.35">
      <c r="A1442" s="6" t="s">
        <v>7596</v>
      </c>
      <c r="B1442" s="8" t="s">
        <v>2994</v>
      </c>
      <c r="C1442" s="7">
        <v>45968</v>
      </c>
      <c r="D1442" s="8">
        <v>2</v>
      </c>
      <c r="E1442" s="8">
        <v>7</v>
      </c>
      <c r="F1442" s="9" t="s">
        <v>6160</v>
      </c>
      <c r="G1442" t="str">
        <f>IFERROR(INDEX(Ticket!$B$2:$B$6001,MATCH(B1442,Ticket!$A$2:$A$6001,0)),"Ticket introuvable")</f>
        <v>AG-005</v>
      </c>
    </row>
    <row r="1443" spans="1:7" x14ac:dyDescent="0.35">
      <c r="A1443" s="10" t="s">
        <v>7597</v>
      </c>
      <c r="B1443" s="12" t="s">
        <v>5993</v>
      </c>
      <c r="C1443" s="11">
        <v>45813</v>
      </c>
      <c r="D1443" s="12">
        <v>2</v>
      </c>
      <c r="E1443" s="12">
        <v>10</v>
      </c>
      <c r="F1443" s="13" t="s">
        <v>6153</v>
      </c>
      <c r="G1443" t="str">
        <f>IFERROR(INDEX(Ticket!$B$2:$B$6001,MATCH(B1443,Ticket!$A$2:$A$6001,0)),"Ticket introuvable")</f>
        <v>AG-039</v>
      </c>
    </row>
    <row r="1444" spans="1:7" x14ac:dyDescent="0.35">
      <c r="A1444" s="6" t="s">
        <v>7598</v>
      </c>
      <c r="B1444" s="8" t="s">
        <v>1166</v>
      </c>
      <c r="C1444" s="7">
        <v>45984</v>
      </c>
      <c r="D1444" s="8">
        <v>3</v>
      </c>
      <c r="E1444" s="8">
        <v>6</v>
      </c>
      <c r="F1444" s="9" t="s">
        <v>8363</v>
      </c>
      <c r="G1444" t="str">
        <f>IFERROR(INDEX(Ticket!$B$2:$B$6001,MATCH(B1444,Ticket!$A$2:$A$6001,0)),"Ticket introuvable")</f>
        <v>AG-029</v>
      </c>
    </row>
    <row r="1445" spans="1:7" x14ac:dyDescent="0.35">
      <c r="A1445" s="10" t="s">
        <v>7599</v>
      </c>
      <c r="B1445" s="12" t="s">
        <v>2894</v>
      </c>
      <c r="C1445" s="11">
        <v>45972</v>
      </c>
      <c r="D1445" s="12">
        <v>5</v>
      </c>
      <c r="E1445" s="12">
        <v>9</v>
      </c>
      <c r="F1445" s="13" t="s">
        <v>8363</v>
      </c>
      <c r="G1445" t="str">
        <f>IFERROR(INDEX(Ticket!$B$2:$B$6001,MATCH(B1445,Ticket!$A$2:$A$6001,0)),"Ticket introuvable")</f>
        <v>AG-023</v>
      </c>
    </row>
    <row r="1446" spans="1:7" x14ac:dyDescent="0.35">
      <c r="A1446" s="6" t="s">
        <v>7600</v>
      </c>
      <c r="B1446" s="8" t="s">
        <v>4870</v>
      </c>
      <c r="C1446" s="7">
        <v>45748</v>
      </c>
      <c r="D1446" s="8">
        <v>5</v>
      </c>
      <c r="E1446" s="8">
        <v>7</v>
      </c>
      <c r="F1446" s="9" t="s">
        <v>6160</v>
      </c>
      <c r="G1446" t="str">
        <f>IFERROR(INDEX(Ticket!$B$2:$B$6001,MATCH(B1446,Ticket!$A$2:$A$6001,0)),"Ticket introuvable")</f>
        <v>AG-023</v>
      </c>
    </row>
    <row r="1447" spans="1:7" x14ac:dyDescent="0.35">
      <c r="A1447" s="10" t="s">
        <v>7601</v>
      </c>
      <c r="B1447" s="12" t="s">
        <v>5647</v>
      </c>
      <c r="C1447" s="11">
        <v>45688</v>
      </c>
      <c r="D1447" s="12">
        <v>5</v>
      </c>
      <c r="E1447" s="12">
        <v>7</v>
      </c>
      <c r="F1447" s="13" t="s">
        <v>8363</v>
      </c>
      <c r="G1447" t="str">
        <f>IFERROR(INDEX(Ticket!$B$2:$B$6001,MATCH(B1447,Ticket!$A$2:$A$6001,0)),"Ticket introuvable")</f>
        <v>AG-025</v>
      </c>
    </row>
    <row r="1448" spans="1:7" x14ac:dyDescent="0.35">
      <c r="A1448" s="6" t="s">
        <v>7602</v>
      </c>
      <c r="B1448" s="8" t="s">
        <v>4912</v>
      </c>
      <c r="C1448" s="7">
        <v>45944</v>
      </c>
      <c r="D1448" s="8">
        <v>3</v>
      </c>
      <c r="E1448" s="8">
        <v>10</v>
      </c>
      <c r="F1448" s="9" t="s">
        <v>8363</v>
      </c>
      <c r="G1448" t="str">
        <f>IFERROR(INDEX(Ticket!$B$2:$B$6001,MATCH(B1448,Ticket!$A$2:$A$6001,0)),"Ticket introuvable")</f>
        <v>AG-016</v>
      </c>
    </row>
    <row r="1449" spans="1:7" x14ac:dyDescent="0.35">
      <c r="A1449" s="10" t="s">
        <v>7603</v>
      </c>
      <c r="B1449" s="12" t="s">
        <v>3755</v>
      </c>
      <c r="C1449" s="11">
        <v>45874</v>
      </c>
      <c r="D1449" s="12">
        <v>5</v>
      </c>
      <c r="E1449" s="12">
        <v>10</v>
      </c>
      <c r="F1449" s="13" t="s">
        <v>6153</v>
      </c>
      <c r="G1449" t="str">
        <f>IFERROR(INDEX(Ticket!$B$2:$B$6001,MATCH(B1449,Ticket!$A$2:$A$6001,0)),"Ticket introuvable")</f>
        <v>AG-006</v>
      </c>
    </row>
    <row r="1450" spans="1:7" x14ac:dyDescent="0.35">
      <c r="A1450" s="6" t="s">
        <v>7604</v>
      </c>
      <c r="B1450" s="8" t="s">
        <v>273</v>
      </c>
      <c r="C1450" s="7">
        <v>45761</v>
      </c>
      <c r="D1450" s="8">
        <v>5</v>
      </c>
      <c r="E1450" s="8">
        <v>8</v>
      </c>
      <c r="F1450" s="9" t="s">
        <v>8363</v>
      </c>
      <c r="G1450" t="str">
        <f>IFERROR(INDEX(Ticket!$B$2:$B$6001,MATCH(B1450,Ticket!$A$2:$A$6001,0)),"Ticket introuvable")</f>
        <v>AG-035</v>
      </c>
    </row>
    <row r="1451" spans="1:7" x14ac:dyDescent="0.35">
      <c r="A1451" s="10" t="s">
        <v>7605</v>
      </c>
      <c r="B1451" s="12" t="s">
        <v>2157</v>
      </c>
      <c r="C1451" s="11">
        <v>45711</v>
      </c>
      <c r="D1451" s="12">
        <v>4</v>
      </c>
      <c r="E1451" s="12">
        <v>10</v>
      </c>
      <c r="F1451" s="13" t="s">
        <v>6148</v>
      </c>
      <c r="G1451" t="str">
        <f>IFERROR(INDEX(Ticket!$B$2:$B$6001,MATCH(B1451,Ticket!$A$2:$A$6001,0)),"Ticket introuvable")</f>
        <v>AG-034</v>
      </c>
    </row>
    <row r="1452" spans="1:7" x14ac:dyDescent="0.35">
      <c r="A1452" s="6" t="s">
        <v>7606</v>
      </c>
      <c r="B1452" s="8" t="s">
        <v>857</v>
      </c>
      <c r="C1452" s="7">
        <v>45827</v>
      </c>
      <c r="D1452" s="8">
        <v>4</v>
      </c>
      <c r="E1452" s="8">
        <v>10</v>
      </c>
      <c r="F1452" s="9" t="s">
        <v>8363</v>
      </c>
      <c r="G1452" t="str">
        <f>IFERROR(INDEX(Ticket!$B$2:$B$6001,MATCH(B1452,Ticket!$A$2:$A$6001,0)),"Ticket introuvable")</f>
        <v>AG-014</v>
      </c>
    </row>
    <row r="1453" spans="1:7" x14ac:dyDescent="0.35">
      <c r="A1453" s="10" t="s">
        <v>7607</v>
      </c>
      <c r="B1453" s="12" t="s">
        <v>1358</v>
      </c>
      <c r="C1453" s="11">
        <v>45809</v>
      </c>
      <c r="D1453" s="12"/>
      <c r="E1453" s="12">
        <v>8</v>
      </c>
      <c r="F1453" s="13" t="s">
        <v>8363</v>
      </c>
      <c r="G1453" t="str">
        <f>IFERROR(INDEX(Ticket!$B$2:$B$6001,MATCH(B1453,Ticket!$A$2:$A$6001,0)),"Ticket introuvable")</f>
        <v>AG-027</v>
      </c>
    </row>
    <row r="1454" spans="1:7" x14ac:dyDescent="0.35">
      <c r="A1454" s="6" t="s">
        <v>7608</v>
      </c>
      <c r="B1454" s="8" t="s">
        <v>3157</v>
      </c>
      <c r="C1454" s="7">
        <v>45962</v>
      </c>
      <c r="D1454" s="8">
        <v>4</v>
      </c>
      <c r="E1454" s="8">
        <v>4</v>
      </c>
      <c r="F1454" s="9" t="s">
        <v>6148</v>
      </c>
      <c r="G1454" t="str">
        <f>IFERROR(INDEX(Ticket!$B$2:$B$6001,MATCH(B1454,Ticket!$A$2:$A$6001,0)),"Ticket introuvable")</f>
        <v>AG-033</v>
      </c>
    </row>
    <row r="1455" spans="1:7" x14ac:dyDescent="0.35">
      <c r="A1455" s="10" t="s">
        <v>7609</v>
      </c>
      <c r="B1455" s="12" t="s">
        <v>3103</v>
      </c>
      <c r="C1455" s="11">
        <v>45992</v>
      </c>
      <c r="D1455" s="12">
        <v>4</v>
      </c>
      <c r="E1455" s="12">
        <v>8</v>
      </c>
      <c r="F1455" s="13" t="s">
        <v>8363</v>
      </c>
      <c r="G1455" t="str">
        <f>IFERROR(INDEX(Ticket!$B$2:$B$6001,MATCH(B1455,Ticket!$A$2:$A$6001,0)),"Ticket introuvable")</f>
        <v>AG-015</v>
      </c>
    </row>
    <row r="1456" spans="1:7" x14ac:dyDescent="0.35">
      <c r="A1456" s="6" t="s">
        <v>7610</v>
      </c>
      <c r="B1456" s="8" t="s">
        <v>50</v>
      </c>
      <c r="C1456" s="7">
        <v>45769</v>
      </c>
      <c r="D1456" s="8">
        <v>4</v>
      </c>
      <c r="E1456" s="8">
        <v>0</v>
      </c>
      <c r="F1456" s="9" t="s">
        <v>8363</v>
      </c>
      <c r="G1456" t="str">
        <f>IFERROR(INDEX(Ticket!$B$2:$B$6001,MATCH(B1456,Ticket!$A$2:$A$6001,0)),"Ticket introuvable")</f>
        <v>AG-033</v>
      </c>
    </row>
    <row r="1457" spans="1:7" x14ac:dyDescent="0.35">
      <c r="A1457" s="10" t="s">
        <v>7611</v>
      </c>
      <c r="B1457" s="12" t="s">
        <v>5510</v>
      </c>
      <c r="C1457" s="11">
        <v>45785</v>
      </c>
      <c r="D1457" s="12">
        <v>4</v>
      </c>
      <c r="E1457" s="12">
        <v>10</v>
      </c>
      <c r="F1457" s="13" t="s">
        <v>8363</v>
      </c>
      <c r="G1457" t="str">
        <f>IFERROR(INDEX(Ticket!$B$2:$B$6001,MATCH(B1457,Ticket!$A$2:$A$6001,0)),"Ticket introuvable")</f>
        <v>AG-013</v>
      </c>
    </row>
    <row r="1458" spans="1:7" x14ac:dyDescent="0.35">
      <c r="A1458" s="6" t="s">
        <v>7612</v>
      </c>
      <c r="B1458" s="8" t="s">
        <v>750</v>
      </c>
      <c r="C1458" s="7">
        <v>45740</v>
      </c>
      <c r="D1458" s="8">
        <v>2</v>
      </c>
      <c r="E1458" s="8">
        <v>8</v>
      </c>
      <c r="F1458" s="9" t="s">
        <v>6148</v>
      </c>
      <c r="G1458" t="str">
        <f>IFERROR(INDEX(Ticket!$B$2:$B$6001,MATCH(B1458,Ticket!$A$2:$A$6001,0)),"Ticket introuvable")</f>
        <v>AG-017</v>
      </c>
    </row>
    <row r="1459" spans="1:7" x14ac:dyDescent="0.35">
      <c r="A1459" s="10" t="s">
        <v>7613</v>
      </c>
      <c r="B1459" s="12" t="s">
        <v>2113</v>
      </c>
      <c r="C1459" s="11">
        <v>45868</v>
      </c>
      <c r="D1459" s="12">
        <v>4</v>
      </c>
      <c r="E1459" s="12">
        <v>8</v>
      </c>
      <c r="F1459" s="13" t="s">
        <v>8363</v>
      </c>
      <c r="G1459" t="str">
        <f>IFERROR(INDEX(Ticket!$B$2:$B$6001,MATCH(B1459,Ticket!$A$2:$A$6001,0)),"Ticket introuvable")</f>
        <v>AG-025</v>
      </c>
    </row>
    <row r="1460" spans="1:7" x14ac:dyDescent="0.35">
      <c r="A1460" s="6" t="s">
        <v>7614</v>
      </c>
      <c r="B1460" s="8" t="s">
        <v>5430</v>
      </c>
      <c r="C1460" s="7">
        <v>46007</v>
      </c>
      <c r="D1460" s="8">
        <v>4</v>
      </c>
      <c r="E1460" s="8">
        <v>9</v>
      </c>
      <c r="F1460" s="9" t="s">
        <v>6142</v>
      </c>
      <c r="G1460" t="str">
        <f>IFERROR(INDEX(Ticket!$B$2:$B$6001,MATCH(B1460,Ticket!$A$2:$A$6001,0)),"Ticket introuvable")</f>
        <v>AG-038</v>
      </c>
    </row>
    <row r="1461" spans="1:7" x14ac:dyDescent="0.35">
      <c r="A1461" s="10" t="s">
        <v>7615</v>
      </c>
      <c r="B1461" s="12" t="s">
        <v>350</v>
      </c>
      <c r="C1461" s="11">
        <v>45889</v>
      </c>
      <c r="D1461" s="12">
        <v>5</v>
      </c>
      <c r="E1461" s="12">
        <v>7</v>
      </c>
      <c r="F1461" s="13" t="s">
        <v>6148</v>
      </c>
      <c r="G1461" t="str">
        <f>IFERROR(INDEX(Ticket!$B$2:$B$6001,MATCH(B1461,Ticket!$A$2:$A$6001,0)),"Ticket introuvable")</f>
        <v>AG-033</v>
      </c>
    </row>
    <row r="1462" spans="1:7" x14ac:dyDescent="0.35">
      <c r="A1462" s="6" t="s">
        <v>7616</v>
      </c>
      <c r="B1462" s="8" t="s">
        <v>1775</v>
      </c>
      <c r="C1462" s="7">
        <v>45920</v>
      </c>
      <c r="D1462" s="8">
        <v>4</v>
      </c>
      <c r="E1462" s="8">
        <v>9</v>
      </c>
      <c r="F1462" s="9" t="s">
        <v>8363</v>
      </c>
      <c r="G1462" t="str">
        <f>IFERROR(INDEX(Ticket!$B$2:$B$6001,MATCH(B1462,Ticket!$A$2:$A$6001,0)),"Ticket introuvable")</f>
        <v>AG-017</v>
      </c>
    </row>
    <row r="1463" spans="1:7" x14ac:dyDescent="0.35">
      <c r="A1463" s="10" t="s">
        <v>7617</v>
      </c>
      <c r="B1463" s="12" t="s">
        <v>5439</v>
      </c>
      <c r="C1463" s="11">
        <v>45711</v>
      </c>
      <c r="D1463" s="12">
        <v>5</v>
      </c>
      <c r="E1463" s="12">
        <v>5</v>
      </c>
      <c r="F1463" s="13" t="s">
        <v>6153</v>
      </c>
      <c r="G1463" t="str">
        <f>IFERROR(INDEX(Ticket!$B$2:$B$6001,MATCH(B1463,Ticket!$A$2:$A$6001,0)),"Ticket introuvable")</f>
        <v>AG-037</v>
      </c>
    </row>
    <row r="1464" spans="1:7" x14ac:dyDescent="0.35">
      <c r="A1464" s="6" t="s">
        <v>7618</v>
      </c>
      <c r="B1464" s="8" t="s">
        <v>1487</v>
      </c>
      <c r="C1464" s="7">
        <v>45823</v>
      </c>
      <c r="D1464" s="8">
        <v>5</v>
      </c>
      <c r="E1464" s="8">
        <v>1</v>
      </c>
      <c r="F1464" s="9" t="s">
        <v>6160</v>
      </c>
      <c r="G1464" t="str">
        <f>IFERROR(INDEX(Ticket!$B$2:$B$6001,MATCH(B1464,Ticket!$A$2:$A$6001,0)),"Ticket introuvable")</f>
        <v>AG-026</v>
      </c>
    </row>
    <row r="1465" spans="1:7" x14ac:dyDescent="0.35">
      <c r="A1465" s="10" t="s">
        <v>7619</v>
      </c>
      <c r="B1465" s="12" t="s">
        <v>858</v>
      </c>
      <c r="C1465" s="11">
        <v>45665</v>
      </c>
      <c r="D1465" s="12">
        <v>5</v>
      </c>
      <c r="E1465" s="12">
        <v>6</v>
      </c>
      <c r="F1465" s="13" t="s">
        <v>6160</v>
      </c>
      <c r="G1465" t="str">
        <f>IFERROR(INDEX(Ticket!$B$2:$B$6001,MATCH(B1465,Ticket!$A$2:$A$6001,0)),"Ticket introuvable")</f>
        <v>AG-014</v>
      </c>
    </row>
    <row r="1466" spans="1:7" x14ac:dyDescent="0.35">
      <c r="A1466" s="6" t="s">
        <v>7620</v>
      </c>
      <c r="B1466" s="8" t="s">
        <v>3527</v>
      </c>
      <c r="C1466" s="7">
        <v>45801</v>
      </c>
      <c r="D1466" s="8">
        <v>5</v>
      </c>
      <c r="E1466" s="8">
        <v>5</v>
      </c>
      <c r="F1466" s="9" t="s">
        <v>8363</v>
      </c>
      <c r="G1466" t="str">
        <f>IFERROR(INDEX(Ticket!$B$2:$B$6001,MATCH(B1466,Ticket!$A$2:$A$6001,0)),"Ticket introuvable")</f>
        <v>AG-023</v>
      </c>
    </row>
    <row r="1467" spans="1:7" x14ac:dyDescent="0.35">
      <c r="A1467" s="10" t="s">
        <v>7621</v>
      </c>
      <c r="B1467" s="12" t="s">
        <v>3603</v>
      </c>
      <c r="C1467" s="11">
        <v>46011</v>
      </c>
      <c r="D1467" s="12">
        <v>5</v>
      </c>
      <c r="E1467" s="12">
        <v>5</v>
      </c>
      <c r="F1467" s="13" t="s">
        <v>75</v>
      </c>
      <c r="G1467" t="str">
        <f>IFERROR(INDEX(Ticket!$B$2:$B$6001,MATCH(B1467,Ticket!$A$2:$A$6001,0)),"Ticket introuvable")</f>
        <v>AG-014</v>
      </c>
    </row>
    <row r="1468" spans="1:7" x14ac:dyDescent="0.35">
      <c r="A1468" s="6" t="s">
        <v>7622</v>
      </c>
      <c r="B1468" s="8" t="s">
        <v>1712</v>
      </c>
      <c r="C1468" s="7">
        <v>45945</v>
      </c>
      <c r="D1468" s="8">
        <v>1</v>
      </c>
      <c r="E1468" s="8">
        <v>9</v>
      </c>
      <c r="F1468" s="9" t="s">
        <v>8363</v>
      </c>
      <c r="G1468" t="str">
        <f>IFERROR(INDEX(Ticket!$B$2:$B$6001,MATCH(B1468,Ticket!$A$2:$A$6001,0)),"Ticket introuvable")</f>
        <v>AG-022</v>
      </c>
    </row>
    <row r="1469" spans="1:7" x14ac:dyDescent="0.35">
      <c r="A1469" s="10" t="s">
        <v>7623</v>
      </c>
      <c r="B1469" s="12" t="s">
        <v>623</v>
      </c>
      <c r="C1469" s="11">
        <v>45993</v>
      </c>
      <c r="D1469" s="12">
        <v>4</v>
      </c>
      <c r="E1469" s="12"/>
      <c r="F1469" s="13" t="s">
        <v>6153</v>
      </c>
      <c r="G1469" t="str">
        <f>IFERROR(INDEX(Ticket!$B$2:$B$6001,MATCH(B1469,Ticket!$A$2:$A$6001,0)),"Ticket introuvable")</f>
        <v>AG-019</v>
      </c>
    </row>
    <row r="1470" spans="1:7" x14ac:dyDescent="0.35">
      <c r="A1470" s="6" t="s">
        <v>7624</v>
      </c>
      <c r="B1470" s="8" t="s">
        <v>3988</v>
      </c>
      <c r="C1470" s="7">
        <v>45724</v>
      </c>
      <c r="D1470" s="8">
        <v>3</v>
      </c>
      <c r="E1470" s="8">
        <v>10</v>
      </c>
      <c r="F1470" s="9" t="s">
        <v>6153</v>
      </c>
      <c r="G1470" t="str">
        <f>IFERROR(INDEX(Ticket!$B$2:$B$6001,MATCH(B1470,Ticket!$A$2:$A$6001,0)),"Ticket introuvable")</f>
        <v>AG-005</v>
      </c>
    </row>
    <row r="1471" spans="1:7" x14ac:dyDescent="0.35">
      <c r="A1471" s="10" t="s">
        <v>7625</v>
      </c>
      <c r="B1471" s="12" t="s">
        <v>3840</v>
      </c>
      <c r="C1471" s="11">
        <v>45896</v>
      </c>
      <c r="D1471" s="12">
        <v>3</v>
      </c>
      <c r="E1471" s="12">
        <v>8</v>
      </c>
      <c r="F1471" s="13" t="s">
        <v>8363</v>
      </c>
      <c r="G1471" t="str">
        <f>IFERROR(INDEX(Ticket!$B$2:$B$6001,MATCH(B1471,Ticket!$A$2:$A$6001,0)),"Ticket introuvable")</f>
        <v>AG-013</v>
      </c>
    </row>
    <row r="1472" spans="1:7" x14ac:dyDescent="0.35">
      <c r="A1472" s="6" t="s">
        <v>7626</v>
      </c>
      <c r="B1472" s="8" t="s">
        <v>5715</v>
      </c>
      <c r="C1472" s="7">
        <v>45992</v>
      </c>
      <c r="D1472" s="8">
        <v>5</v>
      </c>
      <c r="E1472" s="8">
        <v>9</v>
      </c>
      <c r="F1472" s="9" t="s">
        <v>6148</v>
      </c>
      <c r="G1472" t="str">
        <f>IFERROR(INDEX(Ticket!$B$2:$B$6001,MATCH(B1472,Ticket!$A$2:$A$6001,0)),"Ticket introuvable")</f>
        <v>AG-024</v>
      </c>
    </row>
    <row r="1473" spans="1:7" x14ac:dyDescent="0.35">
      <c r="A1473" s="10" t="s">
        <v>7627</v>
      </c>
      <c r="B1473" s="12" t="s">
        <v>2478</v>
      </c>
      <c r="C1473" s="11">
        <v>45795</v>
      </c>
      <c r="D1473" s="12">
        <v>3</v>
      </c>
      <c r="E1473" s="12"/>
      <c r="F1473" s="13" t="s">
        <v>6153</v>
      </c>
      <c r="G1473" t="str">
        <f>IFERROR(INDEX(Ticket!$B$2:$B$6001,MATCH(B1473,Ticket!$A$2:$A$6001,0)),"Ticket introuvable")</f>
        <v>AG-032</v>
      </c>
    </row>
    <row r="1474" spans="1:7" x14ac:dyDescent="0.35">
      <c r="A1474" s="6" t="s">
        <v>7628</v>
      </c>
      <c r="B1474" s="8" t="s">
        <v>4431</v>
      </c>
      <c r="C1474" s="7">
        <v>45990</v>
      </c>
      <c r="D1474" s="8">
        <v>3</v>
      </c>
      <c r="E1474" s="8">
        <v>9</v>
      </c>
      <c r="F1474" s="9" t="s">
        <v>8363</v>
      </c>
      <c r="G1474" t="str">
        <f>IFERROR(INDEX(Ticket!$B$2:$B$6001,MATCH(B1474,Ticket!$A$2:$A$6001,0)),"Ticket introuvable")</f>
        <v>AG-037</v>
      </c>
    </row>
    <row r="1475" spans="1:7" x14ac:dyDescent="0.35">
      <c r="A1475" s="10" t="s">
        <v>7629</v>
      </c>
      <c r="B1475" s="12" t="s">
        <v>722</v>
      </c>
      <c r="C1475" s="11">
        <v>45719</v>
      </c>
      <c r="D1475" s="12">
        <v>4</v>
      </c>
      <c r="E1475" s="12">
        <v>10</v>
      </c>
      <c r="F1475" s="13" t="s">
        <v>8363</v>
      </c>
      <c r="G1475" t="str">
        <f>IFERROR(INDEX(Ticket!$B$2:$B$6001,MATCH(B1475,Ticket!$A$2:$A$6001,0)),"Ticket introuvable")</f>
        <v>AG-026</v>
      </c>
    </row>
    <row r="1476" spans="1:7" x14ac:dyDescent="0.35">
      <c r="A1476" s="6" t="s">
        <v>7630</v>
      </c>
      <c r="B1476" s="8" t="s">
        <v>1432</v>
      </c>
      <c r="C1476" s="7">
        <v>45819</v>
      </c>
      <c r="D1476" s="8">
        <v>4</v>
      </c>
      <c r="E1476" s="8">
        <v>9</v>
      </c>
      <c r="F1476" s="9" t="s">
        <v>8363</v>
      </c>
      <c r="G1476" t="str">
        <f>IFERROR(INDEX(Ticket!$B$2:$B$6001,MATCH(B1476,Ticket!$A$2:$A$6001,0)),"Ticket introuvable")</f>
        <v>AG-003</v>
      </c>
    </row>
    <row r="1477" spans="1:7" x14ac:dyDescent="0.35">
      <c r="A1477" s="10" t="s">
        <v>7631</v>
      </c>
      <c r="B1477" s="12" t="s">
        <v>2812</v>
      </c>
      <c r="C1477" s="11">
        <v>45889</v>
      </c>
      <c r="D1477" s="12">
        <v>5</v>
      </c>
      <c r="E1477" s="12">
        <v>10</v>
      </c>
      <c r="F1477" s="13" t="s">
        <v>6153</v>
      </c>
      <c r="G1477" t="str">
        <f>IFERROR(INDEX(Ticket!$B$2:$B$6001,MATCH(B1477,Ticket!$A$2:$A$6001,0)),"Ticket introuvable")</f>
        <v>AG-020</v>
      </c>
    </row>
    <row r="1478" spans="1:7" x14ac:dyDescent="0.35">
      <c r="A1478" s="6" t="s">
        <v>7632</v>
      </c>
      <c r="B1478" s="8" t="s">
        <v>3471</v>
      </c>
      <c r="C1478" s="7">
        <v>45863</v>
      </c>
      <c r="D1478" s="8">
        <v>2</v>
      </c>
      <c r="E1478" s="8">
        <v>9</v>
      </c>
      <c r="F1478" s="9" t="s">
        <v>8363</v>
      </c>
      <c r="G1478" t="str">
        <f>IFERROR(INDEX(Ticket!$B$2:$B$6001,MATCH(B1478,Ticket!$A$2:$A$6001,0)),"Ticket introuvable")</f>
        <v>AG-018</v>
      </c>
    </row>
    <row r="1479" spans="1:7" x14ac:dyDescent="0.35">
      <c r="A1479" s="10" t="s">
        <v>7633</v>
      </c>
      <c r="B1479" s="12" t="s">
        <v>3247</v>
      </c>
      <c r="C1479" s="11">
        <v>46001</v>
      </c>
      <c r="D1479" s="12">
        <v>4</v>
      </c>
      <c r="E1479" s="12">
        <v>0</v>
      </c>
      <c r="F1479" s="13" t="s">
        <v>8363</v>
      </c>
      <c r="G1479" t="str">
        <f>IFERROR(INDEX(Ticket!$B$2:$B$6001,MATCH(B1479,Ticket!$A$2:$A$6001,0)),"Ticket introuvable")</f>
        <v>AG-026</v>
      </c>
    </row>
    <row r="1480" spans="1:7" x14ac:dyDescent="0.35">
      <c r="A1480" s="6" t="s">
        <v>7634</v>
      </c>
      <c r="B1480" s="8" t="s">
        <v>2373</v>
      </c>
      <c r="C1480" s="7">
        <v>45833</v>
      </c>
      <c r="D1480" s="8">
        <v>5</v>
      </c>
      <c r="E1480" s="8">
        <v>10</v>
      </c>
      <c r="F1480" s="9" t="s">
        <v>8363</v>
      </c>
      <c r="G1480" t="str">
        <f>IFERROR(INDEX(Ticket!$B$2:$B$6001,MATCH(B1480,Ticket!$A$2:$A$6001,0)),"Ticket introuvable")</f>
        <v>AG-010</v>
      </c>
    </row>
    <row r="1481" spans="1:7" x14ac:dyDescent="0.35">
      <c r="A1481" s="10" t="s">
        <v>7635</v>
      </c>
      <c r="B1481" s="12" t="s">
        <v>7636</v>
      </c>
      <c r="C1481" s="11">
        <v>45943</v>
      </c>
      <c r="D1481" s="12">
        <v>4</v>
      </c>
      <c r="E1481" s="12">
        <v>5</v>
      </c>
      <c r="F1481" s="13" t="s">
        <v>8363</v>
      </c>
      <c r="G1481" t="str">
        <f>IFERROR(INDEX(Ticket!$B$2:$B$6001,MATCH(B1481,Ticket!$A$2:$A$6001,0)),"Ticket introuvable")</f>
        <v>Ticket introuvable</v>
      </c>
    </row>
    <row r="1482" spans="1:7" x14ac:dyDescent="0.35">
      <c r="A1482" s="6" t="s">
        <v>7637</v>
      </c>
      <c r="B1482" s="8" t="s">
        <v>1858</v>
      </c>
      <c r="C1482" s="7">
        <v>45728</v>
      </c>
      <c r="D1482" s="8">
        <v>2</v>
      </c>
      <c r="E1482" s="8">
        <v>7</v>
      </c>
      <c r="F1482" s="9" t="s">
        <v>6148</v>
      </c>
      <c r="G1482" t="str">
        <f>IFERROR(INDEX(Ticket!$B$2:$B$6001,MATCH(B1482,Ticket!$A$2:$A$6001,0)),"Ticket introuvable")</f>
        <v>AG-008</v>
      </c>
    </row>
    <row r="1483" spans="1:7" x14ac:dyDescent="0.35">
      <c r="A1483" s="10" t="s">
        <v>7638</v>
      </c>
      <c r="B1483" s="12" t="s">
        <v>5703</v>
      </c>
      <c r="C1483" s="11">
        <v>45860</v>
      </c>
      <c r="D1483" s="12">
        <v>4</v>
      </c>
      <c r="E1483" s="12">
        <v>6</v>
      </c>
      <c r="F1483" s="13" t="s">
        <v>6160</v>
      </c>
      <c r="G1483" t="str">
        <f>IFERROR(INDEX(Ticket!$B$2:$B$6001,MATCH(B1483,Ticket!$A$2:$A$6001,0)),"Ticket introuvable")</f>
        <v>AG-016</v>
      </c>
    </row>
    <row r="1484" spans="1:7" x14ac:dyDescent="0.35">
      <c r="A1484" s="6" t="s">
        <v>7639</v>
      </c>
      <c r="B1484" s="8" t="s">
        <v>3604</v>
      </c>
      <c r="C1484" s="7">
        <v>45894</v>
      </c>
      <c r="D1484" s="8">
        <v>5</v>
      </c>
      <c r="E1484" s="8">
        <v>7</v>
      </c>
      <c r="F1484" s="9" t="s">
        <v>8363</v>
      </c>
      <c r="G1484" t="str">
        <f>IFERROR(INDEX(Ticket!$B$2:$B$6001,MATCH(B1484,Ticket!$A$2:$A$6001,0)),"Ticket introuvable")</f>
        <v>AG-037</v>
      </c>
    </row>
    <row r="1485" spans="1:7" x14ac:dyDescent="0.35">
      <c r="A1485" s="10" t="s">
        <v>7640</v>
      </c>
      <c r="B1485" s="12" t="s">
        <v>3573</v>
      </c>
      <c r="C1485" s="11">
        <v>45905</v>
      </c>
      <c r="D1485" s="12">
        <v>4</v>
      </c>
      <c r="E1485" s="12">
        <v>10</v>
      </c>
      <c r="F1485" s="13" t="s">
        <v>6153</v>
      </c>
      <c r="G1485" t="str">
        <f>IFERROR(INDEX(Ticket!$B$2:$B$6001,MATCH(B1485,Ticket!$A$2:$A$6001,0)),"Ticket introuvable")</f>
        <v>AG-006</v>
      </c>
    </row>
    <row r="1486" spans="1:7" x14ac:dyDescent="0.35">
      <c r="A1486" s="6" t="s">
        <v>7641</v>
      </c>
      <c r="B1486" s="8" t="s">
        <v>5971</v>
      </c>
      <c r="C1486" s="7">
        <v>46002</v>
      </c>
      <c r="D1486" s="8">
        <v>4</v>
      </c>
      <c r="E1486" s="8">
        <v>9</v>
      </c>
      <c r="F1486" s="9" t="s">
        <v>6160</v>
      </c>
      <c r="G1486" t="str">
        <f>IFERROR(INDEX(Ticket!$B$2:$B$6001,MATCH(B1486,Ticket!$A$2:$A$6001,0)),"Ticket introuvable")</f>
        <v>AG-014</v>
      </c>
    </row>
    <row r="1487" spans="1:7" x14ac:dyDescent="0.35">
      <c r="A1487" s="10" t="s">
        <v>7642</v>
      </c>
      <c r="B1487" s="12" t="s">
        <v>339</v>
      </c>
      <c r="C1487" s="11">
        <v>45931</v>
      </c>
      <c r="D1487" s="12">
        <v>4</v>
      </c>
      <c r="E1487" s="12"/>
      <c r="F1487" s="13" t="s">
        <v>6148</v>
      </c>
      <c r="G1487" t="str">
        <f>IFERROR(INDEX(Ticket!$B$2:$B$6001,MATCH(B1487,Ticket!$A$2:$A$6001,0)),"Ticket introuvable")</f>
        <v>AG-024</v>
      </c>
    </row>
    <row r="1488" spans="1:7" x14ac:dyDescent="0.35">
      <c r="A1488" s="6" t="s">
        <v>7643</v>
      </c>
      <c r="B1488" s="8" t="s">
        <v>2253</v>
      </c>
      <c r="C1488" s="7">
        <v>45741</v>
      </c>
      <c r="D1488" s="8">
        <v>2</v>
      </c>
      <c r="E1488" s="8">
        <v>9</v>
      </c>
      <c r="F1488" s="9" t="s">
        <v>6160</v>
      </c>
      <c r="G1488" t="str">
        <f>IFERROR(INDEX(Ticket!$B$2:$B$6001,MATCH(B1488,Ticket!$A$2:$A$6001,0)),"Ticket introuvable")</f>
        <v>AG-011</v>
      </c>
    </row>
    <row r="1489" spans="1:7" x14ac:dyDescent="0.35">
      <c r="A1489" s="10" t="s">
        <v>7644</v>
      </c>
      <c r="B1489" s="12" t="s">
        <v>5003</v>
      </c>
      <c r="C1489" s="11">
        <v>45666</v>
      </c>
      <c r="D1489" s="12">
        <v>3</v>
      </c>
      <c r="E1489" s="12">
        <v>10</v>
      </c>
      <c r="F1489" s="13" t="s">
        <v>8363</v>
      </c>
      <c r="G1489" t="str">
        <f>IFERROR(INDEX(Ticket!$B$2:$B$6001,MATCH(B1489,Ticket!$A$2:$A$6001,0)),"Ticket introuvable")</f>
        <v>AG-035</v>
      </c>
    </row>
    <row r="1490" spans="1:7" x14ac:dyDescent="0.35">
      <c r="A1490" s="6" t="s">
        <v>7645</v>
      </c>
      <c r="B1490" s="8" t="s">
        <v>393</v>
      </c>
      <c r="C1490" s="7">
        <v>45957</v>
      </c>
      <c r="D1490" s="8">
        <v>3</v>
      </c>
      <c r="E1490" s="8">
        <v>10</v>
      </c>
      <c r="F1490" s="9" t="s">
        <v>6153</v>
      </c>
      <c r="G1490" t="str">
        <f>IFERROR(INDEX(Ticket!$B$2:$B$6001,MATCH(B1490,Ticket!$A$2:$A$6001,0)),"Ticket introuvable")</f>
        <v>AG-032</v>
      </c>
    </row>
    <row r="1491" spans="1:7" x14ac:dyDescent="0.35">
      <c r="A1491" s="10" t="s">
        <v>7646</v>
      </c>
      <c r="B1491" s="12" t="s">
        <v>4199</v>
      </c>
      <c r="C1491" s="11">
        <v>45663</v>
      </c>
      <c r="D1491" s="12">
        <v>5</v>
      </c>
      <c r="E1491" s="12">
        <v>7</v>
      </c>
      <c r="F1491" s="13" t="s">
        <v>8363</v>
      </c>
      <c r="G1491" t="str">
        <f>IFERROR(INDEX(Ticket!$B$2:$B$6001,MATCH(B1491,Ticket!$A$2:$A$6001,0)),"Ticket introuvable")</f>
        <v>AG-035</v>
      </c>
    </row>
    <row r="1492" spans="1:7" x14ac:dyDescent="0.35">
      <c r="A1492" s="6" t="s">
        <v>7647</v>
      </c>
      <c r="B1492" s="8" t="s">
        <v>3678</v>
      </c>
      <c r="C1492" s="7">
        <v>45697</v>
      </c>
      <c r="D1492" s="8">
        <v>4</v>
      </c>
      <c r="E1492" s="8">
        <v>2</v>
      </c>
      <c r="F1492" s="9" t="s">
        <v>6148</v>
      </c>
      <c r="G1492" t="str">
        <f>IFERROR(INDEX(Ticket!$B$2:$B$6001,MATCH(B1492,Ticket!$A$2:$A$6001,0)),"Ticket introuvable")</f>
        <v>AG-037</v>
      </c>
    </row>
    <row r="1493" spans="1:7" x14ac:dyDescent="0.35">
      <c r="A1493" s="10" t="s">
        <v>7648</v>
      </c>
      <c r="B1493" s="12" t="s">
        <v>1942</v>
      </c>
      <c r="C1493" s="11">
        <v>45969</v>
      </c>
      <c r="D1493" s="12">
        <v>4</v>
      </c>
      <c r="E1493" s="12"/>
      <c r="F1493" s="13" t="s">
        <v>6160</v>
      </c>
      <c r="G1493" t="str">
        <f>IFERROR(INDEX(Ticket!$B$2:$B$6001,MATCH(B1493,Ticket!$A$2:$A$6001,0)),"Ticket introuvable")</f>
        <v>AG-037</v>
      </c>
    </row>
    <row r="1494" spans="1:7" x14ac:dyDescent="0.35">
      <c r="A1494" s="6" t="s">
        <v>7649</v>
      </c>
      <c r="B1494" s="8" t="s">
        <v>5581</v>
      </c>
      <c r="C1494" s="7">
        <v>45658</v>
      </c>
      <c r="D1494" s="8">
        <v>2</v>
      </c>
      <c r="E1494" s="8">
        <v>7</v>
      </c>
      <c r="F1494" s="9" t="s">
        <v>75</v>
      </c>
      <c r="G1494" t="str">
        <f>IFERROR(INDEX(Ticket!$B$2:$B$6001,MATCH(B1494,Ticket!$A$2:$A$6001,0)),"Ticket introuvable")</f>
        <v>AG-022</v>
      </c>
    </row>
    <row r="1495" spans="1:7" x14ac:dyDescent="0.35">
      <c r="A1495" s="10" t="s">
        <v>7650</v>
      </c>
      <c r="B1495" s="12" t="s">
        <v>2491</v>
      </c>
      <c r="C1495" s="11">
        <v>45888</v>
      </c>
      <c r="D1495" s="12">
        <v>4</v>
      </c>
      <c r="E1495" s="12">
        <v>8</v>
      </c>
      <c r="F1495" s="13" t="s">
        <v>8363</v>
      </c>
      <c r="G1495" t="str">
        <f>IFERROR(INDEX(Ticket!$B$2:$B$6001,MATCH(B1495,Ticket!$A$2:$A$6001,0)),"Ticket introuvable")</f>
        <v>AG-037</v>
      </c>
    </row>
    <row r="1496" spans="1:7" x14ac:dyDescent="0.35">
      <c r="A1496" s="6" t="s">
        <v>7651</v>
      </c>
      <c r="B1496" s="8" t="s">
        <v>5789</v>
      </c>
      <c r="C1496" s="7">
        <v>45843</v>
      </c>
      <c r="D1496" s="8">
        <v>3</v>
      </c>
      <c r="E1496" s="8">
        <v>10</v>
      </c>
      <c r="F1496" s="9" t="s">
        <v>6153</v>
      </c>
      <c r="G1496" t="str">
        <f>IFERROR(INDEX(Ticket!$B$2:$B$6001,MATCH(B1496,Ticket!$A$2:$A$6001,0)),"Ticket introuvable")</f>
        <v>AG-011</v>
      </c>
    </row>
    <row r="1497" spans="1:7" x14ac:dyDescent="0.35">
      <c r="A1497" s="10" t="s">
        <v>7652</v>
      </c>
      <c r="B1497" s="12" t="s">
        <v>3756</v>
      </c>
      <c r="C1497" s="11">
        <v>45763</v>
      </c>
      <c r="D1497" s="12">
        <v>5</v>
      </c>
      <c r="E1497" s="12">
        <v>9</v>
      </c>
      <c r="F1497" s="13" t="s">
        <v>8363</v>
      </c>
      <c r="G1497" t="str">
        <f>IFERROR(INDEX(Ticket!$B$2:$B$6001,MATCH(B1497,Ticket!$A$2:$A$6001,0)),"Ticket introuvable")</f>
        <v>AG-016</v>
      </c>
    </row>
    <row r="1498" spans="1:7" x14ac:dyDescent="0.35">
      <c r="A1498" s="6" t="s">
        <v>7653</v>
      </c>
      <c r="B1498" s="8" t="s">
        <v>2929</v>
      </c>
      <c r="C1498" s="7">
        <v>45929</v>
      </c>
      <c r="D1498" s="8">
        <v>4</v>
      </c>
      <c r="E1498" s="8">
        <v>5</v>
      </c>
      <c r="F1498" s="9" t="s">
        <v>8363</v>
      </c>
      <c r="G1498" t="str">
        <f>IFERROR(INDEX(Ticket!$B$2:$B$6001,MATCH(B1498,Ticket!$A$2:$A$6001,0)),"Ticket introuvable")</f>
        <v>AG-021</v>
      </c>
    </row>
    <row r="1499" spans="1:7" x14ac:dyDescent="0.35">
      <c r="A1499" s="10" t="s">
        <v>7654</v>
      </c>
      <c r="B1499" s="12" t="s">
        <v>4342</v>
      </c>
      <c r="C1499" s="11">
        <v>45929</v>
      </c>
      <c r="D1499" s="12">
        <v>4</v>
      </c>
      <c r="E1499" s="12">
        <v>7</v>
      </c>
      <c r="F1499" s="13" t="s">
        <v>8363</v>
      </c>
      <c r="G1499" t="str">
        <f>IFERROR(INDEX(Ticket!$B$2:$B$6001,MATCH(B1499,Ticket!$A$2:$A$6001,0)),"Ticket introuvable")</f>
        <v>AG-023</v>
      </c>
    </row>
    <row r="1500" spans="1:7" x14ac:dyDescent="0.35">
      <c r="A1500" s="6" t="s">
        <v>7655</v>
      </c>
      <c r="B1500" s="8" t="s">
        <v>4493</v>
      </c>
      <c r="C1500" s="7">
        <v>45757</v>
      </c>
      <c r="D1500" s="8">
        <v>2</v>
      </c>
      <c r="E1500" s="8">
        <v>9</v>
      </c>
      <c r="F1500" s="9" t="s">
        <v>6153</v>
      </c>
      <c r="G1500" t="str">
        <f>IFERROR(INDEX(Ticket!$B$2:$B$6001,MATCH(B1500,Ticket!$A$2:$A$6001,0)),"Ticket introuvable")</f>
        <v>AG-022</v>
      </c>
    </row>
    <row r="1501" spans="1:7" x14ac:dyDescent="0.35">
      <c r="A1501" s="10" t="s">
        <v>7656</v>
      </c>
      <c r="B1501" s="12" t="s">
        <v>5863</v>
      </c>
      <c r="C1501" s="11">
        <v>45722</v>
      </c>
      <c r="D1501" s="12">
        <v>1</v>
      </c>
      <c r="E1501" s="12">
        <v>6</v>
      </c>
      <c r="F1501" s="13" t="s">
        <v>8363</v>
      </c>
      <c r="G1501" t="str">
        <f>IFERROR(INDEX(Ticket!$B$2:$B$6001,MATCH(B1501,Ticket!$A$2:$A$6001,0)),"Ticket introuvable")</f>
        <v>AG-025</v>
      </c>
    </row>
    <row r="1502" spans="1:7" x14ac:dyDescent="0.35">
      <c r="A1502" s="6" t="s">
        <v>7657</v>
      </c>
      <c r="B1502" s="8" t="s">
        <v>5734</v>
      </c>
      <c r="C1502" s="7">
        <v>45665</v>
      </c>
      <c r="D1502" s="8">
        <v>4</v>
      </c>
      <c r="E1502" s="8">
        <v>6</v>
      </c>
      <c r="F1502" s="9" t="s">
        <v>6148</v>
      </c>
      <c r="G1502" t="str">
        <f>IFERROR(INDEX(Ticket!$B$2:$B$6001,MATCH(B1502,Ticket!$A$2:$A$6001,0)),"Ticket introuvable")</f>
        <v>AG-040</v>
      </c>
    </row>
    <row r="1503" spans="1:7" x14ac:dyDescent="0.35">
      <c r="A1503" s="10" t="s">
        <v>7658</v>
      </c>
      <c r="B1503" s="12" t="s">
        <v>5489</v>
      </c>
      <c r="C1503" s="11">
        <v>45924</v>
      </c>
      <c r="D1503" s="12">
        <v>3</v>
      </c>
      <c r="E1503" s="12">
        <v>9</v>
      </c>
      <c r="F1503" s="13" t="s">
        <v>6160</v>
      </c>
      <c r="G1503" t="str">
        <f>IFERROR(INDEX(Ticket!$B$2:$B$6001,MATCH(B1503,Ticket!$A$2:$A$6001,0)),"Ticket introuvable")</f>
        <v>AG-019</v>
      </c>
    </row>
    <row r="1504" spans="1:7" x14ac:dyDescent="0.35">
      <c r="A1504" s="6" t="s">
        <v>7659</v>
      </c>
      <c r="B1504" s="8" t="s">
        <v>3056</v>
      </c>
      <c r="C1504" s="7">
        <v>45963</v>
      </c>
      <c r="D1504" s="8">
        <v>5</v>
      </c>
      <c r="E1504" s="8">
        <v>10</v>
      </c>
      <c r="F1504" s="9" t="s">
        <v>6148</v>
      </c>
      <c r="G1504" t="str">
        <f>IFERROR(INDEX(Ticket!$B$2:$B$6001,MATCH(B1504,Ticket!$A$2:$A$6001,0)),"Ticket introuvable")</f>
        <v>AG-034</v>
      </c>
    </row>
    <row r="1505" spans="1:7" x14ac:dyDescent="0.35">
      <c r="A1505" s="10" t="s">
        <v>7660</v>
      </c>
      <c r="B1505" s="12" t="s">
        <v>661</v>
      </c>
      <c r="C1505" s="11">
        <v>45994</v>
      </c>
      <c r="D1505" s="12">
        <v>5</v>
      </c>
      <c r="E1505" s="12">
        <v>7</v>
      </c>
      <c r="F1505" s="13" t="s">
        <v>6142</v>
      </c>
      <c r="G1505" t="str">
        <f>IFERROR(INDEX(Ticket!$B$2:$B$6001,MATCH(B1505,Ticket!$A$2:$A$6001,0)),"Ticket introuvable")</f>
        <v>AG-032</v>
      </c>
    </row>
    <row r="1506" spans="1:7" x14ac:dyDescent="0.35">
      <c r="A1506" s="6" t="s">
        <v>7661</v>
      </c>
      <c r="B1506" s="8" t="s">
        <v>4156</v>
      </c>
      <c r="C1506" s="7">
        <v>45709</v>
      </c>
      <c r="D1506" s="8">
        <v>4</v>
      </c>
      <c r="E1506" s="8">
        <v>10</v>
      </c>
      <c r="F1506" s="9" t="s">
        <v>6160</v>
      </c>
      <c r="G1506" t="str">
        <f>IFERROR(INDEX(Ticket!$B$2:$B$6001,MATCH(B1506,Ticket!$A$2:$A$6001,0)),"Ticket introuvable")</f>
        <v>AG-035</v>
      </c>
    </row>
    <row r="1507" spans="1:7" x14ac:dyDescent="0.35">
      <c r="A1507" s="10" t="s">
        <v>7662</v>
      </c>
      <c r="B1507" s="12" t="s">
        <v>5569</v>
      </c>
      <c r="C1507" s="11">
        <v>45864</v>
      </c>
      <c r="D1507" s="12">
        <v>3</v>
      </c>
      <c r="E1507" s="12">
        <v>5</v>
      </c>
      <c r="F1507" s="13" t="s">
        <v>6160</v>
      </c>
      <c r="G1507" t="str">
        <f>IFERROR(INDEX(Ticket!$B$2:$B$6001,MATCH(B1507,Ticket!$A$2:$A$6001,0)),"Ticket introuvable")</f>
        <v>AG-034</v>
      </c>
    </row>
    <row r="1508" spans="1:7" x14ac:dyDescent="0.35">
      <c r="A1508" s="6" t="s">
        <v>7663</v>
      </c>
      <c r="B1508" s="8" t="s">
        <v>1566</v>
      </c>
      <c r="C1508" s="7">
        <v>45818</v>
      </c>
      <c r="D1508" s="8">
        <v>4</v>
      </c>
      <c r="E1508" s="8">
        <v>6</v>
      </c>
      <c r="F1508" s="9" t="s">
        <v>8363</v>
      </c>
      <c r="G1508" t="str">
        <f>IFERROR(INDEX(Ticket!$B$2:$B$6001,MATCH(B1508,Ticket!$A$2:$A$6001,0)),"Ticket introuvable")</f>
        <v>AG-025</v>
      </c>
    </row>
    <row r="1509" spans="1:7" x14ac:dyDescent="0.35">
      <c r="A1509" s="10" t="s">
        <v>7664</v>
      </c>
      <c r="B1509" s="12" t="s">
        <v>553</v>
      </c>
      <c r="C1509" s="11">
        <v>45924</v>
      </c>
      <c r="D1509" s="12">
        <v>4</v>
      </c>
      <c r="E1509" s="12">
        <v>8</v>
      </c>
      <c r="F1509" s="13" t="s">
        <v>8363</v>
      </c>
      <c r="G1509" t="str">
        <f>IFERROR(INDEX(Ticket!$B$2:$B$6001,MATCH(B1509,Ticket!$A$2:$A$6001,0)),"Ticket introuvable")</f>
        <v>AG-037</v>
      </c>
    </row>
    <row r="1510" spans="1:7" x14ac:dyDescent="0.35">
      <c r="A1510" s="6" t="s">
        <v>7665</v>
      </c>
      <c r="B1510" s="8" t="s">
        <v>3434</v>
      </c>
      <c r="C1510" s="7">
        <v>45881</v>
      </c>
      <c r="D1510" s="8">
        <v>3</v>
      </c>
      <c r="E1510" s="8"/>
      <c r="F1510" s="9" t="s">
        <v>75</v>
      </c>
      <c r="G1510" t="str">
        <f>IFERROR(INDEX(Ticket!$B$2:$B$6001,MATCH(B1510,Ticket!$A$2:$A$6001,0)),"Ticket introuvable")</f>
        <v>AG-017</v>
      </c>
    </row>
    <row r="1511" spans="1:7" x14ac:dyDescent="0.35">
      <c r="A1511" s="10" t="s">
        <v>7666</v>
      </c>
      <c r="B1511" s="12" t="s">
        <v>4779</v>
      </c>
      <c r="C1511" s="11">
        <v>45827</v>
      </c>
      <c r="D1511" s="12">
        <v>5</v>
      </c>
      <c r="E1511" s="12">
        <v>0</v>
      </c>
      <c r="F1511" s="13" t="s">
        <v>6148</v>
      </c>
      <c r="G1511" t="str">
        <f>IFERROR(INDEX(Ticket!$B$2:$B$6001,MATCH(B1511,Ticket!$A$2:$A$6001,0)),"Ticket introuvable")</f>
        <v>AG-007</v>
      </c>
    </row>
    <row r="1512" spans="1:7" x14ac:dyDescent="0.35">
      <c r="A1512" s="6" t="s">
        <v>7667</v>
      </c>
      <c r="B1512" s="8" t="s">
        <v>526</v>
      </c>
      <c r="C1512" s="7">
        <v>45836</v>
      </c>
      <c r="D1512" s="8">
        <v>3</v>
      </c>
      <c r="E1512" s="8"/>
      <c r="F1512" s="9" t="s">
        <v>6148</v>
      </c>
      <c r="G1512" t="str">
        <f>IFERROR(INDEX(Ticket!$B$2:$B$6001,MATCH(B1512,Ticket!$A$2:$A$6001,0)),"Ticket introuvable")</f>
        <v>AG-035</v>
      </c>
    </row>
    <row r="1513" spans="1:7" x14ac:dyDescent="0.35">
      <c r="A1513" s="10" t="s">
        <v>7668</v>
      </c>
      <c r="B1513" s="12" t="s">
        <v>4209</v>
      </c>
      <c r="C1513" s="11">
        <v>45713</v>
      </c>
      <c r="D1513" s="12">
        <v>5</v>
      </c>
      <c r="E1513" s="12"/>
      <c r="F1513" s="13" t="s">
        <v>75</v>
      </c>
      <c r="G1513" t="str">
        <f>IFERROR(INDEX(Ticket!$B$2:$B$6001,MATCH(B1513,Ticket!$A$2:$A$6001,0)),"Ticket introuvable")</f>
        <v>AG-037</v>
      </c>
    </row>
    <row r="1514" spans="1:7" x14ac:dyDescent="0.35">
      <c r="A1514" s="6" t="s">
        <v>7669</v>
      </c>
      <c r="B1514" s="8" t="s">
        <v>5403</v>
      </c>
      <c r="C1514" s="7">
        <v>45836</v>
      </c>
      <c r="D1514" s="8">
        <v>2</v>
      </c>
      <c r="E1514" s="8">
        <v>7</v>
      </c>
      <c r="F1514" s="9" t="s">
        <v>6160</v>
      </c>
      <c r="G1514" t="str">
        <f>IFERROR(INDEX(Ticket!$B$2:$B$6001,MATCH(B1514,Ticket!$A$2:$A$6001,0)),"Ticket introuvable")</f>
        <v>AG-035</v>
      </c>
    </row>
    <row r="1515" spans="1:7" x14ac:dyDescent="0.35">
      <c r="A1515" s="10" t="s">
        <v>7670</v>
      </c>
      <c r="B1515" s="12" t="s">
        <v>3112</v>
      </c>
      <c r="C1515" s="11">
        <v>45746</v>
      </c>
      <c r="D1515" s="12">
        <v>3</v>
      </c>
      <c r="E1515" s="12">
        <v>3</v>
      </c>
      <c r="F1515" s="13" t="s">
        <v>6153</v>
      </c>
      <c r="G1515" t="str">
        <f>IFERROR(INDEX(Ticket!$B$2:$B$6001,MATCH(B1515,Ticket!$A$2:$A$6001,0)),"Ticket introuvable")</f>
        <v>AG-018</v>
      </c>
    </row>
    <row r="1516" spans="1:7" x14ac:dyDescent="0.35">
      <c r="A1516" s="6" t="s">
        <v>7671</v>
      </c>
      <c r="B1516" s="8" t="s">
        <v>4470</v>
      </c>
      <c r="C1516" s="7">
        <v>45762</v>
      </c>
      <c r="D1516" s="8">
        <v>5</v>
      </c>
      <c r="E1516" s="8">
        <v>9</v>
      </c>
      <c r="F1516" s="9" t="s">
        <v>6148</v>
      </c>
      <c r="G1516" t="str">
        <f>IFERROR(INDEX(Ticket!$B$2:$B$6001,MATCH(B1516,Ticket!$A$2:$A$6001,0)),"Ticket introuvable")</f>
        <v>AG-035</v>
      </c>
    </row>
    <row r="1517" spans="1:7" x14ac:dyDescent="0.35">
      <c r="A1517" s="10" t="s">
        <v>7672</v>
      </c>
      <c r="B1517" s="12" t="s">
        <v>2072</v>
      </c>
      <c r="C1517" s="11">
        <v>45915</v>
      </c>
      <c r="D1517" s="12">
        <v>5</v>
      </c>
      <c r="E1517" s="12">
        <v>6</v>
      </c>
      <c r="F1517" s="13" t="s">
        <v>6142</v>
      </c>
      <c r="G1517" t="str">
        <f>IFERROR(INDEX(Ticket!$B$2:$B$6001,MATCH(B1517,Ticket!$A$2:$A$6001,0)),"Ticket introuvable")</f>
        <v>AG-025</v>
      </c>
    </row>
    <row r="1518" spans="1:7" x14ac:dyDescent="0.35">
      <c r="A1518" s="6" t="s">
        <v>7673</v>
      </c>
      <c r="B1518" s="8" t="s">
        <v>3202</v>
      </c>
      <c r="C1518" s="7">
        <v>45996</v>
      </c>
      <c r="D1518" s="8">
        <v>4</v>
      </c>
      <c r="E1518" s="8">
        <v>10</v>
      </c>
      <c r="F1518" s="9" t="s">
        <v>6142</v>
      </c>
      <c r="G1518" t="str">
        <f>IFERROR(INDEX(Ticket!$B$2:$B$6001,MATCH(B1518,Ticket!$A$2:$A$6001,0)),"Ticket introuvable")</f>
        <v>AG-003</v>
      </c>
    </row>
    <row r="1519" spans="1:7" x14ac:dyDescent="0.35">
      <c r="A1519" s="10" t="s">
        <v>7674</v>
      </c>
      <c r="B1519" s="12" t="s">
        <v>4956</v>
      </c>
      <c r="C1519" s="11">
        <v>45856</v>
      </c>
      <c r="D1519" s="12">
        <v>4</v>
      </c>
      <c r="E1519" s="12">
        <v>5</v>
      </c>
      <c r="F1519" s="13" t="s">
        <v>6153</v>
      </c>
      <c r="G1519" t="str">
        <f>IFERROR(INDEX(Ticket!$B$2:$B$6001,MATCH(B1519,Ticket!$A$2:$A$6001,0)),"Ticket introuvable")</f>
        <v>AG-005</v>
      </c>
    </row>
    <row r="1520" spans="1:7" x14ac:dyDescent="0.35">
      <c r="A1520" s="6" t="s">
        <v>7675</v>
      </c>
      <c r="B1520" s="8" t="s">
        <v>1184</v>
      </c>
      <c r="C1520" s="7">
        <v>45674</v>
      </c>
      <c r="D1520" s="8">
        <v>5</v>
      </c>
      <c r="E1520" s="8">
        <v>7</v>
      </c>
      <c r="F1520" s="9" t="s">
        <v>6148</v>
      </c>
      <c r="G1520" t="str">
        <f>IFERROR(INDEX(Ticket!$B$2:$B$6001,MATCH(B1520,Ticket!$A$2:$A$6001,0)),"Ticket introuvable")</f>
        <v>AG-033</v>
      </c>
    </row>
    <row r="1521" spans="1:7" x14ac:dyDescent="0.35">
      <c r="A1521" s="10" t="s">
        <v>7676</v>
      </c>
      <c r="B1521" s="12" t="s">
        <v>4047</v>
      </c>
      <c r="C1521" s="11">
        <v>45684</v>
      </c>
      <c r="D1521" s="12">
        <v>4</v>
      </c>
      <c r="E1521" s="12">
        <v>8</v>
      </c>
      <c r="F1521" s="13" t="s">
        <v>6153</v>
      </c>
      <c r="G1521" t="str">
        <f>IFERROR(INDEX(Ticket!$B$2:$B$6001,MATCH(B1521,Ticket!$A$2:$A$6001,0)),"Ticket introuvable")</f>
        <v>AG-039</v>
      </c>
    </row>
    <row r="1522" spans="1:7" x14ac:dyDescent="0.35">
      <c r="A1522" s="6" t="s">
        <v>7677</v>
      </c>
      <c r="B1522" s="8" t="s">
        <v>5160</v>
      </c>
      <c r="C1522" s="7">
        <v>45997</v>
      </c>
      <c r="D1522" s="8">
        <v>5</v>
      </c>
      <c r="E1522" s="8">
        <v>7</v>
      </c>
      <c r="F1522" s="9" t="s">
        <v>75</v>
      </c>
      <c r="G1522" t="str">
        <f>IFERROR(INDEX(Ticket!$B$2:$B$6001,MATCH(B1522,Ticket!$A$2:$A$6001,0)),"Ticket introuvable")</f>
        <v>AG-031</v>
      </c>
    </row>
    <row r="1523" spans="1:7" x14ac:dyDescent="0.35">
      <c r="A1523" s="10" t="s">
        <v>7678</v>
      </c>
      <c r="B1523" s="12" t="s">
        <v>6035</v>
      </c>
      <c r="C1523" s="11">
        <v>45826</v>
      </c>
      <c r="D1523" s="12">
        <v>4</v>
      </c>
      <c r="E1523" s="12">
        <v>7</v>
      </c>
      <c r="F1523" s="13" t="s">
        <v>75</v>
      </c>
      <c r="G1523" t="str">
        <f>IFERROR(INDEX(Ticket!$B$2:$B$6001,MATCH(B1523,Ticket!$A$2:$A$6001,0)),"Ticket introuvable")</f>
        <v>AG-025</v>
      </c>
    </row>
    <row r="1524" spans="1:7" x14ac:dyDescent="0.35">
      <c r="A1524" s="6" t="s">
        <v>7679</v>
      </c>
      <c r="B1524" s="8" t="s">
        <v>428</v>
      </c>
      <c r="C1524" s="7">
        <v>45783</v>
      </c>
      <c r="D1524" s="8">
        <v>5</v>
      </c>
      <c r="E1524" s="8">
        <v>7</v>
      </c>
      <c r="F1524" s="9" t="s">
        <v>6148</v>
      </c>
      <c r="G1524" t="str">
        <f>IFERROR(INDEX(Ticket!$B$2:$B$6001,MATCH(B1524,Ticket!$A$2:$A$6001,0)),"Ticket introuvable")</f>
        <v>AG-014</v>
      </c>
    </row>
    <row r="1525" spans="1:7" x14ac:dyDescent="0.35">
      <c r="A1525" s="10" t="s">
        <v>7680</v>
      </c>
      <c r="B1525" s="12" t="s">
        <v>968</v>
      </c>
      <c r="C1525" s="11">
        <v>45663</v>
      </c>
      <c r="D1525" s="12">
        <v>5</v>
      </c>
      <c r="E1525" s="12">
        <v>5</v>
      </c>
      <c r="F1525" s="13" t="s">
        <v>8363</v>
      </c>
      <c r="G1525" t="str">
        <f>IFERROR(INDEX(Ticket!$B$2:$B$6001,MATCH(B1525,Ticket!$A$2:$A$6001,0)),"Ticket introuvable")</f>
        <v>AG-037</v>
      </c>
    </row>
    <row r="1526" spans="1:7" x14ac:dyDescent="0.35">
      <c r="A1526" s="6" t="s">
        <v>7681</v>
      </c>
      <c r="B1526" s="8" t="s">
        <v>4283</v>
      </c>
      <c r="C1526" s="7">
        <v>45965</v>
      </c>
      <c r="D1526" s="8">
        <v>3</v>
      </c>
      <c r="E1526" s="8">
        <v>7</v>
      </c>
      <c r="F1526" s="9" t="s">
        <v>6153</v>
      </c>
      <c r="G1526" t="str">
        <f>IFERROR(INDEX(Ticket!$B$2:$B$6001,MATCH(B1526,Ticket!$A$2:$A$6001,0)),"Ticket introuvable")</f>
        <v>AG-025</v>
      </c>
    </row>
    <row r="1527" spans="1:7" x14ac:dyDescent="0.35">
      <c r="A1527" s="10" t="s">
        <v>7682</v>
      </c>
      <c r="B1527" s="12" t="s">
        <v>2283</v>
      </c>
      <c r="C1527" s="11">
        <v>46008</v>
      </c>
      <c r="D1527" s="12">
        <v>5</v>
      </c>
      <c r="E1527" s="12"/>
      <c r="F1527" s="13" t="s">
        <v>6153</v>
      </c>
      <c r="G1527" t="str">
        <f>IFERROR(INDEX(Ticket!$B$2:$B$6001,MATCH(B1527,Ticket!$A$2:$A$6001,0)),"Ticket introuvable")</f>
        <v>AG-013</v>
      </c>
    </row>
    <row r="1528" spans="1:7" x14ac:dyDescent="0.35">
      <c r="A1528" s="6" t="s">
        <v>7683</v>
      </c>
      <c r="B1528" s="8" t="s">
        <v>3368</v>
      </c>
      <c r="C1528" s="7">
        <v>45735</v>
      </c>
      <c r="D1528" s="8">
        <v>2</v>
      </c>
      <c r="E1528" s="8">
        <v>2</v>
      </c>
      <c r="F1528" s="9" t="s">
        <v>8363</v>
      </c>
      <c r="G1528" t="str">
        <f>IFERROR(INDEX(Ticket!$B$2:$B$6001,MATCH(B1528,Ticket!$A$2:$A$6001,0)),"Ticket introuvable")</f>
        <v>AG-029</v>
      </c>
    </row>
    <row r="1529" spans="1:7" x14ac:dyDescent="0.35">
      <c r="A1529" s="10" t="s">
        <v>7684</v>
      </c>
      <c r="B1529" s="12" t="s">
        <v>5478</v>
      </c>
      <c r="C1529" s="11">
        <v>45739</v>
      </c>
      <c r="D1529" s="12">
        <v>5</v>
      </c>
      <c r="E1529" s="12">
        <v>7</v>
      </c>
      <c r="F1529" s="13" t="s">
        <v>75</v>
      </c>
      <c r="G1529" t="str">
        <f>IFERROR(INDEX(Ticket!$B$2:$B$6001,MATCH(B1529,Ticket!$A$2:$A$6001,0)),"Ticket introuvable")</f>
        <v>AG-012</v>
      </c>
    </row>
    <row r="1530" spans="1:7" x14ac:dyDescent="0.35">
      <c r="A1530" s="6" t="s">
        <v>7685</v>
      </c>
      <c r="B1530" s="8" t="s">
        <v>4926</v>
      </c>
      <c r="C1530" s="7">
        <v>45879</v>
      </c>
      <c r="D1530" s="8">
        <v>3</v>
      </c>
      <c r="E1530" s="8">
        <v>8</v>
      </c>
      <c r="F1530" s="9" t="s">
        <v>6148</v>
      </c>
      <c r="G1530" t="str">
        <f>IFERROR(INDEX(Ticket!$B$2:$B$6001,MATCH(B1530,Ticket!$A$2:$A$6001,0)),"Ticket introuvable")</f>
        <v>AG-033</v>
      </c>
    </row>
    <row r="1531" spans="1:7" x14ac:dyDescent="0.35">
      <c r="A1531" s="10" t="s">
        <v>7686</v>
      </c>
      <c r="B1531" s="12" t="s">
        <v>2021</v>
      </c>
      <c r="C1531" s="11">
        <v>45994</v>
      </c>
      <c r="D1531" s="12">
        <v>3</v>
      </c>
      <c r="E1531" s="12">
        <v>9</v>
      </c>
      <c r="F1531" s="13" t="s">
        <v>6148</v>
      </c>
      <c r="G1531" t="str">
        <f>IFERROR(INDEX(Ticket!$B$2:$B$6001,MATCH(B1531,Ticket!$A$2:$A$6001,0)),"Ticket introuvable")</f>
        <v>AG-035</v>
      </c>
    </row>
    <row r="1532" spans="1:7" x14ac:dyDescent="0.35">
      <c r="A1532" s="6" t="s">
        <v>7687</v>
      </c>
      <c r="B1532" s="8" t="s">
        <v>837</v>
      </c>
      <c r="C1532" s="7">
        <v>46004</v>
      </c>
      <c r="D1532" s="8">
        <v>4</v>
      </c>
      <c r="E1532" s="8">
        <v>6</v>
      </c>
      <c r="F1532" s="9" t="s">
        <v>6160</v>
      </c>
      <c r="G1532" t="str">
        <f>IFERROR(INDEX(Ticket!$B$2:$B$6001,MATCH(B1532,Ticket!$A$2:$A$6001,0)),"Ticket introuvable")</f>
        <v>AG-024</v>
      </c>
    </row>
    <row r="1533" spans="1:7" x14ac:dyDescent="0.35">
      <c r="A1533" s="10" t="s">
        <v>7688</v>
      </c>
      <c r="B1533" s="12" t="s">
        <v>4067</v>
      </c>
      <c r="C1533" s="11">
        <v>45831</v>
      </c>
      <c r="D1533" s="12">
        <v>4</v>
      </c>
      <c r="E1533" s="12"/>
      <c r="F1533" s="13" t="s">
        <v>6160</v>
      </c>
      <c r="G1533" t="str">
        <f>IFERROR(INDEX(Ticket!$B$2:$B$6001,MATCH(B1533,Ticket!$A$2:$A$6001,0)),"Ticket introuvable")</f>
        <v>AG-029</v>
      </c>
    </row>
    <row r="1534" spans="1:7" x14ac:dyDescent="0.35">
      <c r="A1534" s="6" t="s">
        <v>7689</v>
      </c>
      <c r="B1534" s="8" t="s">
        <v>2286</v>
      </c>
      <c r="C1534" s="7">
        <v>45929</v>
      </c>
      <c r="D1534" s="8">
        <v>5</v>
      </c>
      <c r="E1534" s="8">
        <v>9</v>
      </c>
      <c r="F1534" s="9" t="s">
        <v>6160</v>
      </c>
      <c r="G1534" t="str">
        <f>IFERROR(INDEX(Ticket!$B$2:$B$6001,MATCH(B1534,Ticket!$A$2:$A$6001,0)),"Ticket introuvable")</f>
        <v>AG-019</v>
      </c>
    </row>
    <row r="1535" spans="1:7" x14ac:dyDescent="0.35">
      <c r="A1535" s="10" t="s">
        <v>7690</v>
      </c>
      <c r="B1535" s="12" t="s">
        <v>1260</v>
      </c>
      <c r="C1535" s="11">
        <v>45897</v>
      </c>
      <c r="D1535" s="12">
        <v>3</v>
      </c>
      <c r="E1535" s="12">
        <v>5</v>
      </c>
      <c r="F1535" s="13" t="s">
        <v>75</v>
      </c>
      <c r="G1535" t="str">
        <f>IFERROR(INDEX(Ticket!$B$2:$B$6001,MATCH(B1535,Ticket!$A$2:$A$6001,0)),"Ticket introuvable")</f>
        <v>AG-020</v>
      </c>
    </row>
    <row r="1536" spans="1:7" x14ac:dyDescent="0.35">
      <c r="A1536" s="6" t="s">
        <v>7691</v>
      </c>
      <c r="B1536" s="8" t="s">
        <v>1349</v>
      </c>
      <c r="C1536" s="7">
        <v>45797</v>
      </c>
      <c r="D1536" s="8">
        <v>4</v>
      </c>
      <c r="E1536" s="8">
        <v>5</v>
      </c>
      <c r="F1536" s="9" t="s">
        <v>6142</v>
      </c>
      <c r="G1536" t="str">
        <f>IFERROR(INDEX(Ticket!$B$2:$B$6001,MATCH(B1536,Ticket!$A$2:$A$6001,0)),"Ticket introuvable")</f>
        <v>AG-017</v>
      </c>
    </row>
    <row r="1537" spans="1:7" x14ac:dyDescent="0.35">
      <c r="A1537" s="10" t="s">
        <v>7692</v>
      </c>
      <c r="B1537" s="12" t="s">
        <v>5153</v>
      </c>
      <c r="C1537" s="11">
        <v>45707</v>
      </c>
      <c r="D1537" s="12">
        <v>2</v>
      </c>
      <c r="E1537" s="12">
        <v>8</v>
      </c>
      <c r="F1537" s="13" t="s">
        <v>6153</v>
      </c>
      <c r="G1537" t="str">
        <f>IFERROR(INDEX(Ticket!$B$2:$B$6001,MATCH(B1537,Ticket!$A$2:$A$6001,0)),"Ticket introuvable")</f>
        <v>AG-033</v>
      </c>
    </row>
    <row r="1538" spans="1:7" x14ac:dyDescent="0.35">
      <c r="A1538" s="6" t="s">
        <v>7693</v>
      </c>
      <c r="B1538" s="8" t="s">
        <v>3408</v>
      </c>
      <c r="C1538" s="7">
        <v>45701</v>
      </c>
      <c r="D1538" s="8">
        <v>5</v>
      </c>
      <c r="E1538" s="8">
        <v>2</v>
      </c>
      <c r="F1538" s="9" t="s">
        <v>75</v>
      </c>
      <c r="G1538" t="str">
        <f>IFERROR(INDEX(Ticket!$B$2:$B$6001,MATCH(B1538,Ticket!$A$2:$A$6001,0)),"Ticket introuvable")</f>
        <v>AG-014</v>
      </c>
    </row>
    <row r="1539" spans="1:7" x14ac:dyDescent="0.35">
      <c r="A1539" s="10" t="s">
        <v>7694</v>
      </c>
      <c r="B1539" s="12" t="s">
        <v>1233</v>
      </c>
      <c r="C1539" s="11">
        <v>45762</v>
      </c>
      <c r="D1539" s="12">
        <v>3</v>
      </c>
      <c r="E1539" s="12">
        <v>8</v>
      </c>
      <c r="F1539" s="13" t="s">
        <v>6160</v>
      </c>
      <c r="G1539" t="str">
        <f>IFERROR(INDEX(Ticket!$B$2:$B$6001,MATCH(B1539,Ticket!$A$2:$A$6001,0)),"Ticket introuvable")</f>
        <v>AG-020</v>
      </c>
    </row>
    <row r="1540" spans="1:7" x14ac:dyDescent="0.35">
      <c r="A1540" s="6" t="s">
        <v>7695</v>
      </c>
      <c r="B1540" s="8" t="s">
        <v>2299</v>
      </c>
      <c r="C1540" s="7">
        <v>45739</v>
      </c>
      <c r="D1540" s="8">
        <v>3</v>
      </c>
      <c r="E1540" s="8">
        <v>9</v>
      </c>
      <c r="F1540" s="9" t="s">
        <v>6153</v>
      </c>
      <c r="G1540" t="str">
        <f>IFERROR(INDEX(Ticket!$B$2:$B$6001,MATCH(B1540,Ticket!$A$2:$A$6001,0)),"Ticket introuvable")</f>
        <v>AG-007</v>
      </c>
    </row>
    <row r="1541" spans="1:7" x14ac:dyDescent="0.35">
      <c r="A1541" s="10" t="s">
        <v>7696</v>
      </c>
      <c r="B1541" s="12" t="s">
        <v>3052</v>
      </c>
      <c r="C1541" s="11">
        <v>45787</v>
      </c>
      <c r="D1541" s="12">
        <v>5</v>
      </c>
      <c r="E1541" s="12">
        <v>9</v>
      </c>
      <c r="F1541" s="13" t="s">
        <v>6153</v>
      </c>
      <c r="G1541" t="str">
        <f>IFERROR(INDEX(Ticket!$B$2:$B$6001,MATCH(B1541,Ticket!$A$2:$A$6001,0)),"Ticket introuvable")</f>
        <v>AG-040</v>
      </c>
    </row>
    <row r="1542" spans="1:7" x14ac:dyDescent="0.35">
      <c r="A1542" s="6" t="s">
        <v>7697</v>
      </c>
      <c r="B1542" s="8" t="s">
        <v>1777</v>
      </c>
      <c r="C1542" s="7">
        <v>45731</v>
      </c>
      <c r="D1542" s="8">
        <v>2</v>
      </c>
      <c r="E1542" s="8">
        <v>9</v>
      </c>
      <c r="F1542" s="9" t="s">
        <v>8363</v>
      </c>
      <c r="G1542" t="str">
        <f>IFERROR(INDEX(Ticket!$B$2:$B$6001,MATCH(B1542,Ticket!$A$2:$A$6001,0)),"Ticket introuvable")</f>
        <v>AG-027</v>
      </c>
    </row>
    <row r="1543" spans="1:7" x14ac:dyDescent="0.35">
      <c r="A1543" s="10" t="s">
        <v>7698</v>
      </c>
      <c r="B1543" s="12" t="s">
        <v>5087</v>
      </c>
      <c r="C1543" s="11">
        <v>45955</v>
      </c>
      <c r="D1543" s="12">
        <v>3</v>
      </c>
      <c r="E1543" s="12">
        <v>7</v>
      </c>
      <c r="F1543" s="13" t="s">
        <v>8363</v>
      </c>
      <c r="G1543" t="str">
        <f>IFERROR(INDEX(Ticket!$B$2:$B$6001,MATCH(B1543,Ticket!$A$2:$A$6001,0)),"Ticket introuvable")</f>
        <v>AG-034</v>
      </c>
    </row>
    <row r="1544" spans="1:7" x14ac:dyDescent="0.35">
      <c r="A1544" s="6" t="s">
        <v>7699</v>
      </c>
      <c r="B1544" s="8" t="s">
        <v>3842</v>
      </c>
      <c r="C1544" s="7">
        <v>45883</v>
      </c>
      <c r="D1544" s="8">
        <v>4</v>
      </c>
      <c r="E1544" s="8">
        <v>7</v>
      </c>
      <c r="F1544" s="9" t="s">
        <v>6153</v>
      </c>
      <c r="G1544" t="str">
        <f>IFERROR(INDEX(Ticket!$B$2:$B$6001,MATCH(B1544,Ticket!$A$2:$A$6001,0)),"Ticket introuvable")</f>
        <v>AG-026</v>
      </c>
    </row>
    <row r="1545" spans="1:7" x14ac:dyDescent="0.35">
      <c r="A1545" s="10" t="s">
        <v>7700</v>
      </c>
      <c r="B1545" s="12" t="s">
        <v>2639</v>
      </c>
      <c r="C1545" s="11">
        <v>45835</v>
      </c>
      <c r="D1545" s="12">
        <v>5</v>
      </c>
      <c r="E1545" s="12">
        <v>5</v>
      </c>
      <c r="F1545" s="13" t="s">
        <v>6142</v>
      </c>
      <c r="G1545" t="str">
        <f>IFERROR(INDEX(Ticket!$B$2:$B$6001,MATCH(B1545,Ticket!$A$2:$A$6001,0)),"Ticket introuvable")</f>
        <v>AG-039</v>
      </c>
    </row>
    <row r="1546" spans="1:7" x14ac:dyDescent="0.35">
      <c r="A1546" s="6" t="s">
        <v>7701</v>
      </c>
      <c r="B1546" s="8" t="s">
        <v>3973</v>
      </c>
      <c r="C1546" s="7">
        <v>45831</v>
      </c>
      <c r="D1546" s="8">
        <v>4</v>
      </c>
      <c r="E1546" s="8">
        <v>8</v>
      </c>
      <c r="F1546" s="9" t="s">
        <v>8363</v>
      </c>
      <c r="G1546" t="str">
        <f>IFERROR(INDEX(Ticket!$B$2:$B$6001,MATCH(B1546,Ticket!$A$2:$A$6001,0)),"Ticket introuvable")</f>
        <v>AG-015</v>
      </c>
    </row>
    <row r="1547" spans="1:7" x14ac:dyDescent="0.35">
      <c r="A1547" s="10" t="s">
        <v>7702</v>
      </c>
      <c r="B1547" s="12" t="s">
        <v>5290</v>
      </c>
      <c r="C1547" s="11">
        <v>45711</v>
      </c>
      <c r="D1547" s="12">
        <v>3</v>
      </c>
      <c r="E1547" s="12">
        <v>9</v>
      </c>
      <c r="F1547" s="13" t="s">
        <v>8363</v>
      </c>
      <c r="G1547" t="str">
        <f>IFERROR(INDEX(Ticket!$B$2:$B$6001,MATCH(B1547,Ticket!$A$2:$A$6001,0)),"Ticket introuvable")</f>
        <v>AG-026</v>
      </c>
    </row>
    <row r="1548" spans="1:7" x14ac:dyDescent="0.35">
      <c r="A1548" s="6" t="s">
        <v>7703</v>
      </c>
      <c r="B1548" s="8" t="s">
        <v>5653</v>
      </c>
      <c r="C1548" s="7">
        <v>45919</v>
      </c>
      <c r="D1548" s="8">
        <v>3</v>
      </c>
      <c r="E1548" s="8">
        <v>5</v>
      </c>
      <c r="F1548" s="9" t="s">
        <v>8363</v>
      </c>
      <c r="G1548" t="str">
        <f>IFERROR(INDEX(Ticket!$B$2:$B$6001,MATCH(B1548,Ticket!$A$2:$A$6001,0)),"Ticket introuvable")</f>
        <v>AG-014</v>
      </c>
    </row>
    <row r="1549" spans="1:7" x14ac:dyDescent="0.35">
      <c r="A1549" s="10" t="s">
        <v>7704</v>
      </c>
      <c r="B1549" s="12" t="s">
        <v>762</v>
      </c>
      <c r="C1549" s="11">
        <v>45690</v>
      </c>
      <c r="D1549" s="12">
        <v>5</v>
      </c>
      <c r="E1549" s="12">
        <v>1</v>
      </c>
      <c r="F1549" s="13" t="s">
        <v>8363</v>
      </c>
      <c r="G1549" t="str">
        <f>IFERROR(INDEX(Ticket!$B$2:$B$6001,MATCH(B1549,Ticket!$A$2:$A$6001,0)),"Ticket introuvable")</f>
        <v>AG-025</v>
      </c>
    </row>
    <row r="1550" spans="1:7" x14ac:dyDescent="0.35">
      <c r="A1550" s="6" t="s">
        <v>7705</v>
      </c>
      <c r="B1550" s="8" t="s">
        <v>818</v>
      </c>
      <c r="C1550" s="7">
        <v>45992</v>
      </c>
      <c r="D1550" s="8">
        <v>4</v>
      </c>
      <c r="E1550" s="8">
        <v>7</v>
      </c>
      <c r="F1550" s="9" t="s">
        <v>75</v>
      </c>
      <c r="G1550" t="str">
        <f>IFERROR(INDEX(Ticket!$B$2:$B$6001,MATCH(B1550,Ticket!$A$2:$A$6001,0)),"Ticket introuvable")</f>
        <v>AG-028</v>
      </c>
    </row>
    <row r="1551" spans="1:7" x14ac:dyDescent="0.35">
      <c r="A1551" s="10" t="s">
        <v>7706</v>
      </c>
      <c r="B1551" s="12" t="s">
        <v>2071</v>
      </c>
      <c r="C1551" s="11">
        <v>45706</v>
      </c>
      <c r="D1551" s="12">
        <v>5</v>
      </c>
      <c r="E1551" s="12"/>
      <c r="F1551" s="13" t="s">
        <v>6160</v>
      </c>
      <c r="G1551" t="str">
        <f>IFERROR(INDEX(Ticket!$B$2:$B$6001,MATCH(B1551,Ticket!$A$2:$A$6001,0)),"Ticket introuvable")</f>
        <v>AG-038</v>
      </c>
    </row>
    <row r="1552" spans="1:7" x14ac:dyDescent="0.35">
      <c r="A1552" s="6" t="s">
        <v>7707</v>
      </c>
      <c r="B1552" s="8" t="s">
        <v>4729</v>
      </c>
      <c r="C1552" s="7">
        <v>45804</v>
      </c>
      <c r="D1552" s="8">
        <v>3</v>
      </c>
      <c r="E1552" s="8"/>
      <c r="F1552" s="9" t="s">
        <v>6153</v>
      </c>
      <c r="G1552" t="str">
        <f>IFERROR(INDEX(Ticket!$B$2:$B$6001,MATCH(B1552,Ticket!$A$2:$A$6001,0)),"Ticket introuvable")</f>
        <v>AG-025</v>
      </c>
    </row>
    <row r="1553" spans="1:7" x14ac:dyDescent="0.35">
      <c r="A1553" s="10" t="s">
        <v>7708</v>
      </c>
      <c r="B1553" s="12" t="s">
        <v>5662</v>
      </c>
      <c r="C1553" s="11">
        <v>45662</v>
      </c>
      <c r="D1553" s="12">
        <v>5</v>
      </c>
      <c r="E1553" s="12">
        <v>9</v>
      </c>
      <c r="F1553" s="13" t="s">
        <v>6153</v>
      </c>
      <c r="G1553" t="str">
        <f>IFERROR(INDEX(Ticket!$B$2:$B$6001,MATCH(B1553,Ticket!$A$2:$A$6001,0)),"Ticket introuvable")</f>
        <v>AG-007</v>
      </c>
    </row>
    <row r="1554" spans="1:7" x14ac:dyDescent="0.35">
      <c r="A1554" s="6" t="s">
        <v>7709</v>
      </c>
      <c r="B1554" s="8" t="s">
        <v>5548</v>
      </c>
      <c r="C1554" s="7">
        <v>45666</v>
      </c>
      <c r="D1554" s="8">
        <v>4</v>
      </c>
      <c r="E1554" s="8">
        <v>5</v>
      </c>
      <c r="F1554" s="9" t="s">
        <v>8363</v>
      </c>
      <c r="G1554" t="str">
        <f>IFERROR(INDEX(Ticket!$B$2:$B$6001,MATCH(B1554,Ticket!$A$2:$A$6001,0)),"Ticket introuvable")</f>
        <v>AG-007</v>
      </c>
    </row>
    <row r="1555" spans="1:7" x14ac:dyDescent="0.35">
      <c r="A1555" s="10" t="s">
        <v>7710</v>
      </c>
      <c r="B1555" s="12" t="s">
        <v>6057</v>
      </c>
      <c r="C1555" s="11">
        <v>45804</v>
      </c>
      <c r="D1555" s="12">
        <v>4</v>
      </c>
      <c r="E1555" s="12">
        <v>4</v>
      </c>
      <c r="F1555" s="13" t="s">
        <v>8363</v>
      </c>
      <c r="G1555" t="str">
        <f>IFERROR(INDEX(Ticket!$B$2:$B$6001,MATCH(B1555,Ticket!$A$2:$A$6001,0)),"Ticket introuvable")</f>
        <v>AG-031</v>
      </c>
    </row>
    <row r="1556" spans="1:7" x14ac:dyDescent="0.35">
      <c r="A1556" s="6" t="s">
        <v>7711</v>
      </c>
      <c r="B1556" s="8" t="s">
        <v>5929</v>
      </c>
      <c r="C1556" s="7">
        <v>45763</v>
      </c>
      <c r="D1556" s="8"/>
      <c r="E1556" s="8">
        <v>9</v>
      </c>
      <c r="F1556" s="9" t="s">
        <v>8363</v>
      </c>
      <c r="G1556" t="str">
        <f>IFERROR(INDEX(Ticket!$B$2:$B$6001,MATCH(B1556,Ticket!$A$2:$A$6001,0)),"Ticket introuvable")</f>
        <v>AG-014</v>
      </c>
    </row>
    <row r="1557" spans="1:7" x14ac:dyDescent="0.35">
      <c r="A1557" s="10" t="s">
        <v>7712</v>
      </c>
      <c r="B1557" s="12" t="s">
        <v>5420</v>
      </c>
      <c r="C1557" s="11">
        <v>45865</v>
      </c>
      <c r="D1557" s="12">
        <v>5</v>
      </c>
      <c r="E1557" s="12"/>
      <c r="F1557" s="13" t="s">
        <v>75</v>
      </c>
      <c r="G1557" t="str">
        <f>IFERROR(INDEX(Ticket!$B$2:$B$6001,MATCH(B1557,Ticket!$A$2:$A$6001,0)),"Ticket introuvable")</f>
        <v>AG-013</v>
      </c>
    </row>
    <row r="1558" spans="1:7" x14ac:dyDescent="0.35">
      <c r="A1558" s="6" t="s">
        <v>7713</v>
      </c>
      <c r="B1558" s="8" t="s">
        <v>3332</v>
      </c>
      <c r="C1558" s="7">
        <v>45996</v>
      </c>
      <c r="D1558" s="8">
        <v>2</v>
      </c>
      <c r="E1558" s="8">
        <v>10</v>
      </c>
      <c r="F1558" s="9" t="s">
        <v>75</v>
      </c>
      <c r="G1558" t="str">
        <f>IFERROR(INDEX(Ticket!$B$2:$B$6001,MATCH(B1558,Ticket!$A$2:$A$6001,0)),"Ticket introuvable")</f>
        <v>AG-037</v>
      </c>
    </row>
    <row r="1559" spans="1:7" x14ac:dyDescent="0.35">
      <c r="A1559" s="10" t="s">
        <v>7714</v>
      </c>
      <c r="B1559" s="12" t="s">
        <v>4608</v>
      </c>
      <c r="C1559" s="11">
        <v>45893</v>
      </c>
      <c r="D1559" s="12">
        <v>5</v>
      </c>
      <c r="E1559" s="12">
        <v>9</v>
      </c>
      <c r="F1559" s="13" t="s">
        <v>8363</v>
      </c>
      <c r="G1559" t="str">
        <f>IFERROR(INDEX(Ticket!$B$2:$B$6001,MATCH(B1559,Ticket!$A$2:$A$6001,0)),"Ticket introuvable")</f>
        <v>AG-013</v>
      </c>
    </row>
    <row r="1560" spans="1:7" x14ac:dyDescent="0.35">
      <c r="A1560" s="6" t="s">
        <v>7715</v>
      </c>
      <c r="B1560" s="8" t="s">
        <v>1092</v>
      </c>
      <c r="C1560" s="7">
        <v>45861</v>
      </c>
      <c r="D1560" s="8">
        <v>3</v>
      </c>
      <c r="E1560" s="8">
        <v>9</v>
      </c>
      <c r="F1560" s="9" t="s">
        <v>75</v>
      </c>
      <c r="G1560" t="str">
        <f>IFERROR(INDEX(Ticket!$B$2:$B$6001,MATCH(B1560,Ticket!$A$2:$A$6001,0)),"Ticket introuvable")</f>
        <v>AG-011</v>
      </c>
    </row>
    <row r="1561" spans="1:7" x14ac:dyDescent="0.35">
      <c r="A1561" s="10" t="s">
        <v>7716</v>
      </c>
      <c r="B1561" s="12" t="s">
        <v>4594</v>
      </c>
      <c r="C1561" s="11">
        <v>45747</v>
      </c>
      <c r="D1561" s="12">
        <v>5</v>
      </c>
      <c r="E1561" s="12">
        <v>9</v>
      </c>
      <c r="F1561" s="13" t="s">
        <v>6142</v>
      </c>
      <c r="G1561" t="str">
        <f>IFERROR(INDEX(Ticket!$B$2:$B$6001,MATCH(B1561,Ticket!$A$2:$A$6001,0)),"Ticket introuvable")</f>
        <v>AG-018</v>
      </c>
    </row>
    <row r="1562" spans="1:7" x14ac:dyDescent="0.35">
      <c r="A1562" s="6" t="s">
        <v>7717</v>
      </c>
      <c r="B1562" s="8" t="s">
        <v>5488</v>
      </c>
      <c r="C1562" s="7">
        <v>45919</v>
      </c>
      <c r="D1562" s="8">
        <v>5</v>
      </c>
      <c r="E1562" s="8">
        <v>9</v>
      </c>
      <c r="F1562" s="9" t="s">
        <v>8363</v>
      </c>
      <c r="G1562" t="str">
        <f>IFERROR(INDEX(Ticket!$B$2:$B$6001,MATCH(B1562,Ticket!$A$2:$A$6001,0)),"Ticket introuvable")</f>
        <v>AG-037</v>
      </c>
    </row>
    <row r="1563" spans="1:7" x14ac:dyDescent="0.35">
      <c r="A1563" s="10" t="s">
        <v>7718</v>
      </c>
      <c r="B1563" s="12" t="s">
        <v>5258</v>
      </c>
      <c r="C1563" s="11">
        <v>46014</v>
      </c>
      <c r="D1563" s="12">
        <v>5</v>
      </c>
      <c r="E1563" s="12">
        <v>10</v>
      </c>
      <c r="F1563" s="13" t="s">
        <v>6160</v>
      </c>
      <c r="G1563" t="str">
        <f>IFERROR(INDEX(Ticket!$B$2:$B$6001,MATCH(B1563,Ticket!$A$2:$A$6001,0)),"Ticket introuvable")</f>
        <v>AG-034</v>
      </c>
    </row>
    <row r="1564" spans="1:7" x14ac:dyDescent="0.35">
      <c r="A1564" s="6" t="s">
        <v>7719</v>
      </c>
      <c r="B1564" s="8" t="s">
        <v>2303</v>
      </c>
      <c r="C1564" s="7">
        <v>45975</v>
      </c>
      <c r="D1564" s="8">
        <v>5</v>
      </c>
      <c r="E1564" s="8">
        <v>5</v>
      </c>
      <c r="F1564" s="9" t="s">
        <v>6153</v>
      </c>
      <c r="G1564" t="str">
        <f>IFERROR(INDEX(Ticket!$B$2:$B$6001,MATCH(B1564,Ticket!$A$2:$A$6001,0)),"Ticket introuvable")</f>
        <v>AG-032</v>
      </c>
    </row>
    <row r="1565" spans="1:7" x14ac:dyDescent="0.35">
      <c r="A1565" s="10" t="s">
        <v>7720</v>
      </c>
      <c r="B1565" s="12" t="s">
        <v>389</v>
      </c>
      <c r="C1565" s="11">
        <v>45801</v>
      </c>
      <c r="D1565" s="12">
        <v>4</v>
      </c>
      <c r="E1565" s="12">
        <v>7</v>
      </c>
      <c r="F1565" s="13" t="s">
        <v>75</v>
      </c>
      <c r="G1565" t="str">
        <f>IFERROR(INDEX(Ticket!$B$2:$B$6001,MATCH(B1565,Ticket!$A$2:$A$6001,0)),"Ticket introuvable")</f>
        <v>AG-034</v>
      </c>
    </row>
    <row r="1566" spans="1:7" x14ac:dyDescent="0.35">
      <c r="A1566" s="6" t="s">
        <v>7721</v>
      </c>
      <c r="B1566" s="8" t="s">
        <v>4531</v>
      </c>
      <c r="C1566" s="7">
        <v>45934</v>
      </c>
      <c r="D1566" s="8"/>
      <c r="E1566" s="8">
        <v>8</v>
      </c>
      <c r="F1566" s="9" t="s">
        <v>8363</v>
      </c>
      <c r="G1566" t="str">
        <f>IFERROR(INDEX(Ticket!$B$2:$B$6001,MATCH(B1566,Ticket!$A$2:$A$6001,0)),"Ticket introuvable")</f>
        <v>AG-017</v>
      </c>
    </row>
    <row r="1567" spans="1:7" x14ac:dyDescent="0.35">
      <c r="A1567" s="10" t="s">
        <v>7722</v>
      </c>
      <c r="B1567" s="12" t="s">
        <v>3884</v>
      </c>
      <c r="C1567" s="11">
        <v>45840</v>
      </c>
      <c r="D1567" s="12">
        <v>2</v>
      </c>
      <c r="E1567" s="12">
        <v>9</v>
      </c>
      <c r="F1567" s="13" t="s">
        <v>6160</v>
      </c>
      <c r="G1567" t="str">
        <f>IFERROR(INDEX(Ticket!$B$2:$B$6001,MATCH(B1567,Ticket!$A$2:$A$6001,0)),"Ticket introuvable")</f>
        <v>AG-020</v>
      </c>
    </row>
    <row r="1568" spans="1:7" x14ac:dyDescent="0.35">
      <c r="A1568" s="6" t="s">
        <v>7723</v>
      </c>
      <c r="B1568" s="8" t="s">
        <v>157</v>
      </c>
      <c r="C1568" s="7">
        <v>45797</v>
      </c>
      <c r="D1568" s="8">
        <v>1</v>
      </c>
      <c r="E1568" s="8">
        <v>9</v>
      </c>
      <c r="F1568" s="9" t="s">
        <v>6142</v>
      </c>
      <c r="G1568" t="str">
        <f>IFERROR(INDEX(Ticket!$B$2:$B$6001,MATCH(B1568,Ticket!$A$2:$A$6001,0)),"Ticket introuvable")</f>
        <v>AG-022</v>
      </c>
    </row>
    <row r="1569" spans="1:7" x14ac:dyDescent="0.35">
      <c r="A1569" s="10" t="s">
        <v>7724</v>
      </c>
      <c r="B1569" s="12" t="s">
        <v>471</v>
      </c>
      <c r="C1569" s="11">
        <v>45731</v>
      </c>
      <c r="D1569" s="12">
        <v>4</v>
      </c>
      <c r="E1569" s="12">
        <v>3</v>
      </c>
      <c r="F1569" s="13" t="s">
        <v>6148</v>
      </c>
      <c r="G1569" t="str">
        <f>IFERROR(INDEX(Ticket!$B$2:$B$6001,MATCH(B1569,Ticket!$A$2:$A$6001,0)),"Ticket introuvable")</f>
        <v>AG-015</v>
      </c>
    </row>
    <row r="1570" spans="1:7" x14ac:dyDescent="0.35">
      <c r="A1570" s="6" t="s">
        <v>7725</v>
      </c>
      <c r="B1570" s="8" t="s">
        <v>1265</v>
      </c>
      <c r="C1570" s="7">
        <v>45794</v>
      </c>
      <c r="D1570" s="8">
        <v>5</v>
      </c>
      <c r="E1570" s="8">
        <v>1</v>
      </c>
      <c r="F1570" s="9" t="s">
        <v>8363</v>
      </c>
      <c r="G1570" t="str">
        <f>IFERROR(INDEX(Ticket!$B$2:$B$6001,MATCH(B1570,Ticket!$A$2:$A$6001,0)),"Ticket introuvable")</f>
        <v>AG-026</v>
      </c>
    </row>
    <row r="1571" spans="1:7" x14ac:dyDescent="0.35">
      <c r="A1571" s="10" t="s">
        <v>7726</v>
      </c>
      <c r="B1571" s="12" t="s">
        <v>3297</v>
      </c>
      <c r="C1571" s="11">
        <v>45672</v>
      </c>
      <c r="D1571" s="12">
        <v>3</v>
      </c>
      <c r="E1571" s="12">
        <v>2</v>
      </c>
      <c r="F1571" s="13" t="s">
        <v>75</v>
      </c>
      <c r="G1571" t="str">
        <f>IFERROR(INDEX(Ticket!$B$2:$B$6001,MATCH(B1571,Ticket!$A$2:$A$6001,0)),"Ticket introuvable")</f>
        <v>AG-024</v>
      </c>
    </row>
    <row r="1572" spans="1:7" x14ac:dyDescent="0.35">
      <c r="A1572" s="6" t="s">
        <v>7727</v>
      </c>
      <c r="B1572" s="8" t="s">
        <v>865</v>
      </c>
      <c r="C1572" s="7">
        <v>45966</v>
      </c>
      <c r="D1572" s="8">
        <v>5</v>
      </c>
      <c r="E1572" s="8">
        <v>9</v>
      </c>
      <c r="F1572" s="9" t="s">
        <v>6148</v>
      </c>
      <c r="G1572" t="str">
        <f>IFERROR(INDEX(Ticket!$B$2:$B$6001,MATCH(B1572,Ticket!$A$2:$A$6001,0)),"Ticket introuvable")</f>
        <v>AG-025</v>
      </c>
    </row>
    <row r="1573" spans="1:7" x14ac:dyDescent="0.35">
      <c r="A1573" s="10" t="s">
        <v>7728</v>
      </c>
      <c r="B1573" s="12" t="s">
        <v>5479</v>
      </c>
      <c r="C1573" s="11">
        <v>45722</v>
      </c>
      <c r="D1573" s="12">
        <v>5</v>
      </c>
      <c r="E1573" s="12">
        <v>8</v>
      </c>
      <c r="F1573" s="13" t="s">
        <v>6142</v>
      </c>
      <c r="G1573" t="str">
        <f>IFERROR(INDEX(Ticket!$B$2:$B$6001,MATCH(B1573,Ticket!$A$2:$A$6001,0)),"Ticket introuvable")</f>
        <v>AG-018</v>
      </c>
    </row>
    <row r="1574" spans="1:7" x14ac:dyDescent="0.35">
      <c r="A1574" s="6" t="s">
        <v>7729</v>
      </c>
      <c r="B1574" s="8" t="s">
        <v>671</v>
      </c>
      <c r="C1574" s="7">
        <v>46007</v>
      </c>
      <c r="D1574" s="8">
        <v>4</v>
      </c>
      <c r="E1574" s="8">
        <v>10</v>
      </c>
      <c r="F1574" s="9" t="s">
        <v>8363</v>
      </c>
      <c r="G1574" t="str">
        <f>IFERROR(INDEX(Ticket!$B$2:$B$6001,MATCH(B1574,Ticket!$A$2:$A$6001,0)),"Ticket introuvable")</f>
        <v>AG-033</v>
      </c>
    </row>
    <row r="1575" spans="1:7" x14ac:dyDescent="0.35">
      <c r="A1575" s="10" t="s">
        <v>7730</v>
      </c>
      <c r="B1575" s="12" t="s">
        <v>5833</v>
      </c>
      <c r="C1575" s="11">
        <v>46010</v>
      </c>
      <c r="D1575" s="12">
        <v>5</v>
      </c>
      <c r="E1575" s="12">
        <v>9</v>
      </c>
      <c r="F1575" s="13" t="s">
        <v>6160</v>
      </c>
      <c r="G1575" t="str">
        <f>IFERROR(INDEX(Ticket!$B$2:$B$6001,MATCH(B1575,Ticket!$A$2:$A$6001,0)),"Ticket introuvable")</f>
        <v>AG-008</v>
      </c>
    </row>
    <row r="1576" spans="1:7" x14ac:dyDescent="0.35">
      <c r="A1576" s="6" t="s">
        <v>7731</v>
      </c>
      <c r="B1576" s="8" t="s">
        <v>2825</v>
      </c>
      <c r="C1576" s="7">
        <v>46000</v>
      </c>
      <c r="D1576" s="8">
        <v>4</v>
      </c>
      <c r="E1576" s="8">
        <v>10</v>
      </c>
      <c r="F1576" s="9" t="s">
        <v>6153</v>
      </c>
      <c r="G1576" t="str">
        <f>IFERROR(INDEX(Ticket!$B$2:$B$6001,MATCH(B1576,Ticket!$A$2:$A$6001,0)),"Ticket introuvable")</f>
        <v>AG-010</v>
      </c>
    </row>
    <row r="1577" spans="1:7" x14ac:dyDescent="0.35">
      <c r="A1577" s="10" t="s">
        <v>7732</v>
      </c>
      <c r="B1577" s="12" t="s">
        <v>1147</v>
      </c>
      <c r="C1577" s="11">
        <v>45690</v>
      </c>
      <c r="D1577" s="12">
        <v>4</v>
      </c>
      <c r="E1577" s="12">
        <v>9</v>
      </c>
      <c r="F1577" s="13" t="s">
        <v>6160</v>
      </c>
      <c r="G1577" t="str">
        <f>IFERROR(INDEX(Ticket!$B$2:$B$6001,MATCH(B1577,Ticket!$A$2:$A$6001,0)),"Ticket introuvable")</f>
        <v>AG-039</v>
      </c>
    </row>
    <row r="1578" spans="1:7" x14ac:dyDescent="0.35">
      <c r="A1578" s="6" t="s">
        <v>7733</v>
      </c>
      <c r="B1578" s="8" t="s">
        <v>1506</v>
      </c>
      <c r="C1578" s="7">
        <v>45737</v>
      </c>
      <c r="D1578" s="8">
        <v>4</v>
      </c>
      <c r="E1578" s="8">
        <v>10</v>
      </c>
      <c r="F1578" s="9" t="s">
        <v>6160</v>
      </c>
      <c r="G1578" t="str">
        <f>IFERROR(INDEX(Ticket!$B$2:$B$6001,MATCH(B1578,Ticket!$A$2:$A$6001,0)),"Ticket introuvable")</f>
        <v>AG-031</v>
      </c>
    </row>
    <row r="1579" spans="1:7" x14ac:dyDescent="0.35">
      <c r="A1579" s="10" t="s">
        <v>7734</v>
      </c>
      <c r="B1579" s="12" t="s">
        <v>3452</v>
      </c>
      <c r="C1579" s="11">
        <v>45861</v>
      </c>
      <c r="D1579" s="12">
        <v>5</v>
      </c>
      <c r="E1579" s="12"/>
      <c r="F1579" s="13" t="s">
        <v>6160</v>
      </c>
      <c r="G1579" t="str">
        <f>IFERROR(INDEX(Ticket!$B$2:$B$6001,MATCH(B1579,Ticket!$A$2:$A$6001,0)),"Ticket introuvable")</f>
        <v>AG-011</v>
      </c>
    </row>
    <row r="1580" spans="1:7" x14ac:dyDescent="0.35">
      <c r="A1580" s="6" t="s">
        <v>7735</v>
      </c>
      <c r="B1580" s="8" t="s">
        <v>3216</v>
      </c>
      <c r="C1580" s="7">
        <v>45874</v>
      </c>
      <c r="D1580" s="8">
        <v>2</v>
      </c>
      <c r="E1580" s="8">
        <v>7</v>
      </c>
      <c r="F1580" s="9" t="s">
        <v>6160</v>
      </c>
      <c r="G1580" t="str">
        <f>IFERROR(INDEX(Ticket!$B$2:$B$6001,MATCH(B1580,Ticket!$A$2:$A$6001,0)),"Ticket introuvable")</f>
        <v>AG-021</v>
      </c>
    </row>
    <row r="1581" spans="1:7" x14ac:dyDescent="0.35">
      <c r="A1581" s="10" t="s">
        <v>7736</v>
      </c>
      <c r="B1581" s="12" t="s">
        <v>1988</v>
      </c>
      <c r="C1581" s="11">
        <v>46014</v>
      </c>
      <c r="D1581" s="12">
        <v>4</v>
      </c>
      <c r="E1581" s="12">
        <v>7</v>
      </c>
      <c r="F1581" s="13" t="s">
        <v>8363</v>
      </c>
      <c r="G1581" t="str">
        <f>IFERROR(INDEX(Ticket!$B$2:$B$6001,MATCH(B1581,Ticket!$A$2:$A$6001,0)),"Ticket introuvable")</f>
        <v>AG-003</v>
      </c>
    </row>
    <row r="1582" spans="1:7" x14ac:dyDescent="0.35">
      <c r="A1582" s="6" t="s">
        <v>7737</v>
      </c>
      <c r="B1582" s="8" t="s">
        <v>2284</v>
      </c>
      <c r="C1582" s="7">
        <v>45980</v>
      </c>
      <c r="D1582" s="8">
        <v>4</v>
      </c>
      <c r="E1582" s="8">
        <v>9</v>
      </c>
      <c r="F1582" s="9" t="s">
        <v>8363</v>
      </c>
      <c r="G1582" t="str">
        <f>IFERROR(INDEX(Ticket!$B$2:$B$6001,MATCH(B1582,Ticket!$A$2:$A$6001,0)),"Ticket introuvable")</f>
        <v>AG-029</v>
      </c>
    </row>
    <row r="1583" spans="1:7" x14ac:dyDescent="0.35">
      <c r="A1583" s="10" t="s">
        <v>7738</v>
      </c>
      <c r="B1583" s="12" t="s">
        <v>3369</v>
      </c>
      <c r="C1583" s="11">
        <v>45927</v>
      </c>
      <c r="D1583" s="12">
        <v>1</v>
      </c>
      <c r="E1583" s="12">
        <v>10</v>
      </c>
      <c r="F1583" s="13" t="s">
        <v>6160</v>
      </c>
      <c r="G1583" t="str">
        <f>IFERROR(INDEX(Ticket!$B$2:$B$6001,MATCH(B1583,Ticket!$A$2:$A$6001,0)),"Ticket introuvable")</f>
        <v>AG-024</v>
      </c>
    </row>
    <row r="1584" spans="1:7" x14ac:dyDescent="0.35">
      <c r="A1584" s="6" t="s">
        <v>7739</v>
      </c>
      <c r="B1584" s="8" t="s">
        <v>220</v>
      </c>
      <c r="C1584" s="7">
        <v>45982</v>
      </c>
      <c r="D1584" s="8">
        <v>5</v>
      </c>
      <c r="E1584" s="8">
        <v>8</v>
      </c>
      <c r="F1584" s="9" t="s">
        <v>8363</v>
      </c>
      <c r="G1584" t="str">
        <f>IFERROR(INDEX(Ticket!$B$2:$B$6001,MATCH(B1584,Ticket!$A$2:$A$6001,0)),"Ticket introuvable")</f>
        <v>AG-032</v>
      </c>
    </row>
    <row r="1585" spans="1:7" x14ac:dyDescent="0.35">
      <c r="A1585" s="10" t="s">
        <v>7740</v>
      </c>
      <c r="B1585" s="12" t="s">
        <v>2656</v>
      </c>
      <c r="C1585" s="11">
        <v>45733</v>
      </c>
      <c r="D1585" s="12">
        <v>3</v>
      </c>
      <c r="E1585" s="12">
        <v>6</v>
      </c>
      <c r="F1585" s="13" t="s">
        <v>6148</v>
      </c>
      <c r="G1585" t="str">
        <f>IFERROR(INDEX(Ticket!$B$2:$B$6001,MATCH(B1585,Ticket!$A$2:$A$6001,0)),"Ticket introuvable")</f>
        <v>AG-028</v>
      </c>
    </row>
    <row r="1586" spans="1:7" x14ac:dyDescent="0.35">
      <c r="A1586" s="6" t="s">
        <v>7741</v>
      </c>
      <c r="B1586" s="8" t="s">
        <v>798</v>
      </c>
      <c r="C1586" s="7">
        <v>45790</v>
      </c>
      <c r="D1586" s="8">
        <v>5</v>
      </c>
      <c r="E1586" s="8">
        <v>3</v>
      </c>
      <c r="F1586" s="9" t="s">
        <v>75</v>
      </c>
      <c r="G1586" t="str">
        <f>IFERROR(INDEX(Ticket!$B$2:$B$6001,MATCH(B1586,Ticket!$A$2:$A$6001,0)),"Ticket introuvable")</f>
        <v>AG-014</v>
      </c>
    </row>
    <row r="1587" spans="1:7" x14ac:dyDescent="0.35">
      <c r="A1587" s="10" t="s">
        <v>7742</v>
      </c>
      <c r="B1587" s="12" t="s">
        <v>2146</v>
      </c>
      <c r="C1587" s="11">
        <v>45873</v>
      </c>
      <c r="D1587" s="12">
        <v>3</v>
      </c>
      <c r="E1587" s="12">
        <v>10</v>
      </c>
      <c r="F1587" s="13" t="s">
        <v>6142</v>
      </c>
      <c r="G1587" t="str">
        <f>IFERROR(INDEX(Ticket!$B$2:$B$6001,MATCH(B1587,Ticket!$A$2:$A$6001,0)),"Ticket introuvable")</f>
        <v>AG-026</v>
      </c>
    </row>
    <row r="1588" spans="1:7" x14ac:dyDescent="0.35">
      <c r="A1588" s="6" t="s">
        <v>7743</v>
      </c>
      <c r="B1588" s="8" t="s">
        <v>3144</v>
      </c>
      <c r="C1588" s="7">
        <v>45868</v>
      </c>
      <c r="D1588" s="8">
        <v>5</v>
      </c>
      <c r="E1588" s="8">
        <v>8</v>
      </c>
      <c r="F1588" s="9" t="s">
        <v>6142</v>
      </c>
      <c r="G1588" t="str">
        <f>IFERROR(INDEX(Ticket!$B$2:$B$6001,MATCH(B1588,Ticket!$A$2:$A$6001,0)),"Ticket introuvable")</f>
        <v>AG-007</v>
      </c>
    </row>
    <row r="1589" spans="1:7" x14ac:dyDescent="0.35">
      <c r="A1589" s="10" t="s">
        <v>7744</v>
      </c>
      <c r="B1589" s="12" t="s">
        <v>3122</v>
      </c>
      <c r="C1589" s="11">
        <v>45857</v>
      </c>
      <c r="D1589" s="12">
        <v>5</v>
      </c>
      <c r="E1589" s="12">
        <v>6</v>
      </c>
      <c r="F1589" s="13" t="s">
        <v>6142</v>
      </c>
      <c r="G1589" t="str">
        <f>IFERROR(INDEX(Ticket!$B$2:$B$6001,MATCH(B1589,Ticket!$A$2:$A$6001,0)),"Ticket introuvable")</f>
        <v>AG-022</v>
      </c>
    </row>
    <row r="1590" spans="1:7" x14ac:dyDescent="0.35">
      <c r="A1590" s="6" t="s">
        <v>7745</v>
      </c>
      <c r="B1590" s="8" t="s">
        <v>1107</v>
      </c>
      <c r="C1590" s="7">
        <v>45891</v>
      </c>
      <c r="D1590" s="8">
        <v>2</v>
      </c>
      <c r="E1590" s="8">
        <v>7</v>
      </c>
      <c r="F1590" s="9" t="s">
        <v>75</v>
      </c>
      <c r="G1590" t="str">
        <f>IFERROR(INDEX(Ticket!$B$2:$B$6001,MATCH(B1590,Ticket!$A$2:$A$6001,0)),"Ticket introuvable")</f>
        <v>AG-011</v>
      </c>
    </row>
    <row r="1591" spans="1:7" x14ac:dyDescent="0.35">
      <c r="A1591" s="10" t="s">
        <v>7746</v>
      </c>
      <c r="B1591" s="12" t="s">
        <v>453</v>
      </c>
      <c r="C1591" s="11">
        <v>45856</v>
      </c>
      <c r="D1591" s="12">
        <v>5</v>
      </c>
      <c r="E1591" s="12"/>
      <c r="F1591" s="13" t="s">
        <v>6153</v>
      </c>
      <c r="G1591" t="str">
        <f>IFERROR(INDEX(Ticket!$B$2:$B$6001,MATCH(B1591,Ticket!$A$2:$A$6001,0)),"Ticket introuvable")</f>
        <v>AG-035</v>
      </c>
    </row>
    <row r="1592" spans="1:7" x14ac:dyDescent="0.35">
      <c r="A1592" s="6" t="s">
        <v>7747</v>
      </c>
      <c r="B1592" s="8" t="s">
        <v>2912</v>
      </c>
      <c r="C1592" s="7">
        <v>45947</v>
      </c>
      <c r="D1592" s="8">
        <v>5</v>
      </c>
      <c r="E1592" s="8">
        <v>5</v>
      </c>
      <c r="F1592" s="9" t="s">
        <v>75</v>
      </c>
      <c r="G1592" t="str">
        <f>IFERROR(INDEX(Ticket!$B$2:$B$6001,MATCH(B1592,Ticket!$A$2:$A$6001,0)),"Ticket introuvable")</f>
        <v>AG-010</v>
      </c>
    </row>
    <row r="1593" spans="1:7" x14ac:dyDescent="0.35">
      <c r="A1593" s="10" t="s">
        <v>7748</v>
      </c>
      <c r="B1593" s="12" t="s">
        <v>312</v>
      </c>
      <c r="C1593" s="11">
        <v>45721</v>
      </c>
      <c r="D1593" s="12">
        <v>4</v>
      </c>
      <c r="E1593" s="12"/>
      <c r="F1593" s="13" t="s">
        <v>75</v>
      </c>
      <c r="G1593" t="str">
        <f>IFERROR(INDEX(Ticket!$B$2:$B$6001,MATCH(B1593,Ticket!$A$2:$A$6001,0)),"Ticket introuvable")</f>
        <v>AG-037</v>
      </c>
    </row>
    <row r="1594" spans="1:7" x14ac:dyDescent="0.35">
      <c r="A1594" s="6" t="s">
        <v>7749</v>
      </c>
      <c r="B1594" s="8" t="s">
        <v>2955</v>
      </c>
      <c r="C1594" s="7">
        <v>45966</v>
      </c>
      <c r="D1594" s="8">
        <v>5</v>
      </c>
      <c r="E1594" s="8">
        <v>9</v>
      </c>
      <c r="F1594" s="9" t="s">
        <v>6142</v>
      </c>
      <c r="G1594" t="str">
        <f>IFERROR(INDEX(Ticket!$B$2:$B$6001,MATCH(B1594,Ticket!$A$2:$A$6001,0)),"Ticket introuvable")</f>
        <v>AG-006</v>
      </c>
    </row>
    <row r="1595" spans="1:7" x14ac:dyDescent="0.35">
      <c r="A1595" s="10" t="s">
        <v>7750</v>
      </c>
      <c r="B1595" s="12" t="s">
        <v>3125</v>
      </c>
      <c r="C1595" s="11">
        <v>45913</v>
      </c>
      <c r="D1595" s="12">
        <v>2</v>
      </c>
      <c r="E1595" s="12"/>
      <c r="F1595" s="13" t="s">
        <v>8363</v>
      </c>
      <c r="G1595" t="str">
        <f>IFERROR(INDEX(Ticket!$B$2:$B$6001,MATCH(B1595,Ticket!$A$2:$A$6001,0)),"Ticket introuvable")</f>
        <v>AG-025</v>
      </c>
    </row>
    <row r="1596" spans="1:7" x14ac:dyDescent="0.35">
      <c r="A1596" s="6" t="s">
        <v>7751</v>
      </c>
      <c r="B1596" s="8" t="s">
        <v>155</v>
      </c>
      <c r="C1596" s="7">
        <v>45798</v>
      </c>
      <c r="D1596" s="8">
        <v>4</v>
      </c>
      <c r="E1596" s="8">
        <v>7</v>
      </c>
      <c r="F1596" s="9" t="s">
        <v>75</v>
      </c>
      <c r="G1596" t="str">
        <f>IFERROR(INDEX(Ticket!$B$2:$B$6001,MATCH(B1596,Ticket!$A$2:$A$6001,0)),"Ticket introuvable")</f>
        <v>AG-012</v>
      </c>
    </row>
    <row r="1597" spans="1:7" x14ac:dyDescent="0.35">
      <c r="A1597" s="10" t="s">
        <v>7752</v>
      </c>
      <c r="B1597" s="12" t="s">
        <v>4450</v>
      </c>
      <c r="C1597" s="11">
        <v>45957</v>
      </c>
      <c r="D1597" s="12">
        <v>2</v>
      </c>
      <c r="E1597" s="12">
        <v>10</v>
      </c>
      <c r="F1597" s="13" t="s">
        <v>8363</v>
      </c>
      <c r="G1597" t="str">
        <f>IFERROR(INDEX(Ticket!$B$2:$B$6001,MATCH(B1597,Ticket!$A$2:$A$6001,0)),"Ticket introuvable")</f>
        <v>AG-014</v>
      </c>
    </row>
    <row r="1598" spans="1:7" x14ac:dyDescent="0.35">
      <c r="A1598" s="6" t="s">
        <v>7753</v>
      </c>
      <c r="B1598" s="8" t="s">
        <v>737</v>
      </c>
      <c r="C1598" s="7">
        <v>45776</v>
      </c>
      <c r="D1598" s="8">
        <v>3</v>
      </c>
      <c r="E1598" s="8">
        <v>7</v>
      </c>
      <c r="F1598" s="9" t="s">
        <v>6142</v>
      </c>
      <c r="G1598" t="str">
        <f>IFERROR(INDEX(Ticket!$B$2:$B$6001,MATCH(B1598,Ticket!$A$2:$A$6001,0)),"Ticket introuvable")</f>
        <v>AG-008</v>
      </c>
    </row>
    <row r="1599" spans="1:7" x14ac:dyDescent="0.35">
      <c r="A1599" s="10" t="s">
        <v>7754</v>
      </c>
      <c r="B1599" s="12" t="s">
        <v>4512</v>
      </c>
      <c r="C1599" s="11">
        <v>45968</v>
      </c>
      <c r="D1599" s="12">
        <v>5</v>
      </c>
      <c r="E1599" s="12">
        <v>7</v>
      </c>
      <c r="F1599" s="13" t="s">
        <v>75</v>
      </c>
      <c r="G1599" t="str">
        <f>IFERROR(INDEX(Ticket!$B$2:$B$6001,MATCH(B1599,Ticket!$A$2:$A$6001,0)),"Ticket introuvable")</f>
        <v>AG-007</v>
      </c>
    </row>
    <row r="1600" spans="1:7" x14ac:dyDescent="0.35">
      <c r="A1600" s="6" t="s">
        <v>7755</v>
      </c>
      <c r="B1600" s="8" t="s">
        <v>1536</v>
      </c>
      <c r="C1600" s="7">
        <v>45679</v>
      </c>
      <c r="D1600" s="8">
        <v>4</v>
      </c>
      <c r="E1600" s="8">
        <v>5</v>
      </c>
      <c r="F1600" s="9" t="s">
        <v>6153</v>
      </c>
      <c r="G1600" t="str">
        <f>IFERROR(INDEX(Ticket!$B$2:$B$6001,MATCH(B1600,Ticket!$A$2:$A$6001,0)),"Ticket introuvable")</f>
        <v>AG-029</v>
      </c>
    </row>
    <row r="1601" spans="1:7" x14ac:dyDescent="0.35">
      <c r="A1601" s="10" t="s">
        <v>7756</v>
      </c>
      <c r="B1601" s="12" t="s">
        <v>1081</v>
      </c>
      <c r="C1601" s="11">
        <v>45775</v>
      </c>
      <c r="D1601" s="12">
        <v>5</v>
      </c>
      <c r="E1601" s="12">
        <v>9</v>
      </c>
      <c r="F1601" s="13" t="s">
        <v>75</v>
      </c>
      <c r="G1601" t="str">
        <f>IFERROR(INDEX(Ticket!$B$2:$B$6001,MATCH(B1601,Ticket!$A$2:$A$6001,0)),"Ticket introuvable")</f>
        <v>AG-028</v>
      </c>
    </row>
    <row r="1602" spans="1:7" x14ac:dyDescent="0.35">
      <c r="A1602" s="6" t="s">
        <v>7757</v>
      </c>
      <c r="B1602" s="8" t="s">
        <v>1292</v>
      </c>
      <c r="C1602" s="7">
        <v>45704</v>
      </c>
      <c r="D1602" s="8">
        <v>3</v>
      </c>
      <c r="E1602" s="8">
        <v>2</v>
      </c>
      <c r="F1602" s="9" t="s">
        <v>6142</v>
      </c>
      <c r="G1602" t="str">
        <f>IFERROR(INDEX(Ticket!$B$2:$B$6001,MATCH(B1602,Ticket!$A$2:$A$6001,0)),"Ticket introuvable")</f>
        <v>AG-023</v>
      </c>
    </row>
    <row r="1603" spans="1:7" x14ac:dyDescent="0.35">
      <c r="A1603" s="10" t="s">
        <v>7758</v>
      </c>
      <c r="B1603" s="12" t="s">
        <v>2450</v>
      </c>
      <c r="C1603" s="11">
        <v>45697</v>
      </c>
      <c r="D1603" s="12">
        <v>5</v>
      </c>
      <c r="E1603" s="12">
        <v>9</v>
      </c>
      <c r="F1603" s="13" t="s">
        <v>6153</v>
      </c>
      <c r="G1603" t="str">
        <f>IFERROR(INDEX(Ticket!$B$2:$B$6001,MATCH(B1603,Ticket!$A$2:$A$6001,0)),"Ticket introuvable")</f>
        <v>AG-020</v>
      </c>
    </row>
    <row r="1604" spans="1:7" x14ac:dyDescent="0.35">
      <c r="A1604" s="6" t="s">
        <v>7759</v>
      </c>
      <c r="B1604" s="8" t="s">
        <v>4626</v>
      </c>
      <c r="C1604" s="7">
        <v>45954</v>
      </c>
      <c r="D1604" s="8">
        <v>4</v>
      </c>
      <c r="E1604" s="8">
        <v>10</v>
      </c>
      <c r="F1604" s="9" t="s">
        <v>8363</v>
      </c>
      <c r="G1604" t="str">
        <f>IFERROR(INDEX(Ticket!$B$2:$B$6001,MATCH(B1604,Ticket!$A$2:$A$6001,0)),"Ticket introuvable")</f>
        <v>AG-020</v>
      </c>
    </row>
    <row r="1605" spans="1:7" x14ac:dyDescent="0.35">
      <c r="A1605" s="10" t="s">
        <v>7760</v>
      </c>
      <c r="B1605" s="12" t="s">
        <v>414</v>
      </c>
      <c r="C1605" s="11">
        <v>45723</v>
      </c>
      <c r="D1605" s="12">
        <v>5</v>
      </c>
      <c r="E1605" s="12"/>
      <c r="F1605" s="13" t="s">
        <v>6153</v>
      </c>
      <c r="G1605" t="str">
        <f>IFERROR(INDEX(Ticket!$B$2:$B$6001,MATCH(B1605,Ticket!$A$2:$A$6001,0)),"Ticket introuvable")</f>
        <v>AG-003</v>
      </c>
    </row>
    <row r="1606" spans="1:7" x14ac:dyDescent="0.35">
      <c r="A1606" s="6" t="s">
        <v>7761</v>
      </c>
      <c r="B1606" s="8" t="s">
        <v>462</v>
      </c>
      <c r="C1606" s="7">
        <v>45920</v>
      </c>
      <c r="D1606" s="8">
        <v>3</v>
      </c>
      <c r="E1606" s="8">
        <v>10</v>
      </c>
      <c r="F1606" s="9" t="s">
        <v>8363</v>
      </c>
      <c r="G1606" t="str">
        <f>IFERROR(INDEX(Ticket!$B$2:$B$6001,MATCH(B1606,Ticket!$A$2:$A$6001,0)),"Ticket introuvable")</f>
        <v>AG-021</v>
      </c>
    </row>
    <row r="1607" spans="1:7" x14ac:dyDescent="0.35">
      <c r="A1607" s="10" t="s">
        <v>7762</v>
      </c>
      <c r="B1607" s="12" t="s">
        <v>4510</v>
      </c>
      <c r="C1607" s="11">
        <v>45863</v>
      </c>
      <c r="D1607" s="12">
        <v>2</v>
      </c>
      <c r="E1607" s="12">
        <v>10</v>
      </c>
      <c r="F1607" s="13" t="s">
        <v>8363</v>
      </c>
      <c r="G1607" t="str">
        <f>IFERROR(INDEX(Ticket!$B$2:$B$6001,MATCH(B1607,Ticket!$A$2:$A$6001,0)),"Ticket introuvable")</f>
        <v>AG-010</v>
      </c>
    </row>
    <row r="1608" spans="1:7" x14ac:dyDescent="0.35">
      <c r="A1608" s="6" t="s">
        <v>7763</v>
      </c>
      <c r="B1608" s="8" t="s">
        <v>4065</v>
      </c>
      <c r="C1608" s="7">
        <v>45777</v>
      </c>
      <c r="D1608" s="8">
        <v>4</v>
      </c>
      <c r="E1608" s="8">
        <v>5</v>
      </c>
      <c r="F1608" s="9" t="s">
        <v>6142</v>
      </c>
      <c r="G1608" t="str">
        <f>IFERROR(INDEX(Ticket!$B$2:$B$6001,MATCH(B1608,Ticket!$A$2:$A$6001,0)),"Ticket introuvable")</f>
        <v>AG-014</v>
      </c>
    </row>
    <row r="1609" spans="1:7" x14ac:dyDescent="0.35">
      <c r="A1609" s="10" t="s">
        <v>7764</v>
      </c>
      <c r="B1609" s="12" t="s">
        <v>3179</v>
      </c>
      <c r="C1609" s="11">
        <v>45723</v>
      </c>
      <c r="D1609" s="12">
        <v>5</v>
      </c>
      <c r="E1609" s="12">
        <v>5</v>
      </c>
      <c r="F1609" s="13" t="s">
        <v>8363</v>
      </c>
      <c r="G1609" t="str">
        <f>IFERROR(INDEX(Ticket!$B$2:$B$6001,MATCH(B1609,Ticket!$A$2:$A$6001,0)),"Ticket introuvable")</f>
        <v>AG-014</v>
      </c>
    </row>
    <row r="1610" spans="1:7" x14ac:dyDescent="0.35">
      <c r="A1610" s="6" t="s">
        <v>7765</v>
      </c>
      <c r="B1610" s="8" t="s">
        <v>4791</v>
      </c>
      <c r="C1610" s="7">
        <v>45680</v>
      </c>
      <c r="D1610" s="8">
        <v>4</v>
      </c>
      <c r="E1610" s="8">
        <v>10</v>
      </c>
      <c r="F1610" s="9" t="s">
        <v>8363</v>
      </c>
      <c r="G1610" t="str">
        <f>IFERROR(INDEX(Ticket!$B$2:$B$6001,MATCH(B1610,Ticket!$A$2:$A$6001,0)),"Ticket introuvable")</f>
        <v>AG-040</v>
      </c>
    </row>
    <row r="1611" spans="1:7" x14ac:dyDescent="0.35">
      <c r="A1611" s="10" t="s">
        <v>7766</v>
      </c>
      <c r="B1611" s="12" t="s">
        <v>956</v>
      </c>
      <c r="C1611" s="11">
        <v>45888</v>
      </c>
      <c r="D1611" s="12">
        <v>5</v>
      </c>
      <c r="E1611" s="12">
        <v>8</v>
      </c>
      <c r="F1611" s="13" t="s">
        <v>75</v>
      </c>
      <c r="G1611" t="str">
        <f>IFERROR(INDEX(Ticket!$B$2:$B$6001,MATCH(B1611,Ticket!$A$2:$A$6001,0)),"Ticket introuvable")</f>
        <v>AG-035</v>
      </c>
    </row>
    <row r="1612" spans="1:7" x14ac:dyDescent="0.35">
      <c r="A1612" s="6" t="s">
        <v>7767</v>
      </c>
      <c r="B1612" s="8" t="s">
        <v>1095</v>
      </c>
      <c r="C1612" s="7">
        <v>45704</v>
      </c>
      <c r="D1612" s="8"/>
      <c r="E1612" s="8">
        <v>10</v>
      </c>
      <c r="F1612" s="9" t="s">
        <v>6148</v>
      </c>
      <c r="G1612" t="str">
        <f>IFERROR(INDEX(Ticket!$B$2:$B$6001,MATCH(B1612,Ticket!$A$2:$A$6001,0)),"Ticket introuvable")</f>
        <v>AG-014</v>
      </c>
    </row>
    <row r="1613" spans="1:7" x14ac:dyDescent="0.35">
      <c r="A1613" s="10" t="s">
        <v>7768</v>
      </c>
      <c r="B1613" s="12" t="s">
        <v>5757</v>
      </c>
      <c r="C1613" s="11">
        <v>45888</v>
      </c>
      <c r="D1613" s="12">
        <v>3</v>
      </c>
      <c r="E1613" s="12">
        <v>7</v>
      </c>
      <c r="F1613" s="13" t="s">
        <v>6148</v>
      </c>
      <c r="G1613" t="str">
        <f>IFERROR(INDEX(Ticket!$B$2:$B$6001,MATCH(B1613,Ticket!$A$2:$A$6001,0)),"Ticket introuvable")</f>
        <v>AG-007</v>
      </c>
    </row>
    <row r="1614" spans="1:7" x14ac:dyDescent="0.35">
      <c r="A1614" s="6" t="s">
        <v>7769</v>
      </c>
      <c r="B1614" s="8" t="s">
        <v>2725</v>
      </c>
      <c r="C1614" s="7">
        <v>45947</v>
      </c>
      <c r="D1614" s="8">
        <v>4</v>
      </c>
      <c r="E1614" s="8"/>
      <c r="F1614" s="9" t="s">
        <v>6160</v>
      </c>
      <c r="G1614" t="str">
        <f>IFERROR(INDEX(Ticket!$B$2:$B$6001,MATCH(B1614,Ticket!$A$2:$A$6001,0)),"Ticket introuvable")</f>
        <v>AG-033</v>
      </c>
    </row>
    <row r="1615" spans="1:7" x14ac:dyDescent="0.35">
      <c r="A1615" s="10" t="s">
        <v>7770</v>
      </c>
      <c r="B1615" s="12" t="s">
        <v>2295</v>
      </c>
      <c r="C1615" s="11">
        <v>45849</v>
      </c>
      <c r="D1615" s="12">
        <v>3</v>
      </c>
      <c r="E1615" s="12">
        <v>5</v>
      </c>
      <c r="F1615" s="13" t="s">
        <v>6153</v>
      </c>
      <c r="G1615" t="str">
        <f>IFERROR(INDEX(Ticket!$B$2:$B$6001,MATCH(B1615,Ticket!$A$2:$A$6001,0)),"Ticket introuvable")</f>
        <v>AG-014</v>
      </c>
    </row>
    <row r="1616" spans="1:7" x14ac:dyDescent="0.35">
      <c r="A1616" s="6" t="s">
        <v>7771</v>
      </c>
      <c r="B1616" s="8" t="s">
        <v>3893</v>
      </c>
      <c r="C1616" s="7">
        <v>45770</v>
      </c>
      <c r="D1616" s="8">
        <v>2</v>
      </c>
      <c r="E1616" s="8">
        <v>8</v>
      </c>
      <c r="F1616" s="9" t="s">
        <v>6160</v>
      </c>
      <c r="G1616" t="str">
        <f>IFERROR(INDEX(Ticket!$B$2:$B$6001,MATCH(B1616,Ticket!$A$2:$A$6001,0)),"Ticket introuvable")</f>
        <v>AG-013</v>
      </c>
    </row>
    <row r="1617" spans="1:7" x14ac:dyDescent="0.35">
      <c r="A1617" s="10" t="s">
        <v>7772</v>
      </c>
      <c r="B1617" s="12" t="s">
        <v>1803</v>
      </c>
      <c r="C1617" s="11">
        <v>45926</v>
      </c>
      <c r="D1617" s="12">
        <v>2</v>
      </c>
      <c r="E1617" s="12">
        <v>6</v>
      </c>
      <c r="F1617" s="13" t="s">
        <v>75</v>
      </c>
      <c r="G1617" t="str">
        <f>IFERROR(INDEX(Ticket!$B$2:$B$6001,MATCH(B1617,Ticket!$A$2:$A$6001,0)),"Ticket introuvable")</f>
        <v>AG-031</v>
      </c>
    </row>
    <row r="1618" spans="1:7" x14ac:dyDescent="0.35">
      <c r="A1618" s="6" t="s">
        <v>7773</v>
      </c>
      <c r="B1618" s="8" t="s">
        <v>3969</v>
      </c>
      <c r="C1618" s="7">
        <v>45854</v>
      </c>
      <c r="D1618" s="8">
        <v>5</v>
      </c>
      <c r="E1618" s="8">
        <v>6</v>
      </c>
      <c r="F1618" s="9" t="s">
        <v>6160</v>
      </c>
      <c r="G1618" t="str">
        <f>IFERROR(INDEX(Ticket!$B$2:$B$6001,MATCH(B1618,Ticket!$A$2:$A$6001,0)),"Ticket introuvable")</f>
        <v>AG-033</v>
      </c>
    </row>
    <row r="1619" spans="1:7" x14ac:dyDescent="0.35">
      <c r="A1619" s="10" t="s">
        <v>7774</v>
      </c>
      <c r="B1619" s="12" t="s">
        <v>2415</v>
      </c>
      <c r="C1619" s="11">
        <v>45999</v>
      </c>
      <c r="D1619" s="12">
        <v>5</v>
      </c>
      <c r="E1619" s="12">
        <v>4</v>
      </c>
      <c r="F1619" s="13" t="s">
        <v>6148</v>
      </c>
      <c r="G1619" t="str">
        <f>IFERROR(INDEX(Ticket!$B$2:$B$6001,MATCH(B1619,Ticket!$A$2:$A$6001,0)),"Ticket introuvable")</f>
        <v>AG-029</v>
      </c>
    </row>
    <row r="1620" spans="1:7" x14ac:dyDescent="0.35">
      <c r="A1620" s="6" t="s">
        <v>7775</v>
      </c>
      <c r="B1620" s="8" t="s">
        <v>2427</v>
      </c>
      <c r="C1620" s="7">
        <v>45718</v>
      </c>
      <c r="D1620" s="8">
        <v>1</v>
      </c>
      <c r="E1620" s="8">
        <v>9</v>
      </c>
      <c r="F1620" s="9" t="s">
        <v>6153</v>
      </c>
      <c r="G1620" t="str">
        <f>IFERROR(INDEX(Ticket!$B$2:$B$6001,MATCH(B1620,Ticket!$A$2:$A$6001,0)),"Ticket introuvable")</f>
        <v>AG-039</v>
      </c>
    </row>
    <row r="1621" spans="1:7" x14ac:dyDescent="0.35">
      <c r="A1621" s="10" t="s">
        <v>7776</v>
      </c>
      <c r="B1621" s="12" t="s">
        <v>1821</v>
      </c>
      <c r="C1621" s="11">
        <v>46020</v>
      </c>
      <c r="D1621" s="12">
        <v>5</v>
      </c>
      <c r="E1621" s="12">
        <v>0</v>
      </c>
      <c r="F1621" s="13" t="s">
        <v>75</v>
      </c>
      <c r="G1621" t="str">
        <f>IFERROR(INDEX(Ticket!$B$2:$B$6001,MATCH(B1621,Ticket!$A$2:$A$6001,0)),"Ticket introuvable")</f>
        <v>AG-025</v>
      </c>
    </row>
    <row r="1622" spans="1:7" x14ac:dyDescent="0.35">
      <c r="A1622" s="6" t="s">
        <v>7777</v>
      </c>
      <c r="B1622" s="8" t="s">
        <v>5643</v>
      </c>
      <c r="C1622" s="7">
        <v>46016</v>
      </c>
      <c r="D1622" s="8">
        <v>2</v>
      </c>
      <c r="E1622" s="8">
        <v>10</v>
      </c>
      <c r="F1622" s="9" t="s">
        <v>6148</v>
      </c>
      <c r="G1622" t="str">
        <f>IFERROR(INDEX(Ticket!$B$2:$B$6001,MATCH(B1622,Ticket!$A$2:$A$6001,0)),"Ticket introuvable")</f>
        <v>AG-040</v>
      </c>
    </row>
    <row r="1623" spans="1:7" x14ac:dyDescent="0.35">
      <c r="A1623" s="10" t="s">
        <v>7778</v>
      </c>
      <c r="B1623" s="12" t="s">
        <v>4708</v>
      </c>
      <c r="C1623" s="11">
        <v>45703</v>
      </c>
      <c r="D1623" s="12">
        <v>2</v>
      </c>
      <c r="E1623" s="12">
        <v>10</v>
      </c>
      <c r="F1623" s="13" t="s">
        <v>75</v>
      </c>
      <c r="G1623" t="str">
        <f>IFERROR(INDEX(Ticket!$B$2:$B$6001,MATCH(B1623,Ticket!$A$2:$A$6001,0)),"Ticket introuvable")</f>
        <v>AG-026</v>
      </c>
    </row>
    <row r="1624" spans="1:7" x14ac:dyDescent="0.35">
      <c r="A1624" s="6" t="s">
        <v>7779</v>
      </c>
      <c r="B1624" s="8" t="s">
        <v>3907</v>
      </c>
      <c r="C1624" s="7">
        <v>45978</v>
      </c>
      <c r="D1624" s="8"/>
      <c r="E1624" s="8">
        <v>8</v>
      </c>
      <c r="F1624" s="9" t="s">
        <v>6148</v>
      </c>
      <c r="G1624" t="str">
        <f>IFERROR(INDEX(Ticket!$B$2:$B$6001,MATCH(B1624,Ticket!$A$2:$A$6001,0)),"Ticket introuvable")</f>
        <v>AG-029</v>
      </c>
    </row>
    <row r="1625" spans="1:7" x14ac:dyDescent="0.35">
      <c r="A1625" s="10" t="s">
        <v>7780</v>
      </c>
      <c r="B1625" s="12" t="s">
        <v>221</v>
      </c>
      <c r="C1625" s="11">
        <v>45851</v>
      </c>
      <c r="D1625" s="12">
        <v>5</v>
      </c>
      <c r="E1625" s="12">
        <v>7</v>
      </c>
      <c r="F1625" s="13" t="s">
        <v>6142</v>
      </c>
      <c r="G1625" t="str">
        <f>IFERROR(INDEX(Ticket!$B$2:$B$6001,MATCH(B1625,Ticket!$A$2:$A$6001,0)),"Ticket introuvable")</f>
        <v>AG-039</v>
      </c>
    </row>
    <row r="1626" spans="1:7" x14ac:dyDescent="0.35">
      <c r="A1626" s="6" t="s">
        <v>7781</v>
      </c>
      <c r="B1626" s="8" t="s">
        <v>281</v>
      </c>
      <c r="C1626" s="7">
        <v>45987</v>
      </c>
      <c r="D1626" s="8">
        <v>2</v>
      </c>
      <c r="E1626" s="8">
        <v>10</v>
      </c>
      <c r="F1626" s="9" t="s">
        <v>6153</v>
      </c>
      <c r="G1626" t="str">
        <f>IFERROR(INDEX(Ticket!$B$2:$B$6001,MATCH(B1626,Ticket!$A$2:$A$6001,0)),"Ticket introuvable")</f>
        <v>AG-040</v>
      </c>
    </row>
    <row r="1627" spans="1:7" x14ac:dyDescent="0.35">
      <c r="A1627" s="10" t="s">
        <v>7782</v>
      </c>
      <c r="B1627" s="12" t="s">
        <v>1420</v>
      </c>
      <c r="C1627" s="11">
        <v>45772</v>
      </c>
      <c r="D1627" s="12">
        <v>5</v>
      </c>
      <c r="E1627" s="12">
        <v>8</v>
      </c>
      <c r="F1627" s="13" t="s">
        <v>6148</v>
      </c>
      <c r="G1627" t="str">
        <f>IFERROR(INDEX(Ticket!$B$2:$B$6001,MATCH(B1627,Ticket!$A$2:$A$6001,0)),"Ticket introuvable")</f>
        <v>AG-014</v>
      </c>
    </row>
    <row r="1628" spans="1:7" x14ac:dyDescent="0.35">
      <c r="A1628" s="6" t="s">
        <v>7783</v>
      </c>
      <c r="B1628" s="8" t="s">
        <v>3448</v>
      </c>
      <c r="C1628" s="7">
        <v>45719</v>
      </c>
      <c r="D1628" s="8">
        <v>5</v>
      </c>
      <c r="E1628" s="8">
        <v>8</v>
      </c>
      <c r="F1628" s="9" t="s">
        <v>75</v>
      </c>
      <c r="G1628" t="str">
        <f>IFERROR(INDEX(Ticket!$B$2:$B$6001,MATCH(B1628,Ticket!$A$2:$A$6001,0)),"Ticket introuvable")</f>
        <v>AG-034</v>
      </c>
    </row>
    <row r="1629" spans="1:7" x14ac:dyDescent="0.35">
      <c r="A1629" s="10" t="s">
        <v>7784</v>
      </c>
      <c r="B1629" s="12" t="s">
        <v>763</v>
      </c>
      <c r="C1629" s="11">
        <v>45994</v>
      </c>
      <c r="D1629" s="12">
        <v>3</v>
      </c>
      <c r="E1629" s="12">
        <v>0</v>
      </c>
      <c r="F1629" s="13" t="s">
        <v>75</v>
      </c>
      <c r="G1629" t="str">
        <f>IFERROR(INDEX(Ticket!$B$2:$B$6001,MATCH(B1629,Ticket!$A$2:$A$6001,0)),"Ticket introuvable")</f>
        <v>AG-020</v>
      </c>
    </row>
    <row r="1630" spans="1:7" x14ac:dyDescent="0.35">
      <c r="A1630" s="6" t="s">
        <v>7785</v>
      </c>
      <c r="B1630" s="8" t="s">
        <v>5183</v>
      </c>
      <c r="C1630" s="7">
        <v>45734</v>
      </c>
      <c r="D1630" s="8">
        <v>4</v>
      </c>
      <c r="E1630" s="8">
        <v>9</v>
      </c>
      <c r="F1630" s="9" t="s">
        <v>6142</v>
      </c>
      <c r="G1630" t="str">
        <f>IFERROR(INDEX(Ticket!$B$2:$B$6001,MATCH(B1630,Ticket!$A$2:$A$6001,0)),"Ticket introuvable")</f>
        <v>AG-035</v>
      </c>
    </row>
    <row r="1631" spans="1:7" x14ac:dyDescent="0.35">
      <c r="A1631" s="10" t="s">
        <v>7786</v>
      </c>
      <c r="B1631" s="12" t="s">
        <v>4751</v>
      </c>
      <c r="C1631" s="11">
        <v>45821</v>
      </c>
      <c r="D1631" s="12">
        <v>5</v>
      </c>
      <c r="E1631" s="12">
        <v>10</v>
      </c>
      <c r="F1631" s="13" t="s">
        <v>6148</v>
      </c>
      <c r="G1631" t="str">
        <f>IFERROR(INDEX(Ticket!$B$2:$B$6001,MATCH(B1631,Ticket!$A$2:$A$6001,0)),"Ticket introuvable")</f>
        <v>AG-035</v>
      </c>
    </row>
    <row r="1632" spans="1:7" x14ac:dyDescent="0.35">
      <c r="A1632" s="6" t="s">
        <v>7787</v>
      </c>
      <c r="B1632" s="8" t="s">
        <v>2516</v>
      </c>
      <c r="C1632" s="7">
        <v>45861</v>
      </c>
      <c r="D1632" s="8">
        <v>3</v>
      </c>
      <c r="E1632" s="8">
        <v>8</v>
      </c>
      <c r="F1632" s="9" t="s">
        <v>8363</v>
      </c>
      <c r="G1632" t="str">
        <f>IFERROR(INDEX(Ticket!$B$2:$B$6001,MATCH(B1632,Ticket!$A$2:$A$6001,0)),"Ticket introuvable")</f>
        <v>AG-010</v>
      </c>
    </row>
    <row r="1633" spans="1:7" x14ac:dyDescent="0.35">
      <c r="A1633" s="10" t="s">
        <v>7788</v>
      </c>
      <c r="B1633" s="12" t="s">
        <v>2660</v>
      </c>
      <c r="C1633" s="11">
        <v>45690</v>
      </c>
      <c r="D1633" s="12">
        <v>4</v>
      </c>
      <c r="E1633" s="12">
        <v>10</v>
      </c>
      <c r="F1633" s="13" t="s">
        <v>75</v>
      </c>
      <c r="G1633" t="str">
        <f>IFERROR(INDEX(Ticket!$B$2:$B$6001,MATCH(B1633,Ticket!$A$2:$A$6001,0)),"Ticket introuvable")</f>
        <v>AG-027</v>
      </c>
    </row>
    <row r="1634" spans="1:7" x14ac:dyDescent="0.35">
      <c r="A1634" s="6" t="s">
        <v>7789</v>
      </c>
      <c r="B1634" s="8" t="s">
        <v>3096</v>
      </c>
      <c r="C1634" s="7">
        <v>45700</v>
      </c>
      <c r="D1634" s="8">
        <v>5</v>
      </c>
      <c r="E1634" s="8">
        <v>10</v>
      </c>
      <c r="F1634" s="9" t="s">
        <v>8363</v>
      </c>
      <c r="G1634" t="str">
        <f>IFERROR(INDEX(Ticket!$B$2:$B$6001,MATCH(B1634,Ticket!$A$2:$A$6001,0)),"Ticket introuvable")</f>
        <v>AG-033</v>
      </c>
    </row>
    <row r="1635" spans="1:7" x14ac:dyDescent="0.35">
      <c r="A1635" s="10" t="s">
        <v>7790</v>
      </c>
      <c r="B1635" s="12" t="s">
        <v>1361</v>
      </c>
      <c r="C1635" s="11">
        <v>45916</v>
      </c>
      <c r="D1635" s="12">
        <v>3</v>
      </c>
      <c r="E1635" s="12">
        <v>7</v>
      </c>
      <c r="F1635" s="13" t="s">
        <v>8363</v>
      </c>
      <c r="G1635" t="str">
        <f>IFERROR(INDEX(Ticket!$B$2:$B$6001,MATCH(B1635,Ticket!$A$2:$A$6001,0)),"Ticket introuvable")</f>
        <v>AG-007</v>
      </c>
    </row>
    <row r="1636" spans="1:7" x14ac:dyDescent="0.35">
      <c r="A1636" s="6" t="s">
        <v>7791</v>
      </c>
      <c r="B1636" s="8" t="s">
        <v>5162</v>
      </c>
      <c r="C1636" s="7">
        <v>45734</v>
      </c>
      <c r="D1636" s="8">
        <v>5</v>
      </c>
      <c r="E1636" s="8">
        <v>9</v>
      </c>
      <c r="F1636" s="9" t="s">
        <v>8363</v>
      </c>
      <c r="G1636" t="str">
        <f>IFERROR(INDEX(Ticket!$B$2:$B$6001,MATCH(B1636,Ticket!$A$2:$A$6001,0)),"Ticket introuvable")</f>
        <v>AG-008</v>
      </c>
    </row>
    <row r="1637" spans="1:7" x14ac:dyDescent="0.35">
      <c r="A1637" s="10" t="s">
        <v>7792</v>
      </c>
      <c r="B1637" s="12" t="s">
        <v>2208</v>
      </c>
      <c r="C1637" s="11">
        <v>45724</v>
      </c>
      <c r="D1637" s="12">
        <v>5</v>
      </c>
      <c r="E1637" s="12">
        <v>0</v>
      </c>
      <c r="F1637" s="13" t="s">
        <v>6142</v>
      </c>
      <c r="G1637" t="str">
        <f>IFERROR(INDEX(Ticket!$B$2:$B$6001,MATCH(B1637,Ticket!$A$2:$A$6001,0)),"Ticket introuvable")</f>
        <v>AG-027</v>
      </c>
    </row>
    <row r="1638" spans="1:7" x14ac:dyDescent="0.35">
      <c r="A1638" s="6" t="s">
        <v>7793</v>
      </c>
      <c r="B1638" s="8" t="s">
        <v>3646</v>
      </c>
      <c r="C1638" s="7">
        <v>45689</v>
      </c>
      <c r="D1638" s="8">
        <v>3</v>
      </c>
      <c r="E1638" s="8">
        <v>0</v>
      </c>
      <c r="F1638" s="9" t="s">
        <v>8363</v>
      </c>
      <c r="G1638" t="str">
        <f>IFERROR(INDEX(Ticket!$B$2:$B$6001,MATCH(B1638,Ticket!$A$2:$A$6001,0)),"Ticket introuvable")</f>
        <v>AG-027</v>
      </c>
    </row>
    <row r="1639" spans="1:7" x14ac:dyDescent="0.35">
      <c r="A1639" s="10" t="s">
        <v>7794</v>
      </c>
      <c r="B1639" s="12" t="s">
        <v>770</v>
      </c>
      <c r="C1639" s="11">
        <v>46021</v>
      </c>
      <c r="D1639" s="12">
        <v>5</v>
      </c>
      <c r="E1639" s="12">
        <v>9</v>
      </c>
      <c r="F1639" s="13" t="s">
        <v>6160</v>
      </c>
      <c r="G1639" t="str">
        <f>IFERROR(INDEX(Ticket!$B$2:$B$6001,MATCH(B1639,Ticket!$A$2:$A$6001,0)),"Ticket introuvable")</f>
        <v>AG-029</v>
      </c>
    </row>
    <row r="1640" spans="1:7" x14ac:dyDescent="0.35">
      <c r="A1640" s="6" t="s">
        <v>7795</v>
      </c>
      <c r="B1640" s="8" t="s">
        <v>1853</v>
      </c>
      <c r="C1640" s="7">
        <v>45948</v>
      </c>
      <c r="D1640" s="8"/>
      <c r="E1640" s="8">
        <v>9</v>
      </c>
      <c r="F1640" s="9" t="s">
        <v>6160</v>
      </c>
      <c r="G1640" t="str">
        <f>IFERROR(INDEX(Ticket!$B$2:$B$6001,MATCH(B1640,Ticket!$A$2:$A$6001,0)),"Ticket introuvable")</f>
        <v>AG-020</v>
      </c>
    </row>
    <row r="1641" spans="1:7" x14ac:dyDescent="0.35">
      <c r="A1641" s="10" t="s">
        <v>7796</v>
      </c>
      <c r="B1641" s="12" t="s">
        <v>2763</v>
      </c>
      <c r="C1641" s="11">
        <v>45749</v>
      </c>
      <c r="D1641" s="12">
        <v>4</v>
      </c>
      <c r="E1641" s="12">
        <v>10</v>
      </c>
      <c r="F1641" s="13" t="s">
        <v>6142</v>
      </c>
      <c r="G1641" t="str">
        <f>IFERROR(INDEX(Ticket!$B$2:$B$6001,MATCH(B1641,Ticket!$A$2:$A$6001,0)),"Ticket introuvable")</f>
        <v>AG-005</v>
      </c>
    </row>
    <row r="1642" spans="1:7" x14ac:dyDescent="0.35">
      <c r="A1642" s="6" t="s">
        <v>7797</v>
      </c>
      <c r="B1642" s="8" t="s">
        <v>2853</v>
      </c>
      <c r="C1642" s="7">
        <v>45770</v>
      </c>
      <c r="D1642" s="8">
        <v>5</v>
      </c>
      <c r="E1642" s="8">
        <v>7</v>
      </c>
      <c r="F1642" s="9" t="s">
        <v>6148</v>
      </c>
      <c r="G1642" t="str">
        <f>IFERROR(INDEX(Ticket!$B$2:$B$6001,MATCH(B1642,Ticket!$A$2:$A$6001,0)),"Ticket introuvable")</f>
        <v>AG-005</v>
      </c>
    </row>
    <row r="1643" spans="1:7" x14ac:dyDescent="0.35">
      <c r="A1643" s="10" t="s">
        <v>7798</v>
      </c>
      <c r="B1643" s="12" t="s">
        <v>3079</v>
      </c>
      <c r="C1643" s="11">
        <v>45802</v>
      </c>
      <c r="D1643" s="12">
        <v>5</v>
      </c>
      <c r="E1643" s="12">
        <v>9</v>
      </c>
      <c r="F1643" s="13" t="s">
        <v>8363</v>
      </c>
      <c r="G1643" t="str">
        <f>IFERROR(INDEX(Ticket!$B$2:$B$6001,MATCH(B1643,Ticket!$A$2:$A$6001,0)),"Ticket introuvable")</f>
        <v>AG-028</v>
      </c>
    </row>
    <row r="1644" spans="1:7" x14ac:dyDescent="0.35">
      <c r="A1644" s="6" t="s">
        <v>7799</v>
      </c>
      <c r="B1644" s="8" t="s">
        <v>2993</v>
      </c>
      <c r="C1644" s="7">
        <v>45992</v>
      </c>
      <c r="D1644" s="8">
        <v>5</v>
      </c>
      <c r="E1644" s="8">
        <v>6</v>
      </c>
      <c r="F1644" s="9" t="s">
        <v>6160</v>
      </c>
      <c r="G1644" t="str">
        <f>IFERROR(INDEX(Ticket!$B$2:$B$6001,MATCH(B1644,Ticket!$A$2:$A$6001,0)),"Ticket introuvable")</f>
        <v>AG-024</v>
      </c>
    </row>
    <row r="1645" spans="1:7" x14ac:dyDescent="0.35">
      <c r="A1645" s="10" t="s">
        <v>7800</v>
      </c>
      <c r="B1645" s="12" t="s">
        <v>1312</v>
      </c>
      <c r="C1645" s="11">
        <v>45713</v>
      </c>
      <c r="D1645" s="12">
        <v>4</v>
      </c>
      <c r="E1645" s="12">
        <v>6</v>
      </c>
      <c r="F1645" s="13" t="s">
        <v>8363</v>
      </c>
      <c r="G1645" t="str">
        <f>IFERROR(INDEX(Ticket!$B$2:$B$6001,MATCH(B1645,Ticket!$A$2:$A$6001,0)),"Ticket introuvable")</f>
        <v>AG-022</v>
      </c>
    </row>
    <row r="1646" spans="1:7" x14ac:dyDescent="0.35">
      <c r="A1646" s="6" t="s">
        <v>7801</v>
      </c>
      <c r="B1646" s="8" t="s">
        <v>4918</v>
      </c>
      <c r="C1646" s="7">
        <v>45686</v>
      </c>
      <c r="D1646" s="8">
        <v>2</v>
      </c>
      <c r="E1646" s="8">
        <v>7</v>
      </c>
      <c r="F1646" s="9" t="s">
        <v>8363</v>
      </c>
      <c r="G1646" t="str">
        <f>IFERROR(INDEX(Ticket!$B$2:$B$6001,MATCH(B1646,Ticket!$A$2:$A$6001,0)),"Ticket introuvable")</f>
        <v>AG-027</v>
      </c>
    </row>
    <row r="1647" spans="1:7" x14ac:dyDescent="0.35">
      <c r="A1647" s="10" t="s">
        <v>7802</v>
      </c>
      <c r="B1647" s="12" t="s">
        <v>4061</v>
      </c>
      <c r="C1647" s="11">
        <v>45829</v>
      </c>
      <c r="D1647" s="12">
        <v>5</v>
      </c>
      <c r="E1647" s="12">
        <v>8</v>
      </c>
      <c r="F1647" s="13" t="s">
        <v>6153</v>
      </c>
      <c r="G1647" t="str">
        <f>IFERROR(INDEX(Ticket!$B$2:$B$6001,MATCH(B1647,Ticket!$A$2:$A$6001,0)),"Ticket introuvable")</f>
        <v>AG-038</v>
      </c>
    </row>
    <row r="1648" spans="1:7" x14ac:dyDescent="0.35">
      <c r="A1648" s="6" t="s">
        <v>7803</v>
      </c>
      <c r="B1648" s="8" t="s">
        <v>4842</v>
      </c>
      <c r="C1648" s="7">
        <v>45775</v>
      </c>
      <c r="D1648" s="8">
        <v>1</v>
      </c>
      <c r="E1648" s="8">
        <v>8</v>
      </c>
      <c r="F1648" s="9" t="s">
        <v>6153</v>
      </c>
      <c r="G1648" t="str">
        <f>IFERROR(INDEX(Ticket!$B$2:$B$6001,MATCH(B1648,Ticket!$A$2:$A$6001,0)),"Ticket introuvable")</f>
        <v>AG-033</v>
      </c>
    </row>
    <row r="1649" spans="1:7" x14ac:dyDescent="0.35">
      <c r="A1649" s="10" t="s">
        <v>7804</v>
      </c>
      <c r="B1649" s="12" t="s">
        <v>5315</v>
      </c>
      <c r="C1649" s="11">
        <v>45866</v>
      </c>
      <c r="D1649" s="12">
        <v>5</v>
      </c>
      <c r="E1649" s="12">
        <v>8</v>
      </c>
      <c r="F1649" s="13" t="s">
        <v>6153</v>
      </c>
      <c r="G1649" t="str">
        <f>IFERROR(INDEX(Ticket!$B$2:$B$6001,MATCH(B1649,Ticket!$A$2:$A$6001,0)),"Ticket introuvable")</f>
        <v>AG-027</v>
      </c>
    </row>
    <row r="1650" spans="1:7" x14ac:dyDescent="0.35">
      <c r="A1650" s="6" t="s">
        <v>7805</v>
      </c>
      <c r="B1650" s="8" t="s">
        <v>4940</v>
      </c>
      <c r="C1650" s="7">
        <v>45877</v>
      </c>
      <c r="D1650" s="8">
        <v>5</v>
      </c>
      <c r="E1650" s="8">
        <v>10</v>
      </c>
      <c r="F1650" s="9" t="s">
        <v>75</v>
      </c>
      <c r="G1650" t="str">
        <f>IFERROR(INDEX(Ticket!$B$2:$B$6001,MATCH(B1650,Ticket!$A$2:$A$6001,0)),"Ticket introuvable")</f>
        <v>AG-024</v>
      </c>
    </row>
    <row r="1651" spans="1:7" x14ac:dyDescent="0.35">
      <c r="A1651" s="10" t="s">
        <v>7806</v>
      </c>
      <c r="B1651" s="12" t="s">
        <v>5009</v>
      </c>
      <c r="C1651" s="11">
        <v>45682</v>
      </c>
      <c r="D1651" s="12">
        <v>4</v>
      </c>
      <c r="E1651" s="12">
        <v>1</v>
      </c>
      <c r="F1651" s="13" t="s">
        <v>8363</v>
      </c>
      <c r="G1651" t="str">
        <f>IFERROR(INDEX(Ticket!$B$2:$B$6001,MATCH(B1651,Ticket!$A$2:$A$6001,0)),"Ticket introuvable")</f>
        <v>AG-007</v>
      </c>
    </row>
    <row r="1652" spans="1:7" x14ac:dyDescent="0.35">
      <c r="A1652" s="6" t="s">
        <v>7807</v>
      </c>
      <c r="B1652" s="8" t="s">
        <v>1705</v>
      </c>
      <c r="C1652" s="7">
        <v>45994</v>
      </c>
      <c r="D1652" s="8">
        <v>4</v>
      </c>
      <c r="E1652" s="8">
        <v>3</v>
      </c>
      <c r="F1652" s="9" t="s">
        <v>6148</v>
      </c>
      <c r="G1652" t="str">
        <f>IFERROR(INDEX(Ticket!$B$2:$B$6001,MATCH(B1652,Ticket!$A$2:$A$6001,0)),"Ticket introuvable")</f>
        <v>AG-014</v>
      </c>
    </row>
    <row r="1653" spans="1:7" x14ac:dyDescent="0.35">
      <c r="A1653" s="10" t="s">
        <v>7808</v>
      </c>
      <c r="B1653" s="12" t="s">
        <v>4087</v>
      </c>
      <c r="C1653" s="11">
        <v>45878</v>
      </c>
      <c r="D1653" s="12">
        <v>5</v>
      </c>
      <c r="E1653" s="12">
        <v>8</v>
      </c>
      <c r="F1653" s="13" t="s">
        <v>6153</v>
      </c>
      <c r="G1653" t="str">
        <f>IFERROR(INDEX(Ticket!$B$2:$B$6001,MATCH(B1653,Ticket!$A$2:$A$6001,0)),"Ticket introuvable")</f>
        <v>AG-017</v>
      </c>
    </row>
    <row r="1654" spans="1:7" x14ac:dyDescent="0.35">
      <c r="A1654" s="6" t="s">
        <v>7809</v>
      </c>
      <c r="B1654" s="8" t="s">
        <v>1322</v>
      </c>
      <c r="C1654" s="7">
        <v>45976</v>
      </c>
      <c r="D1654" s="8"/>
      <c r="E1654" s="8">
        <v>8</v>
      </c>
      <c r="F1654" s="9" t="s">
        <v>75</v>
      </c>
      <c r="G1654" t="str">
        <f>IFERROR(INDEX(Ticket!$B$2:$B$6001,MATCH(B1654,Ticket!$A$2:$A$6001,0)),"Ticket introuvable")</f>
        <v>AG-019</v>
      </c>
    </row>
    <row r="1655" spans="1:7" x14ac:dyDescent="0.35">
      <c r="A1655" s="10" t="s">
        <v>7810</v>
      </c>
      <c r="B1655" s="12" t="s">
        <v>542</v>
      </c>
      <c r="C1655" s="11">
        <v>45742</v>
      </c>
      <c r="D1655" s="12">
        <v>4</v>
      </c>
      <c r="E1655" s="12">
        <v>10</v>
      </c>
      <c r="F1655" s="13" t="s">
        <v>6142</v>
      </c>
      <c r="G1655" t="str">
        <f>IFERROR(INDEX(Ticket!$B$2:$B$6001,MATCH(B1655,Ticket!$A$2:$A$6001,0)),"Ticket introuvable")</f>
        <v>AG-006</v>
      </c>
    </row>
    <row r="1656" spans="1:7" x14ac:dyDescent="0.35">
      <c r="A1656" s="6" t="s">
        <v>7811</v>
      </c>
      <c r="B1656" s="8" t="s">
        <v>2214</v>
      </c>
      <c r="C1656" s="7">
        <v>45999</v>
      </c>
      <c r="D1656" s="8">
        <v>4</v>
      </c>
      <c r="E1656" s="8">
        <v>4</v>
      </c>
      <c r="F1656" s="9" t="s">
        <v>75</v>
      </c>
      <c r="G1656" t="str">
        <f>IFERROR(INDEX(Ticket!$B$2:$B$6001,MATCH(B1656,Ticket!$A$2:$A$6001,0)),"Ticket introuvable")</f>
        <v>AG-024</v>
      </c>
    </row>
    <row r="1657" spans="1:7" x14ac:dyDescent="0.35">
      <c r="A1657" s="10" t="s">
        <v>7812</v>
      </c>
      <c r="B1657" s="12" t="s">
        <v>5835</v>
      </c>
      <c r="C1657" s="11">
        <v>45990</v>
      </c>
      <c r="D1657" s="12">
        <v>4</v>
      </c>
      <c r="E1657" s="12">
        <v>8</v>
      </c>
      <c r="F1657" s="13" t="s">
        <v>8363</v>
      </c>
      <c r="G1657" t="str">
        <f>IFERROR(INDEX(Ticket!$B$2:$B$6001,MATCH(B1657,Ticket!$A$2:$A$6001,0)),"Ticket introuvable")</f>
        <v>AG-038</v>
      </c>
    </row>
    <row r="1658" spans="1:7" x14ac:dyDescent="0.35">
      <c r="A1658" s="6" t="s">
        <v>7813</v>
      </c>
      <c r="B1658" s="8" t="s">
        <v>5553</v>
      </c>
      <c r="C1658" s="7">
        <v>45743</v>
      </c>
      <c r="D1658" s="8">
        <v>5</v>
      </c>
      <c r="E1658" s="8">
        <v>7</v>
      </c>
      <c r="F1658" s="9" t="s">
        <v>6153</v>
      </c>
      <c r="G1658" t="str">
        <f>IFERROR(INDEX(Ticket!$B$2:$B$6001,MATCH(B1658,Ticket!$A$2:$A$6001,0)),"Ticket introuvable")</f>
        <v>AG-023</v>
      </c>
    </row>
    <row r="1659" spans="1:7" x14ac:dyDescent="0.35">
      <c r="A1659" s="10" t="s">
        <v>7814</v>
      </c>
      <c r="B1659" s="12" t="s">
        <v>5516</v>
      </c>
      <c r="C1659" s="11">
        <v>46016</v>
      </c>
      <c r="D1659" s="12">
        <v>3</v>
      </c>
      <c r="E1659" s="12">
        <v>8</v>
      </c>
      <c r="F1659" s="13" t="s">
        <v>8363</v>
      </c>
      <c r="G1659" t="str">
        <f>IFERROR(INDEX(Ticket!$B$2:$B$6001,MATCH(B1659,Ticket!$A$2:$A$6001,0)),"Ticket introuvable")</f>
        <v>AG-037</v>
      </c>
    </row>
    <row r="1660" spans="1:7" x14ac:dyDescent="0.35">
      <c r="A1660" s="6" t="s">
        <v>7815</v>
      </c>
      <c r="B1660" s="8" t="s">
        <v>4392</v>
      </c>
      <c r="C1660" s="7">
        <v>45946</v>
      </c>
      <c r="D1660" s="8">
        <v>5</v>
      </c>
      <c r="E1660" s="8">
        <v>10</v>
      </c>
      <c r="F1660" s="9" t="s">
        <v>6153</v>
      </c>
      <c r="G1660" t="str">
        <f>IFERROR(INDEX(Ticket!$B$2:$B$6001,MATCH(B1660,Ticket!$A$2:$A$6001,0)),"Ticket introuvable")</f>
        <v>AG-019</v>
      </c>
    </row>
    <row r="1661" spans="1:7" x14ac:dyDescent="0.35">
      <c r="A1661" s="10" t="s">
        <v>7816</v>
      </c>
      <c r="B1661" s="12" t="s">
        <v>4184</v>
      </c>
      <c r="C1661" s="11">
        <v>45872</v>
      </c>
      <c r="D1661" s="12">
        <v>5</v>
      </c>
      <c r="E1661" s="12">
        <v>9</v>
      </c>
      <c r="F1661" s="13" t="s">
        <v>6148</v>
      </c>
      <c r="G1661" t="str">
        <f>IFERROR(INDEX(Ticket!$B$2:$B$6001,MATCH(B1661,Ticket!$A$2:$A$6001,0)),"Ticket introuvable")</f>
        <v>AG-003</v>
      </c>
    </row>
    <row r="1662" spans="1:7" x14ac:dyDescent="0.35">
      <c r="A1662" s="6" t="s">
        <v>7817</v>
      </c>
      <c r="B1662" s="8" t="s">
        <v>4053</v>
      </c>
      <c r="C1662" s="7">
        <v>45688</v>
      </c>
      <c r="D1662" s="8">
        <v>4</v>
      </c>
      <c r="E1662" s="8">
        <v>10</v>
      </c>
      <c r="F1662" s="9" t="s">
        <v>6142</v>
      </c>
      <c r="G1662" t="str">
        <f>IFERROR(INDEX(Ticket!$B$2:$B$6001,MATCH(B1662,Ticket!$A$2:$A$6001,0)),"Ticket introuvable")</f>
        <v>AG-032</v>
      </c>
    </row>
    <row r="1663" spans="1:7" x14ac:dyDescent="0.35">
      <c r="A1663" s="10" t="s">
        <v>7818</v>
      </c>
      <c r="B1663" s="12" t="s">
        <v>3235</v>
      </c>
      <c r="C1663" s="11">
        <v>45985</v>
      </c>
      <c r="D1663" s="12">
        <v>1</v>
      </c>
      <c r="E1663" s="12">
        <v>8</v>
      </c>
      <c r="F1663" s="13" t="s">
        <v>8363</v>
      </c>
      <c r="G1663" t="str">
        <f>IFERROR(INDEX(Ticket!$B$2:$B$6001,MATCH(B1663,Ticket!$A$2:$A$6001,0)),"Ticket introuvable")</f>
        <v>AG-033</v>
      </c>
    </row>
    <row r="1664" spans="1:7" x14ac:dyDescent="0.35">
      <c r="A1664" s="6" t="s">
        <v>7819</v>
      </c>
      <c r="B1664" s="8" t="s">
        <v>2594</v>
      </c>
      <c r="C1664" s="7">
        <v>45801</v>
      </c>
      <c r="D1664" s="8">
        <v>4</v>
      </c>
      <c r="E1664" s="8">
        <v>5</v>
      </c>
      <c r="F1664" s="9" t="s">
        <v>6160</v>
      </c>
      <c r="G1664" t="str">
        <f>IFERROR(INDEX(Ticket!$B$2:$B$6001,MATCH(B1664,Ticket!$A$2:$A$6001,0)),"Ticket introuvable")</f>
        <v>AG-006</v>
      </c>
    </row>
    <row r="1665" spans="1:7" x14ac:dyDescent="0.35">
      <c r="A1665" s="10" t="s">
        <v>7820</v>
      </c>
      <c r="B1665" s="12" t="s">
        <v>5961</v>
      </c>
      <c r="C1665" s="11">
        <v>45731</v>
      </c>
      <c r="D1665" s="12">
        <v>4</v>
      </c>
      <c r="E1665" s="12">
        <v>8</v>
      </c>
      <c r="F1665" s="13" t="s">
        <v>6160</v>
      </c>
      <c r="G1665" t="str">
        <f>IFERROR(INDEX(Ticket!$B$2:$B$6001,MATCH(B1665,Ticket!$A$2:$A$6001,0)),"Ticket introuvable")</f>
        <v>AG-034</v>
      </c>
    </row>
    <row r="1666" spans="1:7" x14ac:dyDescent="0.35">
      <c r="A1666" s="6" t="s">
        <v>7821</v>
      </c>
      <c r="B1666" s="8" t="s">
        <v>3433</v>
      </c>
      <c r="C1666" s="7">
        <v>45993</v>
      </c>
      <c r="D1666" s="8">
        <v>2</v>
      </c>
      <c r="E1666" s="8">
        <v>8</v>
      </c>
      <c r="F1666" s="9" t="s">
        <v>6160</v>
      </c>
      <c r="G1666" t="str">
        <f>IFERROR(INDEX(Ticket!$B$2:$B$6001,MATCH(B1666,Ticket!$A$2:$A$6001,0)),"Ticket introuvable")</f>
        <v>AG-024</v>
      </c>
    </row>
    <row r="1667" spans="1:7" x14ac:dyDescent="0.35">
      <c r="A1667" s="10" t="s">
        <v>7822</v>
      </c>
      <c r="B1667" s="12" t="s">
        <v>1706</v>
      </c>
      <c r="C1667" s="11">
        <v>45931</v>
      </c>
      <c r="D1667" s="12">
        <v>4</v>
      </c>
      <c r="E1667" s="12">
        <v>1</v>
      </c>
      <c r="F1667" s="13" t="s">
        <v>6148</v>
      </c>
      <c r="G1667" t="str">
        <f>IFERROR(INDEX(Ticket!$B$2:$B$6001,MATCH(B1667,Ticket!$A$2:$A$6001,0)),"Ticket introuvable")</f>
        <v>AG-007</v>
      </c>
    </row>
    <row r="1668" spans="1:7" x14ac:dyDescent="0.35">
      <c r="A1668" s="6" t="s">
        <v>7823</v>
      </c>
      <c r="B1668" s="8" t="s">
        <v>2832</v>
      </c>
      <c r="C1668" s="7">
        <v>45879</v>
      </c>
      <c r="D1668" s="8">
        <v>4</v>
      </c>
      <c r="E1668" s="8">
        <v>9</v>
      </c>
      <c r="F1668" s="9" t="s">
        <v>6153</v>
      </c>
      <c r="G1668" t="str">
        <f>IFERROR(INDEX(Ticket!$B$2:$B$6001,MATCH(B1668,Ticket!$A$2:$A$6001,0)),"Ticket introuvable")</f>
        <v>AG-027</v>
      </c>
    </row>
    <row r="1669" spans="1:7" x14ac:dyDescent="0.35">
      <c r="A1669" s="10" t="s">
        <v>7824</v>
      </c>
      <c r="B1669" s="12" t="s">
        <v>1079</v>
      </c>
      <c r="C1669" s="11">
        <v>45886</v>
      </c>
      <c r="D1669" s="12">
        <v>5</v>
      </c>
      <c r="E1669" s="12">
        <v>8</v>
      </c>
      <c r="F1669" s="13" t="s">
        <v>8363</v>
      </c>
      <c r="G1669" t="str">
        <f>IFERROR(INDEX(Ticket!$B$2:$B$6001,MATCH(B1669,Ticket!$A$2:$A$6001,0)),"Ticket introuvable")</f>
        <v>AG-022</v>
      </c>
    </row>
    <row r="1670" spans="1:7" x14ac:dyDescent="0.35">
      <c r="A1670" s="6" t="s">
        <v>7825</v>
      </c>
      <c r="B1670" s="8" t="s">
        <v>3534</v>
      </c>
      <c r="C1670" s="7">
        <v>45798</v>
      </c>
      <c r="D1670" s="8">
        <v>5</v>
      </c>
      <c r="E1670" s="8">
        <v>10</v>
      </c>
      <c r="F1670" s="9" t="s">
        <v>8363</v>
      </c>
      <c r="G1670" t="str">
        <f>IFERROR(INDEX(Ticket!$B$2:$B$6001,MATCH(B1670,Ticket!$A$2:$A$6001,0)),"Ticket introuvable")</f>
        <v>AG-019</v>
      </c>
    </row>
    <row r="1671" spans="1:7" x14ac:dyDescent="0.35">
      <c r="A1671" s="10" t="s">
        <v>7826</v>
      </c>
      <c r="B1671" s="12" t="s">
        <v>1532</v>
      </c>
      <c r="C1671" s="11">
        <v>45951</v>
      </c>
      <c r="D1671" s="12"/>
      <c r="E1671" s="12">
        <v>5</v>
      </c>
      <c r="F1671" s="13" t="s">
        <v>8363</v>
      </c>
      <c r="G1671" t="str">
        <f>IFERROR(INDEX(Ticket!$B$2:$B$6001,MATCH(B1671,Ticket!$A$2:$A$6001,0)),"Ticket introuvable")</f>
        <v>AG-031</v>
      </c>
    </row>
    <row r="1672" spans="1:7" x14ac:dyDescent="0.35">
      <c r="A1672" s="6" t="s">
        <v>7827</v>
      </c>
      <c r="B1672" s="8" t="s">
        <v>4655</v>
      </c>
      <c r="C1672" s="7">
        <v>46008</v>
      </c>
      <c r="D1672" s="8">
        <v>5</v>
      </c>
      <c r="E1672" s="8">
        <v>10</v>
      </c>
      <c r="F1672" s="9" t="s">
        <v>6160</v>
      </c>
      <c r="G1672" t="str">
        <f>IFERROR(INDEX(Ticket!$B$2:$B$6001,MATCH(B1672,Ticket!$A$2:$A$6001,0)),"Ticket introuvable")</f>
        <v>AG-025</v>
      </c>
    </row>
    <row r="1673" spans="1:7" x14ac:dyDescent="0.35">
      <c r="A1673" s="10" t="s">
        <v>7828</v>
      </c>
      <c r="B1673" s="12" t="s">
        <v>5803</v>
      </c>
      <c r="C1673" s="11">
        <v>45855</v>
      </c>
      <c r="D1673" s="12">
        <v>4</v>
      </c>
      <c r="E1673" s="12">
        <v>9</v>
      </c>
      <c r="F1673" s="13" t="s">
        <v>8363</v>
      </c>
      <c r="G1673" t="str">
        <f>IFERROR(INDEX(Ticket!$B$2:$B$6001,MATCH(B1673,Ticket!$A$2:$A$6001,0)),"Ticket introuvable")</f>
        <v>AG-026</v>
      </c>
    </row>
    <row r="1674" spans="1:7" x14ac:dyDescent="0.35">
      <c r="A1674" s="6" t="s">
        <v>7829</v>
      </c>
      <c r="B1674" s="8" t="s">
        <v>767</v>
      </c>
      <c r="C1674" s="7">
        <v>45801</v>
      </c>
      <c r="D1674" s="8">
        <v>5</v>
      </c>
      <c r="E1674" s="8">
        <v>7</v>
      </c>
      <c r="F1674" s="9" t="s">
        <v>6148</v>
      </c>
      <c r="G1674" t="str">
        <f>IFERROR(INDEX(Ticket!$B$2:$B$6001,MATCH(B1674,Ticket!$A$2:$A$6001,0)),"Ticket introuvable")</f>
        <v>AG-025</v>
      </c>
    </row>
    <row r="1675" spans="1:7" x14ac:dyDescent="0.35">
      <c r="A1675" s="10" t="s">
        <v>7830</v>
      </c>
      <c r="B1675" s="12" t="s">
        <v>2004</v>
      </c>
      <c r="C1675" s="11">
        <v>45877</v>
      </c>
      <c r="D1675" s="12">
        <v>2</v>
      </c>
      <c r="E1675" s="12">
        <v>8</v>
      </c>
      <c r="F1675" s="13" t="s">
        <v>6148</v>
      </c>
      <c r="G1675" t="str">
        <f>IFERROR(INDEX(Ticket!$B$2:$B$6001,MATCH(B1675,Ticket!$A$2:$A$6001,0)),"Ticket introuvable")</f>
        <v>AG-040</v>
      </c>
    </row>
    <row r="1676" spans="1:7" x14ac:dyDescent="0.35">
      <c r="A1676" s="6" t="s">
        <v>7831</v>
      </c>
      <c r="B1676" s="8" t="s">
        <v>4980</v>
      </c>
      <c r="C1676" s="7">
        <v>45694</v>
      </c>
      <c r="D1676" s="8">
        <v>5</v>
      </c>
      <c r="E1676" s="8">
        <v>5</v>
      </c>
      <c r="F1676" s="9" t="s">
        <v>6142</v>
      </c>
      <c r="G1676" t="str">
        <f>IFERROR(INDEX(Ticket!$B$2:$B$6001,MATCH(B1676,Ticket!$A$2:$A$6001,0)),"Ticket introuvable")</f>
        <v>AG-010</v>
      </c>
    </row>
    <row r="1677" spans="1:7" x14ac:dyDescent="0.35">
      <c r="A1677" s="10" t="s">
        <v>7832</v>
      </c>
      <c r="B1677" s="12" t="s">
        <v>2160</v>
      </c>
      <c r="C1677" s="11">
        <v>45670</v>
      </c>
      <c r="D1677" s="12">
        <v>3</v>
      </c>
      <c r="E1677" s="12">
        <v>4</v>
      </c>
      <c r="F1677" s="13" t="s">
        <v>6153</v>
      </c>
      <c r="G1677" t="str">
        <f>IFERROR(INDEX(Ticket!$B$2:$B$6001,MATCH(B1677,Ticket!$A$2:$A$6001,0)),"Ticket introuvable")</f>
        <v>AG-037</v>
      </c>
    </row>
    <row r="1678" spans="1:7" x14ac:dyDescent="0.35">
      <c r="A1678" s="6" t="s">
        <v>7833</v>
      </c>
      <c r="B1678" s="8" t="s">
        <v>3764</v>
      </c>
      <c r="C1678" s="7">
        <v>45757</v>
      </c>
      <c r="D1678" s="8">
        <v>1</v>
      </c>
      <c r="E1678" s="8"/>
      <c r="F1678" s="9" t="s">
        <v>6142</v>
      </c>
      <c r="G1678" t="str">
        <f>IFERROR(INDEX(Ticket!$B$2:$B$6001,MATCH(B1678,Ticket!$A$2:$A$6001,0)),"Ticket introuvable")</f>
        <v>AG-003</v>
      </c>
    </row>
    <row r="1679" spans="1:7" x14ac:dyDescent="0.35">
      <c r="A1679" s="10" t="s">
        <v>7834</v>
      </c>
      <c r="B1679" s="12" t="s">
        <v>3876</v>
      </c>
      <c r="C1679" s="11">
        <v>45709</v>
      </c>
      <c r="D1679" s="12">
        <v>5</v>
      </c>
      <c r="E1679" s="12">
        <v>10</v>
      </c>
      <c r="F1679" s="13" t="s">
        <v>6160</v>
      </c>
      <c r="G1679" t="str">
        <f>IFERROR(INDEX(Ticket!$B$2:$B$6001,MATCH(B1679,Ticket!$A$2:$A$6001,0)),"Ticket introuvable")</f>
        <v>AG-014</v>
      </c>
    </row>
    <row r="1680" spans="1:7" x14ac:dyDescent="0.35">
      <c r="A1680" s="6" t="s">
        <v>7835</v>
      </c>
      <c r="B1680" s="8" t="s">
        <v>2415</v>
      </c>
      <c r="C1680" s="7">
        <v>45721</v>
      </c>
      <c r="D1680" s="8">
        <v>3</v>
      </c>
      <c r="E1680" s="8">
        <v>1</v>
      </c>
      <c r="F1680" s="9" t="s">
        <v>8363</v>
      </c>
      <c r="G1680" t="str">
        <f>IFERROR(INDEX(Ticket!$B$2:$B$6001,MATCH(B1680,Ticket!$A$2:$A$6001,0)),"Ticket introuvable")</f>
        <v>AG-029</v>
      </c>
    </row>
    <row r="1681" spans="1:7" x14ac:dyDescent="0.35">
      <c r="A1681" s="10" t="s">
        <v>7836</v>
      </c>
      <c r="B1681" s="12" t="s">
        <v>3336</v>
      </c>
      <c r="C1681" s="11">
        <v>45977</v>
      </c>
      <c r="D1681" s="12">
        <v>2</v>
      </c>
      <c r="E1681" s="12">
        <v>10</v>
      </c>
      <c r="F1681" s="13" t="s">
        <v>8363</v>
      </c>
      <c r="G1681" t="str">
        <f>IFERROR(INDEX(Ticket!$B$2:$B$6001,MATCH(B1681,Ticket!$A$2:$A$6001,0)),"Ticket introuvable")</f>
        <v>AG-021</v>
      </c>
    </row>
    <row r="1682" spans="1:7" x14ac:dyDescent="0.35">
      <c r="A1682" s="6" t="s">
        <v>7837</v>
      </c>
      <c r="B1682" s="8" t="s">
        <v>4691</v>
      </c>
      <c r="C1682" s="7">
        <v>45987</v>
      </c>
      <c r="D1682" s="8">
        <v>4</v>
      </c>
      <c r="E1682" s="8">
        <v>10</v>
      </c>
      <c r="F1682" s="9" t="s">
        <v>6142</v>
      </c>
      <c r="G1682" t="str">
        <f>IFERROR(INDEX(Ticket!$B$2:$B$6001,MATCH(B1682,Ticket!$A$2:$A$6001,0)),"Ticket introuvable")</f>
        <v>AG-028</v>
      </c>
    </row>
    <row r="1683" spans="1:7" x14ac:dyDescent="0.35">
      <c r="A1683" s="10" t="s">
        <v>7838</v>
      </c>
      <c r="B1683" s="12" t="s">
        <v>238</v>
      </c>
      <c r="C1683" s="11">
        <v>45771</v>
      </c>
      <c r="D1683" s="12">
        <v>4</v>
      </c>
      <c r="E1683" s="12">
        <v>0</v>
      </c>
      <c r="F1683" s="13" t="s">
        <v>6142</v>
      </c>
      <c r="G1683" t="str">
        <f>IFERROR(INDEX(Ticket!$B$2:$B$6001,MATCH(B1683,Ticket!$A$2:$A$6001,0)),"Ticket introuvable")</f>
        <v>AG-018</v>
      </c>
    </row>
    <row r="1684" spans="1:7" x14ac:dyDescent="0.35">
      <c r="A1684" s="6" t="s">
        <v>7839</v>
      </c>
      <c r="B1684" s="8" t="s">
        <v>2500</v>
      </c>
      <c r="C1684" s="7">
        <v>45895</v>
      </c>
      <c r="D1684" s="8">
        <v>5</v>
      </c>
      <c r="E1684" s="8">
        <v>8</v>
      </c>
      <c r="F1684" s="9" t="s">
        <v>6142</v>
      </c>
      <c r="G1684" t="str">
        <f>IFERROR(INDEX(Ticket!$B$2:$B$6001,MATCH(B1684,Ticket!$A$2:$A$6001,0)),"Ticket introuvable")</f>
        <v>AG-039</v>
      </c>
    </row>
    <row r="1685" spans="1:7" x14ac:dyDescent="0.35">
      <c r="A1685" s="10" t="s">
        <v>7840</v>
      </c>
      <c r="B1685" s="12" t="s">
        <v>3898</v>
      </c>
      <c r="C1685" s="11">
        <v>45809</v>
      </c>
      <c r="D1685" s="12">
        <v>3</v>
      </c>
      <c r="E1685" s="12"/>
      <c r="F1685" s="13" t="s">
        <v>8363</v>
      </c>
      <c r="G1685" t="str">
        <f>IFERROR(INDEX(Ticket!$B$2:$B$6001,MATCH(B1685,Ticket!$A$2:$A$6001,0)),"Ticket introuvable")</f>
        <v>AG-013</v>
      </c>
    </row>
    <row r="1686" spans="1:7" x14ac:dyDescent="0.35">
      <c r="A1686" s="6" t="s">
        <v>7841</v>
      </c>
      <c r="B1686" s="8" t="s">
        <v>741</v>
      </c>
      <c r="C1686" s="7">
        <v>45992</v>
      </c>
      <c r="D1686" s="8">
        <v>2</v>
      </c>
      <c r="E1686" s="8">
        <v>8</v>
      </c>
      <c r="F1686" s="9" t="s">
        <v>8363</v>
      </c>
      <c r="G1686" t="str">
        <f>IFERROR(INDEX(Ticket!$B$2:$B$6001,MATCH(B1686,Ticket!$A$2:$A$6001,0)),"Ticket introuvable")</f>
        <v>AG-037</v>
      </c>
    </row>
    <row r="1687" spans="1:7" x14ac:dyDescent="0.35">
      <c r="A1687" s="10" t="s">
        <v>7842</v>
      </c>
      <c r="B1687" s="12" t="s">
        <v>2640</v>
      </c>
      <c r="C1687" s="11">
        <v>45906</v>
      </c>
      <c r="D1687" s="12">
        <v>3</v>
      </c>
      <c r="E1687" s="12">
        <v>10</v>
      </c>
      <c r="F1687" s="13" t="s">
        <v>6148</v>
      </c>
      <c r="G1687" t="str">
        <f>IFERROR(INDEX(Ticket!$B$2:$B$6001,MATCH(B1687,Ticket!$A$2:$A$6001,0)),"Ticket introuvable")</f>
        <v>AG-008</v>
      </c>
    </row>
    <row r="1688" spans="1:7" x14ac:dyDescent="0.35">
      <c r="A1688" s="6" t="s">
        <v>7843</v>
      </c>
      <c r="B1688" s="8" t="s">
        <v>4902</v>
      </c>
      <c r="C1688" s="7">
        <v>45846</v>
      </c>
      <c r="D1688" s="8">
        <v>4</v>
      </c>
      <c r="E1688" s="8">
        <v>10</v>
      </c>
      <c r="F1688" s="9" t="s">
        <v>8363</v>
      </c>
      <c r="G1688" t="str">
        <f>IFERROR(INDEX(Ticket!$B$2:$B$6001,MATCH(B1688,Ticket!$A$2:$A$6001,0)),"Ticket introuvable")</f>
        <v>AG-024</v>
      </c>
    </row>
    <row r="1689" spans="1:7" x14ac:dyDescent="0.35">
      <c r="A1689" s="10" t="s">
        <v>7844</v>
      </c>
      <c r="B1689" s="12" t="s">
        <v>1939</v>
      </c>
      <c r="C1689" s="11">
        <v>45983</v>
      </c>
      <c r="D1689" s="12">
        <v>4</v>
      </c>
      <c r="E1689" s="12">
        <v>9</v>
      </c>
      <c r="F1689" s="13" t="s">
        <v>6160</v>
      </c>
      <c r="G1689" t="str">
        <f>IFERROR(INDEX(Ticket!$B$2:$B$6001,MATCH(B1689,Ticket!$A$2:$A$6001,0)),"Ticket introuvable")</f>
        <v>AG-028</v>
      </c>
    </row>
    <row r="1690" spans="1:7" x14ac:dyDescent="0.35">
      <c r="A1690" s="6" t="s">
        <v>7845</v>
      </c>
      <c r="B1690" s="8" t="s">
        <v>147</v>
      </c>
      <c r="C1690" s="7">
        <v>45990</v>
      </c>
      <c r="D1690" s="8">
        <v>2</v>
      </c>
      <c r="E1690" s="8">
        <v>8</v>
      </c>
      <c r="F1690" s="9" t="s">
        <v>6160</v>
      </c>
      <c r="G1690" t="str">
        <f>IFERROR(INDEX(Ticket!$B$2:$B$6001,MATCH(B1690,Ticket!$A$2:$A$6001,0)),"Ticket introuvable")</f>
        <v>AG-039</v>
      </c>
    </row>
    <row r="1691" spans="1:7" x14ac:dyDescent="0.35">
      <c r="A1691" s="10" t="s">
        <v>7846</v>
      </c>
      <c r="B1691" s="12" t="s">
        <v>5408</v>
      </c>
      <c r="C1691" s="11">
        <v>45686</v>
      </c>
      <c r="D1691" s="12">
        <v>4</v>
      </c>
      <c r="E1691" s="12">
        <v>9</v>
      </c>
      <c r="F1691" s="13" t="s">
        <v>8363</v>
      </c>
      <c r="G1691" t="str">
        <f>IFERROR(INDEX(Ticket!$B$2:$B$6001,MATCH(B1691,Ticket!$A$2:$A$6001,0)),"Ticket introuvable")</f>
        <v>AG-023</v>
      </c>
    </row>
    <row r="1692" spans="1:7" x14ac:dyDescent="0.35">
      <c r="A1692" s="6" t="s">
        <v>7847</v>
      </c>
      <c r="B1692" s="8" t="s">
        <v>5272</v>
      </c>
      <c r="C1692" s="7">
        <v>45900</v>
      </c>
      <c r="D1692" s="8">
        <v>5</v>
      </c>
      <c r="E1692" s="8">
        <v>7</v>
      </c>
      <c r="F1692" s="9" t="s">
        <v>6142</v>
      </c>
      <c r="G1692" t="str">
        <f>IFERROR(INDEX(Ticket!$B$2:$B$6001,MATCH(B1692,Ticket!$A$2:$A$6001,0)),"Ticket introuvable")</f>
        <v>AG-037</v>
      </c>
    </row>
    <row r="1693" spans="1:7" x14ac:dyDescent="0.35">
      <c r="A1693" s="10" t="s">
        <v>7848</v>
      </c>
      <c r="B1693" s="12" t="s">
        <v>3490</v>
      </c>
      <c r="C1693" s="11">
        <v>45823</v>
      </c>
      <c r="D1693" s="12">
        <v>3</v>
      </c>
      <c r="E1693" s="12">
        <v>3</v>
      </c>
      <c r="F1693" s="13" t="s">
        <v>8363</v>
      </c>
      <c r="G1693" t="str">
        <f>IFERROR(INDEX(Ticket!$B$2:$B$6001,MATCH(B1693,Ticket!$A$2:$A$6001,0)),"Ticket introuvable")</f>
        <v>AG-034</v>
      </c>
    </row>
    <row r="1694" spans="1:7" x14ac:dyDescent="0.35">
      <c r="A1694" s="6" t="s">
        <v>7849</v>
      </c>
      <c r="B1694" s="8" t="s">
        <v>3262</v>
      </c>
      <c r="C1694" s="7">
        <v>45784</v>
      </c>
      <c r="D1694" s="8">
        <v>4</v>
      </c>
      <c r="E1694" s="8">
        <v>10</v>
      </c>
      <c r="F1694" s="9" t="s">
        <v>6160</v>
      </c>
      <c r="G1694" t="str">
        <f>IFERROR(INDEX(Ticket!$B$2:$B$6001,MATCH(B1694,Ticket!$A$2:$A$6001,0)),"Ticket introuvable")</f>
        <v>AG-013</v>
      </c>
    </row>
    <row r="1695" spans="1:7" x14ac:dyDescent="0.35">
      <c r="A1695" s="10" t="s">
        <v>7850</v>
      </c>
      <c r="B1695" s="12" t="s">
        <v>4990</v>
      </c>
      <c r="C1695" s="11">
        <v>45831</v>
      </c>
      <c r="D1695" s="12">
        <v>4</v>
      </c>
      <c r="E1695" s="12">
        <v>7</v>
      </c>
      <c r="F1695" s="13" t="s">
        <v>6153</v>
      </c>
      <c r="G1695" t="str">
        <f>IFERROR(INDEX(Ticket!$B$2:$B$6001,MATCH(B1695,Ticket!$A$2:$A$6001,0)),"Ticket introuvable")</f>
        <v>AG-033</v>
      </c>
    </row>
    <row r="1696" spans="1:7" x14ac:dyDescent="0.35">
      <c r="A1696" s="6" t="s">
        <v>7851</v>
      </c>
      <c r="B1696" s="8" t="s">
        <v>7852</v>
      </c>
      <c r="C1696" s="7">
        <v>45853</v>
      </c>
      <c r="D1696" s="8">
        <v>3</v>
      </c>
      <c r="E1696" s="8">
        <v>8</v>
      </c>
      <c r="F1696" s="9" t="s">
        <v>6160</v>
      </c>
      <c r="G1696" t="str">
        <f>IFERROR(INDEX(Ticket!$B$2:$B$6001,MATCH(B1696,Ticket!$A$2:$A$6001,0)),"Ticket introuvable")</f>
        <v>Ticket introuvable</v>
      </c>
    </row>
    <row r="1697" spans="1:7" x14ac:dyDescent="0.35">
      <c r="A1697" s="10" t="s">
        <v>7853</v>
      </c>
      <c r="B1697" s="12" t="s">
        <v>3141</v>
      </c>
      <c r="C1697" s="11">
        <v>45862</v>
      </c>
      <c r="D1697" s="12">
        <v>4</v>
      </c>
      <c r="E1697" s="12">
        <v>9</v>
      </c>
      <c r="F1697" s="13" t="s">
        <v>6148</v>
      </c>
      <c r="G1697" t="str">
        <f>IFERROR(INDEX(Ticket!$B$2:$B$6001,MATCH(B1697,Ticket!$A$2:$A$6001,0)),"Ticket introuvable")</f>
        <v>AG-023</v>
      </c>
    </row>
    <row r="1698" spans="1:7" x14ac:dyDescent="0.35">
      <c r="A1698" s="6" t="s">
        <v>7854</v>
      </c>
      <c r="B1698" s="8" t="s">
        <v>2578</v>
      </c>
      <c r="C1698" s="7">
        <v>45839</v>
      </c>
      <c r="D1698" s="8">
        <v>3</v>
      </c>
      <c r="E1698" s="8">
        <v>10</v>
      </c>
      <c r="F1698" s="9" t="s">
        <v>8363</v>
      </c>
      <c r="G1698" t="str">
        <f>IFERROR(INDEX(Ticket!$B$2:$B$6001,MATCH(B1698,Ticket!$A$2:$A$6001,0)),"Ticket introuvable")</f>
        <v>AG-007</v>
      </c>
    </row>
    <row r="1699" spans="1:7" x14ac:dyDescent="0.35">
      <c r="A1699" s="10" t="s">
        <v>7855</v>
      </c>
      <c r="B1699" s="12" t="s">
        <v>199</v>
      </c>
      <c r="C1699" s="11">
        <v>46000</v>
      </c>
      <c r="D1699" s="12">
        <v>5</v>
      </c>
      <c r="E1699" s="12">
        <v>7</v>
      </c>
      <c r="F1699" s="13" t="s">
        <v>8363</v>
      </c>
      <c r="G1699" t="str">
        <f>IFERROR(INDEX(Ticket!$B$2:$B$6001,MATCH(B1699,Ticket!$A$2:$A$6001,0)),"Ticket introuvable")</f>
        <v>AG-010</v>
      </c>
    </row>
    <row r="1700" spans="1:7" x14ac:dyDescent="0.35">
      <c r="A1700" s="6" t="s">
        <v>7856</v>
      </c>
      <c r="B1700" s="8" t="s">
        <v>848</v>
      </c>
      <c r="C1700" s="7">
        <v>45669</v>
      </c>
      <c r="D1700" s="8">
        <v>5</v>
      </c>
      <c r="E1700" s="8">
        <v>7</v>
      </c>
      <c r="F1700" s="9" t="s">
        <v>6148</v>
      </c>
      <c r="G1700" t="str">
        <f>IFERROR(INDEX(Ticket!$B$2:$B$6001,MATCH(B1700,Ticket!$A$2:$A$6001,0)),"Ticket introuvable")</f>
        <v>AG-011</v>
      </c>
    </row>
    <row r="1701" spans="1:7" x14ac:dyDescent="0.35">
      <c r="A1701" s="10" t="s">
        <v>7857</v>
      </c>
      <c r="B1701" s="12" t="s">
        <v>3728</v>
      </c>
      <c r="C1701" s="11">
        <v>46002</v>
      </c>
      <c r="D1701" s="12">
        <v>5</v>
      </c>
      <c r="E1701" s="12">
        <v>8</v>
      </c>
      <c r="F1701" s="13" t="s">
        <v>6153</v>
      </c>
      <c r="G1701" t="str">
        <f>IFERROR(INDEX(Ticket!$B$2:$B$6001,MATCH(B1701,Ticket!$A$2:$A$6001,0)),"Ticket introuvable")</f>
        <v>AG-029</v>
      </c>
    </row>
    <row r="1702" spans="1:7" x14ac:dyDescent="0.35">
      <c r="A1702" s="6" t="s">
        <v>7858</v>
      </c>
      <c r="B1702" s="8" t="s">
        <v>3032</v>
      </c>
      <c r="C1702" s="7">
        <v>45711</v>
      </c>
      <c r="D1702" s="8">
        <v>1</v>
      </c>
      <c r="E1702" s="8">
        <v>7</v>
      </c>
      <c r="F1702" s="9" t="s">
        <v>6160</v>
      </c>
      <c r="G1702" t="str">
        <f>IFERROR(INDEX(Ticket!$B$2:$B$6001,MATCH(B1702,Ticket!$A$2:$A$6001,0)),"Ticket introuvable")</f>
        <v>AG-016</v>
      </c>
    </row>
    <row r="1703" spans="1:7" x14ac:dyDescent="0.35">
      <c r="A1703" s="10" t="s">
        <v>7859</v>
      </c>
      <c r="B1703" s="12" t="s">
        <v>1372</v>
      </c>
      <c r="C1703" s="11">
        <v>45688</v>
      </c>
      <c r="D1703" s="12"/>
      <c r="E1703" s="12">
        <v>9</v>
      </c>
      <c r="F1703" s="13" t="s">
        <v>6142</v>
      </c>
      <c r="G1703" t="str">
        <f>IFERROR(INDEX(Ticket!$B$2:$B$6001,MATCH(B1703,Ticket!$A$2:$A$6001,0)),"Ticket introuvable")</f>
        <v>AG-028</v>
      </c>
    </row>
    <row r="1704" spans="1:7" x14ac:dyDescent="0.35">
      <c r="A1704" s="6" t="s">
        <v>7860</v>
      </c>
      <c r="B1704" s="8" t="s">
        <v>5905</v>
      </c>
      <c r="C1704" s="7">
        <v>45869</v>
      </c>
      <c r="D1704" s="8">
        <v>5</v>
      </c>
      <c r="E1704" s="8">
        <v>10</v>
      </c>
      <c r="F1704" s="9" t="s">
        <v>8363</v>
      </c>
      <c r="G1704" t="str">
        <f>IFERROR(INDEX(Ticket!$B$2:$B$6001,MATCH(B1704,Ticket!$A$2:$A$6001,0)),"Ticket introuvable")</f>
        <v>AG-014</v>
      </c>
    </row>
    <row r="1705" spans="1:7" x14ac:dyDescent="0.35">
      <c r="A1705" s="10" t="s">
        <v>7861</v>
      </c>
      <c r="B1705" s="12" t="s">
        <v>1105</v>
      </c>
      <c r="C1705" s="11">
        <v>45709</v>
      </c>
      <c r="D1705" s="12">
        <v>5</v>
      </c>
      <c r="E1705" s="12">
        <v>9</v>
      </c>
      <c r="F1705" s="13" t="s">
        <v>8363</v>
      </c>
      <c r="G1705" t="str">
        <f>IFERROR(INDEX(Ticket!$B$2:$B$6001,MATCH(B1705,Ticket!$A$2:$A$6001,0)),"Ticket introuvable")</f>
        <v>AG-018</v>
      </c>
    </row>
    <row r="1706" spans="1:7" x14ac:dyDescent="0.35">
      <c r="A1706" s="6" t="s">
        <v>7862</v>
      </c>
      <c r="B1706" s="8" t="s">
        <v>3835</v>
      </c>
      <c r="C1706" s="7">
        <v>45678</v>
      </c>
      <c r="D1706" s="8">
        <v>4</v>
      </c>
      <c r="E1706" s="8">
        <v>3</v>
      </c>
      <c r="F1706" s="9" t="s">
        <v>8363</v>
      </c>
      <c r="G1706" t="str">
        <f>IFERROR(INDEX(Ticket!$B$2:$B$6001,MATCH(B1706,Ticket!$A$2:$A$6001,0)),"Ticket introuvable")</f>
        <v>AG-040</v>
      </c>
    </row>
    <row r="1707" spans="1:7" x14ac:dyDescent="0.35">
      <c r="A1707" s="10" t="s">
        <v>7863</v>
      </c>
      <c r="B1707" s="12" t="s">
        <v>4762</v>
      </c>
      <c r="C1707" s="11">
        <v>45978</v>
      </c>
      <c r="D1707" s="12">
        <v>2</v>
      </c>
      <c r="E1707" s="12">
        <v>8</v>
      </c>
      <c r="F1707" s="13" t="s">
        <v>8363</v>
      </c>
      <c r="G1707" t="str">
        <f>IFERROR(INDEX(Ticket!$B$2:$B$6001,MATCH(B1707,Ticket!$A$2:$A$6001,0)),"Ticket introuvable")</f>
        <v>AG-003</v>
      </c>
    </row>
    <row r="1708" spans="1:7" x14ac:dyDescent="0.35">
      <c r="A1708" s="6" t="s">
        <v>7864</v>
      </c>
      <c r="B1708" s="8" t="s">
        <v>5775</v>
      </c>
      <c r="C1708" s="7">
        <v>45741</v>
      </c>
      <c r="D1708" s="8">
        <v>5</v>
      </c>
      <c r="E1708" s="8">
        <v>7</v>
      </c>
      <c r="F1708" s="9" t="s">
        <v>8363</v>
      </c>
      <c r="G1708" t="str">
        <f>IFERROR(INDEX(Ticket!$B$2:$B$6001,MATCH(B1708,Ticket!$A$2:$A$6001,0)),"Ticket introuvable")</f>
        <v>AG-006</v>
      </c>
    </row>
    <row r="1709" spans="1:7" x14ac:dyDescent="0.35">
      <c r="A1709" s="10" t="s">
        <v>7865</v>
      </c>
      <c r="B1709" s="12" t="s">
        <v>3485</v>
      </c>
      <c r="C1709" s="11">
        <v>45917</v>
      </c>
      <c r="D1709" s="12">
        <v>3</v>
      </c>
      <c r="E1709" s="12">
        <v>0</v>
      </c>
      <c r="F1709" s="13" t="s">
        <v>8363</v>
      </c>
      <c r="G1709" t="str">
        <f>IFERROR(INDEX(Ticket!$B$2:$B$6001,MATCH(B1709,Ticket!$A$2:$A$6001,0)),"Ticket introuvable")</f>
        <v>AG-039</v>
      </c>
    </row>
    <row r="1710" spans="1:7" x14ac:dyDescent="0.35">
      <c r="A1710" s="6" t="s">
        <v>7866</v>
      </c>
      <c r="B1710" s="8" t="s">
        <v>2555</v>
      </c>
      <c r="C1710" s="7">
        <v>45883</v>
      </c>
      <c r="D1710" s="8">
        <v>5</v>
      </c>
      <c r="E1710" s="8">
        <v>10</v>
      </c>
      <c r="F1710" s="9" t="s">
        <v>6148</v>
      </c>
      <c r="G1710" t="str">
        <f>IFERROR(INDEX(Ticket!$B$2:$B$6001,MATCH(B1710,Ticket!$A$2:$A$6001,0)),"Ticket introuvable")</f>
        <v>AG-038</v>
      </c>
    </row>
    <row r="1711" spans="1:7" x14ac:dyDescent="0.35">
      <c r="A1711" s="10" t="s">
        <v>7867</v>
      </c>
      <c r="B1711" s="12" t="s">
        <v>790</v>
      </c>
      <c r="C1711" s="11">
        <v>45927</v>
      </c>
      <c r="D1711" s="12">
        <v>4</v>
      </c>
      <c r="E1711" s="12">
        <v>8</v>
      </c>
      <c r="F1711" s="13" t="s">
        <v>8363</v>
      </c>
      <c r="G1711" t="str">
        <f>IFERROR(INDEX(Ticket!$B$2:$B$6001,MATCH(B1711,Ticket!$A$2:$A$6001,0)),"Ticket introuvable")</f>
        <v>AG-022</v>
      </c>
    </row>
    <row r="1712" spans="1:7" x14ac:dyDescent="0.35">
      <c r="A1712" s="6" t="s">
        <v>7868</v>
      </c>
      <c r="B1712" s="8" t="s">
        <v>3888</v>
      </c>
      <c r="C1712" s="7">
        <v>45703</v>
      </c>
      <c r="D1712" s="8"/>
      <c r="E1712" s="8">
        <v>10</v>
      </c>
      <c r="F1712" s="9" t="s">
        <v>8363</v>
      </c>
      <c r="G1712" t="str">
        <f>IFERROR(INDEX(Ticket!$B$2:$B$6001,MATCH(B1712,Ticket!$A$2:$A$6001,0)),"Ticket introuvable")</f>
        <v>AG-025</v>
      </c>
    </row>
    <row r="1713" spans="1:7" x14ac:dyDescent="0.35">
      <c r="A1713" s="10" t="s">
        <v>7869</v>
      </c>
      <c r="B1713" s="12" t="s">
        <v>1552</v>
      </c>
      <c r="C1713" s="11">
        <v>45816</v>
      </c>
      <c r="D1713" s="12">
        <v>5</v>
      </c>
      <c r="E1713" s="12">
        <v>9</v>
      </c>
      <c r="F1713" s="13" t="s">
        <v>6153</v>
      </c>
      <c r="G1713" t="str">
        <f>IFERROR(INDEX(Ticket!$B$2:$B$6001,MATCH(B1713,Ticket!$A$2:$A$6001,0)),"Ticket introuvable")</f>
        <v>AG-028</v>
      </c>
    </row>
    <row r="1714" spans="1:7" x14ac:dyDescent="0.35">
      <c r="A1714" s="6" t="s">
        <v>7870</v>
      </c>
      <c r="B1714" s="8" t="s">
        <v>2530</v>
      </c>
      <c r="C1714" s="7">
        <v>46015</v>
      </c>
      <c r="D1714" s="8">
        <v>3</v>
      </c>
      <c r="E1714" s="8">
        <v>9</v>
      </c>
      <c r="F1714" s="9" t="s">
        <v>6153</v>
      </c>
      <c r="G1714" t="str">
        <f>IFERROR(INDEX(Ticket!$B$2:$B$6001,MATCH(B1714,Ticket!$A$2:$A$6001,0)),"Ticket introuvable")</f>
        <v>AG-040</v>
      </c>
    </row>
    <row r="1715" spans="1:7" x14ac:dyDescent="0.35">
      <c r="A1715" s="10" t="s">
        <v>7871</v>
      </c>
      <c r="B1715" s="12" t="s">
        <v>4116</v>
      </c>
      <c r="C1715" s="11">
        <v>45821</v>
      </c>
      <c r="D1715" s="12">
        <v>5</v>
      </c>
      <c r="E1715" s="12">
        <v>9</v>
      </c>
      <c r="F1715" s="13" t="s">
        <v>6148</v>
      </c>
      <c r="G1715" t="str">
        <f>IFERROR(INDEX(Ticket!$B$2:$B$6001,MATCH(B1715,Ticket!$A$2:$A$6001,0)),"Ticket introuvable")</f>
        <v>AG-037</v>
      </c>
    </row>
    <row r="1716" spans="1:7" x14ac:dyDescent="0.35">
      <c r="A1716" s="6" t="s">
        <v>7872</v>
      </c>
      <c r="B1716" s="8" t="s">
        <v>4876</v>
      </c>
      <c r="C1716" s="7">
        <v>45987</v>
      </c>
      <c r="D1716" s="8">
        <v>4</v>
      </c>
      <c r="E1716" s="8">
        <v>10</v>
      </c>
      <c r="F1716" s="9" t="s">
        <v>6142</v>
      </c>
      <c r="G1716" t="str">
        <f>IFERROR(INDEX(Ticket!$B$2:$B$6001,MATCH(B1716,Ticket!$A$2:$A$6001,0)),"Ticket introuvable")</f>
        <v>AG-018</v>
      </c>
    </row>
    <row r="1717" spans="1:7" x14ac:dyDescent="0.35">
      <c r="A1717" s="10" t="s">
        <v>7873</v>
      </c>
      <c r="B1717" s="12" t="s">
        <v>3735</v>
      </c>
      <c r="C1717" s="11">
        <v>45984</v>
      </c>
      <c r="D1717" s="12">
        <v>5</v>
      </c>
      <c r="E1717" s="12">
        <v>8</v>
      </c>
      <c r="F1717" s="13" t="s">
        <v>8363</v>
      </c>
      <c r="G1717" t="str">
        <f>IFERROR(INDEX(Ticket!$B$2:$B$6001,MATCH(B1717,Ticket!$A$2:$A$6001,0)),"Ticket introuvable")</f>
        <v>AG-033</v>
      </c>
    </row>
    <row r="1718" spans="1:7" x14ac:dyDescent="0.35">
      <c r="A1718" s="6" t="s">
        <v>7874</v>
      </c>
      <c r="B1718" s="8" t="s">
        <v>4551</v>
      </c>
      <c r="C1718" s="7">
        <v>45824</v>
      </c>
      <c r="D1718" s="8">
        <v>4</v>
      </c>
      <c r="E1718" s="8">
        <v>9</v>
      </c>
      <c r="F1718" s="9" t="s">
        <v>6160</v>
      </c>
      <c r="G1718" t="str">
        <f>IFERROR(INDEX(Ticket!$B$2:$B$6001,MATCH(B1718,Ticket!$A$2:$A$6001,0)),"Ticket introuvable")</f>
        <v>AG-032</v>
      </c>
    </row>
    <row r="1719" spans="1:7" x14ac:dyDescent="0.35">
      <c r="A1719" s="10" t="s">
        <v>7875</v>
      </c>
      <c r="B1719" s="12" t="s">
        <v>1242</v>
      </c>
      <c r="C1719" s="11">
        <v>45703</v>
      </c>
      <c r="D1719" s="12">
        <v>3</v>
      </c>
      <c r="E1719" s="12">
        <v>8</v>
      </c>
      <c r="F1719" s="13" t="s">
        <v>75</v>
      </c>
      <c r="G1719" t="str">
        <f>IFERROR(INDEX(Ticket!$B$2:$B$6001,MATCH(B1719,Ticket!$A$2:$A$6001,0)),"Ticket introuvable")</f>
        <v>AG-014</v>
      </c>
    </row>
    <row r="1720" spans="1:7" x14ac:dyDescent="0.35">
      <c r="A1720" s="6" t="s">
        <v>7876</v>
      </c>
      <c r="B1720" s="8" t="s">
        <v>1862</v>
      </c>
      <c r="C1720" s="7">
        <v>45926</v>
      </c>
      <c r="D1720" s="8">
        <v>5</v>
      </c>
      <c r="E1720" s="8">
        <v>9</v>
      </c>
      <c r="F1720" s="9" t="s">
        <v>6142</v>
      </c>
      <c r="G1720" t="str">
        <f>IFERROR(INDEX(Ticket!$B$2:$B$6001,MATCH(B1720,Ticket!$A$2:$A$6001,0)),"Ticket introuvable")</f>
        <v>AG-029</v>
      </c>
    </row>
    <row r="1721" spans="1:7" x14ac:dyDescent="0.35">
      <c r="A1721" s="10" t="s">
        <v>7877</v>
      </c>
      <c r="B1721" s="12" t="s">
        <v>211</v>
      </c>
      <c r="C1721" s="11">
        <v>45902</v>
      </c>
      <c r="D1721" s="12">
        <v>5</v>
      </c>
      <c r="E1721" s="12">
        <v>7</v>
      </c>
      <c r="F1721" s="13" t="s">
        <v>6160</v>
      </c>
      <c r="G1721" t="str">
        <f>IFERROR(INDEX(Ticket!$B$2:$B$6001,MATCH(B1721,Ticket!$A$2:$A$6001,0)),"Ticket introuvable")</f>
        <v>AG-032</v>
      </c>
    </row>
    <row r="1722" spans="1:7" x14ac:dyDescent="0.35">
      <c r="A1722" s="6" t="s">
        <v>7878</v>
      </c>
      <c r="B1722" s="8" t="s">
        <v>5574</v>
      </c>
      <c r="C1722" s="7">
        <v>45786</v>
      </c>
      <c r="D1722" s="8">
        <v>3</v>
      </c>
      <c r="E1722" s="8">
        <v>7</v>
      </c>
      <c r="F1722" s="9" t="s">
        <v>6148</v>
      </c>
      <c r="G1722" t="str">
        <f>IFERROR(INDEX(Ticket!$B$2:$B$6001,MATCH(B1722,Ticket!$A$2:$A$6001,0)),"Ticket introuvable")</f>
        <v>AG-016</v>
      </c>
    </row>
    <row r="1723" spans="1:7" x14ac:dyDescent="0.35">
      <c r="A1723" s="10" t="s">
        <v>7879</v>
      </c>
      <c r="B1723" s="12" t="s">
        <v>2692</v>
      </c>
      <c r="C1723" s="11">
        <v>45985</v>
      </c>
      <c r="D1723" s="12">
        <v>5</v>
      </c>
      <c r="E1723" s="12">
        <v>9</v>
      </c>
      <c r="F1723" s="13" t="s">
        <v>6148</v>
      </c>
      <c r="G1723" t="str">
        <f>IFERROR(INDEX(Ticket!$B$2:$B$6001,MATCH(B1723,Ticket!$A$2:$A$6001,0)),"Ticket introuvable")</f>
        <v>AG-020</v>
      </c>
    </row>
    <row r="1724" spans="1:7" x14ac:dyDescent="0.35">
      <c r="A1724" s="6" t="s">
        <v>7880</v>
      </c>
      <c r="B1724" s="8" t="s">
        <v>1209</v>
      </c>
      <c r="C1724" s="7">
        <v>45879</v>
      </c>
      <c r="D1724" s="8">
        <v>2</v>
      </c>
      <c r="E1724" s="8">
        <v>9</v>
      </c>
      <c r="F1724" s="9" t="s">
        <v>6142</v>
      </c>
      <c r="G1724" t="str">
        <f>IFERROR(INDEX(Ticket!$B$2:$B$6001,MATCH(B1724,Ticket!$A$2:$A$6001,0)),"Ticket introuvable")</f>
        <v>AG-008</v>
      </c>
    </row>
    <row r="1725" spans="1:7" x14ac:dyDescent="0.35">
      <c r="A1725" s="10" t="s">
        <v>7881</v>
      </c>
      <c r="B1725" s="12" t="s">
        <v>4508</v>
      </c>
      <c r="C1725" s="11">
        <v>45945</v>
      </c>
      <c r="D1725" s="12">
        <v>1</v>
      </c>
      <c r="E1725" s="12">
        <v>7</v>
      </c>
      <c r="F1725" s="13" t="s">
        <v>8363</v>
      </c>
      <c r="G1725" t="str">
        <f>IFERROR(INDEX(Ticket!$B$2:$B$6001,MATCH(B1725,Ticket!$A$2:$A$6001,0)),"Ticket introuvable")</f>
        <v>AG-036</v>
      </c>
    </row>
    <row r="1726" spans="1:7" x14ac:dyDescent="0.35">
      <c r="A1726" s="6" t="s">
        <v>7882</v>
      </c>
      <c r="B1726" s="8" t="s">
        <v>2312</v>
      </c>
      <c r="C1726" s="7">
        <v>45994</v>
      </c>
      <c r="D1726" s="8">
        <v>5</v>
      </c>
      <c r="E1726" s="8">
        <v>10</v>
      </c>
      <c r="F1726" s="9" t="s">
        <v>6142</v>
      </c>
      <c r="G1726" t="str">
        <f>IFERROR(INDEX(Ticket!$B$2:$B$6001,MATCH(B1726,Ticket!$A$2:$A$6001,0)),"Ticket introuvable")</f>
        <v>AG-039</v>
      </c>
    </row>
    <row r="1727" spans="1:7" x14ac:dyDescent="0.35">
      <c r="A1727" s="10" t="s">
        <v>7883</v>
      </c>
      <c r="B1727" s="12" t="s">
        <v>4084</v>
      </c>
      <c r="C1727" s="11">
        <v>45742</v>
      </c>
      <c r="D1727" s="12">
        <v>4</v>
      </c>
      <c r="E1727" s="12"/>
      <c r="F1727" s="13" t="s">
        <v>6142</v>
      </c>
      <c r="G1727" t="str">
        <f>IFERROR(INDEX(Ticket!$B$2:$B$6001,MATCH(B1727,Ticket!$A$2:$A$6001,0)),"Ticket introuvable")</f>
        <v>AG-007</v>
      </c>
    </row>
    <row r="1728" spans="1:7" x14ac:dyDescent="0.35">
      <c r="A1728" s="6" t="s">
        <v>7884</v>
      </c>
      <c r="B1728" s="8" t="s">
        <v>1047</v>
      </c>
      <c r="C1728" s="7">
        <v>45903</v>
      </c>
      <c r="D1728" s="8">
        <v>4</v>
      </c>
      <c r="E1728" s="8">
        <v>8</v>
      </c>
      <c r="F1728" s="9" t="s">
        <v>75</v>
      </c>
      <c r="G1728" t="str">
        <f>IFERROR(INDEX(Ticket!$B$2:$B$6001,MATCH(B1728,Ticket!$A$2:$A$6001,0)),"Ticket introuvable")</f>
        <v>AG-021</v>
      </c>
    </row>
    <row r="1729" spans="1:7" x14ac:dyDescent="0.35">
      <c r="A1729" s="10" t="s">
        <v>7885</v>
      </c>
      <c r="B1729" s="12" t="s">
        <v>3158</v>
      </c>
      <c r="C1729" s="11">
        <v>45829</v>
      </c>
      <c r="D1729" s="12">
        <v>4</v>
      </c>
      <c r="E1729" s="12">
        <v>8</v>
      </c>
      <c r="F1729" s="13" t="s">
        <v>8363</v>
      </c>
      <c r="G1729" t="str">
        <f>IFERROR(INDEX(Ticket!$B$2:$B$6001,MATCH(B1729,Ticket!$A$2:$A$6001,0)),"Ticket introuvable")</f>
        <v>AG-014</v>
      </c>
    </row>
    <row r="1730" spans="1:7" x14ac:dyDescent="0.35">
      <c r="A1730" s="6" t="s">
        <v>7886</v>
      </c>
      <c r="B1730" s="8" t="s">
        <v>2129</v>
      </c>
      <c r="C1730" s="7">
        <v>45696</v>
      </c>
      <c r="D1730" s="8">
        <v>3</v>
      </c>
      <c r="E1730" s="8"/>
      <c r="F1730" s="9" t="s">
        <v>6153</v>
      </c>
      <c r="G1730" t="str">
        <f>IFERROR(INDEX(Ticket!$B$2:$B$6001,MATCH(B1730,Ticket!$A$2:$A$6001,0)),"Ticket introuvable")</f>
        <v>AG-027</v>
      </c>
    </row>
    <row r="1731" spans="1:7" x14ac:dyDescent="0.35">
      <c r="A1731" s="10" t="s">
        <v>7887</v>
      </c>
      <c r="B1731" s="12" t="s">
        <v>6059</v>
      </c>
      <c r="C1731" s="11">
        <v>45714</v>
      </c>
      <c r="D1731" s="12">
        <v>4</v>
      </c>
      <c r="E1731" s="12">
        <v>4</v>
      </c>
      <c r="F1731" s="13" t="s">
        <v>8363</v>
      </c>
      <c r="G1731" t="str">
        <f>IFERROR(INDEX(Ticket!$B$2:$B$6001,MATCH(B1731,Ticket!$A$2:$A$6001,0)),"Ticket introuvable")</f>
        <v>AG-012</v>
      </c>
    </row>
    <row r="1732" spans="1:7" x14ac:dyDescent="0.35">
      <c r="A1732" s="6" t="s">
        <v>7888</v>
      </c>
      <c r="B1732" s="8" t="s">
        <v>6031</v>
      </c>
      <c r="C1732" s="7">
        <v>45776</v>
      </c>
      <c r="D1732" s="8">
        <v>4</v>
      </c>
      <c r="E1732" s="8">
        <v>8</v>
      </c>
      <c r="F1732" s="9" t="s">
        <v>6148</v>
      </c>
      <c r="G1732" t="str">
        <f>IFERROR(INDEX(Ticket!$B$2:$B$6001,MATCH(B1732,Ticket!$A$2:$A$6001,0)),"Ticket introuvable")</f>
        <v>AG-012</v>
      </c>
    </row>
    <row r="1733" spans="1:7" x14ac:dyDescent="0.35">
      <c r="A1733" s="10" t="s">
        <v>7889</v>
      </c>
      <c r="B1733" s="12" t="s">
        <v>5300</v>
      </c>
      <c r="C1733" s="11">
        <v>45689</v>
      </c>
      <c r="D1733" s="12">
        <v>5</v>
      </c>
      <c r="E1733" s="12">
        <v>7</v>
      </c>
      <c r="F1733" s="13" t="s">
        <v>6153</v>
      </c>
      <c r="G1733" t="str">
        <f>IFERROR(INDEX(Ticket!$B$2:$B$6001,MATCH(B1733,Ticket!$A$2:$A$6001,0)),"Ticket introuvable")</f>
        <v>AG-007</v>
      </c>
    </row>
    <row r="1734" spans="1:7" x14ac:dyDescent="0.35">
      <c r="A1734" s="6" t="s">
        <v>7890</v>
      </c>
      <c r="B1734" s="8" t="s">
        <v>2800</v>
      </c>
      <c r="C1734" s="7">
        <v>45691</v>
      </c>
      <c r="D1734" s="8">
        <v>5</v>
      </c>
      <c r="E1734" s="8">
        <v>8</v>
      </c>
      <c r="F1734" s="9" t="s">
        <v>8363</v>
      </c>
      <c r="G1734" t="str">
        <f>IFERROR(INDEX(Ticket!$B$2:$B$6001,MATCH(B1734,Ticket!$A$2:$A$6001,0)),"Ticket introuvable")</f>
        <v>AG-005</v>
      </c>
    </row>
    <row r="1735" spans="1:7" x14ac:dyDescent="0.35">
      <c r="A1735" s="10" t="s">
        <v>7891</v>
      </c>
      <c r="B1735" s="12" t="s">
        <v>2991</v>
      </c>
      <c r="C1735" s="11">
        <v>45965</v>
      </c>
      <c r="D1735" s="12">
        <v>5</v>
      </c>
      <c r="E1735" s="12">
        <v>10</v>
      </c>
      <c r="F1735" s="13" t="s">
        <v>6160</v>
      </c>
      <c r="G1735" t="str">
        <f>IFERROR(INDEX(Ticket!$B$2:$B$6001,MATCH(B1735,Ticket!$A$2:$A$6001,0)),"Ticket introuvable")</f>
        <v>AG-008</v>
      </c>
    </row>
    <row r="1736" spans="1:7" x14ac:dyDescent="0.35">
      <c r="A1736" s="6" t="s">
        <v>7892</v>
      </c>
      <c r="B1736" s="8" t="s">
        <v>4341</v>
      </c>
      <c r="C1736" s="7">
        <v>45782</v>
      </c>
      <c r="D1736" s="8">
        <v>3</v>
      </c>
      <c r="E1736" s="8">
        <v>7</v>
      </c>
      <c r="F1736" s="9" t="s">
        <v>8363</v>
      </c>
      <c r="G1736" t="str">
        <f>IFERROR(INDEX(Ticket!$B$2:$B$6001,MATCH(B1736,Ticket!$A$2:$A$6001,0)),"Ticket introuvable")</f>
        <v>AG-028</v>
      </c>
    </row>
    <row r="1737" spans="1:7" x14ac:dyDescent="0.35">
      <c r="A1737" s="10" t="s">
        <v>7893</v>
      </c>
      <c r="B1737" s="12" t="s">
        <v>4927</v>
      </c>
      <c r="C1737" s="11">
        <v>45951</v>
      </c>
      <c r="D1737" s="12">
        <v>4</v>
      </c>
      <c r="E1737" s="12">
        <v>1</v>
      </c>
      <c r="F1737" s="13" t="s">
        <v>8363</v>
      </c>
      <c r="G1737" t="str">
        <f>IFERROR(INDEX(Ticket!$B$2:$B$6001,MATCH(B1737,Ticket!$A$2:$A$6001,0)),"Ticket introuvable")</f>
        <v>AG-014</v>
      </c>
    </row>
    <row r="1738" spans="1:7" x14ac:dyDescent="0.35">
      <c r="A1738" s="6" t="s">
        <v>7894</v>
      </c>
      <c r="B1738" s="8" t="s">
        <v>5800</v>
      </c>
      <c r="C1738" s="7">
        <v>45849</v>
      </c>
      <c r="D1738" s="8">
        <v>5</v>
      </c>
      <c r="E1738" s="8">
        <v>9</v>
      </c>
      <c r="F1738" s="9" t="s">
        <v>6142</v>
      </c>
      <c r="G1738" t="str">
        <f>IFERROR(INDEX(Ticket!$B$2:$B$6001,MATCH(B1738,Ticket!$A$2:$A$6001,0)),"Ticket introuvable")</f>
        <v>AG-008</v>
      </c>
    </row>
    <row r="1739" spans="1:7" x14ac:dyDescent="0.35">
      <c r="A1739" s="10" t="s">
        <v>7895</v>
      </c>
      <c r="B1739" s="12" t="s">
        <v>4989</v>
      </c>
      <c r="C1739" s="11">
        <v>45740</v>
      </c>
      <c r="D1739" s="12">
        <v>3</v>
      </c>
      <c r="E1739" s="12">
        <v>4</v>
      </c>
      <c r="F1739" s="13" t="s">
        <v>8363</v>
      </c>
      <c r="G1739" t="str">
        <f>IFERROR(INDEX(Ticket!$B$2:$B$6001,MATCH(B1739,Ticket!$A$2:$A$6001,0)),"Ticket introuvable")</f>
        <v>AG-020</v>
      </c>
    </row>
    <row r="1740" spans="1:7" x14ac:dyDescent="0.35">
      <c r="A1740" s="6" t="s">
        <v>7896</v>
      </c>
      <c r="B1740" s="8" t="s">
        <v>5817</v>
      </c>
      <c r="C1740" s="7">
        <v>45671</v>
      </c>
      <c r="D1740" s="8">
        <v>5</v>
      </c>
      <c r="E1740" s="8">
        <v>8</v>
      </c>
      <c r="F1740" s="9" t="s">
        <v>6153</v>
      </c>
      <c r="G1740" t="str">
        <f>IFERROR(INDEX(Ticket!$B$2:$B$6001,MATCH(B1740,Ticket!$A$2:$A$6001,0)),"Ticket introuvable")</f>
        <v>AG-027</v>
      </c>
    </row>
    <row r="1741" spans="1:7" x14ac:dyDescent="0.35">
      <c r="A1741" s="10" t="s">
        <v>7897</v>
      </c>
      <c r="B1741" s="12" t="s">
        <v>693</v>
      </c>
      <c r="C1741" s="11">
        <v>45975</v>
      </c>
      <c r="D1741" s="12"/>
      <c r="E1741" s="12">
        <v>10</v>
      </c>
      <c r="F1741" s="13" t="s">
        <v>8363</v>
      </c>
      <c r="G1741" t="str">
        <f>IFERROR(INDEX(Ticket!$B$2:$B$6001,MATCH(B1741,Ticket!$A$2:$A$6001,0)),"Ticket introuvable")</f>
        <v>AG-017</v>
      </c>
    </row>
    <row r="1742" spans="1:7" x14ac:dyDescent="0.35">
      <c r="A1742" s="6" t="s">
        <v>7898</v>
      </c>
      <c r="B1742" s="8" t="s">
        <v>2641</v>
      </c>
      <c r="C1742" s="7">
        <v>45846</v>
      </c>
      <c r="D1742" s="8">
        <v>3</v>
      </c>
      <c r="E1742" s="8">
        <v>10</v>
      </c>
      <c r="F1742" s="9" t="s">
        <v>8363</v>
      </c>
      <c r="G1742" t="str">
        <f>IFERROR(INDEX(Ticket!$B$2:$B$6001,MATCH(B1742,Ticket!$A$2:$A$6001,0)),"Ticket introuvable")</f>
        <v>AG-023</v>
      </c>
    </row>
    <row r="1743" spans="1:7" x14ac:dyDescent="0.35">
      <c r="A1743" s="10" t="s">
        <v>7899</v>
      </c>
      <c r="B1743" s="12" t="s">
        <v>2047</v>
      </c>
      <c r="C1743" s="11">
        <v>45930</v>
      </c>
      <c r="D1743" s="12">
        <v>5</v>
      </c>
      <c r="E1743" s="12">
        <v>8</v>
      </c>
      <c r="F1743" s="13" t="s">
        <v>6148</v>
      </c>
      <c r="G1743" t="str">
        <f>IFERROR(INDEX(Ticket!$B$2:$B$6001,MATCH(B1743,Ticket!$A$2:$A$6001,0)),"Ticket introuvable")</f>
        <v>AG-039</v>
      </c>
    </row>
    <row r="1744" spans="1:7" x14ac:dyDescent="0.35">
      <c r="A1744" s="6" t="s">
        <v>7900</v>
      </c>
      <c r="B1744" s="8" t="s">
        <v>938</v>
      </c>
      <c r="C1744" s="7">
        <v>45915</v>
      </c>
      <c r="D1744" s="8">
        <v>5</v>
      </c>
      <c r="E1744" s="8">
        <v>10</v>
      </c>
      <c r="F1744" s="9" t="s">
        <v>6148</v>
      </c>
      <c r="G1744" t="str">
        <f>IFERROR(INDEX(Ticket!$B$2:$B$6001,MATCH(B1744,Ticket!$A$2:$A$6001,0)),"Ticket introuvable")</f>
        <v>AG-026</v>
      </c>
    </row>
    <row r="1745" spans="1:7" x14ac:dyDescent="0.35">
      <c r="A1745" s="10" t="s">
        <v>7901</v>
      </c>
      <c r="B1745" s="12" t="s">
        <v>5522</v>
      </c>
      <c r="C1745" s="11">
        <v>45670</v>
      </c>
      <c r="D1745" s="12">
        <v>4</v>
      </c>
      <c r="E1745" s="12">
        <v>10</v>
      </c>
      <c r="F1745" s="13" t="s">
        <v>75</v>
      </c>
      <c r="G1745" t="str">
        <f>IFERROR(INDEX(Ticket!$B$2:$B$6001,MATCH(B1745,Ticket!$A$2:$A$6001,0)),"Ticket introuvable")</f>
        <v>AG-014</v>
      </c>
    </row>
    <row r="1746" spans="1:7" x14ac:dyDescent="0.35">
      <c r="A1746" s="6" t="s">
        <v>7902</v>
      </c>
      <c r="B1746" s="8" t="s">
        <v>1472</v>
      </c>
      <c r="C1746" s="7">
        <v>45844</v>
      </c>
      <c r="D1746" s="8">
        <v>5</v>
      </c>
      <c r="E1746" s="8">
        <v>10</v>
      </c>
      <c r="F1746" s="9" t="s">
        <v>8363</v>
      </c>
      <c r="G1746" t="str">
        <f>IFERROR(INDEX(Ticket!$B$2:$B$6001,MATCH(B1746,Ticket!$A$2:$A$6001,0)),"Ticket introuvable")</f>
        <v>AG-033</v>
      </c>
    </row>
    <row r="1747" spans="1:7" x14ac:dyDescent="0.35">
      <c r="A1747" s="10" t="s">
        <v>7903</v>
      </c>
      <c r="B1747" s="12" t="s">
        <v>129</v>
      </c>
      <c r="C1747" s="11">
        <v>45910</v>
      </c>
      <c r="D1747" s="12">
        <v>2</v>
      </c>
      <c r="E1747" s="12">
        <v>8</v>
      </c>
      <c r="F1747" s="13" t="s">
        <v>6160</v>
      </c>
      <c r="G1747" t="str">
        <f>IFERROR(INDEX(Ticket!$B$2:$B$6001,MATCH(B1747,Ticket!$A$2:$A$6001,0)),"Ticket introuvable")</f>
        <v>AG-005</v>
      </c>
    </row>
    <row r="1748" spans="1:7" x14ac:dyDescent="0.35">
      <c r="A1748" s="6" t="s">
        <v>7904</v>
      </c>
      <c r="B1748" s="8" t="s">
        <v>1874</v>
      </c>
      <c r="C1748" s="7">
        <v>45845</v>
      </c>
      <c r="D1748" s="8">
        <v>5</v>
      </c>
      <c r="E1748" s="8">
        <v>7</v>
      </c>
      <c r="F1748" s="9" t="s">
        <v>6160</v>
      </c>
      <c r="G1748" t="str">
        <f>IFERROR(INDEX(Ticket!$B$2:$B$6001,MATCH(B1748,Ticket!$A$2:$A$6001,0)),"Ticket introuvable")</f>
        <v>AG-025</v>
      </c>
    </row>
    <row r="1749" spans="1:7" x14ac:dyDescent="0.35">
      <c r="A1749" s="10" t="s">
        <v>7905</v>
      </c>
      <c r="B1749" s="12" t="s">
        <v>2811</v>
      </c>
      <c r="C1749" s="11">
        <v>45962</v>
      </c>
      <c r="D1749" s="12">
        <v>5</v>
      </c>
      <c r="E1749" s="12">
        <v>10</v>
      </c>
      <c r="F1749" s="13" t="s">
        <v>75</v>
      </c>
      <c r="G1749" t="str">
        <f>IFERROR(INDEX(Ticket!$B$2:$B$6001,MATCH(B1749,Ticket!$A$2:$A$6001,0)),"Ticket introuvable")</f>
        <v>AG-039</v>
      </c>
    </row>
    <row r="1750" spans="1:7" x14ac:dyDescent="0.35">
      <c r="A1750" s="6" t="s">
        <v>7906</v>
      </c>
      <c r="B1750" s="8" t="s">
        <v>5687</v>
      </c>
      <c r="C1750" s="7">
        <v>45996</v>
      </c>
      <c r="D1750" s="8">
        <v>1</v>
      </c>
      <c r="E1750" s="8">
        <v>9</v>
      </c>
      <c r="F1750" s="9" t="s">
        <v>75</v>
      </c>
      <c r="G1750" t="str">
        <f>IFERROR(INDEX(Ticket!$B$2:$B$6001,MATCH(B1750,Ticket!$A$2:$A$6001,0)),"Ticket introuvable")</f>
        <v>AG-039</v>
      </c>
    </row>
    <row r="1751" spans="1:7" x14ac:dyDescent="0.35">
      <c r="A1751" s="10" t="s">
        <v>7907</v>
      </c>
      <c r="B1751" s="12" t="s">
        <v>599</v>
      </c>
      <c r="C1751" s="11">
        <v>45735</v>
      </c>
      <c r="D1751" s="12">
        <v>3</v>
      </c>
      <c r="E1751" s="12">
        <v>9</v>
      </c>
      <c r="F1751" s="13" t="s">
        <v>6148</v>
      </c>
      <c r="G1751" t="str">
        <f>IFERROR(INDEX(Ticket!$B$2:$B$6001,MATCH(B1751,Ticket!$A$2:$A$6001,0)),"Ticket introuvable")</f>
        <v>AG-022</v>
      </c>
    </row>
    <row r="1752" spans="1:7" x14ac:dyDescent="0.35">
      <c r="A1752" s="6" t="s">
        <v>7908</v>
      </c>
      <c r="B1752" s="8" t="s">
        <v>5084</v>
      </c>
      <c r="C1752" s="7">
        <v>45924</v>
      </c>
      <c r="D1752" s="8">
        <v>5</v>
      </c>
      <c r="E1752" s="8">
        <v>10</v>
      </c>
      <c r="F1752" s="9" t="s">
        <v>8363</v>
      </c>
      <c r="G1752" t="str">
        <f>IFERROR(INDEX(Ticket!$B$2:$B$6001,MATCH(B1752,Ticket!$A$2:$A$6001,0)),"Ticket introuvable")</f>
        <v>AG-027</v>
      </c>
    </row>
    <row r="1753" spans="1:7" x14ac:dyDescent="0.35">
      <c r="A1753" s="10" t="s">
        <v>7909</v>
      </c>
      <c r="B1753" s="12" t="s">
        <v>3501</v>
      </c>
      <c r="C1753" s="11">
        <v>45795</v>
      </c>
      <c r="D1753" s="12">
        <v>5</v>
      </c>
      <c r="E1753" s="12">
        <v>9</v>
      </c>
      <c r="F1753" s="13" t="s">
        <v>6148</v>
      </c>
      <c r="G1753" t="str">
        <f>IFERROR(INDEX(Ticket!$B$2:$B$6001,MATCH(B1753,Ticket!$A$2:$A$6001,0)),"Ticket introuvable")</f>
        <v>AG-028</v>
      </c>
    </row>
    <row r="1754" spans="1:7" x14ac:dyDescent="0.35">
      <c r="A1754" s="6" t="s">
        <v>7910</v>
      </c>
      <c r="B1754" s="8" t="s">
        <v>3494</v>
      </c>
      <c r="C1754" s="7">
        <v>45878</v>
      </c>
      <c r="D1754" s="8">
        <v>4</v>
      </c>
      <c r="E1754" s="8">
        <v>1</v>
      </c>
      <c r="F1754" s="9" t="s">
        <v>8363</v>
      </c>
      <c r="G1754" t="str">
        <f>IFERROR(INDEX(Ticket!$B$2:$B$6001,MATCH(B1754,Ticket!$A$2:$A$6001,0)),"Ticket introuvable")</f>
        <v>AG-036</v>
      </c>
    </row>
    <row r="1755" spans="1:7" x14ac:dyDescent="0.35">
      <c r="A1755" s="10" t="s">
        <v>7911</v>
      </c>
      <c r="B1755" s="12" t="s">
        <v>1415</v>
      </c>
      <c r="C1755" s="11">
        <v>45902</v>
      </c>
      <c r="D1755" s="12">
        <v>4</v>
      </c>
      <c r="E1755" s="12"/>
      <c r="F1755" s="13" t="s">
        <v>6142</v>
      </c>
      <c r="G1755" t="str">
        <f>IFERROR(INDEX(Ticket!$B$2:$B$6001,MATCH(B1755,Ticket!$A$2:$A$6001,0)),"Ticket introuvable")</f>
        <v>AG-036</v>
      </c>
    </row>
    <row r="1756" spans="1:7" x14ac:dyDescent="0.35">
      <c r="A1756" s="6" t="s">
        <v>7912</v>
      </c>
      <c r="B1756" s="8" t="s">
        <v>4016</v>
      </c>
      <c r="C1756" s="7">
        <v>45931</v>
      </c>
      <c r="D1756" s="8">
        <v>3</v>
      </c>
      <c r="E1756" s="8">
        <v>8</v>
      </c>
      <c r="F1756" s="9" t="s">
        <v>6142</v>
      </c>
      <c r="G1756" t="str">
        <f>IFERROR(INDEX(Ticket!$B$2:$B$6001,MATCH(B1756,Ticket!$A$2:$A$6001,0)),"Ticket introuvable")</f>
        <v>AG-015</v>
      </c>
    </row>
    <row r="1757" spans="1:7" x14ac:dyDescent="0.35">
      <c r="A1757" s="10" t="s">
        <v>7913</v>
      </c>
      <c r="B1757" s="12" t="s">
        <v>3223</v>
      </c>
      <c r="C1757" s="11">
        <v>45966</v>
      </c>
      <c r="D1757" s="12">
        <v>4</v>
      </c>
      <c r="E1757" s="12">
        <v>9</v>
      </c>
      <c r="F1757" s="13" t="s">
        <v>75</v>
      </c>
      <c r="G1757" t="str">
        <f>IFERROR(INDEX(Ticket!$B$2:$B$6001,MATCH(B1757,Ticket!$A$2:$A$6001,0)),"Ticket introuvable")</f>
        <v>AG-032</v>
      </c>
    </row>
    <row r="1758" spans="1:7" x14ac:dyDescent="0.35">
      <c r="A1758" s="6" t="s">
        <v>7914</v>
      </c>
      <c r="B1758" s="8" t="s">
        <v>4196</v>
      </c>
      <c r="C1758" s="7">
        <v>45901</v>
      </c>
      <c r="D1758" s="8">
        <v>5</v>
      </c>
      <c r="E1758" s="8">
        <v>10</v>
      </c>
      <c r="F1758" s="9" t="s">
        <v>8363</v>
      </c>
      <c r="G1758" t="str">
        <f>IFERROR(INDEX(Ticket!$B$2:$B$6001,MATCH(B1758,Ticket!$A$2:$A$6001,0)),"Ticket introuvable")</f>
        <v>AG-023</v>
      </c>
    </row>
    <row r="1759" spans="1:7" x14ac:dyDescent="0.35">
      <c r="A1759" s="10" t="s">
        <v>7915</v>
      </c>
      <c r="B1759" s="12" t="s">
        <v>7916</v>
      </c>
      <c r="C1759" s="11">
        <v>45746</v>
      </c>
      <c r="D1759" s="12"/>
      <c r="E1759" s="12">
        <v>5</v>
      </c>
      <c r="F1759" s="13" t="s">
        <v>75</v>
      </c>
      <c r="G1759" t="str">
        <f>IFERROR(INDEX(Ticket!$B$2:$B$6001,MATCH(B1759,Ticket!$A$2:$A$6001,0)),"Ticket introuvable")</f>
        <v>Ticket introuvable</v>
      </c>
    </row>
    <row r="1760" spans="1:7" x14ac:dyDescent="0.35">
      <c r="A1760" s="6" t="s">
        <v>7917</v>
      </c>
      <c r="B1760" s="8" t="s">
        <v>1497</v>
      </c>
      <c r="C1760" s="7">
        <v>45772</v>
      </c>
      <c r="D1760" s="8">
        <v>1</v>
      </c>
      <c r="E1760" s="8">
        <v>9</v>
      </c>
      <c r="F1760" s="9" t="s">
        <v>75</v>
      </c>
      <c r="G1760" t="str">
        <f>IFERROR(INDEX(Ticket!$B$2:$B$6001,MATCH(B1760,Ticket!$A$2:$A$6001,0)),"Ticket introuvable")</f>
        <v>AG-006</v>
      </c>
    </row>
    <row r="1761" spans="1:7" x14ac:dyDescent="0.35">
      <c r="A1761" s="10" t="s">
        <v>7918</v>
      </c>
      <c r="B1761" s="12" t="s">
        <v>1367</v>
      </c>
      <c r="C1761" s="11">
        <v>46020</v>
      </c>
      <c r="D1761" s="12">
        <v>4</v>
      </c>
      <c r="E1761" s="12">
        <v>8</v>
      </c>
      <c r="F1761" s="13" t="s">
        <v>6142</v>
      </c>
      <c r="G1761" t="str">
        <f>IFERROR(INDEX(Ticket!$B$2:$B$6001,MATCH(B1761,Ticket!$A$2:$A$6001,0)),"Ticket introuvable")</f>
        <v>AG-039</v>
      </c>
    </row>
    <row r="1762" spans="1:7" x14ac:dyDescent="0.35">
      <c r="A1762" s="6" t="s">
        <v>7919</v>
      </c>
      <c r="B1762" s="8" t="s">
        <v>5404</v>
      </c>
      <c r="C1762" s="7">
        <v>45920</v>
      </c>
      <c r="D1762" s="8">
        <v>3</v>
      </c>
      <c r="E1762" s="8">
        <v>8</v>
      </c>
      <c r="F1762" s="9" t="s">
        <v>75</v>
      </c>
      <c r="G1762" t="str">
        <f>IFERROR(INDEX(Ticket!$B$2:$B$6001,MATCH(B1762,Ticket!$A$2:$A$6001,0)),"Ticket introuvable")</f>
        <v>AG-029</v>
      </c>
    </row>
    <row r="1763" spans="1:7" x14ac:dyDescent="0.35">
      <c r="A1763" s="10" t="s">
        <v>7920</v>
      </c>
      <c r="B1763" s="12" t="s">
        <v>5575</v>
      </c>
      <c r="C1763" s="11">
        <v>45668</v>
      </c>
      <c r="D1763" s="12">
        <v>2</v>
      </c>
      <c r="E1763" s="12">
        <v>8</v>
      </c>
      <c r="F1763" s="13" t="s">
        <v>75</v>
      </c>
      <c r="G1763" t="str">
        <f>IFERROR(INDEX(Ticket!$B$2:$B$6001,MATCH(B1763,Ticket!$A$2:$A$6001,0)),"Ticket introuvable")</f>
        <v>AG-015</v>
      </c>
    </row>
    <row r="1764" spans="1:7" x14ac:dyDescent="0.35">
      <c r="A1764" s="6" t="s">
        <v>7921</v>
      </c>
      <c r="B1764" s="8" t="s">
        <v>1604</v>
      </c>
      <c r="C1764" s="7">
        <v>45872</v>
      </c>
      <c r="D1764" s="8">
        <v>5</v>
      </c>
      <c r="E1764" s="8">
        <v>6</v>
      </c>
      <c r="F1764" s="9" t="s">
        <v>6142</v>
      </c>
      <c r="G1764" t="str">
        <f>IFERROR(INDEX(Ticket!$B$2:$B$6001,MATCH(B1764,Ticket!$A$2:$A$6001,0)),"Ticket introuvable")</f>
        <v>AG-025</v>
      </c>
    </row>
    <row r="1765" spans="1:7" x14ac:dyDescent="0.35">
      <c r="A1765" s="10" t="s">
        <v>7922</v>
      </c>
      <c r="B1765" s="12" t="s">
        <v>5554</v>
      </c>
      <c r="C1765" s="11">
        <v>45688</v>
      </c>
      <c r="D1765" s="12">
        <v>5</v>
      </c>
      <c r="E1765" s="12">
        <v>10</v>
      </c>
      <c r="F1765" s="13" t="s">
        <v>6160</v>
      </c>
      <c r="G1765" t="str">
        <f>IFERROR(INDEX(Ticket!$B$2:$B$6001,MATCH(B1765,Ticket!$A$2:$A$6001,0)),"Ticket introuvable")</f>
        <v>AG-019</v>
      </c>
    </row>
    <row r="1766" spans="1:7" x14ac:dyDescent="0.35">
      <c r="A1766" s="6" t="s">
        <v>7923</v>
      </c>
      <c r="B1766" s="8" t="s">
        <v>2981</v>
      </c>
      <c r="C1766" s="7">
        <v>45858</v>
      </c>
      <c r="D1766" s="8">
        <v>4</v>
      </c>
      <c r="E1766" s="8">
        <v>10</v>
      </c>
      <c r="F1766" s="9" t="s">
        <v>6142</v>
      </c>
      <c r="G1766" t="str">
        <f>IFERROR(INDEX(Ticket!$B$2:$B$6001,MATCH(B1766,Ticket!$A$2:$A$6001,0)),"Ticket introuvable")</f>
        <v>AG-003</v>
      </c>
    </row>
    <row r="1767" spans="1:7" x14ac:dyDescent="0.35">
      <c r="A1767" s="10" t="s">
        <v>7924</v>
      </c>
      <c r="B1767" s="12" t="s">
        <v>1461</v>
      </c>
      <c r="C1767" s="11">
        <v>45865</v>
      </c>
      <c r="D1767" s="12">
        <v>4</v>
      </c>
      <c r="E1767" s="12">
        <v>9</v>
      </c>
      <c r="F1767" s="13" t="s">
        <v>6160</v>
      </c>
      <c r="G1767" t="str">
        <f>IFERROR(INDEX(Ticket!$B$2:$B$6001,MATCH(B1767,Ticket!$A$2:$A$6001,0)),"Ticket introuvable")</f>
        <v>AG-037</v>
      </c>
    </row>
    <row r="1768" spans="1:7" x14ac:dyDescent="0.35">
      <c r="A1768" s="6" t="s">
        <v>7925</v>
      </c>
      <c r="B1768" s="8" t="s">
        <v>4709</v>
      </c>
      <c r="C1768" s="7">
        <v>45981</v>
      </c>
      <c r="D1768" s="8">
        <v>5</v>
      </c>
      <c r="E1768" s="8">
        <v>9</v>
      </c>
      <c r="F1768" s="9" t="s">
        <v>6160</v>
      </c>
      <c r="G1768" t="str">
        <f>IFERROR(INDEX(Ticket!$B$2:$B$6001,MATCH(B1768,Ticket!$A$2:$A$6001,0)),"Ticket introuvable")</f>
        <v>AG-026</v>
      </c>
    </row>
    <row r="1769" spans="1:7" x14ac:dyDescent="0.35">
      <c r="A1769" s="10" t="s">
        <v>7926</v>
      </c>
      <c r="B1769" s="12" t="s">
        <v>2901</v>
      </c>
      <c r="C1769" s="11">
        <v>45733</v>
      </c>
      <c r="D1769" s="12">
        <v>4</v>
      </c>
      <c r="E1769" s="12">
        <v>8</v>
      </c>
      <c r="F1769" s="13" t="s">
        <v>6153</v>
      </c>
      <c r="G1769" t="str">
        <f>IFERROR(INDEX(Ticket!$B$2:$B$6001,MATCH(B1769,Ticket!$A$2:$A$6001,0)),"Ticket introuvable")</f>
        <v>AG-023</v>
      </c>
    </row>
    <row r="1770" spans="1:7" x14ac:dyDescent="0.35">
      <c r="A1770" s="6" t="s">
        <v>7927</v>
      </c>
      <c r="B1770" s="8" t="s">
        <v>3252</v>
      </c>
      <c r="C1770" s="7">
        <v>45841</v>
      </c>
      <c r="D1770" s="8">
        <v>5</v>
      </c>
      <c r="E1770" s="8">
        <v>8</v>
      </c>
      <c r="F1770" s="9" t="s">
        <v>6153</v>
      </c>
      <c r="G1770" t="str">
        <f>IFERROR(INDEX(Ticket!$B$2:$B$6001,MATCH(B1770,Ticket!$A$2:$A$6001,0)),"Ticket introuvable")</f>
        <v>AG-026</v>
      </c>
    </row>
    <row r="1771" spans="1:7" x14ac:dyDescent="0.35">
      <c r="A1771" s="10" t="s">
        <v>7928</v>
      </c>
      <c r="B1771" s="12" t="s">
        <v>2195</v>
      </c>
      <c r="C1771" s="11">
        <v>45828</v>
      </c>
      <c r="D1771" s="12">
        <v>4</v>
      </c>
      <c r="E1771" s="12">
        <v>10</v>
      </c>
      <c r="F1771" s="13" t="s">
        <v>6160</v>
      </c>
      <c r="G1771" t="str">
        <f>IFERROR(INDEX(Ticket!$B$2:$B$6001,MATCH(B1771,Ticket!$A$2:$A$6001,0)),"Ticket introuvable")</f>
        <v>AG-027</v>
      </c>
    </row>
    <row r="1772" spans="1:7" x14ac:dyDescent="0.35">
      <c r="A1772" s="6" t="s">
        <v>7929</v>
      </c>
      <c r="B1772" s="8" t="s">
        <v>1357</v>
      </c>
      <c r="C1772" s="7">
        <v>45978</v>
      </c>
      <c r="D1772" s="8">
        <v>3</v>
      </c>
      <c r="E1772" s="8">
        <v>7</v>
      </c>
      <c r="F1772" s="9" t="s">
        <v>8363</v>
      </c>
      <c r="G1772" t="str">
        <f>IFERROR(INDEX(Ticket!$B$2:$B$6001,MATCH(B1772,Ticket!$A$2:$A$6001,0)),"Ticket introuvable")</f>
        <v>AG-006</v>
      </c>
    </row>
    <row r="1773" spans="1:7" x14ac:dyDescent="0.35">
      <c r="A1773" s="10" t="s">
        <v>7930</v>
      </c>
      <c r="B1773" s="12" t="s">
        <v>437</v>
      </c>
      <c r="C1773" s="11">
        <v>45994</v>
      </c>
      <c r="D1773" s="12">
        <v>3</v>
      </c>
      <c r="E1773" s="12">
        <v>7</v>
      </c>
      <c r="F1773" s="13" t="s">
        <v>6142</v>
      </c>
      <c r="G1773" t="str">
        <f>IFERROR(INDEX(Ticket!$B$2:$B$6001,MATCH(B1773,Ticket!$A$2:$A$6001,0)),"Ticket introuvable")</f>
        <v>AG-022</v>
      </c>
    </row>
    <row r="1774" spans="1:7" x14ac:dyDescent="0.35">
      <c r="A1774" s="6" t="s">
        <v>7931</v>
      </c>
      <c r="B1774" s="8" t="s">
        <v>3225</v>
      </c>
      <c r="C1774" s="7">
        <v>46010</v>
      </c>
      <c r="D1774" s="8">
        <v>4</v>
      </c>
      <c r="E1774" s="8">
        <v>5</v>
      </c>
      <c r="F1774" s="9" t="s">
        <v>6153</v>
      </c>
      <c r="G1774" t="str">
        <f>IFERROR(INDEX(Ticket!$B$2:$B$6001,MATCH(B1774,Ticket!$A$2:$A$6001,0)),"Ticket introuvable")</f>
        <v>AG-031</v>
      </c>
    </row>
    <row r="1775" spans="1:7" x14ac:dyDescent="0.35">
      <c r="A1775" s="10" t="s">
        <v>7932</v>
      </c>
      <c r="B1775" s="12" t="s">
        <v>4705</v>
      </c>
      <c r="C1775" s="11">
        <v>45680</v>
      </c>
      <c r="D1775" s="12">
        <v>3</v>
      </c>
      <c r="E1775" s="12">
        <v>8</v>
      </c>
      <c r="F1775" s="13" t="s">
        <v>8363</v>
      </c>
      <c r="G1775" t="str">
        <f>IFERROR(INDEX(Ticket!$B$2:$B$6001,MATCH(B1775,Ticket!$A$2:$A$6001,0)),"Ticket introuvable")</f>
        <v>AG-026</v>
      </c>
    </row>
    <row r="1776" spans="1:7" x14ac:dyDescent="0.35">
      <c r="A1776" s="6" t="s">
        <v>7933</v>
      </c>
      <c r="B1776" s="8" t="s">
        <v>1749</v>
      </c>
      <c r="C1776" s="7">
        <v>45925</v>
      </c>
      <c r="D1776" s="8">
        <v>5</v>
      </c>
      <c r="E1776" s="8">
        <v>1</v>
      </c>
      <c r="F1776" s="9" t="s">
        <v>8363</v>
      </c>
      <c r="G1776" t="str">
        <f>IFERROR(INDEX(Ticket!$B$2:$B$6001,MATCH(B1776,Ticket!$A$2:$A$6001,0)),"Ticket introuvable")</f>
        <v>AG-025</v>
      </c>
    </row>
    <row r="1777" spans="1:7" x14ac:dyDescent="0.35">
      <c r="A1777" s="10" t="s">
        <v>7934</v>
      </c>
      <c r="B1777" s="12" t="s">
        <v>5011</v>
      </c>
      <c r="C1777" s="11">
        <v>45947</v>
      </c>
      <c r="D1777" s="12">
        <v>5</v>
      </c>
      <c r="E1777" s="12">
        <v>8</v>
      </c>
      <c r="F1777" s="13" t="s">
        <v>75</v>
      </c>
      <c r="G1777" t="str">
        <f>IFERROR(INDEX(Ticket!$B$2:$B$6001,MATCH(B1777,Ticket!$A$2:$A$6001,0)),"Ticket introuvable")</f>
        <v>AG-033</v>
      </c>
    </row>
    <row r="1778" spans="1:7" x14ac:dyDescent="0.35">
      <c r="A1778" s="6" t="s">
        <v>7935</v>
      </c>
      <c r="B1778" s="8" t="s">
        <v>2220</v>
      </c>
      <c r="C1778" s="7">
        <v>45875</v>
      </c>
      <c r="D1778" s="8">
        <v>4</v>
      </c>
      <c r="E1778" s="8"/>
      <c r="F1778" s="9" t="s">
        <v>8363</v>
      </c>
      <c r="G1778" t="str">
        <f>IFERROR(INDEX(Ticket!$B$2:$B$6001,MATCH(B1778,Ticket!$A$2:$A$6001,0)),"Ticket introuvable")</f>
        <v>AG-026</v>
      </c>
    </row>
    <row r="1779" spans="1:7" x14ac:dyDescent="0.35">
      <c r="A1779" s="10" t="s">
        <v>7936</v>
      </c>
      <c r="B1779" s="12" t="s">
        <v>4292</v>
      </c>
      <c r="C1779" s="11">
        <v>46003</v>
      </c>
      <c r="D1779" s="12">
        <v>3</v>
      </c>
      <c r="E1779" s="12">
        <v>9</v>
      </c>
      <c r="F1779" s="13" t="s">
        <v>6148</v>
      </c>
      <c r="G1779" t="str">
        <f>IFERROR(INDEX(Ticket!$B$2:$B$6001,MATCH(B1779,Ticket!$A$2:$A$6001,0)),"Ticket introuvable")</f>
        <v>AG-029</v>
      </c>
    </row>
    <row r="1780" spans="1:7" x14ac:dyDescent="0.35">
      <c r="A1780" s="6" t="s">
        <v>7937</v>
      </c>
      <c r="B1780" s="8" t="s">
        <v>5987</v>
      </c>
      <c r="C1780" s="7">
        <v>45762</v>
      </c>
      <c r="D1780" s="8">
        <v>5</v>
      </c>
      <c r="E1780" s="8">
        <v>10</v>
      </c>
      <c r="F1780" s="9" t="s">
        <v>6142</v>
      </c>
      <c r="G1780" t="str">
        <f>IFERROR(INDEX(Ticket!$B$2:$B$6001,MATCH(B1780,Ticket!$A$2:$A$6001,0)),"Ticket introuvable")</f>
        <v>AG-034</v>
      </c>
    </row>
    <row r="1781" spans="1:7" x14ac:dyDescent="0.35">
      <c r="A1781" s="10" t="s">
        <v>7938</v>
      </c>
      <c r="B1781" s="12" t="s">
        <v>1580</v>
      </c>
      <c r="C1781" s="11">
        <v>45921</v>
      </c>
      <c r="D1781" s="12">
        <v>1</v>
      </c>
      <c r="E1781" s="12">
        <v>3</v>
      </c>
      <c r="F1781" s="13" t="s">
        <v>8363</v>
      </c>
      <c r="G1781" t="str">
        <f>IFERROR(INDEX(Ticket!$B$2:$B$6001,MATCH(B1781,Ticket!$A$2:$A$6001,0)),"Ticket introuvable")</f>
        <v>AG-015</v>
      </c>
    </row>
    <row r="1782" spans="1:7" x14ac:dyDescent="0.35">
      <c r="A1782" s="6" t="s">
        <v>7939</v>
      </c>
      <c r="B1782" s="8" t="s">
        <v>7940</v>
      </c>
      <c r="C1782" s="7">
        <v>45658</v>
      </c>
      <c r="D1782" s="8">
        <v>1</v>
      </c>
      <c r="E1782" s="8">
        <v>2</v>
      </c>
      <c r="F1782" s="9" t="s">
        <v>8363</v>
      </c>
      <c r="G1782" t="str">
        <f>IFERROR(INDEX(Ticket!$B$2:$B$6001,MATCH(B1782,Ticket!$A$2:$A$6001,0)),"Ticket introuvable")</f>
        <v>Ticket introuvable</v>
      </c>
    </row>
    <row r="1783" spans="1:7" x14ac:dyDescent="0.35">
      <c r="A1783" s="10" t="s">
        <v>7941</v>
      </c>
      <c r="B1783" s="12" t="s">
        <v>3683</v>
      </c>
      <c r="C1783" s="11">
        <v>45952</v>
      </c>
      <c r="D1783" s="12">
        <v>2</v>
      </c>
      <c r="E1783" s="12">
        <v>10</v>
      </c>
      <c r="F1783" s="13" t="s">
        <v>8363</v>
      </c>
      <c r="G1783" t="str">
        <f>IFERROR(INDEX(Ticket!$B$2:$B$6001,MATCH(B1783,Ticket!$A$2:$A$6001,0)),"Ticket introuvable")</f>
        <v>AG-037</v>
      </c>
    </row>
    <row r="1784" spans="1:7" x14ac:dyDescent="0.35">
      <c r="A1784" s="6" t="s">
        <v>7942</v>
      </c>
      <c r="B1784" s="8" t="s">
        <v>2461</v>
      </c>
      <c r="C1784" s="7">
        <v>45957</v>
      </c>
      <c r="D1784" s="8">
        <v>4</v>
      </c>
      <c r="E1784" s="8">
        <v>8</v>
      </c>
      <c r="F1784" s="9" t="s">
        <v>6160</v>
      </c>
      <c r="G1784" t="str">
        <f>IFERROR(INDEX(Ticket!$B$2:$B$6001,MATCH(B1784,Ticket!$A$2:$A$6001,0)),"Ticket introuvable")</f>
        <v>AG-033</v>
      </c>
    </row>
    <row r="1785" spans="1:7" x14ac:dyDescent="0.35">
      <c r="A1785" s="10" t="s">
        <v>7943</v>
      </c>
      <c r="B1785" s="12" t="s">
        <v>5738</v>
      </c>
      <c r="C1785" s="11">
        <v>45861</v>
      </c>
      <c r="D1785" s="12">
        <v>2</v>
      </c>
      <c r="E1785" s="12"/>
      <c r="F1785" s="13" t="s">
        <v>6148</v>
      </c>
      <c r="G1785" t="str">
        <f>IFERROR(INDEX(Ticket!$B$2:$B$6001,MATCH(B1785,Ticket!$A$2:$A$6001,0)),"Ticket introuvable")</f>
        <v>AG-037</v>
      </c>
    </row>
    <row r="1786" spans="1:7" x14ac:dyDescent="0.35">
      <c r="A1786" s="6" t="s">
        <v>7944</v>
      </c>
      <c r="B1786" s="8" t="s">
        <v>4465</v>
      </c>
      <c r="C1786" s="7">
        <v>45803</v>
      </c>
      <c r="D1786" s="8">
        <v>4</v>
      </c>
      <c r="E1786" s="8">
        <v>6</v>
      </c>
      <c r="F1786" s="9" t="s">
        <v>6142</v>
      </c>
      <c r="G1786" t="str">
        <f>IFERROR(INDEX(Ticket!$B$2:$B$6001,MATCH(B1786,Ticket!$A$2:$A$6001,0)),"Ticket introuvable")</f>
        <v>AG-025</v>
      </c>
    </row>
    <row r="1787" spans="1:7" x14ac:dyDescent="0.35">
      <c r="A1787" s="10" t="s">
        <v>7945</v>
      </c>
      <c r="B1787" s="12" t="s">
        <v>518</v>
      </c>
      <c r="C1787" s="11">
        <v>46014</v>
      </c>
      <c r="D1787" s="12">
        <v>3</v>
      </c>
      <c r="E1787" s="12">
        <v>8</v>
      </c>
      <c r="F1787" s="13" t="s">
        <v>6148</v>
      </c>
      <c r="G1787" t="str">
        <f>IFERROR(INDEX(Ticket!$B$2:$B$6001,MATCH(B1787,Ticket!$A$2:$A$6001,0)),"Ticket introuvable")</f>
        <v>AG-011</v>
      </c>
    </row>
    <row r="1788" spans="1:7" x14ac:dyDescent="0.35">
      <c r="A1788" s="6" t="s">
        <v>7946</v>
      </c>
      <c r="B1788" s="8" t="s">
        <v>4126</v>
      </c>
      <c r="C1788" s="7">
        <v>45965</v>
      </c>
      <c r="D1788" s="8">
        <v>3</v>
      </c>
      <c r="E1788" s="8">
        <v>1</v>
      </c>
      <c r="F1788" s="9" t="s">
        <v>6160</v>
      </c>
      <c r="G1788" t="str">
        <f>IFERROR(INDEX(Ticket!$B$2:$B$6001,MATCH(B1788,Ticket!$A$2:$A$6001,0)),"Ticket introuvable")</f>
        <v>AG-033</v>
      </c>
    </row>
    <row r="1789" spans="1:7" x14ac:dyDescent="0.35">
      <c r="A1789" s="10" t="s">
        <v>7947</v>
      </c>
      <c r="B1789" s="12" t="s">
        <v>637</v>
      </c>
      <c r="C1789" s="11">
        <v>45702</v>
      </c>
      <c r="D1789" s="12">
        <v>5</v>
      </c>
      <c r="E1789" s="12">
        <v>6</v>
      </c>
      <c r="F1789" s="13" t="s">
        <v>6148</v>
      </c>
      <c r="G1789" t="str">
        <f>IFERROR(INDEX(Ticket!$B$2:$B$6001,MATCH(B1789,Ticket!$A$2:$A$6001,0)),"Ticket introuvable")</f>
        <v>AG-008</v>
      </c>
    </row>
    <row r="1790" spans="1:7" x14ac:dyDescent="0.35">
      <c r="A1790" s="6" t="s">
        <v>7948</v>
      </c>
      <c r="B1790" s="8" t="s">
        <v>3237</v>
      </c>
      <c r="C1790" s="7">
        <v>45885</v>
      </c>
      <c r="D1790" s="8">
        <v>4</v>
      </c>
      <c r="E1790" s="8">
        <v>9</v>
      </c>
      <c r="F1790" s="9" t="s">
        <v>6160</v>
      </c>
      <c r="G1790" t="str">
        <f>IFERROR(INDEX(Ticket!$B$2:$B$6001,MATCH(B1790,Ticket!$A$2:$A$6001,0)),"Ticket introuvable")</f>
        <v>AG-028</v>
      </c>
    </row>
    <row r="1791" spans="1:7" x14ac:dyDescent="0.35">
      <c r="A1791" s="10" t="s">
        <v>7949</v>
      </c>
      <c r="B1791" s="12" t="s">
        <v>796</v>
      </c>
      <c r="C1791" s="11">
        <v>45854</v>
      </c>
      <c r="D1791" s="12">
        <v>4</v>
      </c>
      <c r="E1791" s="12">
        <v>7</v>
      </c>
      <c r="F1791" s="13" t="s">
        <v>6142</v>
      </c>
      <c r="G1791" t="str">
        <f>IFERROR(INDEX(Ticket!$B$2:$B$6001,MATCH(B1791,Ticket!$A$2:$A$6001,0)),"Ticket introuvable")</f>
        <v>AG-037</v>
      </c>
    </row>
    <row r="1792" spans="1:7" x14ac:dyDescent="0.35">
      <c r="A1792" s="6" t="s">
        <v>7950</v>
      </c>
      <c r="B1792" s="8" t="s">
        <v>2884</v>
      </c>
      <c r="C1792" s="7">
        <v>45957</v>
      </c>
      <c r="D1792" s="8">
        <v>5</v>
      </c>
      <c r="E1792" s="8">
        <v>5</v>
      </c>
      <c r="F1792" s="9" t="s">
        <v>6148</v>
      </c>
      <c r="G1792" t="str">
        <f>IFERROR(INDEX(Ticket!$B$2:$B$6001,MATCH(B1792,Ticket!$A$2:$A$6001,0)),"Ticket introuvable")</f>
        <v>AG-006</v>
      </c>
    </row>
    <row r="1793" spans="1:7" x14ac:dyDescent="0.35">
      <c r="A1793" s="10" t="s">
        <v>7951</v>
      </c>
      <c r="B1793" s="12" t="s">
        <v>5211</v>
      </c>
      <c r="C1793" s="11">
        <v>45973</v>
      </c>
      <c r="D1793" s="12">
        <v>5</v>
      </c>
      <c r="E1793" s="12">
        <v>2</v>
      </c>
      <c r="F1793" s="13" t="s">
        <v>75</v>
      </c>
      <c r="G1793" t="str">
        <f>IFERROR(INDEX(Ticket!$B$2:$B$6001,MATCH(B1793,Ticket!$A$2:$A$6001,0)),"Ticket introuvable")</f>
        <v>AG-025</v>
      </c>
    </row>
    <row r="1794" spans="1:7" x14ac:dyDescent="0.35">
      <c r="A1794" s="6" t="s">
        <v>7952</v>
      </c>
      <c r="B1794" s="8" t="s">
        <v>2617</v>
      </c>
      <c r="C1794" s="7">
        <v>45874</v>
      </c>
      <c r="D1794" s="8">
        <v>5</v>
      </c>
      <c r="E1794" s="8">
        <v>3</v>
      </c>
      <c r="F1794" s="9" t="s">
        <v>6160</v>
      </c>
      <c r="G1794" t="str">
        <f>IFERROR(INDEX(Ticket!$B$2:$B$6001,MATCH(B1794,Ticket!$A$2:$A$6001,0)),"Ticket introuvable")</f>
        <v>AG-026</v>
      </c>
    </row>
    <row r="1795" spans="1:7" x14ac:dyDescent="0.35">
      <c r="A1795" s="10" t="s">
        <v>7953</v>
      </c>
      <c r="B1795" s="12" t="s">
        <v>2850</v>
      </c>
      <c r="C1795" s="11">
        <v>45884</v>
      </c>
      <c r="D1795" s="12">
        <v>5</v>
      </c>
      <c r="E1795" s="12">
        <v>5</v>
      </c>
      <c r="F1795" s="13" t="s">
        <v>75</v>
      </c>
      <c r="G1795" t="str">
        <f>IFERROR(INDEX(Ticket!$B$2:$B$6001,MATCH(B1795,Ticket!$A$2:$A$6001,0)),"Ticket introuvable")</f>
        <v>AG-031</v>
      </c>
    </row>
    <row r="1796" spans="1:7" x14ac:dyDescent="0.35">
      <c r="A1796" s="6" t="s">
        <v>7954</v>
      </c>
      <c r="B1796" s="8" t="s">
        <v>3212</v>
      </c>
      <c r="C1796" s="7">
        <v>45852</v>
      </c>
      <c r="D1796" s="8">
        <v>5</v>
      </c>
      <c r="E1796" s="8">
        <v>2</v>
      </c>
      <c r="F1796" s="9" t="s">
        <v>8363</v>
      </c>
      <c r="G1796" t="str">
        <f>IFERROR(INDEX(Ticket!$B$2:$B$6001,MATCH(B1796,Ticket!$A$2:$A$6001,0)),"Ticket introuvable")</f>
        <v>AG-010</v>
      </c>
    </row>
    <row r="1797" spans="1:7" x14ac:dyDescent="0.35">
      <c r="A1797" s="10" t="s">
        <v>7955</v>
      </c>
      <c r="B1797" s="12" t="s">
        <v>1878</v>
      </c>
      <c r="C1797" s="11">
        <v>45989</v>
      </c>
      <c r="D1797" s="12">
        <v>5</v>
      </c>
      <c r="E1797" s="12">
        <v>6</v>
      </c>
      <c r="F1797" s="13" t="s">
        <v>6142</v>
      </c>
      <c r="G1797" t="str">
        <f>IFERROR(INDEX(Ticket!$B$2:$B$6001,MATCH(B1797,Ticket!$A$2:$A$6001,0)),"Ticket introuvable")</f>
        <v>AG-007</v>
      </c>
    </row>
    <row r="1798" spans="1:7" x14ac:dyDescent="0.35">
      <c r="A1798" s="6" t="s">
        <v>7956</v>
      </c>
      <c r="B1798" s="8" t="s">
        <v>3653</v>
      </c>
      <c r="C1798" s="7">
        <v>45919</v>
      </c>
      <c r="D1798" s="8">
        <v>5</v>
      </c>
      <c r="E1798" s="8">
        <v>10</v>
      </c>
      <c r="F1798" s="9" t="s">
        <v>75</v>
      </c>
      <c r="G1798" t="str">
        <f>IFERROR(INDEX(Ticket!$B$2:$B$6001,MATCH(B1798,Ticket!$A$2:$A$6001,0)),"Ticket introuvable")</f>
        <v>AG-022</v>
      </c>
    </row>
    <row r="1799" spans="1:7" x14ac:dyDescent="0.35">
      <c r="A1799" s="10" t="s">
        <v>7957</v>
      </c>
      <c r="B1799" s="12" t="s">
        <v>3071</v>
      </c>
      <c r="C1799" s="11">
        <v>45836</v>
      </c>
      <c r="D1799" s="12"/>
      <c r="E1799" s="12">
        <v>7</v>
      </c>
      <c r="F1799" s="13" t="s">
        <v>8363</v>
      </c>
      <c r="G1799" t="str">
        <f>IFERROR(INDEX(Ticket!$B$2:$B$6001,MATCH(B1799,Ticket!$A$2:$A$6001,0)),"Ticket introuvable")</f>
        <v>AG-014</v>
      </c>
    </row>
    <row r="1800" spans="1:7" x14ac:dyDescent="0.35">
      <c r="A1800" s="6" t="s">
        <v>7958</v>
      </c>
      <c r="B1800" s="8" t="s">
        <v>5173</v>
      </c>
      <c r="C1800" s="7">
        <v>45945</v>
      </c>
      <c r="D1800" s="8">
        <v>5</v>
      </c>
      <c r="E1800" s="8">
        <v>7</v>
      </c>
      <c r="F1800" s="9" t="s">
        <v>6148</v>
      </c>
      <c r="G1800" t="str">
        <f>IFERROR(INDEX(Ticket!$B$2:$B$6001,MATCH(B1800,Ticket!$A$2:$A$6001,0)),"Ticket introuvable")</f>
        <v>AG-025</v>
      </c>
    </row>
    <row r="1801" spans="1:7" x14ac:dyDescent="0.35">
      <c r="A1801" s="10" t="s">
        <v>7959</v>
      </c>
      <c r="B1801" s="12" t="s">
        <v>1967</v>
      </c>
      <c r="C1801" s="11">
        <v>45869</v>
      </c>
      <c r="D1801" s="12">
        <v>2</v>
      </c>
      <c r="E1801" s="12">
        <v>9</v>
      </c>
      <c r="F1801" s="13" t="s">
        <v>8363</v>
      </c>
      <c r="G1801" t="str">
        <f>IFERROR(INDEX(Ticket!$B$2:$B$6001,MATCH(B1801,Ticket!$A$2:$A$6001,0)),"Ticket introuvable")</f>
        <v>AG-036</v>
      </c>
    </row>
    <row r="1802" spans="1:7" x14ac:dyDescent="0.35">
      <c r="A1802" s="6" t="s">
        <v>7960</v>
      </c>
      <c r="B1802" s="8" t="s">
        <v>4131</v>
      </c>
      <c r="C1802" s="7">
        <v>45800</v>
      </c>
      <c r="D1802" s="8">
        <v>5</v>
      </c>
      <c r="E1802" s="8">
        <v>6</v>
      </c>
      <c r="F1802" s="9" t="s">
        <v>6153</v>
      </c>
      <c r="G1802" t="str">
        <f>IFERROR(INDEX(Ticket!$B$2:$B$6001,MATCH(B1802,Ticket!$A$2:$A$6001,0)),"Ticket introuvable")</f>
        <v>AG-031</v>
      </c>
    </row>
    <row r="1803" spans="1:7" x14ac:dyDescent="0.35">
      <c r="A1803" s="10" t="s">
        <v>7961</v>
      </c>
      <c r="B1803" s="12" t="s">
        <v>1769</v>
      </c>
      <c r="C1803" s="11">
        <v>45776</v>
      </c>
      <c r="D1803" s="12">
        <v>2</v>
      </c>
      <c r="E1803" s="12">
        <v>8</v>
      </c>
      <c r="F1803" s="13" t="s">
        <v>6153</v>
      </c>
      <c r="G1803" t="str">
        <f>IFERROR(INDEX(Ticket!$B$2:$B$6001,MATCH(B1803,Ticket!$A$2:$A$6001,0)),"Ticket introuvable")</f>
        <v>AG-033</v>
      </c>
    </row>
    <row r="1804" spans="1:7" x14ac:dyDescent="0.35">
      <c r="A1804" s="6" t="s">
        <v>7962</v>
      </c>
      <c r="B1804" s="8" t="s">
        <v>212</v>
      </c>
      <c r="C1804" s="7">
        <v>45871</v>
      </c>
      <c r="D1804" s="8">
        <v>3</v>
      </c>
      <c r="E1804" s="8">
        <v>10</v>
      </c>
      <c r="F1804" s="9" t="s">
        <v>6160</v>
      </c>
      <c r="G1804" t="str">
        <f>IFERROR(INDEX(Ticket!$B$2:$B$6001,MATCH(B1804,Ticket!$A$2:$A$6001,0)),"Ticket introuvable")</f>
        <v>AG-037</v>
      </c>
    </row>
    <row r="1805" spans="1:7" x14ac:dyDescent="0.35">
      <c r="A1805" s="10" t="s">
        <v>7963</v>
      </c>
      <c r="B1805" s="12" t="s">
        <v>1345</v>
      </c>
      <c r="C1805" s="11">
        <v>45980</v>
      </c>
      <c r="D1805" s="12">
        <v>4</v>
      </c>
      <c r="E1805" s="12">
        <v>9</v>
      </c>
      <c r="F1805" s="13" t="s">
        <v>6142</v>
      </c>
      <c r="G1805" t="str">
        <f>IFERROR(INDEX(Ticket!$B$2:$B$6001,MATCH(B1805,Ticket!$A$2:$A$6001,0)),"Ticket introuvable")</f>
        <v>AG-026</v>
      </c>
    </row>
    <row r="1806" spans="1:7" x14ac:dyDescent="0.35">
      <c r="A1806" s="6" t="s">
        <v>7964</v>
      </c>
      <c r="B1806" s="8" t="s">
        <v>490</v>
      </c>
      <c r="C1806" s="7">
        <v>45777</v>
      </c>
      <c r="D1806" s="8"/>
      <c r="E1806" s="8">
        <v>7</v>
      </c>
      <c r="F1806" s="9" t="s">
        <v>6148</v>
      </c>
      <c r="G1806" t="str">
        <f>IFERROR(INDEX(Ticket!$B$2:$B$6001,MATCH(B1806,Ticket!$A$2:$A$6001,0)),"Ticket introuvable")</f>
        <v>AG-007</v>
      </c>
    </row>
    <row r="1807" spans="1:7" x14ac:dyDescent="0.35">
      <c r="A1807" s="10" t="s">
        <v>7965</v>
      </c>
      <c r="B1807" s="12" t="s">
        <v>902</v>
      </c>
      <c r="C1807" s="11">
        <v>45663</v>
      </c>
      <c r="D1807" s="12">
        <v>2</v>
      </c>
      <c r="E1807" s="12">
        <v>2</v>
      </c>
      <c r="F1807" s="13" t="s">
        <v>75</v>
      </c>
      <c r="G1807" t="str">
        <f>IFERROR(INDEX(Ticket!$B$2:$B$6001,MATCH(B1807,Ticket!$A$2:$A$6001,0)),"Ticket introuvable")</f>
        <v>AG-039</v>
      </c>
    </row>
    <row r="1808" spans="1:7" x14ac:dyDescent="0.35">
      <c r="A1808" s="6" t="s">
        <v>7966</v>
      </c>
      <c r="B1808" s="8" t="s">
        <v>5161</v>
      </c>
      <c r="C1808" s="7">
        <v>45811</v>
      </c>
      <c r="D1808" s="8"/>
      <c r="E1808" s="8">
        <v>8</v>
      </c>
      <c r="F1808" s="9" t="s">
        <v>8363</v>
      </c>
      <c r="G1808" t="str">
        <f>IFERROR(INDEX(Ticket!$B$2:$B$6001,MATCH(B1808,Ticket!$A$2:$A$6001,0)),"Ticket introuvable")</f>
        <v>AG-006</v>
      </c>
    </row>
    <row r="1809" spans="1:7" x14ac:dyDescent="0.35">
      <c r="A1809" s="10" t="s">
        <v>7967</v>
      </c>
      <c r="B1809" s="12" t="s">
        <v>3008</v>
      </c>
      <c r="C1809" s="11">
        <v>45887</v>
      </c>
      <c r="D1809" s="12">
        <v>4</v>
      </c>
      <c r="E1809" s="12">
        <v>7</v>
      </c>
      <c r="F1809" s="13" t="s">
        <v>6160</v>
      </c>
      <c r="G1809" t="str">
        <f>IFERROR(INDEX(Ticket!$B$2:$B$6001,MATCH(B1809,Ticket!$A$2:$A$6001,0)),"Ticket introuvable")</f>
        <v>AG-034</v>
      </c>
    </row>
    <row r="1810" spans="1:7" x14ac:dyDescent="0.35">
      <c r="A1810" s="6" t="s">
        <v>7968</v>
      </c>
      <c r="B1810" s="8" t="s">
        <v>3503</v>
      </c>
      <c r="C1810" s="7">
        <v>45868</v>
      </c>
      <c r="D1810" s="8">
        <v>3</v>
      </c>
      <c r="E1810" s="8">
        <v>7</v>
      </c>
      <c r="F1810" s="9" t="s">
        <v>6142</v>
      </c>
      <c r="G1810" t="str">
        <f>IFERROR(INDEX(Ticket!$B$2:$B$6001,MATCH(B1810,Ticket!$A$2:$A$6001,0)),"Ticket introuvable")</f>
        <v>AG-034</v>
      </c>
    </row>
    <row r="1811" spans="1:7" x14ac:dyDescent="0.35">
      <c r="A1811" s="10" t="s">
        <v>7969</v>
      </c>
      <c r="B1811" s="12" t="s">
        <v>961</v>
      </c>
      <c r="C1811" s="11">
        <v>45795</v>
      </c>
      <c r="D1811" s="12">
        <v>5</v>
      </c>
      <c r="E1811" s="12">
        <v>10</v>
      </c>
      <c r="F1811" s="13" t="s">
        <v>75</v>
      </c>
      <c r="G1811" t="str">
        <f>IFERROR(INDEX(Ticket!$B$2:$B$6001,MATCH(B1811,Ticket!$A$2:$A$6001,0)),"Ticket introuvable")</f>
        <v>AG-007</v>
      </c>
    </row>
    <row r="1812" spans="1:7" x14ac:dyDescent="0.35">
      <c r="A1812" s="6" t="s">
        <v>7970</v>
      </c>
      <c r="B1812" s="8" t="s">
        <v>2637</v>
      </c>
      <c r="C1812" s="7">
        <v>45777</v>
      </c>
      <c r="D1812" s="8">
        <v>5</v>
      </c>
      <c r="E1812" s="8">
        <v>10</v>
      </c>
      <c r="F1812" s="9" t="s">
        <v>75</v>
      </c>
      <c r="G1812" t="str">
        <f>IFERROR(INDEX(Ticket!$B$2:$B$6001,MATCH(B1812,Ticket!$A$2:$A$6001,0)),"Ticket introuvable")</f>
        <v>AG-019</v>
      </c>
    </row>
    <row r="1813" spans="1:7" x14ac:dyDescent="0.35">
      <c r="A1813" s="10" t="s">
        <v>7971</v>
      </c>
      <c r="B1813" s="12" t="s">
        <v>3135</v>
      </c>
      <c r="C1813" s="11">
        <v>45761</v>
      </c>
      <c r="D1813" s="12">
        <v>4</v>
      </c>
      <c r="E1813" s="12">
        <v>9</v>
      </c>
      <c r="F1813" s="13" t="s">
        <v>6160</v>
      </c>
      <c r="G1813" t="str">
        <f>IFERROR(INDEX(Ticket!$B$2:$B$6001,MATCH(B1813,Ticket!$A$2:$A$6001,0)),"Ticket introuvable")</f>
        <v>AG-026</v>
      </c>
    </row>
    <row r="1814" spans="1:7" x14ac:dyDescent="0.35">
      <c r="A1814" s="6" t="s">
        <v>7972</v>
      </c>
      <c r="B1814" s="8" t="s">
        <v>1288</v>
      </c>
      <c r="C1814" s="7">
        <v>45989</v>
      </c>
      <c r="D1814" s="8">
        <v>5</v>
      </c>
      <c r="E1814" s="8">
        <v>8</v>
      </c>
      <c r="F1814" s="9" t="s">
        <v>8363</v>
      </c>
      <c r="G1814" t="str">
        <f>IFERROR(INDEX(Ticket!$B$2:$B$6001,MATCH(B1814,Ticket!$A$2:$A$6001,0)),"Ticket introuvable")</f>
        <v>AG-016</v>
      </c>
    </row>
    <row r="1815" spans="1:7" x14ac:dyDescent="0.35">
      <c r="A1815" s="10" t="s">
        <v>7973</v>
      </c>
      <c r="B1815" s="12" t="s">
        <v>3016</v>
      </c>
      <c r="C1815" s="11">
        <v>45778</v>
      </c>
      <c r="D1815" s="12">
        <v>4</v>
      </c>
      <c r="E1815" s="12">
        <v>6</v>
      </c>
      <c r="F1815" s="13" t="s">
        <v>6153</v>
      </c>
      <c r="G1815" t="str">
        <f>IFERROR(INDEX(Ticket!$B$2:$B$6001,MATCH(B1815,Ticket!$A$2:$A$6001,0)),"Ticket introuvable")</f>
        <v>AG-037</v>
      </c>
    </row>
    <row r="1816" spans="1:7" x14ac:dyDescent="0.35">
      <c r="A1816" s="6" t="s">
        <v>7974</v>
      </c>
      <c r="B1816" s="8" t="s">
        <v>5146</v>
      </c>
      <c r="C1816" s="7">
        <v>45726</v>
      </c>
      <c r="D1816" s="8"/>
      <c r="E1816" s="8">
        <v>9</v>
      </c>
      <c r="F1816" s="9" t="s">
        <v>6142</v>
      </c>
      <c r="G1816" t="str">
        <f>IFERROR(INDEX(Ticket!$B$2:$B$6001,MATCH(B1816,Ticket!$A$2:$A$6001,0)),"Ticket introuvable")</f>
        <v>AG-013</v>
      </c>
    </row>
    <row r="1817" spans="1:7" x14ac:dyDescent="0.35">
      <c r="A1817" s="10" t="s">
        <v>7975</v>
      </c>
      <c r="B1817" s="12" t="s">
        <v>5105</v>
      </c>
      <c r="C1817" s="11">
        <v>45923</v>
      </c>
      <c r="D1817" s="12">
        <v>5</v>
      </c>
      <c r="E1817" s="12">
        <v>10</v>
      </c>
      <c r="F1817" s="13" t="s">
        <v>75</v>
      </c>
      <c r="G1817" t="str">
        <f>IFERROR(INDEX(Ticket!$B$2:$B$6001,MATCH(B1817,Ticket!$A$2:$A$6001,0)),"Ticket introuvable")</f>
        <v>AG-007</v>
      </c>
    </row>
    <row r="1818" spans="1:7" x14ac:dyDescent="0.35">
      <c r="A1818" s="6" t="s">
        <v>7976</v>
      </c>
      <c r="B1818" s="8" t="s">
        <v>5242</v>
      </c>
      <c r="C1818" s="7">
        <v>45854</v>
      </c>
      <c r="D1818" s="8">
        <v>2</v>
      </c>
      <c r="E1818" s="8">
        <v>10</v>
      </c>
      <c r="F1818" s="9" t="s">
        <v>8363</v>
      </c>
      <c r="G1818" t="str">
        <f>IFERROR(INDEX(Ticket!$B$2:$B$6001,MATCH(B1818,Ticket!$A$2:$A$6001,0)),"Ticket introuvable")</f>
        <v>AG-038</v>
      </c>
    </row>
    <row r="1819" spans="1:7" x14ac:dyDescent="0.35">
      <c r="A1819" s="10" t="s">
        <v>7977</v>
      </c>
      <c r="B1819" s="12" t="s">
        <v>4266</v>
      </c>
      <c r="C1819" s="11">
        <v>46004</v>
      </c>
      <c r="D1819" s="12">
        <v>4</v>
      </c>
      <c r="E1819" s="12">
        <v>3</v>
      </c>
      <c r="F1819" s="13" t="s">
        <v>6148</v>
      </c>
      <c r="G1819" t="str">
        <f>IFERROR(INDEX(Ticket!$B$2:$B$6001,MATCH(B1819,Ticket!$A$2:$A$6001,0)),"Ticket introuvable")</f>
        <v>AG-028</v>
      </c>
    </row>
    <row r="1820" spans="1:7" x14ac:dyDescent="0.35">
      <c r="A1820" s="6" t="s">
        <v>7978</v>
      </c>
      <c r="B1820" s="8" t="s">
        <v>3046</v>
      </c>
      <c r="C1820" s="7">
        <v>45678</v>
      </c>
      <c r="D1820" s="8">
        <v>5</v>
      </c>
      <c r="E1820" s="8">
        <v>6</v>
      </c>
      <c r="F1820" s="9" t="s">
        <v>75</v>
      </c>
      <c r="G1820" t="str">
        <f>IFERROR(INDEX(Ticket!$B$2:$B$6001,MATCH(B1820,Ticket!$A$2:$A$6001,0)),"Ticket introuvable")</f>
        <v>AG-017</v>
      </c>
    </row>
    <row r="1821" spans="1:7" x14ac:dyDescent="0.35">
      <c r="A1821" s="10" t="s">
        <v>7979</v>
      </c>
      <c r="B1821" s="12" t="s">
        <v>8365</v>
      </c>
      <c r="C1821" s="11">
        <v>45792</v>
      </c>
      <c r="D1821" s="12">
        <v>5</v>
      </c>
      <c r="E1821" s="12">
        <v>8</v>
      </c>
      <c r="F1821" s="13" t="s">
        <v>6160</v>
      </c>
      <c r="G1821" t="str">
        <f>IFERROR(INDEX(Ticket!$B$2:$B$6001,MATCH(B1821,Ticket!$A$2:$A$6001,0)),"Ticket introuvable")</f>
        <v>Ticket introuvable</v>
      </c>
    </row>
    <row r="1822" spans="1:7" x14ac:dyDescent="0.35">
      <c r="A1822" s="6" t="s">
        <v>7980</v>
      </c>
      <c r="B1822" s="8" t="s">
        <v>3304</v>
      </c>
      <c r="C1822" s="7">
        <v>45728</v>
      </c>
      <c r="D1822" s="8">
        <v>4</v>
      </c>
      <c r="E1822" s="8">
        <v>7</v>
      </c>
      <c r="F1822" s="9" t="s">
        <v>75</v>
      </c>
      <c r="G1822" t="str">
        <f>IFERROR(INDEX(Ticket!$B$2:$B$6001,MATCH(B1822,Ticket!$A$2:$A$6001,0)),"Ticket introuvable")</f>
        <v>AG-011</v>
      </c>
    </row>
    <row r="1823" spans="1:7" x14ac:dyDescent="0.35">
      <c r="A1823" s="10" t="s">
        <v>7981</v>
      </c>
      <c r="B1823" s="12" t="s">
        <v>4838</v>
      </c>
      <c r="C1823" s="11">
        <v>45923</v>
      </c>
      <c r="D1823" s="12">
        <v>5</v>
      </c>
      <c r="E1823" s="12">
        <v>6</v>
      </c>
      <c r="F1823" s="13" t="s">
        <v>6160</v>
      </c>
      <c r="G1823" t="str">
        <f>IFERROR(INDEX(Ticket!$B$2:$B$6001,MATCH(B1823,Ticket!$A$2:$A$6001,0)),"Ticket introuvable")</f>
        <v>AG-006</v>
      </c>
    </row>
    <row r="1824" spans="1:7" x14ac:dyDescent="0.35">
      <c r="A1824" s="6" t="s">
        <v>7982</v>
      </c>
      <c r="B1824" s="8" t="s">
        <v>642</v>
      </c>
      <c r="C1824" s="7">
        <v>45933</v>
      </c>
      <c r="D1824" s="8"/>
      <c r="E1824" s="8">
        <v>9</v>
      </c>
      <c r="F1824" s="9" t="s">
        <v>8363</v>
      </c>
      <c r="G1824" t="str">
        <f>IFERROR(INDEX(Ticket!$B$2:$B$6001,MATCH(B1824,Ticket!$A$2:$A$6001,0)),"Ticket introuvable")</f>
        <v>AG-036</v>
      </c>
    </row>
    <row r="1825" spans="1:7" x14ac:dyDescent="0.35">
      <c r="A1825" s="10" t="s">
        <v>7983</v>
      </c>
      <c r="B1825" s="12" t="s">
        <v>4415</v>
      </c>
      <c r="C1825" s="11">
        <v>45826</v>
      </c>
      <c r="D1825" s="12">
        <v>5</v>
      </c>
      <c r="E1825" s="12">
        <v>6</v>
      </c>
      <c r="F1825" s="13" t="s">
        <v>6160</v>
      </c>
      <c r="G1825" t="str">
        <f>IFERROR(INDEX(Ticket!$B$2:$B$6001,MATCH(B1825,Ticket!$A$2:$A$6001,0)),"Ticket introuvable")</f>
        <v>AG-025</v>
      </c>
    </row>
    <row r="1826" spans="1:7" x14ac:dyDescent="0.35">
      <c r="A1826" s="6" t="s">
        <v>7984</v>
      </c>
      <c r="B1826" s="8" t="s">
        <v>1279</v>
      </c>
      <c r="C1826" s="7">
        <v>45738</v>
      </c>
      <c r="D1826" s="8">
        <v>5</v>
      </c>
      <c r="E1826" s="8">
        <v>9</v>
      </c>
      <c r="F1826" s="9" t="s">
        <v>6148</v>
      </c>
      <c r="G1826" t="str">
        <f>IFERROR(INDEX(Ticket!$B$2:$B$6001,MATCH(B1826,Ticket!$A$2:$A$6001,0)),"Ticket introuvable")</f>
        <v>AG-039</v>
      </c>
    </row>
    <row r="1827" spans="1:7" x14ac:dyDescent="0.35">
      <c r="A1827" s="10" t="s">
        <v>7985</v>
      </c>
      <c r="B1827" s="12" t="s">
        <v>4051</v>
      </c>
      <c r="C1827" s="11">
        <v>45665</v>
      </c>
      <c r="D1827" s="12">
        <v>5</v>
      </c>
      <c r="E1827" s="12">
        <v>9</v>
      </c>
      <c r="F1827" s="13" t="s">
        <v>6148</v>
      </c>
      <c r="G1827" t="str">
        <f>IFERROR(INDEX(Ticket!$B$2:$B$6001,MATCH(B1827,Ticket!$A$2:$A$6001,0)),"Ticket introuvable")</f>
        <v>AG-038</v>
      </c>
    </row>
    <row r="1828" spans="1:7" x14ac:dyDescent="0.35">
      <c r="A1828" s="6" t="s">
        <v>7986</v>
      </c>
      <c r="B1828" s="8" t="s">
        <v>830</v>
      </c>
      <c r="C1828" s="7">
        <v>45818</v>
      </c>
      <c r="D1828" s="8">
        <v>5</v>
      </c>
      <c r="E1828" s="8">
        <v>8</v>
      </c>
      <c r="F1828" s="9" t="s">
        <v>75</v>
      </c>
      <c r="G1828" t="str">
        <f>IFERROR(INDEX(Ticket!$B$2:$B$6001,MATCH(B1828,Ticket!$A$2:$A$6001,0)),"Ticket introuvable")</f>
        <v>AG-034</v>
      </c>
    </row>
    <row r="1829" spans="1:7" x14ac:dyDescent="0.35">
      <c r="A1829" s="10" t="s">
        <v>7987</v>
      </c>
      <c r="B1829" s="12" t="s">
        <v>2957</v>
      </c>
      <c r="C1829" s="11">
        <v>46023</v>
      </c>
      <c r="D1829" s="12">
        <v>3</v>
      </c>
      <c r="E1829" s="12">
        <v>7</v>
      </c>
      <c r="F1829" s="13" t="s">
        <v>6160</v>
      </c>
      <c r="G1829" t="str">
        <f>IFERROR(INDEX(Ticket!$B$2:$B$6001,MATCH(B1829,Ticket!$A$2:$A$6001,0)),"Ticket introuvable")</f>
        <v>AG-014</v>
      </c>
    </row>
    <row r="1830" spans="1:7" x14ac:dyDescent="0.35">
      <c r="A1830" s="6" t="s">
        <v>7988</v>
      </c>
      <c r="B1830" s="8" t="s">
        <v>1773</v>
      </c>
      <c r="C1830" s="7">
        <v>45875</v>
      </c>
      <c r="D1830" s="8">
        <v>5</v>
      </c>
      <c r="E1830" s="8">
        <v>10</v>
      </c>
      <c r="F1830" s="9" t="s">
        <v>6153</v>
      </c>
      <c r="G1830" t="str">
        <f>IFERROR(INDEX(Ticket!$B$2:$B$6001,MATCH(B1830,Ticket!$A$2:$A$6001,0)),"Ticket introuvable")</f>
        <v>AG-013</v>
      </c>
    </row>
    <row r="1831" spans="1:7" x14ac:dyDescent="0.35">
      <c r="A1831" s="10" t="s">
        <v>7989</v>
      </c>
      <c r="B1831" s="12" t="s">
        <v>60</v>
      </c>
      <c r="C1831" s="11">
        <v>45979</v>
      </c>
      <c r="D1831" s="12">
        <v>4</v>
      </c>
      <c r="E1831" s="12">
        <v>10</v>
      </c>
      <c r="F1831" s="13" t="s">
        <v>6160</v>
      </c>
      <c r="G1831" t="str">
        <f>IFERROR(INDEX(Ticket!$B$2:$B$6001,MATCH(B1831,Ticket!$A$2:$A$6001,0)),"Ticket introuvable")</f>
        <v>AG-034</v>
      </c>
    </row>
    <row r="1832" spans="1:7" x14ac:dyDescent="0.35">
      <c r="A1832" s="6" t="s">
        <v>7990</v>
      </c>
      <c r="B1832" s="8" t="s">
        <v>5927</v>
      </c>
      <c r="C1832" s="7">
        <v>45675</v>
      </c>
      <c r="D1832" s="8">
        <v>4</v>
      </c>
      <c r="E1832" s="8">
        <v>5</v>
      </c>
      <c r="F1832" s="9" t="s">
        <v>75</v>
      </c>
      <c r="G1832" t="str">
        <f>IFERROR(INDEX(Ticket!$B$2:$B$6001,MATCH(B1832,Ticket!$A$2:$A$6001,0)),"Ticket introuvable")</f>
        <v>AG-011</v>
      </c>
    </row>
    <row r="1833" spans="1:7" x14ac:dyDescent="0.35">
      <c r="A1833" s="10" t="s">
        <v>7991</v>
      </c>
      <c r="B1833" s="12" t="s">
        <v>4111</v>
      </c>
      <c r="C1833" s="11">
        <v>45868</v>
      </c>
      <c r="D1833" s="12">
        <v>4</v>
      </c>
      <c r="E1833" s="12">
        <v>8</v>
      </c>
      <c r="F1833" s="13" t="s">
        <v>6148</v>
      </c>
      <c r="G1833" t="str">
        <f>IFERROR(INDEX(Ticket!$B$2:$B$6001,MATCH(B1833,Ticket!$A$2:$A$6001,0)),"Ticket introuvable")</f>
        <v>AG-021</v>
      </c>
    </row>
    <row r="1834" spans="1:7" x14ac:dyDescent="0.35">
      <c r="A1834" s="6" t="s">
        <v>7992</v>
      </c>
      <c r="B1834" s="8" t="s">
        <v>2049</v>
      </c>
      <c r="C1834" s="7">
        <v>45804</v>
      </c>
      <c r="D1834" s="8">
        <v>5</v>
      </c>
      <c r="E1834" s="8">
        <v>10</v>
      </c>
      <c r="F1834" s="9" t="s">
        <v>8363</v>
      </c>
      <c r="G1834" t="str">
        <f>IFERROR(INDEX(Ticket!$B$2:$B$6001,MATCH(B1834,Ticket!$A$2:$A$6001,0)),"Ticket introuvable")</f>
        <v>AG-038</v>
      </c>
    </row>
    <row r="1835" spans="1:7" x14ac:dyDescent="0.35">
      <c r="A1835" s="10" t="s">
        <v>7993</v>
      </c>
      <c r="B1835" s="12" t="s">
        <v>5274</v>
      </c>
      <c r="C1835" s="11">
        <v>45696</v>
      </c>
      <c r="D1835" s="12">
        <v>1</v>
      </c>
      <c r="E1835" s="12">
        <v>8</v>
      </c>
      <c r="F1835" s="13" t="s">
        <v>6142</v>
      </c>
      <c r="G1835" t="str">
        <f>IFERROR(INDEX(Ticket!$B$2:$B$6001,MATCH(B1835,Ticket!$A$2:$A$6001,0)),"Ticket introuvable")</f>
        <v>AG-040</v>
      </c>
    </row>
    <row r="1836" spans="1:7" x14ac:dyDescent="0.35">
      <c r="A1836" s="6" t="s">
        <v>7994</v>
      </c>
      <c r="B1836" s="8" t="s">
        <v>713</v>
      </c>
      <c r="C1836" s="7">
        <v>45901</v>
      </c>
      <c r="D1836" s="8">
        <v>4</v>
      </c>
      <c r="E1836" s="8">
        <v>6</v>
      </c>
      <c r="F1836" s="9" t="s">
        <v>6142</v>
      </c>
      <c r="G1836" t="str">
        <f>IFERROR(INDEX(Ticket!$B$2:$B$6001,MATCH(B1836,Ticket!$A$2:$A$6001,0)),"Ticket introuvable")</f>
        <v>AG-025</v>
      </c>
    </row>
    <row r="1837" spans="1:7" x14ac:dyDescent="0.35">
      <c r="A1837" s="10" t="s">
        <v>7995</v>
      </c>
      <c r="B1837" s="12" t="s">
        <v>5438</v>
      </c>
      <c r="C1837" s="11">
        <v>45827</v>
      </c>
      <c r="D1837" s="12">
        <v>3</v>
      </c>
      <c r="E1837" s="12">
        <v>10</v>
      </c>
      <c r="F1837" s="13" t="s">
        <v>6148</v>
      </c>
      <c r="G1837" t="str">
        <f>IFERROR(INDEX(Ticket!$B$2:$B$6001,MATCH(B1837,Ticket!$A$2:$A$6001,0)),"Ticket introuvable")</f>
        <v>AG-015</v>
      </c>
    </row>
    <row r="1838" spans="1:7" x14ac:dyDescent="0.35">
      <c r="A1838" s="6" t="s">
        <v>7996</v>
      </c>
      <c r="B1838" s="8" t="s">
        <v>4383</v>
      </c>
      <c r="C1838" s="7">
        <v>45664</v>
      </c>
      <c r="D1838" s="8">
        <v>4</v>
      </c>
      <c r="E1838" s="8">
        <v>7</v>
      </c>
      <c r="F1838" s="9" t="s">
        <v>6148</v>
      </c>
      <c r="G1838" t="str">
        <f>IFERROR(INDEX(Ticket!$B$2:$B$6001,MATCH(B1838,Ticket!$A$2:$A$6001,0)),"Ticket introuvable")</f>
        <v>AG-029</v>
      </c>
    </row>
    <row r="1839" spans="1:7" x14ac:dyDescent="0.35">
      <c r="A1839" s="10" t="s">
        <v>7997</v>
      </c>
      <c r="B1839" s="12" t="s">
        <v>2280</v>
      </c>
      <c r="C1839" s="11">
        <v>45982</v>
      </c>
      <c r="D1839" s="12">
        <v>5</v>
      </c>
      <c r="E1839" s="12">
        <v>8</v>
      </c>
      <c r="F1839" s="13" t="s">
        <v>8363</v>
      </c>
      <c r="G1839" t="str">
        <f>IFERROR(INDEX(Ticket!$B$2:$B$6001,MATCH(B1839,Ticket!$A$2:$A$6001,0)),"Ticket introuvable")</f>
        <v>AG-018</v>
      </c>
    </row>
    <row r="1840" spans="1:7" x14ac:dyDescent="0.35">
      <c r="A1840" s="6" t="s">
        <v>7998</v>
      </c>
      <c r="B1840" s="8" t="s">
        <v>5349</v>
      </c>
      <c r="C1840" s="7">
        <v>45732</v>
      </c>
      <c r="D1840" s="8">
        <v>5</v>
      </c>
      <c r="E1840" s="8">
        <v>10</v>
      </c>
      <c r="F1840" s="9" t="s">
        <v>8363</v>
      </c>
      <c r="G1840" t="str">
        <f>IFERROR(INDEX(Ticket!$B$2:$B$6001,MATCH(B1840,Ticket!$A$2:$A$6001,0)),"Ticket introuvable")</f>
        <v>AG-017</v>
      </c>
    </row>
    <row r="1841" spans="1:7" x14ac:dyDescent="0.35">
      <c r="A1841" s="10" t="s">
        <v>7999</v>
      </c>
      <c r="B1841" s="12" t="s">
        <v>4692</v>
      </c>
      <c r="C1841" s="11">
        <v>45898</v>
      </c>
      <c r="D1841" s="12">
        <v>4</v>
      </c>
      <c r="E1841" s="12">
        <v>7</v>
      </c>
      <c r="F1841" s="13" t="s">
        <v>6153</v>
      </c>
      <c r="G1841" t="str">
        <f>IFERROR(INDEX(Ticket!$B$2:$B$6001,MATCH(B1841,Ticket!$A$2:$A$6001,0)),"Ticket introuvable")</f>
        <v>AG-008</v>
      </c>
    </row>
    <row r="1842" spans="1:7" x14ac:dyDescent="0.35">
      <c r="A1842" s="6" t="s">
        <v>8000</v>
      </c>
      <c r="B1842" s="8" t="s">
        <v>1143</v>
      </c>
      <c r="C1842" s="7">
        <v>46008</v>
      </c>
      <c r="D1842" s="8">
        <v>2</v>
      </c>
      <c r="E1842" s="8">
        <v>9</v>
      </c>
      <c r="F1842" s="9" t="s">
        <v>6160</v>
      </c>
      <c r="G1842" t="str">
        <f>IFERROR(INDEX(Ticket!$B$2:$B$6001,MATCH(B1842,Ticket!$A$2:$A$6001,0)),"Ticket introuvable")</f>
        <v>AG-008</v>
      </c>
    </row>
    <row r="1843" spans="1:7" x14ac:dyDescent="0.35">
      <c r="A1843" s="10" t="s">
        <v>8001</v>
      </c>
      <c r="B1843" s="12" t="s">
        <v>3350</v>
      </c>
      <c r="C1843" s="11">
        <v>46021</v>
      </c>
      <c r="D1843" s="12">
        <v>5</v>
      </c>
      <c r="E1843" s="12">
        <v>10</v>
      </c>
      <c r="F1843" s="13" t="s">
        <v>8363</v>
      </c>
      <c r="G1843" t="str">
        <f>IFERROR(INDEX(Ticket!$B$2:$B$6001,MATCH(B1843,Ticket!$A$2:$A$6001,0)),"Ticket introuvable")</f>
        <v>AG-038</v>
      </c>
    </row>
    <row r="1844" spans="1:7" x14ac:dyDescent="0.35">
      <c r="A1844" s="6" t="s">
        <v>8002</v>
      </c>
      <c r="B1844" s="8" t="s">
        <v>2057</v>
      </c>
      <c r="C1844" s="7">
        <v>45806</v>
      </c>
      <c r="D1844" s="8">
        <v>3</v>
      </c>
      <c r="E1844" s="8"/>
      <c r="F1844" s="9" t="s">
        <v>6160</v>
      </c>
      <c r="G1844" t="str">
        <f>IFERROR(INDEX(Ticket!$B$2:$B$6001,MATCH(B1844,Ticket!$A$2:$A$6001,0)),"Ticket introuvable")</f>
        <v>AG-035</v>
      </c>
    </row>
    <row r="1845" spans="1:7" x14ac:dyDescent="0.35">
      <c r="A1845" s="10" t="s">
        <v>8003</v>
      </c>
      <c r="B1845" s="12" t="s">
        <v>3845</v>
      </c>
      <c r="C1845" s="11">
        <v>45790</v>
      </c>
      <c r="D1845" s="12">
        <v>4</v>
      </c>
      <c r="E1845" s="12">
        <v>3</v>
      </c>
      <c r="F1845" s="13" t="s">
        <v>6160</v>
      </c>
      <c r="G1845" t="str">
        <f>IFERROR(INDEX(Ticket!$B$2:$B$6001,MATCH(B1845,Ticket!$A$2:$A$6001,0)),"Ticket introuvable")</f>
        <v>AG-032</v>
      </c>
    </row>
    <row r="1846" spans="1:7" x14ac:dyDescent="0.35">
      <c r="A1846" s="6" t="s">
        <v>8004</v>
      </c>
      <c r="B1846" s="8" t="s">
        <v>3093</v>
      </c>
      <c r="C1846" s="7">
        <v>45707</v>
      </c>
      <c r="D1846" s="8">
        <v>3</v>
      </c>
      <c r="E1846" s="8"/>
      <c r="F1846" s="9" t="s">
        <v>6153</v>
      </c>
      <c r="G1846" t="str">
        <f>IFERROR(INDEX(Ticket!$B$2:$B$6001,MATCH(B1846,Ticket!$A$2:$A$6001,0)),"Ticket introuvable")</f>
        <v>AG-038</v>
      </c>
    </row>
    <row r="1847" spans="1:7" x14ac:dyDescent="0.35">
      <c r="A1847" s="10" t="s">
        <v>8005</v>
      </c>
      <c r="B1847" s="12" t="s">
        <v>3605</v>
      </c>
      <c r="C1847" s="11">
        <v>45957</v>
      </c>
      <c r="D1847" s="12">
        <v>4</v>
      </c>
      <c r="E1847" s="12">
        <v>6</v>
      </c>
      <c r="F1847" s="13" t="s">
        <v>6148</v>
      </c>
      <c r="G1847" t="str">
        <f>IFERROR(INDEX(Ticket!$B$2:$B$6001,MATCH(B1847,Ticket!$A$2:$A$6001,0)),"Ticket introuvable")</f>
        <v>AG-014</v>
      </c>
    </row>
    <row r="1848" spans="1:7" x14ac:dyDescent="0.35">
      <c r="A1848" s="6" t="s">
        <v>8006</v>
      </c>
      <c r="B1848" s="8" t="s">
        <v>3062</v>
      </c>
      <c r="C1848" s="7">
        <v>45740</v>
      </c>
      <c r="D1848" s="8">
        <v>5</v>
      </c>
      <c r="E1848" s="8">
        <v>10</v>
      </c>
      <c r="F1848" s="9" t="s">
        <v>8363</v>
      </c>
      <c r="G1848" t="str">
        <f>IFERROR(INDEX(Ticket!$B$2:$B$6001,MATCH(B1848,Ticket!$A$2:$A$6001,0)),"Ticket introuvable")</f>
        <v>AG-003</v>
      </c>
    </row>
    <row r="1849" spans="1:7" x14ac:dyDescent="0.35">
      <c r="A1849" s="10" t="s">
        <v>8007</v>
      </c>
      <c r="B1849" s="12" t="s">
        <v>2972</v>
      </c>
      <c r="C1849" s="11">
        <v>46021</v>
      </c>
      <c r="D1849" s="12">
        <v>5</v>
      </c>
      <c r="E1849" s="12">
        <v>6</v>
      </c>
      <c r="F1849" s="13" t="s">
        <v>6160</v>
      </c>
      <c r="G1849" t="str">
        <f>IFERROR(INDEX(Ticket!$B$2:$B$6001,MATCH(B1849,Ticket!$A$2:$A$6001,0)),"Ticket introuvable")</f>
        <v>AG-020</v>
      </c>
    </row>
    <row r="1850" spans="1:7" x14ac:dyDescent="0.35">
      <c r="A1850" s="6" t="s">
        <v>8008</v>
      </c>
      <c r="B1850" s="8" t="s">
        <v>1440</v>
      </c>
      <c r="C1850" s="7">
        <v>45903</v>
      </c>
      <c r="D1850" s="8">
        <v>3</v>
      </c>
      <c r="E1850" s="8">
        <v>0</v>
      </c>
      <c r="F1850" s="9" t="s">
        <v>8363</v>
      </c>
      <c r="G1850" t="str">
        <f>IFERROR(INDEX(Ticket!$B$2:$B$6001,MATCH(B1850,Ticket!$A$2:$A$6001,0)),"Ticket introuvable")</f>
        <v>AG-007</v>
      </c>
    </row>
    <row r="1851" spans="1:7" x14ac:dyDescent="0.35">
      <c r="A1851" s="10" t="s">
        <v>8009</v>
      </c>
      <c r="B1851" s="12" t="s">
        <v>1907</v>
      </c>
      <c r="C1851" s="11">
        <v>45975</v>
      </c>
      <c r="D1851" s="12">
        <v>4</v>
      </c>
      <c r="E1851" s="12">
        <v>8</v>
      </c>
      <c r="F1851" s="13" t="s">
        <v>8363</v>
      </c>
      <c r="G1851" t="str">
        <f>IFERROR(INDEX(Ticket!$B$2:$B$6001,MATCH(B1851,Ticket!$A$2:$A$6001,0)),"Ticket introuvable")</f>
        <v>AG-007</v>
      </c>
    </row>
    <row r="1852" spans="1:7" x14ac:dyDescent="0.35">
      <c r="A1852" s="6" t="s">
        <v>8010</v>
      </c>
      <c r="B1852" s="8" t="s">
        <v>5986</v>
      </c>
      <c r="C1852" s="7">
        <v>45973</v>
      </c>
      <c r="D1852" s="8"/>
      <c r="E1852" s="8"/>
      <c r="F1852" s="9" t="s">
        <v>8363</v>
      </c>
      <c r="G1852" t="str">
        <f>IFERROR(INDEX(Ticket!$B$2:$B$6001,MATCH(B1852,Ticket!$A$2:$A$6001,0)),"Ticket introuvable")</f>
        <v>AG-021</v>
      </c>
    </row>
    <row r="1853" spans="1:7" x14ac:dyDescent="0.35">
      <c r="A1853" s="10" t="s">
        <v>8011</v>
      </c>
      <c r="B1853" s="12" t="s">
        <v>2011</v>
      </c>
      <c r="C1853" s="11">
        <v>45844</v>
      </c>
      <c r="D1853" s="12">
        <v>3</v>
      </c>
      <c r="E1853" s="12">
        <v>7</v>
      </c>
      <c r="F1853" s="13" t="s">
        <v>8363</v>
      </c>
      <c r="G1853" t="str">
        <f>IFERROR(INDEX(Ticket!$B$2:$B$6001,MATCH(B1853,Ticket!$A$2:$A$6001,0)),"Ticket introuvable")</f>
        <v>AG-026</v>
      </c>
    </row>
    <row r="1854" spans="1:7" x14ac:dyDescent="0.35">
      <c r="A1854" s="6" t="s">
        <v>8012</v>
      </c>
      <c r="B1854" s="8" t="s">
        <v>3765</v>
      </c>
      <c r="C1854" s="7">
        <v>45722</v>
      </c>
      <c r="D1854" s="8">
        <v>4</v>
      </c>
      <c r="E1854" s="8">
        <v>0</v>
      </c>
      <c r="F1854" s="9" t="s">
        <v>8363</v>
      </c>
      <c r="G1854" t="str">
        <f>IFERROR(INDEX(Ticket!$B$2:$B$6001,MATCH(B1854,Ticket!$A$2:$A$6001,0)),"Ticket introuvable")</f>
        <v>AG-011</v>
      </c>
    </row>
    <row r="1855" spans="1:7" x14ac:dyDescent="0.35">
      <c r="A1855" s="10" t="s">
        <v>8013</v>
      </c>
      <c r="B1855" s="12" t="s">
        <v>4765</v>
      </c>
      <c r="C1855" s="11">
        <v>46006</v>
      </c>
      <c r="D1855" s="12">
        <v>4</v>
      </c>
      <c r="E1855" s="12">
        <v>5</v>
      </c>
      <c r="F1855" s="13" t="s">
        <v>8363</v>
      </c>
      <c r="G1855" t="str">
        <f>IFERROR(INDEX(Ticket!$B$2:$B$6001,MATCH(B1855,Ticket!$A$2:$A$6001,0)),"Ticket introuvable")</f>
        <v>AG-031</v>
      </c>
    </row>
    <row r="1856" spans="1:7" x14ac:dyDescent="0.35">
      <c r="A1856" s="6" t="s">
        <v>8014</v>
      </c>
      <c r="B1856" s="8" t="s">
        <v>2638</v>
      </c>
      <c r="C1856" s="7">
        <v>45661</v>
      </c>
      <c r="D1856" s="8">
        <v>3</v>
      </c>
      <c r="E1856" s="8">
        <v>8</v>
      </c>
      <c r="F1856" s="9" t="s">
        <v>6153</v>
      </c>
      <c r="G1856" t="str">
        <f>IFERROR(INDEX(Ticket!$B$2:$B$6001,MATCH(B1856,Ticket!$A$2:$A$6001,0)),"Ticket introuvable")</f>
        <v>AG-020</v>
      </c>
    </row>
    <row r="1857" spans="1:7" x14ac:dyDescent="0.35">
      <c r="A1857" s="10" t="s">
        <v>8015</v>
      </c>
      <c r="B1857" s="12" t="s">
        <v>4904</v>
      </c>
      <c r="C1857" s="11">
        <v>45699</v>
      </c>
      <c r="D1857" s="12">
        <v>2</v>
      </c>
      <c r="E1857" s="12">
        <v>5</v>
      </c>
      <c r="F1857" s="13" t="s">
        <v>6160</v>
      </c>
      <c r="G1857" t="str">
        <f>IFERROR(INDEX(Ticket!$B$2:$B$6001,MATCH(B1857,Ticket!$A$2:$A$6001,0)),"Ticket introuvable")</f>
        <v>AG-029</v>
      </c>
    </row>
    <row r="1858" spans="1:7" x14ac:dyDescent="0.35">
      <c r="A1858" s="6" t="s">
        <v>8016</v>
      </c>
      <c r="B1858" s="8" t="s">
        <v>1579</v>
      </c>
      <c r="C1858" s="7">
        <v>45700</v>
      </c>
      <c r="D1858" s="8">
        <v>4</v>
      </c>
      <c r="E1858" s="8">
        <v>9</v>
      </c>
      <c r="F1858" s="9" t="s">
        <v>75</v>
      </c>
      <c r="G1858" t="str">
        <f>IFERROR(INDEX(Ticket!$B$2:$B$6001,MATCH(B1858,Ticket!$A$2:$A$6001,0)),"Ticket introuvable")</f>
        <v>AG-031</v>
      </c>
    </row>
    <row r="1859" spans="1:7" x14ac:dyDescent="0.35">
      <c r="A1859" s="10" t="s">
        <v>8017</v>
      </c>
      <c r="B1859" s="12" t="s">
        <v>2879</v>
      </c>
      <c r="C1859" s="11">
        <v>45887</v>
      </c>
      <c r="D1859" s="12">
        <v>4</v>
      </c>
      <c r="E1859" s="12">
        <v>7</v>
      </c>
      <c r="F1859" s="13" t="s">
        <v>6160</v>
      </c>
      <c r="G1859" t="str">
        <f>IFERROR(INDEX(Ticket!$B$2:$B$6001,MATCH(B1859,Ticket!$A$2:$A$6001,0)),"Ticket introuvable")</f>
        <v>AG-008</v>
      </c>
    </row>
    <row r="1860" spans="1:7" x14ac:dyDescent="0.35">
      <c r="A1860" s="6" t="s">
        <v>8018</v>
      </c>
      <c r="B1860" s="8" t="s">
        <v>3833</v>
      </c>
      <c r="C1860" s="7">
        <v>45988</v>
      </c>
      <c r="D1860" s="8"/>
      <c r="E1860" s="8">
        <v>10</v>
      </c>
      <c r="F1860" s="9" t="s">
        <v>8363</v>
      </c>
      <c r="G1860" t="str">
        <f>IFERROR(INDEX(Ticket!$B$2:$B$6001,MATCH(B1860,Ticket!$A$2:$A$6001,0)),"Ticket introuvable")</f>
        <v>AG-039</v>
      </c>
    </row>
    <row r="1861" spans="1:7" x14ac:dyDescent="0.35">
      <c r="A1861" s="10" t="s">
        <v>8019</v>
      </c>
      <c r="B1861" s="12" t="s">
        <v>5076</v>
      </c>
      <c r="C1861" s="11">
        <v>45777</v>
      </c>
      <c r="D1861" s="12">
        <v>2</v>
      </c>
      <c r="E1861" s="12"/>
      <c r="F1861" s="13" t="s">
        <v>8363</v>
      </c>
      <c r="G1861" t="str">
        <f>IFERROR(INDEX(Ticket!$B$2:$B$6001,MATCH(B1861,Ticket!$A$2:$A$6001,0)),"Ticket introuvable")</f>
        <v>AG-007</v>
      </c>
    </row>
    <row r="1862" spans="1:7" x14ac:dyDescent="0.35">
      <c r="A1862" s="6" t="s">
        <v>8020</v>
      </c>
      <c r="B1862" s="8" t="s">
        <v>5603</v>
      </c>
      <c r="C1862" s="7">
        <v>45806</v>
      </c>
      <c r="D1862" s="8">
        <v>3</v>
      </c>
      <c r="E1862" s="8">
        <v>9</v>
      </c>
      <c r="F1862" s="9" t="s">
        <v>75</v>
      </c>
      <c r="G1862" t="str">
        <f>IFERROR(INDEX(Ticket!$B$2:$B$6001,MATCH(B1862,Ticket!$A$2:$A$6001,0)),"Ticket introuvable")</f>
        <v>AG-032</v>
      </c>
    </row>
    <row r="1863" spans="1:7" x14ac:dyDescent="0.35">
      <c r="A1863" s="10" t="s">
        <v>8021</v>
      </c>
      <c r="B1863" s="12" t="s">
        <v>3302</v>
      </c>
      <c r="C1863" s="11">
        <v>45686</v>
      </c>
      <c r="D1863" s="12">
        <v>3</v>
      </c>
      <c r="E1863" s="12">
        <v>10</v>
      </c>
      <c r="F1863" s="13" t="s">
        <v>6153</v>
      </c>
      <c r="G1863" t="str">
        <f>IFERROR(INDEX(Ticket!$B$2:$B$6001,MATCH(B1863,Ticket!$A$2:$A$6001,0)),"Ticket introuvable")</f>
        <v>AG-003</v>
      </c>
    </row>
    <row r="1864" spans="1:7" x14ac:dyDescent="0.35">
      <c r="A1864" s="6" t="s">
        <v>8022</v>
      </c>
      <c r="B1864" s="8" t="s">
        <v>5572</v>
      </c>
      <c r="C1864" s="7">
        <v>45689</v>
      </c>
      <c r="D1864" s="8">
        <v>3</v>
      </c>
      <c r="E1864" s="8">
        <v>8</v>
      </c>
      <c r="F1864" s="9" t="s">
        <v>75</v>
      </c>
      <c r="G1864" t="str">
        <f>IFERROR(INDEX(Ticket!$B$2:$B$6001,MATCH(B1864,Ticket!$A$2:$A$6001,0)),"Ticket introuvable")</f>
        <v>AG-003</v>
      </c>
    </row>
    <row r="1865" spans="1:7" x14ac:dyDescent="0.35">
      <c r="A1865" s="10" t="s">
        <v>8023</v>
      </c>
      <c r="B1865" s="12" t="s">
        <v>494</v>
      </c>
      <c r="C1865" s="11">
        <v>45922</v>
      </c>
      <c r="D1865" s="12">
        <v>5</v>
      </c>
      <c r="E1865" s="12">
        <v>0</v>
      </c>
      <c r="F1865" s="13" t="s">
        <v>75</v>
      </c>
      <c r="G1865" t="str">
        <f>IFERROR(INDEX(Ticket!$B$2:$B$6001,MATCH(B1865,Ticket!$A$2:$A$6001,0)),"Ticket introuvable")</f>
        <v>AG-032</v>
      </c>
    </row>
    <row r="1866" spans="1:7" x14ac:dyDescent="0.35">
      <c r="A1866" s="6" t="s">
        <v>8024</v>
      </c>
      <c r="B1866" s="8" t="s">
        <v>1824</v>
      </c>
      <c r="C1866" s="7">
        <v>45774</v>
      </c>
      <c r="D1866" s="8">
        <v>2</v>
      </c>
      <c r="E1866" s="8">
        <v>4</v>
      </c>
      <c r="F1866" s="9" t="s">
        <v>6142</v>
      </c>
      <c r="G1866" t="str">
        <f>IFERROR(INDEX(Ticket!$B$2:$B$6001,MATCH(B1866,Ticket!$A$2:$A$6001,0)),"Ticket introuvable")</f>
        <v>AG-022</v>
      </c>
    </row>
    <row r="1867" spans="1:7" x14ac:dyDescent="0.35">
      <c r="A1867" s="10" t="s">
        <v>8025</v>
      </c>
      <c r="B1867" s="12" t="s">
        <v>1135</v>
      </c>
      <c r="C1867" s="11">
        <v>45879</v>
      </c>
      <c r="D1867" s="12">
        <v>1</v>
      </c>
      <c r="E1867" s="12">
        <v>9</v>
      </c>
      <c r="F1867" s="13" t="s">
        <v>6153</v>
      </c>
      <c r="G1867" t="str">
        <f>IFERROR(INDEX(Ticket!$B$2:$B$6001,MATCH(B1867,Ticket!$A$2:$A$6001,0)),"Ticket introuvable")</f>
        <v>AG-033</v>
      </c>
    </row>
    <row r="1868" spans="1:7" x14ac:dyDescent="0.35">
      <c r="A1868" s="6" t="s">
        <v>8026</v>
      </c>
      <c r="B1868" s="8" t="s">
        <v>5786</v>
      </c>
      <c r="C1868" s="7">
        <v>45866</v>
      </c>
      <c r="D1868" s="8">
        <v>3</v>
      </c>
      <c r="E1868" s="8">
        <v>9</v>
      </c>
      <c r="F1868" s="9" t="s">
        <v>6160</v>
      </c>
      <c r="G1868" t="str">
        <f>IFERROR(INDEX(Ticket!$B$2:$B$6001,MATCH(B1868,Ticket!$A$2:$A$6001,0)),"Ticket introuvable")</f>
        <v>AG-035</v>
      </c>
    </row>
    <row r="1869" spans="1:7" x14ac:dyDescent="0.35">
      <c r="A1869" s="10" t="s">
        <v>8027</v>
      </c>
      <c r="B1869" s="12" t="s">
        <v>2040</v>
      </c>
      <c r="C1869" s="11">
        <v>45932</v>
      </c>
      <c r="D1869" s="12"/>
      <c r="E1869" s="12">
        <v>7</v>
      </c>
      <c r="F1869" s="13" t="s">
        <v>8363</v>
      </c>
      <c r="G1869" t="str">
        <f>IFERROR(INDEX(Ticket!$B$2:$B$6001,MATCH(B1869,Ticket!$A$2:$A$6001,0)),"Ticket introuvable")</f>
        <v>AG-014</v>
      </c>
    </row>
    <row r="1870" spans="1:7" x14ac:dyDescent="0.35">
      <c r="A1870" s="6" t="s">
        <v>8028</v>
      </c>
      <c r="B1870" s="8" t="s">
        <v>740</v>
      </c>
      <c r="C1870" s="7">
        <v>45687</v>
      </c>
      <c r="D1870" s="8">
        <v>3</v>
      </c>
      <c r="E1870" s="8">
        <v>6</v>
      </c>
      <c r="F1870" s="9" t="s">
        <v>8363</v>
      </c>
      <c r="G1870" t="str">
        <f>IFERROR(INDEX(Ticket!$B$2:$B$6001,MATCH(B1870,Ticket!$A$2:$A$6001,0)),"Ticket introuvable")</f>
        <v>AG-040</v>
      </c>
    </row>
    <row r="1871" spans="1:7" x14ac:dyDescent="0.35">
      <c r="A1871" s="10" t="s">
        <v>8029</v>
      </c>
      <c r="B1871" s="12" t="s">
        <v>2255</v>
      </c>
      <c r="C1871" s="11">
        <v>45841</v>
      </c>
      <c r="D1871" s="12">
        <v>5</v>
      </c>
      <c r="E1871" s="12">
        <v>6</v>
      </c>
      <c r="F1871" s="13" t="s">
        <v>8363</v>
      </c>
      <c r="G1871" t="str">
        <f>IFERROR(INDEX(Ticket!$B$2:$B$6001,MATCH(B1871,Ticket!$A$2:$A$6001,0)),"Ticket introuvable")</f>
        <v>AG-007</v>
      </c>
    </row>
    <row r="1872" spans="1:7" x14ac:dyDescent="0.35">
      <c r="A1872" s="6" t="s">
        <v>8030</v>
      </c>
      <c r="B1872" s="8" t="s">
        <v>3497</v>
      </c>
      <c r="C1872" s="7">
        <v>45787</v>
      </c>
      <c r="D1872" s="8"/>
      <c r="E1872" s="8">
        <v>9</v>
      </c>
      <c r="F1872" s="9" t="s">
        <v>75</v>
      </c>
      <c r="G1872" t="str">
        <f>IFERROR(INDEX(Ticket!$B$2:$B$6001,MATCH(B1872,Ticket!$A$2:$A$6001,0)),"Ticket introuvable")</f>
        <v>AG-017</v>
      </c>
    </row>
    <row r="1873" spans="1:7" x14ac:dyDescent="0.35">
      <c r="A1873" s="10" t="s">
        <v>8031</v>
      </c>
      <c r="B1873" s="12" t="s">
        <v>203</v>
      </c>
      <c r="C1873" s="11">
        <v>45841</v>
      </c>
      <c r="D1873" s="12">
        <v>5</v>
      </c>
      <c r="E1873" s="12">
        <v>10</v>
      </c>
      <c r="F1873" s="13" t="s">
        <v>75</v>
      </c>
      <c r="G1873" t="str">
        <f>IFERROR(INDEX(Ticket!$B$2:$B$6001,MATCH(B1873,Ticket!$A$2:$A$6001,0)),"Ticket introuvable")</f>
        <v>AG-023</v>
      </c>
    </row>
    <row r="1874" spans="1:7" x14ac:dyDescent="0.35">
      <c r="A1874" s="6" t="s">
        <v>8032</v>
      </c>
      <c r="B1874" s="8" t="s">
        <v>2539</v>
      </c>
      <c r="C1874" s="7">
        <v>45931</v>
      </c>
      <c r="D1874" s="8">
        <v>5</v>
      </c>
      <c r="E1874" s="8">
        <v>9</v>
      </c>
      <c r="F1874" s="9" t="s">
        <v>75</v>
      </c>
      <c r="G1874" t="str">
        <f>IFERROR(INDEX(Ticket!$B$2:$B$6001,MATCH(B1874,Ticket!$A$2:$A$6001,0)),"Ticket introuvable")</f>
        <v>AG-014</v>
      </c>
    </row>
    <row r="1875" spans="1:7" x14ac:dyDescent="0.35">
      <c r="A1875" s="10" t="s">
        <v>8033</v>
      </c>
      <c r="B1875" s="12" t="s">
        <v>2573</v>
      </c>
      <c r="C1875" s="11">
        <v>45991</v>
      </c>
      <c r="D1875" s="12">
        <v>5</v>
      </c>
      <c r="E1875" s="12">
        <v>7</v>
      </c>
      <c r="F1875" s="13" t="s">
        <v>8363</v>
      </c>
      <c r="G1875" t="str">
        <f>IFERROR(INDEX(Ticket!$B$2:$B$6001,MATCH(B1875,Ticket!$A$2:$A$6001,0)),"Ticket introuvable")</f>
        <v>AG-014</v>
      </c>
    </row>
    <row r="1876" spans="1:7" x14ac:dyDescent="0.35">
      <c r="A1876" s="6" t="s">
        <v>8034</v>
      </c>
      <c r="B1876" s="8" t="s">
        <v>3572</v>
      </c>
      <c r="C1876" s="7">
        <v>45956</v>
      </c>
      <c r="D1876" s="8">
        <v>5</v>
      </c>
      <c r="E1876" s="8">
        <v>10</v>
      </c>
      <c r="F1876" s="9" t="s">
        <v>75</v>
      </c>
      <c r="G1876" t="str">
        <f>IFERROR(INDEX(Ticket!$B$2:$B$6001,MATCH(B1876,Ticket!$A$2:$A$6001,0)),"Ticket introuvable")</f>
        <v>AG-016</v>
      </c>
    </row>
    <row r="1877" spans="1:7" x14ac:dyDescent="0.35">
      <c r="A1877" s="10" t="s">
        <v>8035</v>
      </c>
      <c r="B1877" s="12" t="s">
        <v>983</v>
      </c>
      <c r="C1877" s="11">
        <v>45824</v>
      </c>
      <c r="D1877" s="12">
        <v>4</v>
      </c>
      <c r="E1877" s="12">
        <v>10</v>
      </c>
      <c r="F1877" s="13" t="s">
        <v>6160</v>
      </c>
      <c r="G1877" t="str">
        <f>IFERROR(INDEX(Ticket!$B$2:$B$6001,MATCH(B1877,Ticket!$A$2:$A$6001,0)),"Ticket introuvable")</f>
        <v>AG-025</v>
      </c>
    </row>
    <row r="1878" spans="1:7" x14ac:dyDescent="0.35">
      <c r="A1878" s="6" t="s">
        <v>8036</v>
      </c>
      <c r="B1878" s="8" t="s">
        <v>1577</v>
      </c>
      <c r="C1878" s="7">
        <v>46001</v>
      </c>
      <c r="D1878" s="8">
        <v>4</v>
      </c>
      <c r="E1878" s="8">
        <v>7</v>
      </c>
      <c r="F1878" s="9" t="s">
        <v>8363</v>
      </c>
      <c r="G1878" t="str">
        <f>IFERROR(INDEX(Ticket!$B$2:$B$6001,MATCH(B1878,Ticket!$A$2:$A$6001,0)),"Ticket introuvable")</f>
        <v>AG-039</v>
      </c>
    </row>
    <row r="1879" spans="1:7" x14ac:dyDescent="0.35">
      <c r="A1879" s="10" t="s">
        <v>8037</v>
      </c>
      <c r="B1879" s="12" t="s">
        <v>291</v>
      </c>
      <c r="C1879" s="11">
        <v>45971</v>
      </c>
      <c r="D1879" s="12">
        <v>4</v>
      </c>
      <c r="E1879" s="12">
        <v>0</v>
      </c>
      <c r="F1879" s="13" t="s">
        <v>8363</v>
      </c>
      <c r="G1879" t="str">
        <f>IFERROR(INDEX(Ticket!$B$2:$B$6001,MATCH(B1879,Ticket!$A$2:$A$6001,0)),"Ticket introuvable")</f>
        <v>AG-033</v>
      </c>
    </row>
    <row r="1880" spans="1:7" x14ac:dyDescent="0.35">
      <c r="A1880" s="6" t="s">
        <v>8038</v>
      </c>
      <c r="B1880" s="8" t="s">
        <v>5177</v>
      </c>
      <c r="C1880" s="7">
        <v>45808</v>
      </c>
      <c r="D1880" s="8">
        <v>5</v>
      </c>
      <c r="E1880" s="8">
        <v>9</v>
      </c>
      <c r="F1880" s="9" t="s">
        <v>75</v>
      </c>
      <c r="G1880" t="str">
        <f>IFERROR(INDEX(Ticket!$B$2:$B$6001,MATCH(B1880,Ticket!$A$2:$A$6001,0)),"Ticket introuvable")</f>
        <v>AG-011</v>
      </c>
    </row>
    <row r="1881" spans="1:7" x14ac:dyDescent="0.35">
      <c r="A1881" s="10" t="s">
        <v>8039</v>
      </c>
      <c r="B1881" s="12" t="s">
        <v>3084</v>
      </c>
      <c r="C1881" s="11">
        <v>45973</v>
      </c>
      <c r="D1881" s="12">
        <v>3</v>
      </c>
      <c r="E1881" s="12">
        <v>9</v>
      </c>
      <c r="F1881" s="13" t="s">
        <v>6148</v>
      </c>
      <c r="G1881" t="str">
        <f>IFERROR(INDEX(Ticket!$B$2:$B$6001,MATCH(B1881,Ticket!$A$2:$A$6001,0)),"Ticket introuvable")</f>
        <v>AG-039</v>
      </c>
    </row>
    <row r="1882" spans="1:7" x14ac:dyDescent="0.35">
      <c r="A1882" s="6" t="s">
        <v>8040</v>
      </c>
      <c r="B1882" s="8" t="s">
        <v>5748</v>
      </c>
      <c r="C1882" s="7">
        <v>45716</v>
      </c>
      <c r="D1882" s="8">
        <v>3</v>
      </c>
      <c r="E1882" s="8">
        <v>3</v>
      </c>
      <c r="F1882" s="9" t="s">
        <v>8363</v>
      </c>
      <c r="G1882" t="str">
        <f>IFERROR(INDEX(Ticket!$B$2:$B$6001,MATCH(B1882,Ticket!$A$2:$A$6001,0)),"Ticket introuvable")</f>
        <v>AG-021</v>
      </c>
    </row>
    <row r="1883" spans="1:7" x14ac:dyDescent="0.35">
      <c r="A1883" s="10" t="s">
        <v>8041</v>
      </c>
      <c r="B1883" s="12" t="s">
        <v>4846</v>
      </c>
      <c r="C1883" s="11">
        <v>45719</v>
      </c>
      <c r="D1883" s="12">
        <v>2</v>
      </c>
      <c r="E1883" s="12">
        <v>9</v>
      </c>
      <c r="F1883" s="13" t="s">
        <v>75</v>
      </c>
      <c r="G1883" t="str">
        <f>IFERROR(INDEX(Ticket!$B$2:$B$6001,MATCH(B1883,Ticket!$A$2:$A$6001,0)),"Ticket introuvable")</f>
        <v>AG-034</v>
      </c>
    </row>
    <row r="1884" spans="1:7" x14ac:dyDescent="0.35">
      <c r="A1884" s="6" t="s">
        <v>8042</v>
      </c>
      <c r="B1884" s="8" t="s">
        <v>1825</v>
      </c>
      <c r="C1884" s="7">
        <v>45728</v>
      </c>
      <c r="D1884" s="8"/>
      <c r="E1884" s="8">
        <v>5</v>
      </c>
      <c r="F1884" s="9" t="s">
        <v>6148</v>
      </c>
      <c r="G1884" t="str">
        <f>IFERROR(INDEX(Ticket!$B$2:$B$6001,MATCH(B1884,Ticket!$A$2:$A$6001,0)),"Ticket introuvable")</f>
        <v>AG-010</v>
      </c>
    </row>
    <row r="1885" spans="1:7" x14ac:dyDescent="0.35">
      <c r="A1885" s="10" t="s">
        <v>8043</v>
      </c>
      <c r="B1885" s="12" t="s">
        <v>1835</v>
      </c>
      <c r="C1885" s="11">
        <v>45694</v>
      </c>
      <c r="D1885" s="12">
        <v>5</v>
      </c>
      <c r="E1885" s="12">
        <v>6</v>
      </c>
      <c r="F1885" s="13" t="s">
        <v>6160</v>
      </c>
      <c r="G1885" t="str">
        <f>IFERROR(INDEX(Ticket!$B$2:$B$6001,MATCH(B1885,Ticket!$A$2:$A$6001,0)),"Ticket introuvable")</f>
        <v>AG-010</v>
      </c>
    </row>
    <row r="1886" spans="1:7" x14ac:dyDescent="0.35">
      <c r="A1886" s="6" t="s">
        <v>8044</v>
      </c>
      <c r="B1886" s="8" t="s">
        <v>3797</v>
      </c>
      <c r="C1886" s="7">
        <v>45760</v>
      </c>
      <c r="D1886" s="8">
        <v>5</v>
      </c>
      <c r="E1886" s="8">
        <v>7</v>
      </c>
      <c r="F1886" s="9" t="s">
        <v>6142</v>
      </c>
      <c r="G1886" t="str">
        <f>IFERROR(INDEX(Ticket!$B$2:$B$6001,MATCH(B1886,Ticket!$A$2:$A$6001,0)),"Ticket introuvable")</f>
        <v>AG-027</v>
      </c>
    </row>
    <row r="1887" spans="1:7" x14ac:dyDescent="0.35">
      <c r="A1887" s="10" t="s">
        <v>8045</v>
      </c>
      <c r="B1887" s="12" t="s">
        <v>1027</v>
      </c>
      <c r="C1887" s="11">
        <v>45742</v>
      </c>
      <c r="D1887" s="12">
        <v>5</v>
      </c>
      <c r="E1887" s="12">
        <v>10</v>
      </c>
      <c r="F1887" s="13" t="s">
        <v>8363</v>
      </c>
      <c r="G1887" t="str">
        <f>IFERROR(INDEX(Ticket!$B$2:$B$6001,MATCH(B1887,Ticket!$A$2:$A$6001,0)),"Ticket introuvable")</f>
        <v>AG-027</v>
      </c>
    </row>
    <row r="1888" spans="1:7" x14ac:dyDescent="0.35">
      <c r="A1888" s="6" t="s">
        <v>8046</v>
      </c>
      <c r="B1888" s="8" t="s">
        <v>3747</v>
      </c>
      <c r="C1888" s="7">
        <v>45764</v>
      </c>
      <c r="D1888" s="8">
        <v>5</v>
      </c>
      <c r="E1888" s="8">
        <v>4</v>
      </c>
      <c r="F1888" s="9" t="s">
        <v>8363</v>
      </c>
      <c r="G1888" t="str">
        <f>IFERROR(INDEX(Ticket!$B$2:$B$6001,MATCH(B1888,Ticket!$A$2:$A$6001,0)),"Ticket introuvable")</f>
        <v>AG-015</v>
      </c>
    </row>
    <row r="1889" spans="1:7" x14ac:dyDescent="0.35">
      <c r="A1889" s="10" t="s">
        <v>8047</v>
      </c>
      <c r="B1889" s="12" t="s">
        <v>2574</v>
      </c>
      <c r="C1889" s="11">
        <v>46023</v>
      </c>
      <c r="D1889" s="12">
        <v>5</v>
      </c>
      <c r="E1889" s="12">
        <v>9</v>
      </c>
      <c r="F1889" s="13" t="s">
        <v>6148</v>
      </c>
      <c r="G1889" t="str">
        <f>IFERROR(INDEX(Ticket!$B$2:$B$6001,MATCH(B1889,Ticket!$A$2:$A$6001,0)),"Ticket introuvable")</f>
        <v>AG-026</v>
      </c>
    </row>
    <row r="1890" spans="1:7" x14ac:dyDescent="0.35">
      <c r="A1890" s="6" t="s">
        <v>8048</v>
      </c>
      <c r="B1890" s="8" t="s">
        <v>4589</v>
      </c>
      <c r="C1890" s="7">
        <v>45937</v>
      </c>
      <c r="D1890" s="8">
        <v>5</v>
      </c>
      <c r="E1890" s="8">
        <v>8</v>
      </c>
      <c r="F1890" s="9" t="s">
        <v>6160</v>
      </c>
      <c r="G1890" t="str">
        <f>IFERROR(INDEX(Ticket!$B$2:$B$6001,MATCH(B1890,Ticket!$A$2:$A$6001,0)),"Ticket introuvable")</f>
        <v>AG-005</v>
      </c>
    </row>
    <row r="1891" spans="1:7" x14ac:dyDescent="0.35">
      <c r="A1891" s="10" t="s">
        <v>8049</v>
      </c>
      <c r="B1891" s="12" t="s">
        <v>5829</v>
      </c>
      <c r="C1891" s="11">
        <v>45679</v>
      </c>
      <c r="D1891" s="12">
        <v>2</v>
      </c>
      <c r="E1891" s="12">
        <v>10</v>
      </c>
      <c r="F1891" s="13" t="s">
        <v>6142</v>
      </c>
      <c r="G1891" t="str">
        <f>IFERROR(INDEX(Ticket!$B$2:$B$6001,MATCH(B1891,Ticket!$A$2:$A$6001,0)),"Ticket introuvable")</f>
        <v>AG-014</v>
      </c>
    </row>
    <row r="1892" spans="1:7" x14ac:dyDescent="0.35">
      <c r="A1892" s="6" t="s">
        <v>8050</v>
      </c>
      <c r="B1892" s="8" t="s">
        <v>460</v>
      </c>
      <c r="C1892" s="7">
        <v>45695</v>
      </c>
      <c r="D1892" s="8">
        <v>5</v>
      </c>
      <c r="E1892" s="8">
        <v>3</v>
      </c>
      <c r="F1892" s="9" t="s">
        <v>6142</v>
      </c>
      <c r="G1892" t="str">
        <f>IFERROR(INDEX(Ticket!$B$2:$B$6001,MATCH(B1892,Ticket!$A$2:$A$6001,0)),"Ticket introuvable")</f>
        <v>AG-037</v>
      </c>
    </row>
    <row r="1893" spans="1:7" x14ac:dyDescent="0.35">
      <c r="A1893" s="10" t="s">
        <v>8051</v>
      </c>
      <c r="B1893" s="12" t="s">
        <v>912</v>
      </c>
      <c r="C1893" s="11">
        <v>45709</v>
      </c>
      <c r="D1893" s="12">
        <v>4</v>
      </c>
      <c r="E1893" s="12">
        <v>5</v>
      </c>
      <c r="F1893" s="13" t="s">
        <v>8363</v>
      </c>
      <c r="G1893" t="str">
        <f>IFERROR(INDEX(Ticket!$B$2:$B$6001,MATCH(B1893,Ticket!$A$2:$A$6001,0)),"Ticket introuvable")</f>
        <v>AG-014</v>
      </c>
    </row>
    <row r="1894" spans="1:7" x14ac:dyDescent="0.35">
      <c r="A1894" s="6" t="s">
        <v>8052</v>
      </c>
      <c r="B1894" s="8" t="s">
        <v>2727</v>
      </c>
      <c r="C1894" s="7">
        <v>45814</v>
      </c>
      <c r="D1894" s="8">
        <v>4</v>
      </c>
      <c r="E1894" s="8">
        <v>9</v>
      </c>
      <c r="F1894" s="9" t="s">
        <v>8363</v>
      </c>
      <c r="G1894" t="str">
        <f>IFERROR(INDEX(Ticket!$B$2:$B$6001,MATCH(B1894,Ticket!$A$2:$A$6001,0)),"Ticket introuvable")</f>
        <v>AG-012</v>
      </c>
    </row>
    <row r="1895" spans="1:7" x14ac:dyDescent="0.35">
      <c r="A1895" s="10" t="s">
        <v>8053</v>
      </c>
      <c r="B1895" s="12" t="s">
        <v>382</v>
      </c>
      <c r="C1895" s="11">
        <v>45939</v>
      </c>
      <c r="D1895" s="12">
        <v>5</v>
      </c>
      <c r="E1895" s="12">
        <v>8</v>
      </c>
      <c r="F1895" s="13" t="s">
        <v>6153</v>
      </c>
      <c r="G1895" t="str">
        <f>IFERROR(INDEX(Ticket!$B$2:$B$6001,MATCH(B1895,Ticket!$A$2:$A$6001,0)),"Ticket introuvable")</f>
        <v>AG-039</v>
      </c>
    </row>
    <row r="1896" spans="1:7" x14ac:dyDescent="0.35">
      <c r="A1896" s="6" t="s">
        <v>8054</v>
      </c>
      <c r="B1896" s="8" t="s">
        <v>4552</v>
      </c>
      <c r="C1896" s="7">
        <v>45906</v>
      </c>
      <c r="D1896" s="8">
        <v>5</v>
      </c>
      <c r="E1896" s="8">
        <v>6</v>
      </c>
      <c r="F1896" s="9" t="s">
        <v>6153</v>
      </c>
      <c r="G1896" t="str">
        <f>IFERROR(INDEX(Ticket!$B$2:$B$6001,MATCH(B1896,Ticket!$A$2:$A$6001,0)),"Ticket introuvable")</f>
        <v>AG-011</v>
      </c>
    </row>
    <row r="1897" spans="1:7" x14ac:dyDescent="0.35">
      <c r="A1897" s="10" t="s">
        <v>8055</v>
      </c>
      <c r="B1897" s="12" t="s">
        <v>4787</v>
      </c>
      <c r="C1897" s="11">
        <v>45890</v>
      </c>
      <c r="D1897" s="12">
        <v>3</v>
      </c>
      <c r="E1897" s="12">
        <v>10</v>
      </c>
      <c r="F1897" s="13" t="s">
        <v>6148</v>
      </c>
      <c r="G1897" t="str">
        <f>IFERROR(INDEX(Ticket!$B$2:$B$6001,MATCH(B1897,Ticket!$A$2:$A$6001,0)),"Ticket introuvable")</f>
        <v>AG-034</v>
      </c>
    </row>
    <row r="1898" spans="1:7" x14ac:dyDescent="0.35">
      <c r="A1898" s="6" t="s">
        <v>8056</v>
      </c>
      <c r="B1898" s="8" t="s">
        <v>2082</v>
      </c>
      <c r="C1898" s="7">
        <v>45882</v>
      </c>
      <c r="D1898" s="8">
        <v>5</v>
      </c>
      <c r="E1898" s="8">
        <v>6</v>
      </c>
      <c r="F1898" s="9" t="s">
        <v>6160</v>
      </c>
      <c r="G1898" t="str">
        <f>IFERROR(INDEX(Ticket!$B$2:$B$6001,MATCH(B1898,Ticket!$A$2:$A$6001,0)),"Ticket introuvable")</f>
        <v>AG-014</v>
      </c>
    </row>
    <row r="1899" spans="1:7" x14ac:dyDescent="0.35">
      <c r="A1899" s="10" t="s">
        <v>8057</v>
      </c>
      <c r="B1899" s="12" t="s">
        <v>4823</v>
      </c>
      <c r="C1899" s="11">
        <v>45671</v>
      </c>
      <c r="D1899" s="12">
        <v>5</v>
      </c>
      <c r="E1899" s="12"/>
      <c r="F1899" s="13" t="s">
        <v>75</v>
      </c>
      <c r="G1899" t="str">
        <f>IFERROR(INDEX(Ticket!$B$2:$B$6001,MATCH(B1899,Ticket!$A$2:$A$6001,0)),"Ticket introuvable")</f>
        <v>AG-039</v>
      </c>
    </row>
    <row r="1900" spans="1:7" x14ac:dyDescent="0.35">
      <c r="A1900" s="6" t="s">
        <v>8058</v>
      </c>
      <c r="B1900" s="8" t="s">
        <v>2758</v>
      </c>
      <c r="C1900" s="7">
        <v>45878</v>
      </c>
      <c r="D1900" s="8">
        <v>4</v>
      </c>
      <c r="E1900" s="8">
        <v>8</v>
      </c>
      <c r="F1900" s="9" t="s">
        <v>6160</v>
      </c>
      <c r="G1900" t="str">
        <f>IFERROR(INDEX(Ticket!$B$2:$B$6001,MATCH(B1900,Ticket!$A$2:$A$6001,0)),"Ticket introuvable")</f>
        <v>AG-005</v>
      </c>
    </row>
    <row r="1901" spans="1:7" x14ac:dyDescent="0.35">
      <c r="A1901" s="10" t="s">
        <v>8059</v>
      </c>
      <c r="B1901" s="12" t="s">
        <v>643</v>
      </c>
      <c r="C1901" s="11">
        <v>45939</v>
      </c>
      <c r="D1901" s="12">
        <v>4</v>
      </c>
      <c r="E1901" s="12">
        <v>8</v>
      </c>
      <c r="F1901" s="13" t="s">
        <v>8363</v>
      </c>
      <c r="G1901" t="str">
        <f>IFERROR(INDEX(Ticket!$B$2:$B$6001,MATCH(B1901,Ticket!$A$2:$A$6001,0)),"Ticket introuvable")</f>
        <v>AG-008</v>
      </c>
    </row>
    <row r="1902" spans="1:7" x14ac:dyDescent="0.35">
      <c r="A1902" s="6" t="s">
        <v>8060</v>
      </c>
      <c r="B1902" s="8" t="s">
        <v>3557</v>
      </c>
      <c r="C1902" s="7">
        <v>45790</v>
      </c>
      <c r="D1902" s="8">
        <v>4</v>
      </c>
      <c r="E1902" s="8">
        <v>6</v>
      </c>
      <c r="F1902" s="9" t="s">
        <v>6153</v>
      </c>
      <c r="G1902" t="str">
        <f>IFERROR(INDEX(Ticket!$B$2:$B$6001,MATCH(B1902,Ticket!$A$2:$A$6001,0)),"Ticket introuvable")</f>
        <v>AG-024</v>
      </c>
    </row>
    <row r="1903" spans="1:7" x14ac:dyDescent="0.35">
      <c r="A1903" s="10" t="s">
        <v>8061</v>
      </c>
      <c r="B1903" s="12" t="s">
        <v>4259</v>
      </c>
      <c r="C1903" s="11">
        <v>45901</v>
      </c>
      <c r="D1903" s="12">
        <v>3</v>
      </c>
      <c r="E1903" s="12">
        <v>5</v>
      </c>
      <c r="F1903" s="13" t="s">
        <v>8363</v>
      </c>
      <c r="G1903" t="str">
        <f>IFERROR(INDEX(Ticket!$B$2:$B$6001,MATCH(B1903,Ticket!$A$2:$A$6001,0)),"Ticket introuvable")</f>
        <v>AG-025</v>
      </c>
    </row>
    <row r="1904" spans="1:7" x14ac:dyDescent="0.35">
      <c r="A1904" s="6" t="s">
        <v>8062</v>
      </c>
      <c r="B1904" s="8" t="s">
        <v>2053</v>
      </c>
      <c r="C1904" s="7">
        <v>45853</v>
      </c>
      <c r="D1904" s="8">
        <v>5</v>
      </c>
      <c r="E1904" s="8"/>
      <c r="F1904" s="9" t="s">
        <v>8363</v>
      </c>
      <c r="G1904" t="str">
        <f>IFERROR(INDEX(Ticket!$B$2:$B$6001,MATCH(B1904,Ticket!$A$2:$A$6001,0)),"Ticket introuvable")</f>
        <v>AG-007</v>
      </c>
    </row>
    <row r="1905" spans="1:7" x14ac:dyDescent="0.35">
      <c r="A1905" s="10" t="s">
        <v>8063</v>
      </c>
      <c r="B1905" s="12" t="s">
        <v>5335</v>
      </c>
      <c r="C1905" s="11">
        <v>45894</v>
      </c>
      <c r="D1905" s="12">
        <v>4</v>
      </c>
      <c r="E1905" s="12">
        <v>7</v>
      </c>
      <c r="F1905" s="13" t="s">
        <v>8363</v>
      </c>
      <c r="G1905" t="str">
        <f>IFERROR(INDEX(Ticket!$B$2:$B$6001,MATCH(B1905,Ticket!$A$2:$A$6001,0)),"Ticket introuvable")</f>
        <v>AG-029</v>
      </c>
    </row>
    <row r="1906" spans="1:7" x14ac:dyDescent="0.35">
      <c r="A1906" s="6" t="s">
        <v>8064</v>
      </c>
      <c r="B1906" s="8" t="s">
        <v>2105</v>
      </c>
      <c r="C1906" s="7">
        <v>45732</v>
      </c>
      <c r="D1906" s="8">
        <v>4</v>
      </c>
      <c r="E1906" s="8">
        <v>8</v>
      </c>
      <c r="F1906" s="9" t="s">
        <v>6148</v>
      </c>
      <c r="G1906" t="str">
        <f>IFERROR(INDEX(Ticket!$B$2:$B$6001,MATCH(B1906,Ticket!$A$2:$A$6001,0)),"Ticket introuvable")</f>
        <v>AG-015</v>
      </c>
    </row>
    <row r="1907" spans="1:7" x14ac:dyDescent="0.35">
      <c r="A1907" s="10" t="s">
        <v>8065</v>
      </c>
      <c r="B1907" s="12" t="s">
        <v>5880</v>
      </c>
      <c r="C1907" s="11">
        <v>45843</v>
      </c>
      <c r="D1907" s="12">
        <v>3</v>
      </c>
      <c r="E1907" s="12">
        <v>10</v>
      </c>
      <c r="F1907" s="13" t="s">
        <v>75</v>
      </c>
      <c r="G1907" t="str">
        <f>IFERROR(INDEX(Ticket!$B$2:$B$6001,MATCH(B1907,Ticket!$A$2:$A$6001,0)),"Ticket introuvable")</f>
        <v>AG-005</v>
      </c>
    </row>
    <row r="1908" spans="1:7" x14ac:dyDescent="0.35">
      <c r="A1908" s="6" t="s">
        <v>8066</v>
      </c>
      <c r="B1908" s="8" t="s">
        <v>83</v>
      </c>
      <c r="C1908" s="7">
        <v>45968</v>
      </c>
      <c r="D1908" s="8">
        <v>2</v>
      </c>
      <c r="E1908" s="8">
        <v>8</v>
      </c>
      <c r="F1908" s="9" t="s">
        <v>8363</v>
      </c>
      <c r="G1908" t="str">
        <f>IFERROR(INDEX(Ticket!$B$2:$B$6001,MATCH(B1908,Ticket!$A$2:$A$6001,0)),"Ticket introuvable")</f>
        <v>AG-029</v>
      </c>
    </row>
    <row r="1909" spans="1:7" x14ac:dyDescent="0.35">
      <c r="A1909" s="10" t="s">
        <v>8067</v>
      </c>
      <c r="B1909" s="12" t="s">
        <v>5099</v>
      </c>
      <c r="C1909" s="11">
        <v>45893</v>
      </c>
      <c r="D1909" s="12">
        <v>3</v>
      </c>
      <c r="E1909" s="12">
        <v>10</v>
      </c>
      <c r="F1909" s="13" t="s">
        <v>6148</v>
      </c>
      <c r="G1909" t="str">
        <f>IFERROR(INDEX(Ticket!$B$2:$B$6001,MATCH(B1909,Ticket!$A$2:$A$6001,0)),"Ticket introuvable")</f>
        <v>AG-019</v>
      </c>
    </row>
    <row r="1910" spans="1:7" x14ac:dyDescent="0.35">
      <c r="A1910" s="6" t="s">
        <v>8068</v>
      </c>
      <c r="B1910" s="8" t="s">
        <v>6065</v>
      </c>
      <c r="C1910" s="7">
        <v>45739</v>
      </c>
      <c r="D1910" s="8">
        <v>4</v>
      </c>
      <c r="E1910" s="8">
        <v>8</v>
      </c>
      <c r="F1910" s="9" t="s">
        <v>8363</v>
      </c>
      <c r="G1910" t="str">
        <f>IFERROR(INDEX(Ticket!$B$2:$B$6001,MATCH(B1910,Ticket!$A$2:$A$6001,0)),"Ticket introuvable")</f>
        <v>AG-003</v>
      </c>
    </row>
    <row r="1911" spans="1:7" x14ac:dyDescent="0.35">
      <c r="A1911" s="10" t="s">
        <v>8069</v>
      </c>
      <c r="B1911" s="12" t="s">
        <v>3085</v>
      </c>
      <c r="C1911" s="11">
        <v>45999</v>
      </c>
      <c r="D1911" s="12">
        <v>5</v>
      </c>
      <c r="E1911" s="12">
        <v>10</v>
      </c>
      <c r="F1911" s="13" t="s">
        <v>8363</v>
      </c>
      <c r="G1911" t="str">
        <f>IFERROR(INDEX(Ticket!$B$2:$B$6001,MATCH(B1911,Ticket!$A$2:$A$6001,0)),"Ticket introuvable")</f>
        <v>AG-018</v>
      </c>
    </row>
    <row r="1912" spans="1:7" x14ac:dyDescent="0.35">
      <c r="A1912" s="6" t="s">
        <v>8070</v>
      </c>
      <c r="B1912" s="8" t="s">
        <v>1982</v>
      </c>
      <c r="C1912" s="7">
        <v>45963</v>
      </c>
      <c r="D1912" s="8">
        <v>4</v>
      </c>
      <c r="E1912" s="8">
        <v>7</v>
      </c>
      <c r="F1912" s="9" t="s">
        <v>6148</v>
      </c>
      <c r="G1912" t="str">
        <f>IFERROR(INDEX(Ticket!$B$2:$B$6001,MATCH(B1912,Ticket!$A$2:$A$6001,0)),"Ticket introuvable")</f>
        <v>AG-008</v>
      </c>
    </row>
    <row r="1913" spans="1:7" x14ac:dyDescent="0.35">
      <c r="A1913" s="10" t="s">
        <v>8071</v>
      </c>
      <c r="B1913" s="12" t="s">
        <v>1531</v>
      </c>
      <c r="C1913" s="11">
        <v>45729</v>
      </c>
      <c r="D1913" s="12">
        <v>2</v>
      </c>
      <c r="E1913" s="12">
        <v>8</v>
      </c>
      <c r="F1913" s="13" t="s">
        <v>8363</v>
      </c>
      <c r="G1913" t="str">
        <f>IFERROR(INDEX(Ticket!$B$2:$B$6001,MATCH(B1913,Ticket!$A$2:$A$6001,0)),"Ticket introuvable")</f>
        <v>AG-020</v>
      </c>
    </row>
    <row r="1914" spans="1:7" x14ac:dyDescent="0.35">
      <c r="A1914" s="6" t="s">
        <v>8072</v>
      </c>
      <c r="B1914" s="8" t="s">
        <v>756</v>
      </c>
      <c r="C1914" s="7">
        <v>45857</v>
      </c>
      <c r="D1914" s="8">
        <v>3</v>
      </c>
      <c r="E1914" s="8">
        <v>7</v>
      </c>
      <c r="F1914" s="9" t="s">
        <v>6160</v>
      </c>
      <c r="G1914" t="str">
        <f>IFERROR(INDEX(Ticket!$B$2:$B$6001,MATCH(B1914,Ticket!$A$2:$A$6001,0)),"Ticket introuvable")</f>
        <v>AG-025</v>
      </c>
    </row>
    <row r="1915" spans="1:7" x14ac:dyDescent="0.35">
      <c r="A1915" s="10" t="s">
        <v>8073</v>
      </c>
      <c r="B1915" s="12" t="s">
        <v>896</v>
      </c>
      <c r="C1915" s="11">
        <v>45773</v>
      </c>
      <c r="D1915" s="12">
        <v>2</v>
      </c>
      <c r="E1915" s="12"/>
      <c r="F1915" s="13" t="s">
        <v>8363</v>
      </c>
      <c r="G1915" t="str">
        <f>IFERROR(INDEX(Ticket!$B$2:$B$6001,MATCH(B1915,Ticket!$A$2:$A$6001,0)),"Ticket introuvable")</f>
        <v>AG-015</v>
      </c>
    </row>
    <row r="1916" spans="1:7" x14ac:dyDescent="0.35">
      <c r="A1916" s="6" t="s">
        <v>8074</v>
      </c>
      <c r="B1916" s="8" t="s">
        <v>304</v>
      </c>
      <c r="C1916" s="7">
        <v>45904</v>
      </c>
      <c r="D1916" s="8">
        <v>4</v>
      </c>
      <c r="E1916" s="8">
        <v>10</v>
      </c>
      <c r="F1916" s="9" t="s">
        <v>8363</v>
      </c>
      <c r="G1916" t="str">
        <f>IFERROR(INDEX(Ticket!$B$2:$B$6001,MATCH(B1916,Ticket!$A$2:$A$6001,0)),"Ticket introuvable")</f>
        <v>AG-028</v>
      </c>
    </row>
    <row r="1917" spans="1:7" x14ac:dyDescent="0.35">
      <c r="A1917" s="10" t="s">
        <v>8075</v>
      </c>
      <c r="B1917" s="12" t="s">
        <v>2007</v>
      </c>
      <c r="C1917" s="11">
        <v>45712</v>
      </c>
      <c r="D1917" s="12">
        <v>1</v>
      </c>
      <c r="E1917" s="12">
        <v>10</v>
      </c>
      <c r="F1917" s="13" t="s">
        <v>8363</v>
      </c>
      <c r="G1917" t="str">
        <f>IFERROR(INDEX(Ticket!$B$2:$B$6001,MATCH(B1917,Ticket!$A$2:$A$6001,0)),"Ticket introuvable")</f>
        <v>AG-018</v>
      </c>
    </row>
    <row r="1918" spans="1:7" x14ac:dyDescent="0.35">
      <c r="A1918" s="6" t="s">
        <v>8076</v>
      </c>
      <c r="B1918" s="8" t="s">
        <v>166</v>
      </c>
      <c r="C1918" s="7">
        <v>45970</v>
      </c>
      <c r="D1918" s="8">
        <v>3</v>
      </c>
      <c r="E1918" s="8">
        <v>9</v>
      </c>
      <c r="F1918" s="9" t="s">
        <v>6153</v>
      </c>
      <c r="G1918" t="str">
        <f>IFERROR(INDEX(Ticket!$B$2:$B$6001,MATCH(B1918,Ticket!$A$2:$A$6001,0)),"Ticket introuvable")</f>
        <v>AG-034</v>
      </c>
    </row>
    <row r="1919" spans="1:7" x14ac:dyDescent="0.35">
      <c r="A1919" s="10" t="s">
        <v>8077</v>
      </c>
      <c r="B1919" s="12" t="s">
        <v>2335</v>
      </c>
      <c r="C1919" s="11">
        <v>45772</v>
      </c>
      <c r="D1919" s="12">
        <v>5</v>
      </c>
      <c r="E1919" s="12">
        <v>9</v>
      </c>
      <c r="F1919" s="13" t="s">
        <v>6142</v>
      </c>
      <c r="G1919" t="str">
        <f>IFERROR(INDEX(Ticket!$B$2:$B$6001,MATCH(B1919,Ticket!$A$2:$A$6001,0)),"Ticket introuvable")</f>
        <v>AG-006</v>
      </c>
    </row>
    <row r="1920" spans="1:7" x14ac:dyDescent="0.35">
      <c r="A1920" s="6" t="s">
        <v>8078</v>
      </c>
      <c r="B1920" s="8" t="s">
        <v>1592</v>
      </c>
      <c r="C1920" s="7">
        <v>45962</v>
      </c>
      <c r="D1920" s="8">
        <v>4</v>
      </c>
      <c r="E1920" s="8">
        <v>4</v>
      </c>
      <c r="F1920" s="9" t="s">
        <v>6142</v>
      </c>
      <c r="G1920" t="str">
        <f>IFERROR(INDEX(Ticket!$B$2:$B$6001,MATCH(B1920,Ticket!$A$2:$A$6001,0)),"Ticket introuvable")</f>
        <v>AG-025</v>
      </c>
    </row>
    <row r="1921" spans="1:7" x14ac:dyDescent="0.35">
      <c r="A1921" s="10" t="s">
        <v>8079</v>
      </c>
      <c r="B1921" s="12" t="s">
        <v>2475</v>
      </c>
      <c r="C1921" s="11">
        <v>45970</v>
      </c>
      <c r="D1921" s="12">
        <v>3</v>
      </c>
      <c r="E1921" s="12">
        <v>7</v>
      </c>
      <c r="F1921" s="13" t="s">
        <v>75</v>
      </c>
      <c r="G1921" t="str">
        <f>IFERROR(INDEX(Ticket!$B$2:$B$6001,MATCH(B1921,Ticket!$A$2:$A$6001,0)),"Ticket introuvable")</f>
        <v>AG-023</v>
      </c>
    </row>
    <row r="1922" spans="1:7" x14ac:dyDescent="0.35">
      <c r="A1922" s="6" t="s">
        <v>8080</v>
      </c>
      <c r="B1922" s="8" t="s">
        <v>1876</v>
      </c>
      <c r="C1922" s="7">
        <v>45754</v>
      </c>
      <c r="D1922" s="8">
        <v>3</v>
      </c>
      <c r="E1922" s="8">
        <v>10</v>
      </c>
      <c r="F1922" s="9" t="s">
        <v>75</v>
      </c>
      <c r="G1922" t="str">
        <f>IFERROR(INDEX(Ticket!$B$2:$B$6001,MATCH(B1922,Ticket!$A$2:$A$6001,0)),"Ticket introuvable")</f>
        <v>AG-036</v>
      </c>
    </row>
    <row r="1923" spans="1:7" x14ac:dyDescent="0.35">
      <c r="A1923" s="10" t="s">
        <v>8081</v>
      </c>
      <c r="B1923" s="12" t="s">
        <v>5474</v>
      </c>
      <c r="C1923" s="11">
        <v>45917</v>
      </c>
      <c r="D1923" s="12">
        <v>4</v>
      </c>
      <c r="E1923" s="12"/>
      <c r="F1923" s="13" t="s">
        <v>6153</v>
      </c>
      <c r="G1923" t="str">
        <f>IFERROR(INDEX(Ticket!$B$2:$B$6001,MATCH(B1923,Ticket!$A$2:$A$6001,0)),"Ticket introuvable")</f>
        <v>AG-025</v>
      </c>
    </row>
    <row r="1924" spans="1:7" x14ac:dyDescent="0.35">
      <c r="A1924" s="6" t="s">
        <v>8082</v>
      </c>
      <c r="B1924" s="8" t="s">
        <v>1709</v>
      </c>
      <c r="C1924" s="7">
        <v>45844</v>
      </c>
      <c r="D1924" s="8">
        <v>2</v>
      </c>
      <c r="E1924" s="8">
        <v>1</v>
      </c>
      <c r="F1924" s="9" t="s">
        <v>8363</v>
      </c>
      <c r="G1924" t="str">
        <f>IFERROR(INDEX(Ticket!$B$2:$B$6001,MATCH(B1924,Ticket!$A$2:$A$6001,0)),"Ticket introuvable")</f>
        <v>AG-027</v>
      </c>
    </row>
    <row r="1925" spans="1:7" x14ac:dyDescent="0.35">
      <c r="A1925" s="10" t="s">
        <v>8083</v>
      </c>
      <c r="B1925" s="12" t="s">
        <v>1949</v>
      </c>
      <c r="C1925" s="11">
        <v>46019</v>
      </c>
      <c r="D1925" s="12">
        <v>4</v>
      </c>
      <c r="E1925" s="12">
        <v>7</v>
      </c>
      <c r="F1925" s="13" t="s">
        <v>6160</v>
      </c>
      <c r="G1925" t="str">
        <f>IFERROR(INDEX(Ticket!$B$2:$B$6001,MATCH(B1925,Ticket!$A$2:$A$6001,0)),"Ticket introuvable")</f>
        <v>AG-032</v>
      </c>
    </row>
    <row r="1926" spans="1:7" x14ac:dyDescent="0.35">
      <c r="A1926" s="6" t="s">
        <v>8084</v>
      </c>
      <c r="B1926" s="8" t="s">
        <v>1916</v>
      </c>
      <c r="C1926" s="7">
        <v>45738</v>
      </c>
      <c r="D1926" s="8">
        <v>2</v>
      </c>
      <c r="E1926" s="8">
        <v>1</v>
      </c>
      <c r="F1926" s="9" t="s">
        <v>8363</v>
      </c>
      <c r="G1926" t="str">
        <f>IFERROR(INDEX(Ticket!$B$2:$B$6001,MATCH(B1926,Ticket!$A$2:$A$6001,0)),"Ticket introuvable")</f>
        <v>AG-032</v>
      </c>
    </row>
    <row r="1927" spans="1:7" x14ac:dyDescent="0.35">
      <c r="A1927" s="10" t="s">
        <v>8085</v>
      </c>
      <c r="B1927" s="12" t="s">
        <v>4331</v>
      </c>
      <c r="C1927" s="11">
        <v>45925</v>
      </c>
      <c r="D1927" s="12">
        <v>4</v>
      </c>
      <c r="E1927" s="12">
        <v>9</v>
      </c>
      <c r="F1927" s="13" t="s">
        <v>8363</v>
      </c>
      <c r="G1927" t="str">
        <f>IFERROR(INDEX(Ticket!$B$2:$B$6001,MATCH(B1927,Ticket!$A$2:$A$6001,0)),"Ticket introuvable")</f>
        <v>AG-023</v>
      </c>
    </row>
    <row r="1928" spans="1:7" x14ac:dyDescent="0.35">
      <c r="A1928" s="6" t="s">
        <v>8086</v>
      </c>
      <c r="B1928" s="8" t="s">
        <v>5410</v>
      </c>
      <c r="C1928" s="7">
        <v>45978</v>
      </c>
      <c r="D1928" s="8">
        <v>5</v>
      </c>
      <c r="E1928" s="8">
        <v>0</v>
      </c>
      <c r="F1928" s="9" t="s">
        <v>8363</v>
      </c>
      <c r="G1928" t="str">
        <f>IFERROR(INDEX(Ticket!$B$2:$B$6001,MATCH(B1928,Ticket!$A$2:$A$6001,0)),"Ticket introuvable")</f>
        <v>AG-037</v>
      </c>
    </row>
    <row r="1929" spans="1:7" x14ac:dyDescent="0.35">
      <c r="A1929" s="10" t="s">
        <v>8087</v>
      </c>
      <c r="B1929" s="12" t="s">
        <v>1549</v>
      </c>
      <c r="C1929" s="11">
        <v>46022</v>
      </c>
      <c r="D1929" s="12">
        <v>4</v>
      </c>
      <c r="E1929" s="12"/>
      <c r="F1929" s="13" t="s">
        <v>8363</v>
      </c>
      <c r="G1929" t="str">
        <f>IFERROR(INDEX(Ticket!$B$2:$B$6001,MATCH(B1929,Ticket!$A$2:$A$6001,0)),"Ticket introuvable")</f>
        <v>AG-005</v>
      </c>
    </row>
    <row r="1930" spans="1:7" x14ac:dyDescent="0.35">
      <c r="A1930" s="6" t="s">
        <v>8088</v>
      </c>
      <c r="B1930" s="8" t="s">
        <v>154</v>
      </c>
      <c r="C1930" s="7">
        <v>45880</v>
      </c>
      <c r="D1930" s="8">
        <v>4</v>
      </c>
      <c r="E1930" s="8">
        <v>7</v>
      </c>
      <c r="F1930" s="9" t="s">
        <v>75</v>
      </c>
      <c r="G1930" t="str">
        <f>IFERROR(INDEX(Ticket!$B$2:$B$6001,MATCH(B1930,Ticket!$A$2:$A$6001,0)),"Ticket introuvable")</f>
        <v>AG-018</v>
      </c>
    </row>
    <row r="1931" spans="1:7" x14ac:dyDescent="0.35">
      <c r="A1931" s="10" t="s">
        <v>8089</v>
      </c>
      <c r="B1931" s="12" t="s">
        <v>5259</v>
      </c>
      <c r="C1931" s="11">
        <v>45951</v>
      </c>
      <c r="D1931" s="12">
        <v>4</v>
      </c>
      <c r="E1931" s="12">
        <v>0</v>
      </c>
      <c r="F1931" s="13" t="s">
        <v>6153</v>
      </c>
      <c r="G1931" t="str">
        <f>IFERROR(INDEX(Ticket!$B$2:$B$6001,MATCH(B1931,Ticket!$A$2:$A$6001,0)),"Ticket introuvable")</f>
        <v>AG-032</v>
      </c>
    </row>
    <row r="1932" spans="1:7" x14ac:dyDescent="0.35">
      <c r="A1932" s="6" t="s">
        <v>8090</v>
      </c>
      <c r="B1932" s="8" t="s">
        <v>54</v>
      </c>
      <c r="C1932" s="7">
        <v>45668</v>
      </c>
      <c r="D1932" s="8">
        <v>5</v>
      </c>
      <c r="E1932" s="8">
        <v>1</v>
      </c>
      <c r="F1932" s="9" t="s">
        <v>6142</v>
      </c>
      <c r="G1932" t="str">
        <f>IFERROR(INDEX(Ticket!$B$2:$B$6001,MATCH(B1932,Ticket!$A$2:$A$6001,0)),"Ticket introuvable")</f>
        <v>AG-033</v>
      </c>
    </row>
    <row r="1933" spans="1:7" x14ac:dyDescent="0.35">
      <c r="A1933" s="10" t="s">
        <v>8091</v>
      </c>
      <c r="B1933" s="12" t="s">
        <v>4871</v>
      </c>
      <c r="C1933" s="11">
        <v>45945</v>
      </c>
      <c r="D1933" s="12">
        <v>5</v>
      </c>
      <c r="E1933" s="12">
        <v>10</v>
      </c>
      <c r="F1933" s="13" t="s">
        <v>8363</v>
      </c>
      <c r="G1933" t="str">
        <f>IFERROR(INDEX(Ticket!$B$2:$B$6001,MATCH(B1933,Ticket!$A$2:$A$6001,0)),"Ticket introuvable")</f>
        <v>AG-029</v>
      </c>
    </row>
    <row r="1934" spans="1:7" x14ac:dyDescent="0.35">
      <c r="A1934" s="6" t="s">
        <v>8092</v>
      </c>
      <c r="B1934" s="8" t="s">
        <v>3273</v>
      </c>
      <c r="C1934" s="7">
        <v>45944</v>
      </c>
      <c r="D1934" s="8">
        <v>5</v>
      </c>
      <c r="E1934" s="8">
        <v>8</v>
      </c>
      <c r="F1934" s="9" t="s">
        <v>75</v>
      </c>
      <c r="G1934" t="str">
        <f>IFERROR(INDEX(Ticket!$B$2:$B$6001,MATCH(B1934,Ticket!$A$2:$A$6001,0)),"Ticket introuvable")</f>
        <v>AG-026</v>
      </c>
    </row>
    <row r="1935" spans="1:7" x14ac:dyDescent="0.35">
      <c r="A1935" s="10" t="s">
        <v>8093</v>
      </c>
      <c r="B1935" s="12" t="s">
        <v>1963</v>
      </c>
      <c r="C1935" s="11">
        <v>45860</v>
      </c>
      <c r="D1935" s="12">
        <v>4</v>
      </c>
      <c r="E1935" s="12">
        <v>7</v>
      </c>
      <c r="F1935" s="13" t="s">
        <v>6148</v>
      </c>
      <c r="G1935" t="str">
        <f>IFERROR(INDEX(Ticket!$B$2:$B$6001,MATCH(B1935,Ticket!$A$2:$A$6001,0)),"Ticket introuvable")</f>
        <v>AG-020</v>
      </c>
    </row>
    <row r="1936" spans="1:7" x14ac:dyDescent="0.35">
      <c r="A1936" s="6" t="s">
        <v>8094</v>
      </c>
      <c r="B1936" s="8" t="s">
        <v>3407</v>
      </c>
      <c r="C1936" s="7">
        <v>45981</v>
      </c>
      <c r="D1936" s="8">
        <v>5</v>
      </c>
      <c r="E1936" s="8">
        <v>10</v>
      </c>
      <c r="F1936" s="9" t="s">
        <v>8363</v>
      </c>
      <c r="G1936" t="str">
        <f>IFERROR(INDEX(Ticket!$B$2:$B$6001,MATCH(B1936,Ticket!$A$2:$A$6001,0)),"Ticket introuvable")</f>
        <v>AG-027</v>
      </c>
    </row>
    <row r="1937" spans="1:7" x14ac:dyDescent="0.35">
      <c r="A1937" s="10" t="s">
        <v>8095</v>
      </c>
      <c r="B1937" s="12" t="s">
        <v>3891</v>
      </c>
      <c r="C1937" s="11">
        <v>45733</v>
      </c>
      <c r="D1937" s="12">
        <v>1</v>
      </c>
      <c r="E1937" s="12">
        <v>3</v>
      </c>
      <c r="F1937" s="13" t="s">
        <v>6160</v>
      </c>
      <c r="G1937" t="str">
        <f>IFERROR(INDEX(Ticket!$B$2:$B$6001,MATCH(B1937,Ticket!$A$2:$A$6001,0)),"Ticket introuvable")</f>
        <v>AG-034</v>
      </c>
    </row>
    <row r="1938" spans="1:7" x14ac:dyDescent="0.35">
      <c r="A1938" s="6" t="s">
        <v>8096</v>
      </c>
      <c r="B1938" s="8" t="s">
        <v>672</v>
      </c>
      <c r="C1938" s="7">
        <v>45790</v>
      </c>
      <c r="D1938" s="8">
        <v>4</v>
      </c>
      <c r="E1938" s="8">
        <v>9</v>
      </c>
      <c r="F1938" s="9" t="s">
        <v>6142</v>
      </c>
      <c r="G1938" t="str">
        <f>IFERROR(INDEX(Ticket!$B$2:$B$6001,MATCH(B1938,Ticket!$A$2:$A$6001,0)),"Ticket introuvable")</f>
        <v>AG-012</v>
      </c>
    </row>
    <row r="1939" spans="1:7" x14ac:dyDescent="0.35">
      <c r="A1939" s="10" t="s">
        <v>8097</v>
      </c>
      <c r="B1939" s="12" t="s">
        <v>4881</v>
      </c>
      <c r="C1939" s="11">
        <v>45733</v>
      </c>
      <c r="D1939" s="12">
        <v>4</v>
      </c>
      <c r="E1939" s="12"/>
      <c r="F1939" s="13" t="s">
        <v>6142</v>
      </c>
      <c r="G1939" t="str">
        <f>IFERROR(INDEX(Ticket!$B$2:$B$6001,MATCH(B1939,Ticket!$A$2:$A$6001,0)),"Ticket introuvable")</f>
        <v>AG-005</v>
      </c>
    </row>
    <row r="1940" spans="1:7" x14ac:dyDescent="0.35">
      <c r="A1940" s="6" t="s">
        <v>8098</v>
      </c>
      <c r="B1940" s="8" t="s">
        <v>4329</v>
      </c>
      <c r="C1940" s="7">
        <v>46019</v>
      </c>
      <c r="D1940" s="8">
        <v>1</v>
      </c>
      <c r="E1940" s="8">
        <v>10</v>
      </c>
      <c r="F1940" s="9" t="s">
        <v>6153</v>
      </c>
      <c r="G1940" t="str">
        <f>IFERROR(INDEX(Ticket!$B$2:$B$6001,MATCH(B1940,Ticket!$A$2:$A$6001,0)),"Ticket introuvable")</f>
        <v>AG-040</v>
      </c>
    </row>
    <row r="1941" spans="1:7" x14ac:dyDescent="0.35">
      <c r="A1941" s="10" t="s">
        <v>8099</v>
      </c>
      <c r="B1941" s="12" t="s">
        <v>2803</v>
      </c>
      <c r="C1941" s="11">
        <v>45838</v>
      </c>
      <c r="D1941" s="12"/>
      <c r="E1941" s="12">
        <v>5</v>
      </c>
      <c r="F1941" s="13" t="s">
        <v>6148</v>
      </c>
      <c r="G1941" t="str">
        <f>IFERROR(INDEX(Ticket!$B$2:$B$6001,MATCH(B1941,Ticket!$A$2:$A$6001,0)),"Ticket introuvable")</f>
        <v>AG-022</v>
      </c>
    </row>
    <row r="1942" spans="1:7" x14ac:dyDescent="0.35">
      <c r="A1942" s="6" t="s">
        <v>8100</v>
      </c>
      <c r="B1942" s="8" t="s">
        <v>1859</v>
      </c>
      <c r="C1942" s="7">
        <v>45758</v>
      </c>
      <c r="D1942" s="8">
        <v>5</v>
      </c>
      <c r="E1942" s="8">
        <v>7</v>
      </c>
      <c r="F1942" s="9" t="s">
        <v>6148</v>
      </c>
      <c r="G1942" t="str">
        <f>IFERROR(INDEX(Ticket!$B$2:$B$6001,MATCH(B1942,Ticket!$A$2:$A$6001,0)),"Ticket introuvable")</f>
        <v>AG-014</v>
      </c>
    </row>
    <row r="1943" spans="1:7" x14ac:dyDescent="0.35">
      <c r="A1943" s="10" t="s">
        <v>8101</v>
      </c>
      <c r="B1943" s="12" t="s">
        <v>4603</v>
      </c>
      <c r="C1943" s="11">
        <v>45861</v>
      </c>
      <c r="D1943" s="12">
        <v>2</v>
      </c>
      <c r="E1943" s="12">
        <v>5</v>
      </c>
      <c r="F1943" s="13" t="s">
        <v>6142</v>
      </c>
      <c r="G1943" t="str">
        <f>IFERROR(INDEX(Ticket!$B$2:$B$6001,MATCH(B1943,Ticket!$A$2:$A$6001,0)),"Ticket introuvable")</f>
        <v>AG-026</v>
      </c>
    </row>
    <row r="1944" spans="1:7" x14ac:dyDescent="0.35">
      <c r="A1944" s="6" t="s">
        <v>8102</v>
      </c>
      <c r="B1944" s="8" t="s">
        <v>3652</v>
      </c>
      <c r="C1944" s="7">
        <v>45718</v>
      </c>
      <c r="D1944" s="8">
        <v>5</v>
      </c>
      <c r="E1944" s="8">
        <v>9</v>
      </c>
      <c r="F1944" s="9" t="s">
        <v>6142</v>
      </c>
      <c r="G1944" t="str">
        <f>IFERROR(INDEX(Ticket!$B$2:$B$6001,MATCH(B1944,Ticket!$A$2:$A$6001,0)),"Ticket introuvable")</f>
        <v>AG-027</v>
      </c>
    </row>
    <row r="1945" spans="1:7" x14ac:dyDescent="0.35">
      <c r="A1945" s="10" t="s">
        <v>8103</v>
      </c>
      <c r="B1945" s="12" t="s">
        <v>5825</v>
      </c>
      <c r="C1945" s="11">
        <v>45791</v>
      </c>
      <c r="D1945" s="12">
        <v>1</v>
      </c>
      <c r="E1945" s="12">
        <v>10</v>
      </c>
      <c r="F1945" s="13" t="s">
        <v>6148</v>
      </c>
      <c r="G1945" t="str">
        <f>IFERROR(INDEX(Ticket!$B$2:$B$6001,MATCH(B1945,Ticket!$A$2:$A$6001,0)),"Ticket introuvable")</f>
        <v>AG-039</v>
      </c>
    </row>
    <row r="1946" spans="1:7" x14ac:dyDescent="0.35">
      <c r="A1946" s="6" t="s">
        <v>8104</v>
      </c>
      <c r="B1946" s="8" t="s">
        <v>4160</v>
      </c>
      <c r="C1946" s="7">
        <v>45954</v>
      </c>
      <c r="D1946" s="8">
        <v>4</v>
      </c>
      <c r="E1946" s="8">
        <v>7</v>
      </c>
      <c r="F1946" s="9" t="s">
        <v>8363</v>
      </c>
      <c r="G1946" t="str">
        <f>IFERROR(INDEX(Ticket!$B$2:$B$6001,MATCH(B1946,Ticket!$A$2:$A$6001,0)),"Ticket introuvable")</f>
        <v>AG-014</v>
      </c>
    </row>
    <row r="1947" spans="1:7" x14ac:dyDescent="0.35">
      <c r="A1947" s="10" t="s">
        <v>8105</v>
      </c>
      <c r="B1947" s="12" t="s">
        <v>4504</v>
      </c>
      <c r="C1947" s="11">
        <v>46016</v>
      </c>
      <c r="D1947" s="12">
        <v>4</v>
      </c>
      <c r="E1947" s="12">
        <v>8</v>
      </c>
      <c r="F1947" s="13" t="s">
        <v>8363</v>
      </c>
      <c r="G1947" t="str">
        <f>IFERROR(INDEX(Ticket!$B$2:$B$6001,MATCH(B1947,Ticket!$A$2:$A$6001,0)),"Ticket introuvable")</f>
        <v>AG-034</v>
      </c>
    </row>
    <row r="1948" spans="1:7" x14ac:dyDescent="0.35">
      <c r="A1948" s="6" t="s">
        <v>8106</v>
      </c>
      <c r="B1948" s="8" t="s">
        <v>4474</v>
      </c>
      <c r="C1948" s="7">
        <v>46018</v>
      </c>
      <c r="D1948" s="8">
        <v>5</v>
      </c>
      <c r="E1948" s="8">
        <v>10</v>
      </c>
      <c r="F1948" s="9" t="s">
        <v>6153</v>
      </c>
      <c r="G1948" t="str">
        <f>IFERROR(INDEX(Ticket!$B$2:$B$6001,MATCH(B1948,Ticket!$A$2:$A$6001,0)),"Ticket introuvable")</f>
        <v>AG-018</v>
      </c>
    </row>
    <row r="1949" spans="1:7" x14ac:dyDescent="0.35">
      <c r="A1949" s="10" t="s">
        <v>8107</v>
      </c>
      <c r="B1949" s="12" t="s">
        <v>1129</v>
      </c>
      <c r="C1949" s="11">
        <v>45666</v>
      </c>
      <c r="D1949" s="12">
        <v>4</v>
      </c>
      <c r="E1949" s="12">
        <v>9</v>
      </c>
      <c r="F1949" s="13" t="s">
        <v>6148</v>
      </c>
      <c r="G1949" t="str">
        <f>IFERROR(INDEX(Ticket!$B$2:$B$6001,MATCH(B1949,Ticket!$A$2:$A$6001,0)),"Ticket introuvable")</f>
        <v>AG-037</v>
      </c>
    </row>
    <row r="1950" spans="1:7" x14ac:dyDescent="0.35">
      <c r="A1950" s="6" t="s">
        <v>8108</v>
      </c>
      <c r="B1950" s="8" t="s">
        <v>1318</v>
      </c>
      <c r="C1950" s="7">
        <v>45694</v>
      </c>
      <c r="D1950" s="8">
        <v>4</v>
      </c>
      <c r="E1950" s="8">
        <v>0</v>
      </c>
      <c r="F1950" s="9" t="s">
        <v>6153</v>
      </c>
      <c r="G1950" t="str">
        <f>IFERROR(INDEX(Ticket!$B$2:$B$6001,MATCH(B1950,Ticket!$A$2:$A$6001,0)),"Ticket introuvable")</f>
        <v>AG-015</v>
      </c>
    </row>
    <row r="1951" spans="1:7" x14ac:dyDescent="0.35">
      <c r="A1951" s="10" t="s">
        <v>8109</v>
      </c>
      <c r="B1951" s="12" t="s">
        <v>8366</v>
      </c>
      <c r="C1951" s="11">
        <v>45974</v>
      </c>
      <c r="D1951" s="12">
        <v>5</v>
      </c>
      <c r="E1951" s="12">
        <v>8</v>
      </c>
      <c r="F1951" s="13" t="s">
        <v>6160</v>
      </c>
      <c r="G1951" t="str">
        <f>IFERROR(INDEX(Ticket!$B$2:$B$6001,MATCH(B1951,Ticket!$A$2:$A$6001,0)),"Ticket introuvable")</f>
        <v>Ticket introuvable</v>
      </c>
    </row>
    <row r="1952" spans="1:7" x14ac:dyDescent="0.35">
      <c r="A1952" s="6" t="s">
        <v>8110</v>
      </c>
      <c r="B1952" s="8" t="s">
        <v>4723</v>
      </c>
      <c r="C1952" s="7">
        <v>45782</v>
      </c>
      <c r="D1952" s="8">
        <v>4</v>
      </c>
      <c r="E1952" s="8">
        <v>8</v>
      </c>
      <c r="F1952" s="9" t="s">
        <v>6148</v>
      </c>
      <c r="G1952" t="str">
        <f>IFERROR(INDEX(Ticket!$B$2:$B$6001,MATCH(B1952,Ticket!$A$2:$A$6001,0)),"Ticket introuvable")</f>
        <v>AG-029</v>
      </c>
    </row>
    <row r="1953" spans="1:7" x14ac:dyDescent="0.35">
      <c r="A1953" s="10" t="s">
        <v>8111</v>
      </c>
      <c r="B1953" s="12" t="s">
        <v>571</v>
      </c>
      <c r="C1953" s="11">
        <v>46023</v>
      </c>
      <c r="D1953" s="12"/>
      <c r="E1953" s="12">
        <v>10</v>
      </c>
      <c r="F1953" s="13" t="s">
        <v>6160</v>
      </c>
      <c r="G1953" t="str">
        <f>IFERROR(INDEX(Ticket!$B$2:$B$6001,MATCH(B1953,Ticket!$A$2:$A$6001,0)),"Ticket introuvable")</f>
        <v>AG-006</v>
      </c>
    </row>
    <row r="1954" spans="1:7" x14ac:dyDescent="0.35">
      <c r="A1954" s="6" t="s">
        <v>8112</v>
      </c>
      <c r="B1954" s="8" t="s">
        <v>4260</v>
      </c>
      <c r="C1954" s="7">
        <v>45867</v>
      </c>
      <c r="D1954" s="8">
        <v>4</v>
      </c>
      <c r="E1954" s="8">
        <v>7</v>
      </c>
      <c r="F1954" s="9" t="s">
        <v>6153</v>
      </c>
      <c r="G1954" t="str">
        <f>IFERROR(INDEX(Ticket!$B$2:$B$6001,MATCH(B1954,Ticket!$A$2:$A$6001,0)),"Ticket introuvable")</f>
        <v>AG-033</v>
      </c>
    </row>
    <row r="1955" spans="1:7" x14ac:dyDescent="0.35">
      <c r="A1955" s="10" t="s">
        <v>8113</v>
      </c>
      <c r="B1955" s="12" t="s">
        <v>5262</v>
      </c>
      <c r="C1955" s="11">
        <v>45898</v>
      </c>
      <c r="D1955" s="12">
        <v>4</v>
      </c>
      <c r="E1955" s="12">
        <v>10</v>
      </c>
      <c r="F1955" s="13" t="s">
        <v>6153</v>
      </c>
      <c r="G1955" t="str">
        <f>IFERROR(INDEX(Ticket!$B$2:$B$6001,MATCH(B1955,Ticket!$A$2:$A$6001,0)),"Ticket introuvable")</f>
        <v>AG-006</v>
      </c>
    </row>
    <row r="1956" spans="1:7" x14ac:dyDescent="0.35">
      <c r="A1956" s="6" t="s">
        <v>8114</v>
      </c>
      <c r="B1956" s="8" t="s">
        <v>1353</v>
      </c>
      <c r="C1956" s="7">
        <v>45896</v>
      </c>
      <c r="D1956" s="8">
        <v>3</v>
      </c>
      <c r="E1956" s="8">
        <v>5</v>
      </c>
      <c r="F1956" s="9" t="s">
        <v>6148</v>
      </c>
      <c r="G1956" t="str">
        <f>IFERROR(INDEX(Ticket!$B$2:$B$6001,MATCH(B1956,Ticket!$A$2:$A$6001,0)),"Ticket introuvable")</f>
        <v>AG-006</v>
      </c>
    </row>
    <row r="1957" spans="1:7" x14ac:dyDescent="0.35">
      <c r="A1957" s="10" t="s">
        <v>8115</v>
      </c>
      <c r="B1957" s="12" t="s">
        <v>4206</v>
      </c>
      <c r="C1957" s="11">
        <v>45999</v>
      </c>
      <c r="D1957" s="12">
        <v>5</v>
      </c>
      <c r="E1957" s="12">
        <v>9</v>
      </c>
      <c r="F1957" s="13" t="s">
        <v>6148</v>
      </c>
      <c r="G1957" t="str">
        <f>IFERROR(INDEX(Ticket!$B$2:$B$6001,MATCH(B1957,Ticket!$A$2:$A$6001,0)),"Ticket introuvable")</f>
        <v>AG-037</v>
      </c>
    </row>
    <row r="1958" spans="1:7" x14ac:dyDescent="0.35">
      <c r="A1958" s="6" t="s">
        <v>8116</v>
      </c>
      <c r="B1958" s="8" t="s">
        <v>2404</v>
      </c>
      <c r="C1958" s="7">
        <v>45801</v>
      </c>
      <c r="D1958" s="8">
        <v>4</v>
      </c>
      <c r="E1958" s="8">
        <v>10</v>
      </c>
      <c r="F1958" s="9" t="s">
        <v>6153</v>
      </c>
      <c r="G1958" t="str">
        <f>IFERROR(INDEX(Ticket!$B$2:$B$6001,MATCH(B1958,Ticket!$A$2:$A$6001,0)),"Ticket introuvable")</f>
        <v>AG-007</v>
      </c>
    </row>
    <row r="1959" spans="1:7" x14ac:dyDescent="0.35">
      <c r="A1959" s="10" t="s">
        <v>8117</v>
      </c>
      <c r="B1959" s="12" t="s">
        <v>897</v>
      </c>
      <c r="C1959" s="11">
        <v>45688</v>
      </c>
      <c r="D1959" s="12">
        <v>2</v>
      </c>
      <c r="E1959" s="12">
        <v>0</v>
      </c>
      <c r="F1959" s="13" t="s">
        <v>6153</v>
      </c>
      <c r="G1959" t="str">
        <f>IFERROR(INDEX(Ticket!$B$2:$B$6001,MATCH(B1959,Ticket!$A$2:$A$6001,0)),"Ticket introuvable")</f>
        <v>AG-017</v>
      </c>
    </row>
    <row r="1960" spans="1:7" x14ac:dyDescent="0.35">
      <c r="A1960" s="6" t="s">
        <v>8118</v>
      </c>
      <c r="B1960" s="8" t="s">
        <v>338</v>
      </c>
      <c r="C1960" s="7">
        <v>45960</v>
      </c>
      <c r="D1960" s="8">
        <v>1</v>
      </c>
      <c r="E1960" s="8">
        <v>5</v>
      </c>
      <c r="F1960" s="9" t="s">
        <v>6142</v>
      </c>
      <c r="G1960" t="str">
        <f>IFERROR(INDEX(Ticket!$B$2:$B$6001,MATCH(B1960,Ticket!$A$2:$A$6001,0)),"Ticket introuvable")</f>
        <v>AG-039</v>
      </c>
    </row>
    <row r="1961" spans="1:7" x14ac:dyDescent="0.35">
      <c r="A1961" s="10" t="s">
        <v>8119</v>
      </c>
      <c r="B1961" s="12" t="s">
        <v>5782</v>
      </c>
      <c r="C1961" s="11">
        <v>45910</v>
      </c>
      <c r="D1961" s="12">
        <v>2</v>
      </c>
      <c r="E1961" s="12">
        <v>10</v>
      </c>
      <c r="F1961" s="13" t="s">
        <v>8363</v>
      </c>
      <c r="G1961" t="str">
        <f>IFERROR(INDEX(Ticket!$B$2:$B$6001,MATCH(B1961,Ticket!$A$2:$A$6001,0)),"Ticket introuvable")</f>
        <v>AG-039</v>
      </c>
    </row>
    <row r="1962" spans="1:7" x14ac:dyDescent="0.35">
      <c r="A1962" s="6" t="s">
        <v>8120</v>
      </c>
      <c r="B1962" s="8" t="s">
        <v>2036</v>
      </c>
      <c r="C1962" s="7">
        <v>45935</v>
      </c>
      <c r="D1962" s="8">
        <v>5</v>
      </c>
      <c r="E1962" s="8">
        <v>9</v>
      </c>
      <c r="F1962" s="9" t="s">
        <v>6142</v>
      </c>
      <c r="G1962" t="str">
        <f>IFERROR(INDEX(Ticket!$B$2:$B$6001,MATCH(B1962,Ticket!$A$2:$A$6001,0)),"Ticket introuvable")</f>
        <v>AG-012</v>
      </c>
    </row>
    <row r="1963" spans="1:7" x14ac:dyDescent="0.35">
      <c r="A1963" s="10" t="s">
        <v>8121</v>
      </c>
      <c r="B1963" s="12" t="s">
        <v>664</v>
      </c>
      <c r="C1963" s="11">
        <v>45864</v>
      </c>
      <c r="D1963" s="12">
        <v>5</v>
      </c>
      <c r="E1963" s="12">
        <v>10</v>
      </c>
      <c r="F1963" s="13" t="s">
        <v>8363</v>
      </c>
      <c r="G1963" t="str">
        <f>IFERROR(INDEX(Ticket!$B$2:$B$6001,MATCH(B1963,Ticket!$A$2:$A$6001,0)),"Ticket introuvable")</f>
        <v>AG-015</v>
      </c>
    </row>
    <row r="1964" spans="1:7" x14ac:dyDescent="0.35">
      <c r="A1964" s="6" t="s">
        <v>8122</v>
      </c>
      <c r="B1964" s="8" t="s">
        <v>2877</v>
      </c>
      <c r="C1964" s="7">
        <v>45730</v>
      </c>
      <c r="D1964" s="8">
        <v>5</v>
      </c>
      <c r="E1964" s="8">
        <v>4</v>
      </c>
      <c r="F1964" s="9" t="s">
        <v>6142</v>
      </c>
      <c r="G1964" t="str">
        <f>IFERROR(INDEX(Ticket!$B$2:$B$6001,MATCH(B1964,Ticket!$A$2:$A$6001,0)),"Ticket introuvable")</f>
        <v>AG-039</v>
      </c>
    </row>
    <row r="1965" spans="1:7" x14ac:dyDescent="0.35">
      <c r="A1965" s="10" t="s">
        <v>8123</v>
      </c>
      <c r="B1965" s="12" t="s">
        <v>5696</v>
      </c>
      <c r="C1965" s="11">
        <v>45949</v>
      </c>
      <c r="D1965" s="12">
        <v>4</v>
      </c>
      <c r="E1965" s="12">
        <v>5</v>
      </c>
      <c r="F1965" s="13" t="s">
        <v>75</v>
      </c>
      <c r="G1965" t="str">
        <f>IFERROR(INDEX(Ticket!$B$2:$B$6001,MATCH(B1965,Ticket!$A$2:$A$6001,0)),"Ticket introuvable")</f>
        <v>AG-040</v>
      </c>
    </row>
    <row r="1966" spans="1:7" x14ac:dyDescent="0.35">
      <c r="A1966" s="6" t="s">
        <v>8124</v>
      </c>
      <c r="B1966" s="8" t="s">
        <v>2153</v>
      </c>
      <c r="C1966" s="7">
        <v>45669</v>
      </c>
      <c r="D1966" s="8">
        <v>5</v>
      </c>
      <c r="E1966" s="8">
        <v>5</v>
      </c>
      <c r="F1966" s="9" t="s">
        <v>6148</v>
      </c>
      <c r="G1966" t="str">
        <f>IFERROR(INDEX(Ticket!$B$2:$B$6001,MATCH(B1966,Ticket!$A$2:$A$6001,0)),"Ticket introuvable")</f>
        <v>AG-034</v>
      </c>
    </row>
    <row r="1967" spans="1:7" x14ac:dyDescent="0.35">
      <c r="A1967" s="10" t="s">
        <v>8125</v>
      </c>
      <c r="B1967" s="12" t="s">
        <v>3852</v>
      </c>
      <c r="C1967" s="11">
        <v>45713</v>
      </c>
      <c r="D1967" s="12">
        <v>4</v>
      </c>
      <c r="E1967" s="12">
        <v>9</v>
      </c>
      <c r="F1967" s="13" t="s">
        <v>8363</v>
      </c>
      <c r="G1967" t="str">
        <f>IFERROR(INDEX(Ticket!$B$2:$B$6001,MATCH(B1967,Ticket!$A$2:$A$6001,0)),"Ticket introuvable")</f>
        <v>AG-034</v>
      </c>
    </row>
    <row r="1968" spans="1:7" x14ac:dyDescent="0.35">
      <c r="A1968" s="6" t="s">
        <v>8126</v>
      </c>
      <c r="B1968" s="8" t="s">
        <v>1332</v>
      </c>
      <c r="C1968" s="7">
        <v>45750</v>
      </c>
      <c r="D1968" s="8">
        <v>1</v>
      </c>
      <c r="E1968" s="8">
        <v>8</v>
      </c>
      <c r="F1968" s="9" t="s">
        <v>6142</v>
      </c>
      <c r="G1968" t="str">
        <f>IFERROR(INDEX(Ticket!$B$2:$B$6001,MATCH(B1968,Ticket!$A$2:$A$6001,0)),"Ticket introuvable")</f>
        <v>AG-008</v>
      </c>
    </row>
    <row r="1969" spans="1:7" x14ac:dyDescent="0.35">
      <c r="A1969" s="10" t="s">
        <v>8127</v>
      </c>
      <c r="B1969" s="12" t="s">
        <v>867</v>
      </c>
      <c r="C1969" s="11">
        <v>45768</v>
      </c>
      <c r="D1969" s="12">
        <v>5</v>
      </c>
      <c r="E1969" s="12">
        <v>7</v>
      </c>
      <c r="F1969" s="13" t="s">
        <v>6153</v>
      </c>
      <c r="G1969" t="str">
        <f>IFERROR(INDEX(Ticket!$B$2:$B$6001,MATCH(B1969,Ticket!$A$2:$A$6001,0)),"Ticket introuvable")</f>
        <v>AG-019</v>
      </c>
    </row>
    <row r="1970" spans="1:7" x14ac:dyDescent="0.35">
      <c r="A1970" s="6" t="s">
        <v>8128</v>
      </c>
      <c r="B1970" s="8" t="s">
        <v>3562</v>
      </c>
      <c r="C1970" s="7">
        <v>45858</v>
      </c>
      <c r="D1970" s="8">
        <v>4</v>
      </c>
      <c r="E1970" s="8">
        <v>4</v>
      </c>
      <c r="F1970" s="9" t="s">
        <v>6148</v>
      </c>
      <c r="G1970" t="str">
        <f>IFERROR(INDEX(Ticket!$B$2:$B$6001,MATCH(B1970,Ticket!$A$2:$A$6001,0)),"Ticket introuvable")</f>
        <v>AG-020</v>
      </c>
    </row>
    <row r="1971" spans="1:7" x14ac:dyDescent="0.35">
      <c r="A1971" s="10" t="s">
        <v>8129</v>
      </c>
      <c r="B1971" s="12" t="s">
        <v>3883</v>
      </c>
      <c r="C1971" s="11">
        <v>45923</v>
      </c>
      <c r="D1971" s="12">
        <v>4</v>
      </c>
      <c r="E1971" s="12">
        <v>7</v>
      </c>
      <c r="F1971" s="13" t="s">
        <v>6148</v>
      </c>
      <c r="G1971" t="str">
        <f>IFERROR(INDEX(Ticket!$B$2:$B$6001,MATCH(B1971,Ticket!$A$2:$A$6001,0)),"Ticket introuvable")</f>
        <v>AG-005</v>
      </c>
    </row>
    <row r="1972" spans="1:7" x14ac:dyDescent="0.35">
      <c r="A1972" s="6" t="s">
        <v>8130</v>
      </c>
      <c r="B1972" s="8" t="s">
        <v>4558</v>
      </c>
      <c r="C1972" s="7">
        <v>45720</v>
      </c>
      <c r="D1972" s="8">
        <v>4</v>
      </c>
      <c r="E1972" s="8">
        <v>8</v>
      </c>
      <c r="F1972" s="9" t="s">
        <v>6160</v>
      </c>
      <c r="G1972" t="str">
        <f>IFERROR(INDEX(Ticket!$B$2:$B$6001,MATCH(B1972,Ticket!$A$2:$A$6001,0)),"Ticket introuvable")</f>
        <v>AG-014</v>
      </c>
    </row>
    <row r="1973" spans="1:7" x14ac:dyDescent="0.35">
      <c r="A1973" s="10" t="s">
        <v>8131</v>
      </c>
      <c r="B1973" s="12" t="s">
        <v>3521</v>
      </c>
      <c r="C1973" s="11">
        <v>45658</v>
      </c>
      <c r="D1973" s="12">
        <v>2</v>
      </c>
      <c r="E1973" s="12">
        <v>8</v>
      </c>
      <c r="F1973" s="13" t="s">
        <v>6148</v>
      </c>
      <c r="G1973" t="str">
        <f>IFERROR(INDEX(Ticket!$B$2:$B$6001,MATCH(B1973,Ticket!$A$2:$A$6001,0)),"Ticket introuvable")</f>
        <v>AG-032</v>
      </c>
    </row>
    <row r="1974" spans="1:7" x14ac:dyDescent="0.35">
      <c r="A1974" s="6" t="s">
        <v>8132</v>
      </c>
      <c r="B1974" s="8" t="s">
        <v>5269</v>
      </c>
      <c r="C1974" s="7">
        <v>45879</v>
      </c>
      <c r="D1974" s="8"/>
      <c r="E1974" s="8">
        <v>7</v>
      </c>
      <c r="F1974" s="9" t="s">
        <v>6153</v>
      </c>
      <c r="G1974" t="str">
        <f>IFERROR(INDEX(Ticket!$B$2:$B$6001,MATCH(B1974,Ticket!$A$2:$A$6001,0)),"Ticket introuvable")</f>
        <v>AG-032</v>
      </c>
    </row>
    <row r="1975" spans="1:7" x14ac:dyDescent="0.35">
      <c r="A1975" s="10" t="s">
        <v>8133</v>
      </c>
      <c r="B1975" s="12" t="s">
        <v>1926</v>
      </c>
      <c r="C1975" s="11">
        <v>45908</v>
      </c>
      <c r="D1975" s="12">
        <v>3</v>
      </c>
      <c r="E1975" s="12">
        <v>9</v>
      </c>
      <c r="F1975" s="13" t="s">
        <v>6148</v>
      </c>
      <c r="G1975" t="str">
        <f>IFERROR(INDEX(Ticket!$B$2:$B$6001,MATCH(B1975,Ticket!$A$2:$A$6001,0)),"Ticket introuvable")</f>
        <v>AG-016</v>
      </c>
    </row>
    <row r="1976" spans="1:7" x14ac:dyDescent="0.35">
      <c r="A1976" s="6" t="s">
        <v>8134</v>
      </c>
      <c r="B1976" s="8" t="s">
        <v>285</v>
      </c>
      <c r="C1976" s="7">
        <v>45880</v>
      </c>
      <c r="D1976" s="8">
        <v>3</v>
      </c>
      <c r="E1976" s="8">
        <v>10</v>
      </c>
      <c r="F1976" s="9" t="s">
        <v>6142</v>
      </c>
      <c r="G1976" t="str">
        <f>IFERROR(INDEX(Ticket!$B$2:$B$6001,MATCH(B1976,Ticket!$A$2:$A$6001,0)),"Ticket introuvable")</f>
        <v>AG-033</v>
      </c>
    </row>
    <row r="1977" spans="1:7" x14ac:dyDescent="0.35">
      <c r="A1977" s="10" t="s">
        <v>8135</v>
      </c>
      <c r="B1977" s="12" t="s">
        <v>2262</v>
      </c>
      <c r="C1977" s="11">
        <v>45730</v>
      </c>
      <c r="D1977" s="12">
        <v>3</v>
      </c>
      <c r="E1977" s="12">
        <v>6</v>
      </c>
      <c r="F1977" s="13" t="s">
        <v>6160</v>
      </c>
      <c r="G1977" t="str">
        <f>IFERROR(INDEX(Ticket!$B$2:$B$6001,MATCH(B1977,Ticket!$A$2:$A$6001,0)),"Ticket introuvable")</f>
        <v>AG-014</v>
      </c>
    </row>
    <row r="1978" spans="1:7" x14ac:dyDescent="0.35">
      <c r="A1978" s="6" t="s">
        <v>8136</v>
      </c>
      <c r="B1978" s="8" t="s">
        <v>3975</v>
      </c>
      <c r="C1978" s="7">
        <v>45795</v>
      </c>
      <c r="D1978" s="8">
        <v>5</v>
      </c>
      <c r="E1978" s="8">
        <v>7</v>
      </c>
      <c r="F1978" s="9" t="s">
        <v>8363</v>
      </c>
      <c r="G1978" t="str">
        <f>IFERROR(INDEX(Ticket!$B$2:$B$6001,MATCH(B1978,Ticket!$A$2:$A$6001,0)),"Ticket introuvable")</f>
        <v>AG-017</v>
      </c>
    </row>
    <row r="1979" spans="1:7" x14ac:dyDescent="0.35">
      <c r="A1979" s="10" t="s">
        <v>8137</v>
      </c>
      <c r="B1979" s="12" t="s">
        <v>4972</v>
      </c>
      <c r="C1979" s="11">
        <v>45663</v>
      </c>
      <c r="D1979" s="12">
        <v>2</v>
      </c>
      <c r="E1979" s="12">
        <v>8</v>
      </c>
      <c r="F1979" s="13" t="s">
        <v>6153</v>
      </c>
      <c r="G1979" t="str">
        <f>IFERROR(INDEX(Ticket!$B$2:$B$6001,MATCH(B1979,Ticket!$A$2:$A$6001,0)),"Ticket introuvable")</f>
        <v>AG-007</v>
      </c>
    </row>
    <row r="1980" spans="1:7" x14ac:dyDescent="0.35">
      <c r="A1980" s="6" t="s">
        <v>8138</v>
      </c>
      <c r="B1980" s="8" t="s">
        <v>250</v>
      </c>
      <c r="C1980" s="7">
        <v>45924</v>
      </c>
      <c r="D1980" s="8">
        <v>3</v>
      </c>
      <c r="E1980" s="8">
        <v>7</v>
      </c>
      <c r="F1980" s="9" t="s">
        <v>6148</v>
      </c>
      <c r="G1980" t="str">
        <f>IFERROR(INDEX(Ticket!$B$2:$B$6001,MATCH(B1980,Ticket!$A$2:$A$6001,0)),"Ticket introuvable")</f>
        <v>AG-039</v>
      </c>
    </row>
    <row r="1981" spans="1:7" x14ac:dyDescent="0.35">
      <c r="A1981" s="10" t="s">
        <v>8139</v>
      </c>
      <c r="B1981" s="12" t="s">
        <v>695</v>
      </c>
      <c r="C1981" s="11">
        <v>45924</v>
      </c>
      <c r="D1981" s="12">
        <v>4</v>
      </c>
      <c r="E1981" s="12">
        <v>10</v>
      </c>
      <c r="F1981" s="13" t="s">
        <v>75</v>
      </c>
      <c r="G1981" t="str">
        <f>IFERROR(INDEX(Ticket!$B$2:$B$6001,MATCH(B1981,Ticket!$A$2:$A$6001,0)),"Ticket introuvable")</f>
        <v>AG-029</v>
      </c>
    </row>
    <row r="1982" spans="1:7" x14ac:dyDescent="0.35">
      <c r="A1982" s="6" t="s">
        <v>8140</v>
      </c>
      <c r="B1982" s="8" t="s">
        <v>2471</v>
      </c>
      <c r="C1982" s="7">
        <v>45794</v>
      </c>
      <c r="D1982" s="8"/>
      <c r="E1982" s="8">
        <v>6</v>
      </c>
      <c r="F1982" s="9" t="s">
        <v>75</v>
      </c>
      <c r="G1982" t="str">
        <f>IFERROR(INDEX(Ticket!$B$2:$B$6001,MATCH(B1982,Ticket!$A$2:$A$6001,0)),"Ticket introuvable")</f>
        <v>AG-007</v>
      </c>
    </row>
    <row r="1983" spans="1:7" x14ac:dyDescent="0.35">
      <c r="A1983" s="10" t="s">
        <v>8141</v>
      </c>
      <c r="B1983" s="12" t="s">
        <v>5500</v>
      </c>
      <c r="C1983" s="11">
        <v>46021</v>
      </c>
      <c r="D1983" s="12">
        <v>4</v>
      </c>
      <c r="E1983" s="12">
        <v>8</v>
      </c>
      <c r="F1983" s="13" t="s">
        <v>8363</v>
      </c>
      <c r="G1983" t="str">
        <f>IFERROR(INDEX(Ticket!$B$2:$B$6001,MATCH(B1983,Ticket!$A$2:$A$6001,0)),"Ticket introuvable")</f>
        <v>AG-037</v>
      </c>
    </row>
    <row r="1984" spans="1:7" x14ac:dyDescent="0.35">
      <c r="A1984" s="6" t="s">
        <v>8142</v>
      </c>
      <c r="B1984" s="8" t="s">
        <v>4150</v>
      </c>
      <c r="C1984" s="7">
        <v>45928</v>
      </c>
      <c r="D1984" s="8">
        <v>3</v>
      </c>
      <c r="E1984" s="8"/>
      <c r="F1984" s="9" t="s">
        <v>6148</v>
      </c>
      <c r="G1984" t="str">
        <f>IFERROR(INDEX(Ticket!$B$2:$B$6001,MATCH(B1984,Ticket!$A$2:$A$6001,0)),"Ticket introuvable")</f>
        <v>AG-025</v>
      </c>
    </row>
    <row r="1985" spans="1:7" x14ac:dyDescent="0.35">
      <c r="A1985" s="10" t="s">
        <v>8143</v>
      </c>
      <c r="B1985" s="12" t="s">
        <v>2572</v>
      </c>
      <c r="C1985" s="11">
        <v>45680</v>
      </c>
      <c r="D1985" s="12">
        <v>5</v>
      </c>
      <c r="E1985" s="12">
        <v>9</v>
      </c>
      <c r="F1985" s="13" t="s">
        <v>75</v>
      </c>
      <c r="G1985" t="str">
        <f>IFERROR(INDEX(Ticket!$B$2:$B$6001,MATCH(B1985,Ticket!$A$2:$A$6001,0)),"Ticket introuvable")</f>
        <v>AG-039</v>
      </c>
    </row>
    <row r="1986" spans="1:7" x14ac:dyDescent="0.35">
      <c r="A1986" s="6" t="s">
        <v>8144</v>
      </c>
      <c r="B1986" s="8" t="s">
        <v>8145</v>
      </c>
      <c r="C1986" s="7">
        <v>45720</v>
      </c>
      <c r="D1986" s="8">
        <v>5</v>
      </c>
      <c r="E1986" s="8">
        <v>4</v>
      </c>
      <c r="F1986" s="9" t="s">
        <v>6142</v>
      </c>
      <c r="G1986" t="str">
        <f>IFERROR(INDEX(Ticket!$B$2:$B$6001,MATCH(B1986,Ticket!$A$2:$A$6001,0)),"Ticket introuvable")</f>
        <v>Ticket introuvable</v>
      </c>
    </row>
    <row r="1987" spans="1:7" x14ac:dyDescent="0.35">
      <c r="A1987" s="10" t="s">
        <v>8146</v>
      </c>
      <c r="B1987" s="12" t="s">
        <v>8147</v>
      </c>
      <c r="C1987" s="11">
        <v>45967</v>
      </c>
      <c r="D1987" s="12"/>
      <c r="E1987" s="12">
        <v>8</v>
      </c>
      <c r="F1987" s="13" t="s">
        <v>6153</v>
      </c>
      <c r="G1987" t="str">
        <f>IFERROR(INDEX(Ticket!$B$2:$B$6001,MATCH(B1987,Ticket!$A$2:$A$6001,0)),"Ticket introuvable")</f>
        <v>Ticket introuvable</v>
      </c>
    </row>
    <row r="1988" spans="1:7" x14ac:dyDescent="0.35">
      <c r="A1988" s="6" t="s">
        <v>8148</v>
      </c>
      <c r="B1988" s="8" t="s">
        <v>4806</v>
      </c>
      <c r="C1988" s="7">
        <v>45829</v>
      </c>
      <c r="D1988" s="8">
        <v>4</v>
      </c>
      <c r="E1988" s="8">
        <v>10</v>
      </c>
      <c r="F1988" s="9" t="s">
        <v>8363</v>
      </c>
      <c r="G1988" t="str">
        <f>IFERROR(INDEX(Ticket!$B$2:$B$6001,MATCH(B1988,Ticket!$A$2:$A$6001,0)),"Ticket introuvable")</f>
        <v>AG-010</v>
      </c>
    </row>
    <row r="1989" spans="1:7" x14ac:dyDescent="0.35">
      <c r="A1989" s="10" t="s">
        <v>8149</v>
      </c>
      <c r="B1989" s="12" t="s">
        <v>5795</v>
      </c>
      <c r="C1989" s="11">
        <v>45931</v>
      </c>
      <c r="D1989" s="12">
        <v>5</v>
      </c>
      <c r="E1989" s="12">
        <v>1</v>
      </c>
      <c r="F1989" s="13" t="s">
        <v>6153</v>
      </c>
      <c r="G1989" t="str">
        <f>IFERROR(INDEX(Ticket!$B$2:$B$6001,MATCH(B1989,Ticket!$A$2:$A$6001,0)),"Ticket introuvable")</f>
        <v>AG-037</v>
      </c>
    </row>
    <row r="1990" spans="1:7" x14ac:dyDescent="0.35">
      <c r="A1990" s="6" t="s">
        <v>8150</v>
      </c>
      <c r="B1990" s="8" t="s">
        <v>5874</v>
      </c>
      <c r="C1990" s="7">
        <v>45693</v>
      </c>
      <c r="D1990" s="8">
        <v>4</v>
      </c>
      <c r="E1990" s="8">
        <v>7</v>
      </c>
      <c r="F1990" s="9" t="s">
        <v>75</v>
      </c>
      <c r="G1990" t="str">
        <f>IFERROR(INDEX(Ticket!$B$2:$B$6001,MATCH(B1990,Ticket!$A$2:$A$6001,0)),"Ticket introuvable")</f>
        <v>AG-006</v>
      </c>
    </row>
    <row r="1991" spans="1:7" x14ac:dyDescent="0.35">
      <c r="A1991" s="10" t="s">
        <v>8151</v>
      </c>
      <c r="B1991" s="12" t="s">
        <v>2892</v>
      </c>
      <c r="C1991" s="11">
        <v>45875</v>
      </c>
      <c r="D1991" s="12">
        <v>2</v>
      </c>
      <c r="E1991" s="12">
        <v>10</v>
      </c>
      <c r="F1991" s="13" t="s">
        <v>8363</v>
      </c>
      <c r="G1991" t="str">
        <f>IFERROR(INDEX(Ticket!$B$2:$B$6001,MATCH(B1991,Ticket!$A$2:$A$6001,0)),"Ticket introuvable")</f>
        <v>AG-014</v>
      </c>
    </row>
    <row r="1992" spans="1:7" x14ac:dyDescent="0.35">
      <c r="A1992" s="6" t="s">
        <v>8152</v>
      </c>
      <c r="B1992" s="8" t="s">
        <v>4253</v>
      </c>
      <c r="C1992" s="7">
        <v>45675</v>
      </c>
      <c r="D1992" s="8">
        <v>1</v>
      </c>
      <c r="E1992" s="8">
        <v>1</v>
      </c>
      <c r="F1992" s="9" t="s">
        <v>75</v>
      </c>
      <c r="G1992" t="str">
        <f>IFERROR(INDEX(Ticket!$B$2:$B$6001,MATCH(B1992,Ticket!$A$2:$A$6001,0)),"Ticket introuvable")</f>
        <v>AG-032</v>
      </c>
    </row>
    <row r="1993" spans="1:7" x14ac:dyDescent="0.35">
      <c r="A1993" s="10" t="s">
        <v>8153</v>
      </c>
      <c r="B1993" s="12" t="s">
        <v>895</v>
      </c>
      <c r="C1993" s="11">
        <v>45687</v>
      </c>
      <c r="D1993" s="12">
        <v>4</v>
      </c>
      <c r="E1993" s="12">
        <v>10</v>
      </c>
      <c r="F1993" s="13" t="s">
        <v>6142</v>
      </c>
      <c r="G1993" t="str">
        <f>IFERROR(INDEX(Ticket!$B$2:$B$6001,MATCH(B1993,Ticket!$A$2:$A$6001,0)),"Ticket introuvable")</f>
        <v>AG-019</v>
      </c>
    </row>
    <row r="1994" spans="1:7" x14ac:dyDescent="0.35">
      <c r="A1994" s="6" t="s">
        <v>8154</v>
      </c>
      <c r="B1994" s="8" t="s">
        <v>4234</v>
      </c>
      <c r="C1994" s="7">
        <v>46000</v>
      </c>
      <c r="D1994" s="8">
        <v>4</v>
      </c>
      <c r="E1994" s="8">
        <v>4</v>
      </c>
      <c r="F1994" s="9" t="s">
        <v>6153</v>
      </c>
      <c r="G1994" t="str">
        <f>IFERROR(INDEX(Ticket!$B$2:$B$6001,MATCH(B1994,Ticket!$A$2:$A$6001,0)),"Ticket introuvable")</f>
        <v>AG-027</v>
      </c>
    </row>
    <row r="1995" spans="1:7" x14ac:dyDescent="0.35">
      <c r="A1995" s="10" t="s">
        <v>8155</v>
      </c>
      <c r="B1995" s="12" t="s">
        <v>5140</v>
      </c>
      <c r="C1995" s="11">
        <v>45669</v>
      </c>
      <c r="D1995" s="12">
        <v>4</v>
      </c>
      <c r="E1995" s="12">
        <v>9</v>
      </c>
      <c r="F1995" s="13" t="s">
        <v>6148</v>
      </c>
      <c r="G1995" t="str">
        <f>IFERROR(INDEX(Ticket!$B$2:$B$6001,MATCH(B1995,Ticket!$A$2:$A$6001,0)),"Ticket introuvable")</f>
        <v>AG-013</v>
      </c>
    </row>
    <row r="1996" spans="1:7" x14ac:dyDescent="0.35">
      <c r="A1996" s="6" t="s">
        <v>8156</v>
      </c>
      <c r="B1996" s="8" t="s">
        <v>5598</v>
      </c>
      <c r="C1996" s="7">
        <v>45955</v>
      </c>
      <c r="D1996" s="8">
        <v>5</v>
      </c>
      <c r="E1996" s="8">
        <v>9</v>
      </c>
      <c r="F1996" s="9" t="s">
        <v>8363</v>
      </c>
      <c r="G1996" t="str">
        <f>IFERROR(INDEX(Ticket!$B$2:$B$6001,MATCH(B1996,Ticket!$A$2:$A$6001,0)),"Ticket introuvable")</f>
        <v>AG-035</v>
      </c>
    </row>
    <row r="1997" spans="1:7" x14ac:dyDescent="0.35">
      <c r="A1997" s="10" t="s">
        <v>8157</v>
      </c>
      <c r="B1997" s="12" t="s">
        <v>3398</v>
      </c>
      <c r="C1997" s="11">
        <v>45742</v>
      </c>
      <c r="D1997" s="12">
        <v>4</v>
      </c>
      <c r="E1997" s="12">
        <v>10</v>
      </c>
      <c r="F1997" s="13" t="s">
        <v>8363</v>
      </c>
      <c r="G1997" t="str">
        <f>IFERROR(INDEX(Ticket!$B$2:$B$6001,MATCH(B1997,Ticket!$A$2:$A$6001,0)),"Ticket introuvable")</f>
        <v>AG-032</v>
      </c>
    </row>
    <row r="1998" spans="1:7" x14ac:dyDescent="0.35">
      <c r="A1998" s="6" t="s">
        <v>8158</v>
      </c>
      <c r="B1998" s="8" t="s">
        <v>1067</v>
      </c>
      <c r="C1998" s="7">
        <v>45826</v>
      </c>
      <c r="D1998" s="8">
        <v>5</v>
      </c>
      <c r="E1998" s="8">
        <v>8</v>
      </c>
      <c r="F1998" s="9" t="s">
        <v>6148</v>
      </c>
      <c r="G1998" t="str">
        <f>IFERROR(INDEX(Ticket!$B$2:$B$6001,MATCH(B1998,Ticket!$A$2:$A$6001,0)),"Ticket introuvable")</f>
        <v>AG-026</v>
      </c>
    </row>
    <row r="1999" spans="1:7" x14ac:dyDescent="0.35">
      <c r="A1999" s="10" t="s">
        <v>8159</v>
      </c>
      <c r="B1999" s="12" t="s">
        <v>4379</v>
      </c>
      <c r="C1999" s="11">
        <v>45760</v>
      </c>
      <c r="D1999" s="12">
        <v>3</v>
      </c>
      <c r="E1999" s="12">
        <v>7</v>
      </c>
      <c r="F1999" s="13" t="s">
        <v>6153</v>
      </c>
      <c r="G1999" t="str">
        <f>IFERROR(INDEX(Ticket!$B$2:$B$6001,MATCH(B1999,Ticket!$A$2:$A$6001,0)),"Ticket introuvable")</f>
        <v>AG-021</v>
      </c>
    </row>
    <row r="2000" spans="1:7" x14ac:dyDescent="0.35">
      <c r="A2000" s="6" t="s">
        <v>8160</v>
      </c>
      <c r="B2000" s="8" t="s">
        <v>5692</v>
      </c>
      <c r="C2000" s="7">
        <v>45677</v>
      </c>
      <c r="D2000" s="8">
        <v>3</v>
      </c>
      <c r="E2000" s="8">
        <v>7</v>
      </c>
      <c r="F2000" s="9" t="s">
        <v>6153</v>
      </c>
      <c r="G2000" t="str">
        <f>IFERROR(INDEX(Ticket!$B$2:$B$6001,MATCH(B2000,Ticket!$A$2:$A$6001,0)),"Ticket introuvable")</f>
        <v>AG-014</v>
      </c>
    </row>
    <row r="2001" spans="1:7" x14ac:dyDescent="0.35">
      <c r="A2001" s="10" t="s">
        <v>8161</v>
      </c>
      <c r="B2001" s="12" t="s">
        <v>1384</v>
      </c>
      <c r="C2001" s="11">
        <v>45839</v>
      </c>
      <c r="D2001" s="12">
        <v>5</v>
      </c>
      <c r="E2001" s="12">
        <v>8</v>
      </c>
      <c r="F2001" s="13" t="s">
        <v>75</v>
      </c>
      <c r="G2001" t="str">
        <f>IFERROR(INDEX(Ticket!$B$2:$B$6001,MATCH(B2001,Ticket!$A$2:$A$6001,0)),"Ticket introuvable")</f>
        <v>AG-018</v>
      </c>
    </row>
    <row r="2002" spans="1:7" x14ac:dyDescent="0.35">
      <c r="A2002" s="6" t="s">
        <v>8162</v>
      </c>
      <c r="B2002" s="8" t="s">
        <v>5613</v>
      </c>
      <c r="C2002" s="7">
        <v>45908</v>
      </c>
      <c r="D2002" s="8">
        <v>4</v>
      </c>
      <c r="E2002" s="8">
        <v>9</v>
      </c>
      <c r="F2002" s="9" t="s">
        <v>6148</v>
      </c>
      <c r="G2002" t="str">
        <f>IFERROR(INDEX(Ticket!$B$2:$B$6001,MATCH(B2002,Ticket!$A$2:$A$6001,0)),"Ticket introuvable")</f>
        <v>AG-036</v>
      </c>
    </row>
    <row r="2003" spans="1:7" x14ac:dyDescent="0.35">
      <c r="A2003" s="10" t="s">
        <v>8163</v>
      </c>
      <c r="B2003" s="12" t="s">
        <v>701</v>
      </c>
      <c r="C2003" s="11">
        <v>45861</v>
      </c>
      <c r="D2003" s="12"/>
      <c r="E2003" s="12">
        <v>7</v>
      </c>
      <c r="F2003" s="13" t="s">
        <v>6153</v>
      </c>
      <c r="G2003" t="str">
        <f>IFERROR(INDEX(Ticket!$B$2:$B$6001,MATCH(B2003,Ticket!$A$2:$A$6001,0)),"Ticket introuvable")</f>
        <v>AG-025</v>
      </c>
    </row>
    <row r="2004" spans="1:7" x14ac:dyDescent="0.35">
      <c r="A2004" s="6" t="s">
        <v>8164</v>
      </c>
      <c r="B2004" s="8" t="s">
        <v>874</v>
      </c>
      <c r="C2004" s="7">
        <v>45682</v>
      </c>
      <c r="D2004" s="8">
        <v>5</v>
      </c>
      <c r="E2004" s="8">
        <v>10</v>
      </c>
      <c r="F2004" s="9" t="s">
        <v>8363</v>
      </c>
      <c r="G2004" t="str">
        <f>IFERROR(INDEX(Ticket!$B$2:$B$6001,MATCH(B2004,Ticket!$A$2:$A$6001,0)),"Ticket introuvable")</f>
        <v>AG-007</v>
      </c>
    </row>
    <row r="2005" spans="1:7" x14ac:dyDescent="0.35">
      <c r="A2005" s="10" t="s">
        <v>8165</v>
      </c>
      <c r="B2005" s="12" t="s">
        <v>4486</v>
      </c>
      <c r="C2005" s="11">
        <v>45939</v>
      </c>
      <c r="D2005" s="12">
        <v>5</v>
      </c>
      <c r="E2005" s="12">
        <v>7</v>
      </c>
      <c r="F2005" s="13" t="s">
        <v>6148</v>
      </c>
      <c r="G2005" t="str">
        <f>IFERROR(INDEX(Ticket!$B$2:$B$6001,MATCH(B2005,Ticket!$A$2:$A$6001,0)),"Ticket introuvable")</f>
        <v>AG-037</v>
      </c>
    </row>
    <row r="2006" spans="1:7" x14ac:dyDescent="0.35">
      <c r="A2006" s="6" t="s">
        <v>8166</v>
      </c>
      <c r="B2006" s="8" t="s">
        <v>1020</v>
      </c>
      <c r="C2006" s="7">
        <v>45818</v>
      </c>
      <c r="D2006" s="8">
        <v>4</v>
      </c>
      <c r="E2006" s="8">
        <v>7</v>
      </c>
      <c r="F2006" s="9" t="s">
        <v>8363</v>
      </c>
      <c r="G2006" t="str">
        <f>IFERROR(INDEX(Ticket!$B$2:$B$6001,MATCH(B2006,Ticket!$A$2:$A$6001,0)),"Ticket introuvable")</f>
        <v>AG-006</v>
      </c>
    </row>
    <row r="2007" spans="1:7" x14ac:dyDescent="0.35">
      <c r="A2007" s="10" t="s">
        <v>8167</v>
      </c>
      <c r="B2007" s="12" t="s">
        <v>603</v>
      </c>
      <c r="C2007" s="11">
        <v>45987</v>
      </c>
      <c r="D2007" s="12">
        <v>5</v>
      </c>
      <c r="E2007" s="12">
        <v>7</v>
      </c>
      <c r="F2007" s="13" t="s">
        <v>8363</v>
      </c>
      <c r="G2007" t="str">
        <f>IFERROR(INDEX(Ticket!$B$2:$B$6001,MATCH(B2007,Ticket!$A$2:$A$6001,0)),"Ticket introuvable")</f>
        <v>AG-014</v>
      </c>
    </row>
    <row r="2008" spans="1:7" x14ac:dyDescent="0.35">
      <c r="A2008" s="6" t="s">
        <v>8168</v>
      </c>
      <c r="B2008" s="8" t="s">
        <v>1999</v>
      </c>
      <c r="C2008" s="7">
        <v>45884</v>
      </c>
      <c r="D2008" s="8">
        <v>4</v>
      </c>
      <c r="E2008" s="8">
        <v>9</v>
      </c>
      <c r="F2008" s="9" t="s">
        <v>8363</v>
      </c>
      <c r="G2008" t="str">
        <f>IFERROR(INDEX(Ticket!$B$2:$B$6001,MATCH(B2008,Ticket!$A$2:$A$6001,0)),"Ticket introuvable")</f>
        <v>AG-022</v>
      </c>
    </row>
    <row r="2009" spans="1:7" x14ac:dyDescent="0.35">
      <c r="A2009" s="10" t="s">
        <v>8169</v>
      </c>
      <c r="B2009" s="12" t="s">
        <v>5607</v>
      </c>
      <c r="C2009" s="11">
        <v>45797</v>
      </c>
      <c r="D2009" s="12">
        <v>5</v>
      </c>
      <c r="E2009" s="12">
        <v>4</v>
      </c>
      <c r="F2009" s="13" t="s">
        <v>75</v>
      </c>
      <c r="G2009" t="str">
        <f>IFERROR(INDEX(Ticket!$B$2:$B$6001,MATCH(B2009,Ticket!$A$2:$A$6001,0)),"Ticket introuvable")</f>
        <v>AG-020</v>
      </c>
    </row>
    <row r="2010" spans="1:7" x14ac:dyDescent="0.35">
      <c r="A2010" s="6" t="s">
        <v>8170</v>
      </c>
      <c r="B2010" s="8" t="s">
        <v>2356</v>
      </c>
      <c r="C2010" s="7">
        <v>45846</v>
      </c>
      <c r="D2010" s="8">
        <v>4</v>
      </c>
      <c r="E2010" s="8">
        <v>10</v>
      </c>
      <c r="F2010" s="9" t="s">
        <v>6148</v>
      </c>
      <c r="G2010" t="str">
        <f>IFERROR(INDEX(Ticket!$B$2:$B$6001,MATCH(B2010,Ticket!$A$2:$A$6001,0)),"Ticket introuvable")</f>
        <v>AG-029</v>
      </c>
    </row>
    <row r="2011" spans="1:7" x14ac:dyDescent="0.35">
      <c r="A2011" s="10" t="s">
        <v>8171</v>
      </c>
      <c r="B2011" s="12" t="s">
        <v>937</v>
      </c>
      <c r="C2011" s="11">
        <v>45811</v>
      </c>
      <c r="D2011" s="12">
        <v>4</v>
      </c>
      <c r="E2011" s="12">
        <v>10</v>
      </c>
      <c r="F2011" s="13" t="s">
        <v>8363</v>
      </c>
      <c r="G2011" t="str">
        <f>IFERROR(INDEX(Ticket!$B$2:$B$6001,MATCH(B2011,Ticket!$A$2:$A$6001,0)),"Ticket introuvable")</f>
        <v>AG-028</v>
      </c>
    </row>
    <row r="2012" spans="1:7" x14ac:dyDescent="0.35">
      <c r="A2012" s="6" t="s">
        <v>8172</v>
      </c>
      <c r="B2012" s="8" t="s">
        <v>583</v>
      </c>
      <c r="C2012" s="7">
        <v>45916</v>
      </c>
      <c r="D2012" s="8"/>
      <c r="E2012" s="8">
        <v>6</v>
      </c>
      <c r="F2012" s="9" t="s">
        <v>6148</v>
      </c>
      <c r="G2012" t="str">
        <f>IFERROR(INDEX(Ticket!$B$2:$B$6001,MATCH(B2012,Ticket!$A$2:$A$6001,0)),"Ticket introuvable")</f>
        <v>AG-022</v>
      </c>
    </row>
    <row r="2013" spans="1:7" x14ac:dyDescent="0.35">
      <c r="A2013" s="10" t="s">
        <v>8173</v>
      </c>
      <c r="B2013" s="12" t="s">
        <v>5353</v>
      </c>
      <c r="C2013" s="11">
        <v>45974</v>
      </c>
      <c r="D2013" s="12">
        <v>3</v>
      </c>
      <c r="E2013" s="12">
        <v>7</v>
      </c>
      <c r="F2013" s="13" t="s">
        <v>6160</v>
      </c>
      <c r="G2013" t="str">
        <f>IFERROR(INDEX(Ticket!$B$2:$B$6001,MATCH(B2013,Ticket!$A$2:$A$6001,0)),"Ticket introuvable")</f>
        <v>AG-011</v>
      </c>
    </row>
    <row r="2014" spans="1:7" x14ac:dyDescent="0.35">
      <c r="A2014" s="6" t="s">
        <v>8174</v>
      </c>
      <c r="B2014" s="8" t="s">
        <v>209</v>
      </c>
      <c r="C2014" s="7">
        <v>45842</v>
      </c>
      <c r="D2014" s="8">
        <v>1</v>
      </c>
      <c r="E2014" s="8">
        <v>9</v>
      </c>
      <c r="F2014" s="9" t="s">
        <v>75</v>
      </c>
      <c r="G2014" t="str">
        <f>IFERROR(INDEX(Ticket!$B$2:$B$6001,MATCH(B2014,Ticket!$A$2:$A$6001,0)),"Ticket introuvable")</f>
        <v>AG-029</v>
      </c>
    </row>
    <row r="2015" spans="1:7" x14ac:dyDescent="0.35">
      <c r="A2015" s="10" t="s">
        <v>8175</v>
      </c>
      <c r="B2015" s="12" t="s">
        <v>2258</v>
      </c>
      <c r="C2015" s="11">
        <v>45982</v>
      </c>
      <c r="D2015" s="12">
        <v>4</v>
      </c>
      <c r="E2015" s="12"/>
      <c r="F2015" s="13" t="s">
        <v>8363</v>
      </c>
      <c r="G2015" t="str">
        <f>IFERROR(INDEX(Ticket!$B$2:$B$6001,MATCH(B2015,Ticket!$A$2:$A$6001,0)),"Ticket introuvable")</f>
        <v>AG-010</v>
      </c>
    </row>
    <row r="2016" spans="1:7" x14ac:dyDescent="0.35">
      <c r="A2016" s="6" t="s">
        <v>8176</v>
      </c>
      <c r="B2016" s="8" t="s">
        <v>3832</v>
      </c>
      <c r="C2016" s="7">
        <v>45930</v>
      </c>
      <c r="D2016" s="8">
        <v>3</v>
      </c>
      <c r="E2016" s="8">
        <v>9</v>
      </c>
      <c r="F2016" s="9" t="s">
        <v>8363</v>
      </c>
      <c r="G2016" t="str">
        <f>IFERROR(INDEX(Ticket!$B$2:$B$6001,MATCH(B2016,Ticket!$A$2:$A$6001,0)),"Ticket introuvable")</f>
        <v>AG-018</v>
      </c>
    </row>
    <row r="2017" spans="1:7" x14ac:dyDescent="0.35">
      <c r="A2017" s="10" t="s">
        <v>8177</v>
      </c>
      <c r="B2017" s="12" t="s">
        <v>4130</v>
      </c>
      <c r="C2017" s="11">
        <v>45937</v>
      </c>
      <c r="D2017" s="12">
        <v>5</v>
      </c>
      <c r="E2017" s="12">
        <v>9</v>
      </c>
      <c r="F2017" s="13" t="s">
        <v>8363</v>
      </c>
      <c r="G2017" t="str">
        <f>IFERROR(INDEX(Ticket!$B$2:$B$6001,MATCH(B2017,Ticket!$A$2:$A$6001,0)),"Ticket introuvable")</f>
        <v>AG-039</v>
      </c>
    </row>
    <row r="2018" spans="1:7" x14ac:dyDescent="0.35">
      <c r="A2018" s="6" t="s">
        <v>8178</v>
      </c>
      <c r="B2018" s="8" t="s">
        <v>4864</v>
      </c>
      <c r="C2018" s="7">
        <v>45722</v>
      </c>
      <c r="D2018" s="8">
        <v>4</v>
      </c>
      <c r="E2018" s="8">
        <v>5</v>
      </c>
      <c r="F2018" s="9" t="s">
        <v>6153</v>
      </c>
      <c r="G2018" t="str">
        <f>IFERROR(INDEX(Ticket!$B$2:$B$6001,MATCH(B2018,Ticket!$A$2:$A$6001,0)),"Ticket introuvable")</f>
        <v>AG-034</v>
      </c>
    </row>
    <row r="2019" spans="1:7" x14ac:dyDescent="0.35">
      <c r="A2019" s="10" t="s">
        <v>8179</v>
      </c>
      <c r="B2019" s="12" t="s">
        <v>6026</v>
      </c>
      <c r="C2019" s="11">
        <v>45921</v>
      </c>
      <c r="D2019" s="12">
        <v>4</v>
      </c>
      <c r="E2019" s="12">
        <v>6</v>
      </c>
      <c r="F2019" s="13" t="s">
        <v>6153</v>
      </c>
      <c r="G2019" t="str">
        <f>IFERROR(INDEX(Ticket!$B$2:$B$6001,MATCH(B2019,Ticket!$A$2:$A$6001,0)),"Ticket introuvable")</f>
        <v>AG-007</v>
      </c>
    </row>
    <row r="2020" spans="1:7" x14ac:dyDescent="0.35">
      <c r="A2020" s="6" t="s">
        <v>8180</v>
      </c>
      <c r="B2020" s="8" t="s">
        <v>3608</v>
      </c>
      <c r="C2020" s="7">
        <v>45937</v>
      </c>
      <c r="D2020" s="8">
        <v>2</v>
      </c>
      <c r="E2020" s="8">
        <v>9</v>
      </c>
      <c r="F2020" s="9" t="s">
        <v>6153</v>
      </c>
      <c r="G2020" t="str">
        <f>IFERROR(INDEX(Ticket!$B$2:$B$6001,MATCH(B2020,Ticket!$A$2:$A$6001,0)),"Ticket introuvable")</f>
        <v>AG-039</v>
      </c>
    </row>
    <row r="2021" spans="1:7" x14ac:dyDescent="0.35">
      <c r="A2021" s="10" t="s">
        <v>8181</v>
      </c>
      <c r="B2021" s="12" t="s">
        <v>4210</v>
      </c>
      <c r="C2021" s="11">
        <v>45890</v>
      </c>
      <c r="D2021" s="12">
        <v>5</v>
      </c>
      <c r="E2021" s="12">
        <v>9</v>
      </c>
      <c r="F2021" s="13" t="s">
        <v>6153</v>
      </c>
      <c r="G2021" t="str">
        <f>IFERROR(INDEX(Ticket!$B$2:$B$6001,MATCH(B2021,Ticket!$A$2:$A$6001,0)),"Ticket introuvable")</f>
        <v>AG-032</v>
      </c>
    </row>
    <row r="2022" spans="1:7" x14ac:dyDescent="0.35">
      <c r="A2022" s="6" t="s">
        <v>8182</v>
      </c>
      <c r="B2022" s="8" t="s">
        <v>786</v>
      </c>
      <c r="C2022" s="7">
        <v>45951</v>
      </c>
      <c r="D2022" s="8">
        <v>2</v>
      </c>
      <c r="E2022" s="8">
        <v>7</v>
      </c>
      <c r="F2022" s="9" t="s">
        <v>6153</v>
      </c>
      <c r="G2022" t="str">
        <f>IFERROR(INDEX(Ticket!$B$2:$B$6001,MATCH(B2022,Ticket!$A$2:$A$6001,0)),"Ticket introuvable")</f>
        <v>AG-037</v>
      </c>
    </row>
    <row r="2023" spans="1:7" x14ac:dyDescent="0.35">
      <c r="A2023" s="10" t="s">
        <v>8183</v>
      </c>
      <c r="B2023" s="12" t="s">
        <v>5227</v>
      </c>
      <c r="C2023" s="11">
        <v>45787</v>
      </c>
      <c r="D2023" s="12">
        <v>5</v>
      </c>
      <c r="E2023" s="12">
        <v>8</v>
      </c>
      <c r="F2023" s="13" t="s">
        <v>6160</v>
      </c>
      <c r="G2023" t="str">
        <f>IFERROR(INDEX(Ticket!$B$2:$B$6001,MATCH(B2023,Ticket!$A$2:$A$6001,0)),"Ticket introuvable")</f>
        <v>AG-032</v>
      </c>
    </row>
    <row r="2024" spans="1:7" x14ac:dyDescent="0.35">
      <c r="A2024" s="6" t="s">
        <v>8184</v>
      </c>
      <c r="B2024" s="8" t="s">
        <v>4814</v>
      </c>
      <c r="C2024" s="7">
        <v>45975</v>
      </c>
      <c r="D2024" s="8"/>
      <c r="E2024" s="8">
        <v>10</v>
      </c>
      <c r="F2024" s="9" t="s">
        <v>6160</v>
      </c>
      <c r="G2024" t="str">
        <f>IFERROR(INDEX(Ticket!$B$2:$B$6001,MATCH(B2024,Ticket!$A$2:$A$6001,0)),"Ticket introuvable")</f>
        <v>AG-027</v>
      </c>
    </row>
    <row r="2025" spans="1:7" x14ac:dyDescent="0.35">
      <c r="A2025" s="10" t="s">
        <v>8185</v>
      </c>
      <c r="B2025" s="12" t="s">
        <v>3384</v>
      </c>
      <c r="C2025" s="11">
        <v>45690</v>
      </c>
      <c r="D2025" s="12">
        <v>5</v>
      </c>
      <c r="E2025" s="12">
        <v>8</v>
      </c>
      <c r="F2025" s="13" t="s">
        <v>75</v>
      </c>
      <c r="G2025" t="str">
        <f>IFERROR(INDEX(Ticket!$B$2:$B$6001,MATCH(B2025,Ticket!$A$2:$A$6001,0)),"Ticket introuvable")</f>
        <v>AG-023</v>
      </c>
    </row>
    <row r="2026" spans="1:7" x14ac:dyDescent="0.35">
      <c r="A2026" s="6" t="s">
        <v>8186</v>
      </c>
      <c r="B2026" s="8" t="s">
        <v>376</v>
      </c>
      <c r="C2026" s="7">
        <v>45688</v>
      </c>
      <c r="D2026" s="8">
        <v>4</v>
      </c>
      <c r="E2026" s="8">
        <v>6</v>
      </c>
      <c r="F2026" s="9" t="s">
        <v>8363</v>
      </c>
      <c r="G2026" t="str">
        <f>IFERROR(INDEX(Ticket!$B$2:$B$6001,MATCH(B2026,Ticket!$A$2:$A$6001,0)),"Ticket introuvable")</f>
        <v>AG-034</v>
      </c>
    </row>
    <row r="2027" spans="1:7" x14ac:dyDescent="0.35">
      <c r="A2027" s="10" t="s">
        <v>8187</v>
      </c>
      <c r="B2027" s="12" t="s">
        <v>8188</v>
      </c>
      <c r="C2027" s="11">
        <v>45701</v>
      </c>
      <c r="D2027" s="12">
        <v>4</v>
      </c>
      <c r="E2027" s="12">
        <v>10</v>
      </c>
      <c r="F2027" s="13" t="s">
        <v>6142</v>
      </c>
      <c r="G2027" t="str">
        <f>IFERROR(INDEX(Ticket!$B$2:$B$6001,MATCH(B2027,Ticket!$A$2:$A$6001,0)),"Ticket introuvable")</f>
        <v>Ticket introuvable</v>
      </c>
    </row>
    <row r="2028" spans="1:7" x14ac:dyDescent="0.35">
      <c r="A2028" s="6" t="s">
        <v>8189</v>
      </c>
      <c r="B2028" s="8" t="s">
        <v>3803</v>
      </c>
      <c r="C2028" s="7">
        <v>45845</v>
      </c>
      <c r="D2028" s="8">
        <v>1</v>
      </c>
      <c r="E2028" s="8">
        <v>6</v>
      </c>
      <c r="F2028" s="9" t="s">
        <v>8363</v>
      </c>
      <c r="G2028" t="str">
        <f>IFERROR(INDEX(Ticket!$B$2:$B$6001,MATCH(B2028,Ticket!$A$2:$A$6001,0)),"Ticket introuvable")</f>
        <v>AG-014</v>
      </c>
    </row>
    <row r="2029" spans="1:7" x14ac:dyDescent="0.35">
      <c r="A2029" s="10" t="s">
        <v>8190</v>
      </c>
      <c r="B2029" s="12" t="s">
        <v>3661</v>
      </c>
      <c r="C2029" s="11">
        <v>45853</v>
      </c>
      <c r="D2029" s="12">
        <v>1</v>
      </c>
      <c r="E2029" s="12">
        <v>8</v>
      </c>
      <c r="F2029" s="13" t="s">
        <v>8363</v>
      </c>
      <c r="G2029" t="str">
        <f>IFERROR(INDEX(Ticket!$B$2:$B$6001,MATCH(B2029,Ticket!$A$2:$A$6001,0)),"Ticket introuvable")</f>
        <v>AG-035</v>
      </c>
    </row>
    <row r="2030" spans="1:7" x14ac:dyDescent="0.35">
      <c r="A2030" s="6" t="s">
        <v>8191</v>
      </c>
      <c r="B2030" s="8" t="s">
        <v>5347</v>
      </c>
      <c r="C2030" s="7">
        <v>45970</v>
      </c>
      <c r="D2030" s="8">
        <v>4</v>
      </c>
      <c r="E2030" s="8">
        <v>9</v>
      </c>
      <c r="F2030" s="9" t="s">
        <v>75</v>
      </c>
      <c r="G2030" t="str">
        <f>IFERROR(INDEX(Ticket!$B$2:$B$6001,MATCH(B2030,Ticket!$A$2:$A$6001,0)),"Ticket introuvable")</f>
        <v>AG-033</v>
      </c>
    </row>
    <row r="2031" spans="1:7" x14ac:dyDescent="0.35">
      <c r="A2031" s="10" t="s">
        <v>8192</v>
      </c>
      <c r="B2031" s="12" t="s">
        <v>3429</v>
      </c>
      <c r="C2031" s="11">
        <v>45812</v>
      </c>
      <c r="D2031" s="12">
        <v>5</v>
      </c>
      <c r="E2031" s="12">
        <v>5</v>
      </c>
      <c r="F2031" s="13" t="s">
        <v>8363</v>
      </c>
      <c r="G2031" t="str">
        <f>IFERROR(INDEX(Ticket!$B$2:$B$6001,MATCH(B2031,Ticket!$A$2:$A$6001,0)),"Ticket introuvable")</f>
        <v>AG-024</v>
      </c>
    </row>
    <row r="2032" spans="1:7" x14ac:dyDescent="0.35">
      <c r="A2032" s="6" t="s">
        <v>8193</v>
      </c>
      <c r="B2032" s="8" t="s">
        <v>5599</v>
      </c>
      <c r="C2032" s="7">
        <v>45883</v>
      </c>
      <c r="D2032" s="8">
        <v>4</v>
      </c>
      <c r="E2032" s="8"/>
      <c r="F2032" s="9" t="s">
        <v>6160</v>
      </c>
      <c r="G2032" t="str">
        <f>IFERROR(INDEX(Ticket!$B$2:$B$6001,MATCH(B2032,Ticket!$A$2:$A$6001,0)),"Ticket introuvable")</f>
        <v>AG-008</v>
      </c>
    </row>
    <row r="2033" spans="1:7" x14ac:dyDescent="0.35">
      <c r="A2033" s="10" t="s">
        <v>8194</v>
      </c>
      <c r="B2033" s="12" t="s">
        <v>2554</v>
      </c>
      <c r="C2033" s="11">
        <v>45923</v>
      </c>
      <c r="D2033" s="12">
        <v>4</v>
      </c>
      <c r="E2033" s="12">
        <v>7</v>
      </c>
      <c r="F2033" s="13" t="s">
        <v>8363</v>
      </c>
      <c r="G2033" t="str">
        <f>IFERROR(INDEX(Ticket!$B$2:$B$6001,MATCH(B2033,Ticket!$A$2:$A$6001,0)),"Ticket introuvable")</f>
        <v>AG-016</v>
      </c>
    </row>
    <row r="2034" spans="1:7" x14ac:dyDescent="0.35">
      <c r="A2034" s="6" t="s">
        <v>8195</v>
      </c>
      <c r="B2034" s="8" t="s">
        <v>2387</v>
      </c>
      <c r="C2034" s="7">
        <v>45840</v>
      </c>
      <c r="D2034" s="8">
        <v>5</v>
      </c>
      <c r="E2034" s="8">
        <v>6</v>
      </c>
      <c r="F2034" s="9" t="s">
        <v>8363</v>
      </c>
      <c r="G2034" t="str">
        <f>IFERROR(INDEX(Ticket!$B$2:$B$6001,MATCH(B2034,Ticket!$A$2:$A$6001,0)),"Ticket introuvable")</f>
        <v>AG-025</v>
      </c>
    </row>
    <row r="2035" spans="1:7" x14ac:dyDescent="0.35">
      <c r="A2035" s="10" t="s">
        <v>8196</v>
      </c>
      <c r="B2035" s="12" t="s">
        <v>5743</v>
      </c>
      <c r="C2035" s="11">
        <v>45990</v>
      </c>
      <c r="D2035" s="12">
        <v>5</v>
      </c>
      <c r="E2035" s="12">
        <v>8</v>
      </c>
      <c r="F2035" s="13" t="s">
        <v>8363</v>
      </c>
      <c r="G2035" t="str">
        <f>IFERROR(INDEX(Ticket!$B$2:$B$6001,MATCH(B2035,Ticket!$A$2:$A$6001,0)),"Ticket introuvable")</f>
        <v>AG-025</v>
      </c>
    </row>
    <row r="2036" spans="1:7" x14ac:dyDescent="0.35">
      <c r="A2036" s="6" t="s">
        <v>8197</v>
      </c>
      <c r="B2036" s="8" t="s">
        <v>655</v>
      </c>
      <c r="C2036" s="7">
        <v>45998</v>
      </c>
      <c r="D2036" s="8">
        <v>5</v>
      </c>
      <c r="E2036" s="8">
        <v>6</v>
      </c>
      <c r="F2036" s="9" t="s">
        <v>8363</v>
      </c>
      <c r="G2036" t="str">
        <f>IFERROR(INDEX(Ticket!$B$2:$B$6001,MATCH(B2036,Ticket!$A$2:$A$6001,0)),"Ticket introuvable")</f>
        <v>AG-007</v>
      </c>
    </row>
    <row r="2037" spans="1:7" x14ac:dyDescent="0.35">
      <c r="A2037" s="10" t="s">
        <v>8198</v>
      </c>
      <c r="B2037" s="12" t="s">
        <v>1071</v>
      </c>
      <c r="C2037" s="11">
        <v>45932</v>
      </c>
      <c r="D2037" s="12">
        <v>4</v>
      </c>
      <c r="E2037" s="12">
        <v>4</v>
      </c>
      <c r="F2037" s="13" t="s">
        <v>75</v>
      </c>
      <c r="G2037" t="str">
        <f>IFERROR(INDEX(Ticket!$B$2:$B$6001,MATCH(B2037,Ticket!$A$2:$A$6001,0)),"Ticket introuvable")</f>
        <v>AG-022</v>
      </c>
    </row>
    <row r="2038" spans="1:7" x14ac:dyDescent="0.35">
      <c r="A2038" s="6" t="s">
        <v>8199</v>
      </c>
      <c r="B2038" s="8" t="s">
        <v>1514</v>
      </c>
      <c r="C2038" s="7">
        <v>45943</v>
      </c>
      <c r="D2038" s="8">
        <v>3</v>
      </c>
      <c r="E2038" s="8">
        <v>9</v>
      </c>
      <c r="F2038" s="9" t="s">
        <v>6142</v>
      </c>
      <c r="G2038" t="str">
        <f>IFERROR(INDEX(Ticket!$B$2:$B$6001,MATCH(B2038,Ticket!$A$2:$A$6001,0)),"Ticket introuvable")</f>
        <v>AG-031</v>
      </c>
    </row>
    <row r="2039" spans="1:7" x14ac:dyDescent="0.35">
      <c r="A2039" s="10" t="s">
        <v>8200</v>
      </c>
      <c r="B2039" s="12" t="s">
        <v>4336</v>
      </c>
      <c r="C2039" s="11">
        <v>45960</v>
      </c>
      <c r="D2039" s="12">
        <v>3</v>
      </c>
      <c r="E2039" s="12">
        <v>9</v>
      </c>
      <c r="F2039" s="13" t="s">
        <v>6142</v>
      </c>
      <c r="G2039" t="str">
        <f>IFERROR(INDEX(Ticket!$B$2:$B$6001,MATCH(B2039,Ticket!$A$2:$A$6001,0)),"Ticket introuvable")</f>
        <v>AG-019</v>
      </c>
    </row>
    <row r="2040" spans="1:7" x14ac:dyDescent="0.35">
      <c r="A2040" s="6" t="s">
        <v>8201</v>
      </c>
      <c r="B2040" s="8" t="s">
        <v>794</v>
      </c>
      <c r="C2040" s="7">
        <v>45934</v>
      </c>
      <c r="D2040" s="8">
        <v>5</v>
      </c>
      <c r="E2040" s="8"/>
      <c r="F2040" s="9" t="s">
        <v>6160</v>
      </c>
      <c r="G2040" t="str">
        <f>IFERROR(INDEX(Ticket!$B$2:$B$6001,MATCH(B2040,Ticket!$A$2:$A$6001,0)),"Ticket introuvable")</f>
        <v>AG-036</v>
      </c>
    </row>
    <row r="2041" spans="1:7" x14ac:dyDescent="0.35">
      <c r="A2041" s="10" t="s">
        <v>8202</v>
      </c>
      <c r="B2041" s="12" t="s">
        <v>466</v>
      </c>
      <c r="C2041" s="11">
        <v>46018</v>
      </c>
      <c r="D2041" s="12">
        <v>3</v>
      </c>
      <c r="E2041" s="12">
        <v>6</v>
      </c>
      <c r="F2041" s="13" t="s">
        <v>75</v>
      </c>
      <c r="G2041" t="str">
        <f>IFERROR(INDEX(Ticket!$B$2:$B$6001,MATCH(B2041,Ticket!$A$2:$A$6001,0)),"Ticket introuvable")</f>
        <v>AG-011</v>
      </c>
    </row>
    <row r="2042" spans="1:7" x14ac:dyDescent="0.35">
      <c r="A2042" s="6" t="s">
        <v>8203</v>
      </c>
      <c r="B2042" s="8" t="s">
        <v>3766</v>
      </c>
      <c r="C2042" s="7">
        <v>45940</v>
      </c>
      <c r="D2042" s="8">
        <v>5</v>
      </c>
      <c r="E2042" s="8">
        <v>8</v>
      </c>
      <c r="F2042" s="9" t="s">
        <v>6148</v>
      </c>
      <c r="G2042" t="str">
        <f>IFERROR(INDEX(Ticket!$B$2:$B$6001,MATCH(B2042,Ticket!$A$2:$A$6001,0)),"Ticket introuvable")</f>
        <v>AG-035</v>
      </c>
    </row>
    <row r="2043" spans="1:7" x14ac:dyDescent="0.35">
      <c r="A2043" s="10" t="s">
        <v>8204</v>
      </c>
      <c r="B2043" s="12" t="s">
        <v>1469</v>
      </c>
      <c r="C2043" s="11">
        <v>45862</v>
      </c>
      <c r="D2043" s="12">
        <v>4</v>
      </c>
      <c r="E2043" s="12"/>
      <c r="F2043" s="13" t="s">
        <v>6148</v>
      </c>
      <c r="G2043" t="str">
        <f>IFERROR(INDEX(Ticket!$B$2:$B$6001,MATCH(B2043,Ticket!$A$2:$A$6001,0)),"Ticket introuvable")</f>
        <v>AG-033</v>
      </c>
    </row>
    <row r="2044" spans="1:7" x14ac:dyDescent="0.35">
      <c r="A2044" s="6" t="s">
        <v>8205</v>
      </c>
      <c r="B2044" s="8" t="s">
        <v>2463</v>
      </c>
      <c r="C2044" s="7">
        <v>45884</v>
      </c>
      <c r="D2044" s="8">
        <v>5</v>
      </c>
      <c r="E2044" s="8">
        <v>9</v>
      </c>
      <c r="F2044" s="9" t="s">
        <v>8363</v>
      </c>
      <c r="G2044" t="str">
        <f>IFERROR(INDEX(Ticket!$B$2:$B$6001,MATCH(B2044,Ticket!$A$2:$A$6001,0)),"Ticket introuvable")</f>
        <v>AG-038</v>
      </c>
    </row>
    <row r="2045" spans="1:7" x14ac:dyDescent="0.35">
      <c r="A2045" s="10" t="s">
        <v>8206</v>
      </c>
      <c r="B2045" s="12" t="s">
        <v>1144</v>
      </c>
      <c r="C2045" s="11">
        <v>45730</v>
      </c>
      <c r="D2045" s="12">
        <v>5</v>
      </c>
      <c r="E2045" s="12">
        <v>10</v>
      </c>
      <c r="F2045" s="13" t="s">
        <v>6142</v>
      </c>
      <c r="G2045" t="str">
        <f>IFERROR(INDEX(Ticket!$B$2:$B$6001,MATCH(B2045,Ticket!$A$2:$A$6001,0)),"Ticket introuvable")</f>
        <v>AG-025</v>
      </c>
    </row>
    <row r="2046" spans="1:7" x14ac:dyDescent="0.35">
      <c r="A2046" s="6" t="s">
        <v>8207</v>
      </c>
      <c r="B2046" s="8" t="s">
        <v>2274</v>
      </c>
      <c r="C2046" s="7">
        <v>45776</v>
      </c>
      <c r="D2046" s="8">
        <v>5</v>
      </c>
      <c r="E2046" s="8"/>
      <c r="F2046" s="9" t="s">
        <v>6160</v>
      </c>
      <c r="G2046" t="str">
        <f>IFERROR(INDEX(Ticket!$B$2:$B$6001,MATCH(B2046,Ticket!$A$2:$A$6001,0)),"Ticket introuvable")</f>
        <v>AG-027</v>
      </c>
    </row>
    <row r="2047" spans="1:7" x14ac:dyDescent="0.35">
      <c r="A2047" s="10" t="s">
        <v>8208</v>
      </c>
      <c r="B2047" s="12" t="s">
        <v>4327</v>
      </c>
      <c r="C2047" s="11">
        <v>45762</v>
      </c>
      <c r="D2047" s="12">
        <v>3</v>
      </c>
      <c r="E2047" s="12">
        <v>10</v>
      </c>
      <c r="F2047" s="13" t="s">
        <v>6153</v>
      </c>
      <c r="G2047" t="str">
        <f>IFERROR(INDEX(Ticket!$B$2:$B$6001,MATCH(B2047,Ticket!$A$2:$A$6001,0)),"Ticket introuvable")</f>
        <v>AG-027</v>
      </c>
    </row>
    <row r="2048" spans="1:7" x14ac:dyDescent="0.35">
      <c r="A2048" s="6" t="s">
        <v>8209</v>
      </c>
      <c r="B2048" s="8" t="s">
        <v>4771</v>
      </c>
      <c r="C2048" s="7">
        <v>45737</v>
      </c>
      <c r="D2048" s="8">
        <v>4</v>
      </c>
      <c r="E2048" s="8"/>
      <c r="F2048" s="9" t="s">
        <v>6148</v>
      </c>
      <c r="G2048" t="str">
        <f>IFERROR(INDEX(Ticket!$B$2:$B$6001,MATCH(B2048,Ticket!$A$2:$A$6001,0)),"Ticket introuvable")</f>
        <v>AG-008</v>
      </c>
    </row>
    <row r="2049" spans="1:7" x14ac:dyDescent="0.35">
      <c r="A2049" s="10" t="s">
        <v>8210</v>
      </c>
      <c r="B2049" s="12" t="s">
        <v>4227</v>
      </c>
      <c r="C2049" s="11">
        <v>45940</v>
      </c>
      <c r="D2049" s="12">
        <v>4</v>
      </c>
      <c r="E2049" s="12">
        <v>8</v>
      </c>
      <c r="F2049" s="13" t="s">
        <v>8363</v>
      </c>
      <c r="G2049" t="str">
        <f>IFERROR(INDEX(Ticket!$B$2:$B$6001,MATCH(B2049,Ticket!$A$2:$A$6001,0)),"Ticket introuvable")</f>
        <v>AG-032</v>
      </c>
    </row>
    <row r="2050" spans="1:7" x14ac:dyDescent="0.35">
      <c r="A2050" s="6" t="s">
        <v>8211</v>
      </c>
      <c r="B2050" s="8" t="s">
        <v>164</v>
      </c>
      <c r="C2050" s="7">
        <v>45811</v>
      </c>
      <c r="D2050" s="8">
        <v>4</v>
      </c>
      <c r="E2050" s="8">
        <v>7</v>
      </c>
      <c r="F2050" s="9" t="s">
        <v>8363</v>
      </c>
      <c r="G2050" t="str">
        <f>IFERROR(INDEX(Ticket!$B$2:$B$6001,MATCH(B2050,Ticket!$A$2:$A$6001,0)),"Ticket introuvable")</f>
        <v>AG-033</v>
      </c>
    </row>
    <row r="2051" spans="1:7" x14ac:dyDescent="0.35">
      <c r="A2051" s="10" t="s">
        <v>8212</v>
      </c>
      <c r="B2051" s="12" t="s">
        <v>989</v>
      </c>
      <c r="C2051" s="11">
        <v>45793</v>
      </c>
      <c r="D2051" s="12">
        <v>4</v>
      </c>
      <c r="E2051" s="12">
        <v>8</v>
      </c>
      <c r="F2051" s="13" t="s">
        <v>6142</v>
      </c>
      <c r="G2051" t="str">
        <f>IFERROR(INDEX(Ticket!$B$2:$B$6001,MATCH(B2051,Ticket!$A$2:$A$6001,0)),"Ticket introuvable")</f>
        <v>AG-037</v>
      </c>
    </row>
    <row r="2052" spans="1:7" x14ac:dyDescent="0.35">
      <c r="A2052" s="6" t="s">
        <v>8213</v>
      </c>
      <c r="B2052" s="8" t="s">
        <v>2108</v>
      </c>
      <c r="C2052" s="7">
        <v>45754</v>
      </c>
      <c r="D2052" s="8">
        <v>5</v>
      </c>
      <c r="E2052" s="8">
        <v>10</v>
      </c>
      <c r="F2052" s="9" t="s">
        <v>6148</v>
      </c>
      <c r="G2052" t="str">
        <f>IFERROR(INDEX(Ticket!$B$2:$B$6001,MATCH(B2052,Ticket!$A$2:$A$6001,0)),"Ticket introuvable")</f>
        <v>AG-023</v>
      </c>
    </row>
    <row r="2053" spans="1:7" x14ac:dyDescent="0.35">
      <c r="A2053" s="10" t="s">
        <v>8214</v>
      </c>
      <c r="B2053" s="12" t="s">
        <v>3293</v>
      </c>
      <c r="C2053" s="11">
        <v>45712</v>
      </c>
      <c r="D2053" s="12">
        <v>4</v>
      </c>
      <c r="E2053" s="12">
        <v>7</v>
      </c>
      <c r="F2053" s="13" t="s">
        <v>6142</v>
      </c>
      <c r="G2053" t="str">
        <f>IFERROR(INDEX(Ticket!$B$2:$B$6001,MATCH(B2053,Ticket!$A$2:$A$6001,0)),"Ticket introuvable")</f>
        <v>AG-028</v>
      </c>
    </row>
    <row r="2054" spans="1:7" x14ac:dyDescent="0.35">
      <c r="A2054" s="6" t="s">
        <v>8215</v>
      </c>
      <c r="B2054" s="8" t="s">
        <v>1587</v>
      </c>
      <c r="C2054" s="7">
        <v>45836</v>
      </c>
      <c r="D2054" s="8">
        <v>4</v>
      </c>
      <c r="E2054" s="8">
        <v>10</v>
      </c>
      <c r="F2054" s="9" t="s">
        <v>8363</v>
      </c>
      <c r="G2054" t="str">
        <f>IFERROR(INDEX(Ticket!$B$2:$B$6001,MATCH(B2054,Ticket!$A$2:$A$6001,0)),"Ticket introuvable")</f>
        <v>AG-020</v>
      </c>
    </row>
    <row r="2055" spans="1:7" x14ac:dyDescent="0.35">
      <c r="A2055" s="10" t="s">
        <v>8216</v>
      </c>
      <c r="B2055" s="12" t="s">
        <v>5065</v>
      </c>
      <c r="C2055" s="11">
        <v>45658</v>
      </c>
      <c r="D2055" s="12">
        <v>1</v>
      </c>
      <c r="E2055" s="12">
        <v>3</v>
      </c>
      <c r="F2055" s="13" t="s">
        <v>6142</v>
      </c>
      <c r="G2055" t="str">
        <f>IFERROR(INDEX(Ticket!$B$2:$B$6001,MATCH(B2055,Ticket!$A$2:$A$6001,0)),"Ticket introuvable")</f>
        <v>AG-014</v>
      </c>
    </row>
    <row r="2056" spans="1:7" x14ac:dyDescent="0.35">
      <c r="A2056" s="6" t="s">
        <v>8217</v>
      </c>
      <c r="B2056" s="8" t="s">
        <v>3570</v>
      </c>
      <c r="C2056" s="7">
        <v>45841</v>
      </c>
      <c r="D2056" s="8">
        <v>2</v>
      </c>
      <c r="E2056" s="8">
        <v>8</v>
      </c>
      <c r="F2056" s="9" t="s">
        <v>6160</v>
      </c>
      <c r="G2056" t="str">
        <f>IFERROR(INDEX(Ticket!$B$2:$B$6001,MATCH(B2056,Ticket!$A$2:$A$6001,0)),"Ticket introuvable")</f>
        <v>AG-016</v>
      </c>
    </row>
    <row r="2057" spans="1:7" x14ac:dyDescent="0.35">
      <c r="A2057" s="10" t="s">
        <v>8218</v>
      </c>
      <c r="B2057" s="12" t="s">
        <v>4143</v>
      </c>
      <c r="C2057" s="11">
        <v>45672</v>
      </c>
      <c r="D2057" s="12">
        <v>5</v>
      </c>
      <c r="E2057" s="12">
        <v>4</v>
      </c>
      <c r="F2057" s="13" t="s">
        <v>6142</v>
      </c>
      <c r="G2057" t="str">
        <f>IFERROR(INDEX(Ticket!$B$2:$B$6001,MATCH(B2057,Ticket!$A$2:$A$6001,0)),"Ticket introuvable")</f>
        <v>AG-025</v>
      </c>
    </row>
    <row r="2058" spans="1:7" x14ac:dyDescent="0.35">
      <c r="A2058" s="6" t="s">
        <v>8219</v>
      </c>
      <c r="B2058" s="8" t="s">
        <v>397</v>
      </c>
      <c r="C2058" s="7">
        <v>45969</v>
      </c>
      <c r="D2058" s="8">
        <v>5</v>
      </c>
      <c r="E2058" s="8">
        <v>9</v>
      </c>
      <c r="F2058" s="9" t="s">
        <v>75</v>
      </c>
      <c r="G2058" t="str">
        <f>IFERROR(INDEX(Ticket!$B$2:$B$6001,MATCH(B2058,Ticket!$A$2:$A$6001,0)),"Ticket introuvable")</f>
        <v>AG-007</v>
      </c>
    </row>
    <row r="2059" spans="1:7" x14ac:dyDescent="0.35">
      <c r="A2059" s="10" t="s">
        <v>8220</v>
      </c>
      <c r="B2059" s="12" t="s">
        <v>5802</v>
      </c>
      <c r="C2059" s="11">
        <v>46003</v>
      </c>
      <c r="D2059" s="12">
        <v>5</v>
      </c>
      <c r="E2059" s="12">
        <v>8</v>
      </c>
      <c r="F2059" s="13" t="s">
        <v>75</v>
      </c>
      <c r="G2059" t="str">
        <f>IFERROR(INDEX(Ticket!$B$2:$B$6001,MATCH(B2059,Ticket!$A$2:$A$6001,0)),"Ticket introuvable")</f>
        <v>AG-036</v>
      </c>
    </row>
    <row r="2060" spans="1:7" x14ac:dyDescent="0.35">
      <c r="A2060" s="6" t="s">
        <v>8221</v>
      </c>
      <c r="B2060" s="8" t="s">
        <v>3577</v>
      </c>
      <c r="C2060" s="7">
        <v>45708</v>
      </c>
      <c r="D2060" s="8">
        <v>4</v>
      </c>
      <c r="E2060" s="8">
        <v>0</v>
      </c>
      <c r="F2060" s="9" t="s">
        <v>75</v>
      </c>
      <c r="G2060" t="str">
        <f>IFERROR(INDEX(Ticket!$B$2:$B$6001,MATCH(B2060,Ticket!$A$2:$A$6001,0)),"Ticket introuvable")</f>
        <v>AG-027</v>
      </c>
    </row>
    <row r="2061" spans="1:7" x14ac:dyDescent="0.35">
      <c r="A2061" s="10" t="s">
        <v>8222</v>
      </c>
      <c r="B2061" s="12" t="s">
        <v>4062</v>
      </c>
      <c r="C2061" s="11">
        <v>46014</v>
      </c>
      <c r="D2061" s="12">
        <v>4</v>
      </c>
      <c r="E2061" s="12">
        <v>10</v>
      </c>
      <c r="F2061" s="13" t="s">
        <v>6160</v>
      </c>
      <c r="G2061" t="str">
        <f>IFERROR(INDEX(Ticket!$B$2:$B$6001,MATCH(B2061,Ticket!$A$2:$A$6001,0)),"Ticket introuvable")</f>
        <v>AG-012</v>
      </c>
    </row>
    <row r="2062" spans="1:7" x14ac:dyDescent="0.35">
      <c r="A2062" s="6" t="s">
        <v>8223</v>
      </c>
      <c r="B2062" s="8" t="s">
        <v>5463</v>
      </c>
      <c r="C2062" s="7">
        <v>45730</v>
      </c>
      <c r="D2062" s="8">
        <v>3</v>
      </c>
      <c r="E2062" s="8">
        <v>0</v>
      </c>
      <c r="F2062" s="9" t="s">
        <v>6160</v>
      </c>
      <c r="G2062" t="str">
        <f>IFERROR(INDEX(Ticket!$B$2:$B$6001,MATCH(B2062,Ticket!$A$2:$A$6001,0)),"Ticket introuvable")</f>
        <v>AG-015</v>
      </c>
    </row>
    <row r="2063" spans="1:7" x14ac:dyDescent="0.35">
      <c r="A2063" s="10" t="s">
        <v>8224</v>
      </c>
      <c r="B2063" s="12" t="s">
        <v>647</v>
      </c>
      <c r="C2063" s="11">
        <v>45828</v>
      </c>
      <c r="D2063" s="12">
        <v>5</v>
      </c>
      <c r="E2063" s="12">
        <v>9</v>
      </c>
      <c r="F2063" s="13" t="s">
        <v>6148</v>
      </c>
      <c r="G2063" t="str">
        <f>IFERROR(INDEX(Ticket!$B$2:$B$6001,MATCH(B2063,Ticket!$A$2:$A$6001,0)),"Ticket introuvable")</f>
        <v>AG-007</v>
      </c>
    </row>
    <row r="2064" spans="1:7" x14ac:dyDescent="0.35">
      <c r="A2064" s="6" t="s">
        <v>8225</v>
      </c>
      <c r="B2064" s="8" t="s">
        <v>4976</v>
      </c>
      <c r="C2064" s="7">
        <v>45937</v>
      </c>
      <c r="D2064" s="8">
        <v>4</v>
      </c>
      <c r="E2064" s="8">
        <v>9</v>
      </c>
      <c r="F2064" s="9" t="s">
        <v>6153</v>
      </c>
      <c r="G2064" t="str">
        <f>IFERROR(INDEX(Ticket!$B$2:$B$6001,MATCH(B2064,Ticket!$A$2:$A$6001,0)),"Ticket introuvable")</f>
        <v>AG-005</v>
      </c>
    </row>
    <row r="2065" spans="1:7" x14ac:dyDescent="0.35">
      <c r="A2065" s="10" t="s">
        <v>8226</v>
      </c>
      <c r="B2065" s="12" t="s">
        <v>6004</v>
      </c>
      <c r="C2065" s="11">
        <v>45962</v>
      </c>
      <c r="D2065" s="12">
        <v>4</v>
      </c>
      <c r="E2065" s="12">
        <v>9</v>
      </c>
      <c r="F2065" s="13" t="s">
        <v>6153</v>
      </c>
      <c r="G2065" t="str">
        <f>IFERROR(INDEX(Ticket!$B$2:$B$6001,MATCH(B2065,Ticket!$A$2:$A$6001,0)),"Ticket introuvable")</f>
        <v>AG-017</v>
      </c>
    </row>
    <row r="2066" spans="1:7" x14ac:dyDescent="0.35">
      <c r="A2066" s="6" t="s">
        <v>8227</v>
      </c>
      <c r="B2066" s="8" t="s">
        <v>2867</v>
      </c>
      <c r="C2066" s="7">
        <v>45855</v>
      </c>
      <c r="D2066" s="8">
        <v>5</v>
      </c>
      <c r="E2066" s="8"/>
      <c r="F2066" s="9" t="s">
        <v>6153</v>
      </c>
      <c r="G2066" t="str">
        <f>IFERROR(INDEX(Ticket!$B$2:$B$6001,MATCH(B2066,Ticket!$A$2:$A$6001,0)),"Ticket introuvable")</f>
        <v>AG-028</v>
      </c>
    </row>
    <row r="2067" spans="1:7" x14ac:dyDescent="0.35">
      <c r="A2067" s="10" t="s">
        <v>8228</v>
      </c>
      <c r="B2067" s="12" t="s">
        <v>2569</v>
      </c>
      <c r="C2067" s="11">
        <v>46018</v>
      </c>
      <c r="D2067" s="12">
        <v>5</v>
      </c>
      <c r="E2067" s="12"/>
      <c r="F2067" s="13" t="s">
        <v>6153</v>
      </c>
      <c r="G2067" t="str">
        <f>IFERROR(INDEX(Ticket!$B$2:$B$6001,MATCH(B2067,Ticket!$A$2:$A$6001,0)),"Ticket introuvable")</f>
        <v>AG-032</v>
      </c>
    </row>
    <row r="2068" spans="1:7" x14ac:dyDescent="0.35">
      <c r="A2068" s="6" t="s">
        <v>8229</v>
      </c>
      <c r="B2068" s="8" t="s">
        <v>1877</v>
      </c>
      <c r="C2068" s="7">
        <v>45942</v>
      </c>
      <c r="D2068" s="8">
        <v>4</v>
      </c>
      <c r="E2068" s="8">
        <v>10</v>
      </c>
      <c r="F2068" s="9" t="s">
        <v>6148</v>
      </c>
      <c r="G2068" t="str">
        <f>IFERROR(INDEX(Ticket!$B$2:$B$6001,MATCH(B2068,Ticket!$A$2:$A$6001,0)),"Ticket introuvable")</f>
        <v>AG-019</v>
      </c>
    </row>
    <row r="2069" spans="1:7" x14ac:dyDescent="0.35">
      <c r="A2069" s="10" t="s">
        <v>8230</v>
      </c>
      <c r="B2069" s="12" t="s">
        <v>3686</v>
      </c>
      <c r="C2069" s="11">
        <v>45973</v>
      </c>
      <c r="D2069" s="12">
        <v>5</v>
      </c>
      <c r="E2069" s="12">
        <v>8</v>
      </c>
      <c r="F2069" s="13" t="s">
        <v>75</v>
      </c>
      <c r="G2069" t="str">
        <f>IFERROR(INDEX(Ticket!$B$2:$B$6001,MATCH(B2069,Ticket!$A$2:$A$6001,0)),"Ticket introuvable")</f>
        <v>AG-017</v>
      </c>
    </row>
    <row r="2070" spans="1:7" x14ac:dyDescent="0.35">
      <c r="A2070" s="6" t="s">
        <v>8231</v>
      </c>
      <c r="B2070" s="8" t="s">
        <v>1266</v>
      </c>
      <c r="C2070" s="7">
        <v>45922</v>
      </c>
      <c r="D2070" s="8">
        <v>4</v>
      </c>
      <c r="E2070" s="8">
        <v>10</v>
      </c>
      <c r="F2070" s="9" t="s">
        <v>6160</v>
      </c>
      <c r="G2070" t="str">
        <f>IFERROR(INDEX(Ticket!$B$2:$B$6001,MATCH(B2070,Ticket!$A$2:$A$6001,0)),"Ticket introuvable")</f>
        <v>AG-029</v>
      </c>
    </row>
    <row r="2071" spans="1:7" x14ac:dyDescent="0.35">
      <c r="A2071" s="10" t="s">
        <v>8232</v>
      </c>
      <c r="B2071" s="12" t="s">
        <v>1613</v>
      </c>
      <c r="C2071" s="11">
        <v>45797</v>
      </c>
      <c r="D2071" s="12">
        <v>5</v>
      </c>
      <c r="E2071" s="12">
        <v>9</v>
      </c>
      <c r="F2071" s="13" t="s">
        <v>8363</v>
      </c>
      <c r="G2071" t="str">
        <f>IFERROR(INDEX(Ticket!$B$2:$B$6001,MATCH(B2071,Ticket!$A$2:$A$6001,0)),"Ticket introuvable")</f>
        <v>AG-029</v>
      </c>
    </row>
    <row r="2072" spans="1:7" x14ac:dyDescent="0.35">
      <c r="A2072" s="6" t="s">
        <v>8233</v>
      </c>
      <c r="B2072" s="8" t="s">
        <v>1094</v>
      </c>
      <c r="C2072" s="7">
        <v>45864</v>
      </c>
      <c r="D2072" s="8">
        <v>3</v>
      </c>
      <c r="E2072" s="8">
        <v>5</v>
      </c>
      <c r="F2072" s="9" t="s">
        <v>8363</v>
      </c>
      <c r="G2072" t="str">
        <f>IFERROR(INDEX(Ticket!$B$2:$B$6001,MATCH(B2072,Ticket!$A$2:$A$6001,0)),"Ticket introuvable")</f>
        <v>AG-020</v>
      </c>
    </row>
    <row r="2073" spans="1:7" x14ac:dyDescent="0.35">
      <c r="A2073" s="10" t="s">
        <v>8234</v>
      </c>
      <c r="B2073" s="12" t="s">
        <v>2586</v>
      </c>
      <c r="C2073" s="11">
        <v>45802</v>
      </c>
      <c r="D2073" s="12">
        <v>4</v>
      </c>
      <c r="E2073" s="12">
        <v>8</v>
      </c>
      <c r="F2073" s="13" t="s">
        <v>75</v>
      </c>
      <c r="G2073" t="str">
        <f>IFERROR(INDEX(Ticket!$B$2:$B$6001,MATCH(B2073,Ticket!$A$2:$A$6001,0)),"Ticket introuvable")</f>
        <v>AG-006</v>
      </c>
    </row>
    <row r="2074" spans="1:7" x14ac:dyDescent="0.35">
      <c r="A2074" s="6" t="s">
        <v>8235</v>
      </c>
      <c r="B2074" s="8" t="s">
        <v>246</v>
      </c>
      <c r="C2074" s="7">
        <v>45808</v>
      </c>
      <c r="D2074" s="8"/>
      <c r="E2074" s="8">
        <v>4</v>
      </c>
      <c r="F2074" s="9" t="s">
        <v>8363</v>
      </c>
      <c r="G2074" t="str">
        <f>IFERROR(INDEX(Ticket!$B$2:$B$6001,MATCH(B2074,Ticket!$A$2:$A$6001,0)),"Ticket introuvable")</f>
        <v>AG-010</v>
      </c>
    </row>
    <row r="2075" spans="1:7" x14ac:dyDescent="0.35">
      <c r="A2075" s="10" t="s">
        <v>8236</v>
      </c>
      <c r="B2075" s="12" t="s">
        <v>5991</v>
      </c>
      <c r="C2075" s="11">
        <v>45793</v>
      </c>
      <c r="D2075" s="12">
        <v>4</v>
      </c>
      <c r="E2075" s="12">
        <v>9</v>
      </c>
      <c r="F2075" s="13" t="s">
        <v>6153</v>
      </c>
      <c r="G2075" t="str">
        <f>IFERROR(INDEX(Ticket!$B$2:$B$6001,MATCH(B2075,Ticket!$A$2:$A$6001,0)),"Ticket introuvable")</f>
        <v>AG-013</v>
      </c>
    </row>
    <row r="2076" spans="1:7" x14ac:dyDescent="0.35">
      <c r="A2076" s="6" t="s">
        <v>8237</v>
      </c>
      <c r="B2076" s="8" t="s">
        <v>4059</v>
      </c>
      <c r="C2076" s="7">
        <v>45819</v>
      </c>
      <c r="D2076" s="8">
        <v>5</v>
      </c>
      <c r="E2076" s="8">
        <v>7</v>
      </c>
      <c r="F2076" s="9" t="s">
        <v>6148</v>
      </c>
      <c r="G2076" t="str">
        <f>IFERROR(INDEX(Ticket!$B$2:$B$6001,MATCH(B2076,Ticket!$A$2:$A$6001,0)),"Ticket introuvable")</f>
        <v>AG-033</v>
      </c>
    </row>
    <row r="2077" spans="1:7" x14ac:dyDescent="0.35">
      <c r="A2077" s="10" t="s">
        <v>8238</v>
      </c>
      <c r="B2077" s="12" t="s">
        <v>3275</v>
      </c>
      <c r="C2077" s="11">
        <v>45890</v>
      </c>
      <c r="D2077" s="12">
        <v>3</v>
      </c>
      <c r="E2077" s="12">
        <v>0</v>
      </c>
      <c r="F2077" s="13" t="s">
        <v>6160</v>
      </c>
      <c r="G2077" t="str">
        <f>IFERROR(INDEX(Ticket!$B$2:$B$6001,MATCH(B2077,Ticket!$A$2:$A$6001,0)),"Ticket introuvable")</f>
        <v>AG-007</v>
      </c>
    </row>
    <row r="2078" spans="1:7" x14ac:dyDescent="0.35">
      <c r="A2078" s="6" t="s">
        <v>8239</v>
      </c>
      <c r="B2078" s="8" t="s">
        <v>4380</v>
      </c>
      <c r="C2078" s="7">
        <v>46021</v>
      </c>
      <c r="D2078" s="8">
        <v>4</v>
      </c>
      <c r="E2078" s="8">
        <v>7</v>
      </c>
      <c r="F2078" s="9" t="s">
        <v>8363</v>
      </c>
      <c r="G2078" t="str">
        <f>IFERROR(INDEX(Ticket!$B$2:$B$6001,MATCH(B2078,Ticket!$A$2:$A$6001,0)),"Ticket introuvable")</f>
        <v>AG-010</v>
      </c>
    </row>
    <row r="2079" spans="1:7" x14ac:dyDescent="0.35">
      <c r="A2079" s="10" t="s">
        <v>8240</v>
      </c>
      <c r="B2079" s="12" t="s">
        <v>2407</v>
      </c>
      <c r="C2079" s="11">
        <v>45880</v>
      </c>
      <c r="D2079" s="12">
        <v>5</v>
      </c>
      <c r="E2079" s="12">
        <v>6</v>
      </c>
      <c r="F2079" s="13" t="s">
        <v>6153</v>
      </c>
      <c r="G2079" t="str">
        <f>IFERROR(INDEX(Ticket!$B$2:$B$6001,MATCH(B2079,Ticket!$A$2:$A$6001,0)),"Ticket introuvable")</f>
        <v>AG-023</v>
      </c>
    </row>
    <row r="2080" spans="1:7" x14ac:dyDescent="0.35">
      <c r="A2080" s="6" t="s">
        <v>8241</v>
      </c>
      <c r="B2080" s="8" t="s">
        <v>2780</v>
      </c>
      <c r="C2080" s="7">
        <v>45738</v>
      </c>
      <c r="D2080" s="8">
        <v>4</v>
      </c>
      <c r="E2080" s="8">
        <v>4</v>
      </c>
      <c r="F2080" s="9" t="s">
        <v>8363</v>
      </c>
      <c r="G2080" t="str">
        <f>IFERROR(INDEX(Ticket!$B$2:$B$6001,MATCH(B2080,Ticket!$A$2:$A$6001,0)),"Ticket introuvable")</f>
        <v>AG-029</v>
      </c>
    </row>
    <row r="2081" spans="1:7" x14ac:dyDescent="0.35">
      <c r="A2081" s="10" t="s">
        <v>8242</v>
      </c>
      <c r="B2081" s="12" t="s">
        <v>1667</v>
      </c>
      <c r="C2081" s="11">
        <v>45721</v>
      </c>
      <c r="D2081" s="12">
        <v>2</v>
      </c>
      <c r="E2081" s="12">
        <v>9</v>
      </c>
      <c r="F2081" s="13" t="s">
        <v>6160</v>
      </c>
      <c r="G2081" t="str">
        <f>IFERROR(INDEX(Ticket!$B$2:$B$6001,MATCH(B2081,Ticket!$A$2:$A$6001,0)),"Ticket introuvable")</f>
        <v>AG-013</v>
      </c>
    </row>
    <row r="2082" spans="1:7" x14ac:dyDescent="0.35">
      <c r="A2082" s="6" t="s">
        <v>8243</v>
      </c>
      <c r="B2082" s="8" t="s">
        <v>5228</v>
      </c>
      <c r="C2082" s="7">
        <v>45873</v>
      </c>
      <c r="D2082" s="8">
        <v>3</v>
      </c>
      <c r="E2082" s="8">
        <v>10</v>
      </c>
      <c r="F2082" s="9" t="s">
        <v>6148</v>
      </c>
      <c r="G2082" t="str">
        <f>IFERROR(INDEX(Ticket!$B$2:$B$6001,MATCH(B2082,Ticket!$A$2:$A$6001,0)),"Ticket introuvable")</f>
        <v>AG-031</v>
      </c>
    </row>
    <row r="2083" spans="1:7" x14ac:dyDescent="0.35">
      <c r="A2083" s="10" t="s">
        <v>8244</v>
      </c>
      <c r="B2083" s="12" t="s">
        <v>3380</v>
      </c>
      <c r="C2083" s="11">
        <v>45734</v>
      </c>
      <c r="D2083" s="12">
        <v>4</v>
      </c>
      <c r="E2083" s="12">
        <v>5</v>
      </c>
      <c r="F2083" s="13" t="s">
        <v>6148</v>
      </c>
      <c r="G2083" t="str">
        <f>IFERROR(INDEX(Ticket!$B$2:$B$6001,MATCH(B2083,Ticket!$A$2:$A$6001,0)),"Ticket introuvable")</f>
        <v>AG-014</v>
      </c>
    </row>
    <row r="2084" spans="1:7" x14ac:dyDescent="0.35">
      <c r="A2084" s="6" t="s">
        <v>8245</v>
      </c>
      <c r="B2084" s="8" t="s">
        <v>5788</v>
      </c>
      <c r="C2084" s="7">
        <v>45662</v>
      </c>
      <c r="D2084" s="8">
        <v>5</v>
      </c>
      <c r="E2084" s="8">
        <v>9</v>
      </c>
      <c r="F2084" s="9" t="s">
        <v>6153</v>
      </c>
      <c r="G2084" t="str">
        <f>IFERROR(INDEX(Ticket!$B$2:$B$6001,MATCH(B2084,Ticket!$A$2:$A$6001,0)),"Ticket introuvable")</f>
        <v>AG-022</v>
      </c>
    </row>
    <row r="2085" spans="1:7" x14ac:dyDescent="0.35">
      <c r="A2085" s="10" t="s">
        <v>8246</v>
      </c>
      <c r="B2085" s="12" t="s">
        <v>4742</v>
      </c>
      <c r="C2085" s="11">
        <v>45940</v>
      </c>
      <c r="D2085" s="12">
        <v>5</v>
      </c>
      <c r="E2085" s="12">
        <v>10</v>
      </c>
      <c r="F2085" s="13" t="s">
        <v>8363</v>
      </c>
      <c r="G2085" t="str">
        <f>IFERROR(INDEX(Ticket!$B$2:$B$6001,MATCH(B2085,Ticket!$A$2:$A$6001,0)),"Ticket introuvable")</f>
        <v>AG-032</v>
      </c>
    </row>
    <row r="2086" spans="1:7" x14ac:dyDescent="0.35">
      <c r="A2086" s="6" t="s">
        <v>8247</v>
      </c>
      <c r="B2086" s="8" t="s">
        <v>5660</v>
      </c>
      <c r="C2086" s="7">
        <v>45927</v>
      </c>
      <c r="D2086" s="8">
        <v>3</v>
      </c>
      <c r="E2086" s="8"/>
      <c r="F2086" s="9" t="s">
        <v>6148</v>
      </c>
      <c r="G2086" t="str">
        <f>IFERROR(INDEX(Ticket!$B$2:$B$6001,MATCH(B2086,Ticket!$A$2:$A$6001,0)),"Ticket introuvable")</f>
        <v>AG-021</v>
      </c>
    </row>
    <row r="2087" spans="1:7" x14ac:dyDescent="0.35">
      <c r="A2087" s="10" t="s">
        <v>8248</v>
      </c>
      <c r="B2087" s="12" t="s">
        <v>6048</v>
      </c>
      <c r="C2087" s="11">
        <v>45805</v>
      </c>
      <c r="D2087" s="12">
        <v>4</v>
      </c>
      <c r="E2087" s="12">
        <v>5</v>
      </c>
      <c r="F2087" s="13" t="s">
        <v>6153</v>
      </c>
      <c r="G2087" t="str">
        <f>IFERROR(INDEX(Ticket!$B$2:$B$6001,MATCH(B2087,Ticket!$A$2:$A$6001,0)),"Ticket introuvable")</f>
        <v>AG-014</v>
      </c>
    </row>
    <row r="2088" spans="1:7" x14ac:dyDescent="0.35">
      <c r="A2088" s="6" t="s">
        <v>8249</v>
      </c>
      <c r="B2088" s="8" t="s">
        <v>3443</v>
      </c>
      <c r="C2088" s="7">
        <v>45695</v>
      </c>
      <c r="D2088" s="8">
        <v>3</v>
      </c>
      <c r="E2088" s="8">
        <v>2</v>
      </c>
      <c r="F2088" s="9" t="s">
        <v>6160</v>
      </c>
      <c r="G2088" t="str">
        <f>IFERROR(INDEX(Ticket!$B$2:$B$6001,MATCH(B2088,Ticket!$A$2:$A$6001,0)),"Ticket introuvable")</f>
        <v>AG-029</v>
      </c>
    </row>
    <row r="2089" spans="1:7" x14ac:dyDescent="0.35">
      <c r="A2089" s="10" t="s">
        <v>8250</v>
      </c>
      <c r="B2089" s="12" t="s">
        <v>1657</v>
      </c>
      <c r="C2089" s="11">
        <v>45814</v>
      </c>
      <c r="D2089" s="12">
        <v>3</v>
      </c>
      <c r="E2089" s="12">
        <v>9</v>
      </c>
      <c r="F2089" s="13" t="s">
        <v>6160</v>
      </c>
      <c r="G2089" t="str">
        <f>IFERROR(INDEX(Ticket!$B$2:$B$6001,MATCH(B2089,Ticket!$A$2:$A$6001,0)),"Ticket introuvable")</f>
        <v>AG-038</v>
      </c>
    </row>
    <row r="2090" spans="1:7" x14ac:dyDescent="0.35">
      <c r="A2090" s="6" t="s">
        <v>8251</v>
      </c>
      <c r="B2090" s="8" t="s">
        <v>5515</v>
      </c>
      <c r="C2090" s="7">
        <v>45765</v>
      </c>
      <c r="D2090" s="8">
        <v>5</v>
      </c>
      <c r="E2090" s="8">
        <v>6</v>
      </c>
      <c r="F2090" s="9" t="s">
        <v>8363</v>
      </c>
      <c r="G2090" t="str">
        <f>IFERROR(INDEX(Ticket!$B$2:$B$6001,MATCH(B2090,Ticket!$A$2:$A$6001,0)),"Ticket introuvable")</f>
        <v>AG-016</v>
      </c>
    </row>
    <row r="2091" spans="1:7" x14ac:dyDescent="0.35">
      <c r="A2091" s="10" t="s">
        <v>8252</v>
      </c>
      <c r="B2091" s="12" t="s">
        <v>4393</v>
      </c>
      <c r="C2091" s="11">
        <v>45738</v>
      </c>
      <c r="D2091" s="12">
        <v>4</v>
      </c>
      <c r="E2091" s="12">
        <v>8</v>
      </c>
      <c r="F2091" s="13" t="s">
        <v>6142</v>
      </c>
      <c r="G2091" t="str">
        <f>IFERROR(INDEX(Ticket!$B$2:$B$6001,MATCH(B2091,Ticket!$A$2:$A$6001,0)),"Ticket introuvable")</f>
        <v>AG-035</v>
      </c>
    </row>
    <row r="2092" spans="1:7" x14ac:dyDescent="0.35">
      <c r="A2092" s="6" t="s">
        <v>8253</v>
      </c>
      <c r="B2092" s="8" t="s">
        <v>3780</v>
      </c>
      <c r="C2092" s="7">
        <v>45883</v>
      </c>
      <c r="D2092" s="8">
        <v>5</v>
      </c>
      <c r="E2092" s="8">
        <v>10</v>
      </c>
      <c r="F2092" s="9" t="s">
        <v>6153</v>
      </c>
      <c r="G2092" t="str">
        <f>IFERROR(INDEX(Ticket!$B$2:$B$6001,MATCH(B2092,Ticket!$A$2:$A$6001,0)),"Ticket introuvable")</f>
        <v>AG-025</v>
      </c>
    </row>
    <row r="2093" spans="1:7" x14ac:dyDescent="0.35">
      <c r="A2093" s="10" t="s">
        <v>8254</v>
      </c>
      <c r="B2093" s="12" t="s">
        <v>890</v>
      </c>
      <c r="C2093" s="11">
        <v>45664</v>
      </c>
      <c r="D2093" s="12">
        <v>4</v>
      </c>
      <c r="E2093" s="12">
        <v>4</v>
      </c>
      <c r="F2093" s="13" t="s">
        <v>8363</v>
      </c>
      <c r="G2093" t="str">
        <f>IFERROR(INDEX(Ticket!$B$2:$B$6001,MATCH(B2093,Ticket!$A$2:$A$6001,0)),"Ticket introuvable")</f>
        <v>AG-029</v>
      </c>
    </row>
    <row r="2094" spans="1:7" x14ac:dyDescent="0.35">
      <c r="A2094" s="6" t="s">
        <v>8255</v>
      </c>
      <c r="B2094" s="8" t="s">
        <v>538</v>
      </c>
      <c r="C2094" s="7">
        <v>45995</v>
      </c>
      <c r="D2094" s="8">
        <v>5</v>
      </c>
      <c r="E2094" s="8">
        <v>6</v>
      </c>
      <c r="F2094" s="9" t="s">
        <v>6160</v>
      </c>
      <c r="G2094" t="str">
        <f>IFERROR(INDEX(Ticket!$B$2:$B$6001,MATCH(B2094,Ticket!$A$2:$A$6001,0)),"Ticket introuvable")</f>
        <v>AG-028</v>
      </c>
    </row>
    <row r="2095" spans="1:7" x14ac:dyDescent="0.35">
      <c r="A2095" s="10" t="s">
        <v>8256</v>
      </c>
      <c r="B2095" s="12" t="s">
        <v>2608</v>
      </c>
      <c r="C2095" s="11">
        <v>45875</v>
      </c>
      <c r="D2095" s="12">
        <v>3</v>
      </c>
      <c r="E2095" s="12">
        <v>9</v>
      </c>
      <c r="F2095" s="13" t="s">
        <v>6160</v>
      </c>
      <c r="G2095" t="str">
        <f>IFERROR(INDEX(Ticket!$B$2:$B$6001,MATCH(B2095,Ticket!$A$2:$A$6001,0)),"Ticket introuvable")</f>
        <v>AG-014</v>
      </c>
    </row>
    <row r="2096" spans="1:7" x14ac:dyDescent="0.35">
      <c r="A2096" s="6" t="s">
        <v>8257</v>
      </c>
      <c r="B2096" s="8" t="s">
        <v>2154</v>
      </c>
      <c r="C2096" s="7">
        <v>45865</v>
      </c>
      <c r="D2096" s="8">
        <v>3</v>
      </c>
      <c r="E2096" s="8">
        <v>4</v>
      </c>
      <c r="F2096" s="9" t="s">
        <v>75</v>
      </c>
      <c r="G2096" t="str">
        <f>IFERROR(INDEX(Ticket!$B$2:$B$6001,MATCH(B2096,Ticket!$A$2:$A$6001,0)),"Ticket introuvable")</f>
        <v>AG-011</v>
      </c>
    </row>
    <row r="2097" spans="1:7" x14ac:dyDescent="0.35">
      <c r="A2097" s="10" t="s">
        <v>8258</v>
      </c>
      <c r="B2097" s="12" t="s">
        <v>5130</v>
      </c>
      <c r="C2097" s="11">
        <v>45773</v>
      </c>
      <c r="D2097" s="12">
        <v>4</v>
      </c>
      <c r="E2097" s="12">
        <v>6</v>
      </c>
      <c r="F2097" s="13" t="s">
        <v>6148</v>
      </c>
      <c r="G2097" t="str">
        <f>IFERROR(INDEX(Ticket!$B$2:$B$6001,MATCH(B2097,Ticket!$A$2:$A$6001,0)),"Ticket introuvable")</f>
        <v>AG-038</v>
      </c>
    </row>
    <row r="2098" spans="1:7" x14ac:dyDescent="0.35">
      <c r="A2098" s="6" t="s">
        <v>8259</v>
      </c>
      <c r="B2098" s="8" t="s">
        <v>5946</v>
      </c>
      <c r="C2098" s="7">
        <v>45868</v>
      </c>
      <c r="D2098" s="8">
        <v>4</v>
      </c>
      <c r="E2098" s="8">
        <v>0</v>
      </c>
      <c r="F2098" s="9" t="s">
        <v>8363</v>
      </c>
      <c r="G2098" t="str">
        <f>IFERROR(INDEX(Ticket!$B$2:$B$6001,MATCH(B2098,Ticket!$A$2:$A$6001,0)),"Ticket introuvable")</f>
        <v>AG-037</v>
      </c>
    </row>
    <row r="2099" spans="1:7" x14ac:dyDescent="0.35">
      <c r="A2099" s="10" t="s">
        <v>8260</v>
      </c>
      <c r="B2099" s="12" t="s">
        <v>1306</v>
      </c>
      <c r="C2099" s="11">
        <v>45911</v>
      </c>
      <c r="D2099" s="12">
        <v>5</v>
      </c>
      <c r="E2099" s="12">
        <v>4</v>
      </c>
      <c r="F2099" s="13" t="s">
        <v>6142</v>
      </c>
      <c r="G2099" t="str">
        <f>IFERROR(INDEX(Ticket!$B$2:$B$6001,MATCH(B2099,Ticket!$A$2:$A$6001,0)),"Ticket introuvable")</f>
        <v>AG-025</v>
      </c>
    </row>
    <row r="2100" spans="1:7" x14ac:dyDescent="0.35">
      <c r="A2100" s="6" t="s">
        <v>8261</v>
      </c>
      <c r="B2100" s="8" t="s">
        <v>3192</v>
      </c>
      <c r="C2100" s="7">
        <v>45712</v>
      </c>
      <c r="D2100" s="8">
        <v>3</v>
      </c>
      <c r="E2100" s="8">
        <v>7</v>
      </c>
      <c r="F2100" s="9" t="s">
        <v>6142</v>
      </c>
      <c r="G2100" t="str">
        <f>IFERROR(INDEX(Ticket!$B$2:$B$6001,MATCH(B2100,Ticket!$A$2:$A$6001,0)),"Ticket introuvable")</f>
        <v>AG-034</v>
      </c>
    </row>
    <row r="2101" spans="1:7" x14ac:dyDescent="0.35">
      <c r="A2101" s="10" t="s">
        <v>8262</v>
      </c>
      <c r="B2101" s="12" t="s">
        <v>5466</v>
      </c>
      <c r="C2101" s="11">
        <v>45886</v>
      </c>
      <c r="D2101" s="12">
        <v>5</v>
      </c>
      <c r="E2101" s="12">
        <v>9</v>
      </c>
      <c r="F2101" s="13" t="s">
        <v>8363</v>
      </c>
      <c r="G2101" t="str">
        <f>IFERROR(INDEX(Ticket!$B$2:$B$6001,MATCH(B2101,Ticket!$A$2:$A$6001,0)),"Ticket introuvable")</f>
        <v>AG-039</v>
      </c>
    </row>
    <row r="2102" spans="1:7" x14ac:dyDescent="0.35">
      <c r="A2102" s="6" t="s">
        <v>8263</v>
      </c>
      <c r="B2102" s="8" t="s">
        <v>1442</v>
      </c>
      <c r="C2102" s="7">
        <v>46007</v>
      </c>
      <c r="D2102" s="8">
        <v>5</v>
      </c>
      <c r="E2102" s="8">
        <v>7</v>
      </c>
      <c r="F2102" s="9" t="s">
        <v>6148</v>
      </c>
      <c r="G2102" t="str">
        <f>IFERROR(INDEX(Ticket!$B$2:$B$6001,MATCH(B2102,Ticket!$A$2:$A$6001,0)),"Ticket introuvable")</f>
        <v>AG-027</v>
      </c>
    </row>
    <row r="2103" spans="1:7" x14ac:dyDescent="0.35">
      <c r="A2103" s="10" t="s">
        <v>8264</v>
      </c>
      <c r="B2103" s="12" t="s">
        <v>1193</v>
      </c>
      <c r="C2103" s="11">
        <v>45671</v>
      </c>
      <c r="D2103" s="12">
        <v>4</v>
      </c>
      <c r="E2103" s="12">
        <v>8</v>
      </c>
      <c r="F2103" s="13" t="s">
        <v>6153</v>
      </c>
      <c r="G2103" t="str">
        <f>IFERROR(INDEX(Ticket!$B$2:$B$6001,MATCH(B2103,Ticket!$A$2:$A$6001,0)),"Ticket introuvable")</f>
        <v>AG-040</v>
      </c>
    </row>
    <row r="2104" spans="1:7" x14ac:dyDescent="0.35">
      <c r="A2104" s="6" t="s">
        <v>8265</v>
      </c>
      <c r="B2104" s="8" t="s">
        <v>1957</v>
      </c>
      <c r="C2104" s="7">
        <v>45804</v>
      </c>
      <c r="D2104" s="8">
        <v>4</v>
      </c>
      <c r="E2104" s="8">
        <v>8</v>
      </c>
      <c r="F2104" s="9" t="s">
        <v>8363</v>
      </c>
      <c r="G2104" t="str">
        <f>IFERROR(INDEX(Ticket!$B$2:$B$6001,MATCH(B2104,Ticket!$A$2:$A$6001,0)),"Ticket introuvable")</f>
        <v>AG-024</v>
      </c>
    </row>
    <row r="2105" spans="1:7" x14ac:dyDescent="0.35">
      <c r="A2105" s="10" t="s">
        <v>8266</v>
      </c>
      <c r="B2105" s="12" t="s">
        <v>4663</v>
      </c>
      <c r="C2105" s="11">
        <v>45892</v>
      </c>
      <c r="D2105" s="12">
        <v>4</v>
      </c>
      <c r="E2105" s="12">
        <v>9</v>
      </c>
      <c r="F2105" s="13" t="s">
        <v>6153</v>
      </c>
      <c r="G2105" t="str">
        <f>IFERROR(INDEX(Ticket!$B$2:$B$6001,MATCH(B2105,Ticket!$A$2:$A$6001,0)),"Ticket introuvable")</f>
        <v>AG-035</v>
      </c>
    </row>
    <row r="2106" spans="1:7" x14ac:dyDescent="0.35">
      <c r="A2106" s="6" t="s">
        <v>8267</v>
      </c>
      <c r="B2106" s="8" t="s">
        <v>646</v>
      </c>
      <c r="C2106" s="7">
        <v>46003</v>
      </c>
      <c r="D2106" s="8">
        <v>3</v>
      </c>
      <c r="E2106" s="8">
        <v>9</v>
      </c>
      <c r="F2106" s="9" t="s">
        <v>8363</v>
      </c>
      <c r="G2106" t="str">
        <f>IFERROR(INDEX(Ticket!$B$2:$B$6001,MATCH(B2106,Ticket!$A$2:$A$6001,0)),"Ticket introuvable")</f>
        <v>AG-013</v>
      </c>
    </row>
    <row r="2107" spans="1:7" x14ac:dyDescent="0.35">
      <c r="A2107" s="10" t="s">
        <v>8268</v>
      </c>
      <c r="B2107" s="12" t="s">
        <v>1375</v>
      </c>
      <c r="C2107" s="11">
        <v>45808</v>
      </c>
      <c r="D2107" s="12">
        <v>5</v>
      </c>
      <c r="E2107" s="12">
        <v>9</v>
      </c>
      <c r="F2107" s="13" t="s">
        <v>6148</v>
      </c>
      <c r="G2107" t="str">
        <f>IFERROR(INDEX(Ticket!$B$2:$B$6001,MATCH(B2107,Ticket!$A$2:$A$6001,0)),"Ticket introuvable")</f>
        <v>AG-039</v>
      </c>
    </row>
    <row r="2108" spans="1:7" x14ac:dyDescent="0.35">
      <c r="A2108" s="6" t="s">
        <v>8269</v>
      </c>
      <c r="B2108" s="8" t="s">
        <v>4515</v>
      </c>
      <c r="C2108" s="7">
        <v>45662</v>
      </c>
      <c r="D2108" s="8">
        <v>5</v>
      </c>
      <c r="E2108" s="8">
        <v>8</v>
      </c>
      <c r="F2108" s="9" t="s">
        <v>8363</v>
      </c>
      <c r="G2108" t="str">
        <f>IFERROR(INDEX(Ticket!$B$2:$B$6001,MATCH(B2108,Ticket!$A$2:$A$6001,0)),"Ticket introuvable")</f>
        <v>AG-022</v>
      </c>
    </row>
    <row r="2109" spans="1:7" x14ac:dyDescent="0.35">
      <c r="A2109" s="10" t="s">
        <v>8270</v>
      </c>
      <c r="B2109" s="12" t="s">
        <v>3957</v>
      </c>
      <c r="C2109" s="11">
        <v>45935</v>
      </c>
      <c r="D2109" s="12">
        <v>5</v>
      </c>
      <c r="E2109" s="12">
        <v>9</v>
      </c>
      <c r="F2109" s="13" t="s">
        <v>6148</v>
      </c>
      <c r="G2109" t="str">
        <f>IFERROR(INDEX(Ticket!$B$2:$B$6001,MATCH(B2109,Ticket!$A$2:$A$6001,0)),"Ticket introuvable")</f>
        <v>AG-014</v>
      </c>
    </row>
    <row r="2110" spans="1:7" x14ac:dyDescent="0.35">
      <c r="A2110" s="6" t="s">
        <v>8271</v>
      </c>
      <c r="B2110" s="8" t="s">
        <v>3827</v>
      </c>
      <c r="C2110" s="7">
        <v>45931</v>
      </c>
      <c r="D2110" s="8">
        <v>5</v>
      </c>
      <c r="E2110" s="8">
        <v>9</v>
      </c>
      <c r="F2110" s="9" t="s">
        <v>8363</v>
      </c>
      <c r="G2110" t="str">
        <f>IFERROR(INDEX(Ticket!$B$2:$B$6001,MATCH(B2110,Ticket!$A$2:$A$6001,0)),"Ticket introuvable")</f>
        <v>AG-015</v>
      </c>
    </row>
    <row r="2111" spans="1:7" x14ac:dyDescent="0.35">
      <c r="A2111" s="10" t="s">
        <v>8272</v>
      </c>
      <c r="B2111" s="12" t="s">
        <v>3519</v>
      </c>
      <c r="C2111" s="11">
        <v>45986</v>
      </c>
      <c r="D2111" s="12">
        <v>4</v>
      </c>
      <c r="E2111" s="12">
        <v>5</v>
      </c>
      <c r="F2111" s="13" t="s">
        <v>6142</v>
      </c>
      <c r="G2111" t="str">
        <f>IFERROR(INDEX(Ticket!$B$2:$B$6001,MATCH(B2111,Ticket!$A$2:$A$6001,0)),"Ticket introuvable")</f>
        <v>AG-023</v>
      </c>
    </row>
    <row r="2112" spans="1:7" x14ac:dyDescent="0.35">
      <c r="A2112" s="6" t="s">
        <v>8273</v>
      </c>
      <c r="B2112" s="8" t="s">
        <v>98</v>
      </c>
      <c r="C2112" s="7">
        <v>45724</v>
      </c>
      <c r="D2112" s="8">
        <v>4</v>
      </c>
      <c r="E2112" s="8">
        <v>6</v>
      </c>
      <c r="F2112" s="9" t="s">
        <v>75</v>
      </c>
      <c r="G2112" t="str">
        <f>IFERROR(INDEX(Ticket!$B$2:$B$6001,MATCH(B2112,Ticket!$A$2:$A$6001,0)),"Ticket introuvable")</f>
        <v>AG-003</v>
      </c>
    </row>
    <row r="2113" spans="1:7" x14ac:dyDescent="0.35">
      <c r="A2113" s="10" t="s">
        <v>8274</v>
      </c>
      <c r="B2113" s="12" t="s">
        <v>1214</v>
      </c>
      <c r="C2113" s="11">
        <v>45746</v>
      </c>
      <c r="D2113" s="12">
        <v>5</v>
      </c>
      <c r="E2113" s="12">
        <v>10</v>
      </c>
      <c r="F2113" s="13" t="s">
        <v>6153</v>
      </c>
      <c r="G2113" t="str">
        <f>IFERROR(INDEX(Ticket!$B$2:$B$6001,MATCH(B2113,Ticket!$A$2:$A$6001,0)),"Ticket introuvable")</f>
        <v>AG-018</v>
      </c>
    </row>
    <row r="2114" spans="1:7" x14ac:dyDescent="0.35">
      <c r="A2114" s="6" t="s">
        <v>8275</v>
      </c>
      <c r="B2114" s="8" t="s">
        <v>1066</v>
      </c>
      <c r="C2114" s="7">
        <v>45736</v>
      </c>
      <c r="D2114" s="8">
        <v>5</v>
      </c>
      <c r="E2114" s="8">
        <v>8</v>
      </c>
      <c r="F2114" s="9" t="s">
        <v>8363</v>
      </c>
      <c r="G2114" t="str">
        <f>IFERROR(INDEX(Ticket!$B$2:$B$6001,MATCH(B2114,Ticket!$A$2:$A$6001,0)),"Ticket introuvable")</f>
        <v>AG-014</v>
      </c>
    </row>
    <row r="2115" spans="1:7" x14ac:dyDescent="0.35">
      <c r="A2115" s="10" t="s">
        <v>8276</v>
      </c>
      <c r="B2115" s="12" t="s">
        <v>2976</v>
      </c>
      <c r="C2115" s="11">
        <v>45830</v>
      </c>
      <c r="D2115" s="12">
        <v>5</v>
      </c>
      <c r="E2115" s="12">
        <v>2</v>
      </c>
      <c r="F2115" s="13" t="s">
        <v>75</v>
      </c>
      <c r="G2115" t="str">
        <f>IFERROR(INDEX(Ticket!$B$2:$B$6001,MATCH(B2115,Ticket!$A$2:$A$6001,0)),"Ticket introuvable")</f>
        <v>AG-006</v>
      </c>
    </row>
    <row r="2116" spans="1:7" x14ac:dyDescent="0.35">
      <c r="A2116" s="6" t="s">
        <v>8277</v>
      </c>
      <c r="B2116" s="8" t="s">
        <v>201</v>
      </c>
      <c r="C2116" s="7">
        <v>45862</v>
      </c>
      <c r="D2116" s="8">
        <v>4</v>
      </c>
      <c r="E2116" s="8"/>
      <c r="F2116" s="9" t="s">
        <v>75</v>
      </c>
      <c r="G2116" t="str">
        <f>IFERROR(INDEX(Ticket!$B$2:$B$6001,MATCH(B2116,Ticket!$A$2:$A$6001,0)),"Ticket introuvable")</f>
        <v>AG-025</v>
      </c>
    </row>
    <row r="2117" spans="1:7" x14ac:dyDescent="0.35">
      <c r="A2117" s="10" t="s">
        <v>8278</v>
      </c>
      <c r="B2117" s="12" t="s">
        <v>4635</v>
      </c>
      <c r="C2117" s="11">
        <v>45952</v>
      </c>
      <c r="D2117" s="12">
        <v>1</v>
      </c>
      <c r="E2117" s="12">
        <v>9</v>
      </c>
      <c r="F2117" s="13" t="s">
        <v>6142</v>
      </c>
      <c r="G2117" t="str">
        <f>IFERROR(INDEX(Ticket!$B$2:$B$6001,MATCH(B2117,Ticket!$A$2:$A$6001,0)),"Ticket introuvable")</f>
        <v>AG-025</v>
      </c>
    </row>
    <row r="2118" spans="1:7" x14ac:dyDescent="0.35">
      <c r="A2118" s="6" t="s">
        <v>8279</v>
      </c>
      <c r="B2118" s="8" t="s">
        <v>2716</v>
      </c>
      <c r="C2118" s="7">
        <v>45697</v>
      </c>
      <c r="D2118" s="8">
        <v>3</v>
      </c>
      <c r="E2118" s="8">
        <v>10</v>
      </c>
      <c r="F2118" s="9" t="s">
        <v>6160</v>
      </c>
      <c r="G2118" t="str">
        <f>IFERROR(INDEX(Ticket!$B$2:$B$6001,MATCH(B2118,Ticket!$A$2:$A$6001,0)),"Ticket introuvable")</f>
        <v>AG-026</v>
      </c>
    </row>
    <row r="2119" spans="1:7" x14ac:dyDescent="0.35">
      <c r="A2119" s="10" t="s">
        <v>8280</v>
      </c>
      <c r="B2119" s="12" t="s">
        <v>3231</v>
      </c>
      <c r="C2119" s="11">
        <v>45873</v>
      </c>
      <c r="D2119" s="12">
        <v>5</v>
      </c>
      <c r="E2119" s="12">
        <v>7</v>
      </c>
      <c r="F2119" s="13" t="s">
        <v>6153</v>
      </c>
      <c r="G2119" t="str">
        <f>IFERROR(INDEX(Ticket!$B$2:$B$6001,MATCH(B2119,Ticket!$A$2:$A$6001,0)),"Ticket introuvable")</f>
        <v>AG-015</v>
      </c>
    </row>
    <row r="2120" spans="1:7" x14ac:dyDescent="0.35">
      <c r="A2120" s="6" t="s">
        <v>8281</v>
      </c>
      <c r="B2120" s="8" t="s">
        <v>3133</v>
      </c>
      <c r="C2120" s="7">
        <v>45728</v>
      </c>
      <c r="D2120" s="8">
        <v>4</v>
      </c>
      <c r="E2120" s="8">
        <v>10</v>
      </c>
      <c r="F2120" s="9" t="s">
        <v>8363</v>
      </c>
      <c r="G2120" t="str">
        <f>IFERROR(INDEX(Ticket!$B$2:$B$6001,MATCH(B2120,Ticket!$A$2:$A$6001,0)),"Ticket introuvable")</f>
        <v>AG-028</v>
      </c>
    </row>
    <row r="2121" spans="1:7" x14ac:dyDescent="0.35">
      <c r="A2121" s="10" t="s">
        <v>8282</v>
      </c>
      <c r="B2121" s="12" t="s">
        <v>519</v>
      </c>
      <c r="C2121" s="11">
        <v>45845</v>
      </c>
      <c r="D2121" s="12">
        <v>3</v>
      </c>
      <c r="E2121" s="12"/>
      <c r="F2121" s="13" t="s">
        <v>8363</v>
      </c>
      <c r="G2121" t="str">
        <f>IFERROR(INDEX(Ticket!$B$2:$B$6001,MATCH(B2121,Ticket!$A$2:$A$6001,0)),"Ticket introuvable")</f>
        <v>AG-017</v>
      </c>
    </row>
    <row r="2122" spans="1:7" x14ac:dyDescent="0.35">
      <c r="A2122" s="6" t="s">
        <v>8283</v>
      </c>
      <c r="B2122" s="8" t="s">
        <v>1594</v>
      </c>
      <c r="C2122" s="7">
        <v>45862</v>
      </c>
      <c r="D2122" s="8"/>
      <c r="E2122" s="8"/>
      <c r="F2122" s="9" t="s">
        <v>6148</v>
      </c>
      <c r="G2122" t="str">
        <f>IFERROR(INDEX(Ticket!$B$2:$B$6001,MATCH(B2122,Ticket!$A$2:$A$6001,0)),"Ticket introuvable")</f>
        <v>AG-006</v>
      </c>
    </row>
    <row r="2123" spans="1:7" x14ac:dyDescent="0.35">
      <c r="A2123" s="10" t="s">
        <v>8284</v>
      </c>
      <c r="B2123" s="12" t="s">
        <v>2133</v>
      </c>
      <c r="C2123" s="11">
        <v>46022</v>
      </c>
      <c r="D2123" s="12">
        <v>5</v>
      </c>
      <c r="E2123" s="12">
        <v>10</v>
      </c>
      <c r="F2123" s="13" t="s">
        <v>6148</v>
      </c>
      <c r="G2123" t="str">
        <f>IFERROR(INDEX(Ticket!$B$2:$B$6001,MATCH(B2123,Ticket!$A$2:$A$6001,0)),"Ticket introuvable")</f>
        <v>AG-033</v>
      </c>
    </row>
    <row r="2124" spans="1:7" x14ac:dyDescent="0.35">
      <c r="A2124" s="6" t="s">
        <v>8285</v>
      </c>
      <c r="B2124" s="8" t="s">
        <v>5017</v>
      </c>
      <c r="C2124" s="7">
        <v>45912</v>
      </c>
      <c r="D2124" s="8">
        <v>4</v>
      </c>
      <c r="E2124" s="8">
        <v>9</v>
      </c>
      <c r="F2124" s="9" t="s">
        <v>6148</v>
      </c>
      <c r="G2124" t="str">
        <f>IFERROR(INDEX(Ticket!$B$2:$B$6001,MATCH(B2124,Ticket!$A$2:$A$6001,0)),"Ticket introuvable")</f>
        <v>AG-031</v>
      </c>
    </row>
    <row r="2125" spans="1:7" x14ac:dyDescent="0.35">
      <c r="A2125" s="10" t="s">
        <v>8286</v>
      </c>
      <c r="B2125" s="12" t="s">
        <v>3928</v>
      </c>
      <c r="C2125" s="11">
        <v>45905</v>
      </c>
      <c r="D2125" s="12">
        <v>5</v>
      </c>
      <c r="E2125" s="12">
        <v>10</v>
      </c>
      <c r="F2125" s="13" t="s">
        <v>6153</v>
      </c>
      <c r="G2125" t="str">
        <f>IFERROR(INDEX(Ticket!$B$2:$B$6001,MATCH(B2125,Ticket!$A$2:$A$6001,0)),"Ticket introuvable")</f>
        <v>AG-020</v>
      </c>
    </row>
    <row r="2126" spans="1:7" x14ac:dyDescent="0.35">
      <c r="A2126" s="6" t="s">
        <v>8287</v>
      </c>
      <c r="B2126" s="8" t="s">
        <v>5732</v>
      </c>
      <c r="C2126" s="7">
        <v>45716</v>
      </c>
      <c r="D2126" s="8">
        <v>3</v>
      </c>
      <c r="E2126" s="8">
        <v>4</v>
      </c>
      <c r="F2126" s="9" t="s">
        <v>6160</v>
      </c>
      <c r="G2126" t="str">
        <f>IFERROR(INDEX(Ticket!$B$2:$B$6001,MATCH(B2126,Ticket!$A$2:$A$6001,0)),"Ticket introuvable")</f>
        <v>AG-039</v>
      </c>
    </row>
    <row r="2127" spans="1:7" x14ac:dyDescent="0.35">
      <c r="A2127" s="10" t="s">
        <v>8288</v>
      </c>
      <c r="B2127" s="12" t="s">
        <v>409</v>
      </c>
      <c r="C2127" s="11">
        <v>45754</v>
      </c>
      <c r="D2127" s="12">
        <v>3</v>
      </c>
      <c r="E2127" s="12">
        <v>9</v>
      </c>
      <c r="F2127" s="13" t="s">
        <v>6142</v>
      </c>
      <c r="G2127" t="str">
        <f>IFERROR(INDEX(Ticket!$B$2:$B$6001,MATCH(B2127,Ticket!$A$2:$A$6001,0)),"Ticket introuvable")</f>
        <v>AG-021</v>
      </c>
    </row>
    <row r="2128" spans="1:7" x14ac:dyDescent="0.35">
      <c r="A2128" s="6" t="s">
        <v>8289</v>
      </c>
      <c r="B2128" s="8" t="s">
        <v>1920</v>
      </c>
      <c r="C2128" s="7">
        <v>45867</v>
      </c>
      <c r="D2128" s="8">
        <v>4</v>
      </c>
      <c r="E2128" s="8">
        <v>4</v>
      </c>
      <c r="F2128" s="9" t="s">
        <v>8363</v>
      </c>
      <c r="G2128" t="str">
        <f>IFERROR(INDEX(Ticket!$B$2:$B$6001,MATCH(B2128,Ticket!$A$2:$A$6001,0)),"Ticket introuvable")</f>
        <v>AG-033</v>
      </c>
    </row>
    <row r="2129" spans="1:7" x14ac:dyDescent="0.35">
      <c r="A2129" s="10" t="s">
        <v>8290</v>
      </c>
      <c r="B2129" s="12" t="s">
        <v>548</v>
      </c>
      <c r="C2129" s="11">
        <v>45884</v>
      </c>
      <c r="D2129" s="12">
        <v>5</v>
      </c>
      <c r="E2129" s="12">
        <v>3</v>
      </c>
      <c r="F2129" s="13" t="s">
        <v>8363</v>
      </c>
      <c r="G2129" t="str">
        <f>IFERROR(INDEX(Ticket!$B$2:$B$6001,MATCH(B2129,Ticket!$A$2:$A$6001,0)),"Ticket introuvable")</f>
        <v>AG-012</v>
      </c>
    </row>
    <row r="2130" spans="1:7" x14ac:dyDescent="0.35">
      <c r="A2130" s="6" t="s">
        <v>8291</v>
      </c>
      <c r="B2130" s="8" t="s">
        <v>4788</v>
      </c>
      <c r="C2130" s="7">
        <v>45972</v>
      </c>
      <c r="D2130" s="8">
        <v>4</v>
      </c>
      <c r="E2130" s="8">
        <v>8</v>
      </c>
      <c r="F2130" s="9" t="s">
        <v>75</v>
      </c>
      <c r="G2130" t="str">
        <f>IFERROR(INDEX(Ticket!$B$2:$B$6001,MATCH(B2130,Ticket!$A$2:$A$6001,0)),"Ticket introuvable")</f>
        <v>AG-034</v>
      </c>
    </row>
    <row r="2131" spans="1:7" x14ac:dyDescent="0.35">
      <c r="A2131" s="10" t="s">
        <v>8292</v>
      </c>
      <c r="B2131" s="12" t="s">
        <v>1966</v>
      </c>
      <c r="C2131" s="11">
        <v>45742</v>
      </c>
      <c r="D2131" s="12">
        <v>3</v>
      </c>
      <c r="E2131" s="12">
        <v>10</v>
      </c>
      <c r="F2131" s="13" t="s">
        <v>75</v>
      </c>
      <c r="G2131" t="str">
        <f>IFERROR(INDEX(Ticket!$B$2:$B$6001,MATCH(B2131,Ticket!$A$2:$A$6001,0)),"Ticket introuvable")</f>
        <v>AG-025</v>
      </c>
    </row>
    <row r="2132" spans="1:7" x14ac:dyDescent="0.35">
      <c r="A2132" s="6" t="s">
        <v>8293</v>
      </c>
      <c r="B2132" s="8" t="s">
        <v>2542</v>
      </c>
      <c r="C2132" s="7">
        <v>45756</v>
      </c>
      <c r="D2132" s="8">
        <v>2</v>
      </c>
      <c r="E2132" s="8"/>
      <c r="F2132" s="9" t="s">
        <v>8363</v>
      </c>
      <c r="G2132" t="str">
        <f>IFERROR(INDEX(Ticket!$B$2:$B$6001,MATCH(B2132,Ticket!$A$2:$A$6001,0)),"Ticket introuvable")</f>
        <v>AG-024</v>
      </c>
    </row>
    <row r="2133" spans="1:7" x14ac:dyDescent="0.35">
      <c r="A2133" s="10" t="s">
        <v>8294</v>
      </c>
      <c r="B2133" s="12" t="s">
        <v>6045</v>
      </c>
      <c r="C2133" s="11">
        <v>45718</v>
      </c>
      <c r="D2133" s="12">
        <v>5</v>
      </c>
      <c r="E2133" s="12">
        <v>10</v>
      </c>
      <c r="F2133" s="13" t="s">
        <v>75</v>
      </c>
      <c r="G2133" t="str">
        <f>IFERROR(INDEX(Ticket!$B$2:$B$6001,MATCH(B2133,Ticket!$A$2:$A$6001,0)),"Ticket introuvable")</f>
        <v>AG-028</v>
      </c>
    </row>
    <row r="2134" spans="1:7" x14ac:dyDescent="0.35">
      <c r="A2134" s="6" t="s">
        <v>8295</v>
      </c>
      <c r="B2134" s="8" t="s">
        <v>675</v>
      </c>
      <c r="C2134" s="7">
        <v>45663</v>
      </c>
      <c r="D2134" s="8">
        <v>3</v>
      </c>
      <c r="E2134" s="8">
        <v>9</v>
      </c>
      <c r="F2134" s="9" t="s">
        <v>6160</v>
      </c>
      <c r="G2134" t="str">
        <f>IFERROR(INDEX(Ticket!$B$2:$B$6001,MATCH(B2134,Ticket!$A$2:$A$6001,0)),"Ticket introuvable")</f>
        <v>AG-015</v>
      </c>
    </row>
    <row r="2135" spans="1:7" x14ac:dyDescent="0.35">
      <c r="A2135" s="10" t="s">
        <v>8296</v>
      </c>
      <c r="B2135" s="12" t="s">
        <v>2940</v>
      </c>
      <c r="C2135" s="11">
        <v>45820</v>
      </c>
      <c r="D2135" s="12">
        <v>1</v>
      </c>
      <c r="E2135" s="12"/>
      <c r="F2135" s="13" t="s">
        <v>8363</v>
      </c>
      <c r="G2135" t="str">
        <f>IFERROR(INDEX(Ticket!$B$2:$B$6001,MATCH(B2135,Ticket!$A$2:$A$6001,0)),"Ticket introuvable")</f>
        <v>AG-017</v>
      </c>
    </row>
    <row r="2136" spans="1:7" x14ac:dyDescent="0.35">
      <c r="A2136" s="6" t="s">
        <v>8297</v>
      </c>
      <c r="B2136" s="8" t="s">
        <v>1614</v>
      </c>
      <c r="C2136" s="7">
        <v>46008</v>
      </c>
      <c r="D2136" s="8">
        <v>2</v>
      </c>
      <c r="E2136" s="8">
        <v>0</v>
      </c>
      <c r="F2136" s="9" t="s">
        <v>6142</v>
      </c>
      <c r="G2136" t="str">
        <f>IFERROR(INDEX(Ticket!$B$2:$B$6001,MATCH(B2136,Ticket!$A$2:$A$6001,0)),"Ticket introuvable")</f>
        <v>AG-036</v>
      </c>
    </row>
    <row r="2137" spans="1:7" x14ac:dyDescent="0.35">
      <c r="A2137" s="10" t="s">
        <v>8298</v>
      </c>
      <c r="B2137" s="12" t="s">
        <v>1557</v>
      </c>
      <c r="C2137" s="11">
        <v>45745</v>
      </c>
      <c r="D2137" s="12">
        <v>2</v>
      </c>
      <c r="E2137" s="12">
        <v>8</v>
      </c>
      <c r="F2137" s="13" t="s">
        <v>8363</v>
      </c>
      <c r="G2137" t="str">
        <f>IFERROR(INDEX(Ticket!$B$2:$B$6001,MATCH(B2137,Ticket!$A$2:$A$6001,0)),"Ticket introuvable")</f>
        <v>AG-008</v>
      </c>
    </row>
    <row r="2138" spans="1:7" x14ac:dyDescent="0.35">
      <c r="A2138" s="6" t="s">
        <v>8299</v>
      </c>
      <c r="B2138" s="8" t="s">
        <v>1141</v>
      </c>
      <c r="C2138" s="7">
        <v>45698</v>
      </c>
      <c r="D2138" s="8">
        <v>2</v>
      </c>
      <c r="E2138" s="8"/>
      <c r="F2138" s="9" t="s">
        <v>8363</v>
      </c>
      <c r="G2138" t="str">
        <f>IFERROR(INDEX(Ticket!$B$2:$B$6001,MATCH(B2138,Ticket!$A$2:$A$6001,0)),"Ticket introuvable")</f>
        <v>AG-025</v>
      </c>
    </row>
    <row r="2139" spans="1:7" x14ac:dyDescent="0.35">
      <c r="A2139" s="10" t="s">
        <v>8300</v>
      </c>
      <c r="B2139" s="12" t="s">
        <v>879</v>
      </c>
      <c r="C2139" s="11">
        <v>45922</v>
      </c>
      <c r="D2139" s="12">
        <v>5</v>
      </c>
      <c r="E2139" s="12">
        <v>9</v>
      </c>
      <c r="F2139" s="13" t="s">
        <v>6153</v>
      </c>
      <c r="G2139" t="str">
        <f>IFERROR(INDEX(Ticket!$B$2:$B$6001,MATCH(B2139,Ticket!$A$2:$A$6001,0)),"Ticket introuvable")</f>
        <v>AG-023</v>
      </c>
    </row>
    <row r="2140" spans="1:7" x14ac:dyDescent="0.35">
      <c r="A2140" s="6" t="s">
        <v>8301</v>
      </c>
      <c r="B2140" s="8" t="s">
        <v>3708</v>
      </c>
      <c r="C2140" s="7">
        <v>45942</v>
      </c>
      <c r="D2140" s="8">
        <v>4</v>
      </c>
      <c r="E2140" s="8">
        <v>8</v>
      </c>
      <c r="F2140" s="9" t="s">
        <v>6160</v>
      </c>
      <c r="G2140" t="str">
        <f>IFERROR(INDEX(Ticket!$B$2:$B$6001,MATCH(B2140,Ticket!$A$2:$A$6001,0)),"Ticket introuvable")</f>
        <v>AG-038</v>
      </c>
    </row>
    <row r="2141" spans="1:7" x14ac:dyDescent="0.35">
      <c r="A2141" s="10" t="s">
        <v>8302</v>
      </c>
      <c r="B2141" s="12" t="s">
        <v>5485</v>
      </c>
      <c r="C2141" s="11">
        <v>45840</v>
      </c>
      <c r="D2141" s="12">
        <v>5</v>
      </c>
      <c r="E2141" s="12">
        <v>9</v>
      </c>
      <c r="F2141" s="13" t="s">
        <v>6142</v>
      </c>
      <c r="G2141" t="str">
        <f>IFERROR(INDEX(Ticket!$B$2:$B$6001,MATCH(B2141,Ticket!$A$2:$A$6001,0)),"Ticket introuvable")</f>
        <v>AG-008</v>
      </c>
    </row>
    <row r="2142" spans="1:7" x14ac:dyDescent="0.35">
      <c r="A2142" s="6" t="s">
        <v>8303</v>
      </c>
      <c r="B2142" s="8" t="s">
        <v>3353</v>
      </c>
      <c r="C2142" s="7">
        <v>45758</v>
      </c>
      <c r="D2142" s="8">
        <v>5</v>
      </c>
      <c r="E2142" s="8"/>
      <c r="F2142" s="9" t="s">
        <v>8363</v>
      </c>
      <c r="G2142" t="str">
        <f>IFERROR(INDEX(Ticket!$B$2:$B$6001,MATCH(B2142,Ticket!$A$2:$A$6001,0)),"Ticket introuvable")</f>
        <v>AG-036</v>
      </c>
    </row>
    <row r="2143" spans="1:7" x14ac:dyDescent="0.35">
      <c r="A2143" s="10" t="s">
        <v>8304</v>
      </c>
      <c r="B2143" s="12" t="s">
        <v>2498</v>
      </c>
      <c r="C2143" s="11">
        <v>45825</v>
      </c>
      <c r="D2143" s="12">
        <v>2</v>
      </c>
      <c r="E2143" s="12">
        <v>9</v>
      </c>
      <c r="F2143" s="13" t="s">
        <v>8363</v>
      </c>
      <c r="G2143" t="str">
        <f>IFERROR(INDEX(Ticket!$B$2:$B$6001,MATCH(B2143,Ticket!$A$2:$A$6001,0)),"Ticket introuvable")</f>
        <v>AG-010</v>
      </c>
    </row>
    <row r="2144" spans="1:7" x14ac:dyDescent="0.35">
      <c r="A2144" s="6" t="s">
        <v>8305</v>
      </c>
      <c r="B2144" s="8" t="s">
        <v>4916</v>
      </c>
      <c r="C2144" s="7">
        <v>45730</v>
      </c>
      <c r="D2144" s="8">
        <v>5</v>
      </c>
      <c r="E2144" s="8">
        <v>8</v>
      </c>
      <c r="F2144" s="9" t="s">
        <v>6148</v>
      </c>
      <c r="G2144" t="str">
        <f>IFERROR(INDEX(Ticket!$B$2:$B$6001,MATCH(B2144,Ticket!$A$2:$A$6001,0)),"Ticket introuvable")</f>
        <v>AG-014</v>
      </c>
    </row>
    <row r="2145" spans="1:7" x14ac:dyDescent="0.35">
      <c r="A2145" s="10" t="s">
        <v>8306</v>
      </c>
      <c r="B2145" s="12" t="s">
        <v>256</v>
      </c>
      <c r="C2145" s="11">
        <v>45783</v>
      </c>
      <c r="D2145" s="12">
        <v>1</v>
      </c>
      <c r="E2145" s="12">
        <v>8</v>
      </c>
      <c r="F2145" s="13" t="s">
        <v>6142</v>
      </c>
      <c r="G2145" t="str">
        <f>IFERROR(INDEX(Ticket!$B$2:$B$6001,MATCH(B2145,Ticket!$A$2:$A$6001,0)),"Ticket introuvable")</f>
        <v>AG-027</v>
      </c>
    </row>
    <row r="2146" spans="1:7" x14ac:dyDescent="0.35">
      <c r="A2146" s="6" t="s">
        <v>8307</v>
      </c>
      <c r="B2146" s="8" t="s">
        <v>4151</v>
      </c>
      <c r="C2146" s="7">
        <v>46004</v>
      </c>
      <c r="D2146" s="8">
        <v>4</v>
      </c>
      <c r="E2146" s="8">
        <v>10</v>
      </c>
      <c r="F2146" s="9" t="s">
        <v>6160</v>
      </c>
      <c r="G2146" t="str">
        <f>IFERROR(INDEX(Ticket!$B$2:$B$6001,MATCH(B2146,Ticket!$A$2:$A$6001,0)),"Ticket introuvable")</f>
        <v>AG-032</v>
      </c>
    </row>
    <row r="2147" spans="1:7" x14ac:dyDescent="0.35">
      <c r="A2147" s="10" t="s">
        <v>8308</v>
      </c>
      <c r="B2147" s="12" t="s">
        <v>1653</v>
      </c>
      <c r="C2147" s="11">
        <v>45748</v>
      </c>
      <c r="D2147" s="12">
        <v>1</v>
      </c>
      <c r="E2147" s="12"/>
      <c r="F2147" s="13" t="s">
        <v>6142</v>
      </c>
      <c r="G2147" t="str">
        <f>IFERROR(INDEX(Ticket!$B$2:$B$6001,MATCH(B2147,Ticket!$A$2:$A$6001,0)),"Ticket introuvable")</f>
        <v>AG-037</v>
      </c>
    </row>
    <row r="2148" spans="1:7" x14ac:dyDescent="0.35">
      <c r="A2148" s="6" t="s">
        <v>8309</v>
      </c>
      <c r="B2148" s="8" t="s">
        <v>5192</v>
      </c>
      <c r="C2148" s="7">
        <v>45751</v>
      </c>
      <c r="D2148" s="8">
        <v>5</v>
      </c>
      <c r="E2148" s="8"/>
      <c r="F2148" s="9" t="s">
        <v>6160</v>
      </c>
      <c r="G2148" t="str">
        <f>IFERROR(INDEX(Ticket!$B$2:$B$6001,MATCH(B2148,Ticket!$A$2:$A$6001,0)),"Ticket introuvable")</f>
        <v>AG-014</v>
      </c>
    </row>
    <row r="2149" spans="1:7" x14ac:dyDescent="0.35">
      <c r="A2149" s="10" t="s">
        <v>8310</v>
      </c>
      <c r="B2149" s="12" t="s">
        <v>1515</v>
      </c>
      <c r="C2149" s="11">
        <v>45724</v>
      </c>
      <c r="D2149" s="12">
        <v>5</v>
      </c>
      <c r="E2149" s="12">
        <v>9</v>
      </c>
      <c r="F2149" s="13" t="s">
        <v>6142</v>
      </c>
      <c r="G2149" t="str">
        <f>IFERROR(INDEX(Ticket!$B$2:$B$6001,MATCH(B2149,Ticket!$A$2:$A$6001,0)),"Ticket introuvable")</f>
        <v>AG-040</v>
      </c>
    </row>
    <row r="2150" spans="1:7" x14ac:dyDescent="0.35">
      <c r="A2150" s="6" t="s">
        <v>8311</v>
      </c>
      <c r="B2150" s="8" t="s">
        <v>4034</v>
      </c>
      <c r="C2150" s="7">
        <v>45751</v>
      </c>
      <c r="D2150" s="8">
        <v>4</v>
      </c>
      <c r="E2150" s="8">
        <v>9</v>
      </c>
      <c r="F2150" s="9" t="s">
        <v>75</v>
      </c>
      <c r="G2150" t="str">
        <f>IFERROR(INDEX(Ticket!$B$2:$B$6001,MATCH(B2150,Ticket!$A$2:$A$6001,0)),"Ticket introuvable")</f>
        <v>AG-031</v>
      </c>
    </row>
    <row r="2151" spans="1:7" x14ac:dyDescent="0.35">
      <c r="A2151" s="10" t="s">
        <v>8312</v>
      </c>
      <c r="B2151" s="12" t="s">
        <v>1241</v>
      </c>
      <c r="C2151" s="11">
        <v>45733</v>
      </c>
      <c r="D2151" s="12">
        <v>5</v>
      </c>
      <c r="E2151" s="12">
        <v>10</v>
      </c>
      <c r="F2151" s="13" t="s">
        <v>6160</v>
      </c>
      <c r="G2151" t="str">
        <f>IFERROR(INDEX(Ticket!$B$2:$B$6001,MATCH(B2151,Ticket!$A$2:$A$6001,0)),"Ticket introuvable")</f>
        <v>AG-028</v>
      </c>
    </row>
    <row r="2152" spans="1:7" x14ac:dyDescent="0.35">
      <c r="A2152" s="6" t="s">
        <v>8313</v>
      </c>
      <c r="B2152" s="8" t="s">
        <v>1910</v>
      </c>
      <c r="C2152" s="7">
        <v>45919</v>
      </c>
      <c r="D2152" s="8">
        <v>1</v>
      </c>
      <c r="E2152" s="8">
        <v>8</v>
      </c>
      <c r="F2152" s="9" t="s">
        <v>6142</v>
      </c>
      <c r="G2152" t="str">
        <f>IFERROR(INDEX(Ticket!$B$2:$B$6001,MATCH(B2152,Ticket!$A$2:$A$6001,0)),"Ticket introuvable")</f>
        <v>AG-040</v>
      </c>
    </row>
    <row r="2153" spans="1:7" x14ac:dyDescent="0.35">
      <c r="A2153" s="10" t="s">
        <v>8314</v>
      </c>
      <c r="B2153" s="12" t="s">
        <v>4950</v>
      </c>
      <c r="C2153" s="11">
        <v>45659</v>
      </c>
      <c r="D2153" s="12">
        <v>3</v>
      </c>
      <c r="E2153" s="12">
        <v>9</v>
      </c>
      <c r="F2153" s="13" t="s">
        <v>6160</v>
      </c>
      <c r="G2153" t="str">
        <f>IFERROR(INDEX(Ticket!$B$2:$B$6001,MATCH(B2153,Ticket!$A$2:$A$6001,0)),"Ticket introuvable")</f>
        <v>AG-035</v>
      </c>
    </row>
    <row r="2154" spans="1:7" x14ac:dyDescent="0.35">
      <c r="A2154" s="6" t="s">
        <v>8315</v>
      </c>
      <c r="B2154" s="8" t="s">
        <v>5406</v>
      </c>
      <c r="C2154" s="7">
        <v>45912</v>
      </c>
      <c r="D2154" s="8">
        <v>5</v>
      </c>
      <c r="E2154" s="8">
        <v>8</v>
      </c>
      <c r="F2154" s="9" t="s">
        <v>8363</v>
      </c>
      <c r="G2154" t="str">
        <f>IFERROR(INDEX(Ticket!$B$2:$B$6001,MATCH(B2154,Ticket!$A$2:$A$6001,0)),"Ticket introuvable")</f>
        <v>AG-018</v>
      </c>
    </row>
    <row r="2155" spans="1:7" x14ac:dyDescent="0.35">
      <c r="A2155" s="10" t="s">
        <v>8316</v>
      </c>
      <c r="B2155" s="12" t="s">
        <v>3450</v>
      </c>
      <c r="C2155" s="11">
        <v>45776</v>
      </c>
      <c r="D2155" s="12">
        <v>5</v>
      </c>
      <c r="E2155" s="12">
        <v>9</v>
      </c>
      <c r="F2155" s="13" t="s">
        <v>6148</v>
      </c>
      <c r="G2155" t="str">
        <f>IFERROR(INDEX(Ticket!$B$2:$B$6001,MATCH(B2155,Ticket!$A$2:$A$6001,0)),"Ticket introuvable")</f>
        <v>AG-019</v>
      </c>
    </row>
    <row r="2156" spans="1:7" x14ac:dyDescent="0.35">
      <c r="A2156" s="6" t="s">
        <v>8317</v>
      </c>
      <c r="B2156" s="8" t="s">
        <v>1285</v>
      </c>
      <c r="C2156" s="7">
        <v>45690</v>
      </c>
      <c r="D2156" s="8">
        <v>4</v>
      </c>
      <c r="E2156" s="8">
        <v>10</v>
      </c>
      <c r="F2156" s="9" t="s">
        <v>75</v>
      </c>
      <c r="G2156" t="str">
        <f>IFERROR(INDEX(Ticket!$B$2:$B$6001,MATCH(B2156,Ticket!$A$2:$A$6001,0)),"Ticket introuvable")</f>
        <v>AG-011</v>
      </c>
    </row>
    <row r="2157" spans="1:7" x14ac:dyDescent="0.35">
      <c r="A2157" s="10" t="s">
        <v>8318</v>
      </c>
      <c r="B2157" s="12" t="s">
        <v>4134</v>
      </c>
      <c r="C2157" s="11">
        <v>45996</v>
      </c>
      <c r="D2157" s="12">
        <v>3</v>
      </c>
      <c r="E2157" s="12">
        <v>2</v>
      </c>
      <c r="F2157" s="13" t="s">
        <v>6148</v>
      </c>
      <c r="G2157" t="str">
        <f>IFERROR(INDEX(Ticket!$B$2:$B$6001,MATCH(B2157,Ticket!$A$2:$A$6001,0)),"Ticket introuvable")</f>
        <v>AG-039</v>
      </c>
    </row>
    <row r="2158" spans="1:7" x14ac:dyDescent="0.35">
      <c r="A2158" s="6" t="s">
        <v>8319</v>
      </c>
      <c r="B2158" s="8" t="s">
        <v>3218</v>
      </c>
      <c r="C2158" s="7">
        <v>45770</v>
      </c>
      <c r="D2158" s="8">
        <v>5</v>
      </c>
      <c r="E2158" s="8">
        <v>8</v>
      </c>
      <c r="F2158" s="9" t="s">
        <v>6142</v>
      </c>
      <c r="G2158" t="str">
        <f>IFERROR(INDEX(Ticket!$B$2:$B$6001,MATCH(B2158,Ticket!$A$2:$A$6001,0)),"Ticket introuvable")</f>
        <v>AG-013</v>
      </c>
    </row>
    <row r="2159" spans="1:7" x14ac:dyDescent="0.35">
      <c r="A2159" s="10" t="s">
        <v>8320</v>
      </c>
      <c r="B2159" s="12" t="s">
        <v>2709</v>
      </c>
      <c r="C2159" s="11">
        <v>45888</v>
      </c>
      <c r="D2159" s="12">
        <v>5</v>
      </c>
      <c r="E2159" s="12">
        <v>9</v>
      </c>
      <c r="F2159" s="13" t="s">
        <v>8363</v>
      </c>
      <c r="G2159" t="str">
        <f>IFERROR(INDEX(Ticket!$B$2:$B$6001,MATCH(B2159,Ticket!$A$2:$A$6001,0)),"Ticket introuvable")</f>
        <v>AG-027</v>
      </c>
    </row>
    <row r="2160" spans="1:7" x14ac:dyDescent="0.35">
      <c r="A2160" s="6" t="s">
        <v>8321</v>
      </c>
      <c r="B2160" s="8" t="s">
        <v>1863</v>
      </c>
      <c r="C2160" s="7">
        <v>45872</v>
      </c>
      <c r="D2160" s="8">
        <v>5</v>
      </c>
      <c r="E2160" s="8">
        <v>9</v>
      </c>
      <c r="F2160" s="9" t="s">
        <v>6142</v>
      </c>
      <c r="G2160" t="str">
        <f>IFERROR(INDEX(Ticket!$B$2:$B$6001,MATCH(B2160,Ticket!$A$2:$A$6001,0)),"Ticket introuvable")</f>
        <v>AG-014</v>
      </c>
    </row>
    <row r="2161" spans="1:7" x14ac:dyDescent="0.35">
      <c r="A2161" s="10" t="s">
        <v>8322</v>
      </c>
      <c r="B2161" s="12" t="s">
        <v>6041</v>
      </c>
      <c r="C2161" s="11">
        <v>45971</v>
      </c>
      <c r="D2161" s="12">
        <v>4</v>
      </c>
      <c r="E2161" s="12">
        <v>9</v>
      </c>
      <c r="F2161" s="13" t="s">
        <v>6142</v>
      </c>
      <c r="G2161" t="str">
        <f>IFERROR(INDEX(Ticket!$B$2:$B$6001,MATCH(B2161,Ticket!$A$2:$A$6001,0)),"Ticket introuvable")</f>
        <v>AG-014</v>
      </c>
    </row>
    <row r="2162" spans="1:7" x14ac:dyDescent="0.35">
      <c r="A2162" s="6" t="s">
        <v>8323</v>
      </c>
      <c r="B2162" s="8" t="s">
        <v>1895</v>
      </c>
      <c r="C2162" s="7">
        <v>45753</v>
      </c>
      <c r="D2162" s="8">
        <v>2</v>
      </c>
      <c r="E2162" s="8">
        <v>8</v>
      </c>
      <c r="F2162" s="9" t="s">
        <v>6142</v>
      </c>
      <c r="G2162" t="str">
        <f>IFERROR(INDEX(Ticket!$B$2:$B$6001,MATCH(B2162,Ticket!$A$2:$A$6001,0)),"Ticket introuvable")</f>
        <v>AG-010</v>
      </c>
    </row>
    <row r="2163" spans="1:7" x14ac:dyDescent="0.35">
      <c r="A2163" s="10" t="s">
        <v>8324</v>
      </c>
      <c r="B2163" s="12" t="s">
        <v>317</v>
      </c>
      <c r="C2163" s="11">
        <v>45823</v>
      </c>
      <c r="D2163" s="12">
        <v>3</v>
      </c>
      <c r="E2163" s="12">
        <v>10</v>
      </c>
      <c r="F2163" s="13" t="s">
        <v>6153</v>
      </c>
      <c r="G2163" t="str">
        <f>IFERROR(INDEX(Ticket!$B$2:$B$6001,MATCH(B2163,Ticket!$A$2:$A$6001,0)),"Ticket introuvable")</f>
        <v>AG-033</v>
      </c>
    </row>
    <row r="2164" spans="1:7" x14ac:dyDescent="0.35">
      <c r="A2164" s="6" t="s">
        <v>8325</v>
      </c>
      <c r="B2164" s="8" t="s">
        <v>4013</v>
      </c>
      <c r="C2164" s="7">
        <v>46023</v>
      </c>
      <c r="D2164" s="8">
        <v>2</v>
      </c>
      <c r="E2164" s="8">
        <v>9</v>
      </c>
      <c r="F2164" s="9" t="s">
        <v>8363</v>
      </c>
      <c r="G2164" t="str">
        <f>IFERROR(INDEX(Ticket!$B$2:$B$6001,MATCH(B2164,Ticket!$A$2:$A$6001,0)),"Ticket introuvable")</f>
        <v>AG-023</v>
      </c>
    </row>
    <row r="2165" spans="1:7" x14ac:dyDescent="0.35">
      <c r="A2165" s="10" t="s">
        <v>8326</v>
      </c>
      <c r="B2165" s="12" t="s">
        <v>1716</v>
      </c>
      <c r="C2165" s="11">
        <v>45889</v>
      </c>
      <c r="D2165" s="12">
        <v>2</v>
      </c>
      <c r="E2165" s="12"/>
      <c r="F2165" s="13" t="s">
        <v>8363</v>
      </c>
      <c r="G2165" t="str">
        <f>IFERROR(INDEX(Ticket!$B$2:$B$6001,MATCH(B2165,Ticket!$A$2:$A$6001,0)),"Ticket introuvable")</f>
        <v>AG-037</v>
      </c>
    </row>
    <row r="2166" spans="1:7" x14ac:dyDescent="0.35">
      <c r="A2166" s="6" t="s">
        <v>8327</v>
      </c>
      <c r="B2166" s="8" t="s">
        <v>2953</v>
      </c>
      <c r="C2166" s="7">
        <v>45851</v>
      </c>
      <c r="D2166" s="8">
        <v>5</v>
      </c>
      <c r="E2166" s="8">
        <v>5</v>
      </c>
      <c r="F2166" s="9" t="s">
        <v>6160</v>
      </c>
      <c r="G2166" t="str">
        <f>IFERROR(INDEX(Ticket!$B$2:$B$6001,MATCH(B2166,Ticket!$A$2:$A$6001,0)),"Ticket introuvable")</f>
        <v>AG-039</v>
      </c>
    </row>
    <row r="2167" spans="1:7" x14ac:dyDescent="0.35">
      <c r="A2167" s="10" t="s">
        <v>8328</v>
      </c>
      <c r="B2167" s="12" t="s">
        <v>4895</v>
      </c>
      <c r="C2167" s="11">
        <v>45795</v>
      </c>
      <c r="D2167" s="12">
        <v>5</v>
      </c>
      <c r="E2167" s="12"/>
      <c r="F2167" s="13" t="s">
        <v>6142</v>
      </c>
      <c r="G2167" t="str">
        <f>IFERROR(INDEX(Ticket!$B$2:$B$6001,MATCH(B2167,Ticket!$A$2:$A$6001,0)),"Ticket introuvable")</f>
        <v>AG-020</v>
      </c>
    </row>
    <row r="2168" spans="1:7" x14ac:dyDescent="0.35">
      <c r="A2168" s="6" t="s">
        <v>8329</v>
      </c>
      <c r="B2168" s="8" t="s">
        <v>5032</v>
      </c>
      <c r="C2168" s="7">
        <v>45806</v>
      </c>
      <c r="D2168" s="8">
        <v>3</v>
      </c>
      <c r="E2168" s="8">
        <v>7</v>
      </c>
      <c r="F2168" s="9" t="s">
        <v>6148</v>
      </c>
      <c r="G2168" t="str">
        <f>IFERROR(INDEX(Ticket!$B$2:$B$6001,MATCH(B2168,Ticket!$A$2:$A$6001,0)),"Ticket introuvable")</f>
        <v>AG-016</v>
      </c>
    </row>
    <row r="2169" spans="1:7" x14ac:dyDescent="0.35">
      <c r="A2169" s="10" t="s">
        <v>8330</v>
      </c>
      <c r="B2169" s="12" t="s">
        <v>1772</v>
      </c>
      <c r="C2169" s="11">
        <v>45895</v>
      </c>
      <c r="D2169" s="12">
        <v>4</v>
      </c>
      <c r="E2169" s="12">
        <v>9</v>
      </c>
      <c r="F2169" s="13" t="s">
        <v>6142</v>
      </c>
      <c r="G2169" t="str">
        <f>IFERROR(INDEX(Ticket!$B$2:$B$6001,MATCH(B2169,Ticket!$A$2:$A$6001,0)),"Ticket introuvable")</f>
        <v>AG-040</v>
      </c>
    </row>
    <row r="2170" spans="1:7" x14ac:dyDescent="0.35">
      <c r="A2170" s="6" t="s">
        <v>8331</v>
      </c>
      <c r="B2170" s="8" t="s">
        <v>2297</v>
      </c>
      <c r="C2170" s="7">
        <v>45738</v>
      </c>
      <c r="D2170" s="8">
        <v>5</v>
      </c>
      <c r="E2170" s="8">
        <v>9</v>
      </c>
      <c r="F2170" s="9" t="s">
        <v>6142</v>
      </c>
      <c r="G2170" t="str">
        <f>IFERROR(INDEX(Ticket!$B$2:$B$6001,MATCH(B2170,Ticket!$A$2:$A$6001,0)),"Ticket introuvable")</f>
        <v>AG-032</v>
      </c>
    </row>
    <row r="2171" spans="1:7" x14ac:dyDescent="0.35">
      <c r="A2171" s="10" t="s">
        <v>8332</v>
      </c>
      <c r="B2171" s="12" t="s">
        <v>3999</v>
      </c>
      <c r="C2171" s="11">
        <v>45832</v>
      </c>
      <c r="D2171" s="12">
        <v>4</v>
      </c>
      <c r="E2171" s="12"/>
      <c r="F2171" s="13" t="s">
        <v>8363</v>
      </c>
      <c r="G2171" t="str">
        <f>IFERROR(INDEX(Ticket!$B$2:$B$6001,MATCH(B2171,Ticket!$A$2:$A$6001,0)),"Ticket introuvable")</f>
        <v>AG-035</v>
      </c>
    </row>
    <row r="2172" spans="1:7" x14ac:dyDescent="0.35">
      <c r="A2172" s="6" t="s">
        <v>8333</v>
      </c>
      <c r="B2172" s="8" t="s">
        <v>3183</v>
      </c>
      <c r="C2172" s="7">
        <v>45719</v>
      </c>
      <c r="D2172" s="8">
        <v>3</v>
      </c>
      <c r="E2172" s="8">
        <v>2</v>
      </c>
      <c r="F2172" s="9" t="s">
        <v>6160</v>
      </c>
      <c r="G2172" t="str">
        <f>IFERROR(INDEX(Ticket!$B$2:$B$6001,MATCH(B2172,Ticket!$A$2:$A$6001,0)),"Ticket introuvable")</f>
        <v>AG-018</v>
      </c>
    </row>
    <row r="2173" spans="1:7" x14ac:dyDescent="0.35">
      <c r="A2173" s="10" t="s">
        <v>8334</v>
      </c>
      <c r="B2173" s="12" t="s">
        <v>4776</v>
      </c>
      <c r="C2173" s="11">
        <v>45732</v>
      </c>
      <c r="D2173" s="12">
        <v>4</v>
      </c>
      <c r="E2173" s="12">
        <v>2</v>
      </c>
      <c r="F2173" s="13" t="s">
        <v>6153</v>
      </c>
      <c r="G2173" t="str">
        <f>IFERROR(INDEX(Ticket!$B$2:$B$6001,MATCH(B2173,Ticket!$A$2:$A$6001,0)),"Ticket introuvable")</f>
        <v>AG-023</v>
      </c>
    </row>
    <row r="2174" spans="1:7" x14ac:dyDescent="0.35">
      <c r="A2174" s="6" t="s">
        <v>8335</v>
      </c>
      <c r="B2174" s="8" t="s">
        <v>1464</v>
      </c>
      <c r="C2174" s="7">
        <v>45799</v>
      </c>
      <c r="D2174" s="8">
        <v>5</v>
      </c>
      <c r="E2174" s="8">
        <v>9</v>
      </c>
      <c r="F2174" s="9" t="s">
        <v>8363</v>
      </c>
      <c r="G2174" t="str">
        <f>IFERROR(INDEX(Ticket!$B$2:$B$6001,MATCH(B2174,Ticket!$A$2:$A$6001,0)),"Ticket introuvable")</f>
        <v>AG-035</v>
      </c>
    </row>
    <row r="2175" spans="1:7" x14ac:dyDescent="0.35">
      <c r="A2175" s="10" t="s">
        <v>8336</v>
      </c>
      <c r="B2175" s="12" t="s">
        <v>5550</v>
      </c>
      <c r="C2175" s="11">
        <v>46007</v>
      </c>
      <c r="D2175" s="12">
        <v>4</v>
      </c>
      <c r="E2175" s="12">
        <v>8</v>
      </c>
      <c r="F2175" s="13" t="s">
        <v>8363</v>
      </c>
      <c r="G2175" t="str">
        <f>IFERROR(INDEX(Ticket!$B$2:$B$6001,MATCH(B2175,Ticket!$A$2:$A$6001,0)),"Ticket introuvable")</f>
        <v>AG-038</v>
      </c>
    </row>
    <row r="2176" spans="1:7" x14ac:dyDescent="0.35">
      <c r="A2176" s="6" t="s">
        <v>8337</v>
      </c>
      <c r="B2176" s="8" t="s">
        <v>3648</v>
      </c>
      <c r="C2176" s="7">
        <v>45773</v>
      </c>
      <c r="D2176" s="8">
        <v>5</v>
      </c>
      <c r="E2176" s="8">
        <v>9</v>
      </c>
      <c r="F2176" s="9" t="s">
        <v>6148</v>
      </c>
      <c r="G2176" t="str">
        <f>IFERROR(INDEX(Ticket!$B$2:$B$6001,MATCH(B2176,Ticket!$A$2:$A$6001,0)),"Ticket introuvable")</f>
        <v>AG-020</v>
      </c>
    </row>
    <row r="2177" spans="1:7" x14ac:dyDescent="0.35">
      <c r="A2177" s="10" t="s">
        <v>8338</v>
      </c>
      <c r="B2177" s="12" t="s">
        <v>1973</v>
      </c>
      <c r="C2177" s="11">
        <v>45957</v>
      </c>
      <c r="D2177" s="12">
        <v>5</v>
      </c>
      <c r="E2177" s="12">
        <v>6</v>
      </c>
      <c r="F2177" s="13" t="s">
        <v>6142</v>
      </c>
      <c r="G2177" t="str">
        <f>IFERROR(INDEX(Ticket!$B$2:$B$6001,MATCH(B2177,Ticket!$A$2:$A$6001,0)),"Ticket introuvable")</f>
        <v>AG-019</v>
      </c>
    </row>
    <row r="2178" spans="1:7" x14ac:dyDescent="0.35">
      <c r="A2178" s="6" t="s">
        <v>8339</v>
      </c>
      <c r="B2178" s="8" t="s">
        <v>3171</v>
      </c>
      <c r="C2178" s="7">
        <v>45734</v>
      </c>
      <c r="D2178" s="8">
        <v>2</v>
      </c>
      <c r="E2178" s="8">
        <v>9</v>
      </c>
      <c r="F2178" s="9" t="s">
        <v>8363</v>
      </c>
      <c r="G2178" t="str">
        <f>IFERROR(INDEX(Ticket!$B$2:$B$6001,MATCH(B2178,Ticket!$A$2:$A$6001,0)),"Ticket introuvable")</f>
        <v>AG-007</v>
      </c>
    </row>
    <row r="2179" spans="1:7" x14ac:dyDescent="0.35">
      <c r="A2179" s="10" t="s">
        <v>8340</v>
      </c>
      <c r="B2179" s="12" t="s">
        <v>3667</v>
      </c>
      <c r="C2179" s="11">
        <v>45842</v>
      </c>
      <c r="D2179" s="12">
        <v>5</v>
      </c>
      <c r="E2179" s="12">
        <v>8</v>
      </c>
      <c r="F2179" s="13" t="s">
        <v>6160</v>
      </c>
      <c r="G2179" t="str">
        <f>IFERROR(INDEX(Ticket!$B$2:$B$6001,MATCH(B2179,Ticket!$A$2:$A$6001,0)),"Ticket introuvable")</f>
        <v>AG-007</v>
      </c>
    </row>
    <row r="2180" spans="1:7" x14ac:dyDescent="0.35">
      <c r="A2180" s="6" t="s">
        <v>8341</v>
      </c>
      <c r="B2180" s="8" t="s">
        <v>903</v>
      </c>
      <c r="C2180" s="7">
        <v>45847</v>
      </c>
      <c r="D2180" s="8">
        <v>2</v>
      </c>
      <c r="E2180" s="8">
        <v>8</v>
      </c>
      <c r="F2180" s="9" t="s">
        <v>6148</v>
      </c>
      <c r="G2180" t="str">
        <f>IFERROR(INDEX(Ticket!$B$2:$B$6001,MATCH(B2180,Ticket!$A$2:$A$6001,0)),"Ticket introuvable")</f>
        <v>AG-008</v>
      </c>
    </row>
    <row r="2181" spans="1:7" x14ac:dyDescent="0.35">
      <c r="A2181" s="10" t="s">
        <v>8342</v>
      </c>
      <c r="B2181" s="12" t="s">
        <v>3259</v>
      </c>
      <c r="C2181" s="11">
        <v>45809</v>
      </c>
      <c r="D2181" s="12">
        <v>4</v>
      </c>
      <c r="E2181" s="12">
        <v>7</v>
      </c>
      <c r="F2181" s="13" t="s">
        <v>8363</v>
      </c>
      <c r="G2181" t="str">
        <f>IFERROR(INDEX(Ticket!$B$2:$B$6001,MATCH(B2181,Ticket!$A$2:$A$6001,0)),"Ticket introuvable")</f>
        <v>AG-033</v>
      </c>
    </row>
    <row r="2182" spans="1:7" x14ac:dyDescent="0.35">
      <c r="A2182" s="6" t="s">
        <v>8343</v>
      </c>
      <c r="B2182" s="8" t="s">
        <v>4901</v>
      </c>
      <c r="C2182" s="7">
        <v>45973</v>
      </c>
      <c r="D2182" s="8">
        <v>4</v>
      </c>
      <c r="E2182" s="8">
        <v>9</v>
      </c>
      <c r="F2182" s="9" t="s">
        <v>6153</v>
      </c>
      <c r="G2182" t="str">
        <f>IFERROR(INDEX(Ticket!$B$2:$B$6001,MATCH(B2182,Ticket!$A$2:$A$6001,0)),"Ticket introuvable")</f>
        <v>AG-016</v>
      </c>
    </row>
    <row r="2183" spans="1:7" x14ac:dyDescent="0.35">
      <c r="A2183" s="10" t="s">
        <v>8344</v>
      </c>
      <c r="B2183" s="12" t="s">
        <v>1350</v>
      </c>
      <c r="C2183" s="11">
        <v>45982</v>
      </c>
      <c r="D2183" s="12">
        <v>3</v>
      </c>
      <c r="E2183" s="12">
        <v>2</v>
      </c>
      <c r="F2183" s="13" t="s">
        <v>6142</v>
      </c>
      <c r="G2183" t="str">
        <f>IFERROR(INDEX(Ticket!$B$2:$B$6001,MATCH(B2183,Ticket!$A$2:$A$6001,0)),"Ticket introuvable")</f>
        <v>AG-020</v>
      </c>
    </row>
    <row r="2184" spans="1:7" x14ac:dyDescent="0.35">
      <c r="A2184" s="6" t="s">
        <v>8345</v>
      </c>
      <c r="B2184" s="8" t="s">
        <v>910</v>
      </c>
      <c r="C2184" s="7">
        <v>45727</v>
      </c>
      <c r="D2184" s="8">
        <v>5</v>
      </c>
      <c r="E2184" s="8">
        <v>8</v>
      </c>
      <c r="F2184" s="9" t="s">
        <v>6142</v>
      </c>
      <c r="G2184" t="str">
        <f>IFERROR(INDEX(Ticket!$B$2:$B$6001,MATCH(B2184,Ticket!$A$2:$A$6001,0)),"Ticket introuvable")</f>
        <v>AG-026</v>
      </c>
    </row>
    <row r="2185" spans="1:7" x14ac:dyDescent="0.35">
      <c r="A2185" s="10" t="s">
        <v>8346</v>
      </c>
      <c r="B2185" s="12" t="s">
        <v>3040</v>
      </c>
      <c r="C2185" s="11">
        <v>45953</v>
      </c>
      <c r="D2185" s="12">
        <v>3</v>
      </c>
      <c r="E2185" s="12">
        <v>9</v>
      </c>
      <c r="F2185" s="13" t="s">
        <v>6160</v>
      </c>
      <c r="G2185" t="str">
        <f>IFERROR(INDEX(Ticket!$B$2:$B$6001,MATCH(B2185,Ticket!$A$2:$A$6001,0)),"Ticket introuvable")</f>
        <v>AG-012</v>
      </c>
    </row>
    <row r="2186" spans="1:7" x14ac:dyDescent="0.35">
      <c r="A2186" s="6" t="s">
        <v>8347</v>
      </c>
      <c r="B2186" s="8" t="s">
        <v>733</v>
      </c>
      <c r="C2186" s="7">
        <v>45968</v>
      </c>
      <c r="D2186" s="8">
        <v>2</v>
      </c>
      <c r="E2186" s="8">
        <v>7</v>
      </c>
      <c r="F2186" s="9" t="s">
        <v>6142</v>
      </c>
      <c r="G2186" t="str">
        <f>IFERROR(INDEX(Ticket!$B$2:$B$6001,MATCH(B2186,Ticket!$A$2:$A$6001,0)),"Ticket introuvable")</f>
        <v>AG-005</v>
      </c>
    </row>
    <row r="2187" spans="1:7" x14ac:dyDescent="0.35">
      <c r="A2187" s="10" t="s">
        <v>8348</v>
      </c>
      <c r="B2187" s="12" t="s">
        <v>2708</v>
      </c>
      <c r="C2187" s="11">
        <v>45705</v>
      </c>
      <c r="D2187" s="12">
        <v>5</v>
      </c>
      <c r="E2187" s="12">
        <v>3</v>
      </c>
      <c r="F2187" s="13" t="s">
        <v>8363</v>
      </c>
      <c r="G2187" t="str">
        <f>IFERROR(INDEX(Ticket!$B$2:$B$6001,MATCH(B2187,Ticket!$A$2:$A$6001,0)),"Ticket introuvable")</f>
        <v>AG-021</v>
      </c>
    </row>
    <row r="2188" spans="1:7" x14ac:dyDescent="0.35">
      <c r="A2188" s="6" t="s">
        <v>8349</v>
      </c>
      <c r="B2188" s="8" t="s">
        <v>5294</v>
      </c>
      <c r="C2188" s="7">
        <v>45773</v>
      </c>
      <c r="D2188" s="8">
        <v>5</v>
      </c>
      <c r="E2188" s="8">
        <v>10</v>
      </c>
      <c r="F2188" s="9" t="s">
        <v>8363</v>
      </c>
      <c r="G2188" t="str">
        <f>IFERROR(INDEX(Ticket!$B$2:$B$6001,MATCH(B2188,Ticket!$A$2:$A$6001,0)),"Ticket introuvable")</f>
        <v>AG-014</v>
      </c>
    </row>
    <row r="2189" spans="1:7" x14ac:dyDescent="0.35">
      <c r="A2189" s="10" t="s">
        <v>8350</v>
      </c>
      <c r="B2189" s="12" t="s">
        <v>2664</v>
      </c>
      <c r="C2189" s="11">
        <v>46017</v>
      </c>
      <c r="D2189" s="12">
        <v>5</v>
      </c>
      <c r="E2189" s="12">
        <v>10</v>
      </c>
      <c r="F2189" s="13" t="s">
        <v>75</v>
      </c>
      <c r="G2189" t="str">
        <f>IFERROR(INDEX(Ticket!$B$2:$B$6001,MATCH(B2189,Ticket!$A$2:$A$6001,0)),"Ticket introuvable")</f>
        <v>AG-008</v>
      </c>
    </row>
    <row r="2190" spans="1:7" x14ac:dyDescent="0.35">
      <c r="A2190" s="6" t="s">
        <v>8351</v>
      </c>
      <c r="B2190" s="8" t="s">
        <v>2116</v>
      </c>
      <c r="C2190" s="7">
        <v>45844</v>
      </c>
      <c r="D2190" s="8">
        <v>2</v>
      </c>
      <c r="E2190" s="8">
        <v>7</v>
      </c>
      <c r="F2190" s="9" t="s">
        <v>6142</v>
      </c>
      <c r="G2190" t="str">
        <f>IFERROR(INDEX(Ticket!$B$2:$B$6001,MATCH(B2190,Ticket!$A$2:$A$6001,0)),"Ticket introuvable")</f>
        <v>AG-040</v>
      </c>
    </row>
    <row r="2191" spans="1:7" x14ac:dyDescent="0.35">
      <c r="A2191" s="10" t="s">
        <v>8352</v>
      </c>
      <c r="B2191" s="12" t="s">
        <v>1641</v>
      </c>
      <c r="C2191" s="11">
        <v>45793</v>
      </c>
      <c r="D2191" s="12">
        <v>5</v>
      </c>
      <c r="E2191" s="12">
        <v>0</v>
      </c>
      <c r="F2191" s="13" t="s">
        <v>6148</v>
      </c>
      <c r="G2191" t="str">
        <f>IFERROR(INDEX(Ticket!$B$2:$B$6001,MATCH(B2191,Ticket!$A$2:$A$6001,0)),"Ticket introuvable")</f>
        <v>AG-003</v>
      </c>
    </row>
    <row r="2192" spans="1:7" x14ac:dyDescent="0.35">
      <c r="A2192" s="6" t="s">
        <v>8353</v>
      </c>
      <c r="B2192" s="8" t="s">
        <v>4581</v>
      </c>
      <c r="C2192" s="7">
        <v>45760</v>
      </c>
      <c r="D2192" s="8">
        <v>5</v>
      </c>
      <c r="E2192" s="8"/>
      <c r="F2192" s="9" t="s">
        <v>8363</v>
      </c>
      <c r="G2192" t="str">
        <f>IFERROR(INDEX(Ticket!$B$2:$B$6001,MATCH(B2192,Ticket!$A$2:$A$6001,0)),"Ticket introuvable")</f>
        <v>AG-015</v>
      </c>
    </row>
    <row r="2193" spans="1:7" x14ac:dyDescent="0.35">
      <c r="A2193" s="10" t="s">
        <v>8354</v>
      </c>
      <c r="B2193" s="12" t="s">
        <v>509</v>
      </c>
      <c r="C2193" s="11">
        <v>45776</v>
      </c>
      <c r="D2193" s="12">
        <v>2</v>
      </c>
      <c r="E2193" s="12">
        <v>10</v>
      </c>
      <c r="F2193" s="13" t="s">
        <v>6160</v>
      </c>
      <c r="G2193" t="str">
        <f>IFERROR(INDEX(Ticket!$B$2:$B$6001,MATCH(B2193,Ticket!$A$2:$A$6001,0)),"Ticket introuvable")</f>
        <v>AG-034</v>
      </c>
    </row>
    <row r="2194" spans="1:7" x14ac:dyDescent="0.35">
      <c r="A2194" s="6" t="s">
        <v>8355</v>
      </c>
      <c r="B2194" s="8" t="s">
        <v>5136</v>
      </c>
      <c r="C2194" s="7">
        <v>45862</v>
      </c>
      <c r="D2194" s="8">
        <v>4</v>
      </c>
      <c r="E2194" s="8">
        <v>9</v>
      </c>
      <c r="F2194" s="9" t="s">
        <v>6142</v>
      </c>
      <c r="G2194" t="str">
        <f>IFERROR(INDEX(Ticket!$B$2:$B$6001,MATCH(B2194,Ticket!$A$2:$A$6001,0)),"Ticket introuvable")</f>
        <v>AG-005</v>
      </c>
    </row>
    <row r="2195" spans="1:7" x14ac:dyDescent="0.35">
      <c r="A2195" s="10" t="s">
        <v>8356</v>
      </c>
      <c r="B2195" s="12" t="s">
        <v>5665</v>
      </c>
      <c r="C2195" s="11">
        <v>45952</v>
      </c>
      <c r="D2195" s="12">
        <v>3</v>
      </c>
      <c r="E2195" s="12">
        <v>5</v>
      </c>
      <c r="F2195" s="13" t="s">
        <v>6142</v>
      </c>
      <c r="G2195" t="str">
        <f>IFERROR(INDEX(Ticket!$B$2:$B$6001,MATCH(B2195,Ticket!$A$2:$A$6001,0)),"Ticket introuvable")</f>
        <v>AG-038</v>
      </c>
    </row>
    <row r="2196" spans="1:7" x14ac:dyDescent="0.35">
      <c r="A2196" s="6" t="s">
        <v>8357</v>
      </c>
      <c r="B2196" s="8" t="s">
        <v>5794</v>
      </c>
      <c r="C2196" s="7">
        <v>45726</v>
      </c>
      <c r="D2196" s="8">
        <v>2</v>
      </c>
      <c r="E2196" s="8">
        <v>10</v>
      </c>
      <c r="F2196" s="9" t="s">
        <v>6160</v>
      </c>
      <c r="G2196" t="str">
        <f>IFERROR(INDEX(Ticket!$B$2:$B$6001,MATCH(B2196,Ticket!$A$2:$A$6001,0)),"Ticket introuvable")</f>
        <v>AG-021</v>
      </c>
    </row>
    <row r="2197" spans="1:7" x14ac:dyDescent="0.35">
      <c r="A2197" s="10" t="s">
        <v>8358</v>
      </c>
      <c r="B2197" s="12" t="s">
        <v>2767</v>
      </c>
      <c r="C2197" s="11">
        <v>45763</v>
      </c>
      <c r="D2197" s="12">
        <v>5</v>
      </c>
      <c r="E2197" s="12">
        <v>9</v>
      </c>
      <c r="F2197" s="13" t="s">
        <v>8363</v>
      </c>
      <c r="G2197" t="str">
        <f>IFERROR(INDEX(Ticket!$B$2:$B$6001,MATCH(B2197,Ticket!$A$2:$A$6001,0)),"Ticket introuvable")</f>
        <v>AG-019</v>
      </c>
    </row>
    <row r="2198" spans="1:7" x14ac:dyDescent="0.35">
      <c r="A2198" s="6" t="s">
        <v>8359</v>
      </c>
      <c r="B2198" s="8" t="s">
        <v>3004</v>
      </c>
      <c r="C2198" s="7">
        <v>45698</v>
      </c>
      <c r="D2198" s="8">
        <v>5</v>
      </c>
      <c r="E2198" s="8">
        <v>3</v>
      </c>
      <c r="F2198" s="9" t="s">
        <v>75</v>
      </c>
      <c r="G2198" t="str">
        <f>IFERROR(INDEX(Ticket!$B$2:$B$6001,MATCH(B2198,Ticket!$A$2:$A$6001,0)),"Ticket introuvable")</f>
        <v>AG-035</v>
      </c>
    </row>
    <row r="2199" spans="1:7" x14ac:dyDescent="0.35">
      <c r="A2199" s="10" t="s">
        <v>8360</v>
      </c>
      <c r="B2199" s="12" t="s">
        <v>116</v>
      </c>
      <c r="C2199" s="11">
        <v>45813</v>
      </c>
      <c r="D2199" s="12">
        <v>5</v>
      </c>
      <c r="E2199" s="12">
        <v>5</v>
      </c>
      <c r="F2199" s="13" t="s">
        <v>8363</v>
      </c>
      <c r="G2199" t="str">
        <f>IFERROR(INDEX(Ticket!$B$2:$B$6001,MATCH(B2199,Ticket!$A$2:$A$6001,0)),"Ticket introuvable")</f>
        <v>AG-038</v>
      </c>
    </row>
    <row r="2200" spans="1:7" x14ac:dyDescent="0.35">
      <c r="A2200" s="6" t="s">
        <v>8361</v>
      </c>
      <c r="B2200" s="8" t="s">
        <v>3787</v>
      </c>
      <c r="C2200" s="7">
        <v>45699</v>
      </c>
      <c r="D2200" s="8">
        <v>4</v>
      </c>
      <c r="E2200" s="8">
        <v>9</v>
      </c>
      <c r="F2200" s="9" t="s">
        <v>8363</v>
      </c>
      <c r="G2200" t="str">
        <f>IFERROR(INDEX(Ticket!$B$2:$B$6001,MATCH(B2200,Ticket!$A$2:$A$6001,0)),"Ticket introuvable")</f>
        <v>AG-007</v>
      </c>
    </row>
    <row r="2201" spans="1:7" x14ac:dyDescent="0.35">
      <c r="A2201" s="14" t="s">
        <v>8362</v>
      </c>
      <c r="B2201" s="1" t="s">
        <v>1648</v>
      </c>
      <c r="C2201" s="15">
        <v>45970</v>
      </c>
      <c r="D2201" s="1">
        <v>1</v>
      </c>
      <c r="E2201" s="1">
        <v>10</v>
      </c>
      <c r="F2201" s="2" t="s">
        <v>6148</v>
      </c>
      <c r="G2201" t="str">
        <f>IFERROR(INDEX(Ticket!$B$2:$B$6001,MATCH(B2201,Ticket!$A$2:$A$6001,0)),"Ticket introuvable")</f>
        <v>AG-010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3D637-D405-49E5-917C-76F74486A895}">
  <dimension ref="A1:N6001"/>
  <sheetViews>
    <sheetView workbookViewId="0">
      <selection activeCell="L2" sqref="L2"/>
    </sheetView>
  </sheetViews>
  <sheetFormatPr baseColWidth="10" defaultRowHeight="14.5" x14ac:dyDescent="0.35"/>
  <cols>
    <col min="1" max="1" width="15.08984375" bestFit="1" customWidth="1"/>
    <col min="2" max="2" width="10.81640625" bestFit="1" customWidth="1"/>
    <col min="3" max="3" width="9.1796875" bestFit="1" customWidth="1"/>
    <col min="4" max="4" width="16.7265625" bestFit="1" customWidth="1"/>
    <col min="5" max="5" width="14.36328125" bestFit="1" customWidth="1"/>
    <col min="6" max="6" width="21.08984375" bestFit="1" customWidth="1"/>
    <col min="7" max="7" width="12.81640625" bestFit="1" customWidth="1"/>
    <col min="8" max="8" width="19.26953125" bestFit="1" customWidth="1"/>
    <col min="9" max="9" width="13.1796875" bestFit="1" customWidth="1"/>
    <col min="10" max="10" width="14.36328125" bestFit="1" customWidth="1"/>
    <col min="11" max="11" width="18.7265625" bestFit="1" customWidth="1"/>
    <col min="12" max="12" width="17.81640625" bestFit="1" customWidth="1"/>
    <col min="13" max="13" width="20.7265625" bestFit="1" customWidth="1"/>
  </cols>
  <sheetData>
    <row r="1" spans="1:14" x14ac:dyDescent="0.35">
      <c r="A1" s="3" t="s">
        <v>0</v>
      </c>
      <c r="B1" s="17" t="s">
        <v>10</v>
      </c>
      <c r="C1" s="17" t="s">
        <v>8369</v>
      </c>
      <c r="D1" s="17" t="s">
        <v>1</v>
      </c>
      <c r="E1" s="17" t="s">
        <v>2</v>
      </c>
      <c r="F1" s="17" t="s">
        <v>3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8" t="s">
        <v>11</v>
      </c>
      <c r="N1" s="31" t="s">
        <v>8390</v>
      </c>
    </row>
    <row r="2" spans="1:14" x14ac:dyDescent="0.35">
      <c r="A2" s="6" t="s">
        <v>12</v>
      </c>
      <c r="B2" s="19" t="s">
        <v>18</v>
      </c>
      <c r="C2" s="19">
        <v>5</v>
      </c>
      <c r="D2" s="20">
        <v>45808</v>
      </c>
      <c r="E2" s="19" t="s">
        <v>13</v>
      </c>
      <c r="F2" s="19" t="s">
        <v>14</v>
      </c>
      <c r="G2" s="19" t="s">
        <v>15</v>
      </c>
      <c r="H2" s="19" t="s">
        <v>16</v>
      </c>
      <c r="I2" s="19">
        <v>24</v>
      </c>
      <c r="J2" s="19">
        <v>1</v>
      </c>
      <c r="K2" s="19">
        <v>5</v>
      </c>
      <c r="L2" s="19" t="s">
        <v>17</v>
      </c>
      <c r="M2" s="21">
        <v>8</v>
      </c>
      <c r="N2">
        <f>IF(M2 &lt;= I2, 1, 0)</f>
        <v>1</v>
      </c>
    </row>
    <row r="3" spans="1:14" x14ac:dyDescent="0.35">
      <c r="A3" s="22" t="s">
        <v>42</v>
      </c>
      <c r="B3" s="23" t="s">
        <v>45</v>
      </c>
      <c r="C3" s="23">
        <v>5</v>
      </c>
      <c r="D3" s="24">
        <v>45803</v>
      </c>
      <c r="E3" s="23" t="s">
        <v>13</v>
      </c>
      <c r="F3" s="23" t="s">
        <v>43</v>
      </c>
      <c r="G3" s="23" t="s">
        <v>21</v>
      </c>
      <c r="H3" s="23" t="s">
        <v>28</v>
      </c>
      <c r="I3" s="23">
        <v>72</v>
      </c>
      <c r="J3" s="23">
        <v>2</v>
      </c>
      <c r="K3" s="23">
        <v>4</v>
      </c>
      <c r="L3" s="23" t="s">
        <v>44</v>
      </c>
      <c r="M3" s="25">
        <v>4.0999999999999996</v>
      </c>
      <c r="N3">
        <f t="shared" ref="N3:N66" si="0">IF(M3 &lt;= I3, 1, 0)</f>
        <v>1</v>
      </c>
    </row>
    <row r="4" spans="1:14" x14ac:dyDescent="0.35">
      <c r="A4" s="6" t="s">
        <v>48</v>
      </c>
      <c r="B4" s="19" t="s">
        <v>49</v>
      </c>
      <c r="C4" s="19">
        <v>5</v>
      </c>
      <c r="D4" s="20">
        <v>45801</v>
      </c>
      <c r="E4" s="19" t="s">
        <v>13</v>
      </c>
      <c r="F4" s="19" t="s">
        <v>43</v>
      </c>
      <c r="G4" s="19" t="s">
        <v>8364</v>
      </c>
      <c r="H4" s="19" t="s">
        <v>32</v>
      </c>
      <c r="I4" s="19">
        <v>4</v>
      </c>
      <c r="J4" s="19">
        <v>0</v>
      </c>
      <c r="K4" s="19">
        <v>3</v>
      </c>
      <c r="L4" s="19" t="s">
        <v>33</v>
      </c>
      <c r="M4" s="21">
        <v>4.8</v>
      </c>
      <c r="N4">
        <f t="shared" si="0"/>
        <v>0</v>
      </c>
    </row>
    <row r="5" spans="1:14" x14ac:dyDescent="0.35">
      <c r="A5" s="22" t="s">
        <v>56</v>
      </c>
      <c r="B5" s="23" t="s">
        <v>57</v>
      </c>
      <c r="C5" s="23">
        <v>5</v>
      </c>
      <c r="D5" s="24">
        <v>45800</v>
      </c>
      <c r="E5" s="23" t="s">
        <v>20</v>
      </c>
      <c r="F5" s="23" t="s">
        <v>26</v>
      </c>
      <c r="G5" s="23" t="s">
        <v>8364</v>
      </c>
      <c r="H5" s="23" t="s">
        <v>32</v>
      </c>
      <c r="I5" s="23">
        <v>72</v>
      </c>
      <c r="J5" s="23">
        <v>0</v>
      </c>
      <c r="K5" s="23">
        <v>5</v>
      </c>
      <c r="L5" s="23" t="s">
        <v>44</v>
      </c>
      <c r="M5" s="25">
        <v>14.5</v>
      </c>
      <c r="N5">
        <f t="shared" si="0"/>
        <v>1</v>
      </c>
    </row>
    <row r="6" spans="1:14" x14ac:dyDescent="0.35">
      <c r="A6" s="6" t="s">
        <v>19</v>
      </c>
      <c r="B6" s="19" t="s">
        <v>23</v>
      </c>
      <c r="C6" s="19"/>
      <c r="D6" s="20"/>
      <c r="E6" s="19" t="s">
        <v>20</v>
      </c>
      <c r="F6" s="19" t="s">
        <v>8364</v>
      </c>
      <c r="G6" s="19" t="s">
        <v>21</v>
      </c>
      <c r="H6" s="19" t="s">
        <v>22</v>
      </c>
      <c r="I6" s="19">
        <v>48</v>
      </c>
      <c r="J6" s="19">
        <v>0</v>
      </c>
      <c r="K6" s="19">
        <v>5</v>
      </c>
      <c r="L6" s="19" t="s">
        <v>17</v>
      </c>
      <c r="M6" s="21">
        <v>19</v>
      </c>
      <c r="N6">
        <f t="shared" si="0"/>
        <v>1</v>
      </c>
    </row>
    <row r="7" spans="1:14" x14ac:dyDescent="0.35">
      <c r="A7" s="22" t="s">
        <v>24</v>
      </c>
      <c r="B7" s="23" t="s">
        <v>29</v>
      </c>
      <c r="C7" s="23"/>
      <c r="D7" s="24"/>
      <c r="E7" s="23" t="s">
        <v>25</v>
      </c>
      <c r="F7" s="23" t="s">
        <v>26</v>
      </c>
      <c r="G7" s="23" t="s">
        <v>27</v>
      </c>
      <c r="H7" s="23" t="s">
        <v>28</v>
      </c>
      <c r="I7" s="23">
        <v>24</v>
      </c>
      <c r="J7" s="23">
        <v>2</v>
      </c>
      <c r="K7" s="23">
        <v>5</v>
      </c>
      <c r="L7" s="23" t="s">
        <v>8363</v>
      </c>
      <c r="M7" s="25">
        <v>5.5</v>
      </c>
      <c r="N7">
        <f t="shared" si="0"/>
        <v>1</v>
      </c>
    </row>
    <row r="8" spans="1:14" x14ac:dyDescent="0.35">
      <c r="A8" s="6" t="s">
        <v>52</v>
      </c>
      <c r="B8" s="19" t="s">
        <v>53</v>
      </c>
      <c r="C8" s="19"/>
      <c r="D8" s="20"/>
      <c r="E8" s="19" t="s">
        <v>13</v>
      </c>
      <c r="F8" s="19" t="s">
        <v>40</v>
      </c>
      <c r="G8" s="19" t="s">
        <v>31</v>
      </c>
      <c r="H8" s="19" t="s">
        <v>22</v>
      </c>
      <c r="I8" s="19">
        <v>48</v>
      </c>
      <c r="J8" s="19">
        <v>0</v>
      </c>
      <c r="K8" s="19">
        <v>4</v>
      </c>
      <c r="L8" s="19" t="s">
        <v>33</v>
      </c>
      <c r="M8" s="21">
        <v>8.3000000000000007</v>
      </c>
      <c r="N8">
        <f t="shared" si="0"/>
        <v>1</v>
      </c>
    </row>
    <row r="9" spans="1:14" x14ac:dyDescent="0.35">
      <c r="A9" s="22" t="s">
        <v>30</v>
      </c>
      <c r="B9" s="23" t="s">
        <v>34</v>
      </c>
      <c r="C9" s="23">
        <v>7</v>
      </c>
      <c r="D9" s="24">
        <v>45844</v>
      </c>
      <c r="E9" s="23" t="s">
        <v>13</v>
      </c>
      <c r="F9" s="23" t="s">
        <v>14</v>
      </c>
      <c r="G9" s="23" t="s">
        <v>31</v>
      </c>
      <c r="H9" s="23" t="s">
        <v>32</v>
      </c>
      <c r="I9" s="23">
        <v>48</v>
      </c>
      <c r="J9" s="23">
        <v>0</v>
      </c>
      <c r="K9" s="23"/>
      <c r="L9" s="23" t="s">
        <v>33</v>
      </c>
      <c r="M9" s="25">
        <v>3.9</v>
      </c>
      <c r="N9">
        <f t="shared" si="0"/>
        <v>1</v>
      </c>
    </row>
    <row r="10" spans="1:14" x14ac:dyDescent="0.35">
      <c r="A10" s="6" t="s">
        <v>35</v>
      </c>
      <c r="B10" s="19" t="s">
        <v>39</v>
      </c>
      <c r="C10" s="19">
        <v>7</v>
      </c>
      <c r="D10" s="20">
        <v>45855</v>
      </c>
      <c r="E10" s="19" t="s">
        <v>36</v>
      </c>
      <c r="F10" s="19" t="s">
        <v>37</v>
      </c>
      <c r="G10" s="19" t="s">
        <v>31</v>
      </c>
      <c r="H10" s="19" t="s">
        <v>28</v>
      </c>
      <c r="I10" s="19">
        <v>8</v>
      </c>
      <c r="J10" s="19">
        <v>3</v>
      </c>
      <c r="K10" s="19">
        <v>5</v>
      </c>
      <c r="L10" s="19" t="s">
        <v>38</v>
      </c>
      <c r="M10" s="21">
        <v>5.3</v>
      </c>
      <c r="N10">
        <f t="shared" si="0"/>
        <v>1</v>
      </c>
    </row>
    <row r="11" spans="1:14" x14ac:dyDescent="0.35">
      <c r="A11" s="22" t="s">
        <v>50</v>
      </c>
      <c r="B11" s="23" t="s">
        <v>51</v>
      </c>
      <c r="C11" s="23">
        <v>7</v>
      </c>
      <c r="D11" s="24">
        <v>45862</v>
      </c>
      <c r="E11" s="23" t="s">
        <v>20</v>
      </c>
      <c r="F11" s="23" t="s">
        <v>40</v>
      </c>
      <c r="G11" s="23" t="s">
        <v>31</v>
      </c>
      <c r="H11" s="23" t="s">
        <v>16</v>
      </c>
      <c r="I11" s="23">
        <v>48</v>
      </c>
      <c r="J11" s="23">
        <v>0</v>
      </c>
      <c r="K11" s="23">
        <v>5</v>
      </c>
      <c r="L11" s="23" t="s">
        <v>38</v>
      </c>
      <c r="M11" s="25">
        <v>22.8</v>
      </c>
      <c r="N11">
        <f t="shared" si="0"/>
        <v>1</v>
      </c>
    </row>
    <row r="12" spans="1:14" x14ac:dyDescent="0.35">
      <c r="A12" s="6" t="s">
        <v>6450</v>
      </c>
      <c r="B12" s="19" t="s">
        <v>41</v>
      </c>
      <c r="C12" s="19">
        <v>4</v>
      </c>
      <c r="D12" s="20">
        <v>45753</v>
      </c>
      <c r="E12" s="19" t="s">
        <v>8364</v>
      </c>
      <c r="F12" s="19" t="s">
        <v>40</v>
      </c>
      <c r="G12" s="19" t="s">
        <v>31</v>
      </c>
      <c r="H12" s="19" t="s">
        <v>32</v>
      </c>
      <c r="I12" s="19">
        <v>24</v>
      </c>
      <c r="J12" s="19">
        <v>2</v>
      </c>
      <c r="K12" s="19">
        <v>3</v>
      </c>
      <c r="L12" s="19" t="s">
        <v>8363</v>
      </c>
      <c r="M12" s="21">
        <v>10.199999999999999</v>
      </c>
      <c r="N12">
        <f t="shared" si="0"/>
        <v>1</v>
      </c>
    </row>
    <row r="13" spans="1:14" x14ac:dyDescent="0.35">
      <c r="A13" s="22" t="s">
        <v>46</v>
      </c>
      <c r="B13" s="23" t="s">
        <v>47</v>
      </c>
      <c r="C13" s="23">
        <v>8</v>
      </c>
      <c r="D13" s="24">
        <v>45888</v>
      </c>
      <c r="E13" s="23" t="s">
        <v>13</v>
      </c>
      <c r="F13" s="23" t="s">
        <v>43</v>
      </c>
      <c r="G13" s="23" t="s">
        <v>27</v>
      </c>
      <c r="H13" s="23" t="s">
        <v>16</v>
      </c>
      <c r="I13" s="23">
        <v>4</v>
      </c>
      <c r="J13" s="23">
        <v>0</v>
      </c>
      <c r="K13" s="23">
        <v>4</v>
      </c>
      <c r="L13" s="23" t="s">
        <v>17</v>
      </c>
      <c r="M13" s="25">
        <v>14.2</v>
      </c>
      <c r="N13">
        <f t="shared" si="0"/>
        <v>0</v>
      </c>
    </row>
    <row r="14" spans="1:14" x14ac:dyDescent="0.35">
      <c r="A14" s="6" t="s">
        <v>54</v>
      </c>
      <c r="B14" s="19" t="s">
        <v>51</v>
      </c>
      <c r="C14" s="19">
        <v>12</v>
      </c>
      <c r="D14" s="20">
        <v>45997</v>
      </c>
      <c r="E14" s="19" t="s">
        <v>8364</v>
      </c>
      <c r="F14" s="19" t="s">
        <v>26</v>
      </c>
      <c r="G14" s="19" t="s">
        <v>15</v>
      </c>
      <c r="H14" s="19" t="s">
        <v>22</v>
      </c>
      <c r="I14" s="19">
        <v>4</v>
      </c>
      <c r="J14" s="19">
        <v>3</v>
      </c>
      <c r="K14" s="19">
        <v>5</v>
      </c>
      <c r="L14" s="19" t="s">
        <v>55</v>
      </c>
      <c r="M14" s="21"/>
      <c r="N14">
        <f t="shared" si="0"/>
        <v>1</v>
      </c>
    </row>
    <row r="15" spans="1:14" x14ac:dyDescent="0.35">
      <c r="A15" s="22" t="s">
        <v>58</v>
      </c>
      <c r="B15" s="23" t="s">
        <v>49</v>
      </c>
      <c r="C15" s="23">
        <v>8</v>
      </c>
      <c r="D15" s="24">
        <v>45883</v>
      </c>
      <c r="E15" s="23" t="s">
        <v>36</v>
      </c>
      <c r="F15" s="23" t="s">
        <v>59</v>
      </c>
      <c r="G15" s="23" t="s">
        <v>27</v>
      </c>
      <c r="H15" s="23" t="s">
        <v>32</v>
      </c>
      <c r="I15" s="23">
        <v>48</v>
      </c>
      <c r="J15" s="23">
        <v>1</v>
      </c>
      <c r="K15" s="23">
        <v>3</v>
      </c>
      <c r="L15" s="23" t="s">
        <v>38</v>
      </c>
      <c r="M15" s="25">
        <v>8.6</v>
      </c>
      <c r="N15">
        <f t="shared" si="0"/>
        <v>1</v>
      </c>
    </row>
    <row r="16" spans="1:14" x14ac:dyDescent="0.35">
      <c r="A16" s="6" t="s">
        <v>60</v>
      </c>
      <c r="B16" s="19" t="s">
        <v>39</v>
      </c>
      <c r="C16" s="19">
        <v>12</v>
      </c>
      <c r="D16" s="20">
        <v>46012</v>
      </c>
      <c r="E16" s="19" t="s">
        <v>36</v>
      </c>
      <c r="F16" s="19" t="s">
        <v>26</v>
      </c>
      <c r="G16" s="19" t="s">
        <v>21</v>
      </c>
      <c r="H16" s="19" t="s">
        <v>22</v>
      </c>
      <c r="I16" s="19">
        <v>4</v>
      </c>
      <c r="J16" s="19">
        <v>0</v>
      </c>
      <c r="K16" s="19">
        <v>4</v>
      </c>
      <c r="L16" s="19" t="s">
        <v>17</v>
      </c>
      <c r="M16" s="21">
        <v>5.6</v>
      </c>
      <c r="N16">
        <f t="shared" si="0"/>
        <v>0</v>
      </c>
    </row>
    <row r="17" spans="1:14" x14ac:dyDescent="0.35">
      <c r="A17" s="22" t="s">
        <v>61</v>
      </c>
      <c r="B17" s="23" t="s">
        <v>49</v>
      </c>
      <c r="C17" s="23">
        <v>11</v>
      </c>
      <c r="D17" s="24">
        <v>45964</v>
      </c>
      <c r="E17" s="23" t="s">
        <v>13</v>
      </c>
      <c r="F17" s="23" t="s">
        <v>8364</v>
      </c>
      <c r="G17" s="23" t="s">
        <v>8364</v>
      </c>
      <c r="H17" s="23" t="s">
        <v>28</v>
      </c>
      <c r="I17" s="23">
        <v>8</v>
      </c>
      <c r="J17" s="23">
        <v>0</v>
      </c>
      <c r="K17" s="23">
        <v>4</v>
      </c>
      <c r="L17" s="23" t="s">
        <v>62</v>
      </c>
      <c r="M17" s="25">
        <v>26.9</v>
      </c>
      <c r="N17">
        <f t="shared" si="0"/>
        <v>0</v>
      </c>
    </row>
    <row r="18" spans="1:14" x14ac:dyDescent="0.35">
      <c r="A18" s="6" t="s">
        <v>63</v>
      </c>
      <c r="B18" s="19" t="s">
        <v>41</v>
      </c>
      <c r="C18" s="19"/>
      <c r="D18" s="20"/>
      <c r="E18" s="19" t="s">
        <v>36</v>
      </c>
      <c r="F18" s="19" t="s">
        <v>59</v>
      </c>
      <c r="G18" s="19" t="s">
        <v>31</v>
      </c>
      <c r="H18" s="19" t="s">
        <v>8364</v>
      </c>
      <c r="I18" s="19">
        <v>4</v>
      </c>
      <c r="J18" s="19">
        <v>0</v>
      </c>
      <c r="K18" s="19">
        <v>5</v>
      </c>
      <c r="L18" s="19" t="s">
        <v>8363</v>
      </c>
      <c r="M18" s="21"/>
      <c r="N18">
        <f t="shared" si="0"/>
        <v>1</v>
      </c>
    </row>
    <row r="19" spans="1:14" x14ac:dyDescent="0.35">
      <c r="A19" s="22" t="s">
        <v>64</v>
      </c>
      <c r="B19" s="23" t="s">
        <v>65</v>
      </c>
      <c r="C19" s="23">
        <v>9</v>
      </c>
      <c r="D19" s="24">
        <v>45911</v>
      </c>
      <c r="E19" s="23" t="s">
        <v>20</v>
      </c>
      <c r="F19" s="23" t="s">
        <v>26</v>
      </c>
      <c r="G19" s="23" t="s">
        <v>27</v>
      </c>
      <c r="H19" s="23" t="s">
        <v>8364</v>
      </c>
      <c r="I19" s="23">
        <v>8</v>
      </c>
      <c r="J19" s="23">
        <v>1</v>
      </c>
      <c r="K19" s="23">
        <v>4</v>
      </c>
      <c r="L19" s="23" t="s">
        <v>38</v>
      </c>
      <c r="M19" s="25">
        <v>12.4</v>
      </c>
      <c r="N19">
        <f t="shared" si="0"/>
        <v>0</v>
      </c>
    </row>
    <row r="20" spans="1:14" x14ac:dyDescent="0.35">
      <c r="A20" s="6" t="s">
        <v>66</v>
      </c>
      <c r="B20" s="19" t="s">
        <v>51</v>
      </c>
      <c r="C20" s="19"/>
      <c r="D20" s="20"/>
      <c r="E20" s="19" t="s">
        <v>25</v>
      </c>
      <c r="F20" s="19" t="s">
        <v>14</v>
      </c>
      <c r="G20" s="19" t="s">
        <v>15</v>
      </c>
      <c r="H20" s="19" t="s">
        <v>8364</v>
      </c>
      <c r="I20" s="19">
        <v>48</v>
      </c>
      <c r="J20" s="19">
        <v>2</v>
      </c>
      <c r="K20" s="19">
        <v>5</v>
      </c>
      <c r="L20" s="19" t="s">
        <v>44</v>
      </c>
      <c r="M20" s="21">
        <v>7.7</v>
      </c>
      <c r="N20">
        <f t="shared" si="0"/>
        <v>1</v>
      </c>
    </row>
    <row r="21" spans="1:14" x14ac:dyDescent="0.35">
      <c r="A21" s="22" t="s">
        <v>67</v>
      </c>
      <c r="B21" s="23" t="s">
        <v>69</v>
      </c>
      <c r="C21" s="23"/>
      <c r="D21" s="24"/>
      <c r="E21" s="23" t="s">
        <v>68</v>
      </c>
      <c r="F21" s="23" t="s">
        <v>14</v>
      </c>
      <c r="G21" s="23" t="s">
        <v>15</v>
      </c>
      <c r="H21" s="23" t="s">
        <v>22</v>
      </c>
      <c r="I21" s="23">
        <v>8</v>
      </c>
      <c r="J21" s="23"/>
      <c r="K21" s="23">
        <v>4</v>
      </c>
      <c r="L21" s="23" t="s">
        <v>17</v>
      </c>
      <c r="M21" s="25"/>
      <c r="N21">
        <f t="shared" si="0"/>
        <v>1</v>
      </c>
    </row>
    <row r="22" spans="1:14" x14ac:dyDescent="0.35">
      <c r="A22" s="6" t="s">
        <v>70</v>
      </c>
      <c r="B22" s="19" t="s">
        <v>65</v>
      </c>
      <c r="C22" s="19">
        <v>6</v>
      </c>
      <c r="D22" s="20">
        <v>45833</v>
      </c>
      <c r="E22" s="19" t="s">
        <v>25</v>
      </c>
      <c r="F22" s="19" t="s">
        <v>14</v>
      </c>
      <c r="G22" s="19" t="s">
        <v>31</v>
      </c>
      <c r="H22" s="19" t="s">
        <v>8364</v>
      </c>
      <c r="I22" s="19">
        <v>4</v>
      </c>
      <c r="J22" s="19">
        <v>0</v>
      </c>
      <c r="K22" s="19">
        <v>5</v>
      </c>
      <c r="L22" s="19" t="s">
        <v>17</v>
      </c>
      <c r="M22" s="21">
        <v>16.3</v>
      </c>
      <c r="N22">
        <f t="shared" si="0"/>
        <v>0</v>
      </c>
    </row>
    <row r="23" spans="1:14" x14ac:dyDescent="0.35">
      <c r="A23" s="22" t="s">
        <v>71</v>
      </c>
      <c r="B23" s="23" t="s">
        <v>72</v>
      </c>
      <c r="C23" s="23">
        <v>5</v>
      </c>
      <c r="D23" s="24">
        <v>45785</v>
      </c>
      <c r="E23" s="23" t="s">
        <v>36</v>
      </c>
      <c r="F23" s="23" t="s">
        <v>59</v>
      </c>
      <c r="G23" s="23" t="s">
        <v>27</v>
      </c>
      <c r="H23" s="23" t="s">
        <v>22</v>
      </c>
      <c r="I23" s="23">
        <v>48</v>
      </c>
      <c r="J23" s="23">
        <v>0</v>
      </c>
      <c r="K23" s="23">
        <v>4</v>
      </c>
      <c r="L23" s="23" t="s">
        <v>38</v>
      </c>
      <c r="M23" s="25">
        <v>4.5</v>
      </c>
      <c r="N23">
        <f t="shared" si="0"/>
        <v>1</v>
      </c>
    </row>
    <row r="24" spans="1:14" x14ac:dyDescent="0.35">
      <c r="A24" s="6" t="s">
        <v>73</v>
      </c>
      <c r="B24" s="19" t="s">
        <v>65</v>
      </c>
      <c r="C24" s="19">
        <v>10</v>
      </c>
      <c r="D24" s="20">
        <v>45939</v>
      </c>
      <c r="E24" s="19" t="s">
        <v>36</v>
      </c>
      <c r="F24" s="19" t="s">
        <v>14</v>
      </c>
      <c r="G24" s="19" t="s">
        <v>31</v>
      </c>
      <c r="H24" s="19" t="s">
        <v>22</v>
      </c>
      <c r="I24" s="19">
        <v>8</v>
      </c>
      <c r="J24" s="19">
        <v>0</v>
      </c>
      <c r="K24" s="19"/>
      <c r="L24" s="19" t="s">
        <v>44</v>
      </c>
      <c r="M24" s="21">
        <v>11.9</v>
      </c>
      <c r="N24">
        <f t="shared" si="0"/>
        <v>0</v>
      </c>
    </row>
    <row r="25" spans="1:14" x14ac:dyDescent="0.35">
      <c r="A25" s="22" t="s">
        <v>74</v>
      </c>
      <c r="B25" s="23" t="s">
        <v>34</v>
      </c>
      <c r="C25" s="23">
        <v>7</v>
      </c>
      <c r="D25" s="24">
        <v>45860</v>
      </c>
      <c r="E25" s="23" t="s">
        <v>8364</v>
      </c>
      <c r="F25" s="23" t="s">
        <v>14</v>
      </c>
      <c r="G25" s="23" t="s">
        <v>21</v>
      </c>
      <c r="H25" s="23" t="s">
        <v>16</v>
      </c>
      <c r="I25" s="23">
        <v>48</v>
      </c>
      <c r="J25" s="23">
        <v>2</v>
      </c>
      <c r="K25" s="23">
        <v>3</v>
      </c>
      <c r="L25" s="23" t="s">
        <v>75</v>
      </c>
      <c r="M25" s="25">
        <v>10.6</v>
      </c>
      <c r="N25">
        <f t="shared" si="0"/>
        <v>1</v>
      </c>
    </row>
    <row r="26" spans="1:14" x14ac:dyDescent="0.35">
      <c r="A26" s="6" t="s">
        <v>76</v>
      </c>
      <c r="B26" s="19" t="s">
        <v>57</v>
      </c>
      <c r="C26" s="19">
        <v>10</v>
      </c>
      <c r="D26" s="20">
        <v>45961</v>
      </c>
      <c r="E26" s="19" t="s">
        <v>36</v>
      </c>
      <c r="F26" s="19" t="s">
        <v>59</v>
      </c>
      <c r="G26" s="19" t="s">
        <v>21</v>
      </c>
      <c r="H26" s="19" t="s">
        <v>22</v>
      </c>
      <c r="I26" s="19">
        <v>24</v>
      </c>
      <c r="J26" s="19">
        <v>0</v>
      </c>
      <c r="K26" s="19"/>
      <c r="L26" s="19" t="s">
        <v>55</v>
      </c>
      <c r="M26" s="21">
        <v>7.1</v>
      </c>
      <c r="N26">
        <f t="shared" si="0"/>
        <v>1</v>
      </c>
    </row>
    <row r="27" spans="1:14" x14ac:dyDescent="0.35">
      <c r="A27" s="22" t="s">
        <v>77</v>
      </c>
      <c r="B27" s="23" t="s">
        <v>78</v>
      </c>
      <c r="C27" s="23"/>
      <c r="D27" s="24"/>
      <c r="E27" s="23" t="s">
        <v>36</v>
      </c>
      <c r="F27" s="23" t="s">
        <v>14</v>
      </c>
      <c r="G27" s="23" t="s">
        <v>27</v>
      </c>
      <c r="H27" s="23" t="s">
        <v>8364</v>
      </c>
      <c r="I27" s="23">
        <v>24</v>
      </c>
      <c r="J27" s="23">
        <v>0</v>
      </c>
      <c r="K27" s="23">
        <v>5</v>
      </c>
      <c r="L27" s="23" t="s">
        <v>38</v>
      </c>
      <c r="M27" s="25">
        <v>3.4</v>
      </c>
      <c r="N27">
        <f t="shared" si="0"/>
        <v>1</v>
      </c>
    </row>
    <row r="28" spans="1:14" x14ac:dyDescent="0.35">
      <c r="A28" s="6" t="s">
        <v>79</v>
      </c>
      <c r="B28" s="19" t="s">
        <v>45</v>
      </c>
      <c r="C28" s="19">
        <v>2</v>
      </c>
      <c r="D28" s="20">
        <v>45710</v>
      </c>
      <c r="E28" s="19" t="s">
        <v>25</v>
      </c>
      <c r="F28" s="19" t="s">
        <v>26</v>
      </c>
      <c r="G28" s="19" t="s">
        <v>27</v>
      </c>
      <c r="H28" s="19" t="s">
        <v>8364</v>
      </c>
      <c r="I28" s="19">
        <v>48</v>
      </c>
      <c r="J28" s="19">
        <v>0</v>
      </c>
      <c r="K28" s="19">
        <v>4</v>
      </c>
      <c r="L28" s="19" t="s">
        <v>17</v>
      </c>
      <c r="M28" s="21">
        <v>8.3000000000000007</v>
      </c>
      <c r="N28">
        <f t="shared" si="0"/>
        <v>1</v>
      </c>
    </row>
    <row r="29" spans="1:14" x14ac:dyDescent="0.35">
      <c r="A29" s="22" t="s">
        <v>80</v>
      </c>
      <c r="B29" s="23" t="s">
        <v>81</v>
      </c>
      <c r="C29" s="23">
        <v>11</v>
      </c>
      <c r="D29" s="24">
        <v>45978</v>
      </c>
      <c r="E29" s="23" t="s">
        <v>13</v>
      </c>
      <c r="F29" s="23" t="s">
        <v>43</v>
      </c>
      <c r="G29" s="23" t="s">
        <v>27</v>
      </c>
      <c r="H29" s="23" t="s">
        <v>8364</v>
      </c>
      <c r="I29" s="23">
        <v>24</v>
      </c>
      <c r="J29" s="23">
        <v>0</v>
      </c>
      <c r="K29" s="23">
        <v>4</v>
      </c>
      <c r="L29" s="23" t="s">
        <v>55</v>
      </c>
      <c r="M29" s="25">
        <v>7.7</v>
      </c>
      <c r="N29">
        <f t="shared" si="0"/>
        <v>1</v>
      </c>
    </row>
    <row r="30" spans="1:14" x14ac:dyDescent="0.35">
      <c r="A30" s="6" t="s">
        <v>82</v>
      </c>
      <c r="B30" s="19" t="s">
        <v>39</v>
      </c>
      <c r="C30" s="19">
        <v>10</v>
      </c>
      <c r="D30" s="20">
        <v>45946</v>
      </c>
      <c r="E30" s="19" t="s">
        <v>20</v>
      </c>
      <c r="F30" s="19" t="s">
        <v>43</v>
      </c>
      <c r="G30" s="19" t="s">
        <v>31</v>
      </c>
      <c r="H30" s="19" t="s">
        <v>28</v>
      </c>
      <c r="I30" s="19">
        <v>48</v>
      </c>
      <c r="J30" s="19">
        <v>0</v>
      </c>
      <c r="K30" s="19">
        <v>5</v>
      </c>
      <c r="L30" s="19" t="s">
        <v>55</v>
      </c>
      <c r="M30" s="21">
        <v>3.6</v>
      </c>
      <c r="N30">
        <f t="shared" si="0"/>
        <v>1</v>
      </c>
    </row>
    <row r="31" spans="1:14" x14ac:dyDescent="0.35">
      <c r="A31" s="22" t="s">
        <v>83</v>
      </c>
      <c r="B31" s="23" t="s">
        <v>41</v>
      </c>
      <c r="C31" s="23">
        <v>5</v>
      </c>
      <c r="D31" s="24">
        <v>45779</v>
      </c>
      <c r="E31" s="23" t="s">
        <v>8364</v>
      </c>
      <c r="F31" s="23" t="s">
        <v>8364</v>
      </c>
      <c r="G31" s="23" t="s">
        <v>21</v>
      </c>
      <c r="H31" s="23" t="s">
        <v>8364</v>
      </c>
      <c r="I31" s="23">
        <v>48</v>
      </c>
      <c r="J31" s="23">
        <v>0</v>
      </c>
      <c r="K31" s="23">
        <v>3</v>
      </c>
      <c r="L31" s="23" t="s">
        <v>8363</v>
      </c>
      <c r="M31" s="25">
        <v>7.5</v>
      </c>
      <c r="N31">
        <f t="shared" si="0"/>
        <v>1</v>
      </c>
    </row>
    <row r="32" spans="1:14" x14ac:dyDescent="0.35">
      <c r="A32" s="6" t="s">
        <v>84</v>
      </c>
      <c r="B32" s="19" t="s">
        <v>85</v>
      </c>
      <c r="C32" s="19">
        <v>1</v>
      </c>
      <c r="D32" s="20">
        <v>45680</v>
      </c>
      <c r="E32" s="19" t="s">
        <v>36</v>
      </c>
      <c r="F32" s="19" t="s">
        <v>40</v>
      </c>
      <c r="G32" s="19" t="s">
        <v>27</v>
      </c>
      <c r="H32" s="19" t="s">
        <v>32</v>
      </c>
      <c r="I32" s="19">
        <v>24</v>
      </c>
      <c r="J32" s="19">
        <v>2</v>
      </c>
      <c r="K32" s="19">
        <v>5</v>
      </c>
      <c r="L32" s="19" t="s">
        <v>44</v>
      </c>
      <c r="M32" s="21">
        <v>18.899999999999999</v>
      </c>
      <c r="N32">
        <f t="shared" si="0"/>
        <v>1</v>
      </c>
    </row>
    <row r="33" spans="1:14" x14ac:dyDescent="0.35">
      <c r="A33" s="22" t="s">
        <v>86</v>
      </c>
      <c r="B33" s="23" t="s">
        <v>87</v>
      </c>
      <c r="C33" s="23">
        <v>10</v>
      </c>
      <c r="D33" s="24">
        <v>45941</v>
      </c>
      <c r="E33" s="23" t="s">
        <v>13</v>
      </c>
      <c r="F33" s="23" t="s">
        <v>59</v>
      </c>
      <c r="G33" s="23" t="s">
        <v>15</v>
      </c>
      <c r="H33" s="23" t="s">
        <v>16</v>
      </c>
      <c r="I33" s="23">
        <v>4</v>
      </c>
      <c r="J33" s="23">
        <v>0</v>
      </c>
      <c r="K33" s="23">
        <v>5</v>
      </c>
      <c r="L33" s="23" t="s">
        <v>8363</v>
      </c>
      <c r="M33" s="25">
        <v>6.5</v>
      </c>
      <c r="N33">
        <f t="shared" si="0"/>
        <v>0</v>
      </c>
    </row>
    <row r="34" spans="1:14" x14ac:dyDescent="0.35">
      <c r="A34" s="6" t="s">
        <v>88</v>
      </c>
      <c r="B34" s="19" t="s">
        <v>89</v>
      </c>
      <c r="C34" s="19">
        <v>8</v>
      </c>
      <c r="D34" s="20">
        <v>45895</v>
      </c>
      <c r="E34" s="19" t="s">
        <v>36</v>
      </c>
      <c r="F34" s="19" t="s">
        <v>40</v>
      </c>
      <c r="G34" s="19" t="s">
        <v>27</v>
      </c>
      <c r="H34" s="19" t="s">
        <v>32</v>
      </c>
      <c r="I34" s="19">
        <v>4</v>
      </c>
      <c r="J34" s="19">
        <v>0</v>
      </c>
      <c r="K34" s="19">
        <v>5</v>
      </c>
      <c r="L34" s="19" t="s">
        <v>75</v>
      </c>
      <c r="M34" s="21">
        <v>4.9000000000000004</v>
      </c>
      <c r="N34">
        <f t="shared" si="0"/>
        <v>0</v>
      </c>
    </row>
    <row r="35" spans="1:14" x14ac:dyDescent="0.35">
      <c r="A35" s="22" t="s">
        <v>90</v>
      </c>
      <c r="B35" s="23" t="s">
        <v>85</v>
      </c>
      <c r="C35" s="23">
        <v>11</v>
      </c>
      <c r="D35" s="24">
        <v>45990</v>
      </c>
      <c r="E35" s="23" t="s">
        <v>20</v>
      </c>
      <c r="F35" s="23" t="s">
        <v>14</v>
      </c>
      <c r="G35" s="23" t="s">
        <v>31</v>
      </c>
      <c r="H35" s="23" t="s">
        <v>22</v>
      </c>
      <c r="I35" s="23">
        <v>8</v>
      </c>
      <c r="J35" s="23">
        <v>0</v>
      </c>
      <c r="K35" s="23">
        <v>2</v>
      </c>
      <c r="L35" s="23" t="s">
        <v>8363</v>
      </c>
      <c r="M35" s="25"/>
      <c r="N35">
        <f t="shared" si="0"/>
        <v>1</v>
      </c>
    </row>
    <row r="36" spans="1:14" x14ac:dyDescent="0.35">
      <c r="A36" s="6" t="s">
        <v>91</v>
      </c>
      <c r="B36" s="19" t="s">
        <v>92</v>
      </c>
      <c r="C36" s="19"/>
      <c r="D36" s="20"/>
      <c r="E36" s="19" t="s">
        <v>13</v>
      </c>
      <c r="F36" s="19" t="s">
        <v>14</v>
      </c>
      <c r="G36" s="19" t="s">
        <v>8364</v>
      </c>
      <c r="H36" s="19" t="s">
        <v>8364</v>
      </c>
      <c r="I36" s="19">
        <v>8</v>
      </c>
      <c r="J36" s="19">
        <v>0</v>
      </c>
      <c r="K36" s="19">
        <v>5</v>
      </c>
      <c r="L36" s="19" t="s">
        <v>62</v>
      </c>
      <c r="M36" s="21">
        <v>12.7</v>
      </c>
      <c r="N36">
        <f t="shared" si="0"/>
        <v>0</v>
      </c>
    </row>
    <row r="37" spans="1:14" x14ac:dyDescent="0.35">
      <c r="A37" s="22" t="s">
        <v>93</v>
      </c>
      <c r="B37" s="23" t="s">
        <v>39</v>
      </c>
      <c r="C37" s="23">
        <v>11</v>
      </c>
      <c r="D37" s="24">
        <v>45972</v>
      </c>
      <c r="E37" s="23" t="s">
        <v>25</v>
      </c>
      <c r="F37" s="23" t="s">
        <v>40</v>
      </c>
      <c r="G37" s="23" t="s">
        <v>8364</v>
      </c>
      <c r="H37" s="23" t="s">
        <v>28</v>
      </c>
      <c r="I37" s="23">
        <v>8</v>
      </c>
      <c r="J37" s="23">
        <v>0</v>
      </c>
      <c r="K37" s="23">
        <v>4</v>
      </c>
      <c r="L37" s="23" t="s">
        <v>33</v>
      </c>
      <c r="M37" s="25">
        <v>2.6</v>
      </c>
      <c r="N37">
        <f t="shared" si="0"/>
        <v>1</v>
      </c>
    </row>
    <row r="38" spans="1:14" x14ac:dyDescent="0.35">
      <c r="A38" s="6" t="s">
        <v>94</v>
      </c>
      <c r="B38" s="19" t="s">
        <v>39</v>
      </c>
      <c r="C38" s="19">
        <v>6</v>
      </c>
      <c r="D38" s="20">
        <v>45824</v>
      </c>
      <c r="E38" s="19" t="s">
        <v>13</v>
      </c>
      <c r="F38" s="19" t="s">
        <v>14</v>
      </c>
      <c r="G38" s="19" t="s">
        <v>31</v>
      </c>
      <c r="H38" s="19" t="s">
        <v>28</v>
      </c>
      <c r="I38" s="19">
        <v>4</v>
      </c>
      <c r="J38" s="19">
        <v>0</v>
      </c>
      <c r="K38" s="19">
        <v>4</v>
      </c>
      <c r="L38" s="19" t="s">
        <v>62</v>
      </c>
      <c r="M38" s="21">
        <v>5.9</v>
      </c>
      <c r="N38">
        <f t="shared" si="0"/>
        <v>0</v>
      </c>
    </row>
    <row r="39" spans="1:14" x14ac:dyDescent="0.35">
      <c r="A39" s="22" t="s">
        <v>95</v>
      </c>
      <c r="B39" s="23" t="s">
        <v>53</v>
      </c>
      <c r="C39" s="23"/>
      <c r="D39" s="24"/>
      <c r="E39" s="23" t="s">
        <v>25</v>
      </c>
      <c r="F39" s="23" t="s">
        <v>43</v>
      </c>
      <c r="G39" s="23" t="s">
        <v>21</v>
      </c>
      <c r="H39" s="23" t="s">
        <v>22</v>
      </c>
      <c r="I39" s="23">
        <v>24</v>
      </c>
      <c r="J39" s="23">
        <v>0</v>
      </c>
      <c r="K39" s="23">
        <v>4</v>
      </c>
      <c r="L39" s="23" t="s">
        <v>17</v>
      </c>
      <c r="M39" s="25">
        <v>12</v>
      </c>
      <c r="N39">
        <f t="shared" si="0"/>
        <v>1</v>
      </c>
    </row>
    <row r="40" spans="1:14" x14ac:dyDescent="0.35">
      <c r="A40" s="6" t="s">
        <v>96</v>
      </c>
      <c r="B40" s="19" t="s">
        <v>97</v>
      </c>
      <c r="C40" s="19">
        <v>1</v>
      </c>
      <c r="D40" s="20">
        <v>45667</v>
      </c>
      <c r="E40" s="19" t="s">
        <v>25</v>
      </c>
      <c r="F40" s="19" t="s">
        <v>43</v>
      </c>
      <c r="G40" s="19" t="s">
        <v>8364</v>
      </c>
      <c r="H40" s="19" t="s">
        <v>32</v>
      </c>
      <c r="I40" s="19">
        <v>24</v>
      </c>
      <c r="J40" s="19">
        <v>0</v>
      </c>
      <c r="K40" s="19">
        <v>4</v>
      </c>
      <c r="L40" s="19" t="s">
        <v>8363</v>
      </c>
      <c r="M40" s="21">
        <v>15.8</v>
      </c>
      <c r="N40">
        <f t="shared" si="0"/>
        <v>1</v>
      </c>
    </row>
    <row r="41" spans="1:14" x14ac:dyDescent="0.35">
      <c r="A41" s="22" t="s">
        <v>98</v>
      </c>
      <c r="B41" s="23" t="s">
        <v>99</v>
      </c>
      <c r="C41" s="23">
        <v>1</v>
      </c>
      <c r="D41" s="24">
        <v>45684</v>
      </c>
      <c r="E41" s="23" t="s">
        <v>13</v>
      </c>
      <c r="F41" s="23" t="s">
        <v>26</v>
      </c>
      <c r="G41" s="23" t="s">
        <v>27</v>
      </c>
      <c r="H41" s="23" t="s">
        <v>32</v>
      </c>
      <c r="I41" s="23">
        <v>72</v>
      </c>
      <c r="J41" s="23">
        <v>0</v>
      </c>
      <c r="K41" s="23">
        <v>4</v>
      </c>
      <c r="L41" s="23" t="s">
        <v>55</v>
      </c>
      <c r="M41" s="25">
        <v>8.4</v>
      </c>
      <c r="N41">
        <f t="shared" si="0"/>
        <v>1</v>
      </c>
    </row>
    <row r="42" spans="1:14" x14ac:dyDescent="0.35">
      <c r="A42" s="6" t="s">
        <v>100</v>
      </c>
      <c r="B42" s="19" t="s">
        <v>101</v>
      </c>
      <c r="C42" s="19"/>
      <c r="D42" s="20"/>
      <c r="E42" s="19" t="s">
        <v>68</v>
      </c>
      <c r="F42" s="19" t="s">
        <v>26</v>
      </c>
      <c r="G42" s="19" t="s">
        <v>27</v>
      </c>
      <c r="H42" s="19" t="s">
        <v>32</v>
      </c>
      <c r="I42" s="19">
        <v>72</v>
      </c>
      <c r="J42" s="19">
        <v>0</v>
      </c>
      <c r="K42" s="19"/>
      <c r="L42" s="19" t="s">
        <v>44</v>
      </c>
      <c r="M42" s="21">
        <v>4.5999999999999996</v>
      </c>
      <c r="N42">
        <f t="shared" si="0"/>
        <v>1</v>
      </c>
    </row>
    <row r="43" spans="1:14" x14ac:dyDescent="0.35">
      <c r="A43" s="22" t="s">
        <v>102</v>
      </c>
      <c r="B43" s="23" t="s">
        <v>49</v>
      </c>
      <c r="C43" s="23">
        <v>11</v>
      </c>
      <c r="D43" s="24">
        <v>45966</v>
      </c>
      <c r="E43" s="23" t="s">
        <v>68</v>
      </c>
      <c r="F43" s="23" t="s">
        <v>14</v>
      </c>
      <c r="G43" s="23" t="s">
        <v>31</v>
      </c>
      <c r="H43" s="23" t="s">
        <v>28</v>
      </c>
      <c r="I43" s="23">
        <v>48</v>
      </c>
      <c r="J43" s="23">
        <v>1</v>
      </c>
      <c r="K43" s="23">
        <v>5</v>
      </c>
      <c r="L43" s="23" t="s">
        <v>75</v>
      </c>
      <c r="M43" s="25">
        <v>23</v>
      </c>
      <c r="N43">
        <f t="shared" si="0"/>
        <v>1</v>
      </c>
    </row>
    <row r="44" spans="1:14" x14ac:dyDescent="0.35">
      <c r="A44" s="6" t="s">
        <v>103</v>
      </c>
      <c r="B44" s="19" t="s">
        <v>104</v>
      </c>
      <c r="C44" s="19">
        <v>3</v>
      </c>
      <c r="D44" s="20">
        <v>45727</v>
      </c>
      <c r="E44" s="19" t="s">
        <v>20</v>
      </c>
      <c r="F44" s="19" t="s">
        <v>8364</v>
      </c>
      <c r="G44" s="19" t="s">
        <v>15</v>
      </c>
      <c r="H44" s="19" t="s">
        <v>22</v>
      </c>
      <c r="I44" s="19">
        <v>4</v>
      </c>
      <c r="J44" s="19">
        <v>0</v>
      </c>
      <c r="K44" s="19">
        <v>5</v>
      </c>
      <c r="L44" s="19" t="s">
        <v>62</v>
      </c>
      <c r="M44" s="21">
        <v>2.5</v>
      </c>
      <c r="N44">
        <f t="shared" si="0"/>
        <v>1</v>
      </c>
    </row>
    <row r="45" spans="1:14" x14ac:dyDescent="0.35">
      <c r="A45" s="22" t="s">
        <v>105</v>
      </c>
      <c r="B45" s="23" t="s">
        <v>39</v>
      </c>
      <c r="C45" s="23"/>
      <c r="D45" s="24"/>
      <c r="E45" s="23" t="s">
        <v>13</v>
      </c>
      <c r="F45" s="23" t="s">
        <v>37</v>
      </c>
      <c r="G45" s="23" t="s">
        <v>27</v>
      </c>
      <c r="H45" s="23" t="s">
        <v>22</v>
      </c>
      <c r="I45" s="23">
        <v>72</v>
      </c>
      <c r="J45" s="23">
        <v>0</v>
      </c>
      <c r="K45" s="23">
        <v>1</v>
      </c>
      <c r="L45" s="23" t="s">
        <v>75</v>
      </c>
      <c r="M45" s="25">
        <v>9.3000000000000007</v>
      </c>
      <c r="N45">
        <f t="shared" si="0"/>
        <v>1</v>
      </c>
    </row>
    <row r="46" spans="1:14" x14ac:dyDescent="0.35">
      <c r="A46" s="6" t="s">
        <v>106</v>
      </c>
      <c r="B46" s="19" t="s">
        <v>18</v>
      </c>
      <c r="C46" s="19">
        <v>11</v>
      </c>
      <c r="D46" s="20">
        <v>45967</v>
      </c>
      <c r="E46" s="19" t="s">
        <v>25</v>
      </c>
      <c r="F46" s="19" t="s">
        <v>26</v>
      </c>
      <c r="G46" s="19" t="s">
        <v>21</v>
      </c>
      <c r="H46" s="19" t="s">
        <v>32</v>
      </c>
      <c r="I46" s="19">
        <v>72</v>
      </c>
      <c r="J46" s="19">
        <v>2</v>
      </c>
      <c r="K46" s="19">
        <v>1</v>
      </c>
      <c r="L46" s="19" t="s">
        <v>17</v>
      </c>
      <c r="M46" s="21"/>
      <c r="N46">
        <f t="shared" si="0"/>
        <v>1</v>
      </c>
    </row>
    <row r="47" spans="1:14" x14ac:dyDescent="0.35">
      <c r="A47" s="22" t="s">
        <v>107</v>
      </c>
      <c r="B47" s="23" t="s">
        <v>108</v>
      </c>
      <c r="C47" s="23">
        <v>1</v>
      </c>
      <c r="D47" s="24">
        <v>45667</v>
      </c>
      <c r="E47" s="23" t="s">
        <v>36</v>
      </c>
      <c r="F47" s="23" t="s">
        <v>26</v>
      </c>
      <c r="G47" s="23" t="s">
        <v>31</v>
      </c>
      <c r="H47" s="23" t="s">
        <v>22</v>
      </c>
      <c r="I47" s="23">
        <v>24</v>
      </c>
      <c r="J47" s="23">
        <v>0</v>
      </c>
      <c r="K47" s="23">
        <v>4</v>
      </c>
      <c r="L47" s="23" t="s">
        <v>38</v>
      </c>
      <c r="M47" s="25">
        <v>4.8</v>
      </c>
      <c r="N47">
        <f t="shared" si="0"/>
        <v>1</v>
      </c>
    </row>
    <row r="48" spans="1:14" x14ac:dyDescent="0.35">
      <c r="A48" s="6" t="s">
        <v>109</v>
      </c>
      <c r="B48" s="19" t="s">
        <v>39</v>
      </c>
      <c r="C48" s="19">
        <v>11</v>
      </c>
      <c r="D48" s="20">
        <v>45964</v>
      </c>
      <c r="E48" s="19" t="s">
        <v>20</v>
      </c>
      <c r="F48" s="19" t="s">
        <v>14</v>
      </c>
      <c r="G48" s="19" t="s">
        <v>21</v>
      </c>
      <c r="H48" s="19" t="s">
        <v>22</v>
      </c>
      <c r="I48" s="19">
        <v>8</v>
      </c>
      <c r="J48" s="19">
        <v>0</v>
      </c>
      <c r="K48" s="19">
        <v>1</v>
      </c>
      <c r="L48" s="19" t="s">
        <v>17</v>
      </c>
      <c r="M48" s="21">
        <v>8.3000000000000007</v>
      </c>
      <c r="N48">
        <f t="shared" si="0"/>
        <v>0</v>
      </c>
    </row>
    <row r="49" spans="1:14" x14ac:dyDescent="0.35">
      <c r="A49" s="22" t="s">
        <v>110</v>
      </c>
      <c r="B49" s="23" t="s">
        <v>39</v>
      </c>
      <c r="C49" s="23">
        <v>9</v>
      </c>
      <c r="D49" s="24">
        <v>45905</v>
      </c>
      <c r="E49" s="23" t="s">
        <v>25</v>
      </c>
      <c r="F49" s="23" t="s">
        <v>14</v>
      </c>
      <c r="G49" s="23" t="s">
        <v>31</v>
      </c>
      <c r="H49" s="23" t="s">
        <v>22</v>
      </c>
      <c r="I49" s="23">
        <v>72</v>
      </c>
      <c r="J49" s="23">
        <v>0</v>
      </c>
      <c r="K49" s="23">
        <v>3</v>
      </c>
      <c r="L49" s="23" t="s">
        <v>17</v>
      </c>
      <c r="M49" s="25">
        <v>5.6</v>
      </c>
      <c r="N49">
        <f t="shared" si="0"/>
        <v>1</v>
      </c>
    </row>
    <row r="50" spans="1:14" x14ac:dyDescent="0.35">
      <c r="A50" s="6" t="s">
        <v>111</v>
      </c>
      <c r="B50" s="19" t="s">
        <v>65</v>
      </c>
      <c r="C50" s="19">
        <v>6</v>
      </c>
      <c r="D50" s="20">
        <v>45815</v>
      </c>
      <c r="E50" s="19" t="s">
        <v>13</v>
      </c>
      <c r="F50" s="19" t="s">
        <v>43</v>
      </c>
      <c r="G50" s="19" t="s">
        <v>21</v>
      </c>
      <c r="H50" s="19" t="s">
        <v>8364</v>
      </c>
      <c r="I50" s="19">
        <v>8</v>
      </c>
      <c r="J50" s="19">
        <v>0</v>
      </c>
      <c r="K50" s="19">
        <v>4</v>
      </c>
      <c r="L50" s="19" t="s">
        <v>62</v>
      </c>
      <c r="M50" s="21">
        <v>10.8</v>
      </c>
      <c r="N50">
        <f t="shared" si="0"/>
        <v>0</v>
      </c>
    </row>
    <row r="51" spans="1:14" x14ac:dyDescent="0.35">
      <c r="A51" s="22" t="s">
        <v>112</v>
      </c>
      <c r="B51" s="23" t="s">
        <v>89</v>
      </c>
      <c r="C51" s="23">
        <v>9</v>
      </c>
      <c r="D51" s="24">
        <v>45919</v>
      </c>
      <c r="E51" s="23" t="s">
        <v>8364</v>
      </c>
      <c r="F51" s="23" t="s">
        <v>43</v>
      </c>
      <c r="G51" s="23" t="s">
        <v>21</v>
      </c>
      <c r="H51" s="23" t="s">
        <v>32</v>
      </c>
      <c r="I51" s="23">
        <v>48</v>
      </c>
      <c r="J51" s="23">
        <v>2</v>
      </c>
      <c r="K51" s="23">
        <v>3</v>
      </c>
      <c r="L51" s="23" t="s">
        <v>55</v>
      </c>
      <c r="M51" s="25">
        <v>9</v>
      </c>
      <c r="N51">
        <f t="shared" si="0"/>
        <v>1</v>
      </c>
    </row>
    <row r="52" spans="1:14" x14ac:dyDescent="0.35">
      <c r="A52" s="6" t="s">
        <v>113</v>
      </c>
      <c r="B52" s="19" t="s">
        <v>49</v>
      </c>
      <c r="C52" s="19">
        <v>7</v>
      </c>
      <c r="D52" s="20">
        <v>45844</v>
      </c>
      <c r="E52" s="19" t="s">
        <v>25</v>
      </c>
      <c r="F52" s="19" t="s">
        <v>43</v>
      </c>
      <c r="G52" s="19" t="s">
        <v>21</v>
      </c>
      <c r="H52" s="19" t="s">
        <v>22</v>
      </c>
      <c r="I52" s="19">
        <v>24</v>
      </c>
      <c r="J52" s="19">
        <v>0</v>
      </c>
      <c r="K52" s="19">
        <v>5</v>
      </c>
      <c r="L52" s="19" t="s">
        <v>38</v>
      </c>
      <c r="M52" s="21">
        <v>18.899999999999999</v>
      </c>
      <c r="N52">
        <f t="shared" si="0"/>
        <v>1</v>
      </c>
    </row>
    <row r="53" spans="1:14" x14ac:dyDescent="0.35">
      <c r="A53" s="22" t="s">
        <v>114</v>
      </c>
      <c r="B53" s="23" t="s">
        <v>69</v>
      </c>
      <c r="C53" s="23">
        <v>6</v>
      </c>
      <c r="D53" s="24">
        <v>45811</v>
      </c>
      <c r="E53" s="23" t="s">
        <v>36</v>
      </c>
      <c r="F53" s="23" t="s">
        <v>43</v>
      </c>
      <c r="G53" s="23" t="s">
        <v>15</v>
      </c>
      <c r="H53" s="23" t="s">
        <v>8364</v>
      </c>
      <c r="I53" s="23">
        <v>48</v>
      </c>
      <c r="J53" s="23">
        <v>0</v>
      </c>
      <c r="K53" s="23">
        <v>1</v>
      </c>
      <c r="L53" s="23" t="s">
        <v>44</v>
      </c>
      <c r="M53" s="25">
        <v>4.5999999999999996</v>
      </c>
      <c r="N53">
        <f t="shared" si="0"/>
        <v>1</v>
      </c>
    </row>
    <row r="54" spans="1:14" x14ac:dyDescent="0.35">
      <c r="A54" s="6" t="s">
        <v>115</v>
      </c>
      <c r="B54" s="19" t="s">
        <v>65</v>
      </c>
      <c r="C54" s="19">
        <v>12</v>
      </c>
      <c r="D54" s="20">
        <v>46021</v>
      </c>
      <c r="E54" s="19" t="s">
        <v>13</v>
      </c>
      <c r="F54" s="19" t="s">
        <v>43</v>
      </c>
      <c r="G54" s="19" t="s">
        <v>31</v>
      </c>
      <c r="H54" s="19" t="s">
        <v>22</v>
      </c>
      <c r="I54" s="19">
        <v>48</v>
      </c>
      <c r="J54" s="19">
        <v>0</v>
      </c>
      <c r="K54" s="19">
        <v>4</v>
      </c>
      <c r="L54" s="19" t="s">
        <v>55</v>
      </c>
      <c r="M54" s="21">
        <v>21.3</v>
      </c>
      <c r="N54">
        <f t="shared" si="0"/>
        <v>1</v>
      </c>
    </row>
    <row r="55" spans="1:14" x14ac:dyDescent="0.35">
      <c r="A55" s="22" t="s">
        <v>116</v>
      </c>
      <c r="B55" s="23" t="s">
        <v>57</v>
      </c>
      <c r="C55" s="23">
        <v>1</v>
      </c>
      <c r="D55" s="24">
        <v>45677</v>
      </c>
      <c r="E55" s="23" t="s">
        <v>8364</v>
      </c>
      <c r="F55" s="23" t="s">
        <v>43</v>
      </c>
      <c r="G55" s="23" t="s">
        <v>31</v>
      </c>
      <c r="H55" s="23" t="s">
        <v>22</v>
      </c>
      <c r="I55" s="23">
        <v>24</v>
      </c>
      <c r="J55" s="23">
        <v>1</v>
      </c>
      <c r="K55" s="23">
        <v>3</v>
      </c>
      <c r="L55" s="23" t="s">
        <v>55</v>
      </c>
      <c r="M55" s="25">
        <v>4.5</v>
      </c>
      <c r="N55">
        <f t="shared" si="0"/>
        <v>1</v>
      </c>
    </row>
    <row r="56" spans="1:14" x14ac:dyDescent="0.35">
      <c r="A56" s="6" t="s">
        <v>117</v>
      </c>
      <c r="B56" s="19" t="s">
        <v>97</v>
      </c>
      <c r="C56" s="19">
        <v>10</v>
      </c>
      <c r="D56" s="20">
        <v>45946</v>
      </c>
      <c r="E56" s="19" t="s">
        <v>25</v>
      </c>
      <c r="F56" s="19" t="s">
        <v>26</v>
      </c>
      <c r="G56" s="19" t="s">
        <v>31</v>
      </c>
      <c r="H56" s="19" t="s">
        <v>16</v>
      </c>
      <c r="I56" s="19">
        <v>72</v>
      </c>
      <c r="J56" s="19">
        <v>0</v>
      </c>
      <c r="K56" s="19">
        <v>3</v>
      </c>
      <c r="L56" s="19" t="s">
        <v>38</v>
      </c>
      <c r="M56" s="21">
        <v>10.8</v>
      </c>
      <c r="N56">
        <f t="shared" si="0"/>
        <v>1</v>
      </c>
    </row>
    <row r="57" spans="1:14" x14ac:dyDescent="0.35">
      <c r="A57" s="22" t="s">
        <v>118</v>
      </c>
      <c r="B57" s="23" t="s">
        <v>39</v>
      </c>
      <c r="C57" s="23">
        <v>3</v>
      </c>
      <c r="D57" s="24">
        <v>45729</v>
      </c>
      <c r="E57" s="23" t="s">
        <v>20</v>
      </c>
      <c r="F57" s="23" t="s">
        <v>59</v>
      </c>
      <c r="G57" s="23" t="s">
        <v>31</v>
      </c>
      <c r="H57" s="23" t="s">
        <v>16</v>
      </c>
      <c r="I57" s="23">
        <v>48</v>
      </c>
      <c r="J57" s="23">
        <v>0</v>
      </c>
      <c r="K57" s="23"/>
      <c r="L57" s="23" t="s">
        <v>33</v>
      </c>
      <c r="M57" s="25">
        <v>3</v>
      </c>
      <c r="N57">
        <f t="shared" si="0"/>
        <v>1</v>
      </c>
    </row>
    <row r="58" spans="1:14" x14ac:dyDescent="0.35">
      <c r="A58" s="6" t="s">
        <v>119</v>
      </c>
      <c r="B58" s="19" t="s">
        <v>47</v>
      </c>
      <c r="C58" s="19"/>
      <c r="D58" s="20"/>
      <c r="E58" s="19" t="s">
        <v>68</v>
      </c>
      <c r="F58" s="19" t="s">
        <v>40</v>
      </c>
      <c r="G58" s="19" t="s">
        <v>15</v>
      </c>
      <c r="H58" s="19" t="s">
        <v>22</v>
      </c>
      <c r="I58" s="19">
        <v>48</v>
      </c>
      <c r="J58" s="19">
        <v>0</v>
      </c>
      <c r="K58" s="19">
        <v>5</v>
      </c>
      <c r="L58" s="19" t="s">
        <v>8363</v>
      </c>
      <c r="M58" s="21">
        <v>9.5</v>
      </c>
      <c r="N58">
        <f t="shared" si="0"/>
        <v>1</v>
      </c>
    </row>
    <row r="59" spans="1:14" x14ac:dyDescent="0.35">
      <c r="A59" s="22" t="s">
        <v>120</v>
      </c>
      <c r="B59" s="23" t="s">
        <v>23</v>
      </c>
      <c r="C59" s="23">
        <v>9</v>
      </c>
      <c r="D59" s="24">
        <v>45911</v>
      </c>
      <c r="E59" s="23" t="s">
        <v>25</v>
      </c>
      <c r="F59" s="23" t="s">
        <v>14</v>
      </c>
      <c r="G59" s="23" t="s">
        <v>27</v>
      </c>
      <c r="H59" s="23" t="s">
        <v>22</v>
      </c>
      <c r="I59" s="23">
        <v>72</v>
      </c>
      <c r="J59" s="23">
        <v>2</v>
      </c>
      <c r="K59" s="23">
        <v>3</v>
      </c>
      <c r="L59" s="23" t="s">
        <v>55</v>
      </c>
      <c r="M59" s="25">
        <v>30.1</v>
      </c>
      <c r="N59">
        <f t="shared" si="0"/>
        <v>1</v>
      </c>
    </row>
    <row r="60" spans="1:14" x14ac:dyDescent="0.35">
      <c r="A60" s="6" t="s">
        <v>121</v>
      </c>
      <c r="B60" s="19" t="s">
        <v>87</v>
      </c>
      <c r="C60" s="19">
        <v>3</v>
      </c>
      <c r="D60" s="20">
        <v>45746</v>
      </c>
      <c r="E60" s="19" t="s">
        <v>20</v>
      </c>
      <c r="F60" s="19" t="s">
        <v>14</v>
      </c>
      <c r="G60" s="19" t="s">
        <v>31</v>
      </c>
      <c r="H60" s="19" t="s">
        <v>22</v>
      </c>
      <c r="I60" s="19">
        <v>24</v>
      </c>
      <c r="J60" s="19">
        <v>0</v>
      </c>
      <c r="K60" s="19">
        <v>4</v>
      </c>
      <c r="L60" s="19" t="s">
        <v>44</v>
      </c>
      <c r="M60" s="21">
        <v>3.5</v>
      </c>
      <c r="N60">
        <f t="shared" si="0"/>
        <v>1</v>
      </c>
    </row>
    <row r="61" spans="1:14" x14ac:dyDescent="0.35">
      <c r="A61" s="22" t="s">
        <v>122</v>
      </c>
      <c r="B61" s="23" t="s">
        <v>92</v>
      </c>
      <c r="C61" s="23">
        <v>10</v>
      </c>
      <c r="D61" s="24">
        <v>45953</v>
      </c>
      <c r="E61" s="23" t="s">
        <v>25</v>
      </c>
      <c r="F61" s="23" t="s">
        <v>26</v>
      </c>
      <c r="G61" s="23" t="s">
        <v>8364</v>
      </c>
      <c r="H61" s="23" t="s">
        <v>8364</v>
      </c>
      <c r="I61" s="23">
        <v>72</v>
      </c>
      <c r="J61" s="23">
        <v>0</v>
      </c>
      <c r="K61" s="23">
        <v>2</v>
      </c>
      <c r="L61" s="23" t="s">
        <v>17</v>
      </c>
      <c r="M61" s="25">
        <v>7.4</v>
      </c>
      <c r="N61">
        <f t="shared" si="0"/>
        <v>1</v>
      </c>
    </row>
    <row r="62" spans="1:14" x14ac:dyDescent="0.35">
      <c r="A62" s="6" t="s">
        <v>123</v>
      </c>
      <c r="B62" s="19" t="s">
        <v>81</v>
      </c>
      <c r="C62" s="19">
        <v>9</v>
      </c>
      <c r="D62" s="20">
        <v>45912</v>
      </c>
      <c r="E62" s="19" t="s">
        <v>8364</v>
      </c>
      <c r="F62" s="19" t="s">
        <v>43</v>
      </c>
      <c r="G62" s="19" t="s">
        <v>27</v>
      </c>
      <c r="H62" s="19" t="s">
        <v>22</v>
      </c>
      <c r="I62" s="19">
        <v>4</v>
      </c>
      <c r="J62" s="19">
        <v>0</v>
      </c>
      <c r="K62" s="19"/>
      <c r="L62" s="19" t="s">
        <v>62</v>
      </c>
      <c r="M62" s="21"/>
      <c r="N62">
        <f t="shared" si="0"/>
        <v>1</v>
      </c>
    </row>
    <row r="63" spans="1:14" x14ac:dyDescent="0.35">
      <c r="A63" s="22" t="s">
        <v>124</v>
      </c>
      <c r="B63" s="23" t="s">
        <v>45</v>
      </c>
      <c r="C63" s="23">
        <v>11</v>
      </c>
      <c r="D63" s="24">
        <v>45964</v>
      </c>
      <c r="E63" s="23" t="s">
        <v>25</v>
      </c>
      <c r="F63" s="23" t="s">
        <v>40</v>
      </c>
      <c r="G63" s="23" t="s">
        <v>27</v>
      </c>
      <c r="H63" s="23" t="s">
        <v>22</v>
      </c>
      <c r="I63" s="23">
        <v>24</v>
      </c>
      <c r="J63" s="23">
        <v>2</v>
      </c>
      <c r="K63" s="23">
        <v>5</v>
      </c>
      <c r="L63" s="23" t="s">
        <v>8363</v>
      </c>
      <c r="M63" s="25">
        <v>8.3000000000000007</v>
      </c>
      <c r="N63">
        <f t="shared" si="0"/>
        <v>1</v>
      </c>
    </row>
    <row r="64" spans="1:14" x14ac:dyDescent="0.35">
      <c r="A64" s="6" t="s">
        <v>125</v>
      </c>
      <c r="B64" s="19" t="s">
        <v>126</v>
      </c>
      <c r="C64" s="19">
        <v>8</v>
      </c>
      <c r="D64" s="20">
        <v>45887</v>
      </c>
      <c r="E64" s="19" t="s">
        <v>25</v>
      </c>
      <c r="F64" s="19" t="s">
        <v>43</v>
      </c>
      <c r="G64" s="19" t="s">
        <v>31</v>
      </c>
      <c r="H64" s="19" t="s">
        <v>22</v>
      </c>
      <c r="I64" s="19">
        <v>24</v>
      </c>
      <c r="J64" s="19">
        <v>2</v>
      </c>
      <c r="K64" s="19">
        <v>3</v>
      </c>
      <c r="L64" s="19" t="s">
        <v>75</v>
      </c>
      <c r="M64" s="21">
        <v>5.6</v>
      </c>
      <c r="N64">
        <f t="shared" si="0"/>
        <v>1</v>
      </c>
    </row>
    <row r="65" spans="1:14" x14ac:dyDescent="0.35">
      <c r="A65" s="22" t="s">
        <v>127</v>
      </c>
      <c r="B65" s="23" t="s">
        <v>69</v>
      </c>
      <c r="C65" s="23">
        <v>11</v>
      </c>
      <c r="D65" s="24">
        <v>45977</v>
      </c>
      <c r="E65" s="23" t="s">
        <v>68</v>
      </c>
      <c r="F65" s="23" t="s">
        <v>40</v>
      </c>
      <c r="G65" s="23" t="s">
        <v>31</v>
      </c>
      <c r="H65" s="23" t="s">
        <v>22</v>
      </c>
      <c r="I65" s="23">
        <v>72</v>
      </c>
      <c r="J65" s="23">
        <v>0</v>
      </c>
      <c r="K65" s="23"/>
      <c r="L65" s="23" t="s">
        <v>33</v>
      </c>
      <c r="M65" s="25">
        <v>16</v>
      </c>
      <c r="N65">
        <f t="shared" si="0"/>
        <v>1</v>
      </c>
    </row>
    <row r="66" spans="1:14" x14ac:dyDescent="0.35">
      <c r="A66" s="6" t="s">
        <v>128</v>
      </c>
      <c r="B66" s="19" t="s">
        <v>101</v>
      </c>
      <c r="C66" s="19"/>
      <c r="D66" s="20"/>
      <c r="E66" s="19" t="s">
        <v>13</v>
      </c>
      <c r="F66" s="19" t="s">
        <v>43</v>
      </c>
      <c r="G66" s="19" t="s">
        <v>21</v>
      </c>
      <c r="H66" s="19" t="s">
        <v>22</v>
      </c>
      <c r="I66" s="19">
        <v>24</v>
      </c>
      <c r="J66" s="19">
        <v>1</v>
      </c>
      <c r="K66" s="19">
        <v>2</v>
      </c>
      <c r="L66" s="19" t="s">
        <v>55</v>
      </c>
      <c r="M66" s="21">
        <v>6.5</v>
      </c>
      <c r="N66">
        <f t="shared" si="0"/>
        <v>1</v>
      </c>
    </row>
    <row r="67" spans="1:14" x14ac:dyDescent="0.35">
      <c r="A67" s="22" t="s">
        <v>129</v>
      </c>
      <c r="B67" s="23" t="s">
        <v>130</v>
      </c>
      <c r="C67" s="23">
        <v>12</v>
      </c>
      <c r="D67" s="24">
        <v>45995</v>
      </c>
      <c r="E67" s="23" t="s">
        <v>25</v>
      </c>
      <c r="F67" s="23" t="s">
        <v>14</v>
      </c>
      <c r="G67" s="23" t="s">
        <v>31</v>
      </c>
      <c r="H67" s="23" t="s">
        <v>32</v>
      </c>
      <c r="I67" s="23">
        <v>8</v>
      </c>
      <c r="J67" s="23">
        <v>0</v>
      </c>
      <c r="K67" s="23">
        <v>3</v>
      </c>
      <c r="L67" s="23" t="s">
        <v>44</v>
      </c>
      <c r="M67" s="25">
        <v>36.1</v>
      </c>
      <c r="N67">
        <f t="shared" ref="N67:N130" si="1">IF(M67 &lt;= I67, 1, 0)</f>
        <v>0</v>
      </c>
    </row>
    <row r="68" spans="1:14" x14ac:dyDescent="0.35">
      <c r="A68" s="6" t="s">
        <v>131</v>
      </c>
      <c r="B68" s="19" t="s">
        <v>78</v>
      </c>
      <c r="C68" s="19">
        <v>4</v>
      </c>
      <c r="D68" s="20">
        <v>45762</v>
      </c>
      <c r="E68" s="19" t="s">
        <v>13</v>
      </c>
      <c r="F68" s="19" t="s">
        <v>43</v>
      </c>
      <c r="G68" s="19" t="s">
        <v>15</v>
      </c>
      <c r="H68" s="19" t="s">
        <v>28</v>
      </c>
      <c r="I68" s="19">
        <v>72</v>
      </c>
      <c r="J68" s="19">
        <v>0</v>
      </c>
      <c r="K68" s="19">
        <v>3</v>
      </c>
      <c r="L68" s="19" t="s">
        <v>75</v>
      </c>
      <c r="M68" s="21">
        <v>14.6</v>
      </c>
      <c r="N68">
        <f t="shared" si="1"/>
        <v>1</v>
      </c>
    </row>
    <row r="69" spans="1:14" x14ac:dyDescent="0.35">
      <c r="A69" s="22" t="s">
        <v>132</v>
      </c>
      <c r="B69" s="23" t="s">
        <v>87</v>
      </c>
      <c r="C69" s="23">
        <v>11</v>
      </c>
      <c r="D69" s="24">
        <v>45991</v>
      </c>
      <c r="E69" s="23" t="s">
        <v>13</v>
      </c>
      <c r="F69" s="23" t="s">
        <v>14</v>
      </c>
      <c r="G69" s="23" t="s">
        <v>31</v>
      </c>
      <c r="H69" s="23" t="s">
        <v>16</v>
      </c>
      <c r="I69" s="23">
        <v>48</v>
      </c>
      <c r="J69" s="23">
        <v>3</v>
      </c>
      <c r="K69" s="23">
        <v>4</v>
      </c>
      <c r="L69" s="23" t="s">
        <v>62</v>
      </c>
      <c r="M69" s="25"/>
      <c r="N69">
        <f t="shared" si="1"/>
        <v>1</v>
      </c>
    </row>
    <row r="70" spans="1:14" x14ac:dyDescent="0.35">
      <c r="A70" s="6" t="s">
        <v>133</v>
      </c>
      <c r="B70" s="19" t="s">
        <v>65</v>
      </c>
      <c r="C70" s="19">
        <v>4</v>
      </c>
      <c r="D70" s="20">
        <v>45760</v>
      </c>
      <c r="E70" s="19" t="s">
        <v>13</v>
      </c>
      <c r="F70" s="19" t="s">
        <v>59</v>
      </c>
      <c r="G70" s="19" t="s">
        <v>27</v>
      </c>
      <c r="H70" s="19" t="s">
        <v>16</v>
      </c>
      <c r="I70" s="19">
        <v>24</v>
      </c>
      <c r="J70" s="19">
        <v>0</v>
      </c>
      <c r="K70" s="19">
        <v>4</v>
      </c>
      <c r="L70" s="19" t="s">
        <v>38</v>
      </c>
      <c r="M70" s="21"/>
      <c r="N70">
        <f t="shared" si="1"/>
        <v>1</v>
      </c>
    </row>
    <row r="71" spans="1:14" x14ac:dyDescent="0.35">
      <c r="A71" s="22" t="s">
        <v>134</v>
      </c>
      <c r="B71" s="23" t="s">
        <v>49</v>
      </c>
      <c r="C71" s="23">
        <v>9</v>
      </c>
      <c r="D71" s="24">
        <v>45930</v>
      </c>
      <c r="E71" s="23" t="s">
        <v>36</v>
      </c>
      <c r="F71" s="23" t="s">
        <v>8364</v>
      </c>
      <c r="G71" s="23" t="s">
        <v>15</v>
      </c>
      <c r="H71" s="23" t="s">
        <v>32</v>
      </c>
      <c r="I71" s="23">
        <v>48</v>
      </c>
      <c r="J71" s="23">
        <v>3</v>
      </c>
      <c r="K71" s="23">
        <v>4</v>
      </c>
      <c r="L71" s="23" t="s">
        <v>44</v>
      </c>
      <c r="M71" s="25"/>
      <c r="N71">
        <f t="shared" si="1"/>
        <v>1</v>
      </c>
    </row>
    <row r="72" spans="1:14" x14ac:dyDescent="0.35">
      <c r="A72" s="6" t="s">
        <v>135</v>
      </c>
      <c r="B72" s="19" t="s">
        <v>47</v>
      </c>
      <c r="C72" s="19">
        <v>12</v>
      </c>
      <c r="D72" s="20">
        <v>45999</v>
      </c>
      <c r="E72" s="19" t="s">
        <v>13</v>
      </c>
      <c r="F72" s="19" t="s">
        <v>14</v>
      </c>
      <c r="G72" s="19" t="s">
        <v>15</v>
      </c>
      <c r="H72" s="19" t="s">
        <v>22</v>
      </c>
      <c r="I72" s="19">
        <v>8</v>
      </c>
      <c r="J72" s="19">
        <v>0</v>
      </c>
      <c r="K72" s="19">
        <v>5</v>
      </c>
      <c r="L72" s="19" t="s">
        <v>8363</v>
      </c>
      <c r="M72" s="21">
        <v>2.6</v>
      </c>
      <c r="N72">
        <f t="shared" si="1"/>
        <v>1</v>
      </c>
    </row>
    <row r="73" spans="1:14" x14ac:dyDescent="0.35">
      <c r="A73" s="22" t="s">
        <v>136</v>
      </c>
      <c r="B73" s="23" t="s">
        <v>65</v>
      </c>
      <c r="C73" s="23">
        <v>3</v>
      </c>
      <c r="D73" s="24">
        <v>45733</v>
      </c>
      <c r="E73" s="23" t="s">
        <v>36</v>
      </c>
      <c r="F73" s="23" t="s">
        <v>40</v>
      </c>
      <c r="G73" s="23" t="s">
        <v>31</v>
      </c>
      <c r="H73" s="23" t="s">
        <v>16</v>
      </c>
      <c r="I73" s="23">
        <v>72</v>
      </c>
      <c r="J73" s="23">
        <v>0</v>
      </c>
      <c r="K73" s="23">
        <v>5</v>
      </c>
      <c r="L73" s="23" t="s">
        <v>44</v>
      </c>
      <c r="M73" s="25">
        <v>33.200000000000003</v>
      </c>
      <c r="N73">
        <f t="shared" si="1"/>
        <v>1</v>
      </c>
    </row>
    <row r="74" spans="1:14" x14ac:dyDescent="0.35">
      <c r="A74" s="6" t="s">
        <v>137</v>
      </c>
      <c r="B74" s="19" t="s">
        <v>53</v>
      </c>
      <c r="C74" s="19">
        <v>8</v>
      </c>
      <c r="D74" s="20">
        <v>45896</v>
      </c>
      <c r="E74" s="19" t="s">
        <v>36</v>
      </c>
      <c r="F74" s="19" t="s">
        <v>40</v>
      </c>
      <c r="G74" s="19" t="s">
        <v>31</v>
      </c>
      <c r="H74" s="19" t="s">
        <v>28</v>
      </c>
      <c r="I74" s="19">
        <v>24</v>
      </c>
      <c r="J74" s="19">
        <v>1</v>
      </c>
      <c r="K74" s="19">
        <v>5</v>
      </c>
      <c r="L74" s="19" t="s">
        <v>62</v>
      </c>
      <c r="M74" s="21">
        <v>19.3</v>
      </c>
      <c r="N74">
        <f t="shared" si="1"/>
        <v>1</v>
      </c>
    </row>
    <row r="75" spans="1:14" x14ac:dyDescent="0.35">
      <c r="A75" s="22" t="s">
        <v>138</v>
      </c>
      <c r="B75" s="23" t="s">
        <v>139</v>
      </c>
      <c r="C75" s="23">
        <v>5</v>
      </c>
      <c r="D75" s="24">
        <v>45803</v>
      </c>
      <c r="E75" s="23" t="s">
        <v>25</v>
      </c>
      <c r="F75" s="23" t="s">
        <v>14</v>
      </c>
      <c r="G75" s="23" t="s">
        <v>15</v>
      </c>
      <c r="H75" s="23" t="s">
        <v>28</v>
      </c>
      <c r="I75" s="23">
        <v>4</v>
      </c>
      <c r="J75" s="23">
        <v>3</v>
      </c>
      <c r="K75" s="23"/>
      <c r="L75" s="23" t="s">
        <v>44</v>
      </c>
      <c r="M75" s="25">
        <v>3.6</v>
      </c>
      <c r="N75">
        <f t="shared" si="1"/>
        <v>1</v>
      </c>
    </row>
    <row r="76" spans="1:14" x14ac:dyDescent="0.35">
      <c r="A76" s="6" t="s">
        <v>140</v>
      </c>
      <c r="B76" s="19" t="s">
        <v>89</v>
      </c>
      <c r="C76" s="19">
        <v>12</v>
      </c>
      <c r="D76" s="20">
        <v>46006</v>
      </c>
      <c r="E76" s="19" t="s">
        <v>13</v>
      </c>
      <c r="F76" s="19" t="s">
        <v>43</v>
      </c>
      <c r="G76" s="19" t="s">
        <v>31</v>
      </c>
      <c r="H76" s="19" t="s">
        <v>22</v>
      </c>
      <c r="I76" s="19">
        <v>4</v>
      </c>
      <c r="J76" s="19">
        <v>0</v>
      </c>
      <c r="K76" s="19">
        <v>4</v>
      </c>
      <c r="L76" s="19" t="s">
        <v>62</v>
      </c>
      <c r="M76" s="21">
        <v>8</v>
      </c>
      <c r="N76">
        <f t="shared" si="1"/>
        <v>0</v>
      </c>
    </row>
    <row r="77" spans="1:14" x14ac:dyDescent="0.35">
      <c r="A77" s="22" t="s">
        <v>141</v>
      </c>
      <c r="B77" s="23" t="s">
        <v>18</v>
      </c>
      <c r="C77" s="23">
        <v>2</v>
      </c>
      <c r="D77" s="24">
        <v>45694</v>
      </c>
      <c r="E77" s="23" t="s">
        <v>13</v>
      </c>
      <c r="F77" s="23" t="s">
        <v>43</v>
      </c>
      <c r="G77" s="23" t="s">
        <v>27</v>
      </c>
      <c r="H77" s="23" t="s">
        <v>22</v>
      </c>
      <c r="I77" s="23">
        <v>24</v>
      </c>
      <c r="J77" s="23">
        <v>0</v>
      </c>
      <c r="K77" s="23">
        <v>4</v>
      </c>
      <c r="L77" s="23" t="s">
        <v>44</v>
      </c>
      <c r="M77" s="25">
        <v>6.2</v>
      </c>
      <c r="N77">
        <f t="shared" si="1"/>
        <v>1</v>
      </c>
    </row>
    <row r="78" spans="1:14" x14ac:dyDescent="0.35">
      <c r="A78" s="6" t="s">
        <v>142</v>
      </c>
      <c r="B78" s="19" t="s">
        <v>143</v>
      </c>
      <c r="C78" s="19">
        <v>1</v>
      </c>
      <c r="D78" s="20">
        <v>45663</v>
      </c>
      <c r="E78" s="19" t="s">
        <v>25</v>
      </c>
      <c r="F78" s="19" t="s">
        <v>14</v>
      </c>
      <c r="G78" s="19" t="s">
        <v>8364</v>
      </c>
      <c r="H78" s="19" t="s">
        <v>8364</v>
      </c>
      <c r="I78" s="19">
        <v>72</v>
      </c>
      <c r="J78" s="19">
        <v>0</v>
      </c>
      <c r="K78" s="19">
        <v>5</v>
      </c>
      <c r="L78" s="19" t="s">
        <v>38</v>
      </c>
      <c r="M78" s="21">
        <v>10.6</v>
      </c>
      <c r="N78">
        <f t="shared" si="1"/>
        <v>1</v>
      </c>
    </row>
    <row r="79" spans="1:14" x14ac:dyDescent="0.35">
      <c r="A79" s="22" t="s">
        <v>144</v>
      </c>
      <c r="B79" s="23" t="s">
        <v>57</v>
      </c>
      <c r="C79" s="23">
        <v>8</v>
      </c>
      <c r="D79" s="24">
        <v>45894</v>
      </c>
      <c r="E79" s="23" t="s">
        <v>20</v>
      </c>
      <c r="F79" s="23" t="s">
        <v>8364</v>
      </c>
      <c r="G79" s="23" t="s">
        <v>8364</v>
      </c>
      <c r="H79" s="23" t="s">
        <v>8364</v>
      </c>
      <c r="I79" s="23">
        <v>8</v>
      </c>
      <c r="J79" s="23">
        <v>1</v>
      </c>
      <c r="K79" s="23">
        <v>4</v>
      </c>
      <c r="L79" s="23" t="s">
        <v>75</v>
      </c>
      <c r="M79" s="25">
        <v>38.1</v>
      </c>
      <c r="N79">
        <f t="shared" si="1"/>
        <v>0</v>
      </c>
    </row>
    <row r="80" spans="1:14" x14ac:dyDescent="0.35">
      <c r="A80" s="6" t="s">
        <v>145</v>
      </c>
      <c r="B80" s="19" t="s">
        <v>146</v>
      </c>
      <c r="C80" s="19">
        <v>5</v>
      </c>
      <c r="D80" s="20">
        <v>45790</v>
      </c>
      <c r="E80" s="19" t="s">
        <v>20</v>
      </c>
      <c r="F80" s="19" t="s">
        <v>43</v>
      </c>
      <c r="G80" s="19" t="s">
        <v>31</v>
      </c>
      <c r="H80" s="19" t="s">
        <v>22</v>
      </c>
      <c r="I80" s="19">
        <v>4</v>
      </c>
      <c r="J80" s="19">
        <v>0</v>
      </c>
      <c r="K80" s="19">
        <v>5</v>
      </c>
      <c r="L80" s="19" t="s">
        <v>44</v>
      </c>
      <c r="M80" s="21">
        <v>13.3</v>
      </c>
      <c r="N80">
        <f t="shared" si="1"/>
        <v>0</v>
      </c>
    </row>
    <row r="81" spans="1:14" x14ac:dyDescent="0.35">
      <c r="A81" s="22" t="s">
        <v>147</v>
      </c>
      <c r="B81" s="23" t="s">
        <v>69</v>
      </c>
      <c r="C81" s="23">
        <v>9</v>
      </c>
      <c r="D81" s="24">
        <v>45914</v>
      </c>
      <c r="E81" s="23" t="s">
        <v>13</v>
      </c>
      <c r="F81" s="23" t="s">
        <v>59</v>
      </c>
      <c r="G81" s="23" t="s">
        <v>31</v>
      </c>
      <c r="H81" s="23" t="s">
        <v>22</v>
      </c>
      <c r="I81" s="23">
        <v>4</v>
      </c>
      <c r="J81" s="23">
        <v>0</v>
      </c>
      <c r="K81" s="23">
        <v>4</v>
      </c>
      <c r="L81" s="23" t="s">
        <v>17</v>
      </c>
      <c r="M81" s="25">
        <v>4.4000000000000004</v>
      </c>
      <c r="N81">
        <f t="shared" si="1"/>
        <v>0</v>
      </c>
    </row>
    <row r="82" spans="1:14" x14ac:dyDescent="0.35">
      <c r="A82" s="6" t="s">
        <v>148</v>
      </c>
      <c r="B82" s="19" t="s">
        <v>92</v>
      </c>
      <c r="C82" s="19">
        <v>8</v>
      </c>
      <c r="D82" s="20">
        <v>45884</v>
      </c>
      <c r="E82" s="19" t="s">
        <v>36</v>
      </c>
      <c r="F82" s="19" t="s">
        <v>8364</v>
      </c>
      <c r="G82" s="19" t="s">
        <v>21</v>
      </c>
      <c r="H82" s="19" t="s">
        <v>8364</v>
      </c>
      <c r="I82" s="19">
        <v>48</v>
      </c>
      <c r="J82" s="19">
        <v>2</v>
      </c>
      <c r="K82" s="19">
        <v>5</v>
      </c>
      <c r="L82" s="19" t="s">
        <v>8363</v>
      </c>
      <c r="M82" s="21">
        <v>16.399999999999999</v>
      </c>
      <c r="N82">
        <f t="shared" si="1"/>
        <v>1</v>
      </c>
    </row>
    <row r="83" spans="1:14" x14ac:dyDescent="0.35">
      <c r="A83" s="22" t="s">
        <v>149</v>
      </c>
      <c r="B83" s="23" t="s">
        <v>104</v>
      </c>
      <c r="C83" s="23">
        <v>5</v>
      </c>
      <c r="D83" s="24">
        <v>45779</v>
      </c>
      <c r="E83" s="23" t="s">
        <v>68</v>
      </c>
      <c r="F83" s="23" t="s">
        <v>8364</v>
      </c>
      <c r="G83" s="23" t="s">
        <v>21</v>
      </c>
      <c r="H83" s="23" t="s">
        <v>22</v>
      </c>
      <c r="I83" s="23">
        <v>24</v>
      </c>
      <c r="J83" s="23"/>
      <c r="K83" s="23">
        <v>2</v>
      </c>
      <c r="L83" s="23" t="s">
        <v>44</v>
      </c>
      <c r="M83" s="25">
        <v>16.3</v>
      </c>
      <c r="N83">
        <f t="shared" si="1"/>
        <v>1</v>
      </c>
    </row>
    <row r="84" spans="1:14" x14ac:dyDescent="0.35">
      <c r="A84" s="6" t="s">
        <v>150</v>
      </c>
      <c r="B84" s="19" t="s">
        <v>34</v>
      </c>
      <c r="C84" s="19">
        <v>1</v>
      </c>
      <c r="D84" s="20">
        <v>45668</v>
      </c>
      <c r="E84" s="19" t="s">
        <v>36</v>
      </c>
      <c r="F84" s="19" t="s">
        <v>26</v>
      </c>
      <c r="G84" s="19" t="s">
        <v>15</v>
      </c>
      <c r="H84" s="19" t="s">
        <v>32</v>
      </c>
      <c r="I84" s="19">
        <v>4</v>
      </c>
      <c r="J84" s="19">
        <v>0</v>
      </c>
      <c r="K84" s="19">
        <v>5</v>
      </c>
      <c r="L84" s="19" t="s">
        <v>17</v>
      </c>
      <c r="M84" s="21">
        <v>21.4</v>
      </c>
      <c r="N84">
        <f t="shared" si="1"/>
        <v>0</v>
      </c>
    </row>
    <row r="85" spans="1:14" x14ac:dyDescent="0.35">
      <c r="A85" s="22" t="s">
        <v>151</v>
      </c>
      <c r="B85" s="23" t="s">
        <v>57</v>
      </c>
      <c r="C85" s="23">
        <v>7</v>
      </c>
      <c r="D85" s="24">
        <v>45842</v>
      </c>
      <c r="E85" s="23" t="s">
        <v>36</v>
      </c>
      <c r="F85" s="23" t="s">
        <v>14</v>
      </c>
      <c r="G85" s="23" t="s">
        <v>15</v>
      </c>
      <c r="H85" s="23" t="s">
        <v>28</v>
      </c>
      <c r="I85" s="23">
        <v>48</v>
      </c>
      <c r="J85" s="23">
        <v>0</v>
      </c>
      <c r="K85" s="23">
        <v>4</v>
      </c>
      <c r="L85" s="23" t="s">
        <v>44</v>
      </c>
      <c r="M85" s="25">
        <v>19.899999999999999</v>
      </c>
      <c r="N85">
        <f t="shared" si="1"/>
        <v>1</v>
      </c>
    </row>
    <row r="86" spans="1:14" x14ac:dyDescent="0.35">
      <c r="A86" s="6" t="s">
        <v>152</v>
      </c>
      <c r="B86" s="19" t="s">
        <v>69</v>
      </c>
      <c r="C86" s="19">
        <v>2</v>
      </c>
      <c r="D86" s="20">
        <v>45711</v>
      </c>
      <c r="E86" s="19" t="s">
        <v>13</v>
      </c>
      <c r="F86" s="19" t="s">
        <v>14</v>
      </c>
      <c r="G86" s="19" t="s">
        <v>21</v>
      </c>
      <c r="H86" s="19" t="s">
        <v>22</v>
      </c>
      <c r="I86" s="19">
        <v>4</v>
      </c>
      <c r="J86" s="19">
        <v>1</v>
      </c>
      <c r="K86" s="19">
        <v>5</v>
      </c>
      <c r="L86" s="19" t="s">
        <v>38</v>
      </c>
      <c r="M86" s="21">
        <v>5.8</v>
      </c>
      <c r="N86">
        <f t="shared" si="1"/>
        <v>0</v>
      </c>
    </row>
    <row r="87" spans="1:14" x14ac:dyDescent="0.35">
      <c r="A87" s="22" t="s">
        <v>153</v>
      </c>
      <c r="B87" s="23" t="s">
        <v>130</v>
      </c>
      <c r="C87" s="23">
        <v>1</v>
      </c>
      <c r="D87" s="24">
        <v>45673</v>
      </c>
      <c r="E87" s="23" t="s">
        <v>20</v>
      </c>
      <c r="F87" s="23" t="s">
        <v>40</v>
      </c>
      <c r="G87" s="23" t="s">
        <v>21</v>
      </c>
      <c r="H87" s="23" t="s">
        <v>32</v>
      </c>
      <c r="I87" s="23">
        <v>8</v>
      </c>
      <c r="J87" s="23">
        <v>0</v>
      </c>
      <c r="K87" s="23"/>
      <c r="L87" s="23" t="s">
        <v>8363</v>
      </c>
      <c r="M87" s="25">
        <v>6</v>
      </c>
      <c r="N87">
        <f t="shared" si="1"/>
        <v>1</v>
      </c>
    </row>
    <row r="88" spans="1:14" x14ac:dyDescent="0.35">
      <c r="A88" s="6" t="s">
        <v>154</v>
      </c>
      <c r="B88" s="19" t="s">
        <v>72</v>
      </c>
      <c r="C88" s="19"/>
      <c r="D88" s="20"/>
      <c r="E88" s="19" t="s">
        <v>13</v>
      </c>
      <c r="F88" s="19" t="s">
        <v>40</v>
      </c>
      <c r="G88" s="19" t="s">
        <v>31</v>
      </c>
      <c r="H88" s="19" t="s">
        <v>32</v>
      </c>
      <c r="I88" s="19">
        <v>24</v>
      </c>
      <c r="J88" s="19">
        <v>0</v>
      </c>
      <c r="K88" s="19">
        <v>3</v>
      </c>
      <c r="L88" s="19" t="s">
        <v>38</v>
      </c>
      <c r="M88" s="21">
        <v>14.7</v>
      </c>
      <c r="N88">
        <f t="shared" si="1"/>
        <v>1</v>
      </c>
    </row>
    <row r="89" spans="1:14" x14ac:dyDescent="0.35">
      <c r="A89" s="22" t="s">
        <v>155</v>
      </c>
      <c r="B89" s="23" t="s">
        <v>126</v>
      </c>
      <c r="C89" s="23">
        <v>7</v>
      </c>
      <c r="D89" s="24">
        <v>45868</v>
      </c>
      <c r="E89" s="23" t="s">
        <v>20</v>
      </c>
      <c r="F89" s="23" t="s">
        <v>14</v>
      </c>
      <c r="G89" s="23" t="s">
        <v>15</v>
      </c>
      <c r="H89" s="23" t="s">
        <v>28</v>
      </c>
      <c r="I89" s="23">
        <v>8</v>
      </c>
      <c r="J89" s="23">
        <v>1</v>
      </c>
      <c r="K89" s="23">
        <v>3</v>
      </c>
      <c r="L89" s="23" t="s">
        <v>44</v>
      </c>
      <c r="M89" s="25">
        <v>9.6999999999999993</v>
      </c>
      <c r="N89">
        <f t="shared" si="1"/>
        <v>0</v>
      </c>
    </row>
    <row r="90" spans="1:14" x14ac:dyDescent="0.35">
      <c r="A90" s="6" t="s">
        <v>156</v>
      </c>
      <c r="B90" s="19" t="s">
        <v>108</v>
      </c>
      <c r="C90" s="19">
        <v>4</v>
      </c>
      <c r="D90" s="20">
        <v>45772</v>
      </c>
      <c r="E90" s="19" t="s">
        <v>68</v>
      </c>
      <c r="F90" s="19" t="s">
        <v>37</v>
      </c>
      <c r="G90" s="19" t="s">
        <v>21</v>
      </c>
      <c r="H90" s="19" t="s">
        <v>22</v>
      </c>
      <c r="I90" s="19">
        <v>4</v>
      </c>
      <c r="J90" s="19">
        <v>0</v>
      </c>
      <c r="K90" s="19">
        <v>3</v>
      </c>
      <c r="L90" s="19" t="s">
        <v>38</v>
      </c>
      <c r="M90" s="21">
        <v>13.1</v>
      </c>
      <c r="N90">
        <f t="shared" si="1"/>
        <v>0</v>
      </c>
    </row>
    <row r="91" spans="1:14" x14ac:dyDescent="0.35">
      <c r="A91" s="22" t="s">
        <v>157</v>
      </c>
      <c r="B91" s="23" t="s">
        <v>158</v>
      </c>
      <c r="C91" s="23">
        <v>10</v>
      </c>
      <c r="D91" s="24">
        <v>45957</v>
      </c>
      <c r="E91" s="23" t="s">
        <v>36</v>
      </c>
      <c r="F91" s="23" t="s">
        <v>40</v>
      </c>
      <c r="G91" s="23" t="s">
        <v>31</v>
      </c>
      <c r="H91" s="23" t="s">
        <v>28</v>
      </c>
      <c r="I91" s="23">
        <v>72</v>
      </c>
      <c r="J91" s="23">
        <v>1</v>
      </c>
      <c r="K91" s="23">
        <v>1</v>
      </c>
      <c r="L91" s="23" t="s">
        <v>8363</v>
      </c>
      <c r="M91" s="25">
        <v>14.6</v>
      </c>
      <c r="N91">
        <f t="shared" si="1"/>
        <v>1</v>
      </c>
    </row>
    <row r="92" spans="1:14" x14ac:dyDescent="0.35">
      <c r="A92" s="6" t="s">
        <v>159</v>
      </c>
      <c r="B92" s="19" t="s">
        <v>51</v>
      </c>
      <c r="C92" s="19">
        <v>10</v>
      </c>
      <c r="D92" s="20">
        <v>45931</v>
      </c>
      <c r="E92" s="19" t="s">
        <v>13</v>
      </c>
      <c r="F92" s="19" t="s">
        <v>8364</v>
      </c>
      <c r="G92" s="19" t="s">
        <v>8364</v>
      </c>
      <c r="H92" s="19" t="s">
        <v>28</v>
      </c>
      <c r="I92" s="19">
        <v>4</v>
      </c>
      <c r="J92" s="19">
        <v>0</v>
      </c>
      <c r="K92" s="19">
        <v>2</v>
      </c>
      <c r="L92" s="19" t="s">
        <v>44</v>
      </c>
      <c r="M92" s="21">
        <v>17.3</v>
      </c>
      <c r="N92">
        <f t="shared" si="1"/>
        <v>0</v>
      </c>
    </row>
    <row r="93" spans="1:14" x14ac:dyDescent="0.35">
      <c r="A93" s="22" t="s">
        <v>160</v>
      </c>
      <c r="B93" s="23" t="s">
        <v>92</v>
      </c>
      <c r="C93" s="23">
        <v>11</v>
      </c>
      <c r="D93" s="24">
        <v>45966</v>
      </c>
      <c r="E93" s="23" t="s">
        <v>36</v>
      </c>
      <c r="F93" s="23" t="s">
        <v>8364</v>
      </c>
      <c r="G93" s="23" t="s">
        <v>27</v>
      </c>
      <c r="H93" s="23" t="s">
        <v>22</v>
      </c>
      <c r="I93" s="23">
        <v>4</v>
      </c>
      <c r="J93" s="23">
        <v>0</v>
      </c>
      <c r="K93" s="23">
        <v>5</v>
      </c>
      <c r="L93" s="23" t="s">
        <v>8363</v>
      </c>
      <c r="M93" s="25">
        <v>14.4</v>
      </c>
      <c r="N93">
        <f t="shared" si="1"/>
        <v>0</v>
      </c>
    </row>
    <row r="94" spans="1:14" x14ac:dyDescent="0.35">
      <c r="A94" s="6" t="s">
        <v>161</v>
      </c>
      <c r="B94" s="19" t="s">
        <v>92</v>
      </c>
      <c r="C94" s="19">
        <v>8</v>
      </c>
      <c r="D94" s="20">
        <v>45890</v>
      </c>
      <c r="E94" s="19" t="s">
        <v>68</v>
      </c>
      <c r="F94" s="19" t="s">
        <v>14</v>
      </c>
      <c r="G94" s="19" t="s">
        <v>31</v>
      </c>
      <c r="H94" s="19" t="s">
        <v>28</v>
      </c>
      <c r="I94" s="19">
        <v>24</v>
      </c>
      <c r="J94" s="19">
        <v>0</v>
      </c>
      <c r="K94" s="19"/>
      <c r="L94" s="19" t="s">
        <v>38</v>
      </c>
      <c r="M94" s="21">
        <v>3.5</v>
      </c>
      <c r="N94">
        <f t="shared" si="1"/>
        <v>1</v>
      </c>
    </row>
    <row r="95" spans="1:14" x14ac:dyDescent="0.35">
      <c r="A95" s="22" t="s">
        <v>162</v>
      </c>
      <c r="B95" s="23" t="s">
        <v>158</v>
      </c>
      <c r="C95" s="23">
        <v>1</v>
      </c>
      <c r="D95" s="24">
        <v>45681</v>
      </c>
      <c r="E95" s="23" t="s">
        <v>36</v>
      </c>
      <c r="F95" s="23" t="s">
        <v>43</v>
      </c>
      <c r="G95" s="23" t="s">
        <v>8364</v>
      </c>
      <c r="H95" s="23" t="s">
        <v>32</v>
      </c>
      <c r="I95" s="23">
        <v>24</v>
      </c>
      <c r="J95" s="23">
        <v>1</v>
      </c>
      <c r="K95" s="23">
        <v>2</v>
      </c>
      <c r="L95" s="23" t="s">
        <v>62</v>
      </c>
      <c r="M95" s="25">
        <v>30.4</v>
      </c>
      <c r="N95">
        <f t="shared" si="1"/>
        <v>0</v>
      </c>
    </row>
    <row r="96" spans="1:14" x14ac:dyDescent="0.35">
      <c r="A96" s="6" t="s">
        <v>163</v>
      </c>
      <c r="B96" s="19" t="s">
        <v>51</v>
      </c>
      <c r="C96" s="19">
        <v>7</v>
      </c>
      <c r="D96" s="20">
        <v>45851</v>
      </c>
      <c r="E96" s="19" t="s">
        <v>13</v>
      </c>
      <c r="F96" s="19" t="s">
        <v>14</v>
      </c>
      <c r="G96" s="19" t="s">
        <v>31</v>
      </c>
      <c r="H96" s="19" t="s">
        <v>22</v>
      </c>
      <c r="I96" s="19">
        <v>24</v>
      </c>
      <c r="J96" s="19">
        <v>0</v>
      </c>
      <c r="K96" s="19">
        <v>5</v>
      </c>
      <c r="L96" s="19" t="s">
        <v>8363</v>
      </c>
      <c r="M96" s="21">
        <v>2.2999999999999998</v>
      </c>
      <c r="N96">
        <f t="shared" si="1"/>
        <v>1</v>
      </c>
    </row>
    <row r="97" spans="1:14" x14ac:dyDescent="0.35">
      <c r="A97" s="22" t="s">
        <v>164</v>
      </c>
      <c r="B97" s="23" t="s">
        <v>51</v>
      </c>
      <c r="C97" s="23">
        <v>8</v>
      </c>
      <c r="D97" s="24">
        <v>45871</v>
      </c>
      <c r="E97" s="23" t="s">
        <v>36</v>
      </c>
      <c r="F97" s="23" t="s">
        <v>14</v>
      </c>
      <c r="G97" s="23" t="s">
        <v>21</v>
      </c>
      <c r="H97" s="23" t="s">
        <v>32</v>
      </c>
      <c r="I97" s="23">
        <v>48</v>
      </c>
      <c r="J97" s="23">
        <v>1</v>
      </c>
      <c r="K97" s="23">
        <v>3</v>
      </c>
      <c r="L97" s="23" t="s">
        <v>55</v>
      </c>
      <c r="M97" s="25">
        <v>6.5</v>
      </c>
      <c r="N97">
        <f t="shared" si="1"/>
        <v>1</v>
      </c>
    </row>
    <row r="98" spans="1:14" x14ac:dyDescent="0.35">
      <c r="A98" s="6" t="s">
        <v>165</v>
      </c>
      <c r="B98" s="19" t="s">
        <v>49</v>
      </c>
      <c r="C98" s="19">
        <v>6</v>
      </c>
      <c r="D98" s="20">
        <v>45817</v>
      </c>
      <c r="E98" s="19" t="s">
        <v>36</v>
      </c>
      <c r="F98" s="19" t="s">
        <v>14</v>
      </c>
      <c r="G98" s="19" t="s">
        <v>15</v>
      </c>
      <c r="H98" s="19" t="s">
        <v>16</v>
      </c>
      <c r="I98" s="19">
        <v>8</v>
      </c>
      <c r="J98" s="19">
        <v>0</v>
      </c>
      <c r="K98" s="19">
        <v>4</v>
      </c>
      <c r="L98" s="19" t="s">
        <v>38</v>
      </c>
      <c r="M98" s="21">
        <v>6</v>
      </c>
      <c r="N98">
        <f t="shared" si="1"/>
        <v>1</v>
      </c>
    </row>
    <row r="99" spans="1:14" x14ac:dyDescent="0.35">
      <c r="A99" s="22" t="s">
        <v>166</v>
      </c>
      <c r="B99" s="23" t="s">
        <v>39</v>
      </c>
      <c r="C99" s="23">
        <v>1</v>
      </c>
      <c r="D99" s="24">
        <v>45674</v>
      </c>
      <c r="E99" s="23" t="s">
        <v>8364</v>
      </c>
      <c r="F99" s="23" t="s">
        <v>59</v>
      </c>
      <c r="G99" s="23" t="s">
        <v>15</v>
      </c>
      <c r="H99" s="23" t="s">
        <v>22</v>
      </c>
      <c r="I99" s="23">
        <v>24</v>
      </c>
      <c r="J99" s="23">
        <v>0</v>
      </c>
      <c r="K99" s="23">
        <v>5</v>
      </c>
      <c r="L99" s="23" t="s">
        <v>8363</v>
      </c>
      <c r="M99" s="25">
        <v>9.5</v>
      </c>
      <c r="N99">
        <f t="shared" si="1"/>
        <v>1</v>
      </c>
    </row>
    <row r="100" spans="1:14" x14ac:dyDescent="0.35">
      <c r="A100" s="6" t="s">
        <v>167</v>
      </c>
      <c r="B100" s="19" t="s">
        <v>99</v>
      </c>
      <c r="C100" s="19">
        <v>4</v>
      </c>
      <c r="D100" s="20">
        <v>45755</v>
      </c>
      <c r="E100" s="19" t="s">
        <v>8364</v>
      </c>
      <c r="F100" s="19" t="s">
        <v>43</v>
      </c>
      <c r="G100" s="19" t="s">
        <v>27</v>
      </c>
      <c r="H100" s="19" t="s">
        <v>22</v>
      </c>
      <c r="I100" s="19">
        <v>4</v>
      </c>
      <c r="J100" s="19">
        <v>0</v>
      </c>
      <c r="K100" s="19">
        <v>3</v>
      </c>
      <c r="L100" s="19" t="s">
        <v>75</v>
      </c>
      <c r="M100" s="21">
        <v>5.8</v>
      </c>
      <c r="N100">
        <f t="shared" si="1"/>
        <v>0</v>
      </c>
    </row>
    <row r="101" spans="1:14" x14ac:dyDescent="0.35">
      <c r="A101" s="22" t="s">
        <v>168</v>
      </c>
      <c r="B101" s="23" t="s">
        <v>51</v>
      </c>
      <c r="C101" s="23">
        <v>8</v>
      </c>
      <c r="D101" s="24">
        <v>45888</v>
      </c>
      <c r="E101" s="23" t="s">
        <v>13</v>
      </c>
      <c r="F101" s="23" t="s">
        <v>59</v>
      </c>
      <c r="G101" s="23" t="s">
        <v>27</v>
      </c>
      <c r="H101" s="23" t="s">
        <v>22</v>
      </c>
      <c r="I101" s="23">
        <v>72</v>
      </c>
      <c r="J101" s="23">
        <v>0</v>
      </c>
      <c r="K101" s="23"/>
      <c r="L101" s="23" t="s">
        <v>55</v>
      </c>
      <c r="M101" s="25">
        <v>16</v>
      </c>
      <c r="N101">
        <f t="shared" si="1"/>
        <v>1</v>
      </c>
    </row>
    <row r="102" spans="1:14" x14ac:dyDescent="0.35">
      <c r="A102" s="6" t="s">
        <v>169</v>
      </c>
      <c r="B102" s="19" t="s">
        <v>99</v>
      </c>
      <c r="C102" s="19">
        <v>6</v>
      </c>
      <c r="D102" s="20">
        <v>45833</v>
      </c>
      <c r="E102" s="19" t="s">
        <v>68</v>
      </c>
      <c r="F102" s="19" t="s">
        <v>26</v>
      </c>
      <c r="G102" s="19" t="s">
        <v>21</v>
      </c>
      <c r="H102" s="19" t="s">
        <v>16</v>
      </c>
      <c r="I102" s="19">
        <v>4</v>
      </c>
      <c r="J102" s="19">
        <v>0</v>
      </c>
      <c r="K102" s="19">
        <v>4</v>
      </c>
      <c r="L102" s="19" t="s">
        <v>62</v>
      </c>
      <c r="M102" s="21">
        <v>7.9</v>
      </c>
      <c r="N102">
        <f t="shared" si="1"/>
        <v>0</v>
      </c>
    </row>
    <row r="103" spans="1:14" x14ac:dyDescent="0.35">
      <c r="A103" s="22" t="s">
        <v>170</v>
      </c>
      <c r="B103" s="23" t="s">
        <v>18</v>
      </c>
      <c r="C103" s="23">
        <v>5</v>
      </c>
      <c r="D103" s="24">
        <v>45791</v>
      </c>
      <c r="E103" s="23" t="s">
        <v>36</v>
      </c>
      <c r="F103" s="23" t="s">
        <v>14</v>
      </c>
      <c r="G103" s="23" t="s">
        <v>27</v>
      </c>
      <c r="H103" s="23" t="s">
        <v>22</v>
      </c>
      <c r="I103" s="23">
        <v>24</v>
      </c>
      <c r="J103" s="23">
        <v>0</v>
      </c>
      <c r="K103" s="23">
        <v>1</v>
      </c>
      <c r="L103" s="23" t="s">
        <v>62</v>
      </c>
      <c r="M103" s="25">
        <v>20.2</v>
      </c>
      <c r="N103">
        <f t="shared" si="1"/>
        <v>1</v>
      </c>
    </row>
    <row r="104" spans="1:14" x14ac:dyDescent="0.35">
      <c r="A104" s="6" t="s">
        <v>171</v>
      </c>
      <c r="B104" s="19" t="s">
        <v>69</v>
      </c>
      <c r="C104" s="19">
        <v>1</v>
      </c>
      <c r="D104" s="20">
        <v>45684</v>
      </c>
      <c r="E104" s="19" t="s">
        <v>25</v>
      </c>
      <c r="F104" s="19" t="s">
        <v>14</v>
      </c>
      <c r="G104" s="19" t="s">
        <v>27</v>
      </c>
      <c r="H104" s="19" t="s">
        <v>32</v>
      </c>
      <c r="I104" s="19">
        <v>4</v>
      </c>
      <c r="J104" s="19">
        <v>0</v>
      </c>
      <c r="K104" s="19">
        <v>5</v>
      </c>
      <c r="L104" s="19" t="s">
        <v>55</v>
      </c>
      <c r="M104" s="21"/>
      <c r="N104">
        <f t="shared" si="1"/>
        <v>1</v>
      </c>
    </row>
    <row r="105" spans="1:14" x14ac:dyDescent="0.35">
      <c r="A105" s="22" t="s">
        <v>172</v>
      </c>
      <c r="B105" s="23" t="s">
        <v>23</v>
      </c>
      <c r="C105" s="23">
        <v>7</v>
      </c>
      <c r="D105" s="24">
        <v>45842</v>
      </c>
      <c r="E105" s="23" t="s">
        <v>13</v>
      </c>
      <c r="F105" s="23" t="s">
        <v>40</v>
      </c>
      <c r="G105" s="23" t="s">
        <v>31</v>
      </c>
      <c r="H105" s="23" t="s">
        <v>22</v>
      </c>
      <c r="I105" s="23">
        <v>48</v>
      </c>
      <c r="J105" s="23">
        <v>0</v>
      </c>
      <c r="K105" s="23">
        <v>2</v>
      </c>
      <c r="L105" s="23" t="s">
        <v>75</v>
      </c>
      <c r="M105" s="25">
        <v>6.5</v>
      </c>
      <c r="N105">
        <f t="shared" si="1"/>
        <v>1</v>
      </c>
    </row>
    <row r="106" spans="1:14" x14ac:dyDescent="0.35">
      <c r="A106" s="6" t="s">
        <v>173</v>
      </c>
      <c r="B106" s="19" t="s">
        <v>65</v>
      </c>
      <c r="C106" s="19">
        <v>12</v>
      </c>
      <c r="D106" s="20">
        <v>46002</v>
      </c>
      <c r="E106" s="19" t="s">
        <v>20</v>
      </c>
      <c r="F106" s="19" t="s">
        <v>43</v>
      </c>
      <c r="G106" s="19" t="s">
        <v>21</v>
      </c>
      <c r="H106" s="19" t="s">
        <v>16</v>
      </c>
      <c r="I106" s="19">
        <v>24</v>
      </c>
      <c r="J106" s="19">
        <v>2</v>
      </c>
      <c r="K106" s="19">
        <v>4</v>
      </c>
      <c r="L106" s="19" t="s">
        <v>38</v>
      </c>
      <c r="M106" s="21">
        <v>9.9</v>
      </c>
      <c r="N106">
        <f t="shared" si="1"/>
        <v>1</v>
      </c>
    </row>
    <row r="107" spans="1:14" x14ac:dyDescent="0.35">
      <c r="A107" s="22" t="s">
        <v>174</v>
      </c>
      <c r="B107" s="23" t="s">
        <v>65</v>
      </c>
      <c r="C107" s="23"/>
      <c r="D107" s="24"/>
      <c r="E107" s="23" t="s">
        <v>13</v>
      </c>
      <c r="F107" s="23" t="s">
        <v>14</v>
      </c>
      <c r="G107" s="23" t="s">
        <v>21</v>
      </c>
      <c r="H107" s="23" t="s">
        <v>32</v>
      </c>
      <c r="I107" s="23">
        <v>72</v>
      </c>
      <c r="J107" s="23">
        <v>0</v>
      </c>
      <c r="K107" s="23">
        <v>4</v>
      </c>
      <c r="L107" s="23" t="s">
        <v>55</v>
      </c>
      <c r="M107" s="25">
        <v>13</v>
      </c>
      <c r="N107">
        <f t="shared" si="1"/>
        <v>1</v>
      </c>
    </row>
    <row r="108" spans="1:14" x14ac:dyDescent="0.35">
      <c r="A108" s="6" t="s">
        <v>175</v>
      </c>
      <c r="B108" s="19" t="s">
        <v>69</v>
      </c>
      <c r="C108" s="19">
        <v>7</v>
      </c>
      <c r="D108" s="20">
        <v>45863</v>
      </c>
      <c r="E108" s="19" t="s">
        <v>25</v>
      </c>
      <c r="F108" s="19" t="s">
        <v>43</v>
      </c>
      <c r="G108" s="19" t="s">
        <v>27</v>
      </c>
      <c r="H108" s="19" t="s">
        <v>28</v>
      </c>
      <c r="I108" s="19">
        <v>24</v>
      </c>
      <c r="J108" s="19">
        <v>0</v>
      </c>
      <c r="K108" s="19">
        <v>5</v>
      </c>
      <c r="L108" s="19" t="s">
        <v>62</v>
      </c>
      <c r="M108" s="21">
        <v>19.8</v>
      </c>
      <c r="N108">
        <f t="shared" si="1"/>
        <v>1</v>
      </c>
    </row>
    <row r="109" spans="1:14" x14ac:dyDescent="0.35">
      <c r="A109" s="22" t="s">
        <v>176</v>
      </c>
      <c r="B109" s="23" t="s">
        <v>104</v>
      </c>
      <c r="C109" s="23">
        <v>11</v>
      </c>
      <c r="D109" s="24">
        <v>45982</v>
      </c>
      <c r="E109" s="23" t="s">
        <v>13</v>
      </c>
      <c r="F109" s="23" t="s">
        <v>26</v>
      </c>
      <c r="G109" s="23" t="s">
        <v>27</v>
      </c>
      <c r="H109" s="23" t="s">
        <v>22</v>
      </c>
      <c r="I109" s="23">
        <v>24</v>
      </c>
      <c r="J109" s="23">
        <v>3</v>
      </c>
      <c r="K109" s="23">
        <v>4</v>
      </c>
      <c r="L109" s="23" t="s">
        <v>55</v>
      </c>
      <c r="M109" s="25">
        <v>4.5999999999999996</v>
      </c>
      <c r="N109">
        <f t="shared" si="1"/>
        <v>1</v>
      </c>
    </row>
    <row r="110" spans="1:14" x14ac:dyDescent="0.35">
      <c r="A110" s="6" t="s">
        <v>177</v>
      </c>
      <c r="B110" s="19" t="s">
        <v>72</v>
      </c>
      <c r="C110" s="19">
        <v>6</v>
      </c>
      <c r="D110" s="20">
        <v>45810</v>
      </c>
      <c r="E110" s="19" t="s">
        <v>25</v>
      </c>
      <c r="F110" s="19" t="s">
        <v>59</v>
      </c>
      <c r="G110" s="19" t="s">
        <v>31</v>
      </c>
      <c r="H110" s="19" t="s">
        <v>22</v>
      </c>
      <c r="I110" s="19">
        <v>24</v>
      </c>
      <c r="J110" s="19">
        <v>0</v>
      </c>
      <c r="K110" s="19">
        <v>4</v>
      </c>
      <c r="L110" s="19" t="s">
        <v>33</v>
      </c>
      <c r="M110" s="21">
        <v>27.4</v>
      </c>
      <c r="N110">
        <f t="shared" si="1"/>
        <v>0</v>
      </c>
    </row>
    <row r="111" spans="1:14" x14ac:dyDescent="0.35">
      <c r="A111" s="22" t="s">
        <v>178</v>
      </c>
      <c r="B111" s="23" t="s">
        <v>87</v>
      </c>
      <c r="C111" s="23">
        <v>5</v>
      </c>
      <c r="D111" s="24">
        <v>45800</v>
      </c>
      <c r="E111" s="23" t="s">
        <v>68</v>
      </c>
      <c r="F111" s="23" t="s">
        <v>37</v>
      </c>
      <c r="G111" s="23" t="s">
        <v>21</v>
      </c>
      <c r="H111" s="23" t="s">
        <v>22</v>
      </c>
      <c r="I111" s="23">
        <v>48</v>
      </c>
      <c r="J111" s="23">
        <v>0</v>
      </c>
      <c r="K111" s="23">
        <v>2</v>
      </c>
      <c r="L111" s="23" t="s">
        <v>44</v>
      </c>
      <c r="M111" s="25">
        <v>1.1000000000000001</v>
      </c>
      <c r="N111">
        <f t="shared" si="1"/>
        <v>1</v>
      </c>
    </row>
    <row r="112" spans="1:14" x14ac:dyDescent="0.35">
      <c r="A112" s="6" t="s">
        <v>179</v>
      </c>
      <c r="B112" s="19" t="s">
        <v>69</v>
      </c>
      <c r="C112" s="19">
        <v>1</v>
      </c>
      <c r="D112" s="20">
        <v>45685</v>
      </c>
      <c r="E112" s="19" t="s">
        <v>25</v>
      </c>
      <c r="F112" s="19" t="s">
        <v>43</v>
      </c>
      <c r="G112" s="19" t="s">
        <v>15</v>
      </c>
      <c r="H112" s="19" t="s">
        <v>8364</v>
      </c>
      <c r="I112" s="19">
        <v>24</v>
      </c>
      <c r="J112" s="19">
        <v>0</v>
      </c>
      <c r="K112" s="19">
        <v>5</v>
      </c>
      <c r="L112" s="19" t="s">
        <v>75</v>
      </c>
      <c r="M112" s="21">
        <v>11.6</v>
      </c>
      <c r="N112">
        <f t="shared" si="1"/>
        <v>1</v>
      </c>
    </row>
    <row r="113" spans="1:14" x14ac:dyDescent="0.35">
      <c r="A113" s="22" t="s">
        <v>180</v>
      </c>
      <c r="B113" s="23" t="s">
        <v>181</v>
      </c>
      <c r="C113" s="23">
        <v>10</v>
      </c>
      <c r="D113" s="24">
        <v>45947</v>
      </c>
      <c r="E113" s="23" t="s">
        <v>25</v>
      </c>
      <c r="F113" s="23" t="s">
        <v>8364</v>
      </c>
      <c r="G113" s="23" t="s">
        <v>27</v>
      </c>
      <c r="H113" s="23" t="s">
        <v>8364</v>
      </c>
      <c r="I113" s="23">
        <v>4</v>
      </c>
      <c r="J113" s="23">
        <v>1</v>
      </c>
      <c r="K113" s="23">
        <v>5</v>
      </c>
      <c r="L113" s="23" t="s">
        <v>75</v>
      </c>
      <c r="M113" s="25">
        <v>7.3</v>
      </c>
      <c r="N113">
        <f t="shared" si="1"/>
        <v>0</v>
      </c>
    </row>
    <row r="114" spans="1:14" x14ac:dyDescent="0.35">
      <c r="A114" s="6" t="s">
        <v>182</v>
      </c>
      <c r="B114" s="19" t="s">
        <v>101</v>
      </c>
      <c r="C114" s="19">
        <v>6</v>
      </c>
      <c r="D114" s="20">
        <v>45816</v>
      </c>
      <c r="E114" s="19" t="s">
        <v>68</v>
      </c>
      <c r="F114" s="19" t="s">
        <v>43</v>
      </c>
      <c r="G114" s="19" t="s">
        <v>21</v>
      </c>
      <c r="H114" s="19" t="s">
        <v>32</v>
      </c>
      <c r="I114" s="19">
        <v>48</v>
      </c>
      <c r="J114" s="19">
        <v>2</v>
      </c>
      <c r="K114" s="19">
        <v>5</v>
      </c>
      <c r="L114" s="19" t="s">
        <v>17</v>
      </c>
      <c r="M114" s="21">
        <v>8.4</v>
      </c>
      <c r="N114">
        <f t="shared" si="1"/>
        <v>1</v>
      </c>
    </row>
    <row r="115" spans="1:14" x14ac:dyDescent="0.35">
      <c r="A115" s="22" t="s">
        <v>183</v>
      </c>
      <c r="B115" s="23" t="s">
        <v>72</v>
      </c>
      <c r="C115" s="23"/>
      <c r="D115" s="24"/>
      <c r="E115" s="23" t="s">
        <v>13</v>
      </c>
      <c r="F115" s="23" t="s">
        <v>37</v>
      </c>
      <c r="G115" s="23" t="s">
        <v>21</v>
      </c>
      <c r="H115" s="23" t="s">
        <v>22</v>
      </c>
      <c r="I115" s="23">
        <v>24</v>
      </c>
      <c r="J115" s="23">
        <v>0</v>
      </c>
      <c r="K115" s="23">
        <v>3</v>
      </c>
      <c r="L115" s="23" t="s">
        <v>62</v>
      </c>
      <c r="M115" s="25">
        <v>7.7</v>
      </c>
      <c r="N115">
        <f t="shared" si="1"/>
        <v>1</v>
      </c>
    </row>
    <row r="116" spans="1:14" x14ac:dyDescent="0.35">
      <c r="A116" s="6" t="s">
        <v>184</v>
      </c>
      <c r="B116" s="19" t="s">
        <v>146</v>
      </c>
      <c r="C116" s="19">
        <v>8</v>
      </c>
      <c r="D116" s="20">
        <v>45879</v>
      </c>
      <c r="E116" s="19" t="s">
        <v>25</v>
      </c>
      <c r="F116" s="19" t="s">
        <v>14</v>
      </c>
      <c r="G116" s="19" t="s">
        <v>27</v>
      </c>
      <c r="H116" s="19" t="s">
        <v>22</v>
      </c>
      <c r="I116" s="19">
        <v>48</v>
      </c>
      <c r="J116" s="19">
        <v>3</v>
      </c>
      <c r="K116" s="19">
        <v>5</v>
      </c>
      <c r="L116" s="19" t="s">
        <v>38</v>
      </c>
      <c r="M116" s="21">
        <v>15.5</v>
      </c>
      <c r="N116">
        <f t="shared" si="1"/>
        <v>1</v>
      </c>
    </row>
    <row r="117" spans="1:14" x14ac:dyDescent="0.35">
      <c r="A117" s="22" t="s">
        <v>185</v>
      </c>
      <c r="B117" s="23" t="s">
        <v>78</v>
      </c>
      <c r="C117" s="23">
        <v>10</v>
      </c>
      <c r="D117" s="24">
        <v>45939</v>
      </c>
      <c r="E117" s="23" t="s">
        <v>68</v>
      </c>
      <c r="F117" s="23" t="s">
        <v>14</v>
      </c>
      <c r="G117" s="23" t="s">
        <v>21</v>
      </c>
      <c r="H117" s="23" t="s">
        <v>32</v>
      </c>
      <c r="I117" s="23">
        <v>4</v>
      </c>
      <c r="J117" s="23">
        <v>1</v>
      </c>
      <c r="K117" s="23">
        <v>4</v>
      </c>
      <c r="L117" s="23" t="s">
        <v>17</v>
      </c>
      <c r="M117" s="25">
        <v>6.3</v>
      </c>
      <c r="N117">
        <f t="shared" si="1"/>
        <v>0</v>
      </c>
    </row>
    <row r="118" spans="1:14" x14ac:dyDescent="0.35">
      <c r="A118" s="6" t="s">
        <v>186</v>
      </c>
      <c r="B118" s="19" t="s">
        <v>104</v>
      </c>
      <c r="C118" s="19">
        <v>1</v>
      </c>
      <c r="D118" s="20">
        <v>45681</v>
      </c>
      <c r="E118" s="19" t="s">
        <v>8364</v>
      </c>
      <c r="F118" s="19" t="s">
        <v>14</v>
      </c>
      <c r="G118" s="19" t="s">
        <v>27</v>
      </c>
      <c r="H118" s="19" t="s">
        <v>22</v>
      </c>
      <c r="I118" s="19">
        <v>24</v>
      </c>
      <c r="J118" s="19">
        <v>0</v>
      </c>
      <c r="K118" s="19">
        <v>3</v>
      </c>
      <c r="L118" s="19" t="s">
        <v>38</v>
      </c>
      <c r="M118" s="21">
        <v>10.199999999999999</v>
      </c>
      <c r="N118">
        <f t="shared" si="1"/>
        <v>1</v>
      </c>
    </row>
    <row r="119" spans="1:14" x14ac:dyDescent="0.35">
      <c r="A119" s="22" t="s">
        <v>187</v>
      </c>
      <c r="B119" s="23" t="s">
        <v>49</v>
      </c>
      <c r="C119" s="23">
        <v>5</v>
      </c>
      <c r="D119" s="24">
        <v>45779</v>
      </c>
      <c r="E119" s="23" t="s">
        <v>13</v>
      </c>
      <c r="F119" s="23" t="s">
        <v>14</v>
      </c>
      <c r="G119" s="23" t="s">
        <v>27</v>
      </c>
      <c r="H119" s="23" t="s">
        <v>8364</v>
      </c>
      <c r="I119" s="23">
        <v>24</v>
      </c>
      <c r="J119" s="23">
        <v>0</v>
      </c>
      <c r="K119" s="23">
        <v>3</v>
      </c>
      <c r="L119" s="23" t="s">
        <v>17</v>
      </c>
      <c r="M119" s="25">
        <v>3.7</v>
      </c>
      <c r="N119">
        <f t="shared" si="1"/>
        <v>1</v>
      </c>
    </row>
    <row r="120" spans="1:14" x14ac:dyDescent="0.35">
      <c r="A120" s="6" t="s">
        <v>188</v>
      </c>
      <c r="B120" s="19" t="s">
        <v>72</v>
      </c>
      <c r="C120" s="19"/>
      <c r="D120" s="20"/>
      <c r="E120" s="19" t="s">
        <v>8364</v>
      </c>
      <c r="F120" s="19" t="s">
        <v>14</v>
      </c>
      <c r="G120" s="19" t="s">
        <v>27</v>
      </c>
      <c r="H120" s="19" t="s">
        <v>32</v>
      </c>
      <c r="I120" s="19">
        <v>72</v>
      </c>
      <c r="J120" s="19">
        <v>0</v>
      </c>
      <c r="K120" s="19">
        <v>5</v>
      </c>
      <c r="L120" s="19" t="s">
        <v>62</v>
      </c>
      <c r="M120" s="21">
        <v>17.2</v>
      </c>
      <c r="N120">
        <f t="shared" si="1"/>
        <v>1</v>
      </c>
    </row>
    <row r="121" spans="1:14" x14ac:dyDescent="0.35">
      <c r="A121" s="22" t="s">
        <v>189</v>
      </c>
      <c r="B121" s="23" t="s">
        <v>69</v>
      </c>
      <c r="C121" s="23"/>
      <c r="D121" s="24"/>
      <c r="E121" s="23" t="s">
        <v>13</v>
      </c>
      <c r="F121" s="23" t="s">
        <v>37</v>
      </c>
      <c r="G121" s="23" t="s">
        <v>8364</v>
      </c>
      <c r="H121" s="23" t="s">
        <v>8364</v>
      </c>
      <c r="I121" s="23">
        <v>72</v>
      </c>
      <c r="J121" s="23">
        <v>0</v>
      </c>
      <c r="K121" s="23">
        <v>4</v>
      </c>
      <c r="L121" s="23" t="s">
        <v>17</v>
      </c>
      <c r="M121" s="25">
        <v>10.199999999999999</v>
      </c>
      <c r="N121">
        <f t="shared" si="1"/>
        <v>1</v>
      </c>
    </row>
    <row r="122" spans="1:14" x14ac:dyDescent="0.35">
      <c r="A122" s="6" t="s">
        <v>190</v>
      </c>
      <c r="B122" s="19" t="s">
        <v>45</v>
      </c>
      <c r="C122" s="19">
        <v>12</v>
      </c>
      <c r="D122" s="20">
        <v>46006</v>
      </c>
      <c r="E122" s="19" t="s">
        <v>36</v>
      </c>
      <c r="F122" s="19" t="s">
        <v>43</v>
      </c>
      <c r="G122" s="19" t="s">
        <v>31</v>
      </c>
      <c r="H122" s="19" t="s">
        <v>8364</v>
      </c>
      <c r="I122" s="19">
        <v>4</v>
      </c>
      <c r="J122" s="19">
        <v>0</v>
      </c>
      <c r="K122" s="19">
        <v>5</v>
      </c>
      <c r="L122" s="19" t="s">
        <v>17</v>
      </c>
      <c r="M122" s="21">
        <v>13.8</v>
      </c>
      <c r="N122">
        <f t="shared" si="1"/>
        <v>0</v>
      </c>
    </row>
    <row r="123" spans="1:14" x14ac:dyDescent="0.35">
      <c r="A123" s="22" t="s">
        <v>191</v>
      </c>
      <c r="B123" s="23" t="s">
        <v>99</v>
      </c>
      <c r="C123" s="23">
        <v>2</v>
      </c>
      <c r="D123" s="24">
        <v>45707</v>
      </c>
      <c r="E123" s="23" t="s">
        <v>25</v>
      </c>
      <c r="F123" s="23" t="s">
        <v>40</v>
      </c>
      <c r="G123" s="23" t="s">
        <v>27</v>
      </c>
      <c r="H123" s="23" t="s">
        <v>28</v>
      </c>
      <c r="I123" s="23">
        <v>72</v>
      </c>
      <c r="J123" s="23">
        <v>2</v>
      </c>
      <c r="K123" s="23">
        <v>4</v>
      </c>
      <c r="L123" s="23" t="s">
        <v>17</v>
      </c>
      <c r="M123" s="25">
        <v>11.1</v>
      </c>
      <c r="N123">
        <f t="shared" si="1"/>
        <v>1</v>
      </c>
    </row>
    <row r="124" spans="1:14" x14ac:dyDescent="0.35">
      <c r="A124" s="6" t="s">
        <v>192</v>
      </c>
      <c r="B124" s="19" t="s">
        <v>108</v>
      </c>
      <c r="C124" s="19">
        <v>5</v>
      </c>
      <c r="D124" s="20">
        <v>45782</v>
      </c>
      <c r="E124" s="19" t="s">
        <v>13</v>
      </c>
      <c r="F124" s="19" t="s">
        <v>8364</v>
      </c>
      <c r="G124" s="19" t="s">
        <v>27</v>
      </c>
      <c r="H124" s="19" t="s">
        <v>28</v>
      </c>
      <c r="I124" s="19">
        <v>72</v>
      </c>
      <c r="J124" s="19">
        <v>0</v>
      </c>
      <c r="K124" s="19"/>
      <c r="L124" s="19" t="s">
        <v>33</v>
      </c>
      <c r="M124" s="21">
        <v>3.3</v>
      </c>
      <c r="N124">
        <f t="shared" si="1"/>
        <v>1</v>
      </c>
    </row>
    <row r="125" spans="1:14" x14ac:dyDescent="0.35">
      <c r="A125" s="22" t="s">
        <v>193</v>
      </c>
      <c r="B125" s="23" t="s">
        <v>69</v>
      </c>
      <c r="C125" s="23">
        <v>12</v>
      </c>
      <c r="D125" s="24">
        <v>46005</v>
      </c>
      <c r="E125" s="23" t="s">
        <v>25</v>
      </c>
      <c r="F125" s="23" t="s">
        <v>8364</v>
      </c>
      <c r="G125" s="23" t="s">
        <v>31</v>
      </c>
      <c r="H125" s="23" t="s">
        <v>28</v>
      </c>
      <c r="I125" s="23">
        <v>4</v>
      </c>
      <c r="J125" s="23">
        <v>0</v>
      </c>
      <c r="K125" s="23">
        <v>3</v>
      </c>
      <c r="L125" s="23" t="s">
        <v>75</v>
      </c>
      <c r="M125" s="25">
        <v>7.6</v>
      </c>
      <c r="N125">
        <f t="shared" si="1"/>
        <v>0</v>
      </c>
    </row>
    <row r="126" spans="1:14" x14ac:dyDescent="0.35">
      <c r="A126" s="6" t="s">
        <v>194</v>
      </c>
      <c r="B126" s="19" t="s">
        <v>158</v>
      </c>
      <c r="C126" s="19">
        <v>9</v>
      </c>
      <c r="D126" s="20">
        <v>45919</v>
      </c>
      <c r="E126" s="19" t="s">
        <v>20</v>
      </c>
      <c r="F126" s="19" t="s">
        <v>37</v>
      </c>
      <c r="G126" s="19" t="s">
        <v>15</v>
      </c>
      <c r="H126" s="19" t="s">
        <v>16</v>
      </c>
      <c r="I126" s="19">
        <v>72</v>
      </c>
      <c r="J126" s="19">
        <v>2</v>
      </c>
      <c r="K126" s="19">
        <v>4</v>
      </c>
      <c r="L126" s="19" t="s">
        <v>17</v>
      </c>
      <c r="M126" s="21">
        <v>5.9</v>
      </c>
      <c r="N126">
        <f t="shared" si="1"/>
        <v>1</v>
      </c>
    </row>
    <row r="127" spans="1:14" x14ac:dyDescent="0.35">
      <c r="A127" s="22" t="s">
        <v>195</v>
      </c>
      <c r="B127" s="23" t="s">
        <v>23</v>
      </c>
      <c r="C127" s="23">
        <v>6</v>
      </c>
      <c r="D127" s="24">
        <v>45836</v>
      </c>
      <c r="E127" s="23" t="s">
        <v>13</v>
      </c>
      <c r="F127" s="23" t="s">
        <v>14</v>
      </c>
      <c r="G127" s="23" t="s">
        <v>31</v>
      </c>
      <c r="H127" s="23" t="s">
        <v>8364</v>
      </c>
      <c r="I127" s="23">
        <v>48</v>
      </c>
      <c r="J127" s="23">
        <v>1</v>
      </c>
      <c r="K127" s="23">
        <v>3</v>
      </c>
      <c r="L127" s="23" t="s">
        <v>44</v>
      </c>
      <c r="M127" s="25">
        <v>7.1</v>
      </c>
      <c r="N127">
        <f t="shared" si="1"/>
        <v>1</v>
      </c>
    </row>
    <row r="128" spans="1:14" x14ac:dyDescent="0.35">
      <c r="A128" s="6" t="s">
        <v>196</v>
      </c>
      <c r="B128" s="19" t="s">
        <v>23</v>
      </c>
      <c r="C128" s="19">
        <v>3</v>
      </c>
      <c r="D128" s="20">
        <v>45728</v>
      </c>
      <c r="E128" s="19" t="s">
        <v>8364</v>
      </c>
      <c r="F128" s="19" t="s">
        <v>14</v>
      </c>
      <c r="G128" s="19" t="s">
        <v>21</v>
      </c>
      <c r="H128" s="19" t="s">
        <v>16</v>
      </c>
      <c r="I128" s="19">
        <v>24</v>
      </c>
      <c r="J128" s="19">
        <v>0</v>
      </c>
      <c r="K128" s="19">
        <v>5</v>
      </c>
      <c r="L128" s="19" t="s">
        <v>38</v>
      </c>
      <c r="M128" s="21">
        <v>3.3</v>
      </c>
      <c r="N128">
        <f t="shared" si="1"/>
        <v>1</v>
      </c>
    </row>
    <row r="129" spans="1:14" x14ac:dyDescent="0.35">
      <c r="A129" s="22" t="s">
        <v>197</v>
      </c>
      <c r="B129" s="23" t="s">
        <v>146</v>
      </c>
      <c r="C129" s="23">
        <v>4</v>
      </c>
      <c r="D129" s="24">
        <v>45757</v>
      </c>
      <c r="E129" s="23" t="s">
        <v>68</v>
      </c>
      <c r="F129" s="23" t="s">
        <v>43</v>
      </c>
      <c r="G129" s="23" t="s">
        <v>8364</v>
      </c>
      <c r="H129" s="23" t="s">
        <v>22</v>
      </c>
      <c r="I129" s="23">
        <v>4</v>
      </c>
      <c r="J129" s="23">
        <v>1</v>
      </c>
      <c r="K129" s="23">
        <v>5</v>
      </c>
      <c r="L129" s="23" t="s">
        <v>44</v>
      </c>
      <c r="M129" s="25">
        <v>9.3000000000000007</v>
      </c>
      <c r="N129">
        <f t="shared" si="1"/>
        <v>0</v>
      </c>
    </row>
    <row r="130" spans="1:14" x14ac:dyDescent="0.35">
      <c r="A130" s="6" t="s">
        <v>198</v>
      </c>
      <c r="B130" s="19" t="s">
        <v>104</v>
      </c>
      <c r="C130" s="19">
        <v>8</v>
      </c>
      <c r="D130" s="20">
        <v>45895</v>
      </c>
      <c r="E130" s="19" t="s">
        <v>13</v>
      </c>
      <c r="F130" s="19" t="s">
        <v>59</v>
      </c>
      <c r="G130" s="19" t="s">
        <v>21</v>
      </c>
      <c r="H130" s="19" t="s">
        <v>32</v>
      </c>
      <c r="I130" s="19">
        <v>48</v>
      </c>
      <c r="J130" s="19">
        <v>0</v>
      </c>
      <c r="K130" s="19">
        <v>4</v>
      </c>
      <c r="L130" s="19" t="s">
        <v>55</v>
      </c>
      <c r="M130" s="21">
        <v>12.1</v>
      </c>
      <c r="N130">
        <f t="shared" si="1"/>
        <v>1</v>
      </c>
    </row>
    <row r="131" spans="1:14" x14ac:dyDescent="0.35">
      <c r="A131" s="22" t="s">
        <v>199</v>
      </c>
      <c r="B131" s="23" t="s">
        <v>97</v>
      </c>
      <c r="C131" s="23">
        <v>12</v>
      </c>
      <c r="D131" s="24">
        <v>45996</v>
      </c>
      <c r="E131" s="23" t="s">
        <v>20</v>
      </c>
      <c r="F131" s="23" t="s">
        <v>14</v>
      </c>
      <c r="G131" s="23" t="s">
        <v>31</v>
      </c>
      <c r="H131" s="23" t="s">
        <v>28</v>
      </c>
      <c r="I131" s="23">
        <v>8</v>
      </c>
      <c r="J131" s="23">
        <v>0</v>
      </c>
      <c r="K131" s="23">
        <v>5</v>
      </c>
      <c r="L131" s="23" t="s">
        <v>44</v>
      </c>
      <c r="M131" s="25">
        <v>26.3</v>
      </c>
      <c r="N131">
        <f t="shared" ref="N131:N194" si="2">IF(M131 &lt;= I131, 1, 0)</f>
        <v>0</v>
      </c>
    </row>
    <row r="132" spans="1:14" x14ac:dyDescent="0.35">
      <c r="A132" s="6" t="s">
        <v>200</v>
      </c>
      <c r="B132" s="19" t="s">
        <v>89</v>
      </c>
      <c r="C132" s="19">
        <v>9</v>
      </c>
      <c r="D132" s="20">
        <v>45929</v>
      </c>
      <c r="E132" s="19" t="s">
        <v>13</v>
      </c>
      <c r="F132" s="19" t="s">
        <v>37</v>
      </c>
      <c r="G132" s="19" t="s">
        <v>27</v>
      </c>
      <c r="H132" s="19" t="s">
        <v>22</v>
      </c>
      <c r="I132" s="19">
        <v>24</v>
      </c>
      <c r="J132" s="19">
        <v>0</v>
      </c>
      <c r="K132" s="19">
        <v>3</v>
      </c>
      <c r="L132" s="19" t="s">
        <v>55</v>
      </c>
      <c r="M132" s="21">
        <v>38.299999999999997</v>
      </c>
      <c r="N132">
        <f t="shared" si="2"/>
        <v>0</v>
      </c>
    </row>
    <row r="133" spans="1:14" x14ac:dyDescent="0.35">
      <c r="A133" s="22" t="s">
        <v>201</v>
      </c>
      <c r="B133" s="23" t="s">
        <v>34</v>
      </c>
      <c r="C133" s="23">
        <v>10</v>
      </c>
      <c r="D133" s="24">
        <v>45932</v>
      </c>
      <c r="E133" s="23" t="s">
        <v>13</v>
      </c>
      <c r="F133" s="23" t="s">
        <v>43</v>
      </c>
      <c r="G133" s="23" t="s">
        <v>31</v>
      </c>
      <c r="H133" s="23" t="s">
        <v>22</v>
      </c>
      <c r="I133" s="23">
        <v>72</v>
      </c>
      <c r="J133" s="23">
        <v>2</v>
      </c>
      <c r="K133" s="23">
        <v>4</v>
      </c>
      <c r="L133" s="23" t="s">
        <v>17</v>
      </c>
      <c r="M133" s="25">
        <v>7.5</v>
      </c>
      <c r="N133">
        <f t="shared" si="2"/>
        <v>1</v>
      </c>
    </row>
    <row r="134" spans="1:14" x14ac:dyDescent="0.35">
      <c r="A134" s="6" t="s">
        <v>202</v>
      </c>
      <c r="B134" s="19" t="s">
        <v>81</v>
      </c>
      <c r="C134" s="19">
        <v>3</v>
      </c>
      <c r="D134" s="20">
        <v>45728</v>
      </c>
      <c r="E134" s="19" t="s">
        <v>68</v>
      </c>
      <c r="F134" s="19" t="s">
        <v>14</v>
      </c>
      <c r="G134" s="19" t="s">
        <v>15</v>
      </c>
      <c r="H134" s="19" t="s">
        <v>22</v>
      </c>
      <c r="I134" s="19">
        <v>48</v>
      </c>
      <c r="J134" s="19">
        <v>0</v>
      </c>
      <c r="K134" s="19">
        <v>3</v>
      </c>
      <c r="L134" s="19" t="s">
        <v>38</v>
      </c>
      <c r="M134" s="21">
        <v>12.9</v>
      </c>
      <c r="N134">
        <f t="shared" si="2"/>
        <v>1</v>
      </c>
    </row>
    <row r="135" spans="1:14" x14ac:dyDescent="0.35">
      <c r="A135" s="22" t="s">
        <v>203</v>
      </c>
      <c r="B135" s="23" t="s">
        <v>143</v>
      </c>
      <c r="C135" s="23">
        <v>5</v>
      </c>
      <c r="D135" s="24">
        <v>45783</v>
      </c>
      <c r="E135" s="23" t="s">
        <v>36</v>
      </c>
      <c r="F135" s="23" t="s">
        <v>14</v>
      </c>
      <c r="G135" s="23" t="s">
        <v>31</v>
      </c>
      <c r="H135" s="23" t="s">
        <v>8364</v>
      </c>
      <c r="I135" s="23">
        <v>4</v>
      </c>
      <c r="J135" s="23">
        <v>3</v>
      </c>
      <c r="K135" s="23">
        <v>5</v>
      </c>
      <c r="L135" s="23" t="s">
        <v>33</v>
      </c>
      <c r="M135" s="25">
        <v>8.9</v>
      </c>
      <c r="N135">
        <f t="shared" si="2"/>
        <v>0</v>
      </c>
    </row>
    <row r="136" spans="1:14" x14ac:dyDescent="0.35">
      <c r="A136" s="6" t="s">
        <v>204</v>
      </c>
      <c r="B136" s="19" t="s">
        <v>89</v>
      </c>
      <c r="C136" s="19">
        <v>10</v>
      </c>
      <c r="D136" s="20">
        <v>45932</v>
      </c>
      <c r="E136" s="19" t="s">
        <v>25</v>
      </c>
      <c r="F136" s="19" t="s">
        <v>43</v>
      </c>
      <c r="G136" s="19" t="s">
        <v>15</v>
      </c>
      <c r="H136" s="19" t="s">
        <v>16</v>
      </c>
      <c r="I136" s="19">
        <v>8</v>
      </c>
      <c r="J136" s="19">
        <v>0</v>
      </c>
      <c r="K136" s="19">
        <v>4</v>
      </c>
      <c r="L136" s="19" t="s">
        <v>55</v>
      </c>
      <c r="M136" s="21">
        <v>10.4</v>
      </c>
      <c r="N136">
        <f t="shared" si="2"/>
        <v>0</v>
      </c>
    </row>
    <row r="137" spans="1:14" x14ac:dyDescent="0.35">
      <c r="A137" s="22" t="s">
        <v>205</v>
      </c>
      <c r="B137" s="23" t="s">
        <v>126</v>
      </c>
      <c r="C137" s="23">
        <v>1</v>
      </c>
      <c r="D137" s="24">
        <v>45687</v>
      </c>
      <c r="E137" s="23" t="s">
        <v>8364</v>
      </c>
      <c r="F137" s="23" t="s">
        <v>14</v>
      </c>
      <c r="G137" s="23" t="s">
        <v>27</v>
      </c>
      <c r="H137" s="23" t="s">
        <v>28</v>
      </c>
      <c r="I137" s="23">
        <v>24</v>
      </c>
      <c r="J137" s="23">
        <v>2</v>
      </c>
      <c r="K137" s="23">
        <v>4</v>
      </c>
      <c r="L137" s="23" t="s">
        <v>17</v>
      </c>
      <c r="M137" s="25">
        <v>54.2</v>
      </c>
      <c r="N137">
        <f t="shared" si="2"/>
        <v>0</v>
      </c>
    </row>
    <row r="138" spans="1:14" x14ac:dyDescent="0.35">
      <c r="A138" s="6" t="s">
        <v>206</v>
      </c>
      <c r="B138" s="19" t="s">
        <v>81</v>
      </c>
      <c r="C138" s="19">
        <v>12</v>
      </c>
      <c r="D138" s="20">
        <v>46017</v>
      </c>
      <c r="E138" s="19" t="s">
        <v>36</v>
      </c>
      <c r="F138" s="19" t="s">
        <v>26</v>
      </c>
      <c r="G138" s="19" t="s">
        <v>31</v>
      </c>
      <c r="H138" s="19" t="s">
        <v>22</v>
      </c>
      <c r="I138" s="19">
        <v>72</v>
      </c>
      <c r="J138" s="19">
        <v>0</v>
      </c>
      <c r="K138" s="19">
        <v>1</v>
      </c>
      <c r="L138" s="19" t="s">
        <v>44</v>
      </c>
      <c r="M138" s="21">
        <v>11.4</v>
      </c>
      <c r="N138">
        <f t="shared" si="2"/>
        <v>1</v>
      </c>
    </row>
    <row r="139" spans="1:14" x14ac:dyDescent="0.35">
      <c r="A139" s="22" t="s">
        <v>207</v>
      </c>
      <c r="B139" s="23" t="s">
        <v>87</v>
      </c>
      <c r="C139" s="23">
        <v>6</v>
      </c>
      <c r="D139" s="24">
        <v>45818</v>
      </c>
      <c r="E139" s="23" t="s">
        <v>25</v>
      </c>
      <c r="F139" s="23" t="s">
        <v>26</v>
      </c>
      <c r="G139" s="23" t="s">
        <v>8364</v>
      </c>
      <c r="H139" s="23" t="s">
        <v>32</v>
      </c>
      <c r="I139" s="23">
        <v>72</v>
      </c>
      <c r="J139" s="23">
        <v>0</v>
      </c>
      <c r="K139" s="23">
        <v>5</v>
      </c>
      <c r="L139" s="23" t="s">
        <v>38</v>
      </c>
      <c r="M139" s="25">
        <v>22</v>
      </c>
      <c r="N139">
        <f t="shared" si="2"/>
        <v>1</v>
      </c>
    </row>
    <row r="140" spans="1:14" x14ac:dyDescent="0.35">
      <c r="A140" s="6" t="s">
        <v>208</v>
      </c>
      <c r="B140" s="19" t="s">
        <v>158</v>
      </c>
      <c r="C140" s="19">
        <v>4</v>
      </c>
      <c r="D140" s="20">
        <v>45759</v>
      </c>
      <c r="E140" s="19" t="s">
        <v>25</v>
      </c>
      <c r="F140" s="19" t="s">
        <v>8364</v>
      </c>
      <c r="G140" s="19" t="s">
        <v>27</v>
      </c>
      <c r="H140" s="19" t="s">
        <v>8364</v>
      </c>
      <c r="I140" s="19">
        <v>72</v>
      </c>
      <c r="J140" s="19">
        <v>0</v>
      </c>
      <c r="K140" s="19">
        <v>2</v>
      </c>
      <c r="L140" s="19" t="s">
        <v>44</v>
      </c>
      <c r="M140" s="21">
        <v>13.1</v>
      </c>
      <c r="N140">
        <f t="shared" si="2"/>
        <v>1</v>
      </c>
    </row>
    <row r="141" spans="1:14" x14ac:dyDescent="0.35">
      <c r="A141" s="22" t="s">
        <v>209</v>
      </c>
      <c r="B141" s="23" t="s">
        <v>41</v>
      </c>
      <c r="C141" s="23"/>
      <c r="D141" s="24"/>
      <c r="E141" s="23" t="s">
        <v>36</v>
      </c>
      <c r="F141" s="23" t="s">
        <v>26</v>
      </c>
      <c r="G141" s="23" t="s">
        <v>21</v>
      </c>
      <c r="H141" s="23" t="s">
        <v>28</v>
      </c>
      <c r="I141" s="23">
        <v>24</v>
      </c>
      <c r="J141" s="23">
        <v>0</v>
      </c>
      <c r="K141" s="23">
        <v>5</v>
      </c>
      <c r="L141" s="23" t="s">
        <v>75</v>
      </c>
      <c r="M141" s="25">
        <v>20.100000000000001</v>
      </c>
      <c r="N141">
        <f t="shared" si="2"/>
        <v>1</v>
      </c>
    </row>
    <row r="142" spans="1:14" x14ac:dyDescent="0.35">
      <c r="A142" s="6" t="s">
        <v>210</v>
      </c>
      <c r="B142" s="19" t="s">
        <v>69</v>
      </c>
      <c r="C142" s="19">
        <v>8</v>
      </c>
      <c r="D142" s="20">
        <v>45892</v>
      </c>
      <c r="E142" s="19" t="s">
        <v>25</v>
      </c>
      <c r="F142" s="19" t="s">
        <v>26</v>
      </c>
      <c r="G142" s="19" t="s">
        <v>21</v>
      </c>
      <c r="H142" s="19" t="s">
        <v>8364</v>
      </c>
      <c r="I142" s="19">
        <v>72</v>
      </c>
      <c r="J142" s="19">
        <v>0</v>
      </c>
      <c r="K142" s="19">
        <v>4</v>
      </c>
      <c r="L142" s="19" t="s">
        <v>8363</v>
      </c>
      <c r="M142" s="21">
        <v>27.5</v>
      </c>
      <c r="N142">
        <f t="shared" si="2"/>
        <v>1</v>
      </c>
    </row>
    <row r="143" spans="1:14" x14ac:dyDescent="0.35">
      <c r="A143" s="22" t="s">
        <v>211</v>
      </c>
      <c r="B143" s="23" t="s">
        <v>81</v>
      </c>
      <c r="C143" s="23">
        <v>8</v>
      </c>
      <c r="D143" s="24">
        <v>45887</v>
      </c>
      <c r="E143" s="23" t="s">
        <v>36</v>
      </c>
      <c r="F143" s="23" t="s">
        <v>43</v>
      </c>
      <c r="G143" s="23" t="s">
        <v>8364</v>
      </c>
      <c r="H143" s="23" t="s">
        <v>22</v>
      </c>
      <c r="I143" s="23">
        <v>4</v>
      </c>
      <c r="J143" s="23">
        <v>0</v>
      </c>
      <c r="K143" s="23">
        <v>4</v>
      </c>
      <c r="L143" s="23" t="s">
        <v>17</v>
      </c>
      <c r="M143" s="25">
        <v>2.7</v>
      </c>
      <c r="N143">
        <f t="shared" si="2"/>
        <v>1</v>
      </c>
    </row>
    <row r="144" spans="1:14" x14ac:dyDescent="0.35">
      <c r="A144" s="6" t="s">
        <v>212</v>
      </c>
      <c r="B144" s="19" t="s">
        <v>47</v>
      </c>
      <c r="C144" s="19">
        <v>8</v>
      </c>
      <c r="D144" s="20">
        <v>45878</v>
      </c>
      <c r="E144" s="19" t="s">
        <v>13</v>
      </c>
      <c r="F144" s="19" t="s">
        <v>40</v>
      </c>
      <c r="G144" s="19" t="s">
        <v>15</v>
      </c>
      <c r="H144" s="19" t="s">
        <v>28</v>
      </c>
      <c r="I144" s="19">
        <v>72</v>
      </c>
      <c r="J144" s="19">
        <v>0</v>
      </c>
      <c r="K144" s="19">
        <v>4</v>
      </c>
      <c r="L144" s="19" t="s">
        <v>55</v>
      </c>
      <c r="M144" s="21">
        <v>5.5</v>
      </c>
      <c r="N144">
        <f t="shared" si="2"/>
        <v>1</v>
      </c>
    </row>
    <row r="145" spans="1:14" x14ac:dyDescent="0.35">
      <c r="A145" s="22" t="s">
        <v>213</v>
      </c>
      <c r="B145" s="23" t="s">
        <v>139</v>
      </c>
      <c r="C145" s="23">
        <v>12</v>
      </c>
      <c r="D145" s="24">
        <v>46018</v>
      </c>
      <c r="E145" s="23" t="s">
        <v>25</v>
      </c>
      <c r="F145" s="23" t="s">
        <v>14</v>
      </c>
      <c r="G145" s="23" t="s">
        <v>27</v>
      </c>
      <c r="H145" s="23" t="s">
        <v>22</v>
      </c>
      <c r="I145" s="23">
        <v>8</v>
      </c>
      <c r="J145" s="23"/>
      <c r="K145" s="23">
        <v>4</v>
      </c>
      <c r="L145" s="23" t="s">
        <v>75</v>
      </c>
      <c r="M145" s="25">
        <v>10.8</v>
      </c>
      <c r="N145">
        <f t="shared" si="2"/>
        <v>0</v>
      </c>
    </row>
    <row r="146" spans="1:14" x14ac:dyDescent="0.35">
      <c r="A146" s="6" t="s">
        <v>214</v>
      </c>
      <c r="B146" s="19" t="s">
        <v>97</v>
      </c>
      <c r="C146" s="19">
        <v>3</v>
      </c>
      <c r="D146" s="20">
        <v>45740</v>
      </c>
      <c r="E146" s="19" t="s">
        <v>20</v>
      </c>
      <c r="F146" s="19" t="s">
        <v>37</v>
      </c>
      <c r="G146" s="19" t="s">
        <v>31</v>
      </c>
      <c r="H146" s="19" t="s">
        <v>8364</v>
      </c>
      <c r="I146" s="19">
        <v>48</v>
      </c>
      <c r="J146" s="19">
        <v>2</v>
      </c>
      <c r="K146" s="19">
        <v>4</v>
      </c>
      <c r="L146" s="19" t="s">
        <v>62</v>
      </c>
      <c r="M146" s="21">
        <v>13.6</v>
      </c>
      <c r="N146">
        <f t="shared" si="2"/>
        <v>1</v>
      </c>
    </row>
    <row r="147" spans="1:14" x14ac:dyDescent="0.35">
      <c r="A147" s="22" t="s">
        <v>215</v>
      </c>
      <c r="B147" s="23" t="s">
        <v>89</v>
      </c>
      <c r="C147" s="23">
        <v>4</v>
      </c>
      <c r="D147" s="24">
        <v>45749</v>
      </c>
      <c r="E147" s="23" t="s">
        <v>13</v>
      </c>
      <c r="F147" s="23" t="s">
        <v>14</v>
      </c>
      <c r="G147" s="23" t="s">
        <v>31</v>
      </c>
      <c r="H147" s="23" t="s">
        <v>22</v>
      </c>
      <c r="I147" s="23">
        <v>8</v>
      </c>
      <c r="J147" s="23">
        <v>0</v>
      </c>
      <c r="K147" s="23">
        <v>3</v>
      </c>
      <c r="L147" s="23" t="s">
        <v>62</v>
      </c>
      <c r="M147" s="25">
        <v>10.6</v>
      </c>
      <c r="N147">
        <f t="shared" si="2"/>
        <v>0</v>
      </c>
    </row>
    <row r="148" spans="1:14" x14ac:dyDescent="0.35">
      <c r="A148" s="6" t="s">
        <v>216</v>
      </c>
      <c r="B148" s="19" t="s">
        <v>85</v>
      </c>
      <c r="C148" s="19">
        <v>10</v>
      </c>
      <c r="D148" s="20">
        <v>45944</v>
      </c>
      <c r="E148" s="19" t="s">
        <v>25</v>
      </c>
      <c r="F148" s="19" t="s">
        <v>14</v>
      </c>
      <c r="G148" s="19" t="s">
        <v>15</v>
      </c>
      <c r="H148" s="19" t="s">
        <v>32</v>
      </c>
      <c r="I148" s="19">
        <v>4</v>
      </c>
      <c r="J148" s="19">
        <v>0</v>
      </c>
      <c r="K148" s="19">
        <v>3</v>
      </c>
      <c r="L148" s="19" t="s">
        <v>33</v>
      </c>
      <c r="M148" s="21">
        <v>7.2</v>
      </c>
      <c r="N148">
        <f t="shared" si="2"/>
        <v>0</v>
      </c>
    </row>
    <row r="149" spans="1:14" x14ac:dyDescent="0.35">
      <c r="A149" s="22" t="s">
        <v>217</v>
      </c>
      <c r="B149" s="23" t="s">
        <v>34</v>
      </c>
      <c r="C149" s="23">
        <v>12</v>
      </c>
      <c r="D149" s="24">
        <v>46020</v>
      </c>
      <c r="E149" s="23" t="s">
        <v>13</v>
      </c>
      <c r="F149" s="23" t="s">
        <v>14</v>
      </c>
      <c r="G149" s="23" t="s">
        <v>8364</v>
      </c>
      <c r="H149" s="23" t="s">
        <v>8364</v>
      </c>
      <c r="I149" s="23">
        <v>48</v>
      </c>
      <c r="J149" s="23">
        <v>0</v>
      </c>
      <c r="K149" s="23">
        <v>4</v>
      </c>
      <c r="L149" s="23" t="s">
        <v>55</v>
      </c>
      <c r="M149" s="25">
        <v>8.6</v>
      </c>
      <c r="N149">
        <f t="shared" si="2"/>
        <v>1</v>
      </c>
    </row>
    <row r="150" spans="1:14" x14ac:dyDescent="0.35">
      <c r="A150" s="6" t="s">
        <v>218</v>
      </c>
      <c r="B150" s="19" t="s">
        <v>51</v>
      </c>
      <c r="C150" s="19">
        <v>8</v>
      </c>
      <c r="D150" s="20">
        <v>45900</v>
      </c>
      <c r="E150" s="19" t="s">
        <v>13</v>
      </c>
      <c r="F150" s="19" t="s">
        <v>26</v>
      </c>
      <c r="G150" s="19" t="s">
        <v>21</v>
      </c>
      <c r="H150" s="19" t="s">
        <v>8364</v>
      </c>
      <c r="I150" s="19">
        <v>4</v>
      </c>
      <c r="J150" s="19">
        <v>0</v>
      </c>
      <c r="K150" s="19">
        <v>2</v>
      </c>
      <c r="L150" s="19" t="s">
        <v>44</v>
      </c>
      <c r="M150" s="21">
        <v>1.8</v>
      </c>
      <c r="N150">
        <f t="shared" si="2"/>
        <v>1</v>
      </c>
    </row>
    <row r="151" spans="1:14" x14ac:dyDescent="0.35">
      <c r="A151" s="22" t="s">
        <v>219</v>
      </c>
      <c r="B151" s="23" t="s">
        <v>130</v>
      </c>
      <c r="C151" s="23">
        <v>4</v>
      </c>
      <c r="D151" s="24">
        <v>45765</v>
      </c>
      <c r="E151" s="23" t="s">
        <v>36</v>
      </c>
      <c r="F151" s="23" t="s">
        <v>59</v>
      </c>
      <c r="G151" s="23" t="s">
        <v>31</v>
      </c>
      <c r="H151" s="23" t="s">
        <v>28</v>
      </c>
      <c r="I151" s="23">
        <v>24</v>
      </c>
      <c r="J151" s="23">
        <v>1</v>
      </c>
      <c r="K151" s="23">
        <v>5</v>
      </c>
      <c r="L151" s="23" t="s">
        <v>44</v>
      </c>
      <c r="M151" s="25">
        <v>9.1999999999999993</v>
      </c>
      <c r="N151">
        <f t="shared" si="2"/>
        <v>1</v>
      </c>
    </row>
    <row r="152" spans="1:14" x14ac:dyDescent="0.35">
      <c r="A152" s="6" t="s">
        <v>220</v>
      </c>
      <c r="B152" s="19" t="s">
        <v>81</v>
      </c>
      <c r="C152" s="19">
        <v>5</v>
      </c>
      <c r="D152" s="20">
        <v>45802</v>
      </c>
      <c r="E152" s="19" t="s">
        <v>8364</v>
      </c>
      <c r="F152" s="19" t="s">
        <v>8364</v>
      </c>
      <c r="G152" s="19" t="s">
        <v>27</v>
      </c>
      <c r="H152" s="19" t="s">
        <v>16</v>
      </c>
      <c r="I152" s="19">
        <v>8</v>
      </c>
      <c r="J152" s="19">
        <v>0</v>
      </c>
      <c r="K152" s="19">
        <v>4</v>
      </c>
      <c r="L152" s="19" t="s">
        <v>38</v>
      </c>
      <c r="M152" s="21">
        <v>10.8</v>
      </c>
      <c r="N152">
        <f t="shared" si="2"/>
        <v>0</v>
      </c>
    </row>
    <row r="153" spans="1:14" x14ac:dyDescent="0.35">
      <c r="A153" s="22" t="s">
        <v>221</v>
      </c>
      <c r="B153" s="23" t="s">
        <v>69</v>
      </c>
      <c r="C153" s="23">
        <v>11</v>
      </c>
      <c r="D153" s="24">
        <v>45987</v>
      </c>
      <c r="E153" s="23" t="s">
        <v>68</v>
      </c>
      <c r="F153" s="23" t="s">
        <v>37</v>
      </c>
      <c r="G153" s="23" t="s">
        <v>31</v>
      </c>
      <c r="H153" s="23" t="s">
        <v>32</v>
      </c>
      <c r="I153" s="23">
        <v>8</v>
      </c>
      <c r="J153" s="23">
        <v>0</v>
      </c>
      <c r="K153" s="23">
        <v>1</v>
      </c>
      <c r="L153" s="23" t="s">
        <v>38</v>
      </c>
      <c r="M153" s="25">
        <v>6.1</v>
      </c>
      <c r="N153">
        <f t="shared" si="2"/>
        <v>1</v>
      </c>
    </row>
    <row r="154" spans="1:14" x14ac:dyDescent="0.35">
      <c r="A154" s="6" t="s">
        <v>222</v>
      </c>
      <c r="B154" s="19" t="s">
        <v>34</v>
      </c>
      <c r="C154" s="19">
        <v>7</v>
      </c>
      <c r="D154" s="20">
        <v>45863</v>
      </c>
      <c r="E154" s="19" t="s">
        <v>13</v>
      </c>
      <c r="F154" s="19" t="s">
        <v>43</v>
      </c>
      <c r="G154" s="19" t="s">
        <v>27</v>
      </c>
      <c r="H154" s="19" t="s">
        <v>22</v>
      </c>
      <c r="I154" s="19">
        <v>24</v>
      </c>
      <c r="J154" s="19">
        <v>0</v>
      </c>
      <c r="K154" s="19">
        <v>2</v>
      </c>
      <c r="L154" s="19" t="s">
        <v>8363</v>
      </c>
      <c r="M154" s="21">
        <v>4.5</v>
      </c>
      <c r="N154">
        <f t="shared" si="2"/>
        <v>1</v>
      </c>
    </row>
    <row r="155" spans="1:14" x14ac:dyDescent="0.35">
      <c r="A155" s="22" t="s">
        <v>223</v>
      </c>
      <c r="B155" s="23" t="s">
        <v>89</v>
      </c>
      <c r="C155" s="23">
        <v>6</v>
      </c>
      <c r="D155" s="24">
        <v>45810</v>
      </c>
      <c r="E155" s="23" t="s">
        <v>25</v>
      </c>
      <c r="F155" s="23" t="s">
        <v>37</v>
      </c>
      <c r="G155" s="23" t="s">
        <v>31</v>
      </c>
      <c r="H155" s="23" t="s">
        <v>32</v>
      </c>
      <c r="I155" s="23">
        <v>48</v>
      </c>
      <c r="J155" s="23"/>
      <c r="K155" s="23">
        <v>1</v>
      </c>
      <c r="L155" s="23" t="s">
        <v>33</v>
      </c>
      <c r="M155" s="25">
        <v>9.4</v>
      </c>
      <c r="N155">
        <f t="shared" si="2"/>
        <v>1</v>
      </c>
    </row>
    <row r="156" spans="1:14" x14ac:dyDescent="0.35">
      <c r="A156" s="6" t="s">
        <v>224</v>
      </c>
      <c r="B156" s="19" t="s">
        <v>34</v>
      </c>
      <c r="C156" s="19">
        <v>8</v>
      </c>
      <c r="D156" s="20">
        <v>45874</v>
      </c>
      <c r="E156" s="19" t="s">
        <v>8364</v>
      </c>
      <c r="F156" s="19" t="s">
        <v>37</v>
      </c>
      <c r="G156" s="19" t="s">
        <v>27</v>
      </c>
      <c r="H156" s="19" t="s">
        <v>8364</v>
      </c>
      <c r="I156" s="19">
        <v>24</v>
      </c>
      <c r="J156" s="19">
        <v>0</v>
      </c>
      <c r="K156" s="19">
        <v>4</v>
      </c>
      <c r="L156" s="19" t="s">
        <v>33</v>
      </c>
      <c r="M156" s="21">
        <v>2.7</v>
      </c>
      <c r="N156">
        <f t="shared" si="2"/>
        <v>1</v>
      </c>
    </row>
    <row r="157" spans="1:14" x14ac:dyDescent="0.35">
      <c r="A157" s="22" t="s">
        <v>225</v>
      </c>
      <c r="B157" s="23" t="s">
        <v>85</v>
      </c>
      <c r="C157" s="23">
        <v>3</v>
      </c>
      <c r="D157" s="24">
        <v>45743</v>
      </c>
      <c r="E157" s="23" t="s">
        <v>36</v>
      </c>
      <c r="F157" s="23" t="s">
        <v>14</v>
      </c>
      <c r="G157" s="23" t="s">
        <v>31</v>
      </c>
      <c r="H157" s="23" t="s">
        <v>22</v>
      </c>
      <c r="I157" s="23">
        <v>72</v>
      </c>
      <c r="J157" s="23">
        <v>1</v>
      </c>
      <c r="K157" s="23"/>
      <c r="L157" s="23" t="s">
        <v>55</v>
      </c>
      <c r="M157" s="25">
        <v>6.1</v>
      </c>
      <c r="N157">
        <f t="shared" si="2"/>
        <v>1</v>
      </c>
    </row>
    <row r="158" spans="1:14" x14ac:dyDescent="0.35">
      <c r="A158" s="6" t="s">
        <v>226</v>
      </c>
      <c r="B158" s="19" t="s">
        <v>181</v>
      </c>
      <c r="C158" s="19"/>
      <c r="D158" s="20"/>
      <c r="E158" s="19" t="s">
        <v>25</v>
      </c>
      <c r="F158" s="19" t="s">
        <v>37</v>
      </c>
      <c r="G158" s="19" t="s">
        <v>15</v>
      </c>
      <c r="H158" s="19" t="s">
        <v>16</v>
      </c>
      <c r="I158" s="19">
        <v>24</v>
      </c>
      <c r="J158" s="19">
        <v>0</v>
      </c>
      <c r="K158" s="19">
        <v>2</v>
      </c>
      <c r="L158" s="19" t="s">
        <v>44</v>
      </c>
      <c r="M158" s="21">
        <v>15.3</v>
      </c>
      <c r="N158">
        <f t="shared" si="2"/>
        <v>1</v>
      </c>
    </row>
    <row r="159" spans="1:14" x14ac:dyDescent="0.35">
      <c r="A159" s="22" t="s">
        <v>227</v>
      </c>
      <c r="B159" s="23" t="s">
        <v>49</v>
      </c>
      <c r="C159" s="23">
        <v>4</v>
      </c>
      <c r="D159" s="24">
        <v>45749</v>
      </c>
      <c r="E159" s="23" t="s">
        <v>13</v>
      </c>
      <c r="F159" s="23" t="s">
        <v>8364</v>
      </c>
      <c r="G159" s="23" t="s">
        <v>31</v>
      </c>
      <c r="H159" s="23" t="s">
        <v>32</v>
      </c>
      <c r="I159" s="23">
        <v>72</v>
      </c>
      <c r="J159" s="23">
        <v>0</v>
      </c>
      <c r="K159" s="23"/>
      <c r="L159" s="23" t="s">
        <v>62</v>
      </c>
      <c r="M159" s="25">
        <v>3.8</v>
      </c>
      <c r="N159">
        <f t="shared" si="2"/>
        <v>1</v>
      </c>
    </row>
    <row r="160" spans="1:14" x14ac:dyDescent="0.35">
      <c r="A160" s="6" t="s">
        <v>228</v>
      </c>
      <c r="B160" s="19" t="s">
        <v>57</v>
      </c>
      <c r="C160" s="19">
        <v>12</v>
      </c>
      <c r="D160" s="20">
        <v>46014</v>
      </c>
      <c r="E160" s="19" t="s">
        <v>36</v>
      </c>
      <c r="F160" s="19" t="s">
        <v>26</v>
      </c>
      <c r="G160" s="19" t="s">
        <v>21</v>
      </c>
      <c r="H160" s="19" t="s">
        <v>22</v>
      </c>
      <c r="I160" s="19">
        <v>4</v>
      </c>
      <c r="J160" s="19">
        <v>1</v>
      </c>
      <c r="K160" s="19">
        <v>5</v>
      </c>
      <c r="L160" s="19" t="s">
        <v>17</v>
      </c>
      <c r="M160" s="21">
        <v>12.5</v>
      </c>
      <c r="N160">
        <f t="shared" si="2"/>
        <v>0</v>
      </c>
    </row>
    <row r="161" spans="1:14" x14ac:dyDescent="0.35">
      <c r="A161" s="22" t="s">
        <v>229</v>
      </c>
      <c r="B161" s="23" t="s">
        <v>29</v>
      </c>
      <c r="C161" s="23">
        <v>4</v>
      </c>
      <c r="D161" s="24">
        <v>45762</v>
      </c>
      <c r="E161" s="23" t="s">
        <v>68</v>
      </c>
      <c r="F161" s="23" t="s">
        <v>8364</v>
      </c>
      <c r="G161" s="23" t="s">
        <v>31</v>
      </c>
      <c r="H161" s="23" t="s">
        <v>16</v>
      </c>
      <c r="I161" s="23">
        <v>24</v>
      </c>
      <c r="J161" s="23">
        <v>0</v>
      </c>
      <c r="K161" s="23">
        <v>4</v>
      </c>
      <c r="L161" s="23" t="s">
        <v>33</v>
      </c>
      <c r="M161" s="25">
        <v>19.3</v>
      </c>
      <c r="N161">
        <f t="shared" si="2"/>
        <v>1</v>
      </c>
    </row>
    <row r="162" spans="1:14" x14ac:dyDescent="0.35">
      <c r="A162" s="6" t="s">
        <v>230</v>
      </c>
      <c r="B162" s="19" t="s">
        <v>101</v>
      </c>
      <c r="C162" s="19">
        <v>3</v>
      </c>
      <c r="D162" s="20">
        <v>45729</v>
      </c>
      <c r="E162" s="19" t="s">
        <v>13</v>
      </c>
      <c r="F162" s="19" t="s">
        <v>37</v>
      </c>
      <c r="G162" s="19" t="s">
        <v>31</v>
      </c>
      <c r="H162" s="19" t="s">
        <v>32</v>
      </c>
      <c r="I162" s="19">
        <v>4</v>
      </c>
      <c r="J162" s="19">
        <v>1</v>
      </c>
      <c r="K162" s="19"/>
      <c r="L162" s="19" t="s">
        <v>8363</v>
      </c>
      <c r="M162" s="21">
        <v>2.2000000000000002</v>
      </c>
      <c r="N162">
        <f t="shared" si="2"/>
        <v>1</v>
      </c>
    </row>
    <row r="163" spans="1:14" x14ac:dyDescent="0.35">
      <c r="A163" s="22" t="s">
        <v>231</v>
      </c>
      <c r="B163" s="23" t="s">
        <v>158</v>
      </c>
      <c r="C163" s="23">
        <v>12</v>
      </c>
      <c r="D163" s="24">
        <v>46002</v>
      </c>
      <c r="E163" s="23" t="s">
        <v>68</v>
      </c>
      <c r="F163" s="23" t="s">
        <v>37</v>
      </c>
      <c r="G163" s="23" t="s">
        <v>21</v>
      </c>
      <c r="H163" s="23" t="s">
        <v>8364</v>
      </c>
      <c r="I163" s="23">
        <v>4</v>
      </c>
      <c r="J163" s="23">
        <v>0</v>
      </c>
      <c r="K163" s="23">
        <v>5</v>
      </c>
      <c r="L163" s="23" t="s">
        <v>8363</v>
      </c>
      <c r="M163" s="25">
        <v>8.3000000000000007</v>
      </c>
      <c r="N163">
        <f t="shared" si="2"/>
        <v>0</v>
      </c>
    </row>
    <row r="164" spans="1:14" x14ac:dyDescent="0.35">
      <c r="A164" s="6" t="s">
        <v>232</v>
      </c>
      <c r="B164" s="19" t="s">
        <v>29</v>
      </c>
      <c r="C164" s="19">
        <v>6</v>
      </c>
      <c r="D164" s="20">
        <v>45816</v>
      </c>
      <c r="E164" s="19" t="s">
        <v>20</v>
      </c>
      <c r="F164" s="19" t="s">
        <v>37</v>
      </c>
      <c r="G164" s="19" t="s">
        <v>15</v>
      </c>
      <c r="H164" s="19" t="s">
        <v>8364</v>
      </c>
      <c r="I164" s="19">
        <v>8</v>
      </c>
      <c r="J164" s="19">
        <v>0</v>
      </c>
      <c r="K164" s="19">
        <v>2</v>
      </c>
      <c r="L164" s="19" t="s">
        <v>38</v>
      </c>
      <c r="M164" s="21">
        <v>1.7</v>
      </c>
      <c r="N164">
        <f t="shared" si="2"/>
        <v>1</v>
      </c>
    </row>
    <row r="165" spans="1:14" x14ac:dyDescent="0.35">
      <c r="A165" s="22" t="s">
        <v>233</v>
      </c>
      <c r="B165" s="23" t="s">
        <v>126</v>
      </c>
      <c r="C165" s="23">
        <v>1</v>
      </c>
      <c r="D165" s="24">
        <v>45685</v>
      </c>
      <c r="E165" s="23" t="s">
        <v>25</v>
      </c>
      <c r="F165" s="23" t="s">
        <v>14</v>
      </c>
      <c r="G165" s="23" t="s">
        <v>31</v>
      </c>
      <c r="H165" s="23" t="s">
        <v>22</v>
      </c>
      <c r="I165" s="23">
        <v>48</v>
      </c>
      <c r="J165" s="23">
        <v>0</v>
      </c>
      <c r="K165" s="23">
        <v>4</v>
      </c>
      <c r="L165" s="23" t="s">
        <v>17</v>
      </c>
      <c r="M165" s="25"/>
      <c r="N165">
        <f t="shared" si="2"/>
        <v>1</v>
      </c>
    </row>
    <row r="166" spans="1:14" x14ac:dyDescent="0.35">
      <c r="A166" s="6" t="s">
        <v>234</v>
      </c>
      <c r="B166" s="19" t="s">
        <v>34</v>
      </c>
      <c r="C166" s="19">
        <v>7</v>
      </c>
      <c r="D166" s="20">
        <v>45844</v>
      </c>
      <c r="E166" s="19" t="s">
        <v>25</v>
      </c>
      <c r="F166" s="19" t="s">
        <v>43</v>
      </c>
      <c r="G166" s="19" t="s">
        <v>15</v>
      </c>
      <c r="H166" s="19" t="s">
        <v>32</v>
      </c>
      <c r="I166" s="19">
        <v>72</v>
      </c>
      <c r="J166" s="19">
        <v>1</v>
      </c>
      <c r="K166" s="19">
        <v>4</v>
      </c>
      <c r="L166" s="19" t="s">
        <v>8363</v>
      </c>
      <c r="M166" s="21">
        <v>6.9</v>
      </c>
      <c r="N166">
        <f t="shared" si="2"/>
        <v>1</v>
      </c>
    </row>
    <row r="167" spans="1:14" x14ac:dyDescent="0.35">
      <c r="A167" s="22" t="s">
        <v>235</v>
      </c>
      <c r="B167" s="23" t="s">
        <v>236</v>
      </c>
      <c r="C167" s="23">
        <v>5</v>
      </c>
      <c r="D167" s="24">
        <v>45790</v>
      </c>
      <c r="E167" s="23" t="s">
        <v>8364</v>
      </c>
      <c r="F167" s="23" t="s">
        <v>26</v>
      </c>
      <c r="G167" s="23" t="s">
        <v>15</v>
      </c>
      <c r="H167" s="23" t="s">
        <v>22</v>
      </c>
      <c r="I167" s="23">
        <v>8</v>
      </c>
      <c r="J167" s="23">
        <v>0</v>
      </c>
      <c r="K167" s="23">
        <v>1</v>
      </c>
      <c r="L167" s="23" t="s">
        <v>38</v>
      </c>
      <c r="M167" s="25">
        <v>4.9000000000000004</v>
      </c>
      <c r="N167">
        <f t="shared" si="2"/>
        <v>1</v>
      </c>
    </row>
    <row r="168" spans="1:14" x14ac:dyDescent="0.35">
      <c r="A168" s="6" t="s">
        <v>237</v>
      </c>
      <c r="B168" s="19" t="s">
        <v>143</v>
      </c>
      <c r="C168" s="19"/>
      <c r="D168" s="20"/>
      <c r="E168" s="19" t="s">
        <v>68</v>
      </c>
      <c r="F168" s="19" t="s">
        <v>59</v>
      </c>
      <c r="G168" s="19" t="s">
        <v>15</v>
      </c>
      <c r="H168" s="19" t="s">
        <v>22</v>
      </c>
      <c r="I168" s="19">
        <v>72</v>
      </c>
      <c r="J168" s="19">
        <v>0</v>
      </c>
      <c r="K168" s="19">
        <v>3</v>
      </c>
      <c r="L168" s="19" t="s">
        <v>44</v>
      </c>
      <c r="M168" s="21">
        <v>3</v>
      </c>
      <c r="N168">
        <f t="shared" si="2"/>
        <v>1</v>
      </c>
    </row>
    <row r="169" spans="1:14" x14ac:dyDescent="0.35">
      <c r="A169" s="22" t="s">
        <v>238</v>
      </c>
      <c r="B169" s="23" t="s">
        <v>72</v>
      </c>
      <c r="C169" s="23">
        <v>6</v>
      </c>
      <c r="D169" s="24">
        <v>45831</v>
      </c>
      <c r="E169" s="23" t="s">
        <v>36</v>
      </c>
      <c r="F169" s="23" t="s">
        <v>8364</v>
      </c>
      <c r="G169" s="23" t="s">
        <v>31</v>
      </c>
      <c r="H169" s="23" t="s">
        <v>28</v>
      </c>
      <c r="I169" s="23">
        <v>24</v>
      </c>
      <c r="J169" s="23">
        <v>2</v>
      </c>
      <c r="K169" s="23">
        <v>4</v>
      </c>
      <c r="L169" s="23" t="s">
        <v>8363</v>
      </c>
      <c r="M169" s="25">
        <v>5.2</v>
      </c>
      <c r="N169">
        <f t="shared" si="2"/>
        <v>1</v>
      </c>
    </row>
    <row r="170" spans="1:14" x14ac:dyDescent="0.35">
      <c r="A170" s="6" t="s">
        <v>239</v>
      </c>
      <c r="B170" s="19" t="s">
        <v>53</v>
      </c>
      <c r="C170" s="19">
        <v>11</v>
      </c>
      <c r="D170" s="20">
        <v>45981</v>
      </c>
      <c r="E170" s="19" t="s">
        <v>25</v>
      </c>
      <c r="F170" s="19" t="s">
        <v>37</v>
      </c>
      <c r="G170" s="19" t="s">
        <v>27</v>
      </c>
      <c r="H170" s="19" t="s">
        <v>22</v>
      </c>
      <c r="I170" s="19">
        <v>8</v>
      </c>
      <c r="J170" s="19">
        <v>0</v>
      </c>
      <c r="K170" s="19">
        <v>4</v>
      </c>
      <c r="L170" s="19" t="s">
        <v>8363</v>
      </c>
      <c r="M170" s="21">
        <v>6.6</v>
      </c>
      <c r="N170">
        <f t="shared" si="2"/>
        <v>1</v>
      </c>
    </row>
    <row r="171" spans="1:14" x14ac:dyDescent="0.35">
      <c r="A171" s="22" t="s">
        <v>240</v>
      </c>
      <c r="B171" s="23" t="s">
        <v>47</v>
      </c>
      <c r="C171" s="23">
        <v>4</v>
      </c>
      <c r="D171" s="24">
        <v>45751</v>
      </c>
      <c r="E171" s="23" t="s">
        <v>13</v>
      </c>
      <c r="F171" s="23" t="s">
        <v>37</v>
      </c>
      <c r="G171" s="23" t="s">
        <v>31</v>
      </c>
      <c r="H171" s="23" t="s">
        <v>22</v>
      </c>
      <c r="I171" s="23">
        <v>48</v>
      </c>
      <c r="J171" s="23">
        <v>0</v>
      </c>
      <c r="K171" s="23">
        <v>5</v>
      </c>
      <c r="L171" s="23" t="s">
        <v>62</v>
      </c>
      <c r="M171" s="25">
        <v>13.7</v>
      </c>
      <c r="N171">
        <f t="shared" si="2"/>
        <v>1</v>
      </c>
    </row>
    <row r="172" spans="1:14" x14ac:dyDescent="0.35">
      <c r="A172" s="6" t="s">
        <v>241</v>
      </c>
      <c r="B172" s="19" t="s">
        <v>89</v>
      </c>
      <c r="C172" s="19">
        <v>11</v>
      </c>
      <c r="D172" s="20">
        <v>45974</v>
      </c>
      <c r="E172" s="19" t="s">
        <v>25</v>
      </c>
      <c r="F172" s="19" t="s">
        <v>14</v>
      </c>
      <c r="G172" s="19" t="s">
        <v>31</v>
      </c>
      <c r="H172" s="19" t="s">
        <v>22</v>
      </c>
      <c r="I172" s="19">
        <v>72</v>
      </c>
      <c r="J172" s="19">
        <v>1</v>
      </c>
      <c r="K172" s="19"/>
      <c r="L172" s="19" t="s">
        <v>75</v>
      </c>
      <c r="M172" s="21">
        <v>1.4</v>
      </c>
      <c r="N172">
        <f t="shared" si="2"/>
        <v>1</v>
      </c>
    </row>
    <row r="173" spans="1:14" x14ac:dyDescent="0.35">
      <c r="A173" s="22" t="s">
        <v>242</v>
      </c>
      <c r="B173" s="23" t="s">
        <v>126</v>
      </c>
      <c r="C173" s="23">
        <v>3</v>
      </c>
      <c r="D173" s="24">
        <v>45738</v>
      </c>
      <c r="E173" s="23" t="s">
        <v>13</v>
      </c>
      <c r="F173" s="23" t="s">
        <v>43</v>
      </c>
      <c r="G173" s="23" t="s">
        <v>21</v>
      </c>
      <c r="H173" s="23" t="s">
        <v>28</v>
      </c>
      <c r="I173" s="23">
        <v>4</v>
      </c>
      <c r="J173" s="23">
        <v>0</v>
      </c>
      <c r="K173" s="23">
        <v>2</v>
      </c>
      <c r="L173" s="23" t="s">
        <v>44</v>
      </c>
      <c r="M173" s="25">
        <v>11.9</v>
      </c>
      <c r="N173">
        <f t="shared" si="2"/>
        <v>0</v>
      </c>
    </row>
    <row r="174" spans="1:14" x14ac:dyDescent="0.35">
      <c r="A174" s="6" t="s">
        <v>243</v>
      </c>
      <c r="B174" s="19" t="s">
        <v>78</v>
      </c>
      <c r="C174" s="19">
        <v>2</v>
      </c>
      <c r="D174" s="20">
        <v>45690</v>
      </c>
      <c r="E174" s="19" t="s">
        <v>13</v>
      </c>
      <c r="F174" s="19" t="s">
        <v>14</v>
      </c>
      <c r="G174" s="19" t="s">
        <v>27</v>
      </c>
      <c r="H174" s="19" t="s">
        <v>28</v>
      </c>
      <c r="I174" s="19">
        <v>4</v>
      </c>
      <c r="J174" s="19">
        <v>0</v>
      </c>
      <c r="K174" s="19">
        <v>4</v>
      </c>
      <c r="L174" s="19" t="s">
        <v>55</v>
      </c>
      <c r="M174" s="21">
        <v>9.6</v>
      </c>
      <c r="N174">
        <f t="shared" si="2"/>
        <v>0</v>
      </c>
    </row>
    <row r="175" spans="1:14" x14ac:dyDescent="0.35">
      <c r="A175" s="22" t="s">
        <v>244</v>
      </c>
      <c r="B175" s="23" t="s">
        <v>23</v>
      </c>
      <c r="C175" s="23">
        <v>7</v>
      </c>
      <c r="D175" s="24">
        <v>45854</v>
      </c>
      <c r="E175" s="23" t="s">
        <v>13</v>
      </c>
      <c r="F175" s="23" t="s">
        <v>14</v>
      </c>
      <c r="G175" s="23" t="s">
        <v>21</v>
      </c>
      <c r="H175" s="23" t="s">
        <v>22</v>
      </c>
      <c r="I175" s="23">
        <v>24</v>
      </c>
      <c r="J175" s="23">
        <v>0</v>
      </c>
      <c r="K175" s="23">
        <v>3</v>
      </c>
      <c r="L175" s="23" t="s">
        <v>62</v>
      </c>
      <c r="M175" s="25">
        <v>20.9</v>
      </c>
      <c r="N175">
        <f t="shared" si="2"/>
        <v>1</v>
      </c>
    </row>
    <row r="176" spans="1:14" x14ac:dyDescent="0.35">
      <c r="A176" s="6" t="s">
        <v>245</v>
      </c>
      <c r="B176" s="19" t="s">
        <v>143</v>
      </c>
      <c r="C176" s="19">
        <v>10</v>
      </c>
      <c r="D176" s="20">
        <v>45954</v>
      </c>
      <c r="E176" s="19" t="s">
        <v>25</v>
      </c>
      <c r="F176" s="19" t="s">
        <v>59</v>
      </c>
      <c r="G176" s="19" t="s">
        <v>21</v>
      </c>
      <c r="H176" s="19" t="s">
        <v>8364</v>
      </c>
      <c r="I176" s="19">
        <v>48</v>
      </c>
      <c r="J176" s="19">
        <v>0</v>
      </c>
      <c r="K176" s="19">
        <v>1</v>
      </c>
      <c r="L176" s="19" t="s">
        <v>62</v>
      </c>
      <c r="M176" s="21">
        <v>13.9</v>
      </c>
      <c r="N176">
        <f t="shared" si="2"/>
        <v>1</v>
      </c>
    </row>
    <row r="177" spans="1:14" x14ac:dyDescent="0.35">
      <c r="A177" s="22" t="s">
        <v>246</v>
      </c>
      <c r="B177" s="23" t="s">
        <v>97</v>
      </c>
      <c r="C177" s="23">
        <v>11</v>
      </c>
      <c r="D177" s="24">
        <v>45963</v>
      </c>
      <c r="E177" s="23" t="s">
        <v>20</v>
      </c>
      <c r="F177" s="23" t="s">
        <v>14</v>
      </c>
      <c r="G177" s="23" t="s">
        <v>21</v>
      </c>
      <c r="H177" s="23" t="s">
        <v>28</v>
      </c>
      <c r="I177" s="23">
        <v>4</v>
      </c>
      <c r="J177" s="23">
        <v>2</v>
      </c>
      <c r="K177" s="23">
        <v>3</v>
      </c>
      <c r="L177" s="23" t="s">
        <v>8363</v>
      </c>
      <c r="M177" s="25">
        <v>21.8</v>
      </c>
      <c r="N177">
        <f t="shared" si="2"/>
        <v>0</v>
      </c>
    </row>
    <row r="178" spans="1:14" x14ac:dyDescent="0.35">
      <c r="A178" s="6" t="s">
        <v>247</v>
      </c>
      <c r="B178" s="19" t="s">
        <v>23</v>
      </c>
      <c r="C178" s="19">
        <v>9</v>
      </c>
      <c r="D178" s="20">
        <v>45928</v>
      </c>
      <c r="E178" s="19" t="s">
        <v>25</v>
      </c>
      <c r="F178" s="19" t="s">
        <v>14</v>
      </c>
      <c r="G178" s="19" t="s">
        <v>27</v>
      </c>
      <c r="H178" s="19" t="s">
        <v>22</v>
      </c>
      <c r="I178" s="19">
        <v>48</v>
      </c>
      <c r="J178" s="19">
        <v>0</v>
      </c>
      <c r="K178" s="19">
        <v>5</v>
      </c>
      <c r="L178" s="19" t="s">
        <v>75</v>
      </c>
      <c r="M178" s="21">
        <v>9.1999999999999993</v>
      </c>
      <c r="N178">
        <f t="shared" si="2"/>
        <v>1</v>
      </c>
    </row>
    <row r="179" spans="1:14" x14ac:dyDescent="0.35">
      <c r="A179" s="22" t="s">
        <v>248</v>
      </c>
      <c r="B179" s="23" t="s">
        <v>45</v>
      </c>
      <c r="C179" s="23">
        <v>6</v>
      </c>
      <c r="D179" s="24">
        <v>45815</v>
      </c>
      <c r="E179" s="23" t="s">
        <v>13</v>
      </c>
      <c r="F179" s="23" t="s">
        <v>8364</v>
      </c>
      <c r="G179" s="23" t="s">
        <v>21</v>
      </c>
      <c r="H179" s="23" t="s">
        <v>8364</v>
      </c>
      <c r="I179" s="23">
        <v>72</v>
      </c>
      <c r="J179" s="23">
        <v>1</v>
      </c>
      <c r="K179" s="23">
        <v>4</v>
      </c>
      <c r="L179" s="23" t="s">
        <v>75</v>
      </c>
      <c r="M179" s="25">
        <v>10.9</v>
      </c>
      <c r="N179">
        <f t="shared" si="2"/>
        <v>1</v>
      </c>
    </row>
    <row r="180" spans="1:14" x14ac:dyDescent="0.35">
      <c r="A180" s="6" t="s">
        <v>249</v>
      </c>
      <c r="B180" s="19" t="s">
        <v>101</v>
      </c>
      <c r="C180" s="19"/>
      <c r="D180" s="20"/>
      <c r="E180" s="19" t="s">
        <v>36</v>
      </c>
      <c r="F180" s="19" t="s">
        <v>37</v>
      </c>
      <c r="G180" s="19" t="s">
        <v>21</v>
      </c>
      <c r="H180" s="19" t="s">
        <v>28</v>
      </c>
      <c r="I180" s="19">
        <v>24</v>
      </c>
      <c r="J180" s="19">
        <v>1</v>
      </c>
      <c r="K180" s="19">
        <v>5</v>
      </c>
      <c r="L180" s="19" t="s">
        <v>62</v>
      </c>
      <c r="M180" s="21">
        <v>11.3</v>
      </c>
      <c r="N180">
        <f t="shared" si="2"/>
        <v>1</v>
      </c>
    </row>
    <row r="181" spans="1:14" x14ac:dyDescent="0.35">
      <c r="A181" s="22" t="s">
        <v>250</v>
      </c>
      <c r="B181" s="23" t="s">
        <v>69</v>
      </c>
      <c r="C181" s="23">
        <v>7</v>
      </c>
      <c r="D181" s="24">
        <v>45858</v>
      </c>
      <c r="E181" s="23" t="s">
        <v>13</v>
      </c>
      <c r="F181" s="23" t="s">
        <v>14</v>
      </c>
      <c r="G181" s="23" t="s">
        <v>27</v>
      </c>
      <c r="H181" s="23" t="s">
        <v>22</v>
      </c>
      <c r="I181" s="23">
        <v>48</v>
      </c>
      <c r="J181" s="23">
        <v>3</v>
      </c>
      <c r="K181" s="23">
        <v>4</v>
      </c>
      <c r="L181" s="23" t="s">
        <v>17</v>
      </c>
      <c r="M181" s="25">
        <v>17</v>
      </c>
      <c r="N181">
        <f t="shared" si="2"/>
        <v>1</v>
      </c>
    </row>
    <row r="182" spans="1:14" x14ac:dyDescent="0.35">
      <c r="A182" s="6" t="s">
        <v>251</v>
      </c>
      <c r="B182" s="19" t="s">
        <v>29</v>
      </c>
      <c r="C182" s="19">
        <v>5</v>
      </c>
      <c r="D182" s="20">
        <v>45793</v>
      </c>
      <c r="E182" s="19" t="s">
        <v>13</v>
      </c>
      <c r="F182" s="19" t="s">
        <v>43</v>
      </c>
      <c r="G182" s="19" t="s">
        <v>27</v>
      </c>
      <c r="H182" s="19" t="s">
        <v>8364</v>
      </c>
      <c r="I182" s="19">
        <v>48</v>
      </c>
      <c r="J182" s="19">
        <v>1</v>
      </c>
      <c r="K182" s="19">
        <v>5</v>
      </c>
      <c r="L182" s="19" t="s">
        <v>33</v>
      </c>
      <c r="M182" s="21">
        <v>8.4</v>
      </c>
      <c r="N182">
        <f t="shared" si="2"/>
        <v>1</v>
      </c>
    </row>
    <row r="183" spans="1:14" x14ac:dyDescent="0.35">
      <c r="A183" s="22" t="s">
        <v>252</v>
      </c>
      <c r="B183" s="23" t="s">
        <v>253</v>
      </c>
      <c r="C183" s="23">
        <v>11</v>
      </c>
      <c r="D183" s="24">
        <v>45970</v>
      </c>
      <c r="E183" s="23" t="s">
        <v>25</v>
      </c>
      <c r="F183" s="23" t="s">
        <v>14</v>
      </c>
      <c r="G183" s="23" t="s">
        <v>31</v>
      </c>
      <c r="H183" s="23" t="s">
        <v>22</v>
      </c>
      <c r="I183" s="23">
        <v>24</v>
      </c>
      <c r="J183" s="23">
        <v>1</v>
      </c>
      <c r="K183" s="23">
        <v>4</v>
      </c>
      <c r="L183" s="23" t="s">
        <v>38</v>
      </c>
      <c r="M183" s="25">
        <v>13.1</v>
      </c>
      <c r="N183">
        <f t="shared" si="2"/>
        <v>1</v>
      </c>
    </row>
    <row r="184" spans="1:14" x14ac:dyDescent="0.35">
      <c r="A184" s="6" t="s">
        <v>254</v>
      </c>
      <c r="B184" s="19" t="s">
        <v>23</v>
      </c>
      <c r="C184" s="19">
        <v>11</v>
      </c>
      <c r="D184" s="20">
        <v>45965</v>
      </c>
      <c r="E184" s="19" t="s">
        <v>13</v>
      </c>
      <c r="F184" s="19" t="s">
        <v>40</v>
      </c>
      <c r="G184" s="19" t="s">
        <v>15</v>
      </c>
      <c r="H184" s="19" t="s">
        <v>32</v>
      </c>
      <c r="I184" s="19">
        <v>48</v>
      </c>
      <c r="J184" s="19">
        <v>0</v>
      </c>
      <c r="K184" s="19">
        <v>5</v>
      </c>
      <c r="L184" s="19" t="s">
        <v>55</v>
      </c>
      <c r="M184" s="21">
        <v>11.6</v>
      </c>
      <c r="N184">
        <f t="shared" si="2"/>
        <v>1</v>
      </c>
    </row>
    <row r="185" spans="1:14" x14ac:dyDescent="0.35">
      <c r="A185" s="22" t="s">
        <v>255</v>
      </c>
      <c r="B185" s="23" t="s">
        <v>99</v>
      </c>
      <c r="C185" s="23">
        <v>6</v>
      </c>
      <c r="D185" s="24">
        <v>45811</v>
      </c>
      <c r="E185" s="23" t="s">
        <v>25</v>
      </c>
      <c r="F185" s="23" t="s">
        <v>59</v>
      </c>
      <c r="G185" s="23" t="s">
        <v>8364</v>
      </c>
      <c r="H185" s="23" t="s">
        <v>32</v>
      </c>
      <c r="I185" s="23">
        <v>8</v>
      </c>
      <c r="J185" s="23">
        <v>0</v>
      </c>
      <c r="K185" s="23">
        <v>3</v>
      </c>
      <c r="L185" s="23" t="s">
        <v>33</v>
      </c>
      <c r="M185" s="25">
        <v>4.5999999999999996</v>
      </c>
      <c r="N185">
        <f t="shared" si="2"/>
        <v>1</v>
      </c>
    </row>
    <row r="186" spans="1:14" x14ac:dyDescent="0.35">
      <c r="A186" s="6" t="s">
        <v>256</v>
      </c>
      <c r="B186" s="19" t="s">
        <v>104</v>
      </c>
      <c r="C186" s="19"/>
      <c r="D186" s="20"/>
      <c r="E186" s="19" t="s">
        <v>20</v>
      </c>
      <c r="F186" s="19" t="s">
        <v>43</v>
      </c>
      <c r="G186" s="19" t="s">
        <v>8364</v>
      </c>
      <c r="H186" s="19" t="s">
        <v>32</v>
      </c>
      <c r="I186" s="19">
        <v>24</v>
      </c>
      <c r="J186" s="19">
        <v>0</v>
      </c>
      <c r="K186" s="19">
        <v>3</v>
      </c>
      <c r="L186" s="19" t="s">
        <v>8363</v>
      </c>
      <c r="M186" s="21">
        <v>13.5</v>
      </c>
      <c r="N186">
        <f t="shared" si="2"/>
        <v>1</v>
      </c>
    </row>
    <row r="187" spans="1:14" x14ac:dyDescent="0.35">
      <c r="A187" s="22" t="s">
        <v>257</v>
      </c>
      <c r="B187" s="23" t="s">
        <v>126</v>
      </c>
      <c r="C187" s="23">
        <v>4</v>
      </c>
      <c r="D187" s="24">
        <v>45748</v>
      </c>
      <c r="E187" s="23" t="s">
        <v>36</v>
      </c>
      <c r="F187" s="23" t="s">
        <v>8364</v>
      </c>
      <c r="G187" s="23" t="s">
        <v>31</v>
      </c>
      <c r="H187" s="23" t="s">
        <v>8364</v>
      </c>
      <c r="I187" s="23">
        <v>72</v>
      </c>
      <c r="J187" s="23">
        <v>1</v>
      </c>
      <c r="K187" s="23">
        <v>4</v>
      </c>
      <c r="L187" s="23" t="s">
        <v>8363</v>
      </c>
      <c r="M187" s="25">
        <v>18.100000000000001</v>
      </c>
      <c r="N187">
        <f t="shared" si="2"/>
        <v>1</v>
      </c>
    </row>
    <row r="188" spans="1:14" x14ac:dyDescent="0.35">
      <c r="A188" s="6" t="s">
        <v>258</v>
      </c>
      <c r="B188" s="19" t="s">
        <v>18</v>
      </c>
      <c r="C188" s="19">
        <v>6</v>
      </c>
      <c r="D188" s="20">
        <v>45838</v>
      </c>
      <c r="E188" s="19" t="s">
        <v>8364</v>
      </c>
      <c r="F188" s="19" t="s">
        <v>59</v>
      </c>
      <c r="G188" s="19" t="s">
        <v>21</v>
      </c>
      <c r="H188" s="19" t="s">
        <v>32</v>
      </c>
      <c r="I188" s="19">
        <v>72</v>
      </c>
      <c r="J188" s="19">
        <v>0</v>
      </c>
      <c r="K188" s="19">
        <v>4</v>
      </c>
      <c r="L188" s="19" t="s">
        <v>55</v>
      </c>
      <c r="M188" s="21">
        <v>13.3</v>
      </c>
      <c r="N188">
        <f t="shared" si="2"/>
        <v>1</v>
      </c>
    </row>
    <row r="189" spans="1:14" x14ac:dyDescent="0.35">
      <c r="A189" s="22" t="s">
        <v>259</v>
      </c>
      <c r="B189" s="23" t="s">
        <v>89</v>
      </c>
      <c r="C189" s="23">
        <v>10</v>
      </c>
      <c r="D189" s="24">
        <v>45941</v>
      </c>
      <c r="E189" s="23" t="s">
        <v>8364</v>
      </c>
      <c r="F189" s="23" t="s">
        <v>40</v>
      </c>
      <c r="G189" s="23" t="s">
        <v>31</v>
      </c>
      <c r="H189" s="23" t="s">
        <v>22</v>
      </c>
      <c r="I189" s="23">
        <v>24</v>
      </c>
      <c r="J189" s="23">
        <v>0</v>
      </c>
      <c r="K189" s="23">
        <v>3</v>
      </c>
      <c r="L189" s="23" t="s">
        <v>33</v>
      </c>
      <c r="M189" s="25"/>
      <c r="N189">
        <f t="shared" si="2"/>
        <v>1</v>
      </c>
    </row>
    <row r="190" spans="1:14" x14ac:dyDescent="0.35">
      <c r="A190" s="6" t="s">
        <v>260</v>
      </c>
      <c r="B190" s="19" t="s">
        <v>65</v>
      </c>
      <c r="C190" s="19">
        <v>3</v>
      </c>
      <c r="D190" s="20">
        <v>45744</v>
      </c>
      <c r="E190" s="19" t="s">
        <v>25</v>
      </c>
      <c r="F190" s="19" t="s">
        <v>14</v>
      </c>
      <c r="G190" s="19" t="s">
        <v>15</v>
      </c>
      <c r="H190" s="19" t="s">
        <v>22</v>
      </c>
      <c r="I190" s="19">
        <v>8</v>
      </c>
      <c r="J190" s="19">
        <v>0</v>
      </c>
      <c r="K190" s="19">
        <v>2</v>
      </c>
      <c r="L190" s="19" t="s">
        <v>62</v>
      </c>
      <c r="M190" s="21">
        <v>10.5</v>
      </c>
      <c r="N190">
        <f t="shared" si="2"/>
        <v>0</v>
      </c>
    </row>
    <row r="191" spans="1:14" x14ac:dyDescent="0.35">
      <c r="A191" s="22" t="s">
        <v>261</v>
      </c>
      <c r="B191" s="23" t="s">
        <v>18</v>
      </c>
      <c r="C191" s="23">
        <v>1</v>
      </c>
      <c r="D191" s="24">
        <v>45666</v>
      </c>
      <c r="E191" s="23" t="s">
        <v>68</v>
      </c>
      <c r="F191" s="23" t="s">
        <v>37</v>
      </c>
      <c r="G191" s="23" t="s">
        <v>31</v>
      </c>
      <c r="H191" s="23" t="s">
        <v>8364</v>
      </c>
      <c r="I191" s="23">
        <v>24</v>
      </c>
      <c r="J191" s="23">
        <v>0</v>
      </c>
      <c r="K191" s="23">
        <v>2</v>
      </c>
      <c r="L191" s="23" t="s">
        <v>38</v>
      </c>
      <c r="M191" s="25">
        <v>14.4</v>
      </c>
      <c r="N191">
        <f t="shared" si="2"/>
        <v>1</v>
      </c>
    </row>
    <row r="192" spans="1:14" x14ac:dyDescent="0.35">
      <c r="A192" s="6" t="s">
        <v>262</v>
      </c>
      <c r="B192" s="19" t="s">
        <v>101</v>
      </c>
      <c r="C192" s="19">
        <v>6</v>
      </c>
      <c r="D192" s="20">
        <v>45813</v>
      </c>
      <c r="E192" s="19" t="s">
        <v>8364</v>
      </c>
      <c r="F192" s="19" t="s">
        <v>26</v>
      </c>
      <c r="G192" s="19" t="s">
        <v>15</v>
      </c>
      <c r="H192" s="19" t="s">
        <v>28</v>
      </c>
      <c r="I192" s="19">
        <v>48</v>
      </c>
      <c r="J192" s="19">
        <v>0</v>
      </c>
      <c r="K192" s="19">
        <v>4</v>
      </c>
      <c r="L192" s="19" t="s">
        <v>44</v>
      </c>
      <c r="M192" s="21">
        <v>17.2</v>
      </c>
      <c r="N192">
        <f t="shared" si="2"/>
        <v>1</v>
      </c>
    </row>
    <row r="193" spans="1:14" x14ac:dyDescent="0.35">
      <c r="A193" s="22" t="s">
        <v>263</v>
      </c>
      <c r="B193" s="23" t="s">
        <v>97</v>
      </c>
      <c r="C193" s="23">
        <v>10</v>
      </c>
      <c r="D193" s="24">
        <v>45952</v>
      </c>
      <c r="E193" s="23" t="s">
        <v>13</v>
      </c>
      <c r="F193" s="23" t="s">
        <v>14</v>
      </c>
      <c r="G193" s="23" t="s">
        <v>21</v>
      </c>
      <c r="H193" s="23" t="s">
        <v>22</v>
      </c>
      <c r="I193" s="23">
        <v>4</v>
      </c>
      <c r="J193" s="23">
        <v>0</v>
      </c>
      <c r="K193" s="23">
        <v>4</v>
      </c>
      <c r="L193" s="23" t="s">
        <v>8363</v>
      </c>
      <c r="M193" s="25"/>
      <c r="N193">
        <f t="shared" si="2"/>
        <v>1</v>
      </c>
    </row>
    <row r="194" spans="1:14" x14ac:dyDescent="0.35">
      <c r="A194" s="6" t="s">
        <v>264</v>
      </c>
      <c r="B194" s="19" t="s">
        <v>34</v>
      </c>
      <c r="C194" s="19">
        <v>3</v>
      </c>
      <c r="D194" s="20">
        <v>45722</v>
      </c>
      <c r="E194" s="19" t="s">
        <v>36</v>
      </c>
      <c r="F194" s="19" t="s">
        <v>14</v>
      </c>
      <c r="G194" s="19" t="s">
        <v>31</v>
      </c>
      <c r="H194" s="19" t="s">
        <v>16</v>
      </c>
      <c r="I194" s="19">
        <v>8</v>
      </c>
      <c r="J194" s="19">
        <v>0</v>
      </c>
      <c r="K194" s="19">
        <v>5</v>
      </c>
      <c r="L194" s="19" t="s">
        <v>44</v>
      </c>
      <c r="M194" s="21">
        <v>2.9</v>
      </c>
      <c r="N194">
        <f t="shared" si="2"/>
        <v>1</v>
      </c>
    </row>
    <row r="195" spans="1:14" x14ac:dyDescent="0.35">
      <c r="A195" s="22" t="s">
        <v>265</v>
      </c>
      <c r="B195" s="23" t="s">
        <v>101</v>
      </c>
      <c r="C195" s="23">
        <v>12</v>
      </c>
      <c r="D195" s="24">
        <v>46019</v>
      </c>
      <c r="E195" s="23" t="s">
        <v>13</v>
      </c>
      <c r="F195" s="23" t="s">
        <v>14</v>
      </c>
      <c r="G195" s="23" t="s">
        <v>21</v>
      </c>
      <c r="H195" s="23" t="s">
        <v>32</v>
      </c>
      <c r="I195" s="23">
        <v>8</v>
      </c>
      <c r="J195" s="23">
        <v>0</v>
      </c>
      <c r="K195" s="23">
        <v>5</v>
      </c>
      <c r="L195" s="23" t="s">
        <v>8363</v>
      </c>
      <c r="M195" s="25">
        <v>8.3000000000000007</v>
      </c>
      <c r="N195">
        <f t="shared" ref="N195:N258" si="3">IF(M195 &lt;= I195, 1, 0)</f>
        <v>0</v>
      </c>
    </row>
    <row r="196" spans="1:14" x14ac:dyDescent="0.35">
      <c r="A196" s="6" t="s">
        <v>266</v>
      </c>
      <c r="B196" s="19" t="s">
        <v>65</v>
      </c>
      <c r="C196" s="19">
        <v>3</v>
      </c>
      <c r="D196" s="20">
        <v>45746</v>
      </c>
      <c r="E196" s="19" t="s">
        <v>8364</v>
      </c>
      <c r="F196" s="19" t="s">
        <v>14</v>
      </c>
      <c r="G196" s="19" t="s">
        <v>31</v>
      </c>
      <c r="H196" s="19" t="s">
        <v>22</v>
      </c>
      <c r="I196" s="19">
        <v>4</v>
      </c>
      <c r="J196" s="19">
        <v>0</v>
      </c>
      <c r="K196" s="19">
        <v>1</v>
      </c>
      <c r="L196" s="19" t="s">
        <v>62</v>
      </c>
      <c r="M196" s="21">
        <v>5.8</v>
      </c>
      <c r="N196">
        <f t="shared" si="3"/>
        <v>0</v>
      </c>
    </row>
    <row r="197" spans="1:14" x14ac:dyDescent="0.35">
      <c r="A197" s="22" t="s">
        <v>267</v>
      </c>
      <c r="B197" s="23" t="s">
        <v>89</v>
      </c>
      <c r="C197" s="23"/>
      <c r="D197" s="24"/>
      <c r="E197" s="23" t="s">
        <v>13</v>
      </c>
      <c r="F197" s="23" t="s">
        <v>37</v>
      </c>
      <c r="G197" s="23" t="s">
        <v>27</v>
      </c>
      <c r="H197" s="23" t="s">
        <v>22</v>
      </c>
      <c r="I197" s="23">
        <v>48</v>
      </c>
      <c r="J197" s="23">
        <v>0</v>
      </c>
      <c r="K197" s="23">
        <v>5</v>
      </c>
      <c r="L197" s="23" t="s">
        <v>17</v>
      </c>
      <c r="M197" s="25">
        <v>28.5</v>
      </c>
      <c r="N197">
        <f t="shared" si="3"/>
        <v>1</v>
      </c>
    </row>
    <row r="198" spans="1:14" x14ac:dyDescent="0.35">
      <c r="A198" s="6" t="s">
        <v>268</v>
      </c>
      <c r="B198" s="19" t="s">
        <v>158</v>
      </c>
      <c r="C198" s="19">
        <v>4</v>
      </c>
      <c r="D198" s="20">
        <v>45760</v>
      </c>
      <c r="E198" s="19" t="s">
        <v>25</v>
      </c>
      <c r="F198" s="19" t="s">
        <v>43</v>
      </c>
      <c r="G198" s="19" t="s">
        <v>27</v>
      </c>
      <c r="H198" s="19" t="s">
        <v>28</v>
      </c>
      <c r="I198" s="19">
        <v>24</v>
      </c>
      <c r="J198" s="19">
        <v>2</v>
      </c>
      <c r="K198" s="19">
        <v>4</v>
      </c>
      <c r="L198" s="19" t="s">
        <v>44</v>
      </c>
      <c r="M198" s="21">
        <v>8</v>
      </c>
      <c r="N198">
        <f t="shared" si="3"/>
        <v>1</v>
      </c>
    </row>
    <row r="199" spans="1:14" x14ac:dyDescent="0.35">
      <c r="A199" s="22" t="s">
        <v>269</v>
      </c>
      <c r="B199" s="23" t="s">
        <v>104</v>
      </c>
      <c r="C199" s="23">
        <v>3</v>
      </c>
      <c r="D199" s="24">
        <v>45731</v>
      </c>
      <c r="E199" s="23" t="s">
        <v>68</v>
      </c>
      <c r="F199" s="23" t="s">
        <v>14</v>
      </c>
      <c r="G199" s="23" t="s">
        <v>31</v>
      </c>
      <c r="H199" s="23" t="s">
        <v>32</v>
      </c>
      <c r="I199" s="23">
        <v>8</v>
      </c>
      <c r="J199" s="23">
        <v>1</v>
      </c>
      <c r="K199" s="23">
        <v>5</v>
      </c>
      <c r="L199" s="23" t="s">
        <v>75</v>
      </c>
      <c r="M199" s="25">
        <v>3.5</v>
      </c>
      <c r="N199">
        <f t="shared" si="3"/>
        <v>1</v>
      </c>
    </row>
    <row r="200" spans="1:14" x14ac:dyDescent="0.35">
      <c r="A200" s="6" t="s">
        <v>270</v>
      </c>
      <c r="B200" s="19" t="s">
        <v>69</v>
      </c>
      <c r="C200" s="19">
        <v>4</v>
      </c>
      <c r="D200" s="20">
        <v>45770</v>
      </c>
      <c r="E200" s="19" t="s">
        <v>25</v>
      </c>
      <c r="F200" s="19" t="s">
        <v>26</v>
      </c>
      <c r="G200" s="19" t="s">
        <v>21</v>
      </c>
      <c r="H200" s="19" t="s">
        <v>22</v>
      </c>
      <c r="I200" s="19">
        <v>8</v>
      </c>
      <c r="J200" s="19">
        <v>0</v>
      </c>
      <c r="K200" s="19">
        <v>4</v>
      </c>
      <c r="L200" s="19" t="s">
        <v>17</v>
      </c>
      <c r="M200" s="21">
        <v>12</v>
      </c>
      <c r="N200">
        <f t="shared" si="3"/>
        <v>0</v>
      </c>
    </row>
    <row r="201" spans="1:14" x14ac:dyDescent="0.35">
      <c r="A201" s="22" t="s">
        <v>271</v>
      </c>
      <c r="B201" s="23" t="s">
        <v>236</v>
      </c>
      <c r="C201" s="23">
        <v>6</v>
      </c>
      <c r="D201" s="24">
        <v>45817</v>
      </c>
      <c r="E201" s="23" t="s">
        <v>20</v>
      </c>
      <c r="F201" s="23" t="s">
        <v>40</v>
      </c>
      <c r="G201" s="23" t="s">
        <v>15</v>
      </c>
      <c r="H201" s="23" t="s">
        <v>28</v>
      </c>
      <c r="I201" s="23">
        <v>48</v>
      </c>
      <c r="J201" s="23">
        <v>0</v>
      </c>
      <c r="K201" s="23">
        <v>4</v>
      </c>
      <c r="L201" s="23" t="s">
        <v>8363</v>
      </c>
      <c r="M201" s="25"/>
      <c r="N201">
        <f t="shared" si="3"/>
        <v>1</v>
      </c>
    </row>
    <row r="202" spans="1:14" x14ac:dyDescent="0.35">
      <c r="A202" s="6" t="s">
        <v>272</v>
      </c>
      <c r="B202" s="19" t="s">
        <v>53</v>
      </c>
      <c r="C202" s="19">
        <v>9</v>
      </c>
      <c r="D202" s="20">
        <v>45915</v>
      </c>
      <c r="E202" s="19" t="s">
        <v>68</v>
      </c>
      <c r="F202" s="19" t="s">
        <v>43</v>
      </c>
      <c r="G202" s="19" t="s">
        <v>15</v>
      </c>
      <c r="H202" s="19" t="s">
        <v>22</v>
      </c>
      <c r="I202" s="19">
        <v>48</v>
      </c>
      <c r="J202" s="19">
        <v>1</v>
      </c>
      <c r="K202" s="19">
        <v>5</v>
      </c>
      <c r="L202" s="19" t="s">
        <v>33</v>
      </c>
      <c r="M202" s="21">
        <v>15.9</v>
      </c>
      <c r="N202">
        <f t="shared" si="3"/>
        <v>1</v>
      </c>
    </row>
    <row r="203" spans="1:14" x14ac:dyDescent="0.35">
      <c r="A203" s="22" t="s">
        <v>273</v>
      </c>
      <c r="B203" s="23" t="s">
        <v>49</v>
      </c>
      <c r="C203" s="23">
        <v>8</v>
      </c>
      <c r="D203" s="24">
        <v>45891</v>
      </c>
      <c r="E203" s="23" t="s">
        <v>8364</v>
      </c>
      <c r="F203" s="23" t="s">
        <v>37</v>
      </c>
      <c r="G203" s="23" t="s">
        <v>27</v>
      </c>
      <c r="H203" s="23" t="s">
        <v>22</v>
      </c>
      <c r="I203" s="23">
        <v>48</v>
      </c>
      <c r="J203" s="23">
        <v>0</v>
      </c>
      <c r="K203" s="23"/>
      <c r="L203" s="23" t="s">
        <v>8363</v>
      </c>
      <c r="M203" s="25">
        <v>16.8</v>
      </c>
      <c r="N203">
        <f t="shared" si="3"/>
        <v>1</v>
      </c>
    </row>
    <row r="204" spans="1:14" x14ac:dyDescent="0.35">
      <c r="A204" s="6" t="s">
        <v>274</v>
      </c>
      <c r="B204" s="19" t="s">
        <v>29</v>
      </c>
      <c r="C204" s="19">
        <v>9</v>
      </c>
      <c r="D204" s="20">
        <v>45918</v>
      </c>
      <c r="E204" s="19" t="s">
        <v>25</v>
      </c>
      <c r="F204" s="19" t="s">
        <v>43</v>
      </c>
      <c r="G204" s="19" t="s">
        <v>15</v>
      </c>
      <c r="H204" s="19" t="s">
        <v>32</v>
      </c>
      <c r="I204" s="19">
        <v>4</v>
      </c>
      <c r="J204" s="19">
        <v>0</v>
      </c>
      <c r="K204" s="19">
        <v>5</v>
      </c>
      <c r="L204" s="19" t="s">
        <v>55</v>
      </c>
      <c r="M204" s="21">
        <v>2.2999999999999998</v>
      </c>
      <c r="N204">
        <f t="shared" si="3"/>
        <v>1</v>
      </c>
    </row>
    <row r="205" spans="1:14" x14ac:dyDescent="0.35">
      <c r="A205" s="22" t="s">
        <v>275</v>
      </c>
      <c r="B205" s="23" t="s">
        <v>85</v>
      </c>
      <c r="C205" s="23">
        <v>1</v>
      </c>
      <c r="D205" s="24">
        <v>45671</v>
      </c>
      <c r="E205" s="23" t="s">
        <v>20</v>
      </c>
      <c r="F205" s="23" t="s">
        <v>43</v>
      </c>
      <c r="G205" s="23" t="s">
        <v>15</v>
      </c>
      <c r="H205" s="23" t="s">
        <v>32</v>
      </c>
      <c r="I205" s="23">
        <v>8</v>
      </c>
      <c r="J205" s="23">
        <v>0</v>
      </c>
      <c r="K205" s="23">
        <v>4</v>
      </c>
      <c r="L205" s="23" t="s">
        <v>44</v>
      </c>
      <c r="M205" s="25">
        <v>12.4</v>
      </c>
      <c r="N205">
        <f t="shared" si="3"/>
        <v>0</v>
      </c>
    </row>
    <row r="206" spans="1:14" x14ac:dyDescent="0.35">
      <c r="A206" s="6" t="s">
        <v>276</v>
      </c>
      <c r="B206" s="19" t="s">
        <v>146</v>
      </c>
      <c r="C206" s="19">
        <v>6</v>
      </c>
      <c r="D206" s="20">
        <v>45823</v>
      </c>
      <c r="E206" s="19" t="s">
        <v>20</v>
      </c>
      <c r="F206" s="19" t="s">
        <v>43</v>
      </c>
      <c r="G206" s="19" t="s">
        <v>21</v>
      </c>
      <c r="H206" s="19" t="s">
        <v>28</v>
      </c>
      <c r="I206" s="19">
        <v>24</v>
      </c>
      <c r="J206" s="19">
        <v>0</v>
      </c>
      <c r="K206" s="19">
        <v>5</v>
      </c>
      <c r="L206" s="19" t="s">
        <v>55</v>
      </c>
      <c r="M206" s="21">
        <v>12.5</v>
      </c>
      <c r="N206">
        <f t="shared" si="3"/>
        <v>1</v>
      </c>
    </row>
    <row r="207" spans="1:14" x14ac:dyDescent="0.35">
      <c r="A207" s="22" t="s">
        <v>277</v>
      </c>
      <c r="B207" s="23" t="s">
        <v>18</v>
      </c>
      <c r="C207" s="23">
        <v>3</v>
      </c>
      <c r="D207" s="24">
        <v>45727</v>
      </c>
      <c r="E207" s="23" t="s">
        <v>8364</v>
      </c>
      <c r="F207" s="23" t="s">
        <v>43</v>
      </c>
      <c r="G207" s="23" t="s">
        <v>27</v>
      </c>
      <c r="H207" s="23" t="s">
        <v>22</v>
      </c>
      <c r="I207" s="23">
        <v>48</v>
      </c>
      <c r="J207" s="23">
        <v>0</v>
      </c>
      <c r="K207" s="23">
        <v>5</v>
      </c>
      <c r="L207" s="23" t="s">
        <v>8363</v>
      </c>
      <c r="M207" s="25">
        <v>30.7</v>
      </c>
      <c r="N207">
        <f t="shared" si="3"/>
        <v>1</v>
      </c>
    </row>
    <row r="208" spans="1:14" x14ac:dyDescent="0.35">
      <c r="A208" s="6" t="s">
        <v>278</v>
      </c>
      <c r="B208" s="19" t="s">
        <v>69</v>
      </c>
      <c r="C208" s="19">
        <v>8</v>
      </c>
      <c r="D208" s="20">
        <v>45889</v>
      </c>
      <c r="E208" s="19" t="s">
        <v>8364</v>
      </c>
      <c r="F208" s="19" t="s">
        <v>40</v>
      </c>
      <c r="G208" s="19" t="s">
        <v>8364</v>
      </c>
      <c r="H208" s="19" t="s">
        <v>22</v>
      </c>
      <c r="I208" s="19">
        <v>72</v>
      </c>
      <c r="J208" s="19">
        <v>0</v>
      </c>
      <c r="K208" s="19">
        <v>4</v>
      </c>
      <c r="L208" s="19" t="s">
        <v>38</v>
      </c>
      <c r="M208" s="21">
        <v>4.5999999999999996</v>
      </c>
      <c r="N208">
        <f t="shared" si="3"/>
        <v>1</v>
      </c>
    </row>
    <row r="209" spans="1:14" x14ac:dyDescent="0.35">
      <c r="A209" s="22" t="s">
        <v>279</v>
      </c>
      <c r="B209" s="23" t="s">
        <v>89</v>
      </c>
      <c r="C209" s="23">
        <v>8</v>
      </c>
      <c r="D209" s="24">
        <v>45875</v>
      </c>
      <c r="E209" s="23" t="s">
        <v>25</v>
      </c>
      <c r="F209" s="23" t="s">
        <v>43</v>
      </c>
      <c r="G209" s="23" t="s">
        <v>31</v>
      </c>
      <c r="H209" s="23" t="s">
        <v>22</v>
      </c>
      <c r="I209" s="23">
        <v>72</v>
      </c>
      <c r="J209" s="23">
        <v>0</v>
      </c>
      <c r="K209" s="23">
        <v>4</v>
      </c>
      <c r="L209" s="23" t="s">
        <v>44</v>
      </c>
      <c r="M209" s="25">
        <v>3.5</v>
      </c>
      <c r="N209">
        <f t="shared" si="3"/>
        <v>1</v>
      </c>
    </row>
    <row r="210" spans="1:14" x14ac:dyDescent="0.35">
      <c r="A210" s="6" t="s">
        <v>280</v>
      </c>
      <c r="B210" s="19" t="s">
        <v>69</v>
      </c>
      <c r="C210" s="19">
        <v>1</v>
      </c>
      <c r="D210" s="20">
        <v>45664</v>
      </c>
      <c r="E210" s="19" t="s">
        <v>20</v>
      </c>
      <c r="F210" s="19" t="s">
        <v>8364</v>
      </c>
      <c r="G210" s="19" t="s">
        <v>27</v>
      </c>
      <c r="H210" s="19" t="s">
        <v>8364</v>
      </c>
      <c r="I210" s="19">
        <v>48</v>
      </c>
      <c r="J210" s="19">
        <v>0</v>
      </c>
      <c r="K210" s="19">
        <v>4</v>
      </c>
      <c r="L210" s="19" t="s">
        <v>33</v>
      </c>
      <c r="M210" s="21">
        <v>10.1</v>
      </c>
      <c r="N210">
        <f t="shared" si="3"/>
        <v>1</v>
      </c>
    </row>
    <row r="211" spans="1:14" x14ac:dyDescent="0.35">
      <c r="A211" s="22" t="s">
        <v>281</v>
      </c>
      <c r="B211" s="23" t="s">
        <v>23</v>
      </c>
      <c r="C211" s="23">
        <v>4</v>
      </c>
      <c r="D211" s="24">
        <v>45775</v>
      </c>
      <c r="E211" s="23" t="s">
        <v>13</v>
      </c>
      <c r="F211" s="23" t="s">
        <v>26</v>
      </c>
      <c r="G211" s="23" t="s">
        <v>15</v>
      </c>
      <c r="H211" s="23" t="s">
        <v>8364</v>
      </c>
      <c r="I211" s="23">
        <v>4</v>
      </c>
      <c r="J211" s="23">
        <v>0</v>
      </c>
      <c r="K211" s="23">
        <v>2</v>
      </c>
      <c r="L211" s="23" t="s">
        <v>17</v>
      </c>
      <c r="M211" s="25">
        <v>20.8</v>
      </c>
      <c r="N211">
        <f t="shared" si="3"/>
        <v>0</v>
      </c>
    </row>
    <row r="212" spans="1:14" x14ac:dyDescent="0.35">
      <c r="A212" s="6" t="s">
        <v>282</v>
      </c>
      <c r="B212" s="19" t="s">
        <v>101</v>
      </c>
      <c r="C212" s="19">
        <v>11</v>
      </c>
      <c r="D212" s="20">
        <v>45989</v>
      </c>
      <c r="E212" s="19" t="s">
        <v>68</v>
      </c>
      <c r="F212" s="19" t="s">
        <v>26</v>
      </c>
      <c r="G212" s="19" t="s">
        <v>8364</v>
      </c>
      <c r="H212" s="19" t="s">
        <v>32</v>
      </c>
      <c r="I212" s="19">
        <v>8</v>
      </c>
      <c r="J212" s="19">
        <v>0</v>
      </c>
      <c r="K212" s="19">
        <v>4</v>
      </c>
      <c r="L212" s="19" t="s">
        <v>55</v>
      </c>
      <c r="M212" s="21">
        <v>30.1</v>
      </c>
      <c r="N212">
        <f t="shared" si="3"/>
        <v>0</v>
      </c>
    </row>
    <row r="213" spans="1:14" x14ac:dyDescent="0.35">
      <c r="A213" s="22" t="s">
        <v>283</v>
      </c>
      <c r="B213" s="23" t="s">
        <v>92</v>
      </c>
      <c r="C213" s="23">
        <v>7</v>
      </c>
      <c r="D213" s="24">
        <v>45848</v>
      </c>
      <c r="E213" s="23" t="s">
        <v>13</v>
      </c>
      <c r="F213" s="23" t="s">
        <v>26</v>
      </c>
      <c r="G213" s="23" t="s">
        <v>27</v>
      </c>
      <c r="H213" s="23" t="s">
        <v>22</v>
      </c>
      <c r="I213" s="23">
        <v>4</v>
      </c>
      <c r="J213" s="23">
        <v>0</v>
      </c>
      <c r="K213" s="23">
        <v>4</v>
      </c>
      <c r="L213" s="23" t="s">
        <v>75</v>
      </c>
      <c r="M213" s="25">
        <v>35</v>
      </c>
      <c r="N213">
        <f t="shared" si="3"/>
        <v>0</v>
      </c>
    </row>
    <row r="214" spans="1:14" x14ac:dyDescent="0.35">
      <c r="A214" s="6" t="s">
        <v>284</v>
      </c>
      <c r="B214" s="19" t="s">
        <v>181</v>
      </c>
      <c r="C214" s="19">
        <v>6</v>
      </c>
      <c r="D214" s="20">
        <v>45811</v>
      </c>
      <c r="E214" s="19" t="s">
        <v>36</v>
      </c>
      <c r="F214" s="19" t="s">
        <v>14</v>
      </c>
      <c r="G214" s="19" t="s">
        <v>15</v>
      </c>
      <c r="H214" s="19" t="s">
        <v>22</v>
      </c>
      <c r="I214" s="19">
        <v>48</v>
      </c>
      <c r="J214" s="19">
        <v>0</v>
      </c>
      <c r="K214" s="19">
        <v>4</v>
      </c>
      <c r="L214" s="19" t="s">
        <v>44</v>
      </c>
      <c r="M214" s="21">
        <v>10.4</v>
      </c>
      <c r="N214">
        <f t="shared" si="3"/>
        <v>1</v>
      </c>
    </row>
    <row r="215" spans="1:14" x14ac:dyDescent="0.35">
      <c r="A215" s="22" t="s">
        <v>285</v>
      </c>
      <c r="B215" s="23" t="s">
        <v>51</v>
      </c>
      <c r="C215" s="23">
        <v>7</v>
      </c>
      <c r="D215" s="24">
        <v>45861</v>
      </c>
      <c r="E215" s="23" t="s">
        <v>68</v>
      </c>
      <c r="F215" s="23" t="s">
        <v>40</v>
      </c>
      <c r="G215" s="23" t="s">
        <v>27</v>
      </c>
      <c r="H215" s="23" t="s">
        <v>8364</v>
      </c>
      <c r="I215" s="23">
        <v>8</v>
      </c>
      <c r="J215" s="23">
        <v>0</v>
      </c>
      <c r="K215" s="23">
        <v>5</v>
      </c>
      <c r="L215" s="23" t="s">
        <v>75</v>
      </c>
      <c r="M215" s="25">
        <v>21.1</v>
      </c>
      <c r="N215">
        <f t="shared" si="3"/>
        <v>0</v>
      </c>
    </row>
    <row r="216" spans="1:14" x14ac:dyDescent="0.35">
      <c r="A216" s="6" t="s">
        <v>286</v>
      </c>
      <c r="B216" s="19" t="s">
        <v>87</v>
      </c>
      <c r="C216" s="19">
        <v>4</v>
      </c>
      <c r="D216" s="20">
        <v>45751</v>
      </c>
      <c r="E216" s="19" t="s">
        <v>20</v>
      </c>
      <c r="F216" s="19" t="s">
        <v>8364</v>
      </c>
      <c r="G216" s="19" t="s">
        <v>31</v>
      </c>
      <c r="H216" s="19" t="s">
        <v>32</v>
      </c>
      <c r="I216" s="19">
        <v>48</v>
      </c>
      <c r="J216" s="19">
        <v>0</v>
      </c>
      <c r="K216" s="19">
        <v>4</v>
      </c>
      <c r="L216" s="19" t="s">
        <v>8363</v>
      </c>
      <c r="M216" s="21">
        <v>9.9</v>
      </c>
      <c r="N216">
        <f t="shared" si="3"/>
        <v>1</v>
      </c>
    </row>
    <row r="217" spans="1:14" x14ac:dyDescent="0.35">
      <c r="A217" s="22" t="s">
        <v>287</v>
      </c>
      <c r="B217" s="23" t="s">
        <v>108</v>
      </c>
      <c r="C217" s="23">
        <v>8</v>
      </c>
      <c r="D217" s="24">
        <v>45873</v>
      </c>
      <c r="E217" s="23" t="s">
        <v>20</v>
      </c>
      <c r="F217" s="23" t="s">
        <v>43</v>
      </c>
      <c r="G217" s="23" t="s">
        <v>31</v>
      </c>
      <c r="H217" s="23" t="s">
        <v>32</v>
      </c>
      <c r="I217" s="23">
        <v>24</v>
      </c>
      <c r="J217" s="23">
        <v>1</v>
      </c>
      <c r="K217" s="23">
        <v>3</v>
      </c>
      <c r="L217" s="23" t="s">
        <v>17</v>
      </c>
      <c r="M217" s="25">
        <v>13.2</v>
      </c>
      <c r="N217">
        <f t="shared" si="3"/>
        <v>1</v>
      </c>
    </row>
    <row r="218" spans="1:14" x14ac:dyDescent="0.35">
      <c r="A218" s="6" t="s">
        <v>288</v>
      </c>
      <c r="B218" s="19" t="s">
        <v>146</v>
      </c>
      <c r="C218" s="19">
        <v>5</v>
      </c>
      <c r="D218" s="20">
        <v>45796</v>
      </c>
      <c r="E218" s="19" t="s">
        <v>13</v>
      </c>
      <c r="F218" s="19" t="s">
        <v>43</v>
      </c>
      <c r="G218" s="19" t="s">
        <v>27</v>
      </c>
      <c r="H218" s="19" t="s">
        <v>28</v>
      </c>
      <c r="I218" s="19">
        <v>24</v>
      </c>
      <c r="J218" s="19">
        <v>0</v>
      </c>
      <c r="K218" s="19">
        <v>4</v>
      </c>
      <c r="L218" s="19" t="s">
        <v>17</v>
      </c>
      <c r="M218" s="21">
        <v>0.7</v>
      </c>
      <c r="N218">
        <f t="shared" si="3"/>
        <v>1</v>
      </c>
    </row>
    <row r="219" spans="1:14" x14ac:dyDescent="0.35">
      <c r="A219" s="22" t="s">
        <v>289</v>
      </c>
      <c r="B219" s="23" t="s">
        <v>34</v>
      </c>
      <c r="C219" s="23">
        <v>4</v>
      </c>
      <c r="D219" s="24">
        <v>45758</v>
      </c>
      <c r="E219" s="23" t="s">
        <v>36</v>
      </c>
      <c r="F219" s="23" t="s">
        <v>43</v>
      </c>
      <c r="G219" s="23" t="s">
        <v>8364</v>
      </c>
      <c r="H219" s="23" t="s">
        <v>22</v>
      </c>
      <c r="I219" s="23">
        <v>72</v>
      </c>
      <c r="J219" s="23">
        <v>0</v>
      </c>
      <c r="K219" s="23">
        <v>1</v>
      </c>
      <c r="L219" s="23" t="s">
        <v>55</v>
      </c>
      <c r="M219" s="25">
        <v>22.9</v>
      </c>
      <c r="N219">
        <f t="shared" si="3"/>
        <v>1</v>
      </c>
    </row>
    <row r="220" spans="1:14" x14ac:dyDescent="0.35">
      <c r="A220" s="6" t="s">
        <v>290</v>
      </c>
      <c r="B220" s="19" t="s">
        <v>99</v>
      </c>
      <c r="C220" s="19"/>
      <c r="D220" s="20"/>
      <c r="E220" s="19" t="s">
        <v>20</v>
      </c>
      <c r="F220" s="19" t="s">
        <v>43</v>
      </c>
      <c r="G220" s="19" t="s">
        <v>21</v>
      </c>
      <c r="H220" s="19" t="s">
        <v>28</v>
      </c>
      <c r="I220" s="19">
        <v>4</v>
      </c>
      <c r="J220" s="19">
        <v>3</v>
      </c>
      <c r="K220" s="19">
        <v>1</v>
      </c>
      <c r="L220" s="19" t="s">
        <v>44</v>
      </c>
      <c r="M220" s="21">
        <v>16.5</v>
      </c>
      <c r="N220">
        <f t="shared" si="3"/>
        <v>0</v>
      </c>
    </row>
    <row r="221" spans="1:14" x14ac:dyDescent="0.35">
      <c r="A221" s="22" t="s">
        <v>291</v>
      </c>
      <c r="B221" s="23" t="s">
        <v>51</v>
      </c>
      <c r="C221" s="23">
        <v>7</v>
      </c>
      <c r="D221" s="24">
        <v>45863</v>
      </c>
      <c r="E221" s="23" t="s">
        <v>68</v>
      </c>
      <c r="F221" s="23" t="s">
        <v>14</v>
      </c>
      <c r="G221" s="23" t="s">
        <v>27</v>
      </c>
      <c r="H221" s="23" t="s">
        <v>22</v>
      </c>
      <c r="I221" s="23">
        <v>4</v>
      </c>
      <c r="J221" s="23">
        <v>0</v>
      </c>
      <c r="K221" s="23">
        <v>5</v>
      </c>
      <c r="L221" s="23" t="s">
        <v>44</v>
      </c>
      <c r="M221" s="25">
        <v>11.4</v>
      </c>
      <c r="N221">
        <f t="shared" si="3"/>
        <v>0</v>
      </c>
    </row>
    <row r="222" spans="1:14" x14ac:dyDescent="0.35">
      <c r="A222" s="6" t="s">
        <v>292</v>
      </c>
      <c r="B222" s="19" t="s">
        <v>57</v>
      </c>
      <c r="C222" s="19">
        <v>4</v>
      </c>
      <c r="D222" s="20">
        <v>45760</v>
      </c>
      <c r="E222" s="19" t="s">
        <v>13</v>
      </c>
      <c r="F222" s="19" t="s">
        <v>43</v>
      </c>
      <c r="G222" s="19" t="s">
        <v>15</v>
      </c>
      <c r="H222" s="19" t="s">
        <v>8364</v>
      </c>
      <c r="I222" s="19">
        <v>48</v>
      </c>
      <c r="J222" s="19">
        <v>1</v>
      </c>
      <c r="K222" s="19">
        <v>2</v>
      </c>
      <c r="L222" s="19" t="s">
        <v>8363</v>
      </c>
      <c r="M222" s="21">
        <v>1.7</v>
      </c>
      <c r="N222">
        <f t="shared" si="3"/>
        <v>1</v>
      </c>
    </row>
    <row r="223" spans="1:14" x14ac:dyDescent="0.35">
      <c r="A223" s="22" t="s">
        <v>293</v>
      </c>
      <c r="B223" s="23" t="s">
        <v>146</v>
      </c>
      <c r="C223" s="23">
        <v>12</v>
      </c>
      <c r="D223" s="24">
        <v>46011</v>
      </c>
      <c r="E223" s="23" t="s">
        <v>25</v>
      </c>
      <c r="F223" s="23" t="s">
        <v>26</v>
      </c>
      <c r="G223" s="23" t="s">
        <v>21</v>
      </c>
      <c r="H223" s="23" t="s">
        <v>28</v>
      </c>
      <c r="I223" s="23">
        <v>24</v>
      </c>
      <c r="J223" s="23">
        <v>1</v>
      </c>
      <c r="K223" s="23">
        <v>5</v>
      </c>
      <c r="L223" s="23" t="s">
        <v>8363</v>
      </c>
      <c r="M223" s="25">
        <v>7.7</v>
      </c>
      <c r="N223">
        <f t="shared" si="3"/>
        <v>1</v>
      </c>
    </row>
    <row r="224" spans="1:14" x14ac:dyDescent="0.35">
      <c r="A224" s="6" t="s">
        <v>294</v>
      </c>
      <c r="B224" s="19" t="s">
        <v>104</v>
      </c>
      <c r="C224" s="19">
        <v>9</v>
      </c>
      <c r="D224" s="20">
        <v>45902</v>
      </c>
      <c r="E224" s="19" t="s">
        <v>25</v>
      </c>
      <c r="F224" s="19" t="s">
        <v>14</v>
      </c>
      <c r="G224" s="19" t="s">
        <v>31</v>
      </c>
      <c r="H224" s="19" t="s">
        <v>22</v>
      </c>
      <c r="I224" s="19">
        <v>72</v>
      </c>
      <c r="J224" s="19">
        <v>1</v>
      </c>
      <c r="K224" s="19">
        <v>2</v>
      </c>
      <c r="L224" s="19" t="s">
        <v>38</v>
      </c>
      <c r="M224" s="21">
        <v>10.6</v>
      </c>
      <c r="N224">
        <f t="shared" si="3"/>
        <v>1</v>
      </c>
    </row>
    <row r="225" spans="1:14" x14ac:dyDescent="0.35">
      <c r="A225" s="22" t="s">
        <v>295</v>
      </c>
      <c r="B225" s="23" t="s">
        <v>99</v>
      </c>
      <c r="C225" s="23">
        <v>1</v>
      </c>
      <c r="D225" s="24">
        <v>45688</v>
      </c>
      <c r="E225" s="23" t="s">
        <v>13</v>
      </c>
      <c r="F225" s="23" t="s">
        <v>43</v>
      </c>
      <c r="G225" s="23" t="s">
        <v>31</v>
      </c>
      <c r="H225" s="23" t="s">
        <v>22</v>
      </c>
      <c r="I225" s="23">
        <v>24</v>
      </c>
      <c r="J225" s="23">
        <v>0</v>
      </c>
      <c r="K225" s="23">
        <v>5</v>
      </c>
      <c r="L225" s="23" t="s">
        <v>62</v>
      </c>
      <c r="M225" s="25">
        <v>8.9</v>
      </c>
      <c r="N225">
        <f t="shared" si="3"/>
        <v>1</v>
      </c>
    </row>
    <row r="226" spans="1:14" x14ac:dyDescent="0.35">
      <c r="A226" s="6" t="s">
        <v>296</v>
      </c>
      <c r="B226" s="19" t="s">
        <v>18</v>
      </c>
      <c r="C226" s="19">
        <v>1</v>
      </c>
      <c r="D226" s="20">
        <v>45658</v>
      </c>
      <c r="E226" s="19" t="s">
        <v>36</v>
      </c>
      <c r="F226" s="19" t="s">
        <v>40</v>
      </c>
      <c r="G226" s="19" t="s">
        <v>27</v>
      </c>
      <c r="H226" s="19" t="s">
        <v>22</v>
      </c>
      <c r="I226" s="19">
        <v>24</v>
      </c>
      <c r="J226" s="19">
        <v>0</v>
      </c>
      <c r="K226" s="19">
        <v>1</v>
      </c>
      <c r="L226" s="19" t="s">
        <v>75</v>
      </c>
      <c r="M226" s="21">
        <v>8</v>
      </c>
      <c r="N226">
        <f t="shared" si="3"/>
        <v>1</v>
      </c>
    </row>
    <row r="227" spans="1:14" x14ac:dyDescent="0.35">
      <c r="A227" s="22" t="s">
        <v>297</v>
      </c>
      <c r="B227" s="23" t="s">
        <v>65</v>
      </c>
      <c r="C227" s="23">
        <v>2</v>
      </c>
      <c r="D227" s="24">
        <v>45696</v>
      </c>
      <c r="E227" s="23" t="s">
        <v>68</v>
      </c>
      <c r="F227" s="23" t="s">
        <v>43</v>
      </c>
      <c r="G227" s="23" t="s">
        <v>15</v>
      </c>
      <c r="H227" s="23" t="s">
        <v>32</v>
      </c>
      <c r="I227" s="23">
        <v>24</v>
      </c>
      <c r="J227" s="23">
        <v>0</v>
      </c>
      <c r="K227" s="23">
        <v>1</v>
      </c>
      <c r="L227" s="23" t="s">
        <v>8363</v>
      </c>
      <c r="M227" s="25"/>
      <c r="N227">
        <f t="shared" si="3"/>
        <v>1</v>
      </c>
    </row>
    <row r="228" spans="1:14" x14ac:dyDescent="0.35">
      <c r="A228" s="6" t="s">
        <v>298</v>
      </c>
      <c r="B228" s="19" t="s">
        <v>89</v>
      </c>
      <c r="C228" s="19">
        <v>11</v>
      </c>
      <c r="D228" s="20">
        <v>45967</v>
      </c>
      <c r="E228" s="19" t="s">
        <v>8364</v>
      </c>
      <c r="F228" s="19" t="s">
        <v>26</v>
      </c>
      <c r="G228" s="19" t="s">
        <v>21</v>
      </c>
      <c r="H228" s="19" t="s">
        <v>32</v>
      </c>
      <c r="I228" s="19">
        <v>8</v>
      </c>
      <c r="J228" s="19">
        <v>0</v>
      </c>
      <c r="K228" s="19">
        <v>5</v>
      </c>
      <c r="L228" s="19" t="s">
        <v>44</v>
      </c>
      <c r="M228" s="21">
        <v>12.2</v>
      </c>
      <c r="N228">
        <f t="shared" si="3"/>
        <v>0</v>
      </c>
    </row>
    <row r="229" spans="1:14" x14ac:dyDescent="0.35">
      <c r="A229" s="22" t="s">
        <v>299</v>
      </c>
      <c r="B229" s="23" t="s">
        <v>181</v>
      </c>
      <c r="C229" s="23"/>
      <c r="D229" s="24"/>
      <c r="E229" s="23" t="s">
        <v>13</v>
      </c>
      <c r="F229" s="23" t="s">
        <v>14</v>
      </c>
      <c r="G229" s="23" t="s">
        <v>27</v>
      </c>
      <c r="H229" s="23" t="s">
        <v>22</v>
      </c>
      <c r="I229" s="23">
        <v>4</v>
      </c>
      <c r="J229" s="23">
        <v>0</v>
      </c>
      <c r="K229" s="23">
        <v>4</v>
      </c>
      <c r="L229" s="23" t="s">
        <v>8363</v>
      </c>
      <c r="M229" s="25">
        <v>28.1</v>
      </c>
      <c r="N229">
        <f t="shared" si="3"/>
        <v>0</v>
      </c>
    </row>
    <row r="230" spans="1:14" x14ac:dyDescent="0.35">
      <c r="A230" s="6" t="s">
        <v>300</v>
      </c>
      <c r="B230" s="19" t="s">
        <v>34</v>
      </c>
      <c r="C230" s="19">
        <v>9</v>
      </c>
      <c r="D230" s="20">
        <v>45922</v>
      </c>
      <c r="E230" s="19" t="s">
        <v>36</v>
      </c>
      <c r="F230" s="19" t="s">
        <v>8364</v>
      </c>
      <c r="G230" s="19" t="s">
        <v>27</v>
      </c>
      <c r="H230" s="19" t="s">
        <v>8364</v>
      </c>
      <c r="I230" s="19">
        <v>72</v>
      </c>
      <c r="J230" s="19">
        <v>0</v>
      </c>
      <c r="K230" s="19">
        <v>5</v>
      </c>
      <c r="L230" s="19" t="s">
        <v>8363</v>
      </c>
      <c r="M230" s="21">
        <v>14.5</v>
      </c>
      <c r="N230">
        <f t="shared" si="3"/>
        <v>1</v>
      </c>
    </row>
    <row r="231" spans="1:14" x14ac:dyDescent="0.35">
      <c r="A231" s="22" t="s">
        <v>301</v>
      </c>
      <c r="B231" s="23" t="s">
        <v>34</v>
      </c>
      <c r="C231" s="23"/>
      <c r="D231" s="24"/>
      <c r="E231" s="23" t="s">
        <v>68</v>
      </c>
      <c r="F231" s="23" t="s">
        <v>14</v>
      </c>
      <c r="G231" s="23" t="s">
        <v>31</v>
      </c>
      <c r="H231" s="23" t="s">
        <v>28</v>
      </c>
      <c r="I231" s="23">
        <v>48</v>
      </c>
      <c r="J231" s="23">
        <v>0</v>
      </c>
      <c r="K231" s="23">
        <v>4</v>
      </c>
      <c r="L231" s="23" t="s">
        <v>33</v>
      </c>
      <c r="M231" s="25">
        <v>4.0999999999999996</v>
      </c>
      <c r="N231">
        <f t="shared" si="3"/>
        <v>1</v>
      </c>
    </row>
    <row r="232" spans="1:14" x14ac:dyDescent="0.35">
      <c r="A232" s="6" t="s">
        <v>302</v>
      </c>
      <c r="B232" s="19" t="s">
        <v>41</v>
      </c>
      <c r="C232" s="19">
        <v>7</v>
      </c>
      <c r="D232" s="20">
        <v>45848</v>
      </c>
      <c r="E232" s="19" t="s">
        <v>25</v>
      </c>
      <c r="F232" s="19" t="s">
        <v>40</v>
      </c>
      <c r="G232" s="19" t="s">
        <v>21</v>
      </c>
      <c r="H232" s="19" t="s">
        <v>22</v>
      </c>
      <c r="I232" s="19">
        <v>48</v>
      </c>
      <c r="J232" s="19">
        <v>0</v>
      </c>
      <c r="K232" s="19">
        <v>4</v>
      </c>
      <c r="L232" s="19" t="s">
        <v>33</v>
      </c>
      <c r="M232" s="21">
        <v>2.4</v>
      </c>
      <c r="N232">
        <f t="shared" si="3"/>
        <v>1</v>
      </c>
    </row>
    <row r="233" spans="1:14" x14ac:dyDescent="0.35">
      <c r="A233" s="22" t="s">
        <v>303</v>
      </c>
      <c r="B233" s="23" t="s">
        <v>81</v>
      </c>
      <c r="C233" s="23">
        <v>1</v>
      </c>
      <c r="D233" s="24">
        <v>45688</v>
      </c>
      <c r="E233" s="23" t="s">
        <v>36</v>
      </c>
      <c r="F233" s="23" t="s">
        <v>59</v>
      </c>
      <c r="G233" s="23" t="s">
        <v>27</v>
      </c>
      <c r="H233" s="23" t="s">
        <v>22</v>
      </c>
      <c r="I233" s="23">
        <v>8</v>
      </c>
      <c r="J233" s="23">
        <v>0</v>
      </c>
      <c r="K233" s="23"/>
      <c r="L233" s="23" t="s">
        <v>17</v>
      </c>
      <c r="M233" s="25">
        <v>10.7</v>
      </c>
      <c r="N233">
        <f t="shared" si="3"/>
        <v>0</v>
      </c>
    </row>
    <row r="234" spans="1:14" x14ac:dyDescent="0.35">
      <c r="A234" s="6" t="s">
        <v>304</v>
      </c>
      <c r="B234" s="19" t="s">
        <v>85</v>
      </c>
      <c r="C234" s="19">
        <v>3</v>
      </c>
      <c r="D234" s="20">
        <v>45729</v>
      </c>
      <c r="E234" s="19" t="s">
        <v>20</v>
      </c>
      <c r="F234" s="19" t="s">
        <v>14</v>
      </c>
      <c r="G234" s="19" t="s">
        <v>15</v>
      </c>
      <c r="H234" s="19" t="s">
        <v>8364</v>
      </c>
      <c r="I234" s="19">
        <v>4</v>
      </c>
      <c r="J234" s="19">
        <v>0</v>
      </c>
      <c r="K234" s="19">
        <v>3</v>
      </c>
      <c r="L234" s="19" t="s">
        <v>75</v>
      </c>
      <c r="M234" s="21"/>
      <c r="N234">
        <f t="shared" si="3"/>
        <v>1</v>
      </c>
    </row>
    <row r="235" spans="1:14" x14ac:dyDescent="0.35">
      <c r="A235" s="22" t="s">
        <v>305</v>
      </c>
      <c r="B235" s="23" t="s">
        <v>253</v>
      </c>
      <c r="C235" s="23">
        <v>3</v>
      </c>
      <c r="D235" s="24">
        <v>45743</v>
      </c>
      <c r="E235" s="23" t="s">
        <v>13</v>
      </c>
      <c r="F235" s="23" t="s">
        <v>8364</v>
      </c>
      <c r="G235" s="23" t="s">
        <v>15</v>
      </c>
      <c r="H235" s="23" t="s">
        <v>22</v>
      </c>
      <c r="I235" s="23">
        <v>48</v>
      </c>
      <c r="J235" s="23">
        <v>0</v>
      </c>
      <c r="K235" s="23"/>
      <c r="L235" s="23" t="s">
        <v>55</v>
      </c>
      <c r="M235" s="25">
        <v>3.3</v>
      </c>
      <c r="N235">
        <f t="shared" si="3"/>
        <v>1</v>
      </c>
    </row>
    <row r="236" spans="1:14" x14ac:dyDescent="0.35">
      <c r="A236" s="6" t="s">
        <v>306</v>
      </c>
      <c r="B236" s="19" t="s">
        <v>65</v>
      </c>
      <c r="C236" s="19">
        <v>2</v>
      </c>
      <c r="D236" s="20">
        <v>45696</v>
      </c>
      <c r="E236" s="19" t="s">
        <v>25</v>
      </c>
      <c r="F236" s="19" t="s">
        <v>43</v>
      </c>
      <c r="G236" s="19" t="s">
        <v>27</v>
      </c>
      <c r="H236" s="19" t="s">
        <v>28</v>
      </c>
      <c r="I236" s="19">
        <v>24</v>
      </c>
      <c r="J236" s="19">
        <v>0</v>
      </c>
      <c r="K236" s="19">
        <v>5</v>
      </c>
      <c r="L236" s="19" t="s">
        <v>8363</v>
      </c>
      <c r="M236" s="21">
        <v>11.7</v>
      </c>
      <c r="N236">
        <f t="shared" si="3"/>
        <v>1</v>
      </c>
    </row>
    <row r="237" spans="1:14" x14ac:dyDescent="0.35">
      <c r="A237" s="22" t="s">
        <v>307</v>
      </c>
      <c r="B237" s="23" t="s">
        <v>236</v>
      </c>
      <c r="C237" s="23"/>
      <c r="D237" s="24"/>
      <c r="E237" s="23" t="s">
        <v>13</v>
      </c>
      <c r="F237" s="23" t="s">
        <v>26</v>
      </c>
      <c r="G237" s="23" t="s">
        <v>15</v>
      </c>
      <c r="H237" s="23" t="s">
        <v>32</v>
      </c>
      <c r="I237" s="23">
        <v>8</v>
      </c>
      <c r="J237" s="23">
        <v>0</v>
      </c>
      <c r="K237" s="23">
        <v>4</v>
      </c>
      <c r="L237" s="23" t="s">
        <v>62</v>
      </c>
      <c r="M237" s="25"/>
      <c r="N237">
        <f t="shared" si="3"/>
        <v>1</v>
      </c>
    </row>
    <row r="238" spans="1:14" x14ac:dyDescent="0.35">
      <c r="A238" s="6" t="s">
        <v>308</v>
      </c>
      <c r="B238" s="19" t="s">
        <v>47</v>
      </c>
      <c r="C238" s="19">
        <v>1</v>
      </c>
      <c r="D238" s="20">
        <v>45665</v>
      </c>
      <c r="E238" s="19" t="s">
        <v>13</v>
      </c>
      <c r="F238" s="19" t="s">
        <v>14</v>
      </c>
      <c r="G238" s="19" t="s">
        <v>27</v>
      </c>
      <c r="H238" s="19" t="s">
        <v>22</v>
      </c>
      <c r="I238" s="19">
        <v>48</v>
      </c>
      <c r="J238" s="19">
        <v>0</v>
      </c>
      <c r="K238" s="19">
        <v>5</v>
      </c>
      <c r="L238" s="19" t="s">
        <v>62</v>
      </c>
      <c r="M238" s="21">
        <v>16.899999999999999</v>
      </c>
      <c r="N238">
        <f t="shared" si="3"/>
        <v>1</v>
      </c>
    </row>
    <row r="239" spans="1:14" x14ac:dyDescent="0.35">
      <c r="A239" s="22" t="s">
        <v>309</v>
      </c>
      <c r="B239" s="23" t="s">
        <v>65</v>
      </c>
      <c r="C239" s="23">
        <v>10</v>
      </c>
      <c r="D239" s="24">
        <v>45931</v>
      </c>
      <c r="E239" s="23" t="s">
        <v>13</v>
      </c>
      <c r="F239" s="23" t="s">
        <v>43</v>
      </c>
      <c r="G239" s="23" t="s">
        <v>21</v>
      </c>
      <c r="H239" s="23" t="s">
        <v>32</v>
      </c>
      <c r="I239" s="23">
        <v>72</v>
      </c>
      <c r="J239" s="23">
        <v>0</v>
      </c>
      <c r="K239" s="23"/>
      <c r="L239" s="23" t="s">
        <v>8363</v>
      </c>
      <c r="M239" s="25">
        <v>16.5</v>
      </c>
      <c r="N239">
        <f t="shared" si="3"/>
        <v>1</v>
      </c>
    </row>
    <row r="240" spans="1:14" x14ac:dyDescent="0.35">
      <c r="A240" s="6" t="s">
        <v>310</v>
      </c>
      <c r="B240" s="19" t="s">
        <v>39</v>
      </c>
      <c r="C240" s="19">
        <v>8</v>
      </c>
      <c r="D240" s="20">
        <v>45892</v>
      </c>
      <c r="E240" s="19" t="s">
        <v>13</v>
      </c>
      <c r="F240" s="19" t="s">
        <v>37</v>
      </c>
      <c r="G240" s="19" t="s">
        <v>27</v>
      </c>
      <c r="H240" s="19" t="s">
        <v>32</v>
      </c>
      <c r="I240" s="19">
        <v>72</v>
      </c>
      <c r="J240" s="19">
        <v>2</v>
      </c>
      <c r="K240" s="19">
        <v>5</v>
      </c>
      <c r="L240" s="19" t="s">
        <v>33</v>
      </c>
      <c r="M240" s="21">
        <v>2.2999999999999998</v>
      </c>
      <c r="N240">
        <f t="shared" si="3"/>
        <v>1</v>
      </c>
    </row>
    <row r="241" spans="1:14" x14ac:dyDescent="0.35">
      <c r="A241" s="22" t="s">
        <v>311</v>
      </c>
      <c r="B241" s="23" t="s">
        <v>69</v>
      </c>
      <c r="C241" s="23">
        <v>10</v>
      </c>
      <c r="D241" s="24">
        <v>45932</v>
      </c>
      <c r="E241" s="23" t="s">
        <v>20</v>
      </c>
      <c r="F241" s="23" t="s">
        <v>43</v>
      </c>
      <c r="G241" s="23" t="s">
        <v>15</v>
      </c>
      <c r="H241" s="23" t="s">
        <v>22</v>
      </c>
      <c r="I241" s="23">
        <v>48</v>
      </c>
      <c r="J241" s="23">
        <v>0</v>
      </c>
      <c r="K241" s="23">
        <v>4</v>
      </c>
      <c r="L241" s="23" t="s">
        <v>55</v>
      </c>
      <c r="M241" s="25">
        <v>13.4</v>
      </c>
      <c r="N241">
        <f t="shared" si="3"/>
        <v>1</v>
      </c>
    </row>
    <row r="242" spans="1:14" x14ac:dyDescent="0.35">
      <c r="A242" s="6" t="s">
        <v>312</v>
      </c>
      <c r="B242" s="19" t="s">
        <v>47</v>
      </c>
      <c r="C242" s="19">
        <v>6</v>
      </c>
      <c r="D242" s="20">
        <v>45831</v>
      </c>
      <c r="E242" s="19" t="s">
        <v>13</v>
      </c>
      <c r="F242" s="19" t="s">
        <v>26</v>
      </c>
      <c r="G242" s="19" t="s">
        <v>21</v>
      </c>
      <c r="H242" s="19" t="s">
        <v>32</v>
      </c>
      <c r="I242" s="19">
        <v>24</v>
      </c>
      <c r="J242" s="19">
        <v>0</v>
      </c>
      <c r="K242" s="19">
        <v>4</v>
      </c>
      <c r="L242" s="19" t="s">
        <v>8363</v>
      </c>
      <c r="M242" s="21">
        <v>2</v>
      </c>
      <c r="N242">
        <f t="shared" si="3"/>
        <v>1</v>
      </c>
    </row>
    <row r="243" spans="1:14" x14ac:dyDescent="0.35">
      <c r="A243" s="22" t="s">
        <v>313</v>
      </c>
      <c r="B243" s="23" t="s">
        <v>39</v>
      </c>
      <c r="C243" s="23">
        <v>4</v>
      </c>
      <c r="D243" s="24">
        <v>45774</v>
      </c>
      <c r="E243" s="23" t="s">
        <v>8364</v>
      </c>
      <c r="F243" s="23" t="s">
        <v>8364</v>
      </c>
      <c r="G243" s="23" t="s">
        <v>27</v>
      </c>
      <c r="H243" s="23" t="s">
        <v>28</v>
      </c>
      <c r="I243" s="23">
        <v>24</v>
      </c>
      <c r="J243" s="23">
        <v>0</v>
      </c>
      <c r="K243" s="23">
        <v>3</v>
      </c>
      <c r="L243" s="23" t="s">
        <v>17</v>
      </c>
      <c r="M243" s="25">
        <v>36</v>
      </c>
      <c r="N243">
        <f t="shared" si="3"/>
        <v>0</v>
      </c>
    </row>
    <row r="244" spans="1:14" x14ac:dyDescent="0.35">
      <c r="A244" s="6" t="s">
        <v>314</v>
      </c>
      <c r="B244" s="19" t="s">
        <v>72</v>
      </c>
      <c r="C244" s="19">
        <v>5</v>
      </c>
      <c r="D244" s="20">
        <v>45798</v>
      </c>
      <c r="E244" s="19" t="s">
        <v>13</v>
      </c>
      <c r="F244" s="19" t="s">
        <v>37</v>
      </c>
      <c r="G244" s="19" t="s">
        <v>31</v>
      </c>
      <c r="H244" s="19" t="s">
        <v>22</v>
      </c>
      <c r="I244" s="19">
        <v>48</v>
      </c>
      <c r="J244" s="19">
        <v>0</v>
      </c>
      <c r="K244" s="19">
        <v>3</v>
      </c>
      <c r="L244" s="19" t="s">
        <v>17</v>
      </c>
      <c r="M244" s="21">
        <v>15.2</v>
      </c>
      <c r="N244">
        <f t="shared" si="3"/>
        <v>1</v>
      </c>
    </row>
    <row r="245" spans="1:14" x14ac:dyDescent="0.35">
      <c r="A245" s="22" t="s">
        <v>315</v>
      </c>
      <c r="B245" s="23" t="s">
        <v>143</v>
      </c>
      <c r="C245" s="23">
        <v>4</v>
      </c>
      <c r="D245" s="24">
        <v>45748</v>
      </c>
      <c r="E245" s="23" t="s">
        <v>25</v>
      </c>
      <c r="F245" s="23" t="s">
        <v>8364</v>
      </c>
      <c r="G245" s="23" t="s">
        <v>15</v>
      </c>
      <c r="H245" s="23" t="s">
        <v>8364</v>
      </c>
      <c r="I245" s="23">
        <v>48</v>
      </c>
      <c r="J245" s="23">
        <v>1</v>
      </c>
      <c r="K245" s="23">
        <v>4</v>
      </c>
      <c r="L245" s="23" t="s">
        <v>38</v>
      </c>
      <c r="M245" s="25">
        <v>5.9</v>
      </c>
      <c r="N245">
        <f t="shared" si="3"/>
        <v>1</v>
      </c>
    </row>
    <row r="246" spans="1:14" x14ac:dyDescent="0.35">
      <c r="A246" s="6" t="s">
        <v>316</v>
      </c>
      <c r="B246" s="19" t="s">
        <v>69</v>
      </c>
      <c r="C246" s="19">
        <v>7</v>
      </c>
      <c r="D246" s="20">
        <v>45856</v>
      </c>
      <c r="E246" s="19" t="s">
        <v>8364</v>
      </c>
      <c r="F246" s="19" t="s">
        <v>40</v>
      </c>
      <c r="G246" s="19" t="s">
        <v>27</v>
      </c>
      <c r="H246" s="19" t="s">
        <v>32</v>
      </c>
      <c r="I246" s="19">
        <v>24</v>
      </c>
      <c r="J246" s="19">
        <v>0</v>
      </c>
      <c r="K246" s="19">
        <v>4</v>
      </c>
      <c r="L246" s="19" t="s">
        <v>8363</v>
      </c>
      <c r="M246" s="21">
        <v>21.8</v>
      </c>
      <c r="N246">
        <f t="shared" si="3"/>
        <v>1</v>
      </c>
    </row>
    <row r="247" spans="1:14" x14ac:dyDescent="0.35">
      <c r="A247" s="22" t="s">
        <v>317</v>
      </c>
      <c r="B247" s="23" t="s">
        <v>51</v>
      </c>
      <c r="C247" s="23">
        <v>8</v>
      </c>
      <c r="D247" s="24">
        <v>45879</v>
      </c>
      <c r="E247" s="23" t="s">
        <v>8364</v>
      </c>
      <c r="F247" s="23" t="s">
        <v>43</v>
      </c>
      <c r="G247" s="23" t="s">
        <v>27</v>
      </c>
      <c r="H247" s="23" t="s">
        <v>16</v>
      </c>
      <c r="I247" s="23">
        <v>72</v>
      </c>
      <c r="J247" s="23">
        <v>2</v>
      </c>
      <c r="K247" s="23">
        <v>2</v>
      </c>
      <c r="L247" s="23" t="s">
        <v>38</v>
      </c>
      <c r="M247" s="25">
        <v>6.3</v>
      </c>
      <c r="N247">
        <f t="shared" si="3"/>
        <v>1</v>
      </c>
    </row>
    <row r="248" spans="1:14" x14ac:dyDescent="0.35">
      <c r="A248" s="6" t="s">
        <v>318</v>
      </c>
      <c r="B248" s="19" t="s">
        <v>104</v>
      </c>
      <c r="C248" s="19">
        <v>3</v>
      </c>
      <c r="D248" s="20">
        <v>45743</v>
      </c>
      <c r="E248" s="19" t="s">
        <v>8364</v>
      </c>
      <c r="F248" s="19" t="s">
        <v>26</v>
      </c>
      <c r="G248" s="19" t="s">
        <v>31</v>
      </c>
      <c r="H248" s="19" t="s">
        <v>22</v>
      </c>
      <c r="I248" s="19">
        <v>48</v>
      </c>
      <c r="J248" s="19">
        <v>2</v>
      </c>
      <c r="K248" s="19">
        <v>4</v>
      </c>
      <c r="L248" s="19" t="s">
        <v>8363</v>
      </c>
      <c r="M248" s="21">
        <v>11.9</v>
      </c>
      <c r="N248">
        <f t="shared" si="3"/>
        <v>1</v>
      </c>
    </row>
    <row r="249" spans="1:14" x14ac:dyDescent="0.35">
      <c r="A249" s="22" t="s">
        <v>319</v>
      </c>
      <c r="B249" s="23" t="s">
        <v>49</v>
      </c>
      <c r="C249" s="23">
        <v>6</v>
      </c>
      <c r="D249" s="24">
        <v>45832</v>
      </c>
      <c r="E249" s="23" t="s">
        <v>68</v>
      </c>
      <c r="F249" s="23" t="s">
        <v>14</v>
      </c>
      <c r="G249" s="23" t="s">
        <v>27</v>
      </c>
      <c r="H249" s="23" t="s">
        <v>8364</v>
      </c>
      <c r="I249" s="23">
        <v>72</v>
      </c>
      <c r="J249" s="23">
        <v>0</v>
      </c>
      <c r="K249" s="23">
        <v>4</v>
      </c>
      <c r="L249" s="23" t="s">
        <v>44</v>
      </c>
      <c r="M249" s="25">
        <v>7.1</v>
      </c>
      <c r="N249">
        <f t="shared" si="3"/>
        <v>1</v>
      </c>
    </row>
    <row r="250" spans="1:14" x14ac:dyDescent="0.35">
      <c r="A250" s="6" t="s">
        <v>320</v>
      </c>
      <c r="B250" s="19" t="s">
        <v>53</v>
      </c>
      <c r="C250" s="19">
        <v>9</v>
      </c>
      <c r="D250" s="20">
        <v>45911</v>
      </c>
      <c r="E250" s="19" t="s">
        <v>25</v>
      </c>
      <c r="F250" s="19" t="s">
        <v>40</v>
      </c>
      <c r="G250" s="19" t="s">
        <v>15</v>
      </c>
      <c r="H250" s="19" t="s">
        <v>28</v>
      </c>
      <c r="I250" s="19">
        <v>8</v>
      </c>
      <c r="J250" s="19">
        <v>0</v>
      </c>
      <c r="K250" s="19">
        <v>4</v>
      </c>
      <c r="L250" s="19" t="s">
        <v>17</v>
      </c>
      <c r="M250" s="21">
        <v>2</v>
      </c>
      <c r="N250">
        <f t="shared" si="3"/>
        <v>1</v>
      </c>
    </row>
    <row r="251" spans="1:14" x14ac:dyDescent="0.35">
      <c r="A251" s="22" t="s">
        <v>321</v>
      </c>
      <c r="B251" s="23" t="s">
        <v>18</v>
      </c>
      <c r="C251" s="23">
        <v>8</v>
      </c>
      <c r="D251" s="24">
        <v>45894</v>
      </c>
      <c r="E251" s="23" t="s">
        <v>13</v>
      </c>
      <c r="F251" s="23" t="s">
        <v>8364</v>
      </c>
      <c r="G251" s="23" t="s">
        <v>8364</v>
      </c>
      <c r="H251" s="23" t="s">
        <v>28</v>
      </c>
      <c r="I251" s="23">
        <v>8</v>
      </c>
      <c r="J251" s="23">
        <v>0</v>
      </c>
      <c r="K251" s="23">
        <v>5</v>
      </c>
      <c r="L251" s="23" t="s">
        <v>8363</v>
      </c>
      <c r="M251" s="25">
        <v>7.8</v>
      </c>
      <c r="N251">
        <f t="shared" si="3"/>
        <v>1</v>
      </c>
    </row>
    <row r="252" spans="1:14" x14ac:dyDescent="0.35">
      <c r="A252" s="6" t="s">
        <v>322</v>
      </c>
      <c r="B252" s="19" t="s">
        <v>126</v>
      </c>
      <c r="C252" s="19">
        <v>4</v>
      </c>
      <c r="D252" s="20">
        <v>45758</v>
      </c>
      <c r="E252" s="19" t="s">
        <v>13</v>
      </c>
      <c r="F252" s="19" t="s">
        <v>8364</v>
      </c>
      <c r="G252" s="19" t="s">
        <v>27</v>
      </c>
      <c r="H252" s="19" t="s">
        <v>28</v>
      </c>
      <c r="I252" s="19">
        <v>24</v>
      </c>
      <c r="J252" s="19">
        <v>2</v>
      </c>
      <c r="K252" s="19">
        <v>4</v>
      </c>
      <c r="L252" s="19" t="s">
        <v>8363</v>
      </c>
      <c r="M252" s="21">
        <v>11.1</v>
      </c>
      <c r="N252">
        <f t="shared" si="3"/>
        <v>1</v>
      </c>
    </row>
    <row r="253" spans="1:14" x14ac:dyDescent="0.35">
      <c r="A253" s="22" t="s">
        <v>323</v>
      </c>
      <c r="B253" s="23" t="s">
        <v>41</v>
      </c>
      <c r="C253" s="23">
        <v>2</v>
      </c>
      <c r="D253" s="24">
        <v>45694</v>
      </c>
      <c r="E253" s="23" t="s">
        <v>13</v>
      </c>
      <c r="F253" s="23" t="s">
        <v>14</v>
      </c>
      <c r="G253" s="23" t="s">
        <v>15</v>
      </c>
      <c r="H253" s="23" t="s">
        <v>28</v>
      </c>
      <c r="I253" s="23">
        <v>8</v>
      </c>
      <c r="J253" s="23">
        <v>0</v>
      </c>
      <c r="K253" s="23">
        <v>4</v>
      </c>
      <c r="L253" s="23" t="s">
        <v>8363</v>
      </c>
      <c r="M253" s="25">
        <v>5.6</v>
      </c>
      <c r="N253">
        <f t="shared" si="3"/>
        <v>1</v>
      </c>
    </row>
    <row r="254" spans="1:14" x14ac:dyDescent="0.35">
      <c r="A254" s="6" t="s">
        <v>324</v>
      </c>
      <c r="B254" s="19" t="s">
        <v>23</v>
      </c>
      <c r="C254" s="19"/>
      <c r="D254" s="20"/>
      <c r="E254" s="19" t="s">
        <v>13</v>
      </c>
      <c r="F254" s="19" t="s">
        <v>43</v>
      </c>
      <c r="G254" s="19" t="s">
        <v>27</v>
      </c>
      <c r="H254" s="19" t="s">
        <v>22</v>
      </c>
      <c r="I254" s="19">
        <v>8</v>
      </c>
      <c r="J254" s="19">
        <v>1</v>
      </c>
      <c r="K254" s="19">
        <v>4</v>
      </c>
      <c r="L254" s="19" t="s">
        <v>38</v>
      </c>
      <c r="M254" s="21">
        <v>8</v>
      </c>
      <c r="N254">
        <f t="shared" si="3"/>
        <v>1</v>
      </c>
    </row>
    <row r="255" spans="1:14" x14ac:dyDescent="0.35">
      <c r="A255" s="22" t="s">
        <v>325</v>
      </c>
      <c r="B255" s="23" t="s">
        <v>53</v>
      </c>
      <c r="C255" s="23">
        <v>5</v>
      </c>
      <c r="D255" s="24">
        <v>45796</v>
      </c>
      <c r="E255" s="23" t="s">
        <v>25</v>
      </c>
      <c r="F255" s="23" t="s">
        <v>59</v>
      </c>
      <c r="G255" s="23" t="s">
        <v>15</v>
      </c>
      <c r="H255" s="23" t="s">
        <v>32</v>
      </c>
      <c r="I255" s="23">
        <v>24</v>
      </c>
      <c r="J255" s="23">
        <v>2</v>
      </c>
      <c r="K255" s="23">
        <v>5</v>
      </c>
      <c r="L255" s="23" t="s">
        <v>33</v>
      </c>
      <c r="M255" s="25">
        <v>12.9</v>
      </c>
      <c r="N255">
        <f t="shared" si="3"/>
        <v>1</v>
      </c>
    </row>
    <row r="256" spans="1:14" x14ac:dyDescent="0.35">
      <c r="A256" s="6" t="s">
        <v>326</v>
      </c>
      <c r="B256" s="19" t="s">
        <v>126</v>
      </c>
      <c r="C256" s="19">
        <v>6</v>
      </c>
      <c r="D256" s="20">
        <v>45823</v>
      </c>
      <c r="E256" s="19" t="s">
        <v>25</v>
      </c>
      <c r="F256" s="19" t="s">
        <v>59</v>
      </c>
      <c r="G256" s="19" t="s">
        <v>27</v>
      </c>
      <c r="H256" s="19" t="s">
        <v>16</v>
      </c>
      <c r="I256" s="19">
        <v>72</v>
      </c>
      <c r="J256" s="19">
        <v>0</v>
      </c>
      <c r="K256" s="19">
        <v>4</v>
      </c>
      <c r="L256" s="19" t="s">
        <v>8363</v>
      </c>
      <c r="M256" s="21"/>
      <c r="N256">
        <f t="shared" si="3"/>
        <v>1</v>
      </c>
    </row>
    <row r="257" spans="1:14" x14ac:dyDescent="0.35">
      <c r="A257" s="22" t="s">
        <v>327</v>
      </c>
      <c r="B257" s="23" t="s">
        <v>158</v>
      </c>
      <c r="C257" s="23">
        <v>6</v>
      </c>
      <c r="D257" s="24">
        <v>45815</v>
      </c>
      <c r="E257" s="23" t="s">
        <v>25</v>
      </c>
      <c r="F257" s="23" t="s">
        <v>40</v>
      </c>
      <c r="G257" s="23" t="s">
        <v>27</v>
      </c>
      <c r="H257" s="23" t="s">
        <v>32</v>
      </c>
      <c r="I257" s="23">
        <v>48</v>
      </c>
      <c r="J257" s="23">
        <v>0</v>
      </c>
      <c r="K257" s="23">
        <v>4</v>
      </c>
      <c r="L257" s="23" t="s">
        <v>75</v>
      </c>
      <c r="M257" s="25">
        <v>4.0999999999999996</v>
      </c>
      <c r="N257">
        <f t="shared" si="3"/>
        <v>1</v>
      </c>
    </row>
    <row r="258" spans="1:14" x14ac:dyDescent="0.35">
      <c r="A258" s="6" t="s">
        <v>328</v>
      </c>
      <c r="B258" s="19" t="s">
        <v>18</v>
      </c>
      <c r="C258" s="19">
        <v>11</v>
      </c>
      <c r="D258" s="20">
        <v>45981</v>
      </c>
      <c r="E258" s="19" t="s">
        <v>13</v>
      </c>
      <c r="F258" s="19" t="s">
        <v>14</v>
      </c>
      <c r="G258" s="19" t="s">
        <v>27</v>
      </c>
      <c r="H258" s="19" t="s">
        <v>28</v>
      </c>
      <c r="I258" s="19">
        <v>72</v>
      </c>
      <c r="J258" s="19">
        <v>2</v>
      </c>
      <c r="K258" s="19">
        <v>4</v>
      </c>
      <c r="L258" s="19" t="s">
        <v>8363</v>
      </c>
      <c r="M258" s="21">
        <v>17.3</v>
      </c>
      <c r="N258">
        <f t="shared" si="3"/>
        <v>1</v>
      </c>
    </row>
    <row r="259" spans="1:14" x14ac:dyDescent="0.35">
      <c r="A259" s="22" t="s">
        <v>329</v>
      </c>
      <c r="B259" s="23" t="s">
        <v>130</v>
      </c>
      <c r="C259" s="23">
        <v>2</v>
      </c>
      <c r="D259" s="24">
        <v>45705</v>
      </c>
      <c r="E259" s="23" t="s">
        <v>36</v>
      </c>
      <c r="F259" s="23" t="s">
        <v>8364</v>
      </c>
      <c r="G259" s="23" t="s">
        <v>31</v>
      </c>
      <c r="H259" s="23" t="s">
        <v>8364</v>
      </c>
      <c r="I259" s="23">
        <v>4</v>
      </c>
      <c r="J259" s="23">
        <v>0</v>
      </c>
      <c r="K259" s="23">
        <v>2</v>
      </c>
      <c r="L259" s="23" t="s">
        <v>38</v>
      </c>
      <c r="M259" s="25">
        <v>6.3</v>
      </c>
      <c r="N259">
        <f t="shared" ref="N259:N322" si="4">IF(M259 &lt;= I259, 1, 0)</f>
        <v>0</v>
      </c>
    </row>
    <row r="260" spans="1:14" x14ac:dyDescent="0.35">
      <c r="A260" s="6" t="s">
        <v>330</v>
      </c>
      <c r="B260" s="19" t="s">
        <v>47</v>
      </c>
      <c r="C260" s="19">
        <v>8</v>
      </c>
      <c r="D260" s="20">
        <v>45877</v>
      </c>
      <c r="E260" s="19" t="s">
        <v>8364</v>
      </c>
      <c r="F260" s="19" t="s">
        <v>37</v>
      </c>
      <c r="G260" s="19" t="s">
        <v>31</v>
      </c>
      <c r="H260" s="19" t="s">
        <v>28</v>
      </c>
      <c r="I260" s="19">
        <v>8</v>
      </c>
      <c r="J260" s="19">
        <v>0</v>
      </c>
      <c r="K260" s="19">
        <v>3</v>
      </c>
      <c r="L260" s="19" t="s">
        <v>55</v>
      </c>
      <c r="M260" s="21">
        <v>15.2</v>
      </c>
      <c r="N260">
        <f t="shared" si="4"/>
        <v>0</v>
      </c>
    </row>
    <row r="261" spans="1:14" x14ac:dyDescent="0.35">
      <c r="A261" s="22" t="s">
        <v>331</v>
      </c>
      <c r="B261" s="23" t="s">
        <v>181</v>
      </c>
      <c r="C261" s="23">
        <v>1</v>
      </c>
      <c r="D261" s="24">
        <v>45673</v>
      </c>
      <c r="E261" s="23" t="s">
        <v>25</v>
      </c>
      <c r="F261" s="23" t="s">
        <v>14</v>
      </c>
      <c r="G261" s="23" t="s">
        <v>27</v>
      </c>
      <c r="H261" s="23" t="s">
        <v>16</v>
      </c>
      <c r="I261" s="23">
        <v>72</v>
      </c>
      <c r="J261" s="23">
        <v>0</v>
      </c>
      <c r="K261" s="23">
        <v>1</v>
      </c>
      <c r="L261" s="23" t="s">
        <v>75</v>
      </c>
      <c r="M261" s="25">
        <v>10.3</v>
      </c>
      <c r="N261">
        <f t="shared" si="4"/>
        <v>1</v>
      </c>
    </row>
    <row r="262" spans="1:14" x14ac:dyDescent="0.35">
      <c r="A262" s="6" t="s">
        <v>332</v>
      </c>
      <c r="B262" s="19" t="s">
        <v>29</v>
      </c>
      <c r="C262" s="19">
        <v>12</v>
      </c>
      <c r="D262" s="20">
        <v>46021</v>
      </c>
      <c r="E262" s="19" t="s">
        <v>13</v>
      </c>
      <c r="F262" s="19" t="s">
        <v>43</v>
      </c>
      <c r="G262" s="19" t="s">
        <v>21</v>
      </c>
      <c r="H262" s="19" t="s">
        <v>22</v>
      </c>
      <c r="I262" s="19">
        <v>4</v>
      </c>
      <c r="J262" s="19">
        <v>0</v>
      </c>
      <c r="K262" s="19">
        <v>3</v>
      </c>
      <c r="L262" s="19" t="s">
        <v>44</v>
      </c>
      <c r="M262" s="21">
        <v>3</v>
      </c>
      <c r="N262">
        <f t="shared" si="4"/>
        <v>1</v>
      </c>
    </row>
    <row r="263" spans="1:14" x14ac:dyDescent="0.35">
      <c r="A263" s="22" t="s">
        <v>333</v>
      </c>
      <c r="B263" s="23" t="s">
        <v>34</v>
      </c>
      <c r="C263" s="23">
        <v>2</v>
      </c>
      <c r="D263" s="24">
        <v>45689</v>
      </c>
      <c r="E263" s="23" t="s">
        <v>13</v>
      </c>
      <c r="F263" s="23" t="s">
        <v>14</v>
      </c>
      <c r="G263" s="23" t="s">
        <v>15</v>
      </c>
      <c r="H263" s="23" t="s">
        <v>16</v>
      </c>
      <c r="I263" s="23">
        <v>8</v>
      </c>
      <c r="J263" s="23">
        <v>0</v>
      </c>
      <c r="K263" s="23">
        <v>2</v>
      </c>
      <c r="L263" s="23" t="s">
        <v>38</v>
      </c>
      <c r="M263" s="25">
        <v>8.8000000000000007</v>
      </c>
      <c r="N263">
        <f t="shared" si="4"/>
        <v>0</v>
      </c>
    </row>
    <row r="264" spans="1:14" x14ac:dyDescent="0.35">
      <c r="A264" s="6" t="s">
        <v>334</v>
      </c>
      <c r="B264" s="19" t="s">
        <v>18</v>
      </c>
      <c r="C264" s="19"/>
      <c r="D264" s="20"/>
      <c r="E264" s="19" t="s">
        <v>13</v>
      </c>
      <c r="F264" s="19" t="s">
        <v>26</v>
      </c>
      <c r="G264" s="19" t="s">
        <v>21</v>
      </c>
      <c r="H264" s="19" t="s">
        <v>8364</v>
      </c>
      <c r="I264" s="19">
        <v>4</v>
      </c>
      <c r="J264" s="19">
        <v>0</v>
      </c>
      <c r="K264" s="19">
        <v>5</v>
      </c>
      <c r="L264" s="19" t="s">
        <v>55</v>
      </c>
      <c r="M264" s="21"/>
      <c r="N264">
        <f t="shared" si="4"/>
        <v>1</v>
      </c>
    </row>
    <row r="265" spans="1:14" x14ac:dyDescent="0.35">
      <c r="A265" s="22" t="s">
        <v>335</v>
      </c>
      <c r="B265" s="23" t="s">
        <v>47</v>
      </c>
      <c r="C265" s="23">
        <v>4</v>
      </c>
      <c r="D265" s="24">
        <v>45776</v>
      </c>
      <c r="E265" s="23" t="s">
        <v>25</v>
      </c>
      <c r="F265" s="23" t="s">
        <v>14</v>
      </c>
      <c r="G265" s="23" t="s">
        <v>27</v>
      </c>
      <c r="H265" s="23" t="s">
        <v>22</v>
      </c>
      <c r="I265" s="23">
        <v>48</v>
      </c>
      <c r="J265" s="23">
        <v>3</v>
      </c>
      <c r="K265" s="23">
        <v>4</v>
      </c>
      <c r="L265" s="23" t="s">
        <v>38</v>
      </c>
      <c r="M265" s="25">
        <v>6.5</v>
      </c>
      <c r="N265">
        <f t="shared" si="4"/>
        <v>1</v>
      </c>
    </row>
    <row r="266" spans="1:14" x14ac:dyDescent="0.35">
      <c r="A266" s="6" t="s">
        <v>336</v>
      </c>
      <c r="B266" s="19" t="s">
        <v>47</v>
      </c>
      <c r="C266" s="19">
        <v>4</v>
      </c>
      <c r="D266" s="20">
        <v>45761</v>
      </c>
      <c r="E266" s="19" t="s">
        <v>25</v>
      </c>
      <c r="F266" s="19" t="s">
        <v>43</v>
      </c>
      <c r="G266" s="19" t="s">
        <v>31</v>
      </c>
      <c r="H266" s="19" t="s">
        <v>22</v>
      </c>
      <c r="I266" s="19">
        <v>24</v>
      </c>
      <c r="J266" s="19">
        <v>0</v>
      </c>
      <c r="K266" s="19">
        <v>5</v>
      </c>
      <c r="L266" s="19" t="s">
        <v>33</v>
      </c>
      <c r="M266" s="21">
        <v>6.7</v>
      </c>
      <c r="N266">
        <f t="shared" si="4"/>
        <v>1</v>
      </c>
    </row>
    <row r="267" spans="1:14" x14ac:dyDescent="0.35">
      <c r="A267" s="22" t="s">
        <v>337</v>
      </c>
      <c r="B267" s="23" t="s">
        <v>53</v>
      </c>
      <c r="C267" s="23">
        <v>9</v>
      </c>
      <c r="D267" s="24">
        <v>45919</v>
      </c>
      <c r="E267" s="23" t="s">
        <v>68</v>
      </c>
      <c r="F267" s="23" t="s">
        <v>59</v>
      </c>
      <c r="G267" s="23" t="s">
        <v>8364</v>
      </c>
      <c r="H267" s="23" t="s">
        <v>22</v>
      </c>
      <c r="I267" s="23">
        <v>8</v>
      </c>
      <c r="J267" s="23">
        <v>0</v>
      </c>
      <c r="K267" s="23">
        <v>1</v>
      </c>
      <c r="L267" s="23" t="s">
        <v>62</v>
      </c>
      <c r="M267" s="25"/>
      <c r="N267">
        <f t="shared" si="4"/>
        <v>1</v>
      </c>
    </row>
    <row r="268" spans="1:14" x14ac:dyDescent="0.35">
      <c r="A268" s="6" t="s">
        <v>338</v>
      </c>
      <c r="B268" s="19" t="s">
        <v>69</v>
      </c>
      <c r="C268" s="19"/>
      <c r="D268" s="20"/>
      <c r="E268" s="19" t="s">
        <v>13</v>
      </c>
      <c r="F268" s="19" t="s">
        <v>8364</v>
      </c>
      <c r="G268" s="19" t="s">
        <v>8364</v>
      </c>
      <c r="H268" s="19" t="s">
        <v>16</v>
      </c>
      <c r="I268" s="19">
        <v>8</v>
      </c>
      <c r="J268" s="19">
        <v>0</v>
      </c>
      <c r="K268" s="19">
        <v>4</v>
      </c>
      <c r="L268" s="19" t="s">
        <v>55</v>
      </c>
      <c r="M268" s="21">
        <v>20.2</v>
      </c>
      <c r="N268">
        <f t="shared" si="4"/>
        <v>0</v>
      </c>
    </row>
    <row r="269" spans="1:14" x14ac:dyDescent="0.35">
      <c r="A269" s="22" t="s">
        <v>339</v>
      </c>
      <c r="B269" s="23" t="s">
        <v>101</v>
      </c>
      <c r="C269" s="23">
        <v>5</v>
      </c>
      <c r="D269" s="24">
        <v>45778</v>
      </c>
      <c r="E269" s="23" t="s">
        <v>20</v>
      </c>
      <c r="F269" s="23" t="s">
        <v>43</v>
      </c>
      <c r="G269" s="23" t="s">
        <v>27</v>
      </c>
      <c r="H269" s="23" t="s">
        <v>22</v>
      </c>
      <c r="I269" s="23">
        <v>72</v>
      </c>
      <c r="J269" s="23">
        <v>0</v>
      </c>
      <c r="K269" s="23">
        <v>5</v>
      </c>
      <c r="L269" s="23" t="s">
        <v>55</v>
      </c>
      <c r="M269" s="25"/>
      <c r="N269">
        <f t="shared" si="4"/>
        <v>1</v>
      </c>
    </row>
    <row r="270" spans="1:14" x14ac:dyDescent="0.35">
      <c r="A270" s="6" t="s">
        <v>340</v>
      </c>
      <c r="B270" s="19" t="s">
        <v>65</v>
      </c>
      <c r="C270" s="19"/>
      <c r="D270" s="20"/>
      <c r="E270" s="19" t="s">
        <v>20</v>
      </c>
      <c r="F270" s="19" t="s">
        <v>37</v>
      </c>
      <c r="G270" s="19" t="s">
        <v>31</v>
      </c>
      <c r="H270" s="19" t="s">
        <v>32</v>
      </c>
      <c r="I270" s="19">
        <v>8</v>
      </c>
      <c r="J270" s="19">
        <v>0</v>
      </c>
      <c r="K270" s="19">
        <v>3</v>
      </c>
      <c r="L270" s="19" t="s">
        <v>75</v>
      </c>
      <c r="M270" s="21">
        <v>21.7</v>
      </c>
      <c r="N270">
        <f t="shared" si="4"/>
        <v>0</v>
      </c>
    </row>
    <row r="271" spans="1:14" x14ac:dyDescent="0.35">
      <c r="A271" s="22" t="s">
        <v>341</v>
      </c>
      <c r="B271" s="23" t="s">
        <v>39</v>
      </c>
      <c r="C271" s="23">
        <v>1</v>
      </c>
      <c r="D271" s="24">
        <v>45662</v>
      </c>
      <c r="E271" s="23" t="s">
        <v>13</v>
      </c>
      <c r="F271" s="23" t="s">
        <v>37</v>
      </c>
      <c r="G271" s="23" t="s">
        <v>15</v>
      </c>
      <c r="H271" s="23" t="s">
        <v>22</v>
      </c>
      <c r="I271" s="23">
        <v>8</v>
      </c>
      <c r="J271" s="23">
        <v>0</v>
      </c>
      <c r="K271" s="23">
        <v>5</v>
      </c>
      <c r="L271" s="23" t="s">
        <v>55</v>
      </c>
      <c r="M271" s="25">
        <v>8.1</v>
      </c>
      <c r="N271">
        <f t="shared" si="4"/>
        <v>0</v>
      </c>
    </row>
    <row r="272" spans="1:14" x14ac:dyDescent="0.35">
      <c r="A272" s="6" t="s">
        <v>342</v>
      </c>
      <c r="B272" s="19" t="s">
        <v>97</v>
      </c>
      <c r="C272" s="19">
        <v>10</v>
      </c>
      <c r="D272" s="20">
        <v>45947</v>
      </c>
      <c r="E272" s="19" t="s">
        <v>68</v>
      </c>
      <c r="F272" s="19" t="s">
        <v>40</v>
      </c>
      <c r="G272" s="19" t="s">
        <v>27</v>
      </c>
      <c r="H272" s="19" t="s">
        <v>22</v>
      </c>
      <c r="I272" s="19">
        <v>72</v>
      </c>
      <c r="J272" s="19">
        <v>0</v>
      </c>
      <c r="K272" s="19">
        <v>4</v>
      </c>
      <c r="L272" s="19" t="s">
        <v>33</v>
      </c>
      <c r="M272" s="21">
        <v>9.6</v>
      </c>
      <c r="N272">
        <f t="shared" si="4"/>
        <v>1</v>
      </c>
    </row>
    <row r="273" spans="1:14" x14ac:dyDescent="0.35">
      <c r="A273" s="22" t="s">
        <v>343</v>
      </c>
      <c r="B273" s="23" t="s">
        <v>57</v>
      </c>
      <c r="C273" s="23"/>
      <c r="D273" s="24"/>
      <c r="E273" s="23" t="s">
        <v>25</v>
      </c>
      <c r="F273" s="23" t="s">
        <v>14</v>
      </c>
      <c r="G273" s="23" t="s">
        <v>8364</v>
      </c>
      <c r="H273" s="23" t="s">
        <v>22</v>
      </c>
      <c r="I273" s="23">
        <v>24</v>
      </c>
      <c r="J273" s="23">
        <v>0</v>
      </c>
      <c r="K273" s="23">
        <v>4</v>
      </c>
      <c r="L273" s="23" t="s">
        <v>62</v>
      </c>
      <c r="M273" s="25">
        <v>11.7</v>
      </c>
      <c r="N273">
        <f t="shared" si="4"/>
        <v>1</v>
      </c>
    </row>
    <row r="274" spans="1:14" x14ac:dyDescent="0.35">
      <c r="A274" s="6" t="s">
        <v>344</v>
      </c>
      <c r="B274" s="19" t="s">
        <v>87</v>
      </c>
      <c r="C274" s="19">
        <v>11</v>
      </c>
      <c r="D274" s="20">
        <v>45967</v>
      </c>
      <c r="E274" s="19" t="s">
        <v>68</v>
      </c>
      <c r="F274" s="19" t="s">
        <v>43</v>
      </c>
      <c r="G274" s="19" t="s">
        <v>27</v>
      </c>
      <c r="H274" s="19" t="s">
        <v>32</v>
      </c>
      <c r="I274" s="19">
        <v>24</v>
      </c>
      <c r="J274" s="19">
        <v>1</v>
      </c>
      <c r="K274" s="19">
        <v>3</v>
      </c>
      <c r="L274" s="19" t="s">
        <v>62</v>
      </c>
      <c r="M274" s="21">
        <v>22</v>
      </c>
      <c r="N274">
        <f t="shared" si="4"/>
        <v>1</v>
      </c>
    </row>
    <row r="275" spans="1:14" x14ac:dyDescent="0.35">
      <c r="A275" s="22" t="s">
        <v>345</v>
      </c>
      <c r="B275" s="23" t="s">
        <v>65</v>
      </c>
      <c r="C275" s="23">
        <v>11</v>
      </c>
      <c r="D275" s="24">
        <v>45967</v>
      </c>
      <c r="E275" s="23" t="s">
        <v>8364</v>
      </c>
      <c r="F275" s="23" t="s">
        <v>59</v>
      </c>
      <c r="G275" s="23" t="s">
        <v>27</v>
      </c>
      <c r="H275" s="23" t="s">
        <v>16</v>
      </c>
      <c r="I275" s="23">
        <v>4</v>
      </c>
      <c r="J275" s="23">
        <v>1</v>
      </c>
      <c r="K275" s="23">
        <v>3</v>
      </c>
      <c r="L275" s="23" t="s">
        <v>55</v>
      </c>
      <c r="M275" s="25">
        <v>2.9</v>
      </c>
      <c r="N275">
        <f t="shared" si="4"/>
        <v>1</v>
      </c>
    </row>
    <row r="276" spans="1:14" x14ac:dyDescent="0.35">
      <c r="A276" s="6" t="s">
        <v>346</v>
      </c>
      <c r="B276" s="19" t="s">
        <v>78</v>
      </c>
      <c r="C276" s="19">
        <v>11</v>
      </c>
      <c r="D276" s="20">
        <v>45983</v>
      </c>
      <c r="E276" s="19" t="s">
        <v>25</v>
      </c>
      <c r="F276" s="19" t="s">
        <v>8364</v>
      </c>
      <c r="G276" s="19" t="s">
        <v>27</v>
      </c>
      <c r="H276" s="19" t="s">
        <v>28</v>
      </c>
      <c r="I276" s="19">
        <v>24</v>
      </c>
      <c r="J276" s="19">
        <v>0</v>
      </c>
      <c r="K276" s="19">
        <v>5</v>
      </c>
      <c r="L276" s="19" t="s">
        <v>44</v>
      </c>
      <c r="M276" s="21">
        <v>9.6</v>
      </c>
      <c r="N276">
        <f t="shared" si="4"/>
        <v>1</v>
      </c>
    </row>
    <row r="277" spans="1:14" x14ac:dyDescent="0.35">
      <c r="A277" s="22" t="s">
        <v>347</v>
      </c>
      <c r="B277" s="23" t="s">
        <v>85</v>
      </c>
      <c r="C277" s="23">
        <v>4</v>
      </c>
      <c r="D277" s="24">
        <v>45749</v>
      </c>
      <c r="E277" s="23" t="s">
        <v>20</v>
      </c>
      <c r="F277" s="23" t="s">
        <v>37</v>
      </c>
      <c r="G277" s="23" t="s">
        <v>27</v>
      </c>
      <c r="H277" s="23" t="s">
        <v>32</v>
      </c>
      <c r="I277" s="23">
        <v>4</v>
      </c>
      <c r="J277" s="23">
        <v>1</v>
      </c>
      <c r="K277" s="23">
        <v>4</v>
      </c>
      <c r="L277" s="23" t="s">
        <v>62</v>
      </c>
      <c r="M277" s="25">
        <v>4.3</v>
      </c>
      <c r="N277">
        <f t="shared" si="4"/>
        <v>0</v>
      </c>
    </row>
    <row r="278" spans="1:14" x14ac:dyDescent="0.35">
      <c r="A278" s="6" t="s">
        <v>348</v>
      </c>
      <c r="B278" s="19" t="s">
        <v>81</v>
      </c>
      <c r="C278" s="19">
        <v>10</v>
      </c>
      <c r="D278" s="20">
        <v>45955</v>
      </c>
      <c r="E278" s="19" t="s">
        <v>13</v>
      </c>
      <c r="F278" s="19" t="s">
        <v>37</v>
      </c>
      <c r="G278" s="19" t="s">
        <v>21</v>
      </c>
      <c r="H278" s="19" t="s">
        <v>32</v>
      </c>
      <c r="I278" s="19">
        <v>24</v>
      </c>
      <c r="J278" s="19">
        <v>2</v>
      </c>
      <c r="K278" s="19">
        <v>1</v>
      </c>
      <c r="L278" s="19" t="s">
        <v>44</v>
      </c>
      <c r="M278" s="21">
        <v>5.7</v>
      </c>
      <c r="N278">
        <f t="shared" si="4"/>
        <v>1</v>
      </c>
    </row>
    <row r="279" spans="1:14" x14ac:dyDescent="0.35">
      <c r="A279" s="22" t="s">
        <v>349</v>
      </c>
      <c r="B279" s="23" t="s">
        <v>18</v>
      </c>
      <c r="C279" s="23">
        <v>2</v>
      </c>
      <c r="D279" s="24">
        <v>45708</v>
      </c>
      <c r="E279" s="23" t="s">
        <v>36</v>
      </c>
      <c r="F279" s="23" t="s">
        <v>40</v>
      </c>
      <c r="G279" s="23" t="s">
        <v>15</v>
      </c>
      <c r="H279" s="23" t="s">
        <v>22</v>
      </c>
      <c r="I279" s="23">
        <v>24</v>
      </c>
      <c r="J279" s="23">
        <v>0</v>
      </c>
      <c r="K279" s="23">
        <v>5</v>
      </c>
      <c r="L279" s="23" t="s">
        <v>33</v>
      </c>
      <c r="M279" s="25">
        <v>6.3</v>
      </c>
      <c r="N279">
        <f t="shared" si="4"/>
        <v>1</v>
      </c>
    </row>
    <row r="280" spans="1:14" x14ac:dyDescent="0.35">
      <c r="A280" s="6" t="s">
        <v>350</v>
      </c>
      <c r="B280" s="19" t="s">
        <v>51</v>
      </c>
      <c r="C280" s="19"/>
      <c r="D280" s="20"/>
      <c r="E280" s="19" t="s">
        <v>8364</v>
      </c>
      <c r="F280" s="19" t="s">
        <v>43</v>
      </c>
      <c r="G280" s="19" t="s">
        <v>31</v>
      </c>
      <c r="H280" s="19" t="s">
        <v>22</v>
      </c>
      <c r="I280" s="19">
        <v>72</v>
      </c>
      <c r="J280" s="19">
        <v>3</v>
      </c>
      <c r="K280" s="19">
        <v>5</v>
      </c>
      <c r="L280" s="19" t="s">
        <v>62</v>
      </c>
      <c r="M280" s="21">
        <v>6.6</v>
      </c>
      <c r="N280">
        <f t="shared" si="4"/>
        <v>1</v>
      </c>
    </row>
    <row r="281" spans="1:14" x14ac:dyDescent="0.35">
      <c r="A281" s="22" t="s">
        <v>351</v>
      </c>
      <c r="B281" s="23" t="s">
        <v>49</v>
      </c>
      <c r="C281" s="23"/>
      <c r="D281" s="24"/>
      <c r="E281" s="23" t="s">
        <v>20</v>
      </c>
      <c r="F281" s="23" t="s">
        <v>14</v>
      </c>
      <c r="G281" s="23" t="s">
        <v>27</v>
      </c>
      <c r="H281" s="23" t="s">
        <v>22</v>
      </c>
      <c r="I281" s="23">
        <v>24</v>
      </c>
      <c r="J281" s="23">
        <v>0</v>
      </c>
      <c r="K281" s="23">
        <v>3</v>
      </c>
      <c r="L281" s="23" t="s">
        <v>62</v>
      </c>
      <c r="M281" s="25">
        <v>14.3</v>
      </c>
      <c r="N281">
        <f t="shared" si="4"/>
        <v>1</v>
      </c>
    </row>
    <row r="282" spans="1:14" x14ac:dyDescent="0.35">
      <c r="A282" s="6" t="s">
        <v>352</v>
      </c>
      <c r="B282" s="19" t="s">
        <v>69</v>
      </c>
      <c r="C282" s="19">
        <v>12</v>
      </c>
      <c r="D282" s="20">
        <v>45993</v>
      </c>
      <c r="E282" s="19" t="s">
        <v>68</v>
      </c>
      <c r="F282" s="19" t="s">
        <v>59</v>
      </c>
      <c r="G282" s="19" t="s">
        <v>31</v>
      </c>
      <c r="H282" s="19" t="s">
        <v>22</v>
      </c>
      <c r="I282" s="19">
        <v>24</v>
      </c>
      <c r="J282" s="19">
        <v>0</v>
      </c>
      <c r="K282" s="19">
        <v>4</v>
      </c>
      <c r="L282" s="19" t="s">
        <v>62</v>
      </c>
      <c r="M282" s="21">
        <v>8.6</v>
      </c>
      <c r="N282">
        <f t="shared" si="4"/>
        <v>1</v>
      </c>
    </row>
    <row r="283" spans="1:14" x14ac:dyDescent="0.35">
      <c r="A283" s="22" t="s">
        <v>353</v>
      </c>
      <c r="B283" s="23" t="s">
        <v>51</v>
      </c>
      <c r="C283" s="23">
        <v>9</v>
      </c>
      <c r="D283" s="24">
        <v>45913</v>
      </c>
      <c r="E283" s="23" t="s">
        <v>13</v>
      </c>
      <c r="F283" s="23" t="s">
        <v>14</v>
      </c>
      <c r="G283" s="23" t="s">
        <v>27</v>
      </c>
      <c r="H283" s="23" t="s">
        <v>22</v>
      </c>
      <c r="I283" s="23">
        <v>24</v>
      </c>
      <c r="J283" s="23">
        <v>0</v>
      </c>
      <c r="K283" s="23">
        <v>5</v>
      </c>
      <c r="L283" s="23" t="s">
        <v>33</v>
      </c>
      <c r="M283" s="25">
        <v>28.5</v>
      </c>
      <c r="N283">
        <f t="shared" si="4"/>
        <v>0</v>
      </c>
    </row>
    <row r="284" spans="1:14" x14ac:dyDescent="0.35">
      <c r="A284" s="6" t="s">
        <v>354</v>
      </c>
      <c r="B284" s="19" t="s">
        <v>89</v>
      </c>
      <c r="C284" s="19">
        <v>7</v>
      </c>
      <c r="D284" s="20">
        <v>45869</v>
      </c>
      <c r="E284" s="19" t="s">
        <v>20</v>
      </c>
      <c r="F284" s="19" t="s">
        <v>14</v>
      </c>
      <c r="G284" s="19" t="s">
        <v>15</v>
      </c>
      <c r="H284" s="19" t="s">
        <v>28</v>
      </c>
      <c r="I284" s="19">
        <v>8</v>
      </c>
      <c r="J284" s="19">
        <v>0</v>
      </c>
      <c r="K284" s="19">
        <v>5</v>
      </c>
      <c r="L284" s="19" t="s">
        <v>8363</v>
      </c>
      <c r="M284" s="21">
        <v>9.5</v>
      </c>
      <c r="N284">
        <f t="shared" si="4"/>
        <v>0</v>
      </c>
    </row>
    <row r="285" spans="1:14" x14ac:dyDescent="0.35">
      <c r="A285" s="22" t="s">
        <v>355</v>
      </c>
      <c r="B285" s="23" t="s">
        <v>34</v>
      </c>
      <c r="C285" s="23">
        <v>11</v>
      </c>
      <c r="D285" s="24">
        <v>45969</v>
      </c>
      <c r="E285" s="23" t="s">
        <v>25</v>
      </c>
      <c r="F285" s="23" t="s">
        <v>40</v>
      </c>
      <c r="G285" s="23" t="s">
        <v>21</v>
      </c>
      <c r="H285" s="23" t="s">
        <v>22</v>
      </c>
      <c r="I285" s="23">
        <v>24</v>
      </c>
      <c r="J285" s="23">
        <v>0</v>
      </c>
      <c r="K285" s="23">
        <v>4</v>
      </c>
      <c r="L285" s="23" t="s">
        <v>55</v>
      </c>
      <c r="M285" s="25">
        <v>5.0999999999999996</v>
      </c>
      <c r="N285">
        <f t="shared" si="4"/>
        <v>1</v>
      </c>
    </row>
    <row r="286" spans="1:14" x14ac:dyDescent="0.35">
      <c r="A286" s="6" t="s">
        <v>356</v>
      </c>
      <c r="B286" s="19" t="s">
        <v>130</v>
      </c>
      <c r="C286" s="19">
        <v>6</v>
      </c>
      <c r="D286" s="20">
        <v>45826</v>
      </c>
      <c r="E286" s="19" t="s">
        <v>25</v>
      </c>
      <c r="F286" s="19" t="s">
        <v>59</v>
      </c>
      <c r="G286" s="19" t="s">
        <v>31</v>
      </c>
      <c r="H286" s="19" t="s">
        <v>16</v>
      </c>
      <c r="I286" s="19">
        <v>8</v>
      </c>
      <c r="J286" s="19">
        <v>0</v>
      </c>
      <c r="K286" s="19">
        <v>5</v>
      </c>
      <c r="L286" s="19" t="s">
        <v>44</v>
      </c>
      <c r="M286" s="21">
        <v>0.2</v>
      </c>
      <c r="N286">
        <f t="shared" si="4"/>
        <v>1</v>
      </c>
    </row>
    <row r="287" spans="1:14" x14ac:dyDescent="0.35">
      <c r="A287" s="22" t="s">
        <v>357</v>
      </c>
      <c r="B287" s="23" t="s">
        <v>69</v>
      </c>
      <c r="C287" s="23">
        <v>7</v>
      </c>
      <c r="D287" s="24">
        <v>45855</v>
      </c>
      <c r="E287" s="23" t="s">
        <v>68</v>
      </c>
      <c r="F287" s="23" t="s">
        <v>8364</v>
      </c>
      <c r="G287" s="23" t="s">
        <v>15</v>
      </c>
      <c r="H287" s="23" t="s">
        <v>8364</v>
      </c>
      <c r="I287" s="23">
        <v>8</v>
      </c>
      <c r="J287" s="23">
        <v>0</v>
      </c>
      <c r="K287" s="23">
        <v>4</v>
      </c>
      <c r="L287" s="23" t="s">
        <v>8363</v>
      </c>
      <c r="M287" s="25"/>
      <c r="N287">
        <f t="shared" si="4"/>
        <v>1</v>
      </c>
    </row>
    <row r="288" spans="1:14" x14ac:dyDescent="0.35">
      <c r="A288" s="6" t="s">
        <v>358</v>
      </c>
      <c r="B288" s="19" t="s">
        <v>81</v>
      </c>
      <c r="C288" s="19">
        <v>3</v>
      </c>
      <c r="D288" s="20">
        <v>45724</v>
      </c>
      <c r="E288" s="19" t="s">
        <v>20</v>
      </c>
      <c r="F288" s="19" t="s">
        <v>8364</v>
      </c>
      <c r="G288" s="19" t="s">
        <v>21</v>
      </c>
      <c r="H288" s="19" t="s">
        <v>16</v>
      </c>
      <c r="I288" s="19">
        <v>48</v>
      </c>
      <c r="J288" s="19">
        <v>0</v>
      </c>
      <c r="K288" s="19">
        <v>5</v>
      </c>
      <c r="L288" s="19" t="s">
        <v>8363</v>
      </c>
      <c r="M288" s="21">
        <v>32.4</v>
      </c>
      <c r="N288">
        <f t="shared" si="4"/>
        <v>1</v>
      </c>
    </row>
    <row r="289" spans="1:14" x14ac:dyDescent="0.35">
      <c r="A289" s="22" t="s">
        <v>359</v>
      </c>
      <c r="B289" s="23" t="s">
        <v>97</v>
      </c>
      <c r="C289" s="23">
        <v>8</v>
      </c>
      <c r="D289" s="24">
        <v>45893</v>
      </c>
      <c r="E289" s="23" t="s">
        <v>20</v>
      </c>
      <c r="F289" s="23" t="s">
        <v>59</v>
      </c>
      <c r="G289" s="23" t="s">
        <v>21</v>
      </c>
      <c r="H289" s="23" t="s">
        <v>28</v>
      </c>
      <c r="I289" s="23">
        <v>72</v>
      </c>
      <c r="J289" s="23">
        <v>0</v>
      </c>
      <c r="K289" s="23">
        <v>4</v>
      </c>
      <c r="L289" s="23" t="s">
        <v>44</v>
      </c>
      <c r="M289" s="25"/>
      <c r="N289">
        <f t="shared" si="4"/>
        <v>1</v>
      </c>
    </row>
    <row r="290" spans="1:14" x14ac:dyDescent="0.35">
      <c r="A290" s="6" t="s">
        <v>360</v>
      </c>
      <c r="B290" s="19" t="s">
        <v>47</v>
      </c>
      <c r="C290" s="19">
        <v>12</v>
      </c>
      <c r="D290" s="20">
        <v>45997</v>
      </c>
      <c r="E290" s="19" t="s">
        <v>13</v>
      </c>
      <c r="F290" s="19" t="s">
        <v>37</v>
      </c>
      <c r="G290" s="19" t="s">
        <v>15</v>
      </c>
      <c r="H290" s="19" t="s">
        <v>22</v>
      </c>
      <c r="I290" s="19">
        <v>8</v>
      </c>
      <c r="J290" s="19">
        <v>1</v>
      </c>
      <c r="K290" s="19"/>
      <c r="L290" s="19" t="s">
        <v>17</v>
      </c>
      <c r="M290" s="21">
        <v>5.0999999999999996</v>
      </c>
      <c r="N290">
        <f t="shared" si="4"/>
        <v>1</v>
      </c>
    </row>
    <row r="291" spans="1:14" x14ac:dyDescent="0.35">
      <c r="A291" s="22" t="s">
        <v>361</v>
      </c>
      <c r="B291" s="23" t="s">
        <v>97</v>
      </c>
      <c r="C291" s="23">
        <v>6</v>
      </c>
      <c r="D291" s="24">
        <v>45831</v>
      </c>
      <c r="E291" s="23" t="s">
        <v>36</v>
      </c>
      <c r="F291" s="23" t="s">
        <v>8364</v>
      </c>
      <c r="G291" s="23" t="s">
        <v>27</v>
      </c>
      <c r="H291" s="23" t="s">
        <v>22</v>
      </c>
      <c r="I291" s="23">
        <v>48</v>
      </c>
      <c r="J291" s="23">
        <v>0</v>
      </c>
      <c r="K291" s="23">
        <v>3</v>
      </c>
      <c r="L291" s="23" t="s">
        <v>62</v>
      </c>
      <c r="M291" s="25">
        <v>21.2</v>
      </c>
      <c r="N291">
        <f t="shared" si="4"/>
        <v>1</v>
      </c>
    </row>
    <row r="292" spans="1:14" x14ac:dyDescent="0.35">
      <c r="A292" s="6" t="s">
        <v>362</v>
      </c>
      <c r="B292" s="19" t="s">
        <v>53</v>
      </c>
      <c r="C292" s="19">
        <v>10</v>
      </c>
      <c r="D292" s="20">
        <v>45948</v>
      </c>
      <c r="E292" s="19" t="s">
        <v>36</v>
      </c>
      <c r="F292" s="19" t="s">
        <v>8364</v>
      </c>
      <c r="G292" s="19" t="s">
        <v>15</v>
      </c>
      <c r="H292" s="19" t="s">
        <v>16</v>
      </c>
      <c r="I292" s="19">
        <v>24</v>
      </c>
      <c r="J292" s="19">
        <v>0</v>
      </c>
      <c r="K292" s="19">
        <v>3</v>
      </c>
      <c r="L292" s="19" t="s">
        <v>62</v>
      </c>
      <c r="M292" s="21">
        <v>21.4</v>
      </c>
      <c r="N292">
        <f t="shared" si="4"/>
        <v>1</v>
      </c>
    </row>
    <row r="293" spans="1:14" x14ac:dyDescent="0.35">
      <c r="A293" s="22" t="s">
        <v>363</v>
      </c>
      <c r="B293" s="23" t="s">
        <v>45</v>
      </c>
      <c r="C293" s="23">
        <v>8</v>
      </c>
      <c r="D293" s="24">
        <v>45877</v>
      </c>
      <c r="E293" s="23" t="s">
        <v>25</v>
      </c>
      <c r="F293" s="23" t="s">
        <v>8364</v>
      </c>
      <c r="G293" s="23" t="s">
        <v>21</v>
      </c>
      <c r="H293" s="23" t="s">
        <v>8364</v>
      </c>
      <c r="I293" s="23">
        <v>4</v>
      </c>
      <c r="J293" s="23">
        <v>0</v>
      </c>
      <c r="K293" s="23"/>
      <c r="L293" s="23" t="s">
        <v>75</v>
      </c>
      <c r="M293" s="25">
        <v>21.8</v>
      </c>
      <c r="N293">
        <f t="shared" si="4"/>
        <v>0</v>
      </c>
    </row>
    <row r="294" spans="1:14" x14ac:dyDescent="0.35">
      <c r="A294" s="6" t="s">
        <v>364</v>
      </c>
      <c r="B294" s="19" t="s">
        <v>158</v>
      </c>
      <c r="C294" s="19">
        <v>4</v>
      </c>
      <c r="D294" s="20">
        <v>45750</v>
      </c>
      <c r="E294" s="19" t="s">
        <v>8364</v>
      </c>
      <c r="F294" s="19" t="s">
        <v>43</v>
      </c>
      <c r="G294" s="19" t="s">
        <v>31</v>
      </c>
      <c r="H294" s="19" t="s">
        <v>16</v>
      </c>
      <c r="I294" s="19">
        <v>24</v>
      </c>
      <c r="J294" s="19">
        <v>3</v>
      </c>
      <c r="K294" s="19">
        <v>2</v>
      </c>
      <c r="L294" s="19" t="s">
        <v>8363</v>
      </c>
      <c r="M294" s="21">
        <v>7.3</v>
      </c>
      <c r="N294">
        <f t="shared" si="4"/>
        <v>1</v>
      </c>
    </row>
    <row r="295" spans="1:14" x14ac:dyDescent="0.35">
      <c r="A295" s="22" t="s">
        <v>365</v>
      </c>
      <c r="B295" s="23" t="s">
        <v>87</v>
      </c>
      <c r="C295" s="23">
        <v>4</v>
      </c>
      <c r="D295" s="24">
        <v>45754</v>
      </c>
      <c r="E295" s="23" t="s">
        <v>20</v>
      </c>
      <c r="F295" s="23" t="s">
        <v>59</v>
      </c>
      <c r="G295" s="23" t="s">
        <v>31</v>
      </c>
      <c r="H295" s="23" t="s">
        <v>28</v>
      </c>
      <c r="I295" s="23">
        <v>72</v>
      </c>
      <c r="J295" s="23">
        <v>0</v>
      </c>
      <c r="K295" s="23">
        <v>4</v>
      </c>
      <c r="L295" s="23" t="s">
        <v>62</v>
      </c>
      <c r="M295" s="25"/>
      <c r="N295">
        <f t="shared" si="4"/>
        <v>1</v>
      </c>
    </row>
    <row r="296" spans="1:14" x14ac:dyDescent="0.35">
      <c r="A296" s="6" t="s">
        <v>366</v>
      </c>
      <c r="B296" s="19" t="s">
        <v>143</v>
      </c>
      <c r="C296" s="19">
        <v>1</v>
      </c>
      <c r="D296" s="20">
        <v>45667</v>
      </c>
      <c r="E296" s="19" t="s">
        <v>25</v>
      </c>
      <c r="F296" s="19" t="s">
        <v>40</v>
      </c>
      <c r="G296" s="19" t="s">
        <v>8364</v>
      </c>
      <c r="H296" s="19" t="s">
        <v>28</v>
      </c>
      <c r="I296" s="19">
        <v>48</v>
      </c>
      <c r="J296" s="19">
        <v>0</v>
      </c>
      <c r="K296" s="19">
        <v>2</v>
      </c>
      <c r="L296" s="19" t="s">
        <v>17</v>
      </c>
      <c r="M296" s="21">
        <v>19.7</v>
      </c>
      <c r="N296">
        <f t="shared" si="4"/>
        <v>1</v>
      </c>
    </row>
    <row r="297" spans="1:14" x14ac:dyDescent="0.35">
      <c r="A297" s="22" t="s">
        <v>367</v>
      </c>
      <c r="B297" s="23" t="s">
        <v>143</v>
      </c>
      <c r="C297" s="23">
        <v>8</v>
      </c>
      <c r="D297" s="24">
        <v>45885</v>
      </c>
      <c r="E297" s="23" t="s">
        <v>25</v>
      </c>
      <c r="F297" s="23" t="s">
        <v>37</v>
      </c>
      <c r="G297" s="23" t="s">
        <v>27</v>
      </c>
      <c r="H297" s="23" t="s">
        <v>28</v>
      </c>
      <c r="I297" s="23">
        <v>4</v>
      </c>
      <c r="J297" s="23">
        <v>0</v>
      </c>
      <c r="K297" s="23">
        <v>5</v>
      </c>
      <c r="L297" s="23" t="s">
        <v>44</v>
      </c>
      <c r="M297" s="25">
        <v>12.9</v>
      </c>
      <c r="N297">
        <f t="shared" si="4"/>
        <v>0</v>
      </c>
    </row>
    <row r="298" spans="1:14" x14ac:dyDescent="0.35">
      <c r="A298" s="6" t="s">
        <v>368</v>
      </c>
      <c r="B298" s="19" t="s">
        <v>146</v>
      </c>
      <c r="C298" s="19">
        <v>10</v>
      </c>
      <c r="D298" s="20">
        <v>45949</v>
      </c>
      <c r="E298" s="19" t="s">
        <v>8364</v>
      </c>
      <c r="F298" s="19" t="s">
        <v>43</v>
      </c>
      <c r="G298" s="19" t="s">
        <v>27</v>
      </c>
      <c r="H298" s="19" t="s">
        <v>22</v>
      </c>
      <c r="I298" s="19">
        <v>8</v>
      </c>
      <c r="J298" s="19">
        <v>0</v>
      </c>
      <c r="K298" s="19">
        <v>2</v>
      </c>
      <c r="L298" s="19" t="s">
        <v>17</v>
      </c>
      <c r="M298" s="21">
        <v>2.4</v>
      </c>
      <c r="N298">
        <f t="shared" si="4"/>
        <v>1</v>
      </c>
    </row>
    <row r="299" spans="1:14" x14ac:dyDescent="0.35">
      <c r="A299" s="22" t="s">
        <v>369</v>
      </c>
      <c r="B299" s="23" t="s">
        <v>47</v>
      </c>
      <c r="C299" s="23">
        <v>3</v>
      </c>
      <c r="D299" s="24">
        <v>45717</v>
      </c>
      <c r="E299" s="23" t="s">
        <v>8364</v>
      </c>
      <c r="F299" s="23" t="s">
        <v>40</v>
      </c>
      <c r="G299" s="23" t="s">
        <v>27</v>
      </c>
      <c r="H299" s="23" t="s">
        <v>22</v>
      </c>
      <c r="I299" s="23">
        <v>4</v>
      </c>
      <c r="J299" s="23">
        <v>0</v>
      </c>
      <c r="K299" s="23">
        <v>4</v>
      </c>
      <c r="L299" s="23" t="s">
        <v>38</v>
      </c>
      <c r="M299" s="25">
        <v>13.6</v>
      </c>
      <c r="N299">
        <f t="shared" si="4"/>
        <v>0</v>
      </c>
    </row>
    <row r="300" spans="1:14" x14ac:dyDescent="0.35">
      <c r="A300" s="6" t="s">
        <v>370</v>
      </c>
      <c r="B300" s="19" t="s">
        <v>72</v>
      </c>
      <c r="C300" s="19">
        <v>12</v>
      </c>
      <c r="D300" s="20">
        <v>45995</v>
      </c>
      <c r="E300" s="19" t="s">
        <v>13</v>
      </c>
      <c r="F300" s="19" t="s">
        <v>43</v>
      </c>
      <c r="G300" s="19" t="s">
        <v>27</v>
      </c>
      <c r="H300" s="19" t="s">
        <v>32</v>
      </c>
      <c r="I300" s="19">
        <v>24</v>
      </c>
      <c r="J300" s="19">
        <v>0</v>
      </c>
      <c r="K300" s="19">
        <v>4</v>
      </c>
      <c r="L300" s="19" t="s">
        <v>38</v>
      </c>
      <c r="M300" s="21">
        <v>14.5</v>
      </c>
      <c r="N300">
        <f t="shared" si="4"/>
        <v>1</v>
      </c>
    </row>
    <row r="301" spans="1:14" x14ac:dyDescent="0.35">
      <c r="A301" s="22" t="s">
        <v>371</v>
      </c>
      <c r="B301" s="23" t="s">
        <v>236</v>
      </c>
      <c r="C301" s="23">
        <v>9</v>
      </c>
      <c r="D301" s="24">
        <v>45924</v>
      </c>
      <c r="E301" s="23" t="s">
        <v>68</v>
      </c>
      <c r="F301" s="23" t="s">
        <v>14</v>
      </c>
      <c r="G301" s="23" t="s">
        <v>15</v>
      </c>
      <c r="H301" s="23" t="s">
        <v>28</v>
      </c>
      <c r="I301" s="23">
        <v>24</v>
      </c>
      <c r="J301" s="23">
        <v>0</v>
      </c>
      <c r="K301" s="23">
        <v>5</v>
      </c>
      <c r="L301" s="23" t="s">
        <v>8363</v>
      </c>
      <c r="M301" s="25">
        <v>17.3</v>
      </c>
      <c r="N301">
        <f t="shared" si="4"/>
        <v>1</v>
      </c>
    </row>
    <row r="302" spans="1:14" x14ac:dyDescent="0.35">
      <c r="A302" s="6" t="s">
        <v>372</v>
      </c>
      <c r="B302" s="19" t="s">
        <v>57</v>
      </c>
      <c r="C302" s="19"/>
      <c r="D302" s="20"/>
      <c r="E302" s="19" t="s">
        <v>20</v>
      </c>
      <c r="F302" s="19" t="s">
        <v>59</v>
      </c>
      <c r="G302" s="19" t="s">
        <v>27</v>
      </c>
      <c r="H302" s="19" t="s">
        <v>28</v>
      </c>
      <c r="I302" s="19">
        <v>8</v>
      </c>
      <c r="J302" s="19">
        <v>0</v>
      </c>
      <c r="K302" s="19"/>
      <c r="L302" s="19" t="s">
        <v>55</v>
      </c>
      <c r="M302" s="21">
        <v>1.7</v>
      </c>
      <c r="N302">
        <f t="shared" si="4"/>
        <v>1</v>
      </c>
    </row>
    <row r="303" spans="1:14" x14ac:dyDescent="0.35">
      <c r="A303" s="22" t="s">
        <v>373</v>
      </c>
      <c r="B303" s="23" t="s">
        <v>72</v>
      </c>
      <c r="C303" s="23">
        <v>9</v>
      </c>
      <c r="D303" s="24">
        <v>45909</v>
      </c>
      <c r="E303" s="23" t="s">
        <v>25</v>
      </c>
      <c r="F303" s="23" t="s">
        <v>14</v>
      </c>
      <c r="G303" s="23" t="s">
        <v>21</v>
      </c>
      <c r="H303" s="23" t="s">
        <v>22</v>
      </c>
      <c r="I303" s="23">
        <v>24</v>
      </c>
      <c r="J303" s="23">
        <v>0</v>
      </c>
      <c r="K303" s="23">
        <v>4</v>
      </c>
      <c r="L303" s="23" t="s">
        <v>8363</v>
      </c>
      <c r="M303" s="25">
        <v>15.8</v>
      </c>
      <c r="N303">
        <f t="shared" si="4"/>
        <v>1</v>
      </c>
    </row>
    <row r="304" spans="1:14" x14ac:dyDescent="0.35">
      <c r="A304" s="6" t="s">
        <v>374</v>
      </c>
      <c r="B304" s="19" t="s">
        <v>236</v>
      </c>
      <c r="C304" s="19">
        <v>2</v>
      </c>
      <c r="D304" s="20">
        <v>45694</v>
      </c>
      <c r="E304" s="19" t="s">
        <v>8364</v>
      </c>
      <c r="F304" s="19" t="s">
        <v>43</v>
      </c>
      <c r="G304" s="19" t="s">
        <v>31</v>
      </c>
      <c r="H304" s="19" t="s">
        <v>32</v>
      </c>
      <c r="I304" s="19">
        <v>48</v>
      </c>
      <c r="J304" s="19">
        <v>0</v>
      </c>
      <c r="K304" s="19">
        <v>4</v>
      </c>
      <c r="L304" s="19" t="s">
        <v>17</v>
      </c>
      <c r="M304" s="21">
        <v>12.5</v>
      </c>
      <c r="N304">
        <f t="shared" si="4"/>
        <v>1</v>
      </c>
    </row>
    <row r="305" spans="1:14" x14ac:dyDescent="0.35">
      <c r="A305" s="22" t="s">
        <v>375</v>
      </c>
      <c r="B305" s="23" t="s">
        <v>39</v>
      </c>
      <c r="C305" s="23">
        <v>4</v>
      </c>
      <c r="D305" s="24">
        <v>45752</v>
      </c>
      <c r="E305" s="23" t="s">
        <v>25</v>
      </c>
      <c r="F305" s="23" t="s">
        <v>40</v>
      </c>
      <c r="G305" s="23" t="s">
        <v>27</v>
      </c>
      <c r="H305" s="23" t="s">
        <v>28</v>
      </c>
      <c r="I305" s="23">
        <v>8</v>
      </c>
      <c r="J305" s="23">
        <v>0</v>
      </c>
      <c r="K305" s="23">
        <v>5</v>
      </c>
      <c r="L305" s="23" t="s">
        <v>62</v>
      </c>
      <c r="M305" s="25">
        <v>5.5</v>
      </c>
      <c r="N305">
        <f t="shared" si="4"/>
        <v>1</v>
      </c>
    </row>
    <row r="306" spans="1:14" x14ac:dyDescent="0.35">
      <c r="A306" s="6" t="s">
        <v>376</v>
      </c>
      <c r="B306" s="19" t="s">
        <v>39</v>
      </c>
      <c r="C306" s="19">
        <v>7</v>
      </c>
      <c r="D306" s="20">
        <v>45848</v>
      </c>
      <c r="E306" s="19" t="s">
        <v>13</v>
      </c>
      <c r="F306" s="19" t="s">
        <v>40</v>
      </c>
      <c r="G306" s="19" t="s">
        <v>8364</v>
      </c>
      <c r="H306" s="19" t="s">
        <v>28</v>
      </c>
      <c r="I306" s="19">
        <v>48</v>
      </c>
      <c r="J306" s="19">
        <v>0</v>
      </c>
      <c r="K306" s="19">
        <v>4</v>
      </c>
      <c r="L306" s="19" t="s">
        <v>33</v>
      </c>
      <c r="M306" s="21"/>
      <c r="N306">
        <f t="shared" si="4"/>
        <v>1</v>
      </c>
    </row>
    <row r="307" spans="1:14" x14ac:dyDescent="0.35">
      <c r="A307" s="22" t="s">
        <v>377</v>
      </c>
      <c r="B307" s="23" t="s">
        <v>69</v>
      </c>
      <c r="C307" s="23">
        <v>5</v>
      </c>
      <c r="D307" s="24">
        <v>45782</v>
      </c>
      <c r="E307" s="23" t="s">
        <v>13</v>
      </c>
      <c r="F307" s="23" t="s">
        <v>37</v>
      </c>
      <c r="G307" s="23" t="s">
        <v>31</v>
      </c>
      <c r="H307" s="23" t="s">
        <v>22</v>
      </c>
      <c r="I307" s="23">
        <v>4</v>
      </c>
      <c r="J307" s="23">
        <v>0</v>
      </c>
      <c r="K307" s="23">
        <v>5</v>
      </c>
      <c r="L307" s="23" t="s">
        <v>44</v>
      </c>
      <c r="M307" s="25">
        <v>6.4</v>
      </c>
      <c r="N307">
        <f t="shared" si="4"/>
        <v>0</v>
      </c>
    </row>
    <row r="308" spans="1:14" x14ac:dyDescent="0.35">
      <c r="A308" s="6" t="s">
        <v>378</v>
      </c>
      <c r="B308" s="19" t="s">
        <v>34</v>
      </c>
      <c r="C308" s="19">
        <v>11</v>
      </c>
      <c r="D308" s="20">
        <v>45962</v>
      </c>
      <c r="E308" s="19" t="s">
        <v>25</v>
      </c>
      <c r="F308" s="19" t="s">
        <v>59</v>
      </c>
      <c r="G308" s="19" t="s">
        <v>27</v>
      </c>
      <c r="H308" s="19" t="s">
        <v>8364</v>
      </c>
      <c r="I308" s="19">
        <v>48</v>
      </c>
      <c r="J308" s="19">
        <v>0</v>
      </c>
      <c r="K308" s="19">
        <v>4</v>
      </c>
      <c r="L308" s="19" t="s">
        <v>8363</v>
      </c>
      <c r="M308" s="21">
        <v>3.4</v>
      </c>
      <c r="N308">
        <f t="shared" si="4"/>
        <v>1</v>
      </c>
    </row>
    <row r="309" spans="1:14" x14ac:dyDescent="0.35">
      <c r="A309" s="22" t="s">
        <v>379</v>
      </c>
      <c r="B309" s="23" t="s">
        <v>69</v>
      </c>
      <c r="C309" s="23">
        <v>7</v>
      </c>
      <c r="D309" s="24">
        <v>45867</v>
      </c>
      <c r="E309" s="23" t="s">
        <v>25</v>
      </c>
      <c r="F309" s="23" t="s">
        <v>43</v>
      </c>
      <c r="G309" s="23" t="s">
        <v>27</v>
      </c>
      <c r="H309" s="23" t="s">
        <v>22</v>
      </c>
      <c r="I309" s="23">
        <v>8</v>
      </c>
      <c r="J309" s="23">
        <v>1</v>
      </c>
      <c r="K309" s="23">
        <v>2</v>
      </c>
      <c r="L309" s="23" t="s">
        <v>8363</v>
      </c>
      <c r="M309" s="25">
        <v>2</v>
      </c>
      <c r="N309">
        <f t="shared" si="4"/>
        <v>1</v>
      </c>
    </row>
    <row r="310" spans="1:14" x14ac:dyDescent="0.35">
      <c r="A310" s="6" t="s">
        <v>380</v>
      </c>
      <c r="B310" s="19" t="s">
        <v>41</v>
      </c>
      <c r="C310" s="19">
        <v>9</v>
      </c>
      <c r="D310" s="20">
        <v>45912</v>
      </c>
      <c r="E310" s="19" t="s">
        <v>8364</v>
      </c>
      <c r="F310" s="19" t="s">
        <v>26</v>
      </c>
      <c r="G310" s="19" t="s">
        <v>15</v>
      </c>
      <c r="H310" s="19" t="s">
        <v>22</v>
      </c>
      <c r="I310" s="19">
        <v>8</v>
      </c>
      <c r="J310" s="19">
        <v>2</v>
      </c>
      <c r="K310" s="19">
        <v>5</v>
      </c>
      <c r="L310" s="19" t="s">
        <v>55</v>
      </c>
      <c r="M310" s="21"/>
      <c r="N310">
        <f t="shared" si="4"/>
        <v>1</v>
      </c>
    </row>
    <row r="311" spans="1:14" x14ac:dyDescent="0.35">
      <c r="A311" s="22" t="s">
        <v>381</v>
      </c>
      <c r="B311" s="23" t="s">
        <v>158</v>
      </c>
      <c r="C311" s="23">
        <v>2</v>
      </c>
      <c r="D311" s="24">
        <v>45699</v>
      </c>
      <c r="E311" s="23" t="s">
        <v>36</v>
      </c>
      <c r="F311" s="23" t="s">
        <v>14</v>
      </c>
      <c r="G311" s="23" t="s">
        <v>31</v>
      </c>
      <c r="H311" s="23" t="s">
        <v>8364</v>
      </c>
      <c r="I311" s="23">
        <v>8</v>
      </c>
      <c r="J311" s="23">
        <v>0</v>
      </c>
      <c r="K311" s="23">
        <v>4</v>
      </c>
      <c r="L311" s="23" t="s">
        <v>8363</v>
      </c>
      <c r="M311" s="25">
        <v>10.6</v>
      </c>
      <c r="N311">
        <f t="shared" si="4"/>
        <v>0</v>
      </c>
    </row>
    <row r="312" spans="1:14" x14ac:dyDescent="0.35">
      <c r="A312" s="6" t="s">
        <v>382</v>
      </c>
      <c r="B312" s="19" t="s">
        <v>69</v>
      </c>
      <c r="C312" s="19">
        <v>1</v>
      </c>
      <c r="D312" s="20">
        <v>45688</v>
      </c>
      <c r="E312" s="19" t="s">
        <v>25</v>
      </c>
      <c r="F312" s="19" t="s">
        <v>14</v>
      </c>
      <c r="G312" s="19" t="s">
        <v>31</v>
      </c>
      <c r="H312" s="19" t="s">
        <v>8364</v>
      </c>
      <c r="I312" s="19">
        <v>48</v>
      </c>
      <c r="J312" s="19">
        <v>0</v>
      </c>
      <c r="K312" s="19">
        <v>3</v>
      </c>
      <c r="L312" s="19" t="s">
        <v>8363</v>
      </c>
      <c r="M312" s="21">
        <v>12.3</v>
      </c>
      <c r="N312">
        <f t="shared" si="4"/>
        <v>1</v>
      </c>
    </row>
    <row r="313" spans="1:14" x14ac:dyDescent="0.35">
      <c r="A313" s="22" t="s">
        <v>383</v>
      </c>
      <c r="B313" s="23" t="s">
        <v>108</v>
      </c>
      <c r="C313" s="23">
        <v>5</v>
      </c>
      <c r="D313" s="24">
        <v>45803</v>
      </c>
      <c r="E313" s="23" t="s">
        <v>36</v>
      </c>
      <c r="F313" s="23" t="s">
        <v>40</v>
      </c>
      <c r="G313" s="23" t="s">
        <v>31</v>
      </c>
      <c r="H313" s="23" t="s">
        <v>22</v>
      </c>
      <c r="I313" s="23">
        <v>4</v>
      </c>
      <c r="J313" s="23">
        <v>0</v>
      </c>
      <c r="K313" s="23">
        <v>4</v>
      </c>
      <c r="L313" s="23" t="s">
        <v>8363</v>
      </c>
      <c r="M313" s="25">
        <v>2.9</v>
      </c>
      <c r="N313">
        <f t="shared" si="4"/>
        <v>1</v>
      </c>
    </row>
    <row r="314" spans="1:14" x14ac:dyDescent="0.35">
      <c r="A314" s="6" t="s">
        <v>384</v>
      </c>
      <c r="B314" s="19" t="s">
        <v>87</v>
      </c>
      <c r="C314" s="19"/>
      <c r="D314" s="20"/>
      <c r="E314" s="19" t="s">
        <v>25</v>
      </c>
      <c r="F314" s="19" t="s">
        <v>59</v>
      </c>
      <c r="G314" s="19" t="s">
        <v>27</v>
      </c>
      <c r="H314" s="19" t="s">
        <v>28</v>
      </c>
      <c r="I314" s="19">
        <v>48</v>
      </c>
      <c r="J314" s="19">
        <v>2</v>
      </c>
      <c r="K314" s="19">
        <v>5</v>
      </c>
      <c r="L314" s="19" t="s">
        <v>8363</v>
      </c>
      <c r="M314" s="21">
        <v>6.4</v>
      </c>
      <c r="N314">
        <f t="shared" si="4"/>
        <v>1</v>
      </c>
    </row>
    <row r="315" spans="1:14" x14ac:dyDescent="0.35">
      <c r="A315" s="22" t="s">
        <v>385</v>
      </c>
      <c r="B315" s="23" t="s">
        <v>39</v>
      </c>
      <c r="C315" s="23"/>
      <c r="D315" s="24"/>
      <c r="E315" s="23" t="s">
        <v>68</v>
      </c>
      <c r="F315" s="23" t="s">
        <v>59</v>
      </c>
      <c r="G315" s="23" t="s">
        <v>21</v>
      </c>
      <c r="H315" s="23" t="s">
        <v>22</v>
      </c>
      <c r="I315" s="23">
        <v>72</v>
      </c>
      <c r="J315" s="23">
        <v>0</v>
      </c>
      <c r="K315" s="23">
        <v>4</v>
      </c>
      <c r="L315" s="23" t="s">
        <v>62</v>
      </c>
      <c r="M315" s="25">
        <v>8.4</v>
      </c>
      <c r="N315">
        <f t="shared" si="4"/>
        <v>1</v>
      </c>
    </row>
    <row r="316" spans="1:14" x14ac:dyDescent="0.35">
      <c r="A316" s="6" t="s">
        <v>386</v>
      </c>
      <c r="B316" s="19" t="s">
        <v>87</v>
      </c>
      <c r="C316" s="19">
        <v>1</v>
      </c>
      <c r="D316" s="20">
        <v>45662</v>
      </c>
      <c r="E316" s="19" t="s">
        <v>13</v>
      </c>
      <c r="F316" s="19" t="s">
        <v>43</v>
      </c>
      <c r="G316" s="19" t="s">
        <v>21</v>
      </c>
      <c r="H316" s="19" t="s">
        <v>22</v>
      </c>
      <c r="I316" s="19">
        <v>8</v>
      </c>
      <c r="J316" s="19">
        <v>1</v>
      </c>
      <c r="K316" s="19">
        <v>4</v>
      </c>
      <c r="L316" s="19" t="s">
        <v>44</v>
      </c>
      <c r="M316" s="21">
        <v>17.3</v>
      </c>
      <c r="N316">
        <f t="shared" si="4"/>
        <v>0</v>
      </c>
    </row>
    <row r="317" spans="1:14" x14ac:dyDescent="0.35">
      <c r="A317" s="22" t="s">
        <v>387</v>
      </c>
      <c r="B317" s="23" t="s">
        <v>89</v>
      </c>
      <c r="C317" s="23">
        <v>2</v>
      </c>
      <c r="D317" s="24">
        <v>45702</v>
      </c>
      <c r="E317" s="23" t="s">
        <v>20</v>
      </c>
      <c r="F317" s="23" t="s">
        <v>43</v>
      </c>
      <c r="G317" s="23" t="s">
        <v>15</v>
      </c>
      <c r="H317" s="23" t="s">
        <v>22</v>
      </c>
      <c r="I317" s="23">
        <v>8</v>
      </c>
      <c r="J317" s="23">
        <v>2</v>
      </c>
      <c r="K317" s="23">
        <v>4</v>
      </c>
      <c r="L317" s="23" t="s">
        <v>8363</v>
      </c>
      <c r="M317" s="25">
        <v>32.799999999999997</v>
      </c>
      <c r="N317">
        <f t="shared" si="4"/>
        <v>0</v>
      </c>
    </row>
    <row r="318" spans="1:14" x14ac:dyDescent="0.35">
      <c r="A318" s="6" t="s">
        <v>388</v>
      </c>
      <c r="B318" s="19" t="s">
        <v>87</v>
      </c>
      <c r="C318" s="19">
        <v>1</v>
      </c>
      <c r="D318" s="20">
        <v>45680</v>
      </c>
      <c r="E318" s="19" t="s">
        <v>25</v>
      </c>
      <c r="F318" s="19" t="s">
        <v>14</v>
      </c>
      <c r="G318" s="19" t="s">
        <v>27</v>
      </c>
      <c r="H318" s="19" t="s">
        <v>32</v>
      </c>
      <c r="I318" s="19">
        <v>48</v>
      </c>
      <c r="J318" s="19">
        <v>0</v>
      </c>
      <c r="K318" s="19">
        <v>3</v>
      </c>
      <c r="L318" s="19" t="s">
        <v>17</v>
      </c>
      <c r="M318" s="21">
        <v>3.2</v>
      </c>
      <c r="N318">
        <f t="shared" si="4"/>
        <v>1</v>
      </c>
    </row>
    <row r="319" spans="1:14" x14ac:dyDescent="0.35">
      <c r="A319" s="22" t="s">
        <v>389</v>
      </c>
      <c r="B319" s="23" t="s">
        <v>39</v>
      </c>
      <c r="C319" s="23">
        <v>10</v>
      </c>
      <c r="D319" s="24">
        <v>45954</v>
      </c>
      <c r="E319" s="23" t="s">
        <v>25</v>
      </c>
      <c r="F319" s="23" t="s">
        <v>40</v>
      </c>
      <c r="G319" s="23" t="s">
        <v>31</v>
      </c>
      <c r="H319" s="23" t="s">
        <v>32</v>
      </c>
      <c r="I319" s="23">
        <v>48</v>
      </c>
      <c r="J319" s="23">
        <v>0</v>
      </c>
      <c r="K319" s="23">
        <v>4</v>
      </c>
      <c r="L319" s="23" t="s">
        <v>33</v>
      </c>
      <c r="M319" s="25">
        <v>3.7</v>
      </c>
      <c r="N319">
        <f t="shared" si="4"/>
        <v>1</v>
      </c>
    </row>
    <row r="320" spans="1:14" x14ac:dyDescent="0.35">
      <c r="A320" s="6" t="s">
        <v>390</v>
      </c>
      <c r="B320" s="19" t="s">
        <v>139</v>
      </c>
      <c r="C320" s="19">
        <v>1</v>
      </c>
      <c r="D320" s="20">
        <v>45681</v>
      </c>
      <c r="E320" s="19" t="s">
        <v>13</v>
      </c>
      <c r="F320" s="19" t="s">
        <v>43</v>
      </c>
      <c r="G320" s="19" t="s">
        <v>31</v>
      </c>
      <c r="H320" s="19" t="s">
        <v>28</v>
      </c>
      <c r="I320" s="19">
        <v>24</v>
      </c>
      <c r="J320" s="19">
        <v>0</v>
      </c>
      <c r="K320" s="19">
        <v>5</v>
      </c>
      <c r="L320" s="19" t="s">
        <v>75</v>
      </c>
      <c r="M320" s="21">
        <v>7.4</v>
      </c>
      <c r="N320">
        <f t="shared" si="4"/>
        <v>1</v>
      </c>
    </row>
    <row r="321" spans="1:14" x14ac:dyDescent="0.35">
      <c r="A321" s="22" t="s">
        <v>391</v>
      </c>
      <c r="B321" s="23" t="s">
        <v>85</v>
      </c>
      <c r="C321" s="23">
        <v>1</v>
      </c>
      <c r="D321" s="24">
        <v>45658</v>
      </c>
      <c r="E321" s="23" t="s">
        <v>13</v>
      </c>
      <c r="F321" s="23" t="s">
        <v>26</v>
      </c>
      <c r="G321" s="23" t="s">
        <v>15</v>
      </c>
      <c r="H321" s="23" t="s">
        <v>8364</v>
      </c>
      <c r="I321" s="23">
        <v>72</v>
      </c>
      <c r="J321" s="23">
        <v>1</v>
      </c>
      <c r="K321" s="23">
        <v>5</v>
      </c>
      <c r="L321" s="23" t="s">
        <v>75</v>
      </c>
      <c r="M321" s="25"/>
      <c r="N321">
        <f t="shared" si="4"/>
        <v>1</v>
      </c>
    </row>
    <row r="322" spans="1:14" x14ac:dyDescent="0.35">
      <c r="A322" s="6" t="s">
        <v>392</v>
      </c>
      <c r="B322" s="19" t="s">
        <v>69</v>
      </c>
      <c r="C322" s="19">
        <v>6</v>
      </c>
      <c r="D322" s="20">
        <v>45833</v>
      </c>
      <c r="E322" s="19" t="s">
        <v>13</v>
      </c>
      <c r="F322" s="19" t="s">
        <v>14</v>
      </c>
      <c r="G322" s="19" t="s">
        <v>31</v>
      </c>
      <c r="H322" s="19" t="s">
        <v>32</v>
      </c>
      <c r="I322" s="19">
        <v>8</v>
      </c>
      <c r="J322" s="19">
        <v>0</v>
      </c>
      <c r="K322" s="19">
        <v>5</v>
      </c>
      <c r="L322" s="19" t="s">
        <v>33</v>
      </c>
      <c r="M322" s="21">
        <v>12.7</v>
      </c>
      <c r="N322">
        <f t="shared" si="4"/>
        <v>0</v>
      </c>
    </row>
    <row r="323" spans="1:14" x14ac:dyDescent="0.35">
      <c r="A323" s="22" t="s">
        <v>393</v>
      </c>
      <c r="B323" s="23" t="s">
        <v>81</v>
      </c>
      <c r="C323" s="23">
        <v>7</v>
      </c>
      <c r="D323" s="24">
        <v>45851</v>
      </c>
      <c r="E323" s="23" t="s">
        <v>36</v>
      </c>
      <c r="F323" s="23" t="s">
        <v>26</v>
      </c>
      <c r="G323" s="23" t="s">
        <v>8364</v>
      </c>
      <c r="H323" s="23" t="s">
        <v>32</v>
      </c>
      <c r="I323" s="23">
        <v>4</v>
      </c>
      <c r="J323" s="23">
        <v>0</v>
      </c>
      <c r="K323" s="23">
        <v>5</v>
      </c>
      <c r="L323" s="23" t="s">
        <v>8363</v>
      </c>
      <c r="M323" s="25">
        <v>9.4</v>
      </c>
      <c r="N323">
        <f t="shared" ref="N323:N386" si="5">IF(M323 &lt;= I323, 1, 0)</f>
        <v>0</v>
      </c>
    </row>
    <row r="324" spans="1:14" x14ac:dyDescent="0.35">
      <c r="A324" s="6" t="s">
        <v>394</v>
      </c>
      <c r="B324" s="19" t="s">
        <v>143</v>
      </c>
      <c r="C324" s="19">
        <v>6</v>
      </c>
      <c r="D324" s="20">
        <v>45832</v>
      </c>
      <c r="E324" s="19" t="s">
        <v>13</v>
      </c>
      <c r="F324" s="19" t="s">
        <v>37</v>
      </c>
      <c r="G324" s="19" t="s">
        <v>31</v>
      </c>
      <c r="H324" s="19" t="s">
        <v>22</v>
      </c>
      <c r="I324" s="19">
        <v>24</v>
      </c>
      <c r="J324" s="19">
        <v>0</v>
      </c>
      <c r="K324" s="19">
        <v>4</v>
      </c>
      <c r="L324" s="19" t="s">
        <v>75</v>
      </c>
      <c r="M324" s="21">
        <v>20.7</v>
      </c>
      <c r="N324">
        <f t="shared" si="5"/>
        <v>1</v>
      </c>
    </row>
    <row r="325" spans="1:14" x14ac:dyDescent="0.35">
      <c r="A325" s="22" t="s">
        <v>395</v>
      </c>
      <c r="B325" s="23" t="s">
        <v>45</v>
      </c>
      <c r="C325" s="23">
        <v>1</v>
      </c>
      <c r="D325" s="24">
        <v>45688</v>
      </c>
      <c r="E325" s="23" t="s">
        <v>25</v>
      </c>
      <c r="F325" s="23" t="s">
        <v>14</v>
      </c>
      <c r="G325" s="23" t="s">
        <v>31</v>
      </c>
      <c r="H325" s="23" t="s">
        <v>32</v>
      </c>
      <c r="I325" s="23">
        <v>4</v>
      </c>
      <c r="J325" s="23">
        <v>0</v>
      </c>
      <c r="K325" s="23">
        <v>5</v>
      </c>
      <c r="L325" s="23" t="s">
        <v>17</v>
      </c>
      <c r="M325" s="25">
        <v>4.9000000000000004</v>
      </c>
      <c r="N325">
        <f t="shared" si="5"/>
        <v>0</v>
      </c>
    </row>
    <row r="326" spans="1:14" x14ac:dyDescent="0.35">
      <c r="A326" s="6" t="s">
        <v>396</v>
      </c>
      <c r="B326" s="19" t="s">
        <v>89</v>
      </c>
      <c r="C326" s="19">
        <v>4</v>
      </c>
      <c r="D326" s="20">
        <v>45768</v>
      </c>
      <c r="E326" s="19" t="s">
        <v>13</v>
      </c>
      <c r="F326" s="19" t="s">
        <v>43</v>
      </c>
      <c r="G326" s="19" t="s">
        <v>27</v>
      </c>
      <c r="H326" s="19" t="s">
        <v>22</v>
      </c>
      <c r="I326" s="19">
        <v>24</v>
      </c>
      <c r="J326" s="19">
        <v>0</v>
      </c>
      <c r="K326" s="19">
        <v>4</v>
      </c>
      <c r="L326" s="19" t="s">
        <v>62</v>
      </c>
      <c r="M326" s="21">
        <v>3</v>
      </c>
      <c r="N326">
        <f t="shared" si="5"/>
        <v>1</v>
      </c>
    </row>
    <row r="327" spans="1:14" x14ac:dyDescent="0.35">
      <c r="A327" s="22" t="s">
        <v>397</v>
      </c>
      <c r="B327" s="23" t="s">
        <v>65</v>
      </c>
      <c r="C327" s="23">
        <v>9</v>
      </c>
      <c r="D327" s="24">
        <v>45928</v>
      </c>
      <c r="E327" s="23" t="s">
        <v>25</v>
      </c>
      <c r="F327" s="23" t="s">
        <v>59</v>
      </c>
      <c r="G327" s="23" t="s">
        <v>31</v>
      </c>
      <c r="H327" s="23" t="s">
        <v>8364</v>
      </c>
      <c r="I327" s="23">
        <v>72</v>
      </c>
      <c r="J327" s="23">
        <v>2</v>
      </c>
      <c r="K327" s="23"/>
      <c r="L327" s="23" t="s">
        <v>55</v>
      </c>
      <c r="M327" s="25">
        <v>8.3000000000000007</v>
      </c>
      <c r="N327">
        <f t="shared" si="5"/>
        <v>1</v>
      </c>
    </row>
    <row r="328" spans="1:14" x14ac:dyDescent="0.35">
      <c r="A328" s="6" t="s">
        <v>398</v>
      </c>
      <c r="B328" s="19" t="s">
        <v>146</v>
      </c>
      <c r="C328" s="19">
        <v>5</v>
      </c>
      <c r="D328" s="20">
        <v>45803</v>
      </c>
      <c r="E328" s="19" t="s">
        <v>13</v>
      </c>
      <c r="F328" s="19" t="s">
        <v>14</v>
      </c>
      <c r="G328" s="19" t="s">
        <v>21</v>
      </c>
      <c r="H328" s="19" t="s">
        <v>28</v>
      </c>
      <c r="I328" s="19">
        <v>72</v>
      </c>
      <c r="J328" s="19">
        <v>0</v>
      </c>
      <c r="K328" s="19">
        <v>4</v>
      </c>
      <c r="L328" s="19" t="s">
        <v>55</v>
      </c>
      <c r="M328" s="21">
        <v>17.5</v>
      </c>
      <c r="N328">
        <f t="shared" si="5"/>
        <v>1</v>
      </c>
    </row>
    <row r="329" spans="1:14" x14ac:dyDescent="0.35">
      <c r="A329" s="22" t="s">
        <v>399</v>
      </c>
      <c r="B329" s="23" t="s">
        <v>89</v>
      </c>
      <c r="C329" s="23">
        <v>2</v>
      </c>
      <c r="D329" s="24">
        <v>45705</v>
      </c>
      <c r="E329" s="23" t="s">
        <v>25</v>
      </c>
      <c r="F329" s="23" t="s">
        <v>14</v>
      </c>
      <c r="G329" s="23" t="s">
        <v>31</v>
      </c>
      <c r="H329" s="23" t="s">
        <v>28</v>
      </c>
      <c r="I329" s="23">
        <v>24</v>
      </c>
      <c r="J329" s="23">
        <v>0</v>
      </c>
      <c r="K329" s="23"/>
      <c r="L329" s="23" t="s">
        <v>62</v>
      </c>
      <c r="M329" s="25">
        <v>6.3</v>
      </c>
      <c r="N329">
        <f t="shared" si="5"/>
        <v>1</v>
      </c>
    </row>
    <row r="330" spans="1:14" x14ac:dyDescent="0.35">
      <c r="A330" s="6" t="s">
        <v>400</v>
      </c>
      <c r="B330" s="19" t="s">
        <v>89</v>
      </c>
      <c r="C330" s="19">
        <v>4</v>
      </c>
      <c r="D330" s="20">
        <v>45772</v>
      </c>
      <c r="E330" s="19" t="s">
        <v>68</v>
      </c>
      <c r="F330" s="19" t="s">
        <v>59</v>
      </c>
      <c r="G330" s="19" t="s">
        <v>27</v>
      </c>
      <c r="H330" s="19" t="s">
        <v>28</v>
      </c>
      <c r="I330" s="19">
        <v>48</v>
      </c>
      <c r="J330" s="19">
        <v>0</v>
      </c>
      <c r="K330" s="19">
        <v>5</v>
      </c>
      <c r="L330" s="19" t="s">
        <v>17</v>
      </c>
      <c r="M330" s="21">
        <v>13.7</v>
      </c>
      <c r="N330">
        <f t="shared" si="5"/>
        <v>1</v>
      </c>
    </row>
    <row r="331" spans="1:14" x14ac:dyDescent="0.35">
      <c r="A331" s="22" t="s">
        <v>401</v>
      </c>
      <c r="B331" s="23" t="s">
        <v>104</v>
      </c>
      <c r="C331" s="23">
        <v>1</v>
      </c>
      <c r="D331" s="24">
        <v>45665</v>
      </c>
      <c r="E331" s="23" t="s">
        <v>68</v>
      </c>
      <c r="F331" s="23" t="s">
        <v>43</v>
      </c>
      <c r="G331" s="23" t="s">
        <v>31</v>
      </c>
      <c r="H331" s="23" t="s">
        <v>28</v>
      </c>
      <c r="I331" s="23">
        <v>8</v>
      </c>
      <c r="J331" s="23">
        <v>0</v>
      </c>
      <c r="K331" s="23">
        <v>4</v>
      </c>
      <c r="L331" s="23" t="s">
        <v>17</v>
      </c>
      <c r="M331" s="25"/>
      <c r="N331">
        <f t="shared" si="5"/>
        <v>1</v>
      </c>
    </row>
    <row r="332" spans="1:14" x14ac:dyDescent="0.35">
      <c r="A332" s="6" t="s">
        <v>402</v>
      </c>
      <c r="B332" s="19" t="s">
        <v>92</v>
      </c>
      <c r="C332" s="19">
        <v>11</v>
      </c>
      <c r="D332" s="20">
        <v>45967</v>
      </c>
      <c r="E332" s="19" t="s">
        <v>68</v>
      </c>
      <c r="F332" s="19" t="s">
        <v>43</v>
      </c>
      <c r="G332" s="19" t="s">
        <v>15</v>
      </c>
      <c r="H332" s="19" t="s">
        <v>22</v>
      </c>
      <c r="I332" s="19">
        <v>4</v>
      </c>
      <c r="J332" s="19">
        <v>0</v>
      </c>
      <c r="K332" s="19">
        <v>2</v>
      </c>
      <c r="L332" s="19" t="s">
        <v>38</v>
      </c>
      <c r="M332" s="21">
        <v>32.799999999999997</v>
      </c>
      <c r="N332">
        <f t="shared" si="5"/>
        <v>0</v>
      </c>
    </row>
    <row r="333" spans="1:14" x14ac:dyDescent="0.35">
      <c r="A333" s="22" t="s">
        <v>403</v>
      </c>
      <c r="B333" s="23" t="s">
        <v>65</v>
      </c>
      <c r="C333" s="23">
        <v>12</v>
      </c>
      <c r="D333" s="24">
        <v>46009</v>
      </c>
      <c r="E333" s="23" t="s">
        <v>36</v>
      </c>
      <c r="F333" s="23" t="s">
        <v>59</v>
      </c>
      <c r="G333" s="23" t="s">
        <v>15</v>
      </c>
      <c r="H333" s="23" t="s">
        <v>22</v>
      </c>
      <c r="I333" s="23">
        <v>72</v>
      </c>
      <c r="J333" s="23">
        <v>0</v>
      </c>
      <c r="K333" s="23">
        <v>4</v>
      </c>
      <c r="L333" s="23" t="s">
        <v>62</v>
      </c>
      <c r="M333" s="25">
        <v>7.6</v>
      </c>
      <c r="N333">
        <f t="shared" si="5"/>
        <v>1</v>
      </c>
    </row>
    <row r="334" spans="1:14" x14ac:dyDescent="0.35">
      <c r="A334" s="6" t="s">
        <v>404</v>
      </c>
      <c r="B334" s="19" t="s">
        <v>89</v>
      </c>
      <c r="C334" s="19">
        <v>11</v>
      </c>
      <c r="D334" s="20">
        <v>45986</v>
      </c>
      <c r="E334" s="19" t="s">
        <v>25</v>
      </c>
      <c r="F334" s="19" t="s">
        <v>40</v>
      </c>
      <c r="G334" s="19" t="s">
        <v>31</v>
      </c>
      <c r="H334" s="19" t="s">
        <v>28</v>
      </c>
      <c r="I334" s="19">
        <v>72</v>
      </c>
      <c r="J334" s="19">
        <v>0</v>
      </c>
      <c r="K334" s="19">
        <v>3</v>
      </c>
      <c r="L334" s="19" t="s">
        <v>75</v>
      </c>
      <c r="M334" s="21">
        <v>2.5</v>
      </c>
      <c r="N334">
        <f t="shared" si="5"/>
        <v>1</v>
      </c>
    </row>
    <row r="335" spans="1:14" x14ac:dyDescent="0.35">
      <c r="A335" s="22" t="s">
        <v>405</v>
      </c>
      <c r="B335" s="23" t="s">
        <v>65</v>
      </c>
      <c r="C335" s="23">
        <v>1</v>
      </c>
      <c r="D335" s="24">
        <v>45687</v>
      </c>
      <c r="E335" s="23" t="s">
        <v>68</v>
      </c>
      <c r="F335" s="23" t="s">
        <v>37</v>
      </c>
      <c r="G335" s="23" t="s">
        <v>31</v>
      </c>
      <c r="H335" s="23" t="s">
        <v>22</v>
      </c>
      <c r="I335" s="23">
        <v>72</v>
      </c>
      <c r="J335" s="23">
        <v>1</v>
      </c>
      <c r="K335" s="23">
        <v>4</v>
      </c>
      <c r="L335" s="23" t="s">
        <v>33</v>
      </c>
      <c r="M335" s="25">
        <v>7.5</v>
      </c>
      <c r="N335">
        <f t="shared" si="5"/>
        <v>1</v>
      </c>
    </row>
    <row r="336" spans="1:14" x14ac:dyDescent="0.35">
      <c r="A336" s="6" t="s">
        <v>406</v>
      </c>
      <c r="B336" s="19" t="s">
        <v>69</v>
      </c>
      <c r="C336" s="19">
        <v>5</v>
      </c>
      <c r="D336" s="20">
        <v>45794</v>
      </c>
      <c r="E336" s="19" t="s">
        <v>25</v>
      </c>
      <c r="F336" s="19" t="s">
        <v>40</v>
      </c>
      <c r="G336" s="19" t="s">
        <v>27</v>
      </c>
      <c r="H336" s="19" t="s">
        <v>22</v>
      </c>
      <c r="I336" s="19">
        <v>48</v>
      </c>
      <c r="J336" s="19">
        <v>0</v>
      </c>
      <c r="K336" s="19">
        <v>3</v>
      </c>
      <c r="L336" s="19" t="s">
        <v>62</v>
      </c>
      <c r="M336" s="21"/>
      <c r="N336">
        <f t="shared" si="5"/>
        <v>1</v>
      </c>
    </row>
    <row r="337" spans="1:14" x14ac:dyDescent="0.35">
      <c r="A337" s="22" t="s">
        <v>407</v>
      </c>
      <c r="B337" s="23" t="s">
        <v>45</v>
      </c>
      <c r="C337" s="23"/>
      <c r="D337" s="24"/>
      <c r="E337" s="23" t="s">
        <v>13</v>
      </c>
      <c r="F337" s="23" t="s">
        <v>43</v>
      </c>
      <c r="G337" s="23" t="s">
        <v>21</v>
      </c>
      <c r="H337" s="23" t="s">
        <v>28</v>
      </c>
      <c r="I337" s="23">
        <v>24</v>
      </c>
      <c r="J337" s="23">
        <v>0</v>
      </c>
      <c r="K337" s="23">
        <v>5</v>
      </c>
      <c r="L337" s="23" t="s">
        <v>17</v>
      </c>
      <c r="M337" s="25">
        <v>3</v>
      </c>
      <c r="N337">
        <f t="shared" si="5"/>
        <v>1</v>
      </c>
    </row>
    <row r="338" spans="1:14" x14ac:dyDescent="0.35">
      <c r="A338" s="6" t="s">
        <v>408</v>
      </c>
      <c r="B338" s="19" t="s">
        <v>65</v>
      </c>
      <c r="C338" s="19">
        <v>1</v>
      </c>
      <c r="D338" s="20">
        <v>45660</v>
      </c>
      <c r="E338" s="19" t="s">
        <v>20</v>
      </c>
      <c r="F338" s="19" t="s">
        <v>26</v>
      </c>
      <c r="G338" s="19" t="s">
        <v>31</v>
      </c>
      <c r="H338" s="19" t="s">
        <v>16</v>
      </c>
      <c r="I338" s="19">
        <v>4</v>
      </c>
      <c r="J338" s="19">
        <v>1</v>
      </c>
      <c r="K338" s="19">
        <v>5</v>
      </c>
      <c r="L338" s="19" t="s">
        <v>8363</v>
      </c>
      <c r="M338" s="21">
        <v>8.5</v>
      </c>
      <c r="N338">
        <f t="shared" si="5"/>
        <v>0</v>
      </c>
    </row>
    <row r="339" spans="1:14" x14ac:dyDescent="0.35">
      <c r="A339" s="22" t="s">
        <v>409</v>
      </c>
      <c r="B339" s="23" t="s">
        <v>78</v>
      </c>
      <c r="C339" s="23">
        <v>4</v>
      </c>
      <c r="D339" s="24">
        <v>45770</v>
      </c>
      <c r="E339" s="23" t="s">
        <v>13</v>
      </c>
      <c r="F339" s="23" t="s">
        <v>59</v>
      </c>
      <c r="G339" s="23" t="s">
        <v>21</v>
      </c>
      <c r="H339" s="23" t="s">
        <v>16</v>
      </c>
      <c r="I339" s="23">
        <v>8</v>
      </c>
      <c r="J339" s="23">
        <v>0</v>
      </c>
      <c r="K339" s="23"/>
      <c r="L339" s="23" t="s">
        <v>75</v>
      </c>
      <c r="M339" s="25">
        <v>72</v>
      </c>
      <c r="N339">
        <f t="shared" si="5"/>
        <v>0</v>
      </c>
    </row>
    <row r="340" spans="1:14" x14ac:dyDescent="0.35">
      <c r="A340" s="6" t="s">
        <v>410</v>
      </c>
      <c r="B340" s="19" t="s">
        <v>18</v>
      </c>
      <c r="C340" s="19">
        <v>10</v>
      </c>
      <c r="D340" s="20">
        <v>45956</v>
      </c>
      <c r="E340" s="19" t="s">
        <v>20</v>
      </c>
      <c r="F340" s="19" t="s">
        <v>40</v>
      </c>
      <c r="G340" s="19" t="s">
        <v>15</v>
      </c>
      <c r="H340" s="19" t="s">
        <v>22</v>
      </c>
      <c r="I340" s="19">
        <v>24</v>
      </c>
      <c r="J340" s="19">
        <v>0</v>
      </c>
      <c r="K340" s="19">
        <v>5</v>
      </c>
      <c r="L340" s="19" t="s">
        <v>8363</v>
      </c>
      <c r="M340" s="21">
        <v>9.4</v>
      </c>
      <c r="N340">
        <f t="shared" si="5"/>
        <v>1</v>
      </c>
    </row>
    <row r="341" spans="1:14" x14ac:dyDescent="0.35">
      <c r="A341" s="22" t="s">
        <v>411</v>
      </c>
      <c r="B341" s="23" t="s">
        <v>53</v>
      </c>
      <c r="C341" s="23">
        <v>4</v>
      </c>
      <c r="D341" s="24">
        <v>45757</v>
      </c>
      <c r="E341" s="23" t="s">
        <v>8364</v>
      </c>
      <c r="F341" s="23" t="s">
        <v>8364</v>
      </c>
      <c r="G341" s="23" t="s">
        <v>15</v>
      </c>
      <c r="H341" s="23" t="s">
        <v>32</v>
      </c>
      <c r="I341" s="23">
        <v>72</v>
      </c>
      <c r="J341" s="23">
        <v>0</v>
      </c>
      <c r="K341" s="23">
        <v>5</v>
      </c>
      <c r="L341" s="23" t="s">
        <v>8363</v>
      </c>
      <c r="M341" s="25">
        <v>13.3</v>
      </c>
      <c r="N341">
        <f t="shared" si="5"/>
        <v>1</v>
      </c>
    </row>
    <row r="342" spans="1:14" x14ac:dyDescent="0.35">
      <c r="A342" s="6" t="s">
        <v>412</v>
      </c>
      <c r="B342" s="19" t="s">
        <v>47</v>
      </c>
      <c r="C342" s="19">
        <v>5</v>
      </c>
      <c r="D342" s="20">
        <v>45789</v>
      </c>
      <c r="E342" s="19" t="s">
        <v>25</v>
      </c>
      <c r="F342" s="19" t="s">
        <v>59</v>
      </c>
      <c r="G342" s="19" t="s">
        <v>15</v>
      </c>
      <c r="H342" s="19" t="s">
        <v>28</v>
      </c>
      <c r="I342" s="19">
        <v>4</v>
      </c>
      <c r="J342" s="19">
        <v>0</v>
      </c>
      <c r="K342" s="19">
        <v>4</v>
      </c>
      <c r="L342" s="19" t="s">
        <v>44</v>
      </c>
      <c r="M342" s="21">
        <v>1.4</v>
      </c>
      <c r="N342">
        <f t="shared" si="5"/>
        <v>1</v>
      </c>
    </row>
    <row r="343" spans="1:14" x14ac:dyDescent="0.35">
      <c r="A343" s="22" t="s">
        <v>413</v>
      </c>
      <c r="B343" s="23" t="s">
        <v>72</v>
      </c>
      <c r="C343" s="23">
        <v>3</v>
      </c>
      <c r="D343" s="24">
        <v>45735</v>
      </c>
      <c r="E343" s="23" t="s">
        <v>8364</v>
      </c>
      <c r="F343" s="23" t="s">
        <v>26</v>
      </c>
      <c r="G343" s="23" t="s">
        <v>27</v>
      </c>
      <c r="H343" s="23" t="s">
        <v>22</v>
      </c>
      <c r="I343" s="23">
        <v>48</v>
      </c>
      <c r="J343" s="23">
        <v>0</v>
      </c>
      <c r="K343" s="23">
        <v>5</v>
      </c>
      <c r="L343" s="23" t="s">
        <v>75</v>
      </c>
      <c r="M343" s="25">
        <v>11.1</v>
      </c>
      <c r="N343">
        <f t="shared" si="5"/>
        <v>1</v>
      </c>
    </row>
    <row r="344" spans="1:14" x14ac:dyDescent="0.35">
      <c r="A344" s="6" t="s">
        <v>414</v>
      </c>
      <c r="B344" s="19" t="s">
        <v>99</v>
      </c>
      <c r="C344" s="19">
        <v>1</v>
      </c>
      <c r="D344" s="20">
        <v>45684</v>
      </c>
      <c r="E344" s="19" t="s">
        <v>13</v>
      </c>
      <c r="F344" s="19" t="s">
        <v>59</v>
      </c>
      <c r="G344" s="19" t="s">
        <v>31</v>
      </c>
      <c r="H344" s="19" t="s">
        <v>22</v>
      </c>
      <c r="I344" s="19">
        <v>48</v>
      </c>
      <c r="J344" s="19">
        <v>1</v>
      </c>
      <c r="K344" s="19"/>
      <c r="L344" s="19" t="s">
        <v>8363</v>
      </c>
      <c r="M344" s="21">
        <v>3.1</v>
      </c>
      <c r="N344">
        <f t="shared" si="5"/>
        <v>1</v>
      </c>
    </row>
    <row r="345" spans="1:14" x14ac:dyDescent="0.35">
      <c r="A345" s="22" t="s">
        <v>415</v>
      </c>
      <c r="B345" s="23" t="s">
        <v>47</v>
      </c>
      <c r="C345" s="23">
        <v>4</v>
      </c>
      <c r="D345" s="24">
        <v>45761</v>
      </c>
      <c r="E345" s="23" t="s">
        <v>13</v>
      </c>
      <c r="F345" s="23" t="s">
        <v>8364</v>
      </c>
      <c r="G345" s="23" t="s">
        <v>21</v>
      </c>
      <c r="H345" s="23" t="s">
        <v>28</v>
      </c>
      <c r="I345" s="23">
        <v>8</v>
      </c>
      <c r="J345" s="23">
        <v>2</v>
      </c>
      <c r="K345" s="23">
        <v>5</v>
      </c>
      <c r="L345" s="23" t="s">
        <v>33</v>
      </c>
      <c r="M345" s="25">
        <v>11</v>
      </c>
      <c r="N345">
        <f t="shared" si="5"/>
        <v>0</v>
      </c>
    </row>
    <row r="346" spans="1:14" x14ac:dyDescent="0.35">
      <c r="A346" s="6" t="s">
        <v>416</v>
      </c>
      <c r="B346" s="19" t="s">
        <v>130</v>
      </c>
      <c r="C346" s="19">
        <v>7</v>
      </c>
      <c r="D346" s="20">
        <v>45866</v>
      </c>
      <c r="E346" s="19" t="s">
        <v>25</v>
      </c>
      <c r="F346" s="19" t="s">
        <v>40</v>
      </c>
      <c r="G346" s="19" t="s">
        <v>21</v>
      </c>
      <c r="H346" s="19" t="s">
        <v>22</v>
      </c>
      <c r="I346" s="19">
        <v>48</v>
      </c>
      <c r="J346" s="19"/>
      <c r="K346" s="19">
        <v>4</v>
      </c>
      <c r="L346" s="19" t="s">
        <v>55</v>
      </c>
      <c r="M346" s="21">
        <v>10</v>
      </c>
      <c r="N346">
        <f t="shared" si="5"/>
        <v>1</v>
      </c>
    </row>
    <row r="347" spans="1:14" x14ac:dyDescent="0.35">
      <c r="A347" s="22" t="s">
        <v>417</v>
      </c>
      <c r="B347" s="23" t="s">
        <v>143</v>
      </c>
      <c r="C347" s="23">
        <v>11</v>
      </c>
      <c r="D347" s="24">
        <v>45966</v>
      </c>
      <c r="E347" s="23" t="s">
        <v>68</v>
      </c>
      <c r="F347" s="23" t="s">
        <v>43</v>
      </c>
      <c r="G347" s="23" t="s">
        <v>27</v>
      </c>
      <c r="H347" s="23" t="s">
        <v>28</v>
      </c>
      <c r="I347" s="23">
        <v>72</v>
      </c>
      <c r="J347" s="23">
        <v>0</v>
      </c>
      <c r="K347" s="23">
        <v>5</v>
      </c>
      <c r="L347" s="23" t="s">
        <v>55</v>
      </c>
      <c r="M347" s="25">
        <v>1.5</v>
      </c>
      <c r="N347">
        <f t="shared" si="5"/>
        <v>1</v>
      </c>
    </row>
    <row r="348" spans="1:14" x14ac:dyDescent="0.35">
      <c r="A348" s="6" t="s">
        <v>418</v>
      </c>
      <c r="B348" s="19" t="s">
        <v>87</v>
      </c>
      <c r="C348" s="19">
        <v>1</v>
      </c>
      <c r="D348" s="20">
        <v>45658</v>
      </c>
      <c r="E348" s="19" t="s">
        <v>68</v>
      </c>
      <c r="F348" s="19" t="s">
        <v>26</v>
      </c>
      <c r="G348" s="19" t="s">
        <v>27</v>
      </c>
      <c r="H348" s="19" t="s">
        <v>22</v>
      </c>
      <c r="I348" s="19">
        <v>72</v>
      </c>
      <c r="J348" s="19">
        <v>0</v>
      </c>
      <c r="K348" s="19">
        <v>4</v>
      </c>
      <c r="L348" s="19" t="s">
        <v>75</v>
      </c>
      <c r="M348" s="21">
        <v>17.899999999999999</v>
      </c>
      <c r="N348">
        <f t="shared" si="5"/>
        <v>1</v>
      </c>
    </row>
    <row r="349" spans="1:14" x14ac:dyDescent="0.35">
      <c r="A349" s="22" t="s">
        <v>419</v>
      </c>
      <c r="B349" s="23" t="s">
        <v>108</v>
      </c>
      <c r="C349" s="23">
        <v>5</v>
      </c>
      <c r="D349" s="24">
        <v>45779</v>
      </c>
      <c r="E349" s="23" t="s">
        <v>25</v>
      </c>
      <c r="F349" s="23" t="s">
        <v>8364</v>
      </c>
      <c r="G349" s="23" t="s">
        <v>21</v>
      </c>
      <c r="H349" s="23" t="s">
        <v>28</v>
      </c>
      <c r="I349" s="23">
        <v>4</v>
      </c>
      <c r="J349" s="23">
        <v>0</v>
      </c>
      <c r="K349" s="23">
        <v>5</v>
      </c>
      <c r="L349" s="23" t="s">
        <v>55</v>
      </c>
      <c r="M349" s="25">
        <v>4.3</v>
      </c>
      <c r="N349">
        <f t="shared" si="5"/>
        <v>0</v>
      </c>
    </row>
    <row r="350" spans="1:14" x14ac:dyDescent="0.35">
      <c r="A350" s="6" t="s">
        <v>420</v>
      </c>
      <c r="B350" s="19" t="s">
        <v>97</v>
      </c>
      <c r="C350" s="19">
        <v>4</v>
      </c>
      <c r="D350" s="20">
        <v>45751</v>
      </c>
      <c r="E350" s="19" t="s">
        <v>13</v>
      </c>
      <c r="F350" s="19" t="s">
        <v>14</v>
      </c>
      <c r="G350" s="19" t="s">
        <v>21</v>
      </c>
      <c r="H350" s="19" t="s">
        <v>8364</v>
      </c>
      <c r="I350" s="19">
        <v>48</v>
      </c>
      <c r="J350" s="19">
        <v>1</v>
      </c>
      <c r="K350" s="19">
        <v>4</v>
      </c>
      <c r="L350" s="19" t="s">
        <v>55</v>
      </c>
      <c r="M350" s="21">
        <v>12.7</v>
      </c>
      <c r="N350">
        <f t="shared" si="5"/>
        <v>1</v>
      </c>
    </row>
    <row r="351" spans="1:14" x14ac:dyDescent="0.35">
      <c r="A351" s="22" t="s">
        <v>421</v>
      </c>
      <c r="B351" s="23" t="s">
        <v>39</v>
      </c>
      <c r="C351" s="23">
        <v>4</v>
      </c>
      <c r="D351" s="24">
        <v>45763</v>
      </c>
      <c r="E351" s="23" t="s">
        <v>13</v>
      </c>
      <c r="F351" s="23" t="s">
        <v>37</v>
      </c>
      <c r="G351" s="23" t="s">
        <v>15</v>
      </c>
      <c r="H351" s="23" t="s">
        <v>28</v>
      </c>
      <c r="I351" s="23">
        <v>72</v>
      </c>
      <c r="J351" s="23">
        <v>0</v>
      </c>
      <c r="K351" s="23">
        <v>5</v>
      </c>
      <c r="L351" s="23" t="s">
        <v>17</v>
      </c>
      <c r="M351" s="25">
        <v>9.5</v>
      </c>
      <c r="N351">
        <f t="shared" si="5"/>
        <v>1</v>
      </c>
    </row>
    <row r="352" spans="1:14" x14ac:dyDescent="0.35">
      <c r="A352" s="6" t="s">
        <v>422</v>
      </c>
      <c r="B352" s="19" t="s">
        <v>126</v>
      </c>
      <c r="C352" s="19">
        <v>8</v>
      </c>
      <c r="D352" s="20">
        <v>45876</v>
      </c>
      <c r="E352" s="19" t="s">
        <v>68</v>
      </c>
      <c r="F352" s="19" t="s">
        <v>14</v>
      </c>
      <c r="G352" s="19" t="s">
        <v>21</v>
      </c>
      <c r="H352" s="19" t="s">
        <v>8364</v>
      </c>
      <c r="I352" s="19">
        <v>48</v>
      </c>
      <c r="J352" s="19">
        <v>0</v>
      </c>
      <c r="K352" s="19">
        <v>5</v>
      </c>
      <c r="L352" s="19" t="s">
        <v>44</v>
      </c>
      <c r="M352" s="21">
        <v>11.1</v>
      </c>
      <c r="N352">
        <f t="shared" si="5"/>
        <v>1</v>
      </c>
    </row>
    <row r="353" spans="1:14" x14ac:dyDescent="0.35">
      <c r="A353" s="22" t="s">
        <v>423</v>
      </c>
      <c r="B353" s="23" t="s">
        <v>51</v>
      </c>
      <c r="C353" s="23">
        <v>6</v>
      </c>
      <c r="D353" s="24">
        <v>45814</v>
      </c>
      <c r="E353" s="23" t="s">
        <v>8364</v>
      </c>
      <c r="F353" s="23" t="s">
        <v>43</v>
      </c>
      <c r="G353" s="23" t="s">
        <v>21</v>
      </c>
      <c r="H353" s="23" t="s">
        <v>8364</v>
      </c>
      <c r="I353" s="23">
        <v>24</v>
      </c>
      <c r="J353" s="23">
        <v>0</v>
      </c>
      <c r="K353" s="23">
        <v>4</v>
      </c>
      <c r="L353" s="23" t="s">
        <v>17</v>
      </c>
      <c r="M353" s="25">
        <v>7.4</v>
      </c>
      <c r="N353">
        <f t="shared" si="5"/>
        <v>1</v>
      </c>
    </row>
    <row r="354" spans="1:14" x14ac:dyDescent="0.35">
      <c r="A354" s="6" t="s">
        <v>424</v>
      </c>
      <c r="B354" s="19" t="s">
        <v>81</v>
      </c>
      <c r="C354" s="19">
        <v>7</v>
      </c>
      <c r="D354" s="20">
        <v>45844</v>
      </c>
      <c r="E354" s="19" t="s">
        <v>13</v>
      </c>
      <c r="F354" s="19" t="s">
        <v>37</v>
      </c>
      <c r="G354" s="19" t="s">
        <v>15</v>
      </c>
      <c r="H354" s="19" t="s">
        <v>32</v>
      </c>
      <c r="I354" s="19">
        <v>72</v>
      </c>
      <c r="J354" s="19">
        <v>0</v>
      </c>
      <c r="K354" s="19">
        <v>4</v>
      </c>
      <c r="L354" s="19" t="s">
        <v>8363</v>
      </c>
      <c r="M354" s="21">
        <v>10.5</v>
      </c>
      <c r="N354">
        <f t="shared" si="5"/>
        <v>1</v>
      </c>
    </row>
    <row r="355" spans="1:14" x14ac:dyDescent="0.35">
      <c r="A355" s="22" t="s">
        <v>425</v>
      </c>
      <c r="B355" s="23" t="s">
        <v>49</v>
      </c>
      <c r="C355" s="23">
        <v>7</v>
      </c>
      <c r="D355" s="24">
        <v>45857</v>
      </c>
      <c r="E355" s="23" t="s">
        <v>68</v>
      </c>
      <c r="F355" s="23" t="s">
        <v>8364</v>
      </c>
      <c r="G355" s="23" t="s">
        <v>21</v>
      </c>
      <c r="H355" s="23" t="s">
        <v>28</v>
      </c>
      <c r="I355" s="23">
        <v>48</v>
      </c>
      <c r="J355" s="23">
        <v>0</v>
      </c>
      <c r="K355" s="23">
        <v>4</v>
      </c>
      <c r="L355" s="23" t="s">
        <v>75</v>
      </c>
      <c r="M355" s="25">
        <v>10.7</v>
      </c>
      <c r="N355">
        <f t="shared" si="5"/>
        <v>1</v>
      </c>
    </row>
    <row r="356" spans="1:14" x14ac:dyDescent="0.35">
      <c r="A356" s="6" t="s">
        <v>426</v>
      </c>
      <c r="B356" s="19" t="s">
        <v>53</v>
      </c>
      <c r="C356" s="19">
        <v>9</v>
      </c>
      <c r="D356" s="20">
        <v>45912</v>
      </c>
      <c r="E356" s="19" t="s">
        <v>25</v>
      </c>
      <c r="F356" s="19" t="s">
        <v>37</v>
      </c>
      <c r="G356" s="19" t="s">
        <v>21</v>
      </c>
      <c r="H356" s="19" t="s">
        <v>8364</v>
      </c>
      <c r="I356" s="19">
        <v>48</v>
      </c>
      <c r="J356" s="19">
        <v>0</v>
      </c>
      <c r="K356" s="19">
        <v>4</v>
      </c>
      <c r="L356" s="19" t="s">
        <v>8363</v>
      </c>
      <c r="M356" s="21">
        <v>23.2</v>
      </c>
      <c r="N356">
        <f t="shared" si="5"/>
        <v>1</v>
      </c>
    </row>
    <row r="357" spans="1:14" x14ac:dyDescent="0.35">
      <c r="A357" s="22" t="s">
        <v>427</v>
      </c>
      <c r="B357" s="23" t="s">
        <v>18</v>
      </c>
      <c r="C357" s="23">
        <v>1</v>
      </c>
      <c r="D357" s="24">
        <v>45682</v>
      </c>
      <c r="E357" s="23" t="s">
        <v>25</v>
      </c>
      <c r="F357" s="23" t="s">
        <v>26</v>
      </c>
      <c r="G357" s="23" t="s">
        <v>15</v>
      </c>
      <c r="H357" s="23" t="s">
        <v>28</v>
      </c>
      <c r="I357" s="23">
        <v>72</v>
      </c>
      <c r="J357" s="23">
        <v>3</v>
      </c>
      <c r="K357" s="23">
        <v>5</v>
      </c>
      <c r="L357" s="23" t="s">
        <v>38</v>
      </c>
      <c r="M357" s="25">
        <v>5.2</v>
      </c>
      <c r="N357">
        <f t="shared" si="5"/>
        <v>1</v>
      </c>
    </row>
    <row r="358" spans="1:14" x14ac:dyDescent="0.35">
      <c r="A358" s="6" t="s">
        <v>428</v>
      </c>
      <c r="B358" s="19" t="s">
        <v>89</v>
      </c>
      <c r="C358" s="19"/>
      <c r="D358" s="20"/>
      <c r="E358" s="19" t="s">
        <v>68</v>
      </c>
      <c r="F358" s="19" t="s">
        <v>43</v>
      </c>
      <c r="G358" s="19" t="s">
        <v>8364</v>
      </c>
      <c r="H358" s="19" t="s">
        <v>22</v>
      </c>
      <c r="I358" s="19">
        <v>4</v>
      </c>
      <c r="J358" s="19">
        <v>0</v>
      </c>
      <c r="K358" s="19">
        <v>3</v>
      </c>
      <c r="L358" s="19" t="s">
        <v>8363</v>
      </c>
      <c r="M358" s="21">
        <v>9.6999999999999993</v>
      </c>
      <c r="N358">
        <f t="shared" si="5"/>
        <v>0</v>
      </c>
    </row>
    <row r="359" spans="1:14" x14ac:dyDescent="0.35">
      <c r="A359" s="22" t="s">
        <v>429</v>
      </c>
      <c r="B359" s="23" t="s">
        <v>158</v>
      </c>
      <c r="C359" s="23">
        <v>9</v>
      </c>
      <c r="D359" s="24">
        <v>45911</v>
      </c>
      <c r="E359" s="23" t="s">
        <v>20</v>
      </c>
      <c r="F359" s="23" t="s">
        <v>40</v>
      </c>
      <c r="G359" s="23" t="s">
        <v>31</v>
      </c>
      <c r="H359" s="23" t="s">
        <v>28</v>
      </c>
      <c r="I359" s="23">
        <v>4</v>
      </c>
      <c r="J359" s="23">
        <v>0</v>
      </c>
      <c r="K359" s="23">
        <v>5</v>
      </c>
      <c r="L359" s="23" t="s">
        <v>8363</v>
      </c>
      <c r="M359" s="25">
        <v>3.6</v>
      </c>
      <c r="N359">
        <f t="shared" si="5"/>
        <v>1</v>
      </c>
    </row>
    <row r="360" spans="1:14" x14ac:dyDescent="0.35">
      <c r="A360" s="6" t="s">
        <v>430</v>
      </c>
      <c r="B360" s="19" t="s">
        <v>130</v>
      </c>
      <c r="C360" s="19">
        <v>9</v>
      </c>
      <c r="D360" s="20">
        <v>45919</v>
      </c>
      <c r="E360" s="19" t="s">
        <v>25</v>
      </c>
      <c r="F360" s="19" t="s">
        <v>14</v>
      </c>
      <c r="G360" s="19" t="s">
        <v>31</v>
      </c>
      <c r="H360" s="19" t="s">
        <v>16</v>
      </c>
      <c r="I360" s="19">
        <v>48</v>
      </c>
      <c r="J360" s="19">
        <v>1</v>
      </c>
      <c r="K360" s="19">
        <v>4</v>
      </c>
      <c r="L360" s="19" t="s">
        <v>75</v>
      </c>
      <c r="M360" s="21">
        <v>4.0999999999999996</v>
      </c>
      <c r="N360">
        <f t="shared" si="5"/>
        <v>1</v>
      </c>
    </row>
    <row r="361" spans="1:14" x14ac:dyDescent="0.35">
      <c r="A361" s="22" t="s">
        <v>431</v>
      </c>
      <c r="B361" s="23" t="s">
        <v>47</v>
      </c>
      <c r="C361" s="23">
        <v>1</v>
      </c>
      <c r="D361" s="24">
        <v>45687</v>
      </c>
      <c r="E361" s="23" t="s">
        <v>25</v>
      </c>
      <c r="F361" s="23" t="s">
        <v>8364</v>
      </c>
      <c r="G361" s="23" t="s">
        <v>27</v>
      </c>
      <c r="H361" s="23" t="s">
        <v>22</v>
      </c>
      <c r="I361" s="23">
        <v>8</v>
      </c>
      <c r="J361" s="23">
        <v>1</v>
      </c>
      <c r="K361" s="23">
        <v>5</v>
      </c>
      <c r="L361" s="23" t="s">
        <v>8363</v>
      </c>
      <c r="M361" s="25">
        <v>26.4</v>
      </c>
      <c r="N361">
        <f t="shared" si="5"/>
        <v>0</v>
      </c>
    </row>
    <row r="362" spans="1:14" x14ac:dyDescent="0.35">
      <c r="A362" s="6" t="s">
        <v>432</v>
      </c>
      <c r="B362" s="19" t="s">
        <v>92</v>
      </c>
      <c r="C362" s="19">
        <v>2</v>
      </c>
      <c r="D362" s="20">
        <v>45703</v>
      </c>
      <c r="E362" s="19" t="s">
        <v>25</v>
      </c>
      <c r="F362" s="19" t="s">
        <v>43</v>
      </c>
      <c r="G362" s="19" t="s">
        <v>31</v>
      </c>
      <c r="H362" s="19" t="s">
        <v>22</v>
      </c>
      <c r="I362" s="19">
        <v>48</v>
      </c>
      <c r="J362" s="19">
        <v>0</v>
      </c>
      <c r="K362" s="19">
        <v>2</v>
      </c>
      <c r="L362" s="19" t="s">
        <v>55</v>
      </c>
      <c r="M362" s="21">
        <v>17.7</v>
      </c>
      <c r="N362">
        <f t="shared" si="5"/>
        <v>1</v>
      </c>
    </row>
    <row r="363" spans="1:14" x14ac:dyDescent="0.35">
      <c r="A363" s="22" t="s">
        <v>433</v>
      </c>
      <c r="B363" s="23" t="s">
        <v>65</v>
      </c>
      <c r="C363" s="23">
        <v>10</v>
      </c>
      <c r="D363" s="24">
        <v>45951</v>
      </c>
      <c r="E363" s="23" t="s">
        <v>13</v>
      </c>
      <c r="F363" s="23" t="s">
        <v>40</v>
      </c>
      <c r="G363" s="23" t="s">
        <v>21</v>
      </c>
      <c r="H363" s="23" t="s">
        <v>32</v>
      </c>
      <c r="I363" s="23">
        <v>4</v>
      </c>
      <c r="J363" s="23">
        <v>0</v>
      </c>
      <c r="K363" s="23">
        <v>3</v>
      </c>
      <c r="L363" s="23" t="s">
        <v>38</v>
      </c>
      <c r="M363" s="25">
        <v>10.8</v>
      </c>
      <c r="N363">
        <f t="shared" si="5"/>
        <v>0</v>
      </c>
    </row>
    <row r="364" spans="1:14" x14ac:dyDescent="0.35">
      <c r="A364" s="6" t="s">
        <v>434</v>
      </c>
      <c r="B364" s="19" t="s">
        <v>23</v>
      </c>
      <c r="C364" s="19">
        <v>5</v>
      </c>
      <c r="D364" s="20">
        <v>45787</v>
      </c>
      <c r="E364" s="19" t="s">
        <v>13</v>
      </c>
      <c r="F364" s="19" t="s">
        <v>59</v>
      </c>
      <c r="G364" s="19" t="s">
        <v>8364</v>
      </c>
      <c r="H364" s="19" t="s">
        <v>28</v>
      </c>
      <c r="I364" s="19">
        <v>4</v>
      </c>
      <c r="J364" s="19">
        <v>0</v>
      </c>
      <c r="K364" s="19">
        <v>5</v>
      </c>
      <c r="L364" s="19" t="s">
        <v>55</v>
      </c>
      <c r="M364" s="21">
        <v>4</v>
      </c>
      <c r="N364">
        <f t="shared" si="5"/>
        <v>1</v>
      </c>
    </row>
    <row r="365" spans="1:14" x14ac:dyDescent="0.35">
      <c r="A365" s="22" t="s">
        <v>435</v>
      </c>
      <c r="B365" s="23" t="s">
        <v>81</v>
      </c>
      <c r="C365" s="23">
        <v>3</v>
      </c>
      <c r="D365" s="24">
        <v>45718</v>
      </c>
      <c r="E365" s="23" t="s">
        <v>8364</v>
      </c>
      <c r="F365" s="23" t="s">
        <v>14</v>
      </c>
      <c r="G365" s="23" t="s">
        <v>27</v>
      </c>
      <c r="H365" s="23" t="s">
        <v>28</v>
      </c>
      <c r="I365" s="23">
        <v>24</v>
      </c>
      <c r="J365" s="23">
        <v>0</v>
      </c>
      <c r="K365" s="23">
        <v>3</v>
      </c>
      <c r="L365" s="23" t="s">
        <v>75</v>
      </c>
      <c r="M365" s="25">
        <v>8.1999999999999993</v>
      </c>
      <c r="N365">
        <f t="shared" si="5"/>
        <v>1</v>
      </c>
    </row>
    <row r="366" spans="1:14" x14ac:dyDescent="0.35">
      <c r="A366" s="6" t="s">
        <v>436</v>
      </c>
      <c r="B366" s="19" t="s">
        <v>81</v>
      </c>
      <c r="C366" s="19">
        <v>7</v>
      </c>
      <c r="D366" s="20">
        <v>45868</v>
      </c>
      <c r="E366" s="19" t="s">
        <v>25</v>
      </c>
      <c r="F366" s="19" t="s">
        <v>26</v>
      </c>
      <c r="G366" s="19" t="s">
        <v>21</v>
      </c>
      <c r="H366" s="19" t="s">
        <v>22</v>
      </c>
      <c r="I366" s="19">
        <v>4</v>
      </c>
      <c r="J366" s="19">
        <v>0</v>
      </c>
      <c r="K366" s="19">
        <v>5</v>
      </c>
      <c r="L366" s="19" t="s">
        <v>33</v>
      </c>
      <c r="M366" s="21">
        <v>7.8</v>
      </c>
      <c r="N366">
        <f t="shared" si="5"/>
        <v>0</v>
      </c>
    </row>
    <row r="367" spans="1:14" x14ac:dyDescent="0.35">
      <c r="A367" s="22" t="s">
        <v>437</v>
      </c>
      <c r="B367" s="23" t="s">
        <v>158</v>
      </c>
      <c r="C367" s="23">
        <v>10</v>
      </c>
      <c r="D367" s="24">
        <v>45948</v>
      </c>
      <c r="E367" s="23" t="s">
        <v>36</v>
      </c>
      <c r="F367" s="23" t="s">
        <v>26</v>
      </c>
      <c r="G367" s="23" t="s">
        <v>21</v>
      </c>
      <c r="H367" s="23" t="s">
        <v>22</v>
      </c>
      <c r="I367" s="23">
        <v>24</v>
      </c>
      <c r="J367" s="23">
        <v>0</v>
      </c>
      <c r="K367" s="23">
        <v>4</v>
      </c>
      <c r="L367" s="23" t="s">
        <v>38</v>
      </c>
      <c r="M367" s="25">
        <v>8.3000000000000007</v>
      </c>
      <c r="N367">
        <f t="shared" si="5"/>
        <v>1</v>
      </c>
    </row>
    <row r="368" spans="1:14" x14ac:dyDescent="0.35">
      <c r="A368" s="6" t="s">
        <v>438</v>
      </c>
      <c r="B368" s="19" t="s">
        <v>85</v>
      </c>
      <c r="C368" s="19">
        <v>4</v>
      </c>
      <c r="D368" s="20">
        <v>45771</v>
      </c>
      <c r="E368" s="19" t="s">
        <v>13</v>
      </c>
      <c r="F368" s="19" t="s">
        <v>43</v>
      </c>
      <c r="G368" s="19" t="s">
        <v>15</v>
      </c>
      <c r="H368" s="19" t="s">
        <v>22</v>
      </c>
      <c r="I368" s="19">
        <v>8</v>
      </c>
      <c r="J368" s="19">
        <v>0</v>
      </c>
      <c r="K368" s="19"/>
      <c r="L368" s="19" t="s">
        <v>75</v>
      </c>
      <c r="M368" s="21">
        <v>8.9</v>
      </c>
      <c r="N368">
        <f t="shared" si="5"/>
        <v>0</v>
      </c>
    </row>
    <row r="369" spans="1:14" x14ac:dyDescent="0.35">
      <c r="A369" s="22" t="s">
        <v>439</v>
      </c>
      <c r="B369" s="23" t="s">
        <v>89</v>
      </c>
      <c r="C369" s="23">
        <v>2</v>
      </c>
      <c r="D369" s="24">
        <v>45692</v>
      </c>
      <c r="E369" s="23" t="s">
        <v>25</v>
      </c>
      <c r="F369" s="23" t="s">
        <v>26</v>
      </c>
      <c r="G369" s="23" t="s">
        <v>27</v>
      </c>
      <c r="H369" s="23" t="s">
        <v>8364</v>
      </c>
      <c r="I369" s="23">
        <v>48</v>
      </c>
      <c r="J369" s="23">
        <v>0</v>
      </c>
      <c r="K369" s="23"/>
      <c r="L369" s="23" t="s">
        <v>17</v>
      </c>
      <c r="M369" s="25">
        <v>23.4</v>
      </c>
      <c r="N369">
        <f t="shared" si="5"/>
        <v>1</v>
      </c>
    </row>
    <row r="370" spans="1:14" x14ac:dyDescent="0.35">
      <c r="A370" s="6" t="s">
        <v>440</v>
      </c>
      <c r="B370" s="19" t="s">
        <v>92</v>
      </c>
      <c r="C370" s="19">
        <v>1</v>
      </c>
      <c r="D370" s="20">
        <v>45687</v>
      </c>
      <c r="E370" s="19" t="s">
        <v>8364</v>
      </c>
      <c r="F370" s="19" t="s">
        <v>14</v>
      </c>
      <c r="G370" s="19" t="s">
        <v>31</v>
      </c>
      <c r="H370" s="19" t="s">
        <v>28</v>
      </c>
      <c r="I370" s="19">
        <v>24</v>
      </c>
      <c r="J370" s="19">
        <v>0</v>
      </c>
      <c r="K370" s="19">
        <v>4</v>
      </c>
      <c r="L370" s="19" t="s">
        <v>75</v>
      </c>
      <c r="M370" s="21">
        <v>11.8</v>
      </c>
      <c r="N370">
        <f t="shared" si="5"/>
        <v>1</v>
      </c>
    </row>
    <row r="371" spans="1:14" x14ac:dyDescent="0.35">
      <c r="A371" s="22" t="s">
        <v>441</v>
      </c>
      <c r="B371" s="23" t="s">
        <v>45</v>
      </c>
      <c r="C371" s="23">
        <v>3</v>
      </c>
      <c r="D371" s="24">
        <v>45730</v>
      </c>
      <c r="E371" s="23" t="s">
        <v>25</v>
      </c>
      <c r="F371" s="23" t="s">
        <v>59</v>
      </c>
      <c r="G371" s="23" t="s">
        <v>8364</v>
      </c>
      <c r="H371" s="23" t="s">
        <v>32</v>
      </c>
      <c r="I371" s="23">
        <v>4</v>
      </c>
      <c r="J371" s="23">
        <v>1</v>
      </c>
      <c r="K371" s="23"/>
      <c r="L371" s="23" t="s">
        <v>17</v>
      </c>
      <c r="M371" s="25"/>
      <c r="N371">
        <f t="shared" si="5"/>
        <v>1</v>
      </c>
    </row>
    <row r="372" spans="1:14" x14ac:dyDescent="0.35">
      <c r="A372" s="6" t="s">
        <v>442</v>
      </c>
      <c r="B372" s="19" t="s">
        <v>47</v>
      </c>
      <c r="C372" s="19">
        <v>10</v>
      </c>
      <c r="D372" s="20">
        <v>45936</v>
      </c>
      <c r="E372" s="19" t="s">
        <v>36</v>
      </c>
      <c r="F372" s="19" t="s">
        <v>40</v>
      </c>
      <c r="G372" s="19" t="s">
        <v>31</v>
      </c>
      <c r="H372" s="19" t="s">
        <v>32</v>
      </c>
      <c r="I372" s="19">
        <v>4</v>
      </c>
      <c r="J372" s="19">
        <v>0</v>
      </c>
      <c r="K372" s="19">
        <v>3</v>
      </c>
      <c r="L372" s="19" t="s">
        <v>17</v>
      </c>
      <c r="M372" s="21">
        <v>11.5</v>
      </c>
      <c r="N372">
        <f t="shared" si="5"/>
        <v>0</v>
      </c>
    </row>
    <row r="373" spans="1:14" x14ac:dyDescent="0.35">
      <c r="A373" s="22" t="s">
        <v>443</v>
      </c>
      <c r="B373" s="23" t="s">
        <v>69</v>
      </c>
      <c r="C373" s="23">
        <v>2</v>
      </c>
      <c r="D373" s="24">
        <v>45707</v>
      </c>
      <c r="E373" s="23" t="s">
        <v>8364</v>
      </c>
      <c r="F373" s="23" t="s">
        <v>43</v>
      </c>
      <c r="G373" s="23" t="s">
        <v>21</v>
      </c>
      <c r="H373" s="23" t="s">
        <v>8364</v>
      </c>
      <c r="I373" s="23">
        <v>72</v>
      </c>
      <c r="J373" s="23">
        <v>1</v>
      </c>
      <c r="K373" s="23">
        <v>5</v>
      </c>
      <c r="L373" s="23" t="s">
        <v>33</v>
      </c>
      <c r="M373" s="25">
        <v>11.3</v>
      </c>
      <c r="N373">
        <f t="shared" si="5"/>
        <v>1</v>
      </c>
    </row>
    <row r="374" spans="1:14" x14ac:dyDescent="0.35">
      <c r="A374" s="6" t="s">
        <v>444</v>
      </c>
      <c r="B374" s="19" t="s">
        <v>89</v>
      </c>
      <c r="C374" s="19"/>
      <c r="D374" s="20"/>
      <c r="E374" s="19" t="s">
        <v>13</v>
      </c>
      <c r="F374" s="19" t="s">
        <v>37</v>
      </c>
      <c r="G374" s="19" t="s">
        <v>21</v>
      </c>
      <c r="H374" s="19" t="s">
        <v>8364</v>
      </c>
      <c r="I374" s="19">
        <v>72</v>
      </c>
      <c r="J374" s="19">
        <v>1</v>
      </c>
      <c r="K374" s="19">
        <v>5</v>
      </c>
      <c r="L374" s="19" t="s">
        <v>62</v>
      </c>
      <c r="M374" s="21">
        <v>16.3</v>
      </c>
      <c r="N374">
        <f t="shared" si="5"/>
        <v>1</v>
      </c>
    </row>
    <row r="375" spans="1:14" x14ac:dyDescent="0.35">
      <c r="A375" s="22" t="s">
        <v>445</v>
      </c>
      <c r="B375" s="23" t="s">
        <v>143</v>
      </c>
      <c r="C375" s="23">
        <v>2</v>
      </c>
      <c r="D375" s="24">
        <v>45699</v>
      </c>
      <c r="E375" s="23" t="s">
        <v>25</v>
      </c>
      <c r="F375" s="23" t="s">
        <v>14</v>
      </c>
      <c r="G375" s="23" t="s">
        <v>21</v>
      </c>
      <c r="H375" s="23" t="s">
        <v>8364</v>
      </c>
      <c r="I375" s="23">
        <v>72</v>
      </c>
      <c r="J375" s="23">
        <v>0</v>
      </c>
      <c r="K375" s="23">
        <v>5</v>
      </c>
      <c r="L375" s="23" t="s">
        <v>75</v>
      </c>
      <c r="M375" s="25">
        <v>16.399999999999999</v>
      </c>
      <c r="N375">
        <f t="shared" si="5"/>
        <v>1</v>
      </c>
    </row>
    <row r="376" spans="1:14" x14ac:dyDescent="0.35">
      <c r="A376" s="6" t="s">
        <v>446</v>
      </c>
      <c r="B376" s="19" t="s">
        <v>143</v>
      </c>
      <c r="C376" s="19">
        <v>8</v>
      </c>
      <c r="D376" s="20">
        <v>45876</v>
      </c>
      <c r="E376" s="19" t="s">
        <v>25</v>
      </c>
      <c r="F376" s="19" t="s">
        <v>8364</v>
      </c>
      <c r="G376" s="19" t="s">
        <v>8364</v>
      </c>
      <c r="H376" s="19" t="s">
        <v>22</v>
      </c>
      <c r="I376" s="19">
        <v>8</v>
      </c>
      <c r="J376" s="19">
        <v>0</v>
      </c>
      <c r="K376" s="19">
        <v>5</v>
      </c>
      <c r="L376" s="19" t="s">
        <v>44</v>
      </c>
      <c r="M376" s="21">
        <v>11.7</v>
      </c>
      <c r="N376">
        <f t="shared" si="5"/>
        <v>0</v>
      </c>
    </row>
    <row r="377" spans="1:14" x14ac:dyDescent="0.35">
      <c r="A377" s="22" t="s">
        <v>447</v>
      </c>
      <c r="B377" s="23" t="s">
        <v>253</v>
      </c>
      <c r="C377" s="23">
        <v>4</v>
      </c>
      <c r="D377" s="24">
        <v>45757</v>
      </c>
      <c r="E377" s="23" t="s">
        <v>25</v>
      </c>
      <c r="F377" s="23" t="s">
        <v>43</v>
      </c>
      <c r="G377" s="23" t="s">
        <v>8364</v>
      </c>
      <c r="H377" s="23" t="s">
        <v>32</v>
      </c>
      <c r="I377" s="23">
        <v>24</v>
      </c>
      <c r="J377" s="23">
        <v>0</v>
      </c>
      <c r="K377" s="23">
        <v>3</v>
      </c>
      <c r="L377" s="23" t="s">
        <v>44</v>
      </c>
      <c r="M377" s="25">
        <v>10.6</v>
      </c>
      <c r="N377">
        <f t="shared" si="5"/>
        <v>1</v>
      </c>
    </row>
    <row r="378" spans="1:14" x14ac:dyDescent="0.35">
      <c r="A378" s="6" t="s">
        <v>448</v>
      </c>
      <c r="B378" s="19" t="s">
        <v>39</v>
      </c>
      <c r="C378" s="19">
        <v>4</v>
      </c>
      <c r="D378" s="20">
        <v>45776</v>
      </c>
      <c r="E378" s="19" t="s">
        <v>13</v>
      </c>
      <c r="F378" s="19" t="s">
        <v>14</v>
      </c>
      <c r="G378" s="19" t="s">
        <v>27</v>
      </c>
      <c r="H378" s="19" t="s">
        <v>22</v>
      </c>
      <c r="I378" s="19">
        <v>72</v>
      </c>
      <c r="J378" s="19">
        <v>0</v>
      </c>
      <c r="K378" s="19">
        <v>5</v>
      </c>
      <c r="L378" s="19" t="s">
        <v>8363</v>
      </c>
      <c r="M378" s="21">
        <v>10.9</v>
      </c>
      <c r="N378">
        <f t="shared" si="5"/>
        <v>1</v>
      </c>
    </row>
    <row r="379" spans="1:14" x14ac:dyDescent="0.35">
      <c r="A379" s="22" t="s">
        <v>449</v>
      </c>
      <c r="B379" s="23" t="s">
        <v>158</v>
      </c>
      <c r="C379" s="23">
        <v>8</v>
      </c>
      <c r="D379" s="24">
        <v>45871</v>
      </c>
      <c r="E379" s="23" t="s">
        <v>68</v>
      </c>
      <c r="F379" s="23" t="s">
        <v>43</v>
      </c>
      <c r="G379" s="23" t="s">
        <v>15</v>
      </c>
      <c r="H379" s="23" t="s">
        <v>22</v>
      </c>
      <c r="I379" s="23">
        <v>72</v>
      </c>
      <c r="J379" s="23">
        <v>0</v>
      </c>
      <c r="K379" s="23">
        <v>5</v>
      </c>
      <c r="L379" s="23" t="s">
        <v>33</v>
      </c>
      <c r="M379" s="25">
        <v>14.5</v>
      </c>
      <c r="N379">
        <f t="shared" si="5"/>
        <v>1</v>
      </c>
    </row>
    <row r="380" spans="1:14" x14ac:dyDescent="0.35">
      <c r="A380" s="6" t="s">
        <v>450</v>
      </c>
      <c r="B380" s="19" t="s">
        <v>47</v>
      </c>
      <c r="C380" s="19">
        <v>1</v>
      </c>
      <c r="D380" s="20">
        <v>45662</v>
      </c>
      <c r="E380" s="19" t="s">
        <v>13</v>
      </c>
      <c r="F380" s="19" t="s">
        <v>59</v>
      </c>
      <c r="G380" s="19" t="s">
        <v>31</v>
      </c>
      <c r="H380" s="19" t="s">
        <v>22</v>
      </c>
      <c r="I380" s="19">
        <v>48</v>
      </c>
      <c r="J380" s="19">
        <v>0</v>
      </c>
      <c r="K380" s="19">
        <v>5</v>
      </c>
      <c r="L380" s="19" t="s">
        <v>33</v>
      </c>
      <c r="M380" s="21">
        <v>11</v>
      </c>
      <c r="N380">
        <f t="shared" si="5"/>
        <v>1</v>
      </c>
    </row>
    <row r="381" spans="1:14" x14ac:dyDescent="0.35">
      <c r="A381" s="22" t="s">
        <v>451</v>
      </c>
      <c r="B381" s="23" t="s">
        <v>130</v>
      </c>
      <c r="C381" s="23">
        <v>2</v>
      </c>
      <c r="D381" s="24">
        <v>45708</v>
      </c>
      <c r="E381" s="23" t="s">
        <v>8364</v>
      </c>
      <c r="F381" s="23" t="s">
        <v>26</v>
      </c>
      <c r="G381" s="23" t="s">
        <v>21</v>
      </c>
      <c r="H381" s="23" t="s">
        <v>28</v>
      </c>
      <c r="I381" s="23">
        <v>72</v>
      </c>
      <c r="J381" s="23">
        <v>0</v>
      </c>
      <c r="K381" s="23">
        <v>5</v>
      </c>
      <c r="L381" s="23" t="s">
        <v>38</v>
      </c>
      <c r="M381" s="25">
        <v>17.899999999999999</v>
      </c>
      <c r="N381">
        <f t="shared" si="5"/>
        <v>1</v>
      </c>
    </row>
    <row r="382" spans="1:14" x14ac:dyDescent="0.35">
      <c r="A382" s="6" t="s">
        <v>452</v>
      </c>
      <c r="B382" s="19" t="s">
        <v>57</v>
      </c>
      <c r="C382" s="19">
        <v>9</v>
      </c>
      <c r="D382" s="20">
        <v>45917</v>
      </c>
      <c r="E382" s="19" t="s">
        <v>25</v>
      </c>
      <c r="F382" s="19" t="s">
        <v>8364</v>
      </c>
      <c r="G382" s="19" t="s">
        <v>21</v>
      </c>
      <c r="H382" s="19" t="s">
        <v>8364</v>
      </c>
      <c r="I382" s="19">
        <v>72</v>
      </c>
      <c r="J382" s="19">
        <v>0</v>
      </c>
      <c r="K382" s="19">
        <v>3</v>
      </c>
      <c r="L382" s="19" t="s">
        <v>8363</v>
      </c>
      <c r="M382" s="21">
        <v>15.3</v>
      </c>
      <c r="N382">
        <f t="shared" si="5"/>
        <v>1</v>
      </c>
    </row>
    <row r="383" spans="1:14" x14ac:dyDescent="0.35">
      <c r="A383" s="22" t="s">
        <v>453</v>
      </c>
      <c r="B383" s="23" t="s">
        <v>49</v>
      </c>
      <c r="C383" s="23">
        <v>2</v>
      </c>
      <c r="D383" s="24">
        <v>45715</v>
      </c>
      <c r="E383" s="23" t="s">
        <v>68</v>
      </c>
      <c r="F383" s="23" t="s">
        <v>26</v>
      </c>
      <c r="G383" s="23" t="s">
        <v>21</v>
      </c>
      <c r="H383" s="23" t="s">
        <v>16</v>
      </c>
      <c r="I383" s="23">
        <v>72</v>
      </c>
      <c r="J383" s="23">
        <v>0</v>
      </c>
      <c r="K383" s="23">
        <v>5</v>
      </c>
      <c r="L383" s="23" t="s">
        <v>55</v>
      </c>
      <c r="M383" s="25">
        <v>10.9</v>
      </c>
      <c r="N383">
        <f t="shared" si="5"/>
        <v>1</v>
      </c>
    </row>
    <row r="384" spans="1:14" x14ac:dyDescent="0.35">
      <c r="A384" s="6" t="s">
        <v>454</v>
      </c>
      <c r="B384" s="19" t="s">
        <v>130</v>
      </c>
      <c r="C384" s="19">
        <v>6</v>
      </c>
      <c r="D384" s="20">
        <v>45820</v>
      </c>
      <c r="E384" s="19" t="s">
        <v>36</v>
      </c>
      <c r="F384" s="19" t="s">
        <v>14</v>
      </c>
      <c r="G384" s="19" t="s">
        <v>15</v>
      </c>
      <c r="H384" s="19" t="s">
        <v>28</v>
      </c>
      <c r="I384" s="19">
        <v>24</v>
      </c>
      <c r="J384" s="19">
        <v>0</v>
      </c>
      <c r="K384" s="19"/>
      <c r="L384" s="19" t="s">
        <v>75</v>
      </c>
      <c r="M384" s="21">
        <v>10.8</v>
      </c>
      <c r="N384">
        <f t="shared" si="5"/>
        <v>1</v>
      </c>
    </row>
    <row r="385" spans="1:14" x14ac:dyDescent="0.35">
      <c r="A385" s="22" t="s">
        <v>455</v>
      </c>
      <c r="B385" s="23" t="s">
        <v>97</v>
      </c>
      <c r="C385" s="23">
        <v>5</v>
      </c>
      <c r="D385" s="24">
        <v>45778</v>
      </c>
      <c r="E385" s="23" t="s">
        <v>13</v>
      </c>
      <c r="F385" s="23" t="s">
        <v>43</v>
      </c>
      <c r="G385" s="23" t="s">
        <v>27</v>
      </c>
      <c r="H385" s="23" t="s">
        <v>22</v>
      </c>
      <c r="I385" s="23">
        <v>8</v>
      </c>
      <c r="J385" s="23">
        <v>0</v>
      </c>
      <c r="K385" s="23">
        <v>1</v>
      </c>
      <c r="L385" s="23" t="s">
        <v>8363</v>
      </c>
      <c r="M385" s="25">
        <v>4.2</v>
      </c>
      <c r="N385">
        <f t="shared" si="5"/>
        <v>1</v>
      </c>
    </row>
    <row r="386" spans="1:14" x14ac:dyDescent="0.35">
      <c r="A386" s="6" t="s">
        <v>456</v>
      </c>
      <c r="B386" s="19" t="s">
        <v>49</v>
      </c>
      <c r="C386" s="19">
        <v>2</v>
      </c>
      <c r="D386" s="20">
        <v>45698</v>
      </c>
      <c r="E386" s="19" t="s">
        <v>13</v>
      </c>
      <c r="F386" s="19" t="s">
        <v>14</v>
      </c>
      <c r="G386" s="19" t="s">
        <v>15</v>
      </c>
      <c r="H386" s="19" t="s">
        <v>8364</v>
      </c>
      <c r="I386" s="19">
        <v>8</v>
      </c>
      <c r="J386" s="19">
        <v>0</v>
      </c>
      <c r="K386" s="19">
        <v>3</v>
      </c>
      <c r="L386" s="19" t="s">
        <v>44</v>
      </c>
      <c r="M386" s="21">
        <v>29.3</v>
      </c>
      <c r="N386">
        <f t="shared" si="5"/>
        <v>0</v>
      </c>
    </row>
    <row r="387" spans="1:14" x14ac:dyDescent="0.35">
      <c r="A387" s="22" t="s">
        <v>457</v>
      </c>
      <c r="B387" s="23" t="s">
        <v>89</v>
      </c>
      <c r="C387" s="23">
        <v>6</v>
      </c>
      <c r="D387" s="24">
        <v>45825</v>
      </c>
      <c r="E387" s="23" t="s">
        <v>25</v>
      </c>
      <c r="F387" s="23" t="s">
        <v>43</v>
      </c>
      <c r="G387" s="23" t="s">
        <v>27</v>
      </c>
      <c r="H387" s="23" t="s">
        <v>22</v>
      </c>
      <c r="I387" s="23">
        <v>8</v>
      </c>
      <c r="J387" s="23">
        <v>0</v>
      </c>
      <c r="K387" s="23"/>
      <c r="L387" s="23" t="s">
        <v>62</v>
      </c>
      <c r="M387" s="25">
        <v>13.6</v>
      </c>
      <c r="N387">
        <f t="shared" ref="N387:N450" si="6">IF(M387 &lt;= I387, 1, 0)</f>
        <v>0</v>
      </c>
    </row>
    <row r="388" spans="1:14" x14ac:dyDescent="0.35">
      <c r="A388" s="6" t="s">
        <v>458</v>
      </c>
      <c r="B388" s="19" t="s">
        <v>49</v>
      </c>
      <c r="C388" s="19">
        <v>10</v>
      </c>
      <c r="D388" s="20">
        <v>45954</v>
      </c>
      <c r="E388" s="19" t="s">
        <v>36</v>
      </c>
      <c r="F388" s="19" t="s">
        <v>14</v>
      </c>
      <c r="G388" s="19" t="s">
        <v>31</v>
      </c>
      <c r="H388" s="19" t="s">
        <v>28</v>
      </c>
      <c r="I388" s="19">
        <v>4</v>
      </c>
      <c r="J388" s="19">
        <v>0</v>
      </c>
      <c r="K388" s="19">
        <v>3</v>
      </c>
      <c r="L388" s="19" t="s">
        <v>17</v>
      </c>
      <c r="M388" s="21">
        <v>4.8</v>
      </c>
      <c r="N388">
        <f t="shared" si="6"/>
        <v>0</v>
      </c>
    </row>
    <row r="389" spans="1:14" x14ac:dyDescent="0.35">
      <c r="A389" s="22" t="s">
        <v>459</v>
      </c>
      <c r="B389" s="23" t="s">
        <v>69</v>
      </c>
      <c r="C389" s="23">
        <v>3</v>
      </c>
      <c r="D389" s="24">
        <v>45722</v>
      </c>
      <c r="E389" s="23" t="s">
        <v>68</v>
      </c>
      <c r="F389" s="23" t="s">
        <v>8364</v>
      </c>
      <c r="G389" s="23" t="s">
        <v>31</v>
      </c>
      <c r="H389" s="23" t="s">
        <v>22</v>
      </c>
      <c r="I389" s="23">
        <v>8</v>
      </c>
      <c r="J389" s="23">
        <v>0</v>
      </c>
      <c r="K389" s="23">
        <v>3</v>
      </c>
      <c r="L389" s="23" t="s">
        <v>8363</v>
      </c>
      <c r="M389" s="25">
        <v>24.8</v>
      </c>
      <c r="N389">
        <f t="shared" si="6"/>
        <v>0</v>
      </c>
    </row>
    <row r="390" spans="1:14" x14ac:dyDescent="0.35">
      <c r="A390" s="6" t="s">
        <v>460</v>
      </c>
      <c r="B390" s="19" t="s">
        <v>47</v>
      </c>
      <c r="C390" s="19">
        <v>10</v>
      </c>
      <c r="D390" s="20">
        <v>45953</v>
      </c>
      <c r="E390" s="19" t="s">
        <v>25</v>
      </c>
      <c r="F390" s="19" t="s">
        <v>37</v>
      </c>
      <c r="G390" s="19" t="s">
        <v>27</v>
      </c>
      <c r="H390" s="19" t="s">
        <v>32</v>
      </c>
      <c r="I390" s="19">
        <v>72</v>
      </c>
      <c r="J390" s="19">
        <v>1</v>
      </c>
      <c r="K390" s="19">
        <v>2</v>
      </c>
      <c r="L390" s="19" t="s">
        <v>8363</v>
      </c>
      <c r="M390" s="21">
        <v>13.5</v>
      </c>
      <c r="N390">
        <f t="shared" si="6"/>
        <v>1</v>
      </c>
    </row>
    <row r="391" spans="1:14" x14ac:dyDescent="0.35">
      <c r="A391" s="22" t="s">
        <v>461</v>
      </c>
      <c r="B391" s="23" t="s">
        <v>236</v>
      </c>
      <c r="C391" s="23">
        <v>11</v>
      </c>
      <c r="D391" s="24">
        <v>45964</v>
      </c>
      <c r="E391" s="23" t="s">
        <v>68</v>
      </c>
      <c r="F391" s="23" t="s">
        <v>40</v>
      </c>
      <c r="G391" s="23" t="s">
        <v>27</v>
      </c>
      <c r="H391" s="23" t="s">
        <v>8364</v>
      </c>
      <c r="I391" s="23">
        <v>72</v>
      </c>
      <c r="J391" s="23">
        <v>2</v>
      </c>
      <c r="K391" s="23">
        <v>4</v>
      </c>
      <c r="L391" s="23" t="s">
        <v>55</v>
      </c>
      <c r="M391" s="25"/>
      <c r="N391">
        <f t="shared" si="6"/>
        <v>1</v>
      </c>
    </row>
    <row r="392" spans="1:14" x14ac:dyDescent="0.35">
      <c r="A392" s="6" t="s">
        <v>462</v>
      </c>
      <c r="B392" s="19" t="s">
        <v>78</v>
      </c>
      <c r="C392" s="19">
        <v>6</v>
      </c>
      <c r="D392" s="20">
        <v>45828</v>
      </c>
      <c r="E392" s="19" t="s">
        <v>8364</v>
      </c>
      <c r="F392" s="19" t="s">
        <v>37</v>
      </c>
      <c r="G392" s="19" t="s">
        <v>31</v>
      </c>
      <c r="H392" s="19" t="s">
        <v>22</v>
      </c>
      <c r="I392" s="19">
        <v>24</v>
      </c>
      <c r="J392" s="19">
        <v>1</v>
      </c>
      <c r="K392" s="19">
        <v>5</v>
      </c>
      <c r="L392" s="19" t="s">
        <v>75</v>
      </c>
      <c r="M392" s="21">
        <v>20.100000000000001</v>
      </c>
      <c r="N392">
        <f t="shared" si="6"/>
        <v>1</v>
      </c>
    </row>
    <row r="393" spans="1:14" x14ac:dyDescent="0.35">
      <c r="A393" s="22" t="s">
        <v>463</v>
      </c>
      <c r="B393" s="23" t="s">
        <v>69</v>
      </c>
      <c r="C393" s="23">
        <v>7</v>
      </c>
      <c r="D393" s="24">
        <v>45840</v>
      </c>
      <c r="E393" s="23" t="s">
        <v>13</v>
      </c>
      <c r="F393" s="23" t="s">
        <v>43</v>
      </c>
      <c r="G393" s="23" t="s">
        <v>15</v>
      </c>
      <c r="H393" s="23" t="s">
        <v>28</v>
      </c>
      <c r="I393" s="23">
        <v>72</v>
      </c>
      <c r="J393" s="23">
        <v>0</v>
      </c>
      <c r="K393" s="23">
        <v>5</v>
      </c>
      <c r="L393" s="23" t="s">
        <v>55</v>
      </c>
      <c r="M393" s="25">
        <v>30.9</v>
      </c>
      <c r="N393">
        <f t="shared" si="6"/>
        <v>1</v>
      </c>
    </row>
    <row r="394" spans="1:14" x14ac:dyDescent="0.35">
      <c r="A394" s="6" t="s">
        <v>464</v>
      </c>
      <c r="B394" s="19" t="s">
        <v>146</v>
      </c>
      <c r="C394" s="19">
        <v>3</v>
      </c>
      <c r="D394" s="20">
        <v>45723</v>
      </c>
      <c r="E394" s="19" t="s">
        <v>25</v>
      </c>
      <c r="F394" s="19" t="s">
        <v>14</v>
      </c>
      <c r="G394" s="19" t="s">
        <v>31</v>
      </c>
      <c r="H394" s="19" t="s">
        <v>32</v>
      </c>
      <c r="I394" s="19">
        <v>48</v>
      </c>
      <c r="J394" s="19">
        <v>3</v>
      </c>
      <c r="K394" s="19">
        <v>5</v>
      </c>
      <c r="L394" s="19" t="s">
        <v>44</v>
      </c>
      <c r="M394" s="21">
        <v>21</v>
      </c>
      <c r="N394">
        <f t="shared" si="6"/>
        <v>1</v>
      </c>
    </row>
    <row r="395" spans="1:14" x14ac:dyDescent="0.35">
      <c r="A395" s="22" t="s">
        <v>465</v>
      </c>
      <c r="B395" s="23" t="s">
        <v>89</v>
      </c>
      <c r="C395" s="23">
        <v>7</v>
      </c>
      <c r="D395" s="24">
        <v>45854</v>
      </c>
      <c r="E395" s="23" t="s">
        <v>13</v>
      </c>
      <c r="F395" s="23" t="s">
        <v>37</v>
      </c>
      <c r="G395" s="23" t="s">
        <v>31</v>
      </c>
      <c r="H395" s="23" t="s">
        <v>22</v>
      </c>
      <c r="I395" s="23">
        <v>4</v>
      </c>
      <c r="J395" s="23">
        <v>0</v>
      </c>
      <c r="K395" s="23">
        <v>3</v>
      </c>
      <c r="L395" s="23" t="s">
        <v>75</v>
      </c>
      <c r="M395" s="25">
        <v>25.7</v>
      </c>
      <c r="N395">
        <f t="shared" si="6"/>
        <v>0</v>
      </c>
    </row>
    <row r="396" spans="1:14" x14ac:dyDescent="0.35">
      <c r="A396" s="6" t="s">
        <v>466</v>
      </c>
      <c r="B396" s="19" t="s">
        <v>108</v>
      </c>
      <c r="C396" s="19">
        <v>5</v>
      </c>
      <c r="D396" s="20">
        <v>45801</v>
      </c>
      <c r="E396" s="19" t="s">
        <v>8364</v>
      </c>
      <c r="F396" s="19" t="s">
        <v>26</v>
      </c>
      <c r="G396" s="19" t="s">
        <v>31</v>
      </c>
      <c r="H396" s="19" t="s">
        <v>8364</v>
      </c>
      <c r="I396" s="19">
        <v>8</v>
      </c>
      <c r="J396" s="19">
        <v>0</v>
      </c>
      <c r="K396" s="19">
        <v>4</v>
      </c>
      <c r="L396" s="19" t="s">
        <v>55</v>
      </c>
      <c r="M396" s="21">
        <v>11.4</v>
      </c>
      <c r="N396">
        <f t="shared" si="6"/>
        <v>0</v>
      </c>
    </row>
    <row r="397" spans="1:14" x14ac:dyDescent="0.35">
      <c r="A397" s="22" t="s">
        <v>467</v>
      </c>
      <c r="B397" s="23" t="s">
        <v>92</v>
      </c>
      <c r="C397" s="23">
        <v>4</v>
      </c>
      <c r="D397" s="24">
        <v>45775</v>
      </c>
      <c r="E397" s="23" t="s">
        <v>13</v>
      </c>
      <c r="F397" s="23" t="s">
        <v>14</v>
      </c>
      <c r="G397" s="23" t="s">
        <v>27</v>
      </c>
      <c r="H397" s="23" t="s">
        <v>32</v>
      </c>
      <c r="I397" s="23">
        <v>48</v>
      </c>
      <c r="J397" s="23">
        <v>0</v>
      </c>
      <c r="K397" s="23">
        <v>3</v>
      </c>
      <c r="L397" s="23" t="s">
        <v>8363</v>
      </c>
      <c r="M397" s="25">
        <v>5.0999999999999996</v>
      </c>
      <c r="N397">
        <f t="shared" si="6"/>
        <v>1</v>
      </c>
    </row>
    <row r="398" spans="1:14" x14ac:dyDescent="0.35">
      <c r="A398" s="6" t="s">
        <v>468</v>
      </c>
      <c r="B398" s="19" t="s">
        <v>130</v>
      </c>
      <c r="C398" s="19"/>
      <c r="D398" s="20"/>
      <c r="E398" s="19" t="s">
        <v>20</v>
      </c>
      <c r="F398" s="19" t="s">
        <v>43</v>
      </c>
      <c r="G398" s="19" t="s">
        <v>15</v>
      </c>
      <c r="H398" s="19" t="s">
        <v>16</v>
      </c>
      <c r="I398" s="19">
        <v>72</v>
      </c>
      <c r="J398" s="19">
        <v>0</v>
      </c>
      <c r="K398" s="19">
        <v>2</v>
      </c>
      <c r="L398" s="19" t="s">
        <v>33</v>
      </c>
      <c r="M398" s="21">
        <v>12.2</v>
      </c>
      <c r="N398">
        <f t="shared" si="6"/>
        <v>1</v>
      </c>
    </row>
    <row r="399" spans="1:14" x14ac:dyDescent="0.35">
      <c r="A399" s="22" t="s">
        <v>469</v>
      </c>
      <c r="B399" s="23" t="s">
        <v>146</v>
      </c>
      <c r="C399" s="23">
        <v>8</v>
      </c>
      <c r="D399" s="24">
        <v>45879</v>
      </c>
      <c r="E399" s="23" t="s">
        <v>13</v>
      </c>
      <c r="F399" s="23" t="s">
        <v>8364</v>
      </c>
      <c r="G399" s="23" t="s">
        <v>31</v>
      </c>
      <c r="H399" s="23" t="s">
        <v>32</v>
      </c>
      <c r="I399" s="23">
        <v>48</v>
      </c>
      <c r="J399" s="23">
        <v>2</v>
      </c>
      <c r="K399" s="23">
        <v>2</v>
      </c>
      <c r="L399" s="23" t="s">
        <v>44</v>
      </c>
      <c r="M399" s="25">
        <v>18.7</v>
      </c>
      <c r="N399">
        <f t="shared" si="6"/>
        <v>1</v>
      </c>
    </row>
    <row r="400" spans="1:14" x14ac:dyDescent="0.35">
      <c r="A400" s="6" t="s">
        <v>470</v>
      </c>
      <c r="B400" s="19" t="s">
        <v>81</v>
      </c>
      <c r="C400" s="19">
        <v>7</v>
      </c>
      <c r="D400" s="20">
        <v>45839</v>
      </c>
      <c r="E400" s="19" t="s">
        <v>13</v>
      </c>
      <c r="F400" s="19" t="s">
        <v>26</v>
      </c>
      <c r="G400" s="19" t="s">
        <v>8364</v>
      </c>
      <c r="H400" s="19" t="s">
        <v>28</v>
      </c>
      <c r="I400" s="19">
        <v>24</v>
      </c>
      <c r="J400" s="19">
        <v>0</v>
      </c>
      <c r="K400" s="19">
        <v>4</v>
      </c>
      <c r="L400" s="19" t="s">
        <v>62</v>
      </c>
      <c r="M400" s="21">
        <v>16.7</v>
      </c>
      <c r="N400">
        <f t="shared" si="6"/>
        <v>1</v>
      </c>
    </row>
    <row r="401" spans="1:14" x14ac:dyDescent="0.35">
      <c r="A401" s="22" t="s">
        <v>471</v>
      </c>
      <c r="B401" s="23" t="s">
        <v>253</v>
      </c>
      <c r="C401" s="23">
        <v>12</v>
      </c>
      <c r="D401" s="24">
        <v>46020</v>
      </c>
      <c r="E401" s="23" t="s">
        <v>13</v>
      </c>
      <c r="F401" s="23" t="s">
        <v>14</v>
      </c>
      <c r="G401" s="23" t="s">
        <v>31</v>
      </c>
      <c r="H401" s="23" t="s">
        <v>8364</v>
      </c>
      <c r="I401" s="23">
        <v>72</v>
      </c>
      <c r="J401" s="23">
        <v>2</v>
      </c>
      <c r="K401" s="23">
        <v>4</v>
      </c>
      <c r="L401" s="23" t="s">
        <v>33</v>
      </c>
      <c r="M401" s="25">
        <v>26.7</v>
      </c>
      <c r="N401">
        <f t="shared" si="6"/>
        <v>1</v>
      </c>
    </row>
    <row r="402" spans="1:14" x14ac:dyDescent="0.35">
      <c r="A402" s="6" t="s">
        <v>472</v>
      </c>
      <c r="B402" s="19" t="s">
        <v>158</v>
      </c>
      <c r="C402" s="19">
        <v>3</v>
      </c>
      <c r="D402" s="20">
        <v>45728</v>
      </c>
      <c r="E402" s="19" t="s">
        <v>36</v>
      </c>
      <c r="F402" s="19" t="s">
        <v>37</v>
      </c>
      <c r="G402" s="19" t="s">
        <v>27</v>
      </c>
      <c r="H402" s="19" t="s">
        <v>22</v>
      </c>
      <c r="I402" s="19">
        <v>8</v>
      </c>
      <c r="J402" s="19">
        <v>2</v>
      </c>
      <c r="K402" s="19">
        <v>4</v>
      </c>
      <c r="L402" s="19" t="s">
        <v>8363</v>
      </c>
      <c r="M402" s="21">
        <v>9.1999999999999993</v>
      </c>
      <c r="N402">
        <f t="shared" si="6"/>
        <v>0</v>
      </c>
    </row>
    <row r="403" spans="1:14" x14ac:dyDescent="0.35">
      <c r="A403" s="22" t="s">
        <v>473</v>
      </c>
      <c r="B403" s="23" t="s">
        <v>146</v>
      </c>
      <c r="C403" s="23">
        <v>7</v>
      </c>
      <c r="D403" s="24">
        <v>45856</v>
      </c>
      <c r="E403" s="23" t="s">
        <v>13</v>
      </c>
      <c r="F403" s="23" t="s">
        <v>14</v>
      </c>
      <c r="G403" s="23" t="s">
        <v>15</v>
      </c>
      <c r="H403" s="23" t="s">
        <v>22</v>
      </c>
      <c r="I403" s="23">
        <v>48</v>
      </c>
      <c r="J403" s="23">
        <v>0</v>
      </c>
      <c r="K403" s="23">
        <v>5</v>
      </c>
      <c r="L403" s="23" t="s">
        <v>38</v>
      </c>
      <c r="M403" s="25">
        <v>30.7</v>
      </c>
      <c r="N403">
        <f t="shared" si="6"/>
        <v>1</v>
      </c>
    </row>
    <row r="404" spans="1:14" x14ac:dyDescent="0.35">
      <c r="A404" s="6" t="s">
        <v>474</v>
      </c>
      <c r="B404" s="19" t="s">
        <v>23</v>
      </c>
      <c r="C404" s="19">
        <v>10</v>
      </c>
      <c r="D404" s="20">
        <v>45947</v>
      </c>
      <c r="E404" s="19" t="s">
        <v>13</v>
      </c>
      <c r="F404" s="19" t="s">
        <v>8364</v>
      </c>
      <c r="G404" s="19" t="s">
        <v>27</v>
      </c>
      <c r="H404" s="19" t="s">
        <v>16</v>
      </c>
      <c r="I404" s="19">
        <v>4</v>
      </c>
      <c r="J404" s="19">
        <v>0</v>
      </c>
      <c r="K404" s="19">
        <v>4</v>
      </c>
      <c r="L404" s="19" t="s">
        <v>38</v>
      </c>
      <c r="M404" s="21">
        <v>1.9</v>
      </c>
      <c r="N404">
        <f t="shared" si="6"/>
        <v>1</v>
      </c>
    </row>
    <row r="405" spans="1:14" x14ac:dyDescent="0.35">
      <c r="A405" s="22" t="s">
        <v>475</v>
      </c>
      <c r="B405" s="23" t="s">
        <v>81</v>
      </c>
      <c r="C405" s="23">
        <v>12</v>
      </c>
      <c r="D405" s="24">
        <v>46012</v>
      </c>
      <c r="E405" s="23" t="s">
        <v>8364</v>
      </c>
      <c r="F405" s="23" t="s">
        <v>14</v>
      </c>
      <c r="G405" s="23" t="s">
        <v>8364</v>
      </c>
      <c r="H405" s="23" t="s">
        <v>32</v>
      </c>
      <c r="I405" s="23">
        <v>4</v>
      </c>
      <c r="J405" s="23">
        <v>0</v>
      </c>
      <c r="K405" s="23">
        <v>5</v>
      </c>
      <c r="L405" s="23" t="s">
        <v>38</v>
      </c>
      <c r="M405" s="25">
        <v>17.100000000000001</v>
      </c>
      <c r="N405">
        <f t="shared" si="6"/>
        <v>0</v>
      </c>
    </row>
    <row r="406" spans="1:14" x14ac:dyDescent="0.35">
      <c r="A406" s="6" t="s">
        <v>476</v>
      </c>
      <c r="B406" s="19" t="s">
        <v>81</v>
      </c>
      <c r="C406" s="19">
        <v>5</v>
      </c>
      <c r="D406" s="20">
        <v>45805</v>
      </c>
      <c r="E406" s="19" t="s">
        <v>13</v>
      </c>
      <c r="F406" s="19" t="s">
        <v>26</v>
      </c>
      <c r="G406" s="19" t="s">
        <v>21</v>
      </c>
      <c r="H406" s="19" t="s">
        <v>22</v>
      </c>
      <c r="I406" s="19">
        <v>24</v>
      </c>
      <c r="J406" s="19">
        <v>0</v>
      </c>
      <c r="K406" s="19">
        <v>3</v>
      </c>
      <c r="L406" s="19" t="s">
        <v>8363</v>
      </c>
      <c r="M406" s="21">
        <v>9.6999999999999993</v>
      </c>
      <c r="N406">
        <f t="shared" si="6"/>
        <v>1</v>
      </c>
    </row>
    <row r="407" spans="1:14" x14ac:dyDescent="0.35">
      <c r="A407" s="22" t="s">
        <v>477</v>
      </c>
      <c r="B407" s="23" t="s">
        <v>130</v>
      </c>
      <c r="C407" s="23">
        <v>6</v>
      </c>
      <c r="D407" s="24">
        <v>45832</v>
      </c>
      <c r="E407" s="23" t="s">
        <v>8364</v>
      </c>
      <c r="F407" s="23" t="s">
        <v>14</v>
      </c>
      <c r="G407" s="23" t="s">
        <v>31</v>
      </c>
      <c r="H407" s="23" t="s">
        <v>22</v>
      </c>
      <c r="I407" s="23">
        <v>8</v>
      </c>
      <c r="J407" s="23">
        <v>0</v>
      </c>
      <c r="K407" s="23">
        <v>4</v>
      </c>
      <c r="L407" s="23" t="s">
        <v>75</v>
      </c>
      <c r="M407" s="25">
        <v>7.1</v>
      </c>
      <c r="N407">
        <f t="shared" si="6"/>
        <v>1</v>
      </c>
    </row>
    <row r="408" spans="1:14" x14ac:dyDescent="0.35">
      <c r="A408" s="6" t="s">
        <v>478</v>
      </c>
      <c r="B408" s="19" t="s">
        <v>101</v>
      </c>
      <c r="C408" s="19">
        <v>9</v>
      </c>
      <c r="D408" s="20">
        <v>45904</v>
      </c>
      <c r="E408" s="19" t="s">
        <v>25</v>
      </c>
      <c r="F408" s="19" t="s">
        <v>59</v>
      </c>
      <c r="G408" s="19" t="s">
        <v>31</v>
      </c>
      <c r="H408" s="19" t="s">
        <v>16</v>
      </c>
      <c r="I408" s="19">
        <v>8</v>
      </c>
      <c r="J408" s="19">
        <v>0</v>
      </c>
      <c r="K408" s="19">
        <v>3</v>
      </c>
      <c r="L408" s="19" t="s">
        <v>38</v>
      </c>
      <c r="M408" s="21">
        <v>4.5999999999999996</v>
      </c>
      <c r="N408">
        <f t="shared" si="6"/>
        <v>1</v>
      </c>
    </row>
    <row r="409" spans="1:14" x14ac:dyDescent="0.35">
      <c r="A409" s="22" t="s">
        <v>479</v>
      </c>
      <c r="B409" s="23" t="s">
        <v>104</v>
      </c>
      <c r="C409" s="23"/>
      <c r="D409" s="24"/>
      <c r="E409" s="23" t="s">
        <v>13</v>
      </c>
      <c r="F409" s="23" t="s">
        <v>14</v>
      </c>
      <c r="G409" s="23" t="s">
        <v>31</v>
      </c>
      <c r="H409" s="23" t="s">
        <v>22</v>
      </c>
      <c r="I409" s="23">
        <v>8</v>
      </c>
      <c r="J409" s="23">
        <v>0</v>
      </c>
      <c r="K409" s="23">
        <v>5</v>
      </c>
      <c r="L409" s="23" t="s">
        <v>17</v>
      </c>
      <c r="M409" s="25">
        <v>1.4</v>
      </c>
      <c r="N409">
        <f t="shared" si="6"/>
        <v>1</v>
      </c>
    </row>
    <row r="410" spans="1:14" x14ac:dyDescent="0.35">
      <c r="A410" s="6" t="s">
        <v>480</v>
      </c>
      <c r="B410" s="19" t="s">
        <v>34</v>
      </c>
      <c r="C410" s="19"/>
      <c r="D410" s="20"/>
      <c r="E410" s="19" t="s">
        <v>13</v>
      </c>
      <c r="F410" s="19" t="s">
        <v>43</v>
      </c>
      <c r="G410" s="19" t="s">
        <v>31</v>
      </c>
      <c r="H410" s="19" t="s">
        <v>22</v>
      </c>
      <c r="I410" s="19">
        <v>48</v>
      </c>
      <c r="J410" s="19">
        <v>0</v>
      </c>
      <c r="K410" s="19">
        <v>5</v>
      </c>
      <c r="L410" s="19" t="s">
        <v>8363</v>
      </c>
      <c r="M410" s="21">
        <v>6.5</v>
      </c>
      <c r="N410">
        <f t="shared" si="6"/>
        <v>1</v>
      </c>
    </row>
    <row r="411" spans="1:14" x14ac:dyDescent="0.35">
      <c r="A411" s="22" t="s">
        <v>481</v>
      </c>
      <c r="B411" s="23" t="s">
        <v>29</v>
      </c>
      <c r="C411" s="23">
        <v>1</v>
      </c>
      <c r="D411" s="24">
        <v>45669</v>
      </c>
      <c r="E411" s="23" t="s">
        <v>25</v>
      </c>
      <c r="F411" s="23" t="s">
        <v>14</v>
      </c>
      <c r="G411" s="23" t="s">
        <v>21</v>
      </c>
      <c r="H411" s="23" t="s">
        <v>16</v>
      </c>
      <c r="I411" s="23">
        <v>8</v>
      </c>
      <c r="J411" s="23">
        <v>0</v>
      </c>
      <c r="K411" s="23">
        <v>3</v>
      </c>
      <c r="L411" s="23" t="s">
        <v>8363</v>
      </c>
      <c r="M411" s="25">
        <v>19.7</v>
      </c>
      <c r="N411">
        <f t="shared" si="6"/>
        <v>0</v>
      </c>
    </row>
    <row r="412" spans="1:14" x14ac:dyDescent="0.35">
      <c r="A412" s="6" t="s">
        <v>482</v>
      </c>
      <c r="B412" s="19" t="s">
        <v>53</v>
      </c>
      <c r="C412" s="19">
        <v>7</v>
      </c>
      <c r="D412" s="20">
        <v>45855</v>
      </c>
      <c r="E412" s="19" t="s">
        <v>25</v>
      </c>
      <c r="F412" s="19" t="s">
        <v>43</v>
      </c>
      <c r="G412" s="19" t="s">
        <v>27</v>
      </c>
      <c r="H412" s="19" t="s">
        <v>22</v>
      </c>
      <c r="I412" s="19">
        <v>4</v>
      </c>
      <c r="J412" s="19">
        <v>0</v>
      </c>
      <c r="K412" s="19">
        <v>4</v>
      </c>
      <c r="L412" s="19" t="s">
        <v>44</v>
      </c>
      <c r="M412" s="21">
        <v>10.9</v>
      </c>
      <c r="N412">
        <f t="shared" si="6"/>
        <v>0</v>
      </c>
    </row>
    <row r="413" spans="1:14" x14ac:dyDescent="0.35">
      <c r="A413" s="22" t="s">
        <v>483</v>
      </c>
      <c r="B413" s="23" t="s">
        <v>236</v>
      </c>
      <c r="C413" s="23">
        <v>8</v>
      </c>
      <c r="D413" s="24">
        <v>45879</v>
      </c>
      <c r="E413" s="23" t="s">
        <v>36</v>
      </c>
      <c r="F413" s="23" t="s">
        <v>26</v>
      </c>
      <c r="G413" s="23" t="s">
        <v>27</v>
      </c>
      <c r="H413" s="23" t="s">
        <v>22</v>
      </c>
      <c r="I413" s="23">
        <v>24</v>
      </c>
      <c r="J413" s="23">
        <v>0</v>
      </c>
      <c r="K413" s="23">
        <v>4</v>
      </c>
      <c r="L413" s="23" t="s">
        <v>44</v>
      </c>
      <c r="M413" s="25">
        <v>5.3</v>
      </c>
      <c r="N413">
        <f t="shared" si="6"/>
        <v>1</v>
      </c>
    </row>
    <row r="414" spans="1:14" x14ac:dyDescent="0.35">
      <c r="A414" s="6" t="s">
        <v>484</v>
      </c>
      <c r="B414" s="19" t="s">
        <v>23</v>
      </c>
      <c r="C414" s="19">
        <v>7</v>
      </c>
      <c r="D414" s="20">
        <v>45839</v>
      </c>
      <c r="E414" s="19" t="s">
        <v>68</v>
      </c>
      <c r="F414" s="19" t="s">
        <v>14</v>
      </c>
      <c r="G414" s="19" t="s">
        <v>15</v>
      </c>
      <c r="H414" s="19" t="s">
        <v>8364</v>
      </c>
      <c r="I414" s="19">
        <v>4</v>
      </c>
      <c r="J414" s="19">
        <v>0</v>
      </c>
      <c r="K414" s="19">
        <v>5</v>
      </c>
      <c r="L414" s="19" t="s">
        <v>8363</v>
      </c>
      <c r="M414" s="21"/>
      <c r="N414">
        <f t="shared" si="6"/>
        <v>1</v>
      </c>
    </row>
    <row r="415" spans="1:14" x14ac:dyDescent="0.35">
      <c r="A415" s="22" t="s">
        <v>485</v>
      </c>
      <c r="B415" s="23" t="s">
        <v>65</v>
      </c>
      <c r="C415" s="23">
        <v>4</v>
      </c>
      <c r="D415" s="24">
        <v>45759</v>
      </c>
      <c r="E415" s="23" t="s">
        <v>13</v>
      </c>
      <c r="F415" s="23" t="s">
        <v>8364</v>
      </c>
      <c r="G415" s="23" t="s">
        <v>21</v>
      </c>
      <c r="H415" s="23" t="s">
        <v>32</v>
      </c>
      <c r="I415" s="23">
        <v>8</v>
      </c>
      <c r="J415" s="23">
        <v>1</v>
      </c>
      <c r="K415" s="23">
        <v>2</v>
      </c>
      <c r="L415" s="23" t="s">
        <v>8363</v>
      </c>
      <c r="M415" s="25">
        <v>14.8</v>
      </c>
      <c r="N415">
        <f t="shared" si="6"/>
        <v>0</v>
      </c>
    </row>
    <row r="416" spans="1:14" x14ac:dyDescent="0.35">
      <c r="A416" s="6" t="s">
        <v>486</v>
      </c>
      <c r="B416" s="19" t="s">
        <v>146</v>
      </c>
      <c r="C416" s="19">
        <v>12</v>
      </c>
      <c r="D416" s="20">
        <v>46007</v>
      </c>
      <c r="E416" s="19" t="s">
        <v>20</v>
      </c>
      <c r="F416" s="19" t="s">
        <v>43</v>
      </c>
      <c r="G416" s="19" t="s">
        <v>15</v>
      </c>
      <c r="H416" s="19" t="s">
        <v>32</v>
      </c>
      <c r="I416" s="19">
        <v>48</v>
      </c>
      <c r="J416" s="19">
        <v>0</v>
      </c>
      <c r="K416" s="19">
        <v>2</v>
      </c>
      <c r="L416" s="19" t="s">
        <v>62</v>
      </c>
      <c r="M416" s="21">
        <v>8.3000000000000007</v>
      </c>
      <c r="N416">
        <f t="shared" si="6"/>
        <v>1</v>
      </c>
    </row>
    <row r="417" spans="1:14" x14ac:dyDescent="0.35">
      <c r="A417" s="22" t="s">
        <v>487</v>
      </c>
      <c r="B417" s="23" t="s">
        <v>139</v>
      </c>
      <c r="C417" s="23"/>
      <c r="D417" s="24"/>
      <c r="E417" s="23" t="s">
        <v>8364</v>
      </c>
      <c r="F417" s="23" t="s">
        <v>14</v>
      </c>
      <c r="G417" s="23" t="s">
        <v>27</v>
      </c>
      <c r="H417" s="23" t="s">
        <v>32</v>
      </c>
      <c r="I417" s="23">
        <v>72</v>
      </c>
      <c r="J417" s="23">
        <v>0</v>
      </c>
      <c r="K417" s="23">
        <v>4</v>
      </c>
      <c r="L417" s="23" t="s">
        <v>75</v>
      </c>
      <c r="M417" s="25"/>
      <c r="N417">
        <f t="shared" si="6"/>
        <v>1</v>
      </c>
    </row>
    <row r="418" spans="1:14" x14ac:dyDescent="0.35">
      <c r="A418" s="6" t="s">
        <v>488</v>
      </c>
      <c r="B418" s="19" t="s">
        <v>69</v>
      </c>
      <c r="C418" s="19">
        <v>12</v>
      </c>
      <c r="D418" s="20">
        <v>46008</v>
      </c>
      <c r="E418" s="19" t="s">
        <v>25</v>
      </c>
      <c r="F418" s="19" t="s">
        <v>59</v>
      </c>
      <c r="G418" s="19" t="s">
        <v>15</v>
      </c>
      <c r="H418" s="19" t="s">
        <v>32</v>
      </c>
      <c r="I418" s="19">
        <v>8</v>
      </c>
      <c r="J418" s="19">
        <v>0</v>
      </c>
      <c r="K418" s="19">
        <v>4</v>
      </c>
      <c r="L418" s="19" t="s">
        <v>38</v>
      </c>
      <c r="M418" s="21">
        <v>8.5</v>
      </c>
      <c r="N418">
        <f t="shared" si="6"/>
        <v>0</v>
      </c>
    </row>
    <row r="419" spans="1:14" x14ac:dyDescent="0.35">
      <c r="A419" s="22" t="s">
        <v>489</v>
      </c>
      <c r="B419" s="23" t="s">
        <v>47</v>
      </c>
      <c r="C419" s="23">
        <v>3</v>
      </c>
      <c r="D419" s="24">
        <v>45729</v>
      </c>
      <c r="E419" s="23" t="s">
        <v>8364</v>
      </c>
      <c r="F419" s="23" t="s">
        <v>8364</v>
      </c>
      <c r="G419" s="23" t="s">
        <v>31</v>
      </c>
      <c r="H419" s="23" t="s">
        <v>16</v>
      </c>
      <c r="I419" s="23">
        <v>48</v>
      </c>
      <c r="J419" s="23">
        <v>0</v>
      </c>
      <c r="K419" s="23">
        <v>5</v>
      </c>
      <c r="L419" s="23" t="s">
        <v>33</v>
      </c>
      <c r="M419" s="25">
        <v>7.4</v>
      </c>
      <c r="N419">
        <f t="shared" si="6"/>
        <v>1</v>
      </c>
    </row>
    <row r="420" spans="1:14" x14ac:dyDescent="0.35">
      <c r="A420" s="6" t="s">
        <v>490</v>
      </c>
      <c r="B420" s="19" t="s">
        <v>65</v>
      </c>
      <c r="C420" s="19">
        <v>9</v>
      </c>
      <c r="D420" s="20">
        <v>45927</v>
      </c>
      <c r="E420" s="19" t="s">
        <v>13</v>
      </c>
      <c r="F420" s="19" t="s">
        <v>14</v>
      </c>
      <c r="G420" s="19" t="s">
        <v>21</v>
      </c>
      <c r="H420" s="19" t="s">
        <v>28</v>
      </c>
      <c r="I420" s="19">
        <v>48</v>
      </c>
      <c r="J420" s="19">
        <v>1</v>
      </c>
      <c r="K420" s="19">
        <v>1</v>
      </c>
      <c r="L420" s="19" t="s">
        <v>38</v>
      </c>
      <c r="M420" s="21">
        <v>0.8</v>
      </c>
      <c r="N420">
        <f t="shared" si="6"/>
        <v>1</v>
      </c>
    </row>
    <row r="421" spans="1:14" x14ac:dyDescent="0.35">
      <c r="A421" s="22" t="s">
        <v>491</v>
      </c>
      <c r="B421" s="23" t="s">
        <v>41</v>
      </c>
      <c r="C421" s="23">
        <v>8</v>
      </c>
      <c r="D421" s="24">
        <v>45899</v>
      </c>
      <c r="E421" s="23" t="s">
        <v>25</v>
      </c>
      <c r="F421" s="23" t="s">
        <v>26</v>
      </c>
      <c r="G421" s="23" t="s">
        <v>31</v>
      </c>
      <c r="H421" s="23" t="s">
        <v>16</v>
      </c>
      <c r="I421" s="23">
        <v>8</v>
      </c>
      <c r="J421" s="23">
        <v>0</v>
      </c>
      <c r="K421" s="23">
        <v>5</v>
      </c>
      <c r="L421" s="23" t="s">
        <v>33</v>
      </c>
      <c r="M421" s="25">
        <v>15.5</v>
      </c>
      <c r="N421">
        <f t="shared" si="6"/>
        <v>0</v>
      </c>
    </row>
    <row r="422" spans="1:14" x14ac:dyDescent="0.35">
      <c r="A422" s="6" t="s">
        <v>492</v>
      </c>
      <c r="B422" s="19" t="s">
        <v>51</v>
      </c>
      <c r="C422" s="19"/>
      <c r="D422" s="20"/>
      <c r="E422" s="19" t="s">
        <v>36</v>
      </c>
      <c r="F422" s="19" t="s">
        <v>14</v>
      </c>
      <c r="G422" s="19" t="s">
        <v>31</v>
      </c>
      <c r="H422" s="19" t="s">
        <v>32</v>
      </c>
      <c r="I422" s="19">
        <v>8</v>
      </c>
      <c r="J422" s="19">
        <v>0</v>
      </c>
      <c r="K422" s="19">
        <v>3</v>
      </c>
      <c r="L422" s="19" t="s">
        <v>33</v>
      </c>
      <c r="M422" s="21">
        <v>9.4</v>
      </c>
      <c r="N422">
        <f t="shared" si="6"/>
        <v>0</v>
      </c>
    </row>
    <row r="423" spans="1:14" x14ac:dyDescent="0.35">
      <c r="A423" s="22" t="s">
        <v>493</v>
      </c>
      <c r="B423" s="23" t="s">
        <v>18</v>
      </c>
      <c r="C423" s="23">
        <v>12</v>
      </c>
      <c r="D423" s="24">
        <v>45993</v>
      </c>
      <c r="E423" s="23" t="s">
        <v>13</v>
      </c>
      <c r="F423" s="23" t="s">
        <v>14</v>
      </c>
      <c r="G423" s="23" t="s">
        <v>27</v>
      </c>
      <c r="H423" s="23" t="s">
        <v>28</v>
      </c>
      <c r="I423" s="23">
        <v>48</v>
      </c>
      <c r="J423" s="23">
        <v>1</v>
      </c>
      <c r="K423" s="23">
        <v>4</v>
      </c>
      <c r="L423" s="23" t="s">
        <v>33</v>
      </c>
      <c r="M423" s="25">
        <v>14</v>
      </c>
      <c r="N423">
        <f t="shared" si="6"/>
        <v>1</v>
      </c>
    </row>
    <row r="424" spans="1:14" x14ac:dyDescent="0.35">
      <c r="A424" s="6" t="s">
        <v>494</v>
      </c>
      <c r="B424" s="19" t="s">
        <v>81</v>
      </c>
      <c r="C424" s="19">
        <v>3</v>
      </c>
      <c r="D424" s="20">
        <v>45720</v>
      </c>
      <c r="E424" s="19" t="s">
        <v>25</v>
      </c>
      <c r="F424" s="19" t="s">
        <v>43</v>
      </c>
      <c r="G424" s="19" t="s">
        <v>27</v>
      </c>
      <c r="H424" s="19" t="s">
        <v>8364</v>
      </c>
      <c r="I424" s="19">
        <v>72</v>
      </c>
      <c r="J424" s="19">
        <v>0</v>
      </c>
      <c r="K424" s="19">
        <v>5</v>
      </c>
      <c r="L424" s="19" t="s">
        <v>62</v>
      </c>
      <c r="M424" s="21">
        <v>1.3</v>
      </c>
      <c r="N424">
        <f t="shared" si="6"/>
        <v>1</v>
      </c>
    </row>
    <row r="425" spans="1:14" x14ac:dyDescent="0.35">
      <c r="A425" s="22" t="s">
        <v>495</v>
      </c>
      <c r="B425" s="23" t="s">
        <v>34</v>
      </c>
      <c r="C425" s="23">
        <v>2</v>
      </c>
      <c r="D425" s="24">
        <v>45707</v>
      </c>
      <c r="E425" s="23" t="s">
        <v>20</v>
      </c>
      <c r="F425" s="23" t="s">
        <v>59</v>
      </c>
      <c r="G425" s="23" t="s">
        <v>31</v>
      </c>
      <c r="H425" s="23" t="s">
        <v>28</v>
      </c>
      <c r="I425" s="23">
        <v>8</v>
      </c>
      <c r="J425" s="23">
        <v>0</v>
      </c>
      <c r="K425" s="23"/>
      <c r="L425" s="23" t="s">
        <v>55</v>
      </c>
      <c r="M425" s="25">
        <v>18.7</v>
      </c>
      <c r="N425">
        <f t="shared" si="6"/>
        <v>0</v>
      </c>
    </row>
    <row r="426" spans="1:14" x14ac:dyDescent="0.35">
      <c r="A426" s="6" t="s">
        <v>496</v>
      </c>
      <c r="B426" s="19" t="s">
        <v>69</v>
      </c>
      <c r="C426" s="19">
        <v>1</v>
      </c>
      <c r="D426" s="20">
        <v>45658</v>
      </c>
      <c r="E426" s="19" t="s">
        <v>68</v>
      </c>
      <c r="F426" s="19" t="s">
        <v>37</v>
      </c>
      <c r="G426" s="19" t="s">
        <v>27</v>
      </c>
      <c r="H426" s="19" t="s">
        <v>28</v>
      </c>
      <c r="I426" s="19">
        <v>24</v>
      </c>
      <c r="J426" s="19">
        <v>0</v>
      </c>
      <c r="K426" s="19">
        <v>3</v>
      </c>
      <c r="L426" s="19" t="s">
        <v>75</v>
      </c>
      <c r="M426" s="21">
        <v>3.5</v>
      </c>
      <c r="N426">
        <f t="shared" si="6"/>
        <v>1</v>
      </c>
    </row>
    <row r="427" spans="1:14" x14ac:dyDescent="0.35">
      <c r="A427" s="22" t="s">
        <v>497</v>
      </c>
      <c r="B427" s="23" t="s">
        <v>139</v>
      </c>
      <c r="C427" s="23">
        <v>10</v>
      </c>
      <c r="D427" s="24">
        <v>45960</v>
      </c>
      <c r="E427" s="23" t="s">
        <v>8364</v>
      </c>
      <c r="F427" s="23" t="s">
        <v>59</v>
      </c>
      <c r="G427" s="23" t="s">
        <v>8364</v>
      </c>
      <c r="H427" s="23" t="s">
        <v>22</v>
      </c>
      <c r="I427" s="23">
        <v>4</v>
      </c>
      <c r="J427" s="23">
        <v>0</v>
      </c>
      <c r="K427" s="23">
        <v>5</v>
      </c>
      <c r="L427" s="23" t="s">
        <v>17</v>
      </c>
      <c r="M427" s="25">
        <v>4.5</v>
      </c>
      <c r="N427">
        <f t="shared" si="6"/>
        <v>0</v>
      </c>
    </row>
    <row r="428" spans="1:14" x14ac:dyDescent="0.35">
      <c r="A428" s="6" t="s">
        <v>498</v>
      </c>
      <c r="B428" s="19" t="s">
        <v>57</v>
      </c>
      <c r="C428" s="19">
        <v>8</v>
      </c>
      <c r="D428" s="20">
        <v>45883</v>
      </c>
      <c r="E428" s="19" t="s">
        <v>13</v>
      </c>
      <c r="F428" s="19" t="s">
        <v>37</v>
      </c>
      <c r="G428" s="19" t="s">
        <v>21</v>
      </c>
      <c r="H428" s="19" t="s">
        <v>22</v>
      </c>
      <c r="I428" s="19">
        <v>24</v>
      </c>
      <c r="J428" s="19">
        <v>1</v>
      </c>
      <c r="K428" s="19">
        <v>5</v>
      </c>
      <c r="L428" s="19" t="s">
        <v>44</v>
      </c>
      <c r="M428" s="21">
        <v>0.9</v>
      </c>
      <c r="N428">
        <f t="shared" si="6"/>
        <v>1</v>
      </c>
    </row>
    <row r="429" spans="1:14" x14ac:dyDescent="0.35">
      <c r="A429" s="22" t="s">
        <v>499</v>
      </c>
      <c r="B429" s="23" t="s">
        <v>108</v>
      </c>
      <c r="C429" s="23">
        <v>2</v>
      </c>
      <c r="D429" s="24">
        <v>45692</v>
      </c>
      <c r="E429" s="23" t="s">
        <v>68</v>
      </c>
      <c r="F429" s="23" t="s">
        <v>14</v>
      </c>
      <c r="G429" s="23" t="s">
        <v>27</v>
      </c>
      <c r="H429" s="23" t="s">
        <v>28</v>
      </c>
      <c r="I429" s="23">
        <v>24</v>
      </c>
      <c r="J429" s="23">
        <v>0</v>
      </c>
      <c r="K429" s="23">
        <v>4</v>
      </c>
      <c r="L429" s="23" t="s">
        <v>33</v>
      </c>
      <c r="M429" s="25">
        <v>13.9</v>
      </c>
      <c r="N429">
        <f t="shared" si="6"/>
        <v>1</v>
      </c>
    </row>
    <row r="430" spans="1:14" x14ac:dyDescent="0.35">
      <c r="A430" s="6" t="s">
        <v>500</v>
      </c>
      <c r="B430" s="19" t="s">
        <v>85</v>
      </c>
      <c r="C430" s="19">
        <v>9</v>
      </c>
      <c r="D430" s="20">
        <v>45903</v>
      </c>
      <c r="E430" s="19" t="s">
        <v>13</v>
      </c>
      <c r="F430" s="19" t="s">
        <v>59</v>
      </c>
      <c r="G430" s="19" t="s">
        <v>27</v>
      </c>
      <c r="H430" s="19" t="s">
        <v>8364</v>
      </c>
      <c r="I430" s="19">
        <v>24</v>
      </c>
      <c r="J430" s="19">
        <v>0</v>
      </c>
      <c r="K430" s="19">
        <v>5</v>
      </c>
      <c r="L430" s="19" t="s">
        <v>8363</v>
      </c>
      <c r="M430" s="21">
        <v>16.5</v>
      </c>
      <c r="N430">
        <f t="shared" si="6"/>
        <v>1</v>
      </c>
    </row>
    <row r="431" spans="1:14" x14ac:dyDescent="0.35">
      <c r="A431" s="22" t="s">
        <v>501</v>
      </c>
      <c r="B431" s="23" t="s">
        <v>92</v>
      </c>
      <c r="C431" s="23">
        <v>8</v>
      </c>
      <c r="D431" s="24">
        <v>45874</v>
      </c>
      <c r="E431" s="23" t="s">
        <v>68</v>
      </c>
      <c r="F431" s="23" t="s">
        <v>43</v>
      </c>
      <c r="G431" s="23" t="s">
        <v>15</v>
      </c>
      <c r="H431" s="23" t="s">
        <v>32</v>
      </c>
      <c r="I431" s="23">
        <v>4</v>
      </c>
      <c r="J431" s="23">
        <v>0</v>
      </c>
      <c r="K431" s="23">
        <v>3</v>
      </c>
      <c r="L431" s="23" t="s">
        <v>55</v>
      </c>
      <c r="M431" s="25">
        <v>3.7</v>
      </c>
      <c r="N431">
        <f t="shared" si="6"/>
        <v>1</v>
      </c>
    </row>
    <row r="432" spans="1:14" x14ac:dyDescent="0.35">
      <c r="A432" s="6" t="s">
        <v>502</v>
      </c>
      <c r="B432" s="19" t="s">
        <v>81</v>
      </c>
      <c r="C432" s="19">
        <v>5</v>
      </c>
      <c r="D432" s="20">
        <v>45784</v>
      </c>
      <c r="E432" s="19" t="s">
        <v>13</v>
      </c>
      <c r="F432" s="19" t="s">
        <v>14</v>
      </c>
      <c r="G432" s="19" t="s">
        <v>27</v>
      </c>
      <c r="H432" s="19" t="s">
        <v>16</v>
      </c>
      <c r="I432" s="19">
        <v>48</v>
      </c>
      <c r="J432" s="19">
        <v>1</v>
      </c>
      <c r="K432" s="19">
        <v>4</v>
      </c>
      <c r="L432" s="19" t="s">
        <v>44</v>
      </c>
      <c r="M432" s="21">
        <v>7.4</v>
      </c>
      <c r="N432">
        <f t="shared" si="6"/>
        <v>1</v>
      </c>
    </row>
    <row r="433" spans="1:14" x14ac:dyDescent="0.35">
      <c r="A433" s="22" t="s">
        <v>503</v>
      </c>
      <c r="B433" s="23" t="s">
        <v>18</v>
      </c>
      <c r="C433" s="23">
        <v>1</v>
      </c>
      <c r="D433" s="24">
        <v>45667</v>
      </c>
      <c r="E433" s="23" t="s">
        <v>13</v>
      </c>
      <c r="F433" s="23" t="s">
        <v>14</v>
      </c>
      <c r="G433" s="23" t="s">
        <v>31</v>
      </c>
      <c r="H433" s="23" t="s">
        <v>32</v>
      </c>
      <c r="I433" s="23">
        <v>24</v>
      </c>
      <c r="J433" s="23">
        <v>1</v>
      </c>
      <c r="K433" s="23">
        <v>5</v>
      </c>
      <c r="L433" s="23" t="s">
        <v>44</v>
      </c>
      <c r="M433" s="25">
        <v>9.6999999999999993</v>
      </c>
      <c r="N433">
        <f t="shared" si="6"/>
        <v>1</v>
      </c>
    </row>
    <row r="434" spans="1:14" x14ac:dyDescent="0.35">
      <c r="A434" s="6" t="s">
        <v>504</v>
      </c>
      <c r="B434" s="19" t="s">
        <v>89</v>
      </c>
      <c r="C434" s="19">
        <v>4</v>
      </c>
      <c r="D434" s="20">
        <v>45769</v>
      </c>
      <c r="E434" s="19" t="s">
        <v>13</v>
      </c>
      <c r="F434" s="19" t="s">
        <v>43</v>
      </c>
      <c r="G434" s="19" t="s">
        <v>21</v>
      </c>
      <c r="H434" s="19" t="s">
        <v>32</v>
      </c>
      <c r="I434" s="19">
        <v>24</v>
      </c>
      <c r="J434" s="19">
        <v>0</v>
      </c>
      <c r="K434" s="19">
        <v>4</v>
      </c>
      <c r="L434" s="19" t="s">
        <v>38</v>
      </c>
      <c r="M434" s="21">
        <v>2.7</v>
      </c>
      <c r="N434">
        <f t="shared" si="6"/>
        <v>1</v>
      </c>
    </row>
    <row r="435" spans="1:14" x14ac:dyDescent="0.35">
      <c r="A435" s="22" t="s">
        <v>505</v>
      </c>
      <c r="B435" s="23" t="s">
        <v>69</v>
      </c>
      <c r="C435" s="23"/>
      <c r="D435" s="24"/>
      <c r="E435" s="23" t="s">
        <v>20</v>
      </c>
      <c r="F435" s="23" t="s">
        <v>8364</v>
      </c>
      <c r="G435" s="23" t="s">
        <v>21</v>
      </c>
      <c r="H435" s="23" t="s">
        <v>22</v>
      </c>
      <c r="I435" s="23">
        <v>24</v>
      </c>
      <c r="J435" s="23">
        <v>1</v>
      </c>
      <c r="K435" s="23">
        <v>2</v>
      </c>
      <c r="L435" s="23" t="s">
        <v>8363</v>
      </c>
      <c r="M435" s="25">
        <v>4</v>
      </c>
      <c r="N435">
        <f t="shared" si="6"/>
        <v>1</v>
      </c>
    </row>
    <row r="436" spans="1:14" x14ac:dyDescent="0.35">
      <c r="A436" s="6" t="s">
        <v>506</v>
      </c>
      <c r="B436" s="19" t="s">
        <v>65</v>
      </c>
      <c r="C436" s="19">
        <v>8</v>
      </c>
      <c r="D436" s="20">
        <v>45886</v>
      </c>
      <c r="E436" s="19" t="s">
        <v>25</v>
      </c>
      <c r="F436" s="19" t="s">
        <v>40</v>
      </c>
      <c r="G436" s="19" t="s">
        <v>8364</v>
      </c>
      <c r="H436" s="19" t="s">
        <v>8364</v>
      </c>
      <c r="I436" s="19">
        <v>48</v>
      </c>
      <c r="J436" s="19">
        <v>0</v>
      </c>
      <c r="K436" s="19">
        <v>5</v>
      </c>
      <c r="L436" s="19" t="s">
        <v>44</v>
      </c>
      <c r="M436" s="21">
        <v>4.0999999999999996</v>
      </c>
      <c r="N436">
        <f t="shared" si="6"/>
        <v>1</v>
      </c>
    </row>
    <row r="437" spans="1:14" x14ac:dyDescent="0.35">
      <c r="A437" s="22" t="s">
        <v>507</v>
      </c>
      <c r="B437" s="23" t="s">
        <v>126</v>
      </c>
      <c r="C437" s="23">
        <v>1</v>
      </c>
      <c r="D437" s="24">
        <v>45669</v>
      </c>
      <c r="E437" s="23" t="s">
        <v>13</v>
      </c>
      <c r="F437" s="23" t="s">
        <v>37</v>
      </c>
      <c r="G437" s="23" t="s">
        <v>31</v>
      </c>
      <c r="H437" s="23" t="s">
        <v>28</v>
      </c>
      <c r="I437" s="23">
        <v>24</v>
      </c>
      <c r="J437" s="23">
        <v>0</v>
      </c>
      <c r="K437" s="23">
        <v>4</v>
      </c>
      <c r="L437" s="23" t="s">
        <v>33</v>
      </c>
      <c r="M437" s="25"/>
      <c r="N437">
        <f t="shared" si="6"/>
        <v>1</v>
      </c>
    </row>
    <row r="438" spans="1:14" x14ac:dyDescent="0.35">
      <c r="A438" s="6" t="s">
        <v>508</v>
      </c>
      <c r="B438" s="19" t="s">
        <v>47</v>
      </c>
      <c r="C438" s="19">
        <v>5</v>
      </c>
      <c r="D438" s="20">
        <v>45789</v>
      </c>
      <c r="E438" s="19" t="s">
        <v>36</v>
      </c>
      <c r="F438" s="19" t="s">
        <v>43</v>
      </c>
      <c r="G438" s="19" t="s">
        <v>27</v>
      </c>
      <c r="H438" s="19" t="s">
        <v>8364</v>
      </c>
      <c r="I438" s="19">
        <v>8</v>
      </c>
      <c r="J438" s="19">
        <v>0</v>
      </c>
      <c r="K438" s="19">
        <v>2</v>
      </c>
      <c r="L438" s="19" t="s">
        <v>33</v>
      </c>
      <c r="M438" s="21"/>
      <c r="N438">
        <f t="shared" si="6"/>
        <v>1</v>
      </c>
    </row>
    <row r="439" spans="1:14" x14ac:dyDescent="0.35">
      <c r="A439" s="22" t="s">
        <v>509</v>
      </c>
      <c r="B439" s="23" t="s">
        <v>39</v>
      </c>
      <c r="C439" s="23">
        <v>3</v>
      </c>
      <c r="D439" s="24">
        <v>45736</v>
      </c>
      <c r="E439" s="23" t="s">
        <v>36</v>
      </c>
      <c r="F439" s="23" t="s">
        <v>14</v>
      </c>
      <c r="G439" s="23" t="s">
        <v>31</v>
      </c>
      <c r="H439" s="23" t="s">
        <v>22</v>
      </c>
      <c r="I439" s="23">
        <v>72</v>
      </c>
      <c r="J439" s="23">
        <v>2</v>
      </c>
      <c r="K439" s="23">
        <v>5</v>
      </c>
      <c r="L439" s="23" t="s">
        <v>17</v>
      </c>
      <c r="M439" s="25">
        <v>37.6</v>
      </c>
      <c r="N439">
        <f t="shared" si="6"/>
        <v>1</v>
      </c>
    </row>
    <row r="440" spans="1:14" x14ac:dyDescent="0.35">
      <c r="A440" s="6" t="s">
        <v>510</v>
      </c>
      <c r="B440" s="19" t="s">
        <v>41</v>
      </c>
      <c r="C440" s="19">
        <v>12</v>
      </c>
      <c r="D440" s="20">
        <v>46006</v>
      </c>
      <c r="E440" s="19" t="s">
        <v>25</v>
      </c>
      <c r="F440" s="19" t="s">
        <v>37</v>
      </c>
      <c r="G440" s="19" t="s">
        <v>31</v>
      </c>
      <c r="H440" s="19" t="s">
        <v>32</v>
      </c>
      <c r="I440" s="19">
        <v>72</v>
      </c>
      <c r="J440" s="19">
        <v>0</v>
      </c>
      <c r="K440" s="19">
        <v>5</v>
      </c>
      <c r="L440" s="19" t="s">
        <v>33</v>
      </c>
      <c r="M440" s="21">
        <v>8.8000000000000007</v>
      </c>
      <c r="N440">
        <f t="shared" si="6"/>
        <v>1</v>
      </c>
    </row>
    <row r="441" spans="1:14" x14ac:dyDescent="0.35">
      <c r="A441" s="22" t="s">
        <v>511</v>
      </c>
      <c r="B441" s="23" t="s">
        <v>51</v>
      </c>
      <c r="C441" s="23">
        <v>12</v>
      </c>
      <c r="D441" s="24">
        <v>45998</v>
      </c>
      <c r="E441" s="23" t="s">
        <v>25</v>
      </c>
      <c r="F441" s="23" t="s">
        <v>8364</v>
      </c>
      <c r="G441" s="23" t="s">
        <v>31</v>
      </c>
      <c r="H441" s="23" t="s">
        <v>28</v>
      </c>
      <c r="I441" s="23">
        <v>24</v>
      </c>
      <c r="J441" s="23">
        <v>0</v>
      </c>
      <c r="K441" s="23">
        <v>1</v>
      </c>
      <c r="L441" s="23" t="s">
        <v>38</v>
      </c>
      <c r="M441" s="25">
        <v>17.100000000000001</v>
      </c>
      <c r="N441">
        <f t="shared" si="6"/>
        <v>1</v>
      </c>
    </row>
    <row r="442" spans="1:14" x14ac:dyDescent="0.35">
      <c r="A442" s="6" t="s">
        <v>512</v>
      </c>
      <c r="B442" s="19" t="s">
        <v>87</v>
      </c>
      <c r="C442" s="19">
        <v>3</v>
      </c>
      <c r="D442" s="20">
        <v>45747</v>
      </c>
      <c r="E442" s="19" t="s">
        <v>25</v>
      </c>
      <c r="F442" s="19" t="s">
        <v>14</v>
      </c>
      <c r="G442" s="19" t="s">
        <v>27</v>
      </c>
      <c r="H442" s="19" t="s">
        <v>32</v>
      </c>
      <c r="I442" s="19">
        <v>4</v>
      </c>
      <c r="J442" s="19">
        <v>0</v>
      </c>
      <c r="K442" s="19">
        <v>5</v>
      </c>
      <c r="L442" s="19" t="s">
        <v>38</v>
      </c>
      <c r="M442" s="21">
        <v>5.0999999999999996</v>
      </c>
      <c r="N442">
        <f t="shared" si="6"/>
        <v>0</v>
      </c>
    </row>
    <row r="443" spans="1:14" x14ac:dyDescent="0.35">
      <c r="A443" s="22" t="s">
        <v>513</v>
      </c>
      <c r="B443" s="23" t="s">
        <v>47</v>
      </c>
      <c r="C443" s="23">
        <v>8</v>
      </c>
      <c r="D443" s="24">
        <v>45873</v>
      </c>
      <c r="E443" s="23" t="s">
        <v>25</v>
      </c>
      <c r="F443" s="23" t="s">
        <v>14</v>
      </c>
      <c r="G443" s="23" t="s">
        <v>31</v>
      </c>
      <c r="H443" s="23" t="s">
        <v>22</v>
      </c>
      <c r="I443" s="23">
        <v>72</v>
      </c>
      <c r="J443" s="23">
        <v>0</v>
      </c>
      <c r="K443" s="23">
        <v>1</v>
      </c>
      <c r="L443" s="23" t="s">
        <v>38</v>
      </c>
      <c r="M443" s="25">
        <v>12</v>
      </c>
      <c r="N443">
        <f t="shared" si="6"/>
        <v>1</v>
      </c>
    </row>
    <row r="444" spans="1:14" x14ac:dyDescent="0.35">
      <c r="A444" s="6" t="s">
        <v>514</v>
      </c>
      <c r="B444" s="19" t="s">
        <v>23</v>
      </c>
      <c r="C444" s="19">
        <v>8</v>
      </c>
      <c r="D444" s="20">
        <v>45899</v>
      </c>
      <c r="E444" s="19" t="s">
        <v>25</v>
      </c>
      <c r="F444" s="19" t="s">
        <v>59</v>
      </c>
      <c r="G444" s="19" t="s">
        <v>31</v>
      </c>
      <c r="H444" s="19" t="s">
        <v>28</v>
      </c>
      <c r="I444" s="19">
        <v>72</v>
      </c>
      <c r="J444" s="19">
        <v>0</v>
      </c>
      <c r="K444" s="19">
        <v>3</v>
      </c>
      <c r="L444" s="19" t="s">
        <v>75</v>
      </c>
      <c r="M444" s="21">
        <v>10.5</v>
      </c>
      <c r="N444">
        <f t="shared" si="6"/>
        <v>1</v>
      </c>
    </row>
    <row r="445" spans="1:14" x14ac:dyDescent="0.35">
      <c r="A445" s="22" t="s">
        <v>515</v>
      </c>
      <c r="B445" s="23" t="s">
        <v>69</v>
      </c>
      <c r="C445" s="23">
        <v>6</v>
      </c>
      <c r="D445" s="24">
        <v>45833</v>
      </c>
      <c r="E445" s="23" t="s">
        <v>13</v>
      </c>
      <c r="F445" s="23" t="s">
        <v>14</v>
      </c>
      <c r="G445" s="23" t="s">
        <v>15</v>
      </c>
      <c r="H445" s="23" t="s">
        <v>22</v>
      </c>
      <c r="I445" s="23">
        <v>4</v>
      </c>
      <c r="J445" s="23">
        <v>0</v>
      </c>
      <c r="K445" s="23">
        <v>3</v>
      </c>
      <c r="L445" s="23" t="s">
        <v>8363</v>
      </c>
      <c r="M445" s="25">
        <v>1.9</v>
      </c>
      <c r="N445">
        <f t="shared" si="6"/>
        <v>1</v>
      </c>
    </row>
    <row r="446" spans="1:14" x14ac:dyDescent="0.35">
      <c r="A446" s="6" t="s">
        <v>516</v>
      </c>
      <c r="B446" s="19" t="s">
        <v>47</v>
      </c>
      <c r="C446" s="19">
        <v>7</v>
      </c>
      <c r="D446" s="20">
        <v>45860</v>
      </c>
      <c r="E446" s="19" t="s">
        <v>36</v>
      </c>
      <c r="F446" s="19" t="s">
        <v>14</v>
      </c>
      <c r="G446" s="19" t="s">
        <v>21</v>
      </c>
      <c r="H446" s="19" t="s">
        <v>32</v>
      </c>
      <c r="I446" s="19">
        <v>72</v>
      </c>
      <c r="J446" s="19">
        <v>0</v>
      </c>
      <c r="K446" s="19">
        <v>1</v>
      </c>
      <c r="L446" s="19" t="s">
        <v>75</v>
      </c>
      <c r="M446" s="21">
        <v>20.9</v>
      </c>
      <c r="N446">
        <f t="shared" si="6"/>
        <v>1</v>
      </c>
    </row>
    <row r="447" spans="1:14" x14ac:dyDescent="0.35">
      <c r="A447" s="22" t="s">
        <v>517</v>
      </c>
      <c r="B447" s="23" t="s">
        <v>57</v>
      </c>
      <c r="C447" s="23">
        <v>2</v>
      </c>
      <c r="D447" s="24">
        <v>45702</v>
      </c>
      <c r="E447" s="23" t="s">
        <v>25</v>
      </c>
      <c r="F447" s="23" t="s">
        <v>26</v>
      </c>
      <c r="G447" s="23" t="s">
        <v>21</v>
      </c>
      <c r="H447" s="23" t="s">
        <v>22</v>
      </c>
      <c r="I447" s="23">
        <v>4</v>
      </c>
      <c r="J447" s="23">
        <v>0</v>
      </c>
      <c r="K447" s="23">
        <v>4</v>
      </c>
      <c r="L447" s="23" t="s">
        <v>55</v>
      </c>
      <c r="M447" s="25"/>
      <c r="N447">
        <f t="shared" si="6"/>
        <v>1</v>
      </c>
    </row>
    <row r="448" spans="1:14" x14ac:dyDescent="0.35">
      <c r="A448" s="6" t="s">
        <v>518</v>
      </c>
      <c r="B448" s="19" t="s">
        <v>108</v>
      </c>
      <c r="C448" s="19">
        <v>2</v>
      </c>
      <c r="D448" s="20">
        <v>45692</v>
      </c>
      <c r="E448" s="19" t="s">
        <v>25</v>
      </c>
      <c r="F448" s="19" t="s">
        <v>26</v>
      </c>
      <c r="G448" s="19" t="s">
        <v>31</v>
      </c>
      <c r="H448" s="19" t="s">
        <v>32</v>
      </c>
      <c r="I448" s="19">
        <v>48</v>
      </c>
      <c r="J448" s="19">
        <v>3</v>
      </c>
      <c r="K448" s="19">
        <v>5</v>
      </c>
      <c r="L448" s="19" t="s">
        <v>8363</v>
      </c>
      <c r="M448" s="21">
        <v>17.7</v>
      </c>
      <c r="N448">
        <f t="shared" si="6"/>
        <v>1</v>
      </c>
    </row>
    <row r="449" spans="1:14" x14ac:dyDescent="0.35">
      <c r="A449" s="22" t="s">
        <v>519</v>
      </c>
      <c r="B449" s="23" t="s">
        <v>87</v>
      </c>
      <c r="C449" s="23">
        <v>3</v>
      </c>
      <c r="D449" s="24">
        <v>45721</v>
      </c>
      <c r="E449" s="23" t="s">
        <v>13</v>
      </c>
      <c r="F449" s="23" t="s">
        <v>14</v>
      </c>
      <c r="G449" s="23" t="s">
        <v>31</v>
      </c>
      <c r="H449" s="23" t="s">
        <v>22</v>
      </c>
      <c r="I449" s="23">
        <v>48</v>
      </c>
      <c r="J449" s="23">
        <v>0</v>
      </c>
      <c r="K449" s="23">
        <v>4</v>
      </c>
      <c r="L449" s="23" t="s">
        <v>38</v>
      </c>
      <c r="M449" s="25">
        <v>12.4</v>
      </c>
      <c r="N449">
        <f t="shared" si="6"/>
        <v>1</v>
      </c>
    </row>
    <row r="450" spans="1:14" x14ac:dyDescent="0.35">
      <c r="A450" s="6" t="s">
        <v>520</v>
      </c>
      <c r="B450" s="19" t="s">
        <v>97</v>
      </c>
      <c r="C450" s="19"/>
      <c r="D450" s="20"/>
      <c r="E450" s="19" t="s">
        <v>36</v>
      </c>
      <c r="F450" s="19" t="s">
        <v>43</v>
      </c>
      <c r="G450" s="19" t="s">
        <v>31</v>
      </c>
      <c r="H450" s="19" t="s">
        <v>22</v>
      </c>
      <c r="I450" s="19">
        <v>4</v>
      </c>
      <c r="J450" s="19">
        <v>1</v>
      </c>
      <c r="K450" s="19">
        <v>5</v>
      </c>
      <c r="L450" s="19" t="s">
        <v>55</v>
      </c>
      <c r="M450" s="21">
        <v>16.600000000000001</v>
      </c>
      <c r="N450">
        <f t="shared" si="6"/>
        <v>0</v>
      </c>
    </row>
    <row r="451" spans="1:14" x14ac:dyDescent="0.35">
      <c r="A451" s="22" t="s">
        <v>521</v>
      </c>
      <c r="B451" s="23" t="s">
        <v>45</v>
      </c>
      <c r="C451" s="23">
        <v>3</v>
      </c>
      <c r="D451" s="24">
        <v>45723</v>
      </c>
      <c r="E451" s="23" t="s">
        <v>20</v>
      </c>
      <c r="F451" s="23" t="s">
        <v>8364</v>
      </c>
      <c r="G451" s="23" t="s">
        <v>15</v>
      </c>
      <c r="H451" s="23" t="s">
        <v>28</v>
      </c>
      <c r="I451" s="23">
        <v>8</v>
      </c>
      <c r="J451" s="23">
        <v>0</v>
      </c>
      <c r="K451" s="23"/>
      <c r="L451" s="23" t="s">
        <v>33</v>
      </c>
      <c r="M451" s="25">
        <v>0.8</v>
      </c>
      <c r="N451">
        <f t="shared" ref="N451:N514" si="7">IF(M451 &lt;= I451, 1, 0)</f>
        <v>1</v>
      </c>
    </row>
    <row r="452" spans="1:14" x14ac:dyDescent="0.35">
      <c r="A452" s="6" t="s">
        <v>522</v>
      </c>
      <c r="B452" s="19" t="s">
        <v>253</v>
      </c>
      <c r="C452" s="19"/>
      <c r="D452" s="20"/>
      <c r="E452" s="19" t="s">
        <v>25</v>
      </c>
      <c r="F452" s="19" t="s">
        <v>43</v>
      </c>
      <c r="G452" s="19" t="s">
        <v>31</v>
      </c>
      <c r="H452" s="19" t="s">
        <v>28</v>
      </c>
      <c r="I452" s="19">
        <v>24</v>
      </c>
      <c r="J452" s="19">
        <v>0</v>
      </c>
      <c r="K452" s="19">
        <v>5</v>
      </c>
      <c r="L452" s="19" t="s">
        <v>8363</v>
      </c>
      <c r="M452" s="21">
        <v>13.9</v>
      </c>
      <c r="N452">
        <f t="shared" si="7"/>
        <v>1</v>
      </c>
    </row>
    <row r="453" spans="1:14" x14ac:dyDescent="0.35">
      <c r="A453" s="22" t="s">
        <v>523</v>
      </c>
      <c r="B453" s="23" t="s">
        <v>51</v>
      </c>
      <c r="C453" s="23"/>
      <c r="D453" s="24"/>
      <c r="E453" s="23" t="s">
        <v>8364</v>
      </c>
      <c r="F453" s="23" t="s">
        <v>43</v>
      </c>
      <c r="G453" s="23" t="s">
        <v>8364</v>
      </c>
      <c r="H453" s="23" t="s">
        <v>32</v>
      </c>
      <c r="I453" s="23">
        <v>24</v>
      </c>
      <c r="J453" s="23">
        <v>1</v>
      </c>
      <c r="K453" s="23">
        <v>4</v>
      </c>
      <c r="L453" s="23" t="s">
        <v>8363</v>
      </c>
      <c r="M453" s="25">
        <v>5.0999999999999996</v>
      </c>
      <c r="N453">
        <f t="shared" si="7"/>
        <v>1</v>
      </c>
    </row>
    <row r="454" spans="1:14" x14ac:dyDescent="0.35">
      <c r="A454" s="6" t="s">
        <v>524</v>
      </c>
      <c r="B454" s="19" t="s">
        <v>101</v>
      </c>
      <c r="C454" s="19">
        <v>11</v>
      </c>
      <c r="D454" s="20">
        <v>45969</v>
      </c>
      <c r="E454" s="19" t="s">
        <v>20</v>
      </c>
      <c r="F454" s="19" t="s">
        <v>43</v>
      </c>
      <c r="G454" s="19" t="s">
        <v>15</v>
      </c>
      <c r="H454" s="19" t="s">
        <v>8364</v>
      </c>
      <c r="I454" s="19">
        <v>72</v>
      </c>
      <c r="J454" s="19">
        <v>0</v>
      </c>
      <c r="K454" s="19">
        <v>1</v>
      </c>
      <c r="L454" s="19" t="s">
        <v>75</v>
      </c>
      <c r="M454" s="21">
        <v>3.5</v>
      </c>
      <c r="N454">
        <f t="shared" si="7"/>
        <v>1</v>
      </c>
    </row>
    <row r="455" spans="1:14" x14ac:dyDescent="0.35">
      <c r="A455" s="22" t="s">
        <v>525</v>
      </c>
      <c r="B455" s="23" t="s">
        <v>45</v>
      </c>
      <c r="C455" s="23">
        <v>4</v>
      </c>
      <c r="D455" s="24">
        <v>45773</v>
      </c>
      <c r="E455" s="23" t="s">
        <v>13</v>
      </c>
      <c r="F455" s="23" t="s">
        <v>14</v>
      </c>
      <c r="G455" s="23" t="s">
        <v>31</v>
      </c>
      <c r="H455" s="23" t="s">
        <v>32</v>
      </c>
      <c r="I455" s="23">
        <v>72</v>
      </c>
      <c r="J455" s="23">
        <v>0</v>
      </c>
      <c r="K455" s="23">
        <v>2</v>
      </c>
      <c r="L455" s="23" t="s">
        <v>44</v>
      </c>
      <c r="M455" s="25">
        <v>14.4</v>
      </c>
      <c r="N455">
        <f t="shared" si="7"/>
        <v>1</v>
      </c>
    </row>
    <row r="456" spans="1:14" x14ac:dyDescent="0.35">
      <c r="A456" s="6" t="s">
        <v>526</v>
      </c>
      <c r="B456" s="19" t="s">
        <v>49</v>
      </c>
      <c r="C456" s="19">
        <v>5</v>
      </c>
      <c r="D456" s="20">
        <v>45798</v>
      </c>
      <c r="E456" s="19" t="s">
        <v>25</v>
      </c>
      <c r="F456" s="19" t="s">
        <v>59</v>
      </c>
      <c r="G456" s="19" t="s">
        <v>31</v>
      </c>
      <c r="H456" s="19" t="s">
        <v>8364</v>
      </c>
      <c r="I456" s="19">
        <v>72</v>
      </c>
      <c r="J456" s="19">
        <v>1</v>
      </c>
      <c r="K456" s="19">
        <v>5</v>
      </c>
      <c r="L456" s="19" t="s">
        <v>38</v>
      </c>
      <c r="M456" s="21">
        <v>7.8</v>
      </c>
      <c r="N456">
        <f t="shared" si="7"/>
        <v>1</v>
      </c>
    </row>
    <row r="457" spans="1:14" x14ac:dyDescent="0.35">
      <c r="A457" s="22" t="s">
        <v>527</v>
      </c>
      <c r="B457" s="23" t="s">
        <v>47</v>
      </c>
      <c r="C457" s="23">
        <v>2</v>
      </c>
      <c r="D457" s="24">
        <v>45713</v>
      </c>
      <c r="E457" s="23" t="s">
        <v>36</v>
      </c>
      <c r="F457" s="23" t="s">
        <v>26</v>
      </c>
      <c r="G457" s="23" t="s">
        <v>21</v>
      </c>
      <c r="H457" s="23" t="s">
        <v>22</v>
      </c>
      <c r="I457" s="23">
        <v>8</v>
      </c>
      <c r="J457" s="23">
        <v>0</v>
      </c>
      <c r="K457" s="23">
        <v>2</v>
      </c>
      <c r="L457" s="23" t="s">
        <v>17</v>
      </c>
      <c r="M457" s="25">
        <v>7.9</v>
      </c>
      <c r="N457">
        <f t="shared" si="7"/>
        <v>1</v>
      </c>
    </row>
    <row r="458" spans="1:14" x14ac:dyDescent="0.35">
      <c r="A458" s="6" t="s">
        <v>528</v>
      </c>
      <c r="B458" s="19" t="s">
        <v>18</v>
      </c>
      <c r="C458" s="19">
        <v>5</v>
      </c>
      <c r="D458" s="20">
        <v>45788</v>
      </c>
      <c r="E458" s="19" t="s">
        <v>25</v>
      </c>
      <c r="F458" s="19" t="s">
        <v>26</v>
      </c>
      <c r="G458" s="19" t="s">
        <v>15</v>
      </c>
      <c r="H458" s="19" t="s">
        <v>8364</v>
      </c>
      <c r="I458" s="19">
        <v>4</v>
      </c>
      <c r="J458" s="19">
        <v>2</v>
      </c>
      <c r="K458" s="19">
        <v>5</v>
      </c>
      <c r="L458" s="19" t="s">
        <v>8363</v>
      </c>
      <c r="M458" s="21">
        <v>20</v>
      </c>
      <c r="N458">
        <f t="shared" si="7"/>
        <v>0</v>
      </c>
    </row>
    <row r="459" spans="1:14" x14ac:dyDescent="0.35">
      <c r="A459" s="22" t="s">
        <v>529</v>
      </c>
      <c r="B459" s="23" t="s">
        <v>85</v>
      </c>
      <c r="C459" s="23">
        <v>1</v>
      </c>
      <c r="D459" s="24">
        <v>45688</v>
      </c>
      <c r="E459" s="23" t="s">
        <v>20</v>
      </c>
      <c r="F459" s="23" t="s">
        <v>59</v>
      </c>
      <c r="G459" s="23" t="s">
        <v>15</v>
      </c>
      <c r="H459" s="23" t="s">
        <v>8364</v>
      </c>
      <c r="I459" s="23">
        <v>4</v>
      </c>
      <c r="J459" s="23">
        <v>2</v>
      </c>
      <c r="K459" s="23">
        <v>5</v>
      </c>
      <c r="L459" s="23" t="s">
        <v>62</v>
      </c>
      <c r="M459" s="25">
        <v>12.4</v>
      </c>
      <c r="N459">
        <f t="shared" si="7"/>
        <v>0</v>
      </c>
    </row>
    <row r="460" spans="1:14" x14ac:dyDescent="0.35">
      <c r="A460" s="6" t="s">
        <v>530</v>
      </c>
      <c r="B460" s="19" t="s">
        <v>47</v>
      </c>
      <c r="C460" s="19">
        <v>7</v>
      </c>
      <c r="D460" s="20">
        <v>45861</v>
      </c>
      <c r="E460" s="19" t="s">
        <v>13</v>
      </c>
      <c r="F460" s="19" t="s">
        <v>59</v>
      </c>
      <c r="G460" s="19" t="s">
        <v>27</v>
      </c>
      <c r="H460" s="19" t="s">
        <v>28</v>
      </c>
      <c r="I460" s="19">
        <v>24</v>
      </c>
      <c r="J460" s="19">
        <v>2</v>
      </c>
      <c r="K460" s="19">
        <v>4</v>
      </c>
      <c r="L460" s="19" t="s">
        <v>44</v>
      </c>
      <c r="M460" s="21">
        <v>8.4</v>
      </c>
      <c r="N460">
        <f t="shared" si="7"/>
        <v>1</v>
      </c>
    </row>
    <row r="461" spans="1:14" x14ac:dyDescent="0.35">
      <c r="A461" s="22" t="s">
        <v>531</v>
      </c>
      <c r="B461" s="23" t="s">
        <v>104</v>
      </c>
      <c r="C461" s="23"/>
      <c r="D461" s="24"/>
      <c r="E461" s="23" t="s">
        <v>8364</v>
      </c>
      <c r="F461" s="23" t="s">
        <v>14</v>
      </c>
      <c r="G461" s="23" t="s">
        <v>27</v>
      </c>
      <c r="H461" s="23" t="s">
        <v>8364</v>
      </c>
      <c r="I461" s="23">
        <v>48</v>
      </c>
      <c r="J461" s="23">
        <v>0</v>
      </c>
      <c r="K461" s="23">
        <v>2</v>
      </c>
      <c r="L461" s="23" t="s">
        <v>55</v>
      </c>
      <c r="M461" s="25">
        <v>12.2</v>
      </c>
      <c r="N461">
        <f t="shared" si="7"/>
        <v>1</v>
      </c>
    </row>
    <row r="462" spans="1:14" x14ac:dyDescent="0.35">
      <c r="A462" s="6" t="s">
        <v>532</v>
      </c>
      <c r="B462" s="19" t="s">
        <v>85</v>
      </c>
      <c r="C462" s="19">
        <v>5</v>
      </c>
      <c r="D462" s="20">
        <v>45802</v>
      </c>
      <c r="E462" s="19" t="s">
        <v>25</v>
      </c>
      <c r="F462" s="19" t="s">
        <v>26</v>
      </c>
      <c r="G462" s="19" t="s">
        <v>31</v>
      </c>
      <c r="H462" s="19" t="s">
        <v>28</v>
      </c>
      <c r="I462" s="19">
        <v>24</v>
      </c>
      <c r="J462" s="19">
        <v>0</v>
      </c>
      <c r="K462" s="19">
        <v>4</v>
      </c>
      <c r="L462" s="19" t="s">
        <v>8363</v>
      </c>
      <c r="M462" s="21">
        <v>28.4</v>
      </c>
      <c r="N462">
        <f t="shared" si="7"/>
        <v>0</v>
      </c>
    </row>
    <row r="463" spans="1:14" x14ac:dyDescent="0.35">
      <c r="A463" s="22" t="s">
        <v>533</v>
      </c>
      <c r="B463" s="23" t="s">
        <v>130</v>
      </c>
      <c r="C463" s="23">
        <v>5</v>
      </c>
      <c r="D463" s="24">
        <v>45783</v>
      </c>
      <c r="E463" s="23" t="s">
        <v>8364</v>
      </c>
      <c r="F463" s="23" t="s">
        <v>43</v>
      </c>
      <c r="G463" s="23" t="s">
        <v>15</v>
      </c>
      <c r="H463" s="23" t="s">
        <v>22</v>
      </c>
      <c r="I463" s="23">
        <v>48</v>
      </c>
      <c r="J463" s="23">
        <v>0</v>
      </c>
      <c r="K463" s="23">
        <v>5</v>
      </c>
      <c r="L463" s="23" t="s">
        <v>33</v>
      </c>
      <c r="M463" s="25">
        <v>11.7</v>
      </c>
      <c r="N463">
        <f t="shared" si="7"/>
        <v>1</v>
      </c>
    </row>
    <row r="464" spans="1:14" x14ac:dyDescent="0.35">
      <c r="A464" s="6" t="s">
        <v>534</v>
      </c>
      <c r="B464" s="19" t="s">
        <v>181</v>
      </c>
      <c r="C464" s="19">
        <v>8</v>
      </c>
      <c r="D464" s="20">
        <v>45881</v>
      </c>
      <c r="E464" s="19" t="s">
        <v>25</v>
      </c>
      <c r="F464" s="19" t="s">
        <v>26</v>
      </c>
      <c r="G464" s="19" t="s">
        <v>31</v>
      </c>
      <c r="H464" s="19" t="s">
        <v>22</v>
      </c>
      <c r="I464" s="19">
        <v>72</v>
      </c>
      <c r="J464" s="19">
        <v>0</v>
      </c>
      <c r="K464" s="19">
        <v>5</v>
      </c>
      <c r="L464" s="19" t="s">
        <v>38</v>
      </c>
      <c r="M464" s="21">
        <v>13</v>
      </c>
      <c r="N464">
        <f t="shared" si="7"/>
        <v>1</v>
      </c>
    </row>
    <row r="465" spans="1:14" x14ac:dyDescent="0.35">
      <c r="A465" s="22" t="s">
        <v>535</v>
      </c>
      <c r="B465" s="23" t="s">
        <v>108</v>
      </c>
      <c r="C465" s="23">
        <v>3</v>
      </c>
      <c r="D465" s="24">
        <v>45747</v>
      </c>
      <c r="E465" s="23" t="s">
        <v>20</v>
      </c>
      <c r="F465" s="23" t="s">
        <v>14</v>
      </c>
      <c r="G465" s="23" t="s">
        <v>27</v>
      </c>
      <c r="H465" s="23" t="s">
        <v>22</v>
      </c>
      <c r="I465" s="23">
        <v>24</v>
      </c>
      <c r="J465" s="23">
        <v>0</v>
      </c>
      <c r="K465" s="23">
        <v>5</v>
      </c>
      <c r="L465" s="23" t="s">
        <v>44</v>
      </c>
      <c r="M465" s="25">
        <v>10.1</v>
      </c>
      <c r="N465">
        <f t="shared" si="7"/>
        <v>1</v>
      </c>
    </row>
    <row r="466" spans="1:14" x14ac:dyDescent="0.35">
      <c r="A466" s="6" t="s">
        <v>536</v>
      </c>
      <c r="B466" s="19" t="s">
        <v>23</v>
      </c>
      <c r="C466" s="19">
        <v>6</v>
      </c>
      <c r="D466" s="20">
        <v>45819</v>
      </c>
      <c r="E466" s="19" t="s">
        <v>13</v>
      </c>
      <c r="F466" s="19" t="s">
        <v>26</v>
      </c>
      <c r="G466" s="19" t="s">
        <v>31</v>
      </c>
      <c r="H466" s="19" t="s">
        <v>22</v>
      </c>
      <c r="I466" s="19">
        <v>24</v>
      </c>
      <c r="J466" s="19">
        <v>1</v>
      </c>
      <c r="K466" s="19">
        <v>2</v>
      </c>
      <c r="L466" s="19" t="s">
        <v>33</v>
      </c>
      <c r="M466" s="21">
        <v>5.2</v>
      </c>
      <c r="N466">
        <f t="shared" si="7"/>
        <v>1</v>
      </c>
    </row>
    <row r="467" spans="1:14" x14ac:dyDescent="0.35">
      <c r="A467" s="22" t="s">
        <v>537</v>
      </c>
      <c r="B467" s="23" t="s">
        <v>65</v>
      </c>
      <c r="C467" s="23">
        <v>5</v>
      </c>
      <c r="D467" s="24">
        <v>45801</v>
      </c>
      <c r="E467" s="23" t="s">
        <v>13</v>
      </c>
      <c r="F467" s="23" t="s">
        <v>26</v>
      </c>
      <c r="G467" s="23" t="s">
        <v>31</v>
      </c>
      <c r="H467" s="23" t="s">
        <v>22</v>
      </c>
      <c r="I467" s="23">
        <v>4</v>
      </c>
      <c r="J467" s="23">
        <v>0</v>
      </c>
      <c r="K467" s="23">
        <v>3</v>
      </c>
      <c r="L467" s="23" t="s">
        <v>75</v>
      </c>
      <c r="M467" s="25">
        <v>9.8000000000000007</v>
      </c>
      <c r="N467">
        <f t="shared" si="7"/>
        <v>0</v>
      </c>
    </row>
    <row r="468" spans="1:14" x14ac:dyDescent="0.35">
      <c r="A468" s="6" t="s">
        <v>538</v>
      </c>
      <c r="B468" s="19" t="s">
        <v>85</v>
      </c>
      <c r="C468" s="19">
        <v>7</v>
      </c>
      <c r="D468" s="20">
        <v>45853</v>
      </c>
      <c r="E468" s="19" t="s">
        <v>13</v>
      </c>
      <c r="F468" s="19" t="s">
        <v>8364</v>
      </c>
      <c r="G468" s="19" t="s">
        <v>21</v>
      </c>
      <c r="H468" s="19" t="s">
        <v>32</v>
      </c>
      <c r="I468" s="19">
        <v>24</v>
      </c>
      <c r="J468" s="19">
        <v>0</v>
      </c>
      <c r="K468" s="19">
        <v>5</v>
      </c>
      <c r="L468" s="19" t="s">
        <v>62</v>
      </c>
      <c r="M468" s="21">
        <v>17.600000000000001</v>
      </c>
      <c r="N468">
        <f t="shared" si="7"/>
        <v>1</v>
      </c>
    </row>
    <row r="469" spans="1:14" x14ac:dyDescent="0.35">
      <c r="A469" s="22" t="s">
        <v>539</v>
      </c>
      <c r="B469" s="23" t="s">
        <v>47</v>
      </c>
      <c r="C469" s="23">
        <v>11</v>
      </c>
      <c r="D469" s="24">
        <v>45970</v>
      </c>
      <c r="E469" s="23" t="s">
        <v>8364</v>
      </c>
      <c r="F469" s="23" t="s">
        <v>43</v>
      </c>
      <c r="G469" s="23" t="s">
        <v>27</v>
      </c>
      <c r="H469" s="23" t="s">
        <v>8364</v>
      </c>
      <c r="I469" s="23">
        <v>24</v>
      </c>
      <c r="J469" s="23">
        <v>2</v>
      </c>
      <c r="K469" s="23">
        <v>3</v>
      </c>
      <c r="L469" s="23" t="s">
        <v>33</v>
      </c>
      <c r="M469" s="25">
        <v>8.9</v>
      </c>
      <c r="N469">
        <f t="shared" si="7"/>
        <v>1</v>
      </c>
    </row>
    <row r="470" spans="1:14" x14ac:dyDescent="0.35">
      <c r="A470" s="6" t="s">
        <v>540</v>
      </c>
      <c r="B470" s="19" t="s">
        <v>69</v>
      </c>
      <c r="C470" s="19">
        <v>7</v>
      </c>
      <c r="D470" s="20">
        <v>45868</v>
      </c>
      <c r="E470" s="19" t="s">
        <v>13</v>
      </c>
      <c r="F470" s="19" t="s">
        <v>14</v>
      </c>
      <c r="G470" s="19" t="s">
        <v>31</v>
      </c>
      <c r="H470" s="19" t="s">
        <v>22</v>
      </c>
      <c r="I470" s="19">
        <v>8</v>
      </c>
      <c r="J470" s="19">
        <v>0</v>
      </c>
      <c r="K470" s="19">
        <v>2</v>
      </c>
      <c r="L470" s="19" t="s">
        <v>62</v>
      </c>
      <c r="M470" s="21">
        <v>3.2</v>
      </c>
      <c r="N470">
        <f t="shared" si="7"/>
        <v>1</v>
      </c>
    </row>
    <row r="471" spans="1:14" x14ac:dyDescent="0.35">
      <c r="A471" s="22" t="s">
        <v>541</v>
      </c>
      <c r="B471" s="23" t="s">
        <v>130</v>
      </c>
      <c r="C471" s="23">
        <v>5</v>
      </c>
      <c r="D471" s="24">
        <v>45781</v>
      </c>
      <c r="E471" s="23" t="s">
        <v>25</v>
      </c>
      <c r="F471" s="23" t="s">
        <v>14</v>
      </c>
      <c r="G471" s="23" t="s">
        <v>27</v>
      </c>
      <c r="H471" s="23" t="s">
        <v>32</v>
      </c>
      <c r="I471" s="23">
        <v>24</v>
      </c>
      <c r="J471" s="23">
        <v>0</v>
      </c>
      <c r="K471" s="23">
        <v>4</v>
      </c>
      <c r="L471" s="23" t="s">
        <v>17</v>
      </c>
      <c r="M471" s="25">
        <v>7.8</v>
      </c>
      <c r="N471">
        <f t="shared" si="7"/>
        <v>1</v>
      </c>
    </row>
    <row r="472" spans="1:14" x14ac:dyDescent="0.35">
      <c r="A472" s="6" t="s">
        <v>542</v>
      </c>
      <c r="B472" s="19" t="s">
        <v>29</v>
      </c>
      <c r="C472" s="19">
        <v>3</v>
      </c>
      <c r="D472" s="20">
        <v>45726</v>
      </c>
      <c r="E472" s="19" t="s">
        <v>20</v>
      </c>
      <c r="F472" s="19" t="s">
        <v>40</v>
      </c>
      <c r="G472" s="19" t="s">
        <v>15</v>
      </c>
      <c r="H472" s="19" t="s">
        <v>28</v>
      </c>
      <c r="I472" s="19">
        <v>72</v>
      </c>
      <c r="J472" s="19">
        <v>0</v>
      </c>
      <c r="K472" s="19">
        <v>5</v>
      </c>
      <c r="L472" s="19" t="s">
        <v>17</v>
      </c>
      <c r="M472" s="21">
        <v>4.0999999999999996</v>
      </c>
      <c r="N472">
        <f t="shared" si="7"/>
        <v>1</v>
      </c>
    </row>
    <row r="473" spans="1:14" x14ac:dyDescent="0.35">
      <c r="A473" s="22" t="s">
        <v>543</v>
      </c>
      <c r="B473" s="23" t="s">
        <v>253</v>
      </c>
      <c r="C473" s="23">
        <v>10</v>
      </c>
      <c r="D473" s="24">
        <v>45958</v>
      </c>
      <c r="E473" s="23" t="s">
        <v>13</v>
      </c>
      <c r="F473" s="23" t="s">
        <v>14</v>
      </c>
      <c r="G473" s="23" t="s">
        <v>27</v>
      </c>
      <c r="H473" s="23" t="s">
        <v>22</v>
      </c>
      <c r="I473" s="23">
        <v>8</v>
      </c>
      <c r="J473" s="23">
        <v>1</v>
      </c>
      <c r="K473" s="23">
        <v>5</v>
      </c>
      <c r="L473" s="23" t="s">
        <v>8363</v>
      </c>
      <c r="M473" s="25">
        <v>28.7</v>
      </c>
      <c r="N473">
        <f t="shared" si="7"/>
        <v>0</v>
      </c>
    </row>
    <row r="474" spans="1:14" x14ac:dyDescent="0.35">
      <c r="A474" s="6" t="s">
        <v>544</v>
      </c>
      <c r="B474" s="19" t="s">
        <v>104</v>
      </c>
      <c r="C474" s="19">
        <v>7</v>
      </c>
      <c r="D474" s="20">
        <v>45859</v>
      </c>
      <c r="E474" s="19" t="s">
        <v>8364</v>
      </c>
      <c r="F474" s="19" t="s">
        <v>37</v>
      </c>
      <c r="G474" s="19" t="s">
        <v>31</v>
      </c>
      <c r="H474" s="19" t="s">
        <v>8364</v>
      </c>
      <c r="I474" s="19">
        <v>24</v>
      </c>
      <c r="J474" s="19">
        <v>0</v>
      </c>
      <c r="K474" s="19">
        <v>5</v>
      </c>
      <c r="L474" s="19" t="s">
        <v>62</v>
      </c>
      <c r="M474" s="21">
        <v>4.7</v>
      </c>
      <c r="N474">
        <f t="shared" si="7"/>
        <v>1</v>
      </c>
    </row>
    <row r="475" spans="1:14" x14ac:dyDescent="0.35">
      <c r="A475" s="22" t="s">
        <v>545</v>
      </c>
      <c r="B475" s="23" t="s">
        <v>47</v>
      </c>
      <c r="C475" s="23">
        <v>1</v>
      </c>
      <c r="D475" s="24">
        <v>45678</v>
      </c>
      <c r="E475" s="23" t="s">
        <v>20</v>
      </c>
      <c r="F475" s="23" t="s">
        <v>37</v>
      </c>
      <c r="G475" s="23" t="s">
        <v>15</v>
      </c>
      <c r="H475" s="23" t="s">
        <v>16</v>
      </c>
      <c r="I475" s="23">
        <v>48</v>
      </c>
      <c r="J475" s="23">
        <v>1</v>
      </c>
      <c r="K475" s="23">
        <v>3</v>
      </c>
      <c r="L475" s="23" t="s">
        <v>33</v>
      </c>
      <c r="M475" s="25"/>
      <c r="N475">
        <f t="shared" si="7"/>
        <v>1</v>
      </c>
    </row>
    <row r="476" spans="1:14" x14ac:dyDescent="0.35">
      <c r="A476" s="6" t="s">
        <v>546</v>
      </c>
      <c r="B476" s="19" t="s">
        <v>53</v>
      </c>
      <c r="C476" s="19"/>
      <c r="D476" s="20"/>
      <c r="E476" s="19" t="s">
        <v>20</v>
      </c>
      <c r="F476" s="19" t="s">
        <v>37</v>
      </c>
      <c r="G476" s="19" t="s">
        <v>8364</v>
      </c>
      <c r="H476" s="19" t="s">
        <v>22</v>
      </c>
      <c r="I476" s="19">
        <v>48</v>
      </c>
      <c r="J476" s="19">
        <v>0</v>
      </c>
      <c r="K476" s="19">
        <v>5</v>
      </c>
      <c r="L476" s="19" t="s">
        <v>8363</v>
      </c>
      <c r="M476" s="21">
        <v>4.5999999999999996</v>
      </c>
      <c r="N476">
        <f t="shared" si="7"/>
        <v>1</v>
      </c>
    </row>
    <row r="477" spans="1:14" x14ac:dyDescent="0.35">
      <c r="A477" s="22" t="s">
        <v>547</v>
      </c>
      <c r="B477" s="23" t="s">
        <v>89</v>
      </c>
      <c r="C477" s="23">
        <v>7</v>
      </c>
      <c r="D477" s="24">
        <v>45841</v>
      </c>
      <c r="E477" s="23" t="s">
        <v>13</v>
      </c>
      <c r="F477" s="23" t="s">
        <v>37</v>
      </c>
      <c r="G477" s="23" t="s">
        <v>21</v>
      </c>
      <c r="H477" s="23" t="s">
        <v>8364</v>
      </c>
      <c r="I477" s="23">
        <v>48</v>
      </c>
      <c r="J477" s="23">
        <v>0</v>
      </c>
      <c r="K477" s="23">
        <v>2</v>
      </c>
      <c r="L477" s="23" t="s">
        <v>8363</v>
      </c>
      <c r="M477" s="25"/>
      <c r="N477">
        <f t="shared" si="7"/>
        <v>1</v>
      </c>
    </row>
    <row r="478" spans="1:14" x14ac:dyDescent="0.35">
      <c r="A478" s="6" t="s">
        <v>548</v>
      </c>
      <c r="B478" s="19" t="s">
        <v>126</v>
      </c>
      <c r="C478" s="19">
        <v>6</v>
      </c>
      <c r="D478" s="20">
        <v>45833</v>
      </c>
      <c r="E478" s="19" t="s">
        <v>36</v>
      </c>
      <c r="F478" s="19" t="s">
        <v>43</v>
      </c>
      <c r="G478" s="19" t="s">
        <v>27</v>
      </c>
      <c r="H478" s="19" t="s">
        <v>28</v>
      </c>
      <c r="I478" s="19">
        <v>8</v>
      </c>
      <c r="J478" s="19">
        <v>1</v>
      </c>
      <c r="K478" s="19">
        <v>1</v>
      </c>
      <c r="L478" s="19" t="s">
        <v>8363</v>
      </c>
      <c r="M478" s="21"/>
      <c r="N478">
        <f t="shared" si="7"/>
        <v>1</v>
      </c>
    </row>
    <row r="479" spans="1:14" x14ac:dyDescent="0.35">
      <c r="A479" s="22" t="s">
        <v>549</v>
      </c>
      <c r="B479" s="23" t="s">
        <v>236</v>
      </c>
      <c r="C479" s="23"/>
      <c r="D479" s="24"/>
      <c r="E479" s="23" t="s">
        <v>36</v>
      </c>
      <c r="F479" s="23" t="s">
        <v>8364</v>
      </c>
      <c r="G479" s="23" t="s">
        <v>21</v>
      </c>
      <c r="H479" s="23" t="s">
        <v>28</v>
      </c>
      <c r="I479" s="23">
        <v>72</v>
      </c>
      <c r="J479" s="23">
        <v>0</v>
      </c>
      <c r="K479" s="23">
        <v>5</v>
      </c>
      <c r="L479" s="23" t="s">
        <v>33</v>
      </c>
      <c r="M479" s="25">
        <v>0.4</v>
      </c>
      <c r="N479">
        <f t="shared" si="7"/>
        <v>1</v>
      </c>
    </row>
    <row r="480" spans="1:14" x14ac:dyDescent="0.35">
      <c r="A480" s="6" t="s">
        <v>550</v>
      </c>
      <c r="B480" s="19" t="s">
        <v>34</v>
      </c>
      <c r="C480" s="19">
        <v>5</v>
      </c>
      <c r="D480" s="20">
        <v>45791</v>
      </c>
      <c r="E480" s="19" t="s">
        <v>20</v>
      </c>
      <c r="F480" s="19" t="s">
        <v>37</v>
      </c>
      <c r="G480" s="19" t="s">
        <v>8364</v>
      </c>
      <c r="H480" s="19" t="s">
        <v>32</v>
      </c>
      <c r="I480" s="19">
        <v>24</v>
      </c>
      <c r="J480" s="19">
        <v>2</v>
      </c>
      <c r="K480" s="19">
        <v>5</v>
      </c>
      <c r="L480" s="19" t="s">
        <v>8363</v>
      </c>
      <c r="M480" s="21"/>
      <c r="N480">
        <f t="shared" si="7"/>
        <v>1</v>
      </c>
    </row>
    <row r="481" spans="1:14" x14ac:dyDescent="0.35">
      <c r="A481" s="22" t="s">
        <v>551</v>
      </c>
      <c r="B481" s="23" t="s">
        <v>236</v>
      </c>
      <c r="C481" s="23">
        <v>7</v>
      </c>
      <c r="D481" s="24">
        <v>45852</v>
      </c>
      <c r="E481" s="23" t="s">
        <v>20</v>
      </c>
      <c r="F481" s="23" t="s">
        <v>43</v>
      </c>
      <c r="G481" s="23" t="s">
        <v>31</v>
      </c>
      <c r="H481" s="23" t="s">
        <v>28</v>
      </c>
      <c r="I481" s="23">
        <v>48</v>
      </c>
      <c r="J481" s="23">
        <v>0</v>
      </c>
      <c r="K481" s="23">
        <v>5</v>
      </c>
      <c r="L481" s="23" t="s">
        <v>8363</v>
      </c>
      <c r="M481" s="25">
        <v>3.1</v>
      </c>
      <c r="N481">
        <f t="shared" si="7"/>
        <v>1</v>
      </c>
    </row>
    <row r="482" spans="1:14" x14ac:dyDescent="0.35">
      <c r="A482" s="6" t="s">
        <v>552</v>
      </c>
      <c r="B482" s="19" t="s">
        <v>97</v>
      </c>
      <c r="C482" s="19">
        <v>1</v>
      </c>
      <c r="D482" s="20">
        <v>45670</v>
      </c>
      <c r="E482" s="19" t="s">
        <v>20</v>
      </c>
      <c r="F482" s="19" t="s">
        <v>59</v>
      </c>
      <c r="G482" s="19" t="s">
        <v>27</v>
      </c>
      <c r="H482" s="19" t="s">
        <v>22</v>
      </c>
      <c r="I482" s="19">
        <v>24</v>
      </c>
      <c r="J482" s="19">
        <v>0</v>
      </c>
      <c r="K482" s="19">
        <v>5</v>
      </c>
      <c r="L482" s="19" t="s">
        <v>55</v>
      </c>
      <c r="M482" s="21"/>
      <c r="N482">
        <f t="shared" si="7"/>
        <v>1</v>
      </c>
    </row>
    <row r="483" spans="1:14" x14ac:dyDescent="0.35">
      <c r="A483" s="22" t="s">
        <v>553</v>
      </c>
      <c r="B483" s="23" t="s">
        <v>47</v>
      </c>
      <c r="C483" s="23">
        <v>2</v>
      </c>
      <c r="D483" s="24">
        <v>45695</v>
      </c>
      <c r="E483" s="23" t="s">
        <v>13</v>
      </c>
      <c r="F483" s="23" t="s">
        <v>43</v>
      </c>
      <c r="G483" s="23" t="s">
        <v>31</v>
      </c>
      <c r="H483" s="23" t="s">
        <v>28</v>
      </c>
      <c r="I483" s="23">
        <v>72</v>
      </c>
      <c r="J483" s="23">
        <v>0</v>
      </c>
      <c r="K483" s="23">
        <v>5</v>
      </c>
      <c r="L483" s="23" t="s">
        <v>75</v>
      </c>
      <c r="M483" s="25">
        <v>5</v>
      </c>
      <c r="N483">
        <f t="shared" si="7"/>
        <v>1</v>
      </c>
    </row>
    <row r="484" spans="1:14" x14ac:dyDescent="0.35">
      <c r="A484" s="6" t="s">
        <v>554</v>
      </c>
      <c r="B484" s="19" t="s">
        <v>139</v>
      </c>
      <c r="C484" s="19">
        <v>1</v>
      </c>
      <c r="D484" s="20">
        <v>45659</v>
      </c>
      <c r="E484" s="19" t="s">
        <v>25</v>
      </c>
      <c r="F484" s="19" t="s">
        <v>59</v>
      </c>
      <c r="G484" s="19" t="s">
        <v>15</v>
      </c>
      <c r="H484" s="19" t="s">
        <v>22</v>
      </c>
      <c r="I484" s="19">
        <v>8</v>
      </c>
      <c r="J484" s="19"/>
      <c r="K484" s="19">
        <v>3</v>
      </c>
      <c r="L484" s="19" t="s">
        <v>38</v>
      </c>
      <c r="M484" s="21">
        <v>5.7</v>
      </c>
      <c r="N484">
        <f t="shared" si="7"/>
        <v>1</v>
      </c>
    </row>
    <row r="485" spans="1:14" x14ac:dyDescent="0.35">
      <c r="A485" s="22" t="s">
        <v>555</v>
      </c>
      <c r="B485" s="23" t="s">
        <v>23</v>
      </c>
      <c r="C485" s="23">
        <v>1</v>
      </c>
      <c r="D485" s="24">
        <v>45671</v>
      </c>
      <c r="E485" s="23" t="s">
        <v>13</v>
      </c>
      <c r="F485" s="23" t="s">
        <v>14</v>
      </c>
      <c r="G485" s="23" t="s">
        <v>31</v>
      </c>
      <c r="H485" s="23" t="s">
        <v>8364</v>
      </c>
      <c r="I485" s="23">
        <v>24</v>
      </c>
      <c r="J485" s="23">
        <v>0</v>
      </c>
      <c r="K485" s="23">
        <v>2</v>
      </c>
      <c r="L485" s="23" t="s">
        <v>8363</v>
      </c>
      <c r="M485" s="25">
        <v>32.4</v>
      </c>
      <c r="N485">
        <f t="shared" si="7"/>
        <v>0</v>
      </c>
    </row>
    <row r="486" spans="1:14" x14ac:dyDescent="0.35">
      <c r="A486" s="6" t="s">
        <v>556</v>
      </c>
      <c r="B486" s="19" t="s">
        <v>65</v>
      </c>
      <c r="C486" s="19">
        <v>9</v>
      </c>
      <c r="D486" s="20">
        <v>45910</v>
      </c>
      <c r="E486" s="19" t="s">
        <v>8364</v>
      </c>
      <c r="F486" s="19" t="s">
        <v>59</v>
      </c>
      <c r="G486" s="19" t="s">
        <v>27</v>
      </c>
      <c r="H486" s="19" t="s">
        <v>22</v>
      </c>
      <c r="I486" s="19">
        <v>72</v>
      </c>
      <c r="J486" s="19">
        <v>0</v>
      </c>
      <c r="K486" s="19">
        <v>5</v>
      </c>
      <c r="L486" s="19" t="s">
        <v>33</v>
      </c>
      <c r="M486" s="21">
        <v>0.8</v>
      </c>
      <c r="N486">
        <f t="shared" si="7"/>
        <v>1</v>
      </c>
    </row>
    <row r="487" spans="1:14" x14ac:dyDescent="0.35">
      <c r="A487" s="22" t="s">
        <v>557</v>
      </c>
      <c r="B487" s="23" t="s">
        <v>143</v>
      </c>
      <c r="C487" s="23">
        <v>4</v>
      </c>
      <c r="D487" s="24">
        <v>45751</v>
      </c>
      <c r="E487" s="23" t="s">
        <v>36</v>
      </c>
      <c r="F487" s="23" t="s">
        <v>14</v>
      </c>
      <c r="G487" s="23" t="s">
        <v>8364</v>
      </c>
      <c r="H487" s="23" t="s">
        <v>28</v>
      </c>
      <c r="I487" s="23">
        <v>72</v>
      </c>
      <c r="J487" s="23">
        <v>0</v>
      </c>
      <c r="K487" s="23">
        <v>4</v>
      </c>
      <c r="L487" s="23" t="s">
        <v>44</v>
      </c>
      <c r="M487" s="25">
        <v>13.5</v>
      </c>
      <c r="N487">
        <f t="shared" si="7"/>
        <v>1</v>
      </c>
    </row>
    <row r="488" spans="1:14" x14ac:dyDescent="0.35">
      <c r="A488" s="6" t="s">
        <v>558</v>
      </c>
      <c r="B488" s="19" t="s">
        <v>29</v>
      </c>
      <c r="C488" s="19">
        <v>1</v>
      </c>
      <c r="D488" s="20">
        <v>45687</v>
      </c>
      <c r="E488" s="19" t="s">
        <v>13</v>
      </c>
      <c r="F488" s="19" t="s">
        <v>14</v>
      </c>
      <c r="G488" s="19" t="s">
        <v>31</v>
      </c>
      <c r="H488" s="19" t="s">
        <v>32</v>
      </c>
      <c r="I488" s="19">
        <v>8</v>
      </c>
      <c r="J488" s="19">
        <v>0</v>
      </c>
      <c r="K488" s="19">
        <v>5</v>
      </c>
      <c r="L488" s="19" t="s">
        <v>33</v>
      </c>
      <c r="M488" s="21">
        <v>64.400000000000006</v>
      </c>
      <c r="N488">
        <f t="shared" si="7"/>
        <v>0</v>
      </c>
    </row>
    <row r="489" spans="1:14" x14ac:dyDescent="0.35">
      <c r="A489" s="22" t="s">
        <v>559</v>
      </c>
      <c r="B489" s="23" t="s">
        <v>92</v>
      </c>
      <c r="C489" s="23"/>
      <c r="D489" s="24"/>
      <c r="E489" s="23" t="s">
        <v>13</v>
      </c>
      <c r="F489" s="23" t="s">
        <v>43</v>
      </c>
      <c r="G489" s="23" t="s">
        <v>21</v>
      </c>
      <c r="H489" s="23" t="s">
        <v>32</v>
      </c>
      <c r="I489" s="23">
        <v>48</v>
      </c>
      <c r="J489" s="23">
        <v>1</v>
      </c>
      <c r="K489" s="23">
        <v>3</v>
      </c>
      <c r="L489" s="23" t="s">
        <v>38</v>
      </c>
      <c r="M489" s="25"/>
      <c r="N489">
        <f t="shared" si="7"/>
        <v>1</v>
      </c>
    </row>
    <row r="490" spans="1:14" x14ac:dyDescent="0.35">
      <c r="A490" s="6" t="s">
        <v>560</v>
      </c>
      <c r="B490" s="19" t="s">
        <v>101</v>
      </c>
      <c r="C490" s="19">
        <v>4</v>
      </c>
      <c r="D490" s="20">
        <v>45768</v>
      </c>
      <c r="E490" s="19" t="s">
        <v>68</v>
      </c>
      <c r="F490" s="19" t="s">
        <v>8364</v>
      </c>
      <c r="G490" s="19" t="s">
        <v>31</v>
      </c>
      <c r="H490" s="19" t="s">
        <v>32</v>
      </c>
      <c r="I490" s="19">
        <v>8</v>
      </c>
      <c r="J490" s="19">
        <v>0</v>
      </c>
      <c r="K490" s="19">
        <v>4</v>
      </c>
      <c r="L490" s="19" t="s">
        <v>17</v>
      </c>
      <c r="M490" s="21">
        <v>15.4</v>
      </c>
      <c r="N490">
        <f t="shared" si="7"/>
        <v>0</v>
      </c>
    </row>
    <row r="491" spans="1:14" x14ac:dyDescent="0.35">
      <c r="A491" s="22" t="s">
        <v>561</v>
      </c>
      <c r="B491" s="23" t="s">
        <v>78</v>
      </c>
      <c r="C491" s="23">
        <v>3</v>
      </c>
      <c r="D491" s="24">
        <v>45747</v>
      </c>
      <c r="E491" s="23" t="s">
        <v>68</v>
      </c>
      <c r="F491" s="23" t="s">
        <v>14</v>
      </c>
      <c r="G491" s="23" t="s">
        <v>31</v>
      </c>
      <c r="H491" s="23" t="s">
        <v>32</v>
      </c>
      <c r="I491" s="23">
        <v>48</v>
      </c>
      <c r="J491" s="23">
        <v>0</v>
      </c>
      <c r="K491" s="23">
        <v>5</v>
      </c>
      <c r="L491" s="23" t="s">
        <v>75</v>
      </c>
      <c r="M491" s="25">
        <v>6.5</v>
      </c>
      <c r="N491">
        <f t="shared" si="7"/>
        <v>1</v>
      </c>
    </row>
    <row r="492" spans="1:14" x14ac:dyDescent="0.35">
      <c r="A492" s="6" t="s">
        <v>562</v>
      </c>
      <c r="B492" s="19" t="s">
        <v>65</v>
      </c>
      <c r="C492" s="19">
        <v>6</v>
      </c>
      <c r="D492" s="20">
        <v>45815</v>
      </c>
      <c r="E492" s="19" t="s">
        <v>36</v>
      </c>
      <c r="F492" s="19" t="s">
        <v>43</v>
      </c>
      <c r="G492" s="19" t="s">
        <v>31</v>
      </c>
      <c r="H492" s="19" t="s">
        <v>22</v>
      </c>
      <c r="I492" s="19">
        <v>4</v>
      </c>
      <c r="J492" s="19">
        <v>0</v>
      </c>
      <c r="K492" s="19">
        <v>4</v>
      </c>
      <c r="L492" s="19" t="s">
        <v>8363</v>
      </c>
      <c r="M492" s="21">
        <v>9.8000000000000007</v>
      </c>
      <c r="N492">
        <f t="shared" si="7"/>
        <v>0</v>
      </c>
    </row>
    <row r="493" spans="1:14" x14ac:dyDescent="0.35">
      <c r="A493" s="22" t="s">
        <v>563</v>
      </c>
      <c r="B493" s="23" t="s">
        <v>47</v>
      </c>
      <c r="C493" s="23">
        <v>1</v>
      </c>
      <c r="D493" s="24">
        <v>45672</v>
      </c>
      <c r="E493" s="23" t="s">
        <v>25</v>
      </c>
      <c r="F493" s="23" t="s">
        <v>14</v>
      </c>
      <c r="G493" s="23" t="s">
        <v>27</v>
      </c>
      <c r="H493" s="23" t="s">
        <v>22</v>
      </c>
      <c r="I493" s="23">
        <v>72</v>
      </c>
      <c r="J493" s="23">
        <v>0</v>
      </c>
      <c r="K493" s="23">
        <v>5</v>
      </c>
      <c r="L493" s="23" t="s">
        <v>44</v>
      </c>
      <c r="M493" s="25">
        <v>0.4</v>
      </c>
      <c r="N493">
        <f t="shared" si="7"/>
        <v>1</v>
      </c>
    </row>
    <row r="494" spans="1:14" x14ac:dyDescent="0.35">
      <c r="A494" s="6" t="s">
        <v>564</v>
      </c>
      <c r="B494" s="19" t="s">
        <v>126</v>
      </c>
      <c r="C494" s="19">
        <v>11</v>
      </c>
      <c r="D494" s="20">
        <v>45965</v>
      </c>
      <c r="E494" s="19" t="s">
        <v>13</v>
      </c>
      <c r="F494" s="19" t="s">
        <v>43</v>
      </c>
      <c r="G494" s="19" t="s">
        <v>27</v>
      </c>
      <c r="H494" s="19" t="s">
        <v>8364</v>
      </c>
      <c r="I494" s="19">
        <v>8</v>
      </c>
      <c r="J494" s="19">
        <v>0</v>
      </c>
      <c r="K494" s="19">
        <v>4</v>
      </c>
      <c r="L494" s="19" t="s">
        <v>17</v>
      </c>
      <c r="M494" s="21">
        <v>4</v>
      </c>
      <c r="N494">
        <f t="shared" si="7"/>
        <v>1</v>
      </c>
    </row>
    <row r="495" spans="1:14" x14ac:dyDescent="0.35">
      <c r="A495" s="22" t="s">
        <v>565</v>
      </c>
      <c r="B495" s="23" t="s">
        <v>18</v>
      </c>
      <c r="C495" s="23">
        <v>3</v>
      </c>
      <c r="D495" s="24">
        <v>45744</v>
      </c>
      <c r="E495" s="23" t="s">
        <v>36</v>
      </c>
      <c r="F495" s="23" t="s">
        <v>43</v>
      </c>
      <c r="G495" s="23" t="s">
        <v>15</v>
      </c>
      <c r="H495" s="23" t="s">
        <v>22</v>
      </c>
      <c r="I495" s="23">
        <v>48</v>
      </c>
      <c r="J495" s="23">
        <v>0</v>
      </c>
      <c r="K495" s="23">
        <v>2</v>
      </c>
      <c r="L495" s="23" t="s">
        <v>8363</v>
      </c>
      <c r="M495" s="25">
        <v>14</v>
      </c>
      <c r="N495">
        <f t="shared" si="7"/>
        <v>1</v>
      </c>
    </row>
    <row r="496" spans="1:14" x14ac:dyDescent="0.35">
      <c r="A496" s="6" t="s">
        <v>566</v>
      </c>
      <c r="B496" s="19" t="s">
        <v>69</v>
      </c>
      <c r="C496" s="19">
        <v>3</v>
      </c>
      <c r="D496" s="20">
        <v>45738</v>
      </c>
      <c r="E496" s="19" t="s">
        <v>36</v>
      </c>
      <c r="F496" s="19" t="s">
        <v>14</v>
      </c>
      <c r="G496" s="19" t="s">
        <v>31</v>
      </c>
      <c r="H496" s="19" t="s">
        <v>22</v>
      </c>
      <c r="I496" s="19">
        <v>72</v>
      </c>
      <c r="J496" s="19">
        <v>1</v>
      </c>
      <c r="K496" s="19">
        <v>4</v>
      </c>
      <c r="L496" s="19" t="s">
        <v>8363</v>
      </c>
      <c r="M496" s="21">
        <v>11.5</v>
      </c>
      <c r="N496">
        <f t="shared" si="7"/>
        <v>1</v>
      </c>
    </row>
    <row r="497" spans="1:14" x14ac:dyDescent="0.35">
      <c r="A497" s="22" t="s">
        <v>567</v>
      </c>
      <c r="B497" s="23" t="s">
        <v>87</v>
      </c>
      <c r="C497" s="23">
        <v>10</v>
      </c>
      <c r="D497" s="24">
        <v>45940</v>
      </c>
      <c r="E497" s="23" t="s">
        <v>20</v>
      </c>
      <c r="F497" s="23" t="s">
        <v>14</v>
      </c>
      <c r="G497" s="23" t="s">
        <v>8364</v>
      </c>
      <c r="H497" s="23" t="s">
        <v>8364</v>
      </c>
      <c r="I497" s="23">
        <v>72</v>
      </c>
      <c r="J497" s="23">
        <v>0</v>
      </c>
      <c r="K497" s="23">
        <v>5</v>
      </c>
      <c r="L497" s="23" t="s">
        <v>38</v>
      </c>
      <c r="M497" s="25">
        <v>2.6</v>
      </c>
      <c r="N497">
        <f t="shared" si="7"/>
        <v>1</v>
      </c>
    </row>
    <row r="498" spans="1:14" x14ac:dyDescent="0.35">
      <c r="A498" s="6" t="s">
        <v>568</v>
      </c>
      <c r="B498" s="19" t="s">
        <v>45</v>
      </c>
      <c r="C498" s="19">
        <v>5</v>
      </c>
      <c r="D498" s="20">
        <v>45802</v>
      </c>
      <c r="E498" s="19" t="s">
        <v>8364</v>
      </c>
      <c r="F498" s="19" t="s">
        <v>40</v>
      </c>
      <c r="G498" s="19" t="s">
        <v>15</v>
      </c>
      <c r="H498" s="19" t="s">
        <v>22</v>
      </c>
      <c r="I498" s="19">
        <v>48</v>
      </c>
      <c r="J498" s="19">
        <v>2</v>
      </c>
      <c r="K498" s="19">
        <v>4</v>
      </c>
      <c r="L498" s="19" t="s">
        <v>75</v>
      </c>
      <c r="M498" s="21">
        <v>33.200000000000003</v>
      </c>
      <c r="N498">
        <f t="shared" si="7"/>
        <v>1</v>
      </c>
    </row>
    <row r="499" spans="1:14" x14ac:dyDescent="0.35">
      <c r="A499" s="22" t="s">
        <v>569</v>
      </c>
      <c r="B499" s="23" t="s">
        <v>47</v>
      </c>
      <c r="C499" s="23">
        <v>1</v>
      </c>
      <c r="D499" s="24">
        <v>45660</v>
      </c>
      <c r="E499" s="23" t="s">
        <v>13</v>
      </c>
      <c r="F499" s="23" t="s">
        <v>14</v>
      </c>
      <c r="G499" s="23" t="s">
        <v>21</v>
      </c>
      <c r="H499" s="23" t="s">
        <v>22</v>
      </c>
      <c r="I499" s="23">
        <v>8</v>
      </c>
      <c r="J499" s="23">
        <v>2</v>
      </c>
      <c r="K499" s="23">
        <v>4</v>
      </c>
      <c r="L499" s="23" t="s">
        <v>8363</v>
      </c>
      <c r="M499" s="25">
        <v>25.5</v>
      </c>
      <c r="N499">
        <f t="shared" si="7"/>
        <v>0</v>
      </c>
    </row>
    <row r="500" spans="1:14" x14ac:dyDescent="0.35">
      <c r="A500" s="6" t="s">
        <v>570</v>
      </c>
      <c r="B500" s="19" t="s">
        <v>89</v>
      </c>
      <c r="C500" s="19">
        <v>3</v>
      </c>
      <c r="D500" s="20">
        <v>45746</v>
      </c>
      <c r="E500" s="19" t="s">
        <v>13</v>
      </c>
      <c r="F500" s="19" t="s">
        <v>59</v>
      </c>
      <c r="G500" s="19" t="s">
        <v>15</v>
      </c>
      <c r="H500" s="19" t="s">
        <v>28</v>
      </c>
      <c r="I500" s="19">
        <v>4</v>
      </c>
      <c r="J500" s="19">
        <v>0</v>
      </c>
      <c r="K500" s="19">
        <v>4</v>
      </c>
      <c r="L500" s="19" t="s">
        <v>62</v>
      </c>
      <c r="M500" s="21">
        <v>12.9</v>
      </c>
      <c r="N500">
        <f t="shared" si="7"/>
        <v>0</v>
      </c>
    </row>
    <row r="501" spans="1:14" x14ac:dyDescent="0.35">
      <c r="A501" s="22" t="s">
        <v>571</v>
      </c>
      <c r="B501" s="23" t="s">
        <v>29</v>
      </c>
      <c r="C501" s="23">
        <v>3</v>
      </c>
      <c r="D501" s="24">
        <v>45721</v>
      </c>
      <c r="E501" s="23" t="s">
        <v>68</v>
      </c>
      <c r="F501" s="23" t="s">
        <v>37</v>
      </c>
      <c r="G501" s="23" t="s">
        <v>31</v>
      </c>
      <c r="H501" s="23" t="s">
        <v>16</v>
      </c>
      <c r="I501" s="23">
        <v>4</v>
      </c>
      <c r="J501" s="23">
        <v>0</v>
      </c>
      <c r="K501" s="23">
        <v>5</v>
      </c>
      <c r="L501" s="23" t="s">
        <v>8363</v>
      </c>
      <c r="M501" s="25">
        <v>2.6</v>
      </c>
      <c r="N501">
        <f t="shared" si="7"/>
        <v>1</v>
      </c>
    </row>
    <row r="502" spans="1:14" x14ac:dyDescent="0.35">
      <c r="A502" s="6" t="s">
        <v>572</v>
      </c>
      <c r="B502" s="19" t="s">
        <v>130</v>
      </c>
      <c r="C502" s="19">
        <v>5</v>
      </c>
      <c r="D502" s="20">
        <v>45802</v>
      </c>
      <c r="E502" s="19" t="s">
        <v>68</v>
      </c>
      <c r="F502" s="19" t="s">
        <v>14</v>
      </c>
      <c r="G502" s="19" t="s">
        <v>21</v>
      </c>
      <c r="H502" s="19" t="s">
        <v>22</v>
      </c>
      <c r="I502" s="19">
        <v>24</v>
      </c>
      <c r="J502" s="19">
        <v>0</v>
      </c>
      <c r="K502" s="19">
        <v>1</v>
      </c>
      <c r="L502" s="19" t="s">
        <v>38</v>
      </c>
      <c r="M502" s="21">
        <v>14.3</v>
      </c>
      <c r="N502">
        <f t="shared" si="7"/>
        <v>1</v>
      </c>
    </row>
    <row r="503" spans="1:14" x14ac:dyDescent="0.35">
      <c r="A503" s="22" t="s">
        <v>573</v>
      </c>
      <c r="B503" s="23" t="s">
        <v>65</v>
      </c>
      <c r="C503" s="23">
        <v>12</v>
      </c>
      <c r="D503" s="24">
        <v>46009</v>
      </c>
      <c r="E503" s="23" t="s">
        <v>25</v>
      </c>
      <c r="F503" s="23" t="s">
        <v>37</v>
      </c>
      <c r="G503" s="23" t="s">
        <v>31</v>
      </c>
      <c r="H503" s="23" t="s">
        <v>22</v>
      </c>
      <c r="I503" s="23">
        <v>72</v>
      </c>
      <c r="J503" s="23">
        <v>3</v>
      </c>
      <c r="K503" s="23">
        <v>1</v>
      </c>
      <c r="L503" s="23" t="s">
        <v>75</v>
      </c>
      <c r="M503" s="25">
        <v>5.7</v>
      </c>
      <c r="N503">
        <f t="shared" si="7"/>
        <v>1</v>
      </c>
    </row>
    <row r="504" spans="1:14" x14ac:dyDescent="0.35">
      <c r="A504" s="6" t="s">
        <v>574</v>
      </c>
      <c r="B504" s="19" t="s">
        <v>81</v>
      </c>
      <c r="C504" s="19">
        <v>4</v>
      </c>
      <c r="D504" s="20">
        <v>45753</v>
      </c>
      <c r="E504" s="19" t="s">
        <v>20</v>
      </c>
      <c r="F504" s="19" t="s">
        <v>37</v>
      </c>
      <c r="G504" s="19" t="s">
        <v>27</v>
      </c>
      <c r="H504" s="19" t="s">
        <v>8364</v>
      </c>
      <c r="I504" s="19">
        <v>72</v>
      </c>
      <c r="J504" s="19">
        <v>0</v>
      </c>
      <c r="K504" s="19">
        <v>2</v>
      </c>
      <c r="L504" s="19" t="s">
        <v>17</v>
      </c>
      <c r="M504" s="21">
        <v>10</v>
      </c>
      <c r="N504">
        <f t="shared" si="7"/>
        <v>1</v>
      </c>
    </row>
    <row r="505" spans="1:14" x14ac:dyDescent="0.35">
      <c r="A505" s="22" t="s">
        <v>575</v>
      </c>
      <c r="B505" s="23" t="s">
        <v>97</v>
      </c>
      <c r="C505" s="23">
        <v>4</v>
      </c>
      <c r="D505" s="24">
        <v>45751</v>
      </c>
      <c r="E505" s="23" t="s">
        <v>20</v>
      </c>
      <c r="F505" s="23" t="s">
        <v>26</v>
      </c>
      <c r="G505" s="23" t="s">
        <v>27</v>
      </c>
      <c r="H505" s="23" t="s">
        <v>28</v>
      </c>
      <c r="I505" s="23">
        <v>8</v>
      </c>
      <c r="J505" s="23">
        <v>0</v>
      </c>
      <c r="K505" s="23">
        <v>5</v>
      </c>
      <c r="L505" s="23" t="s">
        <v>33</v>
      </c>
      <c r="M505" s="25">
        <v>1.6</v>
      </c>
      <c r="N505">
        <f t="shared" si="7"/>
        <v>1</v>
      </c>
    </row>
    <row r="506" spans="1:14" x14ac:dyDescent="0.35">
      <c r="A506" s="6" t="s">
        <v>576</v>
      </c>
      <c r="B506" s="19" t="s">
        <v>181</v>
      </c>
      <c r="C506" s="19">
        <v>4</v>
      </c>
      <c r="D506" s="20">
        <v>45756</v>
      </c>
      <c r="E506" s="19" t="s">
        <v>13</v>
      </c>
      <c r="F506" s="19" t="s">
        <v>14</v>
      </c>
      <c r="G506" s="19" t="s">
        <v>31</v>
      </c>
      <c r="H506" s="19" t="s">
        <v>22</v>
      </c>
      <c r="I506" s="19">
        <v>8</v>
      </c>
      <c r="J506" s="19">
        <v>0</v>
      </c>
      <c r="K506" s="19">
        <v>4</v>
      </c>
      <c r="L506" s="19" t="s">
        <v>75</v>
      </c>
      <c r="M506" s="21">
        <v>2.7</v>
      </c>
      <c r="N506">
        <f t="shared" si="7"/>
        <v>1</v>
      </c>
    </row>
    <row r="507" spans="1:14" x14ac:dyDescent="0.35">
      <c r="A507" s="22" t="s">
        <v>577</v>
      </c>
      <c r="B507" s="23" t="s">
        <v>57</v>
      </c>
      <c r="C507" s="23">
        <v>3</v>
      </c>
      <c r="D507" s="24">
        <v>45747</v>
      </c>
      <c r="E507" s="23" t="s">
        <v>8364</v>
      </c>
      <c r="F507" s="23" t="s">
        <v>8364</v>
      </c>
      <c r="G507" s="23" t="s">
        <v>27</v>
      </c>
      <c r="H507" s="23" t="s">
        <v>22</v>
      </c>
      <c r="I507" s="23">
        <v>8</v>
      </c>
      <c r="J507" s="23">
        <v>0</v>
      </c>
      <c r="K507" s="23">
        <v>4</v>
      </c>
      <c r="L507" s="23" t="s">
        <v>38</v>
      </c>
      <c r="M507" s="25">
        <v>13.6</v>
      </c>
      <c r="N507">
        <f t="shared" si="7"/>
        <v>0</v>
      </c>
    </row>
    <row r="508" spans="1:14" x14ac:dyDescent="0.35">
      <c r="A508" s="6" t="s">
        <v>578</v>
      </c>
      <c r="B508" s="19" t="s">
        <v>101</v>
      </c>
      <c r="C508" s="19">
        <v>4</v>
      </c>
      <c r="D508" s="20">
        <v>45757</v>
      </c>
      <c r="E508" s="19" t="s">
        <v>13</v>
      </c>
      <c r="F508" s="19" t="s">
        <v>59</v>
      </c>
      <c r="G508" s="19" t="s">
        <v>27</v>
      </c>
      <c r="H508" s="19" t="s">
        <v>28</v>
      </c>
      <c r="I508" s="19">
        <v>24</v>
      </c>
      <c r="J508" s="19">
        <v>0</v>
      </c>
      <c r="K508" s="19"/>
      <c r="L508" s="19" t="s">
        <v>44</v>
      </c>
      <c r="M508" s="21">
        <v>9.6</v>
      </c>
      <c r="N508">
        <f t="shared" si="7"/>
        <v>1</v>
      </c>
    </row>
    <row r="509" spans="1:14" x14ac:dyDescent="0.35">
      <c r="A509" s="22" t="s">
        <v>579</v>
      </c>
      <c r="B509" s="23" t="s">
        <v>85</v>
      </c>
      <c r="C509" s="23">
        <v>7</v>
      </c>
      <c r="D509" s="24">
        <v>45844</v>
      </c>
      <c r="E509" s="23" t="s">
        <v>20</v>
      </c>
      <c r="F509" s="23" t="s">
        <v>8364</v>
      </c>
      <c r="G509" s="23" t="s">
        <v>27</v>
      </c>
      <c r="H509" s="23" t="s">
        <v>8364</v>
      </c>
      <c r="I509" s="23">
        <v>24</v>
      </c>
      <c r="J509" s="23">
        <v>1</v>
      </c>
      <c r="K509" s="23">
        <v>3</v>
      </c>
      <c r="L509" s="23" t="s">
        <v>17</v>
      </c>
      <c r="M509" s="25">
        <v>14.8</v>
      </c>
      <c r="N509">
        <f t="shared" si="7"/>
        <v>1</v>
      </c>
    </row>
    <row r="510" spans="1:14" x14ac:dyDescent="0.35">
      <c r="A510" s="6" t="s">
        <v>580</v>
      </c>
      <c r="B510" s="19" t="s">
        <v>57</v>
      </c>
      <c r="C510" s="19">
        <v>3</v>
      </c>
      <c r="D510" s="20">
        <v>45718</v>
      </c>
      <c r="E510" s="19" t="s">
        <v>20</v>
      </c>
      <c r="F510" s="19" t="s">
        <v>43</v>
      </c>
      <c r="G510" s="19" t="s">
        <v>27</v>
      </c>
      <c r="H510" s="19" t="s">
        <v>28</v>
      </c>
      <c r="I510" s="19">
        <v>8</v>
      </c>
      <c r="J510" s="19">
        <v>0</v>
      </c>
      <c r="K510" s="19">
        <v>5</v>
      </c>
      <c r="L510" s="19" t="s">
        <v>17</v>
      </c>
      <c r="M510" s="21">
        <v>18.8</v>
      </c>
      <c r="N510">
        <f t="shared" si="7"/>
        <v>0</v>
      </c>
    </row>
    <row r="511" spans="1:14" x14ac:dyDescent="0.35">
      <c r="A511" s="22" t="s">
        <v>581</v>
      </c>
      <c r="B511" s="23" t="s">
        <v>89</v>
      </c>
      <c r="C511" s="23">
        <v>8</v>
      </c>
      <c r="D511" s="24">
        <v>45876</v>
      </c>
      <c r="E511" s="23" t="s">
        <v>25</v>
      </c>
      <c r="F511" s="23" t="s">
        <v>26</v>
      </c>
      <c r="G511" s="23" t="s">
        <v>15</v>
      </c>
      <c r="H511" s="23" t="s">
        <v>32</v>
      </c>
      <c r="I511" s="23">
        <v>24</v>
      </c>
      <c r="J511" s="23">
        <v>0</v>
      </c>
      <c r="K511" s="23">
        <v>5</v>
      </c>
      <c r="L511" s="23" t="s">
        <v>8363</v>
      </c>
      <c r="M511" s="25">
        <v>10.199999999999999</v>
      </c>
      <c r="N511">
        <f t="shared" si="7"/>
        <v>1</v>
      </c>
    </row>
    <row r="512" spans="1:14" x14ac:dyDescent="0.35">
      <c r="A512" s="6" t="s">
        <v>582</v>
      </c>
      <c r="B512" s="19" t="s">
        <v>72</v>
      </c>
      <c r="C512" s="19">
        <v>1</v>
      </c>
      <c r="D512" s="20">
        <v>45661</v>
      </c>
      <c r="E512" s="19" t="s">
        <v>20</v>
      </c>
      <c r="F512" s="19" t="s">
        <v>40</v>
      </c>
      <c r="G512" s="19" t="s">
        <v>15</v>
      </c>
      <c r="H512" s="19" t="s">
        <v>32</v>
      </c>
      <c r="I512" s="19">
        <v>4</v>
      </c>
      <c r="J512" s="19">
        <v>0</v>
      </c>
      <c r="K512" s="19">
        <v>1</v>
      </c>
      <c r="L512" s="19" t="s">
        <v>38</v>
      </c>
      <c r="M512" s="21">
        <v>24.4</v>
      </c>
      <c r="N512">
        <f t="shared" si="7"/>
        <v>0</v>
      </c>
    </row>
    <row r="513" spans="1:14" x14ac:dyDescent="0.35">
      <c r="A513" s="22" t="s">
        <v>583</v>
      </c>
      <c r="B513" s="23" t="s">
        <v>158</v>
      </c>
      <c r="C513" s="23">
        <v>1</v>
      </c>
      <c r="D513" s="24">
        <v>45687</v>
      </c>
      <c r="E513" s="23" t="s">
        <v>68</v>
      </c>
      <c r="F513" s="23" t="s">
        <v>37</v>
      </c>
      <c r="G513" s="23" t="s">
        <v>27</v>
      </c>
      <c r="H513" s="23" t="s">
        <v>22</v>
      </c>
      <c r="I513" s="23">
        <v>24</v>
      </c>
      <c r="J513" s="23">
        <v>0</v>
      </c>
      <c r="K513" s="23">
        <v>3</v>
      </c>
      <c r="L513" s="23" t="s">
        <v>55</v>
      </c>
      <c r="M513" s="25"/>
      <c r="N513">
        <f t="shared" si="7"/>
        <v>1</v>
      </c>
    </row>
    <row r="514" spans="1:14" x14ac:dyDescent="0.35">
      <c r="A514" s="6" t="s">
        <v>584</v>
      </c>
      <c r="B514" s="19" t="s">
        <v>158</v>
      </c>
      <c r="C514" s="19">
        <v>9</v>
      </c>
      <c r="D514" s="20">
        <v>45926</v>
      </c>
      <c r="E514" s="19" t="s">
        <v>36</v>
      </c>
      <c r="F514" s="19" t="s">
        <v>8364</v>
      </c>
      <c r="G514" s="19" t="s">
        <v>31</v>
      </c>
      <c r="H514" s="19" t="s">
        <v>32</v>
      </c>
      <c r="I514" s="19">
        <v>48</v>
      </c>
      <c r="J514" s="19">
        <v>1</v>
      </c>
      <c r="K514" s="19">
        <v>1</v>
      </c>
      <c r="L514" s="19" t="s">
        <v>55</v>
      </c>
      <c r="M514" s="21">
        <v>5</v>
      </c>
      <c r="N514">
        <f t="shared" si="7"/>
        <v>1</v>
      </c>
    </row>
    <row r="515" spans="1:14" x14ac:dyDescent="0.35">
      <c r="A515" s="22" t="s">
        <v>585</v>
      </c>
      <c r="B515" s="23" t="s">
        <v>57</v>
      </c>
      <c r="C515" s="23">
        <v>2</v>
      </c>
      <c r="D515" s="24">
        <v>45698</v>
      </c>
      <c r="E515" s="23" t="s">
        <v>68</v>
      </c>
      <c r="F515" s="23" t="s">
        <v>43</v>
      </c>
      <c r="G515" s="23" t="s">
        <v>31</v>
      </c>
      <c r="H515" s="23" t="s">
        <v>28</v>
      </c>
      <c r="I515" s="23">
        <v>4</v>
      </c>
      <c r="J515" s="23">
        <v>0</v>
      </c>
      <c r="K515" s="23">
        <v>5</v>
      </c>
      <c r="L515" s="23" t="s">
        <v>38</v>
      </c>
      <c r="M515" s="25">
        <v>9.4</v>
      </c>
      <c r="N515">
        <f t="shared" ref="N515:N578" si="8">IF(M515 &lt;= I515, 1, 0)</f>
        <v>0</v>
      </c>
    </row>
    <row r="516" spans="1:14" x14ac:dyDescent="0.35">
      <c r="A516" s="6" t="s">
        <v>586</v>
      </c>
      <c r="B516" s="19" t="s">
        <v>104</v>
      </c>
      <c r="C516" s="19">
        <v>5</v>
      </c>
      <c r="D516" s="20">
        <v>45789</v>
      </c>
      <c r="E516" s="19" t="s">
        <v>8364</v>
      </c>
      <c r="F516" s="19" t="s">
        <v>37</v>
      </c>
      <c r="G516" s="19" t="s">
        <v>15</v>
      </c>
      <c r="H516" s="19" t="s">
        <v>22</v>
      </c>
      <c r="I516" s="19">
        <v>72</v>
      </c>
      <c r="J516" s="19">
        <v>0</v>
      </c>
      <c r="K516" s="19">
        <v>5</v>
      </c>
      <c r="L516" s="19" t="s">
        <v>75</v>
      </c>
      <c r="M516" s="21">
        <v>5.2</v>
      </c>
      <c r="N516">
        <f t="shared" si="8"/>
        <v>1</v>
      </c>
    </row>
    <row r="517" spans="1:14" x14ac:dyDescent="0.35">
      <c r="A517" s="22" t="s">
        <v>587</v>
      </c>
      <c r="B517" s="23" t="s">
        <v>69</v>
      </c>
      <c r="C517" s="23">
        <v>8</v>
      </c>
      <c r="D517" s="24">
        <v>45875</v>
      </c>
      <c r="E517" s="23" t="s">
        <v>13</v>
      </c>
      <c r="F517" s="23" t="s">
        <v>14</v>
      </c>
      <c r="G517" s="23" t="s">
        <v>27</v>
      </c>
      <c r="H517" s="23" t="s">
        <v>32</v>
      </c>
      <c r="I517" s="23">
        <v>48</v>
      </c>
      <c r="J517" s="23">
        <v>0</v>
      </c>
      <c r="K517" s="23">
        <v>5</v>
      </c>
      <c r="L517" s="23" t="s">
        <v>33</v>
      </c>
      <c r="M517" s="25">
        <v>16.600000000000001</v>
      </c>
      <c r="N517">
        <f t="shared" si="8"/>
        <v>1</v>
      </c>
    </row>
    <row r="518" spans="1:14" x14ac:dyDescent="0.35">
      <c r="A518" s="6" t="s">
        <v>588</v>
      </c>
      <c r="B518" s="19" t="s">
        <v>49</v>
      </c>
      <c r="C518" s="19">
        <v>4</v>
      </c>
      <c r="D518" s="20">
        <v>45756</v>
      </c>
      <c r="E518" s="19" t="s">
        <v>13</v>
      </c>
      <c r="F518" s="19" t="s">
        <v>59</v>
      </c>
      <c r="G518" s="19" t="s">
        <v>21</v>
      </c>
      <c r="H518" s="19" t="s">
        <v>28</v>
      </c>
      <c r="I518" s="19">
        <v>72</v>
      </c>
      <c r="J518" s="19">
        <v>1</v>
      </c>
      <c r="K518" s="19">
        <v>4</v>
      </c>
      <c r="L518" s="19" t="s">
        <v>38</v>
      </c>
      <c r="M518" s="21"/>
      <c r="N518">
        <f t="shared" si="8"/>
        <v>1</v>
      </c>
    </row>
    <row r="519" spans="1:14" x14ac:dyDescent="0.35">
      <c r="A519" s="22" t="s">
        <v>589</v>
      </c>
      <c r="B519" s="23" t="s">
        <v>51</v>
      </c>
      <c r="C519" s="23">
        <v>8</v>
      </c>
      <c r="D519" s="24">
        <v>45894</v>
      </c>
      <c r="E519" s="23" t="s">
        <v>13</v>
      </c>
      <c r="F519" s="23" t="s">
        <v>14</v>
      </c>
      <c r="G519" s="23" t="s">
        <v>27</v>
      </c>
      <c r="H519" s="23" t="s">
        <v>22</v>
      </c>
      <c r="I519" s="23">
        <v>24</v>
      </c>
      <c r="J519" s="23">
        <v>0</v>
      </c>
      <c r="K519" s="23">
        <v>3</v>
      </c>
      <c r="L519" s="23" t="s">
        <v>17</v>
      </c>
      <c r="M519" s="25">
        <v>11.2</v>
      </c>
      <c r="N519">
        <f t="shared" si="8"/>
        <v>1</v>
      </c>
    </row>
    <row r="520" spans="1:14" x14ac:dyDescent="0.35">
      <c r="A520" s="6" t="s">
        <v>590</v>
      </c>
      <c r="B520" s="19" t="s">
        <v>47</v>
      </c>
      <c r="C520" s="19">
        <v>4</v>
      </c>
      <c r="D520" s="20">
        <v>45774</v>
      </c>
      <c r="E520" s="19" t="s">
        <v>13</v>
      </c>
      <c r="F520" s="19" t="s">
        <v>59</v>
      </c>
      <c r="G520" s="19" t="s">
        <v>8364</v>
      </c>
      <c r="H520" s="19" t="s">
        <v>32</v>
      </c>
      <c r="I520" s="19">
        <v>24</v>
      </c>
      <c r="J520" s="19">
        <v>2</v>
      </c>
      <c r="K520" s="19">
        <v>5</v>
      </c>
      <c r="L520" s="19" t="s">
        <v>75</v>
      </c>
      <c r="M520" s="21"/>
      <c r="N520">
        <f t="shared" si="8"/>
        <v>1</v>
      </c>
    </row>
    <row r="521" spans="1:14" x14ac:dyDescent="0.35">
      <c r="A521" s="22" t="s">
        <v>591</v>
      </c>
      <c r="B521" s="23" t="s">
        <v>53</v>
      </c>
      <c r="C521" s="23">
        <v>5</v>
      </c>
      <c r="D521" s="24">
        <v>45803</v>
      </c>
      <c r="E521" s="23" t="s">
        <v>68</v>
      </c>
      <c r="F521" s="23" t="s">
        <v>14</v>
      </c>
      <c r="G521" s="23" t="s">
        <v>31</v>
      </c>
      <c r="H521" s="23" t="s">
        <v>8364</v>
      </c>
      <c r="I521" s="23">
        <v>4</v>
      </c>
      <c r="J521" s="23">
        <v>1</v>
      </c>
      <c r="K521" s="23">
        <v>5</v>
      </c>
      <c r="L521" s="23" t="s">
        <v>8363</v>
      </c>
      <c r="M521" s="25">
        <v>12</v>
      </c>
      <c r="N521">
        <f t="shared" si="8"/>
        <v>0</v>
      </c>
    </row>
    <row r="522" spans="1:14" x14ac:dyDescent="0.35">
      <c r="A522" s="6" t="s">
        <v>592</v>
      </c>
      <c r="B522" s="19" t="s">
        <v>89</v>
      </c>
      <c r="C522" s="19"/>
      <c r="D522" s="20"/>
      <c r="E522" s="19" t="s">
        <v>20</v>
      </c>
      <c r="F522" s="19" t="s">
        <v>14</v>
      </c>
      <c r="G522" s="19" t="s">
        <v>27</v>
      </c>
      <c r="H522" s="19" t="s">
        <v>28</v>
      </c>
      <c r="I522" s="19">
        <v>72</v>
      </c>
      <c r="J522" s="19">
        <v>1</v>
      </c>
      <c r="K522" s="19">
        <v>5</v>
      </c>
      <c r="L522" s="19" t="s">
        <v>44</v>
      </c>
      <c r="M522" s="21">
        <v>11.9</v>
      </c>
      <c r="N522">
        <f t="shared" si="8"/>
        <v>1</v>
      </c>
    </row>
    <row r="523" spans="1:14" x14ac:dyDescent="0.35">
      <c r="A523" s="22" t="s">
        <v>593</v>
      </c>
      <c r="B523" s="23" t="s">
        <v>53</v>
      </c>
      <c r="C523" s="23">
        <v>4</v>
      </c>
      <c r="D523" s="24">
        <v>45751</v>
      </c>
      <c r="E523" s="23" t="s">
        <v>8364</v>
      </c>
      <c r="F523" s="23" t="s">
        <v>26</v>
      </c>
      <c r="G523" s="23" t="s">
        <v>15</v>
      </c>
      <c r="H523" s="23" t="s">
        <v>22</v>
      </c>
      <c r="I523" s="23">
        <v>48</v>
      </c>
      <c r="J523" s="23">
        <v>1</v>
      </c>
      <c r="K523" s="23">
        <v>4</v>
      </c>
      <c r="L523" s="23" t="s">
        <v>17</v>
      </c>
      <c r="M523" s="25">
        <v>14.6</v>
      </c>
      <c r="N523">
        <f t="shared" si="8"/>
        <v>1</v>
      </c>
    </row>
    <row r="524" spans="1:14" x14ac:dyDescent="0.35">
      <c r="A524" s="6" t="s">
        <v>594</v>
      </c>
      <c r="B524" s="19" t="s">
        <v>130</v>
      </c>
      <c r="C524" s="19">
        <v>9</v>
      </c>
      <c r="D524" s="20">
        <v>45926</v>
      </c>
      <c r="E524" s="19" t="s">
        <v>68</v>
      </c>
      <c r="F524" s="19" t="s">
        <v>26</v>
      </c>
      <c r="G524" s="19" t="s">
        <v>27</v>
      </c>
      <c r="H524" s="19" t="s">
        <v>22</v>
      </c>
      <c r="I524" s="19">
        <v>24</v>
      </c>
      <c r="J524" s="19">
        <v>0</v>
      </c>
      <c r="K524" s="19">
        <v>5</v>
      </c>
      <c r="L524" s="19" t="s">
        <v>55</v>
      </c>
      <c r="M524" s="21">
        <v>15.2</v>
      </c>
      <c r="N524">
        <f t="shared" si="8"/>
        <v>1</v>
      </c>
    </row>
    <row r="525" spans="1:14" x14ac:dyDescent="0.35">
      <c r="A525" s="22" t="s">
        <v>595</v>
      </c>
      <c r="B525" s="23" t="s">
        <v>45</v>
      </c>
      <c r="C525" s="23">
        <v>1</v>
      </c>
      <c r="D525" s="24">
        <v>45686</v>
      </c>
      <c r="E525" s="23" t="s">
        <v>8364</v>
      </c>
      <c r="F525" s="23" t="s">
        <v>26</v>
      </c>
      <c r="G525" s="23" t="s">
        <v>27</v>
      </c>
      <c r="H525" s="23" t="s">
        <v>22</v>
      </c>
      <c r="I525" s="23">
        <v>4</v>
      </c>
      <c r="J525" s="23">
        <v>0</v>
      </c>
      <c r="K525" s="23">
        <v>5</v>
      </c>
      <c r="L525" s="23" t="s">
        <v>8363</v>
      </c>
      <c r="M525" s="25">
        <v>3.7</v>
      </c>
      <c r="N525">
        <f t="shared" si="8"/>
        <v>1</v>
      </c>
    </row>
    <row r="526" spans="1:14" x14ac:dyDescent="0.35">
      <c r="A526" s="6" t="s">
        <v>596</v>
      </c>
      <c r="B526" s="19" t="s">
        <v>89</v>
      </c>
      <c r="C526" s="19">
        <v>2</v>
      </c>
      <c r="D526" s="20">
        <v>45702</v>
      </c>
      <c r="E526" s="19" t="s">
        <v>25</v>
      </c>
      <c r="F526" s="19" t="s">
        <v>26</v>
      </c>
      <c r="G526" s="19" t="s">
        <v>27</v>
      </c>
      <c r="H526" s="19" t="s">
        <v>32</v>
      </c>
      <c r="I526" s="19">
        <v>48</v>
      </c>
      <c r="J526" s="19">
        <v>0</v>
      </c>
      <c r="K526" s="19">
        <v>4</v>
      </c>
      <c r="L526" s="19" t="s">
        <v>75</v>
      </c>
      <c r="M526" s="21">
        <v>8.1999999999999993</v>
      </c>
      <c r="N526">
        <f t="shared" si="8"/>
        <v>1</v>
      </c>
    </row>
    <row r="527" spans="1:14" x14ac:dyDescent="0.35">
      <c r="A527" s="22" t="s">
        <v>597</v>
      </c>
      <c r="B527" s="23" t="s">
        <v>18</v>
      </c>
      <c r="C527" s="23">
        <v>8</v>
      </c>
      <c r="D527" s="24">
        <v>45890</v>
      </c>
      <c r="E527" s="23" t="s">
        <v>20</v>
      </c>
      <c r="F527" s="23" t="s">
        <v>14</v>
      </c>
      <c r="G527" s="23" t="s">
        <v>31</v>
      </c>
      <c r="H527" s="23" t="s">
        <v>22</v>
      </c>
      <c r="I527" s="23">
        <v>24</v>
      </c>
      <c r="J527" s="23">
        <v>0</v>
      </c>
      <c r="K527" s="23">
        <v>3</v>
      </c>
      <c r="L527" s="23" t="s">
        <v>62</v>
      </c>
      <c r="M527" s="25">
        <v>6.7</v>
      </c>
      <c r="N527">
        <f t="shared" si="8"/>
        <v>1</v>
      </c>
    </row>
    <row r="528" spans="1:14" x14ac:dyDescent="0.35">
      <c r="A528" s="6" t="s">
        <v>598</v>
      </c>
      <c r="B528" s="19" t="s">
        <v>47</v>
      </c>
      <c r="C528" s="19">
        <v>4</v>
      </c>
      <c r="D528" s="20">
        <v>45760</v>
      </c>
      <c r="E528" s="19" t="s">
        <v>25</v>
      </c>
      <c r="F528" s="19" t="s">
        <v>8364</v>
      </c>
      <c r="G528" s="19" t="s">
        <v>21</v>
      </c>
      <c r="H528" s="19" t="s">
        <v>28</v>
      </c>
      <c r="I528" s="19">
        <v>8</v>
      </c>
      <c r="J528" s="19">
        <v>0</v>
      </c>
      <c r="K528" s="19">
        <v>3</v>
      </c>
      <c r="L528" s="19" t="s">
        <v>62</v>
      </c>
      <c r="M528" s="21">
        <v>18.3</v>
      </c>
      <c r="N528">
        <f t="shared" si="8"/>
        <v>0</v>
      </c>
    </row>
    <row r="529" spans="1:14" x14ac:dyDescent="0.35">
      <c r="A529" s="22" t="s">
        <v>599</v>
      </c>
      <c r="B529" s="23" t="s">
        <v>158</v>
      </c>
      <c r="C529" s="23"/>
      <c r="D529" s="24"/>
      <c r="E529" s="23" t="s">
        <v>20</v>
      </c>
      <c r="F529" s="23" t="s">
        <v>14</v>
      </c>
      <c r="G529" s="23" t="s">
        <v>15</v>
      </c>
      <c r="H529" s="23" t="s">
        <v>32</v>
      </c>
      <c r="I529" s="23">
        <v>8</v>
      </c>
      <c r="J529" s="23">
        <v>0</v>
      </c>
      <c r="K529" s="23">
        <v>2</v>
      </c>
      <c r="L529" s="23" t="s">
        <v>62</v>
      </c>
      <c r="M529" s="25">
        <v>3.1</v>
      </c>
      <c r="N529">
        <f t="shared" si="8"/>
        <v>1</v>
      </c>
    </row>
    <row r="530" spans="1:14" x14ac:dyDescent="0.35">
      <c r="A530" s="6" t="s">
        <v>600</v>
      </c>
      <c r="B530" s="19" t="s">
        <v>101</v>
      </c>
      <c r="C530" s="19">
        <v>1</v>
      </c>
      <c r="D530" s="20">
        <v>45662</v>
      </c>
      <c r="E530" s="19" t="s">
        <v>36</v>
      </c>
      <c r="F530" s="19" t="s">
        <v>37</v>
      </c>
      <c r="G530" s="19" t="s">
        <v>27</v>
      </c>
      <c r="H530" s="19" t="s">
        <v>8364</v>
      </c>
      <c r="I530" s="19">
        <v>8</v>
      </c>
      <c r="J530" s="19">
        <v>2</v>
      </c>
      <c r="K530" s="19">
        <v>3</v>
      </c>
      <c r="L530" s="19" t="s">
        <v>8363</v>
      </c>
      <c r="M530" s="21">
        <v>2.4</v>
      </c>
      <c r="N530">
        <f t="shared" si="8"/>
        <v>1</v>
      </c>
    </row>
    <row r="531" spans="1:14" x14ac:dyDescent="0.35">
      <c r="A531" s="22" t="s">
        <v>601</v>
      </c>
      <c r="B531" s="23" t="s">
        <v>101</v>
      </c>
      <c r="C531" s="23">
        <v>11</v>
      </c>
      <c r="D531" s="24">
        <v>45989</v>
      </c>
      <c r="E531" s="23" t="s">
        <v>25</v>
      </c>
      <c r="F531" s="23" t="s">
        <v>26</v>
      </c>
      <c r="G531" s="23" t="s">
        <v>15</v>
      </c>
      <c r="H531" s="23" t="s">
        <v>22</v>
      </c>
      <c r="I531" s="23">
        <v>24</v>
      </c>
      <c r="J531" s="23">
        <v>0</v>
      </c>
      <c r="K531" s="23">
        <v>5</v>
      </c>
      <c r="L531" s="23" t="s">
        <v>62</v>
      </c>
      <c r="M531" s="25">
        <v>9.5</v>
      </c>
      <c r="N531">
        <f t="shared" si="8"/>
        <v>1</v>
      </c>
    </row>
    <row r="532" spans="1:14" x14ac:dyDescent="0.35">
      <c r="A532" s="6" t="s">
        <v>602</v>
      </c>
      <c r="B532" s="19" t="s">
        <v>34</v>
      </c>
      <c r="C532" s="19">
        <v>2</v>
      </c>
      <c r="D532" s="20">
        <v>45712</v>
      </c>
      <c r="E532" s="19" t="s">
        <v>20</v>
      </c>
      <c r="F532" s="19" t="s">
        <v>59</v>
      </c>
      <c r="G532" s="19" t="s">
        <v>31</v>
      </c>
      <c r="H532" s="19" t="s">
        <v>22</v>
      </c>
      <c r="I532" s="19">
        <v>72</v>
      </c>
      <c r="J532" s="19">
        <v>0</v>
      </c>
      <c r="K532" s="19"/>
      <c r="L532" s="19" t="s">
        <v>38</v>
      </c>
      <c r="M532" s="21">
        <v>26.8</v>
      </c>
      <c r="N532">
        <f t="shared" si="8"/>
        <v>1</v>
      </c>
    </row>
    <row r="533" spans="1:14" x14ac:dyDescent="0.35">
      <c r="A533" s="22" t="s">
        <v>603</v>
      </c>
      <c r="B533" s="23" t="s">
        <v>89</v>
      </c>
      <c r="C533" s="23">
        <v>9</v>
      </c>
      <c r="D533" s="24">
        <v>45909</v>
      </c>
      <c r="E533" s="23" t="s">
        <v>13</v>
      </c>
      <c r="F533" s="23" t="s">
        <v>43</v>
      </c>
      <c r="G533" s="23" t="s">
        <v>27</v>
      </c>
      <c r="H533" s="23" t="s">
        <v>22</v>
      </c>
      <c r="I533" s="23">
        <v>8</v>
      </c>
      <c r="J533" s="23">
        <v>0</v>
      </c>
      <c r="K533" s="23">
        <v>3</v>
      </c>
      <c r="L533" s="23" t="s">
        <v>8363</v>
      </c>
      <c r="M533" s="25">
        <v>43.9</v>
      </c>
      <c r="N533">
        <f t="shared" si="8"/>
        <v>0</v>
      </c>
    </row>
    <row r="534" spans="1:14" x14ac:dyDescent="0.35">
      <c r="A534" s="6" t="s">
        <v>604</v>
      </c>
      <c r="B534" s="19" t="s">
        <v>69</v>
      </c>
      <c r="C534" s="19">
        <v>6</v>
      </c>
      <c r="D534" s="20">
        <v>45824</v>
      </c>
      <c r="E534" s="19" t="s">
        <v>13</v>
      </c>
      <c r="F534" s="19" t="s">
        <v>40</v>
      </c>
      <c r="G534" s="19" t="s">
        <v>8364</v>
      </c>
      <c r="H534" s="19" t="s">
        <v>32</v>
      </c>
      <c r="I534" s="19">
        <v>8</v>
      </c>
      <c r="J534" s="19">
        <v>0</v>
      </c>
      <c r="K534" s="19">
        <v>4</v>
      </c>
      <c r="L534" s="19" t="s">
        <v>62</v>
      </c>
      <c r="M534" s="21">
        <v>23.7</v>
      </c>
      <c r="N534">
        <f t="shared" si="8"/>
        <v>0</v>
      </c>
    </row>
    <row r="535" spans="1:14" x14ac:dyDescent="0.35">
      <c r="A535" s="22" t="s">
        <v>605</v>
      </c>
      <c r="B535" s="23" t="s">
        <v>89</v>
      </c>
      <c r="C535" s="23">
        <v>11</v>
      </c>
      <c r="D535" s="24">
        <v>45985</v>
      </c>
      <c r="E535" s="23" t="s">
        <v>25</v>
      </c>
      <c r="F535" s="23" t="s">
        <v>26</v>
      </c>
      <c r="G535" s="23" t="s">
        <v>31</v>
      </c>
      <c r="H535" s="23" t="s">
        <v>8364</v>
      </c>
      <c r="I535" s="23">
        <v>4</v>
      </c>
      <c r="J535" s="23">
        <v>0</v>
      </c>
      <c r="K535" s="23">
        <v>5</v>
      </c>
      <c r="L535" s="23" t="s">
        <v>38</v>
      </c>
      <c r="M535" s="25">
        <v>11.4</v>
      </c>
      <c r="N535">
        <f t="shared" si="8"/>
        <v>0</v>
      </c>
    </row>
    <row r="536" spans="1:14" x14ac:dyDescent="0.35">
      <c r="A536" s="6" t="s">
        <v>606</v>
      </c>
      <c r="B536" s="19" t="s">
        <v>143</v>
      </c>
      <c r="C536" s="19">
        <v>3</v>
      </c>
      <c r="D536" s="20">
        <v>45736</v>
      </c>
      <c r="E536" s="19" t="s">
        <v>13</v>
      </c>
      <c r="F536" s="19" t="s">
        <v>40</v>
      </c>
      <c r="G536" s="19" t="s">
        <v>27</v>
      </c>
      <c r="H536" s="19" t="s">
        <v>22</v>
      </c>
      <c r="I536" s="19">
        <v>4</v>
      </c>
      <c r="J536" s="19">
        <v>0</v>
      </c>
      <c r="K536" s="19">
        <v>4</v>
      </c>
      <c r="L536" s="19" t="s">
        <v>8363</v>
      </c>
      <c r="M536" s="21">
        <v>15.8</v>
      </c>
      <c r="N536">
        <f t="shared" si="8"/>
        <v>0</v>
      </c>
    </row>
    <row r="537" spans="1:14" x14ac:dyDescent="0.35">
      <c r="A537" s="22" t="s">
        <v>607</v>
      </c>
      <c r="B537" s="23" t="s">
        <v>108</v>
      </c>
      <c r="C537" s="23">
        <v>7</v>
      </c>
      <c r="D537" s="24">
        <v>45849</v>
      </c>
      <c r="E537" s="23" t="s">
        <v>13</v>
      </c>
      <c r="F537" s="23" t="s">
        <v>8364</v>
      </c>
      <c r="G537" s="23" t="s">
        <v>31</v>
      </c>
      <c r="H537" s="23" t="s">
        <v>22</v>
      </c>
      <c r="I537" s="23">
        <v>24</v>
      </c>
      <c r="J537" s="23">
        <v>0</v>
      </c>
      <c r="K537" s="23">
        <v>4</v>
      </c>
      <c r="L537" s="23" t="s">
        <v>33</v>
      </c>
      <c r="M537" s="25">
        <v>6.3</v>
      </c>
      <c r="N537">
        <f t="shared" si="8"/>
        <v>1</v>
      </c>
    </row>
    <row r="538" spans="1:14" x14ac:dyDescent="0.35">
      <c r="A538" s="6" t="s">
        <v>608</v>
      </c>
      <c r="B538" s="19" t="s">
        <v>85</v>
      </c>
      <c r="C538" s="19">
        <v>2</v>
      </c>
      <c r="D538" s="20">
        <v>45705</v>
      </c>
      <c r="E538" s="19" t="s">
        <v>13</v>
      </c>
      <c r="F538" s="19" t="s">
        <v>43</v>
      </c>
      <c r="G538" s="19" t="s">
        <v>27</v>
      </c>
      <c r="H538" s="19" t="s">
        <v>22</v>
      </c>
      <c r="I538" s="19">
        <v>48</v>
      </c>
      <c r="J538" s="19">
        <v>0</v>
      </c>
      <c r="K538" s="19">
        <v>4</v>
      </c>
      <c r="L538" s="19" t="s">
        <v>33</v>
      </c>
      <c r="M538" s="21">
        <v>13.5</v>
      </c>
      <c r="N538">
        <f t="shared" si="8"/>
        <v>1</v>
      </c>
    </row>
    <row r="539" spans="1:14" x14ac:dyDescent="0.35">
      <c r="A539" s="22" t="s">
        <v>609</v>
      </c>
      <c r="B539" s="23" t="s">
        <v>41</v>
      </c>
      <c r="C539" s="23">
        <v>4</v>
      </c>
      <c r="D539" s="24">
        <v>45756</v>
      </c>
      <c r="E539" s="23" t="s">
        <v>13</v>
      </c>
      <c r="F539" s="23" t="s">
        <v>14</v>
      </c>
      <c r="G539" s="23" t="s">
        <v>27</v>
      </c>
      <c r="H539" s="23" t="s">
        <v>22</v>
      </c>
      <c r="I539" s="23">
        <v>24</v>
      </c>
      <c r="J539" s="23">
        <v>0</v>
      </c>
      <c r="K539" s="23">
        <v>4</v>
      </c>
      <c r="L539" s="23" t="s">
        <v>62</v>
      </c>
      <c r="M539" s="25">
        <v>24.2</v>
      </c>
      <c r="N539">
        <f t="shared" si="8"/>
        <v>0</v>
      </c>
    </row>
    <row r="540" spans="1:14" x14ac:dyDescent="0.35">
      <c r="A540" s="6" t="s">
        <v>610</v>
      </c>
      <c r="B540" s="19" t="s">
        <v>87</v>
      </c>
      <c r="C540" s="19">
        <v>7</v>
      </c>
      <c r="D540" s="20">
        <v>45860</v>
      </c>
      <c r="E540" s="19" t="s">
        <v>20</v>
      </c>
      <c r="F540" s="19" t="s">
        <v>37</v>
      </c>
      <c r="G540" s="19" t="s">
        <v>8364</v>
      </c>
      <c r="H540" s="19" t="s">
        <v>32</v>
      </c>
      <c r="I540" s="19">
        <v>4</v>
      </c>
      <c r="J540" s="19">
        <v>0</v>
      </c>
      <c r="K540" s="19">
        <v>3</v>
      </c>
      <c r="L540" s="19" t="s">
        <v>55</v>
      </c>
      <c r="M540" s="21">
        <v>6.9</v>
      </c>
      <c r="N540">
        <f t="shared" si="8"/>
        <v>0</v>
      </c>
    </row>
    <row r="541" spans="1:14" x14ac:dyDescent="0.35">
      <c r="A541" s="22" t="s">
        <v>611</v>
      </c>
      <c r="B541" s="23" t="s">
        <v>39</v>
      </c>
      <c r="C541" s="23"/>
      <c r="D541" s="24"/>
      <c r="E541" s="23" t="s">
        <v>20</v>
      </c>
      <c r="F541" s="23" t="s">
        <v>59</v>
      </c>
      <c r="G541" s="23" t="s">
        <v>31</v>
      </c>
      <c r="H541" s="23" t="s">
        <v>32</v>
      </c>
      <c r="I541" s="23">
        <v>48</v>
      </c>
      <c r="J541" s="23">
        <v>1</v>
      </c>
      <c r="K541" s="23">
        <v>3</v>
      </c>
      <c r="L541" s="23" t="s">
        <v>38</v>
      </c>
      <c r="M541" s="25"/>
      <c r="N541">
        <f t="shared" si="8"/>
        <v>1</v>
      </c>
    </row>
    <row r="542" spans="1:14" x14ac:dyDescent="0.35">
      <c r="A542" s="6" t="s">
        <v>612</v>
      </c>
      <c r="B542" s="19" t="s">
        <v>34</v>
      </c>
      <c r="C542" s="19">
        <v>7</v>
      </c>
      <c r="D542" s="20">
        <v>45843</v>
      </c>
      <c r="E542" s="19" t="s">
        <v>25</v>
      </c>
      <c r="F542" s="19" t="s">
        <v>59</v>
      </c>
      <c r="G542" s="19" t="s">
        <v>15</v>
      </c>
      <c r="H542" s="19" t="s">
        <v>8364</v>
      </c>
      <c r="I542" s="19">
        <v>48</v>
      </c>
      <c r="J542" s="19">
        <v>0</v>
      </c>
      <c r="K542" s="19">
        <v>2</v>
      </c>
      <c r="L542" s="19" t="s">
        <v>8363</v>
      </c>
      <c r="M542" s="21">
        <v>90</v>
      </c>
      <c r="N542">
        <f t="shared" si="8"/>
        <v>0</v>
      </c>
    </row>
    <row r="543" spans="1:14" x14ac:dyDescent="0.35">
      <c r="A543" s="22" t="s">
        <v>613</v>
      </c>
      <c r="B543" s="23" t="s">
        <v>146</v>
      </c>
      <c r="C543" s="23">
        <v>5</v>
      </c>
      <c r="D543" s="24">
        <v>45802</v>
      </c>
      <c r="E543" s="23" t="s">
        <v>68</v>
      </c>
      <c r="F543" s="23" t="s">
        <v>43</v>
      </c>
      <c r="G543" s="23" t="s">
        <v>31</v>
      </c>
      <c r="H543" s="23" t="s">
        <v>8364</v>
      </c>
      <c r="I543" s="23">
        <v>8</v>
      </c>
      <c r="J543" s="23">
        <v>2</v>
      </c>
      <c r="K543" s="23">
        <v>5</v>
      </c>
      <c r="L543" s="23" t="s">
        <v>8363</v>
      </c>
      <c r="M543" s="25">
        <v>15.2</v>
      </c>
      <c r="N543">
        <f t="shared" si="8"/>
        <v>0</v>
      </c>
    </row>
    <row r="544" spans="1:14" x14ac:dyDescent="0.35">
      <c r="A544" s="6" t="s">
        <v>614</v>
      </c>
      <c r="B544" s="19" t="s">
        <v>81</v>
      </c>
      <c r="C544" s="19">
        <v>1</v>
      </c>
      <c r="D544" s="20">
        <v>45688</v>
      </c>
      <c r="E544" s="19" t="s">
        <v>13</v>
      </c>
      <c r="F544" s="19" t="s">
        <v>43</v>
      </c>
      <c r="G544" s="19" t="s">
        <v>15</v>
      </c>
      <c r="H544" s="19" t="s">
        <v>28</v>
      </c>
      <c r="I544" s="19">
        <v>8</v>
      </c>
      <c r="J544" s="19">
        <v>0</v>
      </c>
      <c r="K544" s="19">
        <v>4</v>
      </c>
      <c r="L544" s="19" t="s">
        <v>38</v>
      </c>
      <c r="M544" s="21">
        <v>6.9</v>
      </c>
      <c r="N544">
        <f t="shared" si="8"/>
        <v>1</v>
      </c>
    </row>
    <row r="545" spans="1:14" x14ac:dyDescent="0.35">
      <c r="A545" s="22" t="s">
        <v>615</v>
      </c>
      <c r="B545" s="23" t="s">
        <v>236</v>
      </c>
      <c r="C545" s="23">
        <v>9</v>
      </c>
      <c r="D545" s="24">
        <v>45922</v>
      </c>
      <c r="E545" s="23" t="s">
        <v>25</v>
      </c>
      <c r="F545" s="23" t="s">
        <v>14</v>
      </c>
      <c r="G545" s="23" t="s">
        <v>21</v>
      </c>
      <c r="H545" s="23" t="s">
        <v>22</v>
      </c>
      <c r="I545" s="23">
        <v>24</v>
      </c>
      <c r="J545" s="23">
        <v>0</v>
      </c>
      <c r="K545" s="23"/>
      <c r="L545" s="23" t="s">
        <v>75</v>
      </c>
      <c r="M545" s="25">
        <v>8.4</v>
      </c>
      <c r="N545">
        <f t="shared" si="8"/>
        <v>1</v>
      </c>
    </row>
    <row r="546" spans="1:14" x14ac:dyDescent="0.35">
      <c r="A546" s="6" t="s">
        <v>616</v>
      </c>
      <c r="B546" s="19" t="s">
        <v>39</v>
      </c>
      <c r="C546" s="19">
        <v>6</v>
      </c>
      <c r="D546" s="20">
        <v>45811</v>
      </c>
      <c r="E546" s="19" t="s">
        <v>20</v>
      </c>
      <c r="F546" s="19" t="s">
        <v>43</v>
      </c>
      <c r="G546" s="19" t="s">
        <v>21</v>
      </c>
      <c r="H546" s="19" t="s">
        <v>32</v>
      </c>
      <c r="I546" s="19">
        <v>48</v>
      </c>
      <c r="J546" s="19">
        <v>0</v>
      </c>
      <c r="K546" s="19">
        <v>5</v>
      </c>
      <c r="L546" s="19" t="s">
        <v>8363</v>
      </c>
      <c r="M546" s="21">
        <v>16.8</v>
      </c>
      <c r="N546">
        <f t="shared" si="8"/>
        <v>1</v>
      </c>
    </row>
    <row r="547" spans="1:14" x14ac:dyDescent="0.35">
      <c r="A547" s="22" t="s">
        <v>617</v>
      </c>
      <c r="B547" s="23" t="s">
        <v>126</v>
      </c>
      <c r="C547" s="23">
        <v>1</v>
      </c>
      <c r="D547" s="24">
        <v>45662</v>
      </c>
      <c r="E547" s="23" t="s">
        <v>13</v>
      </c>
      <c r="F547" s="23" t="s">
        <v>26</v>
      </c>
      <c r="G547" s="23" t="s">
        <v>31</v>
      </c>
      <c r="H547" s="23" t="s">
        <v>22</v>
      </c>
      <c r="I547" s="23">
        <v>8</v>
      </c>
      <c r="J547" s="23">
        <v>0</v>
      </c>
      <c r="K547" s="23"/>
      <c r="L547" s="23" t="s">
        <v>17</v>
      </c>
      <c r="M547" s="25"/>
      <c r="N547">
        <f t="shared" si="8"/>
        <v>1</v>
      </c>
    </row>
    <row r="548" spans="1:14" x14ac:dyDescent="0.35">
      <c r="A548" s="6" t="s">
        <v>618</v>
      </c>
      <c r="B548" s="19" t="s">
        <v>72</v>
      </c>
      <c r="C548" s="19">
        <v>2</v>
      </c>
      <c r="D548" s="20">
        <v>45695</v>
      </c>
      <c r="E548" s="19" t="s">
        <v>20</v>
      </c>
      <c r="F548" s="19" t="s">
        <v>14</v>
      </c>
      <c r="G548" s="19" t="s">
        <v>15</v>
      </c>
      <c r="H548" s="19" t="s">
        <v>22</v>
      </c>
      <c r="I548" s="19">
        <v>4</v>
      </c>
      <c r="J548" s="19">
        <v>1</v>
      </c>
      <c r="K548" s="19">
        <v>1</v>
      </c>
      <c r="L548" s="19" t="s">
        <v>55</v>
      </c>
      <c r="M548" s="21">
        <v>11.3</v>
      </c>
      <c r="N548">
        <f t="shared" si="8"/>
        <v>0</v>
      </c>
    </row>
    <row r="549" spans="1:14" x14ac:dyDescent="0.35">
      <c r="A549" s="22" t="s">
        <v>619</v>
      </c>
      <c r="B549" s="23" t="s">
        <v>39</v>
      </c>
      <c r="C549" s="23">
        <v>7</v>
      </c>
      <c r="D549" s="24">
        <v>45864</v>
      </c>
      <c r="E549" s="23" t="s">
        <v>13</v>
      </c>
      <c r="F549" s="23" t="s">
        <v>43</v>
      </c>
      <c r="G549" s="23" t="s">
        <v>31</v>
      </c>
      <c r="H549" s="23" t="s">
        <v>8364</v>
      </c>
      <c r="I549" s="23">
        <v>24</v>
      </c>
      <c r="J549" s="23">
        <v>0</v>
      </c>
      <c r="K549" s="23">
        <v>5</v>
      </c>
      <c r="L549" s="23" t="s">
        <v>44</v>
      </c>
      <c r="M549" s="25">
        <v>2.2000000000000002</v>
      </c>
      <c r="N549">
        <f t="shared" si="8"/>
        <v>1</v>
      </c>
    </row>
    <row r="550" spans="1:14" x14ac:dyDescent="0.35">
      <c r="A550" s="6" t="s">
        <v>620</v>
      </c>
      <c r="B550" s="19" t="s">
        <v>104</v>
      </c>
      <c r="C550" s="19">
        <v>2</v>
      </c>
      <c r="D550" s="20">
        <v>45706</v>
      </c>
      <c r="E550" s="19" t="s">
        <v>36</v>
      </c>
      <c r="F550" s="19" t="s">
        <v>40</v>
      </c>
      <c r="G550" s="19" t="s">
        <v>15</v>
      </c>
      <c r="H550" s="19" t="s">
        <v>8364</v>
      </c>
      <c r="I550" s="19">
        <v>8</v>
      </c>
      <c r="J550" s="19">
        <v>0</v>
      </c>
      <c r="K550" s="19">
        <v>5</v>
      </c>
      <c r="L550" s="19" t="s">
        <v>44</v>
      </c>
      <c r="M550" s="21">
        <v>12.6</v>
      </c>
      <c r="N550">
        <f t="shared" si="8"/>
        <v>0</v>
      </c>
    </row>
    <row r="551" spans="1:14" x14ac:dyDescent="0.35">
      <c r="A551" s="22" t="s">
        <v>621</v>
      </c>
      <c r="B551" s="23" t="s">
        <v>104</v>
      </c>
      <c r="C551" s="23">
        <v>7</v>
      </c>
      <c r="D551" s="24">
        <v>45851</v>
      </c>
      <c r="E551" s="23" t="s">
        <v>36</v>
      </c>
      <c r="F551" s="23" t="s">
        <v>26</v>
      </c>
      <c r="G551" s="23" t="s">
        <v>31</v>
      </c>
      <c r="H551" s="23" t="s">
        <v>22</v>
      </c>
      <c r="I551" s="23">
        <v>8</v>
      </c>
      <c r="J551" s="23">
        <v>0</v>
      </c>
      <c r="K551" s="23">
        <v>4</v>
      </c>
      <c r="L551" s="23" t="s">
        <v>55</v>
      </c>
      <c r="M551" s="25">
        <v>1.1000000000000001</v>
      </c>
      <c r="N551">
        <f t="shared" si="8"/>
        <v>1</v>
      </c>
    </row>
    <row r="552" spans="1:14" x14ac:dyDescent="0.35">
      <c r="A552" s="6" t="s">
        <v>622</v>
      </c>
      <c r="B552" s="19" t="s">
        <v>69</v>
      </c>
      <c r="C552" s="19">
        <v>7</v>
      </c>
      <c r="D552" s="20">
        <v>45856</v>
      </c>
      <c r="E552" s="19" t="s">
        <v>25</v>
      </c>
      <c r="F552" s="19" t="s">
        <v>8364</v>
      </c>
      <c r="G552" s="19" t="s">
        <v>31</v>
      </c>
      <c r="H552" s="19" t="s">
        <v>8364</v>
      </c>
      <c r="I552" s="19">
        <v>72</v>
      </c>
      <c r="J552" s="19">
        <v>0</v>
      </c>
      <c r="K552" s="19">
        <v>3</v>
      </c>
      <c r="L552" s="19" t="s">
        <v>38</v>
      </c>
      <c r="M552" s="21"/>
      <c r="N552">
        <f t="shared" si="8"/>
        <v>1</v>
      </c>
    </row>
    <row r="553" spans="1:14" x14ac:dyDescent="0.35">
      <c r="A553" s="22" t="s">
        <v>623</v>
      </c>
      <c r="B553" s="23" t="s">
        <v>45</v>
      </c>
      <c r="C553" s="23">
        <v>3</v>
      </c>
      <c r="D553" s="24">
        <v>45733</v>
      </c>
      <c r="E553" s="23" t="s">
        <v>36</v>
      </c>
      <c r="F553" s="23" t="s">
        <v>43</v>
      </c>
      <c r="G553" s="23" t="s">
        <v>21</v>
      </c>
      <c r="H553" s="23" t="s">
        <v>28</v>
      </c>
      <c r="I553" s="23">
        <v>8</v>
      </c>
      <c r="J553" s="23">
        <v>0</v>
      </c>
      <c r="K553" s="23">
        <v>5</v>
      </c>
      <c r="L553" s="23" t="s">
        <v>44</v>
      </c>
      <c r="M553" s="25">
        <v>36.200000000000003</v>
      </c>
      <c r="N553">
        <f t="shared" si="8"/>
        <v>0</v>
      </c>
    </row>
    <row r="554" spans="1:14" x14ac:dyDescent="0.35">
      <c r="A554" s="6" t="s">
        <v>624</v>
      </c>
      <c r="B554" s="19" t="s">
        <v>92</v>
      </c>
      <c r="C554" s="19">
        <v>11</v>
      </c>
      <c r="D554" s="20">
        <v>45985</v>
      </c>
      <c r="E554" s="19" t="s">
        <v>25</v>
      </c>
      <c r="F554" s="19" t="s">
        <v>8364</v>
      </c>
      <c r="G554" s="19" t="s">
        <v>27</v>
      </c>
      <c r="H554" s="19" t="s">
        <v>28</v>
      </c>
      <c r="I554" s="19">
        <v>8</v>
      </c>
      <c r="J554" s="19">
        <v>0</v>
      </c>
      <c r="K554" s="19">
        <v>5</v>
      </c>
      <c r="L554" s="19" t="s">
        <v>33</v>
      </c>
      <c r="M554" s="21">
        <v>16.399999999999999</v>
      </c>
      <c r="N554">
        <f t="shared" si="8"/>
        <v>0</v>
      </c>
    </row>
    <row r="555" spans="1:14" x14ac:dyDescent="0.35">
      <c r="A555" s="22" t="s">
        <v>625</v>
      </c>
      <c r="B555" s="23" t="s">
        <v>130</v>
      </c>
      <c r="C555" s="23">
        <v>2</v>
      </c>
      <c r="D555" s="24">
        <v>45693</v>
      </c>
      <c r="E555" s="23" t="s">
        <v>36</v>
      </c>
      <c r="F555" s="23" t="s">
        <v>26</v>
      </c>
      <c r="G555" s="23" t="s">
        <v>15</v>
      </c>
      <c r="H555" s="23" t="s">
        <v>22</v>
      </c>
      <c r="I555" s="23">
        <v>24</v>
      </c>
      <c r="J555" s="23">
        <v>0</v>
      </c>
      <c r="K555" s="23">
        <v>4</v>
      </c>
      <c r="L555" s="23" t="s">
        <v>8363</v>
      </c>
      <c r="M555" s="25">
        <v>3.2</v>
      </c>
      <c r="N555">
        <f t="shared" si="8"/>
        <v>1</v>
      </c>
    </row>
    <row r="556" spans="1:14" x14ac:dyDescent="0.35">
      <c r="A556" s="6" t="s">
        <v>626</v>
      </c>
      <c r="B556" s="19" t="s">
        <v>34</v>
      </c>
      <c r="C556" s="19">
        <v>7</v>
      </c>
      <c r="D556" s="20">
        <v>45848</v>
      </c>
      <c r="E556" s="19" t="s">
        <v>8364</v>
      </c>
      <c r="F556" s="19" t="s">
        <v>37</v>
      </c>
      <c r="G556" s="19" t="s">
        <v>31</v>
      </c>
      <c r="H556" s="19" t="s">
        <v>28</v>
      </c>
      <c r="I556" s="19">
        <v>24</v>
      </c>
      <c r="J556" s="19">
        <v>0</v>
      </c>
      <c r="K556" s="19">
        <v>3</v>
      </c>
      <c r="L556" s="19" t="s">
        <v>8363</v>
      </c>
      <c r="M556" s="21">
        <v>6.1</v>
      </c>
      <c r="N556">
        <f t="shared" si="8"/>
        <v>1</v>
      </c>
    </row>
    <row r="557" spans="1:14" x14ac:dyDescent="0.35">
      <c r="A557" s="22" t="s">
        <v>627</v>
      </c>
      <c r="B557" s="23" t="s">
        <v>51</v>
      </c>
      <c r="C557" s="23">
        <v>8</v>
      </c>
      <c r="D557" s="24">
        <v>45890</v>
      </c>
      <c r="E557" s="23" t="s">
        <v>8364</v>
      </c>
      <c r="F557" s="23" t="s">
        <v>43</v>
      </c>
      <c r="G557" s="23" t="s">
        <v>27</v>
      </c>
      <c r="H557" s="23" t="s">
        <v>22</v>
      </c>
      <c r="I557" s="23">
        <v>4</v>
      </c>
      <c r="J557" s="23">
        <v>1</v>
      </c>
      <c r="K557" s="23">
        <v>5</v>
      </c>
      <c r="L557" s="23" t="s">
        <v>75</v>
      </c>
      <c r="M557" s="25">
        <v>3.4</v>
      </c>
      <c r="N557">
        <f t="shared" si="8"/>
        <v>1</v>
      </c>
    </row>
    <row r="558" spans="1:14" x14ac:dyDescent="0.35">
      <c r="A558" s="6" t="s">
        <v>628</v>
      </c>
      <c r="B558" s="19" t="s">
        <v>69</v>
      </c>
      <c r="C558" s="19"/>
      <c r="D558" s="20"/>
      <c r="E558" s="19" t="s">
        <v>25</v>
      </c>
      <c r="F558" s="19" t="s">
        <v>14</v>
      </c>
      <c r="G558" s="19" t="s">
        <v>27</v>
      </c>
      <c r="H558" s="19" t="s">
        <v>32</v>
      </c>
      <c r="I558" s="19">
        <v>48</v>
      </c>
      <c r="J558" s="19">
        <v>1</v>
      </c>
      <c r="K558" s="19"/>
      <c r="L558" s="19" t="s">
        <v>8363</v>
      </c>
      <c r="M558" s="21">
        <v>4.9000000000000004</v>
      </c>
      <c r="N558">
        <f t="shared" si="8"/>
        <v>1</v>
      </c>
    </row>
    <row r="559" spans="1:14" x14ac:dyDescent="0.35">
      <c r="A559" s="22" t="s">
        <v>629</v>
      </c>
      <c r="B559" s="23" t="s">
        <v>126</v>
      </c>
      <c r="C559" s="23">
        <v>2</v>
      </c>
      <c r="D559" s="24">
        <v>45706</v>
      </c>
      <c r="E559" s="23" t="s">
        <v>8364</v>
      </c>
      <c r="F559" s="23" t="s">
        <v>14</v>
      </c>
      <c r="G559" s="23" t="s">
        <v>21</v>
      </c>
      <c r="H559" s="23" t="s">
        <v>8364</v>
      </c>
      <c r="I559" s="23">
        <v>48</v>
      </c>
      <c r="J559" s="23">
        <v>1</v>
      </c>
      <c r="K559" s="23">
        <v>4</v>
      </c>
      <c r="L559" s="23" t="s">
        <v>75</v>
      </c>
      <c r="M559" s="25">
        <v>19.3</v>
      </c>
      <c r="N559">
        <f t="shared" si="8"/>
        <v>1</v>
      </c>
    </row>
    <row r="560" spans="1:14" x14ac:dyDescent="0.35">
      <c r="A560" s="6" t="s">
        <v>630</v>
      </c>
      <c r="B560" s="19" t="s">
        <v>99</v>
      </c>
      <c r="C560" s="19">
        <v>8</v>
      </c>
      <c r="D560" s="20">
        <v>45880</v>
      </c>
      <c r="E560" s="19" t="s">
        <v>13</v>
      </c>
      <c r="F560" s="19" t="s">
        <v>43</v>
      </c>
      <c r="G560" s="19" t="s">
        <v>31</v>
      </c>
      <c r="H560" s="19" t="s">
        <v>8364</v>
      </c>
      <c r="I560" s="19">
        <v>4</v>
      </c>
      <c r="J560" s="19">
        <v>0</v>
      </c>
      <c r="K560" s="19">
        <v>5</v>
      </c>
      <c r="L560" s="19" t="s">
        <v>38</v>
      </c>
      <c r="M560" s="21">
        <v>4.5</v>
      </c>
      <c r="N560">
        <f t="shared" si="8"/>
        <v>0</v>
      </c>
    </row>
    <row r="561" spans="1:14" x14ac:dyDescent="0.35">
      <c r="A561" s="22" t="s">
        <v>631</v>
      </c>
      <c r="B561" s="23" t="s">
        <v>97</v>
      </c>
      <c r="C561" s="23">
        <v>4</v>
      </c>
      <c r="D561" s="24">
        <v>45748</v>
      </c>
      <c r="E561" s="23" t="s">
        <v>13</v>
      </c>
      <c r="F561" s="23" t="s">
        <v>40</v>
      </c>
      <c r="G561" s="23" t="s">
        <v>8364</v>
      </c>
      <c r="H561" s="23" t="s">
        <v>8364</v>
      </c>
      <c r="I561" s="23">
        <v>48</v>
      </c>
      <c r="J561" s="23">
        <v>1</v>
      </c>
      <c r="K561" s="23">
        <v>5</v>
      </c>
      <c r="L561" s="23" t="s">
        <v>62</v>
      </c>
      <c r="M561" s="25">
        <v>29.8</v>
      </c>
      <c r="N561">
        <f t="shared" si="8"/>
        <v>1</v>
      </c>
    </row>
    <row r="562" spans="1:14" x14ac:dyDescent="0.35">
      <c r="A562" s="6" t="s">
        <v>632</v>
      </c>
      <c r="B562" s="19" t="s">
        <v>18</v>
      </c>
      <c r="C562" s="19">
        <v>11</v>
      </c>
      <c r="D562" s="20">
        <v>45984</v>
      </c>
      <c r="E562" s="19" t="s">
        <v>36</v>
      </c>
      <c r="F562" s="19" t="s">
        <v>43</v>
      </c>
      <c r="G562" s="19" t="s">
        <v>27</v>
      </c>
      <c r="H562" s="19" t="s">
        <v>32</v>
      </c>
      <c r="I562" s="19">
        <v>48</v>
      </c>
      <c r="J562" s="19">
        <v>2</v>
      </c>
      <c r="K562" s="19">
        <v>3</v>
      </c>
      <c r="L562" s="19" t="s">
        <v>8363</v>
      </c>
      <c r="M562" s="21">
        <v>8.5</v>
      </c>
      <c r="N562">
        <f t="shared" si="8"/>
        <v>1</v>
      </c>
    </row>
    <row r="563" spans="1:14" x14ac:dyDescent="0.35">
      <c r="A563" s="22" t="s">
        <v>633</v>
      </c>
      <c r="B563" s="23" t="s">
        <v>130</v>
      </c>
      <c r="C563" s="23">
        <v>6</v>
      </c>
      <c r="D563" s="24">
        <v>45827</v>
      </c>
      <c r="E563" s="23" t="s">
        <v>13</v>
      </c>
      <c r="F563" s="23" t="s">
        <v>43</v>
      </c>
      <c r="G563" s="23" t="s">
        <v>21</v>
      </c>
      <c r="H563" s="23" t="s">
        <v>22</v>
      </c>
      <c r="I563" s="23">
        <v>4</v>
      </c>
      <c r="J563" s="23">
        <v>0</v>
      </c>
      <c r="K563" s="23">
        <v>1</v>
      </c>
      <c r="L563" s="23" t="s">
        <v>38</v>
      </c>
      <c r="M563" s="25">
        <v>5</v>
      </c>
      <c r="N563">
        <f t="shared" si="8"/>
        <v>0</v>
      </c>
    </row>
    <row r="564" spans="1:14" x14ac:dyDescent="0.35">
      <c r="A564" s="6" t="s">
        <v>634</v>
      </c>
      <c r="B564" s="19" t="s">
        <v>65</v>
      </c>
      <c r="C564" s="19">
        <v>12</v>
      </c>
      <c r="D564" s="20">
        <v>45998</v>
      </c>
      <c r="E564" s="19" t="s">
        <v>25</v>
      </c>
      <c r="F564" s="19" t="s">
        <v>40</v>
      </c>
      <c r="G564" s="19" t="s">
        <v>31</v>
      </c>
      <c r="H564" s="19" t="s">
        <v>22</v>
      </c>
      <c r="I564" s="19">
        <v>24</v>
      </c>
      <c r="J564" s="19">
        <v>0</v>
      </c>
      <c r="K564" s="19">
        <v>5</v>
      </c>
      <c r="L564" s="19" t="s">
        <v>8363</v>
      </c>
      <c r="M564" s="21">
        <v>11</v>
      </c>
      <c r="N564">
        <f t="shared" si="8"/>
        <v>1</v>
      </c>
    </row>
    <row r="565" spans="1:14" x14ac:dyDescent="0.35">
      <c r="A565" s="22" t="s">
        <v>635</v>
      </c>
      <c r="B565" s="23" t="s">
        <v>41</v>
      </c>
      <c r="C565" s="23">
        <v>4</v>
      </c>
      <c r="D565" s="24">
        <v>45766</v>
      </c>
      <c r="E565" s="23" t="s">
        <v>8364</v>
      </c>
      <c r="F565" s="23" t="s">
        <v>26</v>
      </c>
      <c r="G565" s="23" t="s">
        <v>8364</v>
      </c>
      <c r="H565" s="23" t="s">
        <v>22</v>
      </c>
      <c r="I565" s="23">
        <v>8</v>
      </c>
      <c r="J565" s="23">
        <v>1</v>
      </c>
      <c r="K565" s="23">
        <v>3</v>
      </c>
      <c r="L565" s="23" t="s">
        <v>55</v>
      </c>
      <c r="M565" s="25">
        <v>17</v>
      </c>
      <c r="N565">
        <f t="shared" si="8"/>
        <v>0</v>
      </c>
    </row>
    <row r="566" spans="1:14" x14ac:dyDescent="0.35">
      <c r="A566" s="6" t="s">
        <v>636</v>
      </c>
      <c r="B566" s="19" t="s">
        <v>49</v>
      </c>
      <c r="C566" s="19">
        <v>9</v>
      </c>
      <c r="D566" s="20">
        <v>45905</v>
      </c>
      <c r="E566" s="19" t="s">
        <v>25</v>
      </c>
      <c r="F566" s="19" t="s">
        <v>14</v>
      </c>
      <c r="G566" s="19" t="s">
        <v>27</v>
      </c>
      <c r="H566" s="19" t="s">
        <v>28</v>
      </c>
      <c r="I566" s="19">
        <v>72</v>
      </c>
      <c r="J566" s="19">
        <v>0</v>
      </c>
      <c r="K566" s="19">
        <v>5</v>
      </c>
      <c r="L566" s="19" t="s">
        <v>8363</v>
      </c>
      <c r="M566" s="21">
        <v>14.3</v>
      </c>
      <c r="N566">
        <f t="shared" si="8"/>
        <v>1</v>
      </c>
    </row>
    <row r="567" spans="1:14" x14ac:dyDescent="0.35">
      <c r="A567" s="22" t="s">
        <v>637</v>
      </c>
      <c r="B567" s="23" t="s">
        <v>53</v>
      </c>
      <c r="C567" s="23">
        <v>4</v>
      </c>
      <c r="D567" s="24">
        <v>45766</v>
      </c>
      <c r="E567" s="23" t="s">
        <v>20</v>
      </c>
      <c r="F567" s="23" t="s">
        <v>14</v>
      </c>
      <c r="G567" s="23" t="s">
        <v>15</v>
      </c>
      <c r="H567" s="23" t="s">
        <v>22</v>
      </c>
      <c r="I567" s="23">
        <v>4</v>
      </c>
      <c r="J567" s="23">
        <v>2</v>
      </c>
      <c r="K567" s="23">
        <v>3</v>
      </c>
      <c r="L567" s="23" t="s">
        <v>8363</v>
      </c>
      <c r="M567" s="25">
        <v>9.8000000000000007</v>
      </c>
      <c r="N567">
        <f t="shared" si="8"/>
        <v>0</v>
      </c>
    </row>
    <row r="568" spans="1:14" x14ac:dyDescent="0.35">
      <c r="A568" s="6" t="s">
        <v>638</v>
      </c>
      <c r="B568" s="19" t="s">
        <v>51</v>
      </c>
      <c r="C568" s="19">
        <v>1</v>
      </c>
      <c r="D568" s="20">
        <v>45671</v>
      </c>
      <c r="E568" s="19" t="s">
        <v>20</v>
      </c>
      <c r="F568" s="19" t="s">
        <v>14</v>
      </c>
      <c r="G568" s="19" t="s">
        <v>31</v>
      </c>
      <c r="H568" s="19" t="s">
        <v>22</v>
      </c>
      <c r="I568" s="19">
        <v>24</v>
      </c>
      <c r="J568" s="19">
        <v>0</v>
      </c>
      <c r="K568" s="19">
        <v>5</v>
      </c>
      <c r="L568" s="19" t="s">
        <v>75</v>
      </c>
      <c r="M568" s="21">
        <v>6.3</v>
      </c>
      <c r="N568">
        <f t="shared" si="8"/>
        <v>1</v>
      </c>
    </row>
    <row r="569" spans="1:14" x14ac:dyDescent="0.35">
      <c r="A569" s="22" t="s">
        <v>639</v>
      </c>
      <c r="B569" s="23" t="s">
        <v>139</v>
      </c>
      <c r="C569" s="23">
        <v>4</v>
      </c>
      <c r="D569" s="24">
        <v>45770</v>
      </c>
      <c r="E569" s="23" t="s">
        <v>8364</v>
      </c>
      <c r="F569" s="23" t="s">
        <v>43</v>
      </c>
      <c r="G569" s="23" t="s">
        <v>27</v>
      </c>
      <c r="H569" s="23" t="s">
        <v>32</v>
      </c>
      <c r="I569" s="23">
        <v>48</v>
      </c>
      <c r="J569" s="23">
        <v>1</v>
      </c>
      <c r="K569" s="23">
        <v>5</v>
      </c>
      <c r="L569" s="23" t="s">
        <v>44</v>
      </c>
      <c r="M569" s="25">
        <v>24.1</v>
      </c>
      <c r="N569">
        <f t="shared" si="8"/>
        <v>1</v>
      </c>
    </row>
    <row r="570" spans="1:14" x14ac:dyDescent="0.35">
      <c r="A570" s="6" t="s">
        <v>640</v>
      </c>
      <c r="B570" s="19" t="s">
        <v>47</v>
      </c>
      <c r="C570" s="19">
        <v>7</v>
      </c>
      <c r="D570" s="20">
        <v>45846</v>
      </c>
      <c r="E570" s="19" t="s">
        <v>8364</v>
      </c>
      <c r="F570" s="19" t="s">
        <v>14</v>
      </c>
      <c r="G570" s="19" t="s">
        <v>27</v>
      </c>
      <c r="H570" s="19" t="s">
        <v>28</v>
      </c>
      <c r="I570" s="19">
        <v>4</v>
      </c>
      <c r="J570" s="19">
        <v>0</v>
      </c>
      <c r="K570" s="19">
        <v>1</v>
      </c>
      <c r="L570" s="19" t="s">
        <v>38</v>
      </c>
      <c r="M570" s="21"/>
      <c r="N570">
        <f t="shared" si="8"/>
        <v>1</v>
      </c>
    </row>
    <row r="571" spans="1:14" x14ac:dyDescent="0.35">
      <c r="A571" s="22" t="s">
        <v>641</v>
      </c>
      <c r="B571" s="23" t="s">
        <v>146</v>
      </c>
      <c r="C571" s="23">
        <v>8</v>
      </c>
      <c r="D571" s="24">
        <v>45891</v>
      </c>
      <c r="E571" s="23" t="s">
        <v>8364</v>
      </c>
      <c r="F571" s="23" t="s">
        <v>14</v>
      </c>
      <c r="G571" s="23" t="s">
        <v>8364</v>
      </c>
      <c r="H571" s="23" t="s">
        <v>22</v>
      </c>
      <c r="I571" s="23">
        <v>8</v>
      </c>
      <c r="J571" s="23">
        <v>0</v>
      </c>
      <c r="K571" s="23">
        <v>3</v>
      </c>
      <c r="L571" s="23" t="s">
        <v>75</v>
      </c>
      <c r="M571" s="25">
        <v>1.6</v>
      </c>
      <c r="N571">
        <f t="shared" si="8"/>
        <v>1</v>
      </c>
    </row>
    <row r="572" spans="1:14" x14ac:dyDescent="0.35">
      <c r="A572" s="6" t="s">
        <v>642</v>
      </c>
      <c r="B572" s="19" t="s">
        <v>92</v>
      </c>
      <c r="C572" s="19">
        <v>3</v>
      </c>
      <c r="D572" s="20">
        <v>45725</v>
      </c>
      <c r="E572" s="19" t="s">
        <v>25</v>
      </c>
      <c r="F572" s="19" t="s">
        <v>14</v>
      </c>
      <c r="G572" s="19" t="s">
        <v>27</v>
      </c>
      <c r="H572" s="19" t="s">
        <v>16</v>
      </c>
      <c r="I572" s="19">
        <v>72</v>
      </c>
      <c r="J572" s="19">
        <v>0</v>
      </c>
      <c r="K572" s="19">
        <v>4</v>
      </c>
      <c r="L572" s="19" t="s">
        <v>75</v>
      </c>
      <c r="M572" s="21">
        <v>10.5</v>
      </c>
      <c r="N572">
        <f t="shared" si="8"/>
        <v>1</v>
      </c>
    </row>
    <row r="573" spans="1:14" x14ac:dyDescent="0.35">
      <c r="A573" s="22" t="s">
        <v>643</v>
      </c>
      <c r="B573" s="23" t="s">
        <v>53</v>
      </c>
      <c r="C573" s="23">
        <v>9</v>
      </c>
      <c r="D573" s="24">
        <v>45918</v>
      </c>
      <c r="E573" s="23" t="s">
        <v>68</v>
      </c>
      <c r="F573" s="23" t="s">
        <v>43</v>
      </c>
      <c r="G573" s="23" t="s">
        <v>15</v>
      </c>
      <c r="H573" s="23" t="s">
        <v>28</v>
      </c>
      <c r="I573" s="23">
        <v>72</v>
      </c>
      <c r="J573" s="23">
        <v>0</v>
      </c>
      <c r="K573" s="23">
        <v>5</v>
      </c>
      <c r="L573" s="23" t="s">
        <v>44</v>
      </c>
      <c r="M573" s="25">
        <v>11.8</v>
      </c>
      <c r="N573">
        <f t="shared" si="8"/>
        <v>1</v>
      </c>
    </row>
    <row r="574" spans="1:14" x14ac:dyDescent="0.35">
      <c r="A574" s="6" t="s">
        <v>644</v>
      </c>
      <c r="B574" s="19" t="s">
        <v>69</v>
      </c>
      <c r="C574" s="19">
        <v>9</v>
      </c>
      <c r="D574" s="20">
        <v>45902</v>
      </c>
      <c r="E574" s="19" t="s">
        <v>13</v>
      </c>
      <c r="F574" s="19" t="s">
        <v>8364</v>
      </c>
      <c r="G574" s="19" t="s">
        <v>31</v>
      </c>
      <c r="H574" s="19" t="s">
        <v>32</v>
      </c>
      <c r="I574" s="19">
        <v>24</v>
      </c>
      <c r="J574" s="19">
        <v>1</v>
      </c>
      <c r="K574" s="19">
        <v>5</v>
      </c>
      <c r="L574" s="19" t="s">
        <v>75</v>
      </c>
      <c r="M574" s="21">
        <v>25.1</v>
      </c>
      <c r="N574">
        <f t="shared" si="8"/>
        <v>0</v>
      </c>
    </row>
    <row r="575" spans="1:14" x14ac:dyDescent="0.35">
      <c r="A575" s="22" t="s">
        <v>645</v>
      </c>
      <c r="B575" s="23" t="s">
        <v>41</v>
      </c>
      <c r="C575" s="23">
        <v>2</v>
      </c>
      <c r="D575" s="24">
        <v>45701</v>
      </c>
      <c r="E575" s="23" t="s">
        <v>20</v>
      </c>
      <c r="F575" s="23" t="s">
        <v>43</v>
      </c>
      <c r="G575" s="23" t="s">
        <v>21</v>
      </c>
      <c r="H575" s="23" t="s">
        <v>28</v>
      </c>
      <c r="I575" s="23">
        <v>48</v>
      </c>
      <c r="J575" s="23">
        <v>0</v>
      </c>
      <c r="K575" s="23">
        <v>4</v>
      </c>
      <c r="L575" s="23" t="s">
        <v>62</v>
      </c>
      <c r="M575" s="25">
        <v>18.600000000000001</v>
      </c>
      <c r="N575">
        <f t="shared" si="8"/>
        <v>1</v>
      </c>
    </row>
    <row r="576" spans="1:14" x14ac:dyDescent="0.35">
      <c r="A576" s="6" t="s">
        <v>646</v>
      </c>
      <c r="B576" s="19" t="s">
        <v>146</v>
      </c>
      <c r="C576" s="19">
        <v>7</v>
      </c>
      <c r="D576" s="20">
        <v>45854</v>
      </c>
      <c r="E576" s="19" t="s">
        <v>8364</v>
      </c>
      <c r="F576" s="19" t="s">
        <v>40</v>
      </c>
      <c r="G576" s="19" t="s">
        <v>15</v>
      </c>
      <c r="H576" s="19" t="s">
        <v>22</v>
      </c>
      <c r="I576" s="19">
        <v>8</v>
      </c>
      <c r="J576" s="19">
        <v>0</v>
      </c>
      <c r="K576" s="19">
        <v>5</v>
      </c>
      <c r="L576" s="19" t="s">
        <v>44</v>
      </c>
      <c r="M576" s="21">
        <v>9.6999999999999993</v>
      </c>
      <c r="N576">
        <f t="shared" si="8"/>
        <v>0</v>
      </c>
    </row>
    <row r="577" spans="1:14" x14ac:dyDescent="0.35">
      <c r="A577" s="22" t="s">
        <v>647</v>
      </c>
      <c r="B577" s="23" t="s">
        <v>65</v>
      </c>
      <c r="C577" s="23">
        <v>5</v>
      </c>
      <c r="D577" s="24">
        <v>45781</v>
      </c>
      <c r="E577" s="23" t="s">
        <v>20</v>
      </c>
      <c r="F577" s="23" t="s">
        <v>37</v>
      </c>
      <c r="G577" s="23" t="s">
        <v>15</v>
      </c>
      <c r="H577" s="23" t="s">
        <v>22</v>
      </c>
      <c r="I577" s="23">
        <v>72</v>
      </c>
      <c r="J577" s="23">
        <v>0</v>
      </c>
      <c r="K577" s="23">
        <v>4</v>
      </c>
      <c r="L577" s="23" t="s">
        <v>38</v>
      </c>
      <c r="M577" s="25">
        <v>3.7</v>
      </c>
      <c r="N577">
        <f t="shared" si="8"/>
        <v>1</v>
      </c>
    </row>
    <row r="578" spans="1:14" x14ac:dyDescent="0.35">
      <c r="A578" s="6" t="s">
        <v>648</v>
      </c>
      <c r="B578" s="19" t="s">
        <v>92</v>
      </c>
      <c r="C578" s="19">
        <v>7</v>
      </c>
      <c r="D578" s="20">
        <v>45869</v>
      </c>
      <c r="E578" s="19" t="s">
        <v>25</v>
      </c>
      <c r="F578" s="19" t="s">
        <v>43</v>
      </c>
      <c r="G578" s="19" t="s">
        <v>31</v>
      </c>
      <c r="H578" s="19" t="s">
        <v>28</v>
      </c>
      <c r="I578" s="19">
        <v>24</v>
      </c>
      <c r="J578" s="19">
        <v>0</v>
      </c>
      <c r="K578" s="19">
        <v>4</v>
      </c>
      <c r="L578" s="19" t="s">
        <v>8363</v>
      </c>
      <c r="M578" s="21"/>
      <c r="N578">
        <f t="shared" si="8"/>
        <v>1</v>
      </c>
    </row>
    <row r="579" spans="1:14" x14ac:dyDescent="0.35">
      <c r="A579" s="22" t="s">
        <v>649</v>
      </c>
      <c r="B579" s="23" t="s">
        <v>81</v>
      </c>
      <c r="C579" s="23">
        <v>6</v>
      </c>
      <c r="D579" s="24">
        <v>45812</v>
      </c>
      <c r="E579" s="23" t="s">
        <v>13</v>
      </c>
      <c r="F579" s="23" t="s">
        <v>26</v>
      </c>
      <c r="G579" s="23" t="s">
        <v>21</v>
      </c>
      <c r="H579" s="23" t="s">
        <v>22</v>
      </c>
      <c r="I579" s="23">
        <v>48</v>
      </c>
      <c r="J579" s="23">
        <v>0</v>
      </c>
      <c r="K579" s="23">
        <v>3</v>
      </c>
      <c r="L579" s="23" t="s">
        <v>55</v>
      </c>
      <c r="M579" s="25">
        <v>15</v>
      </c>
      <c r="N579">
        <f t="shared" ref="N579:N642" si="9">IF(M579 &lt;= I579, 1, 0)</f>
        <v>1</v>
      </c>
    </row>
    <row r="580" spans="1:14" x14ac:dyDescent="0.35">
      <c r="A580" s="6" t="s">
        <v>650</v>
      </c>
      <c r="B580" s="19" t="s">
        <v>158</v>
      </c>
      <c r="C580" s="19">
        <v>11</v>
      </c>
      <c r="D580" s="20">
        <v>45969</v>
      </c>
      <c r="E580" s="19" t="s">
        <v>13</v>
      </c>
      <c r="F580" s="19" t="s">
        <v>26</v>
      </c>
      <c r="G580" s="19" t="s">
        <v>27</v>
      </c>
      <c r="H580" s="19" t="s">
        <v>8364</v>
      </c>
      <c r="I580" s="19">
        <v>48</v>
      </c>
      <c r="J580" s="19">
        <v>0</v>
      </c>
      <c r="K580" s="19">
        <v>5</v>
      </c>
      <c r="L580" s="19" t="s">
        <v>44</v>
      </c>
      <c r="M580" s="21">
        <v>8.6999999999999993</v>
      </c>
      <c r="N580">
        <f t="shared" si="9"/>
        <v>1</v>
      </c>
    </row>
    <row r="581" spans="1:14" x14ac:dyDescent="0.35">
      <c r="A581" s="22" t="s">
        <v>651</v>
      </c>
      <c r="B581" s="23" t="s">
        <v>253</v>
      </c>
      <c r="C581" s="23">
        <v>12</v>
      </c>
      <c r="D581" s="24">
        <v>46017</v>
      </c>
      <c r="E581" s="23" t="s">
        <v>13</v>
      </c>
      <c r="F581" s="23" t="s">
        <v>43</v>
      </c>
      <c r="G581" s="23" t="s">
        <v>31</v>
      </c>
      <c r="H581" s="23" t="s">
        <v>22</v>
      </c>
      <c r="I581" s="23">
        <v>24</v>
      </c>
      <c r="J581" s="23">
        <v>0</v>
      </c>
      <c r="K581" s="23">
        <v>5</v>
      </c>
      <c r="L581" s="23" t="s">
        <v>8363</v>
      </c>
      <c r="M581" s="25">
        <v>2.2000000000000002</v>
      </c>
      <c r="N581">
        <f t="shared" si="9"/>
        <v>1</v>
      </c>
    </row>
    <row r="582" spans="1:14" x14ac:dyDescent="0.35">
      <c r="A582" s="6" t="s">
        <v>652</v>
      </c>
      <c r="B582" s="19" t="s">
        <v>81</v>
      </c>
      <c r="C582" s="19">
        <v>5</v>
      </c>
      <c r="D582" s="20">
        <v>45788</v>
      </c>
      <c r="E582" s="19" t="s">
        <v>8364</v>
      </c>
      <c r="F582" s="19" t="s">
        <v>43</v>
      </c>
      <c r="G582" s="19" t="s">
        <v>8364</v>
      </c>
      <c r="H582" s="19" t="s">
        <v>28</v>
      </c>
      <c r="I582" s="19">
        <v>4</v>
      </c>
      <c r="J582" s="19">
        <v>3</v>
      </c>
      <c r="K582" s="19">
        <v>4</v>
      </c>
      <c r="L582" s="19" t="s">
        <v>75</v>
      </c>
      <c r="M582" s="21">
        <v>2.9</v>
      </c>
      <c r="N582">
        <f t="shared" si="9"/>
        <v>1</v>
      </c>
    </row>
    <row r="583" spans="1:14" x14ac:dyDescent="0.35">
      <c r="A583" s="22" t="s">
        <v>653</v>
      </c>
      <c r="B583" s="23" t="s">
        <v>78</v>
      </c>
      <c r="C583" s="23">
        <v>7</v>
      </c>
      <c r="D583" s="24">
        <v>45848</v>
      </c>
      <c r="E583" s="23" t="s">
        <v>8364</v>
      </c>
      <c r="F583" s="23" t="s">
        <v>14</v>
      </c>
      <c r="G583" s="23" t="s">
        <v>21</v>
      </c>
      <c r="H583" s="23" t="s">
        <v>32</v>
      </c>
      <c r="I583" s="23">
        <v>48</v>
      </c>
      <c r="J583" s="23">
        <v>0</v>
      </c>
      <c r="K583" s="23">
        <v>2</v>
      </c>
      <c r="L583" s="23" t="s">
        <v>44</v>
      </c>
      <c r="M583" s="25">
        <v>7.8</v>
      </c>
      <c r="N583">
        <f t="shared" si="9"/>
        <v>1</v>
      </c>
    </row>
    <row r="584" spans="1:14" x14ac:dyDescent="0.35">
      <c r="A584" s="6" t="s">
        <v>654</v>
      </c>
      <c r="B584" s="19" t="s">
        <v>130</v>
      </c>
      <c r="C584" s="19">
        <v>6</v>
      </c>
      <c r="D584" s="20">
        <v>45834</v>
      </c>
      <c r="E584" s="19" t="s">
        <v>68</v>
      </c>
      <c r="F584" s="19" t="s">
        <v>8364</v>
      </c>
      <c r="G584" s="19" t="s">
        <v>21</v>
      </c>
      <c r="H584" s="19" t="s">
        <v>28</v>
      </c>
      <c r="I584" s="19">
        <v>72</v>
      </c>
      <c r="J584" s="19">
        <v>0</v>
      </c>
      <c r="K584" s="19">
        <v>3</v>
      </c>
      <c r="L584" s="19" t="s">
        <v>55</v>
      </c>
      <c r="M584" s="21">
        <v>11.4</v>
      </c>
      <c r="N584">
        <f t="shared" si="9"/>
        <v>1</v>
      </c>
    </row>
    <row r="585" spans="1:14" x14ac:dyDescent="0.35">
      <c r="A585" s="22" t="s">
        <v>655</v>
      </c>
      <c r="B585" s="23" t="s">
        <v>65</v>
      </c>
      <c r="C585" s="23">
        <v>1</v>
      </c>
      <c r="D585" s="24">
        <v>45659</v>
      </c>
      <c r="E585" s="23" t="s">
        <v>25</v>
      </c>
      <c r="F585" s="23" t="s">
        <v>14</v>
      </c>
      <c r="G585" s="23" t="s">
        <v>8364</v>
      </c>
      <c r="H585" s="23" t="s">
        <v>22</v>
      </c>
      <c r="I585" s="23">
        <v>72</v>
      </c>
      <c r="J585" s="23">
        <v>0</v>
      </c>
      <c r="K585" s="23">
        <v>5</v>
      </c>
      <c r="L585" s="23" t="s">
        <v>62</v>
      </c>
      <c r="M585" s="25">
        <v>7.1</v>
      </c>
      <c r="N585">
        <f t="shared" si="9"/>
        <v>1</v>
      </c>
    </row>
    <row r="586" spans="1:14" x14ac:dyDescent="0.35">
      <c r="A586" s="6" t="s">
        <v>656</v>
      </c>
      <c r="B586" s="19" t="s">
        <v>18</v>
      </c>
      <c r="C586" s="19">
        <v>9</v>
      </c>
      <c r="D586" s="20">
        <v>45930</v>
      </c>
      <c r="E586" s="19" t="s">
        <v>13</v>
      </c>
      <c r="F586" s="19" t="s">
        <v>14</v>
      </c>
      <c r="G586" s="19" t="s">
        <v>31</v>
      </c>
      <c r="H586" s="19" t="s">
        <v>8364</v>
      </c>
      <c r="I586" s="19">
        <v>48</v>
      </c>
      <c r="J586" s="19">
        <v>0</v>
      </c>
      <c r="K586" s="19"/>
      <c r="L586" s="19" t="s">
        <v>62</v>
      </c>
      <c r="M586" s="21">
        <v>11</v>
      </c>
      <c r="N586">
        <f t="shared" si="9"/>
        <v>1</v>
      </c>
    </row>
    <row r="587" spans="1:14" x14ac:dyDescent="0.35">
      <c r="A587" s="22" t="s">
        <v>657</v>
      </c>
      <c r="B587" s="23" t="s">
        <v>51</v>
      </c>
      <c r="C587" s="23">
        <v>3</v>
      </c>
      <c r="D587" s="24">
        <v>45727</v>
      </c>
      <c r="E587" s="23" t="s">
        <v>13</v>
      </c>
      <c r="F587" s="23" t="s">
        <v>8364</v>
      </c>
      <c r="G587" s="23" t="s">
        <v>27</v>
      </c>
      <c r="H587" s="23" t="s">
        <v>22</v>
      </c>
      <c r="I587" s="23">
        <v>8</v>
      </c>
      <c r="J587" s="23">
        <v>0</v>
      </c>
      <c r="K587" s="23">
        <v>3</v>
      </c>
      <c r="L587" s="23" t="s">
        <v>44</v>
      </c>
      <c r="M587" s="25"/>
      <c r="N587">
        <f t="shared" si="9"/>
        <v>1</v>
      </c>
    </row>
    <row r="588" spans="1:14" x14ac:dyDescent="0.35">
      <c r="A588" s="6" t="s">
        <v>658</v>
      </c>
      <c r="B588" s="19" t="s">
        <v>126</v>
      </c>
      <c r="C588" s="19">
        <v>2</v>
      </c>
      <c r="D588" s="20">
        <v>45700</v>
      </c>
      <c r="E588" s="19" t="s">
        <v>20</v>
      </c>
      <c r="F588" s="19" t="s">
        <v>37</v>
      </c>
      <c r="G588" s="19" t="s">
        <v>27</v>
      </c>
      <c r="H588" s="19" t="s">
        <v>22</v>
      </c>
      <c r="I588" s="19">
        <v>24</v>
      </c>
      <c r="J588" s="19">
        <v>2</v>
      </c>
      <c r="K588" s="19">
        <v>3</v>
      </c>
      <c r="L588" s="19" t="s">
        <v>62</v>
      </c>
      <c r="M588" s="21">
        <v>4.0999999999999996</v>
      </c>
      <c r="N588">
        <f t="shared" si="9"/>
        <v>1</v>
      </c>
    </row>
    <row r="589" spans="1:14" x14ac:dyDescent="0.35">
      <c r="A589" s="22" t="s">
        <v>659</v>
      </c>
      <c r="B589" s="23" t="s">
        <v>53</v>
      </c>
      <c r="C589" s="23">
        <v>5</v>
      </c>
      <c r="D589" s="24">
        <v>45782</v>
      </c>
      <c r="E589" s="23" t="s">
        <v>13</v>
      </c>
      <c r="F589" s="23" t="s">
        <v>40</v>
      </c>
      <c r="G589" s="23" t="s">
        <v>27</v>
      </c>
      <c r="H589" s="23" t="s">
        <v>28</v>
      </c>
      <c r="I589" s="23">
        <v>4</v>
      </c>
      <c r="J589" s="23">
        <v>0</v>
      </c>
      <c r="K589" s="23">
        <v>5</v>
      </c>
      <c r="L589" s="23" t="s">
        <v>8363</v>
      </c>
      <c r="M589" s="25">
        <v>7.8</v>
      </c>
      <c r="N589">
        <f t="shared" si="9"/>
        <v>0</v>
      </c>
    </row>
    <row r="590" spans="1:14" x14ac:dyDescent="0.35">
      <c r="A590" s="6" t="s">
        <v>660</v>
      </c>
      <c r="B590" s="19" t="s">
        <v>89</v>
      </c>
      <c r="C590" s="19">
        <v>12</v>
      </c>
      <c r="D590" s="20">
        <v>46014</v>
      </c>
      <c r="E590" s="19" t="s">
        <v>25</v>
      </c>
      <c r="F590" s="19" t="s">
        <v>8364</v>
      </c>
      <c r="G590" s="19" t="s">
        <v>21</v>
      </c>
      <c r="H590" s="19" t="s">
        <v>28</v>
      </c>
      <c r="I590" s="19">
        <v>4</v>
      </c>
      <c r="J590" s="19">
        <v>0</v>
      </c>
      <c r="K590" s="19">
        <v>4</v>
      </c>
      <c r="L590" s="19" t="s">
        <v>38</v>
      </c>
      <c r="M590" s="21">
        <v>26.9</v>
      </c>
      <c r="N590">
        <f t="shared" si="9"/>
        <v>0</v>
      </c>
    </row>
    <row r="591" spans="1:14" x14ac:dyDescent="0.35">
      <c r="A591" s="22" t="s">
        <v>661</v>
      </c>
      <c r="B591" s="23" t="s">
        <v>81</v>
      </c>
      <c r="C591" s="23">
        <v>4</v>
      </c>
      <c r="D591" s="24">
        <v>45754</v>
      </c>
      <c r="E591" s="23" t="s">
        <v>68</v>
      </c>
      <c r="F591" s="23" t="s">
        <v>26</v>
      </c>
      <c r="G591" s="23" t="s">
        <v>8364</v>
      </c>
      <c r="H591" s="23" t="s">
        <v>16</v>
      </c>
      <c r="I591" s="23">
        <v>48</v>
      </c>
      <c r="J591" s="23">
        <v>0</v>
      </c>
      <c r="K591" s="23">
        <v>4</v>
      </c>
      <c r="L591" s="23" t="s">
        <v>44</v>
      </c>
      <c r="M591" s="25">
        <v>5.8</v>
      </c>
      <c r="N591">
        <f t="shared" si="9"/>
        <v>1</v>
      </c>
    </row>
    <row r="592" spans="1:14" x14ac:dyDescent="0.35">
      <c r="A592" s="6" t="s">
        <v>662</v>
      </c>
      <c r="B592" s="19" t="s">
        <v>45</v>
      </c>
      <c r="C592" s="19">
        <v>7</v>
      </c>
      <c r="D592" s="20">
        <v>45840</v>
      </c>
      <c r="E592" s="19" t="s">
        <v>20</v>
      </c>
      <c r="F592" s="19" t="s">
        <v>40</v>
      </c>
      <c r="G592" s="19" t="s">
        <v>31</v>
      </c>
      <c r="H592" s="19" t="s">
        <v>22</v>
      </c>
      <c r="I592" s="19">
        <v>8</v>
      </c>
      <c r="J592" s="19">
        <v>0</v>
      </c>
      <c r="K592" s="19">
        <v>4</v>
      </c>
      <c r="L592" s="19" t="s">
        <v>62</v>
      </c>
      <c r="M592" s="21">
        <v>5.4</v>
      </c>
      <c r="N592">
        <f t="shared" si="9"/>
        <v>1</v>
      </c>
    </row>
    <row r="593" spans="1:14" x14ac:dyDescent="0.35">
      <c r="A593" s="22" t="s">
        <v>663</v>
      </c>
      <c r="B593" s="23" t="s">
        <v>39</v>
      </c>
      <c r="C593" s="23">
        <v>6</v>
      </c>
      <c r="D593" s="24">
        <v>45828</v>
      </c>
      <c r="E593" s="23" t="s">
        <v>13</v>
      </c>
      <c r="F593" s="23" t="s">
        <v>14</v>
      </c>
      <c r="G593" s="23" t="s">
        <v>21</v>
      </c>
      <c r="H593" s="23" t="s">
        <v>28</v>
      </c>
      <c r="I593" s="23">
        <v>4</v>
      </c>
      <c r="J593" s="23">
        <v>1</v>
      </c>
      <c r="K593" s="23">
        <v>3</v>
      </c>
      <c r="L593" s="23" t="s">
        <v>38</v>
      </c>
      <c r="M593" s="25"/>
      <c r="N593">
        <f t="shared" si="9"/>
        <v>1</v>
      </c>
    </row>
    <row r="594" spans="1:14" x14ac:dyDescent="0.35">
      <c r="A594" s="6" t="s">
        <v>664</v>
      </c>
      <c r="B594" s="19" t="s">
        <v>253</v>
      </c>
      <c r="C594" s="19">
        <v>5</v>
      </c>
      <c r="D594" s="20">
        <v>45807</v>
      </c>
      <c r="E594" s="19" t="s">
        <v>25</v>
      </c>
      <c r="F594" s="19" t="s">
        <v>8364</v>
      </c>
      <c r="G594" s="19" t="s">
        <v>8364</v>
      </c>
      <c r="H594" s="19" t="s">
        <v>22</v>
      </c>
      <c r="I594" s="19">
        <v>24</v>
      </c>
      <c r="J594" s="19">
        <v>0</v>
      </c>
      <c r="K594" s="19">
        <v>5</v>
      </c>
      <c r="L594" s="19" t="s">
        <v>17</v>
      </c>
      <c r="M594" s="21">
        <v>17.399999999999999</v>
      </c>
      <c r="N594">
        <f t="shared" si="9"/>
        <v>1</v>
      </c>
    </row>
    <row r="595" spans="1:14" x14ac:dyDescent="0.35">
      <c r="A595" s="22" t="s">
        <v>665</v>
      </c>
      <c r="B595" s="23" t="s">
        <v>181</v>
      </c>
      <c r="C595" s="23">
        <v>6</v>
      </c>
      <c r="D595" s="24">
        <v>45818</v>
      </c>
      <c r="E595" s="23" t="s">
        <v>13</v>
      </c>
      <c r="F595" s="23" t="s">
        <v>8364</v>
      </c>
      <c r="G595" s="23" t="s">
        <v>21</v>
      </c>
      <c r="H595" s="23" t="s">
        <v>22</v>
      </c>
      <c r="I595" s="23">
        <v>72</v>
      </c>
      <c r="J595" s="23">
        <v>1</v>
      </c>
      <c r="K595" s="23">
        <v>3</v>
      </c>
      <c r="L595" s="23" t="s">
        <v>75</v>
      </c>
      <c r="M595" s="25">
        <v>20.100000000000001</v>
      </c>
      <c r="N595">
        <f t="shared" si="9"/>
        <v>1</v>
      </c>
    </row>
    <row r="596" spans="1:14" x14ac:dyDescent="0.35">
      <c r="A596" s="6" t="s">
        <v>666</v>
      </c>
      <c r="B596" s="19" t="s">
        <v>41</v>
      </c>
      <c r="C596" s="19">
        <v>9</v>
      </c>
      <c r="D596" s="20">
        <v>45923</v>
      </c>
      <c r="E596" s="19" t="s">
        <v>68</v>
      </c>
      <c r="F596" s="19" t="s">
        <v>14</v>
      </c>
      <c r="G596" s="19" t="s">
        <v>31</v>
      </c>
      <c r="H596" s="19" t="s">
        <v>28</v>
      </c>
      <c r="I596" s="19">
        <v>48</v>
      </c>
      <c r="J596" s="19">
        <v>1</v>
      </c>
      <c r="K596" s="19">
        <v>5</v>
      </c>
      <c r="L596" s="19" t="s">
        <v>55</v>
      </c>
      <c r="M596" s="21">
        <v>21</v>
      </c>
      <c r="N596">
        <f t="shared" si="9"/>
        <v>1</v>
      </c>
    </row>
    <row r="597" spans="1:14" x14ac:dyDescent="0.35">
      <c r="A597" s="22" t="s">
        <v>667</v>
      </c>
      <c r="B597" s="23" t="s">
        <v>101</v>
      </c>
      <c r="C597" s="23"/>
      <c r="D597" s="24"/>
      <c r="E597" s="23" t="s">
        <v>13</v>
      </c>
      <c r="F597" s="23" t="s">
        <v>14</v>
      </c>
      <c r="G597" s="23" t="s">
        <v>15</v>
      </c>
      <c r="H597" s="23" t="s">
        <v>32</v>
      </c>
      <c r="I597" s="23">
        <v>8</v>
      </c>
      <c r="J597" s="23">
        <v>0</v>
      </c>
      <c r="K597" s="23">
        <v>4</v>
      </c>
      <c r="L597" s="23" t="s">
        <v>33</v>
      </c>
      <c r="M597" s="25"/>
      <c r="N597">
        <f t="shared" si="9"/>
        <v>1</v>
      </c>
    </row>
    <row r="598" spans="1:14" x14ac:dyDescent="0.35">
      <c r="A598" s="6" t="s">
        <v>668</v>
      </c>
      <c r="B598" s="19" t="s">
        <v>101</v>
      </c>
      <c r="C598" s="19">
        <v>10</v>
      </c>
      <c r="D598" s="20">
        <v>45937</v>
      </c>
      <c r="E598" s="19" t="s">
        <v>8364</v>
      </c>
      <c r="F598" s="19" t="s">
        <v>59</v>
      </c>
      <c r="G598" s="19" t="s">
        <v>27</v>
      </c>
      <c r="H598" s="19" t="s">
        <v>8364</v>
      </c>
      <c r="I598" s="19">
        <v>4</v>
      </c>
      <c r="J598" s="19">
        <v>0</v>
      </c>
      <c r="K598" s="19">
        <v>5</v>
      </c>
      <c r="L598" s="19" t="s">
        <v>55</v>
      </c>
      <c r="M598" s="21">
        <v>9</v>
      </c>
      <c r="N598">
        <f t="shared" si="9"/>
        <v>0</v>
      </c>
    </row>
    <row r="599" spans="1:14" x14ac:dyDescent="0.35">
      <c r="A599" s="22" t="s">
        <v>669</v>
      </c>
      <c r="B599" s="23" t="s">
        <v>23</v>
      </c>
      <c r="C599" s="23">
        <v>1</v>
      </c>
      <c r="D599" s="24">
        <v>45681</v>
      </c>
      <c r="E599" s="23" t="s">
        <v>25</v>
      </c>
      <c r="F599" s="23" t="s">
        <v>14</v>
      </c>
      <c r="G599" s="23" t="s">
        <v>15</v>
      </c>
      <c r="H599" s="23" t="s">
        <v>28</v>
      </c>
      <c r="I599" s="23">
        <v>24</v>
      </c>
      <c r="J599" s="23">
        <v>0</v>
      </c>
      <c r="K599" s="23">
        <v>5</v>
      </c>
      <c r="L599" s="23" t="s">
        <v>33</v>
      </c>
      <c r="M599" s="25">
        <v>31.1</v>
      </c>
      <c r="N599">
        <f t="shared" si="9"/>
        <v>0</v>
      </c>
    </row>
    <row r="600" spans="1:14" x14ac:dyDescent="0.35">
      <c r="A600" s="6" t="s">
        <v>670</v>
      </c>
      <c r="B600" s="19" t="s">
        <v>78</v>
      </c>
      <c r="C600" s="19"/>
      <c r="D600" s="20"/>
      <c r="E600" s="19" t="s">
        <v>20</v>
      </c>
      <c r="F600" s="19" t="s">
        <v>14</v>
      </c>
      <c r="G600" s="19" t="s">
        <v>27</v>
      </c>
      <c r="H600" s="19" t="s">
        <v>32</v>
      </c>
      <c r="I600" s="19">
        <v>48</v>
      </c>
      <c r="J600" s="19">
        <v>0</v>
      </c>
      <c r="K600" s="19">
        <v>4</v>
      </c>
      <c r="L600" s="19" t="s">
        <v>8363</v>
      </c>
      <c r="M600" s="21"/>
      <c r="N600">
        <f t="shared" si="9"/>
        <v>1</v>
      </c>
    </row>
    <row r="601" spans="1:14" x14ac:dyDescent="0.35">
      <c r="A601" s="22" t="s">
        <v>671</v>
      </c>
      <c r="B601" s="23" t="s">
        <v>51</v>
      </c>
      <c r="C601" s="23">
        <v>1</v>
      </c>
      <c r="D601" s="24">
        <v>45673</v>
      </c>
      <c r="E601" s="23" t="s">
        <v>20</v>
      </c>
      <c r="F601" s="23" t="s">
        <v>59</v>
      </c>
      <c r="G601" s="23" t="s">
        <v>15</v>
      </c>
      <c r="H601" s="23" t="s">
        <v>22</v>
      </c>
      <c r="I601" s="23">
        <v>4</v>
      </c>
      <c r="J601" s="23"/>
      <c r="K601" s="23">
        <v>3</v>
      </c>
      <c r="L601" s="23" t="s">
        <v>44</v>
      </c>
      <c r="M601" s="25">
        <v>4.9000000000000004</v>
      </c>
      <c r="N601">
        <f t="shared" si="9"/>
        <v>0</v>
      </c>
    </row>
    <row r="602" spans="1:14" x14ac:dyDescent="0.35">
      <c r="A602" s="6" t="s">
        <v>672</v>
      </c>
      <c r="B602" s="19" t="s">
        <v>126</v>
      </c>
      <c r="C602" s="19">
        <v>6</v>
      </c>
      <c r="D602" s="20">
        <v>45831</v>
      </c>
      <c r="E602" s="19" t="s">
        <v>25</v>
      </c>
      <c r="F602" s="19" t="s">
        <v>14</v>
      </c>
      <c r="G602" s="19" t="s">
        <v>27</v>
      </c>
      <c r="H602" s="19" t="s">
        <v>22</v>
      </c>
      <c r="I602" s="19">
        <v>48</v>
      </c>
      <c r="J602" s="19">
        <v>1</v>
      </c>
      <c r="K602" s="19">
        <v>5</v>
      </c>
      <c r="L602" s="19" t="s">
        <v>62</v>
      </c>
      <c r="M602" s="21"/>
      <c r="N602">
        <f t="shared" si="9"/>
        <v>1</v>
      </c>
    </row>
    <row r="603" spans="1:14" x14ac:dyDescent="0.35">
      <c r="A603" s="22" t="s">
        <v>673</v>
      </c>
      <c r="B603" s="23" t="s">
        <v>92</v>
      </c>
      <c r="C603" s="23">
        <v>5</v>
      </c>
      <c r="D603" s="24">
        <v>45793</v>
      </c>
      <c r="E603" s="23" t="s">
        <v>36</v>
      </c>
      <c r="F603" s="23" t="s">
        <v>14</v>
      </c>
      <c r="G603" s="23" t="s">
        <v>31</v>
      </c>
      <c r="H603" s="23" t="s">
        <v>22</v>
      </c>
      <c r="I603" s="23">
        <v>8</v>
      </c>
      <c r="J603" s="23">
        <v>0</v>
      </c>
      <c r="K603" s="23">
        <v>4</v>
      </c>
      <c r="L603" s="23" t="s">
        <v>44</v>
      </c>
      <c r="M603" s="25">
        <v>12.1</v>
      </c>
      <c r="N603">
        <f t="shared" si="9"/>
        <v>0</v>
      </c>
    </row>
    <row r="604" spans="1:14" x14ac:dyDescent="0.35">
      <c r="A604" s="6" t="s">
        <v>674</v>
      </c>
      <c r="B604" s="19" t="s">
        <v>99</v>
      </c>
      <c r="C604" s="19">
        <v>7</v>
      </c>
      <c r="D604" s="20">
        <v>45845</v>
      </c>
      <c r="E604" s="19" t="s">
        <v>68</v>
      </c>
      <c r="F604" s="19" t="s">
        <v>40</v>
      </c>
      <c r="G604" s="19" t="s">
        <v>15</v>
      </c>
      <c r="H604" s="19" t="s">
        <v>22</v>
      </c>
      <c r="I604" s="19">
        <v>48</v>
      </c>
      <c r="J604" s="19">
        <v>0</v>
      </c>
      <c r="K604" s="19">
        <v>1</v>
      </c>
      <c r="L604" s="19" t="s">
        <v>17</v>
      </c>
      <c r="M604" s="21">
        <v>3.6</v>
      </c>
      <c r="N604">
        <f t="shared" si="9"/>
        <v>1</v>
      </c>
    </row>
    <row r="605" spans="1:14" x14ac:dyDescent="0.35">
      <c r="A605" s="22" t="s">
        <v>675</v>
      </c>
      <c r="B605" s="23" t="s">
        <v>253</v>
      </c>
      <c r="C605" s="23">
        <v>10</v>
      </c>
      <c r="D605" s="24">
        <v>45935</v>
      </c>
      <c r="E605" s="23" t="s">
        <v>25</v>
      </c>
      <c r="F605" s="23" t="s">
        <v>37</v>
      </c>
      <c r="G605" s="23" t="s">
        <v>21</v>
      </c>
      <c r="H605" s="23" t="s">
        <v>8364</v>
      </c>
      <c r="I605" s="23">
        <v>72</v>
      </c>
      <c r="J605" s="23">
        <v>0</v>
      </c>
      <c r="K605" s="23">
        <v>5</v>
      </c>
      <c r="L605" s="23" t="s">
        <v>62</v>
      </c>
      <c r="M605" s="25">
        <v>10.4</v>
      </c>
      <c r="N605">
        <f t="shared" si="9"/>
        <v>1</v>
      </c>
    </row>
    <row r="606" spans="1:14" x14ac:dyDescent="0.35">
      <c r="A606" s="6" t="s">
        <v>676</v>
      </c>
      <c r="B606" s="19" t="s">
        <v>87</v>
      </c>
      <c r="C606" s="19">
        <v>1</v>
      </c>
      <c r="D606" s="20">
        <v>45676</v>
      </c>
      <c r="E606" s="19" t="s">
        <v>36</v>
      </c>
      <c r="F606" s="19" t="s">
        <v>8364</v>
      </c>
      <c r="G606" s="19" t="s">
        <v>31</v>
      </c>
      <c r="H606" s="19" t="s">
        <v>32</v>
      </c>
      <c r="I606" s="19">
        <v>48</v>
      </c>
      <c r="J606" s="19">
        <v>0</v>
      </c>
      <c r="K606" s="19">
        <v>4</v>
      </c>
      <c r="L606" s="19" t="s">
        <v>33</v>
      </c>
      <c r="M606" s="21">
        <v>9.6</v>
      </c>
      <c r="N606">
        <f t="shared" si="9"/>
        <v>1</v>
      </c>
    </row>
    <row r="607" spans="1:14" x14ac:dyDescent="0.35">
      <c r="A607" s="22" t="s">
        <v>677</v>
      </c>
      <c r="B607" s="23" t="s">
        <v>57</v>
      </c>
      <c r="C607" s="23">
        <v>2</v>
      </c>
      <c r="D607" s="24">
        <v>45713</v>
      </c>
      <c r="E607" s="23" t="s">
        <v>25</v>
      </c>
      <c r="F607" s="23" t="s">
        <v>43</v>
      </c>
      <c r="G607" s="23" t="s">
        <v>21</v>
      </c>
      <c r="H607" s="23" t="s">
        <v>28</v>
      </c>
      <c r="I607" s="23">
        <v>24</v>
      </c>
      <c r="J607" s="23">
        <v>0</v>
      </c>
      <c r="K607" s="23">
        <v>5</v>
      </c>
      <c r="L607" s="23" t="s">
        <v>44</v>
      </c>
      <c r="M607" s="25">
        <v>13.7</v>
      </c>
      <c r="N607">
        <f t="shared" si="9"/>
        <v>1</v>
      </c>
    </row>
    <row r="608" spans="1:14" x14ac:dyDescent="0.35">
      <c r="A608" s="6" t="s">
        <v>678</v>
      </c>
      <c r="B608" s="19" t="s">
        <v>39</v>
      </c>
      <c r="C608" s="19">
        <v>8</v>
      </c>
      <c r="D608" s="20">
        <v>45883</v>
      </c>
      <c r="E608" s="19" t="s">
        <v>13</v>
      </c>
      <c r="F608" s="19" t="s">
        <v>40</v>
      </c>
      <c r="G608" s="19" t="s">
        <v>31</v>
      </c>
      <c r="H608" s="19" t="s">
        <v>22</v>
      </c>
      <c r="I608" s="19">
        <v>4</v>
      </c>
      <c r="J608" s="19">
        <v>0</v>
      </c>
      <c r="K608" s="19">
        <v>4</v>
      </c>
      <c r="L608" s="19" t="s">
        <v>62</v>
      </c>
      <c r="M608" s="21">
        <v>5.6</v>
      </c>
      <c r="N608">
        <f t="shared" si="9"/>
        <v>0</v>
      </c>
    </row>
    <row r="609" spans="1:14" x14ac:dyDescent="0.35">
      <c r="A609" s="22" t="s">
        <v>679</v>
      </c>
      <c r="B609" s="23" t="s">
        <v>23</v>
      </c>
      <c r="C609" s="23">
        <v>5</v>
      </c>
      <c r="D609" s="24">
        <v>45789</v>
      </c>
      <c r="E609" s="23" t="s">
        <v>13</v>
      </c>
      <c r="F609" s="23" t="s">
        <v>40</v>
      </c>
      <c r="G609" s="23" t="s">
        <v>27</v>
      </c>
      <c r="H609" s="23" t="s">
        <v>8364</v>
      </c>
      <c r="I609" s="23">
        <v>72</v>
      </c>
      <c r="J609" s="23">
        <v>0</v>
      </c>
      <c r="K609" s="23">
        <v>4</v>
      </c>
      <c r="L609" s="23" t="s">
        <v>62</v>
      </c>
      <c r="M609" s="25">
        <v>1.6</v>
      </c>
      <c r="N609">
        <f t="shared" si="9"/>
        <v>1</v>
      </c>
    </row>
    <row r="610" spans="1:14" x14ac:dyDescent="0.35">
      <c r="A610" s="6" t="s">
        <v>680</v>
      </c>
      <c r="B610" s="19" t="s">
        <v>126</v>
      </c>
      <c r="C610" s="19">
        <v>10</v>
      </c>
      <c r="D610" s="20">
        <v>45944</v>
      </c>
      <c r="E610" s="19" t="s">
        <v>13</v>
      </c>
      <c r="F610" s="19" t="s">
        <v>14</v>
      </c>
      <c r="G610" s="19" t="s">
        <v>31</v>
      </c>
      <c r="H610" s="19" t="s">
        <v>22</v>
      </c>
      <c r="I610" s="19">
        <v>4</v>
      </c>
      <c r="J610" s="19">
        <v>1</v>
      </c>
      <c r="K610" s="19"/>
      <c r="L610" s="19" t="s">
        <v>38</v>
      </c>
      <c r="M610" s="21">
        <v>23.7</v>
      </c>
      <c r="N610">
        <f t="shared" si="9"/>
        <v>0</v>
      </c>
    </row>
    <row r="611" spans="1:14" x14ac:dyDescent="0.35">
      <c r="A611" s="22" t="s">
        <v>681</v>
      </c>
      <c r="B611" s="23" t="s">
        <v>97</v>
      </c>
      <c r="C611" s="23">
        <v>10</v>
      </c>
      <c r="D611" s="24">
        <v>45949</v>
      </c>
      <c r="E611" s="23" t="s">
        <v>20</v>
      </c>
      <c r="F611" s="23" t="s">
        <v>43</v>
      </c>
      <c r="G611" s="23" t="s">
        <v>31</v>
      </c>
      <c r="H611" s="23" t="s">
        <v>8364</v>
      </c>
      <c r="I611" s="23">
        <v>72</v>
      </c>
      <c r="J611" s="23">
        <v>0</v>
      </c>
      <c r="K611" s="23">
        <v>5</v>
      </c>
      <c r="L611" s="23" t="s">
        <v>8363</v>
      </c>
      <c r="M611" s="25">
        <v>17.100000000000001</v>
      </c>
      <c r="N611">
        <f t="shared" si="9"/>
        <v>1</v>
      </c>
    </row>
    <row r="612" spans="1:14" x14ac:dyDescent="0.35">
      <c r="A612" s="6" t="s">
        <v>682</v>
      </c>
      <c r="B612" s="19" t="s">
        <v>49</v>
      </c>
      <c r="C612" s="19"/>
      <c r="D612" s="20"/>
      <c r="E612" s="19" t="s">
        <v>68</v>
      </c>
      <c r="F612" s="19" t="s">
        <v>14</v>
      </c>
      <c r="G612" s="19" t="s">
        <v>15</v>
      </c>
      <c r="H612" s="19" t="s">
        <v>22</v>
      </c>
      <c r="I612" s="19">
        <v>48</v>
      </c>
      <c r="J612" s="19">
        <v>0</v>
      </c>
      <c r="K612" s="19">
        <v>3</v>
      </c>
      <c r="L612" s="19" t="s">
        <v>44</v>
      </c>
      <c r="M612" s="21">
        <v>2.9</v>
      </c>
      <c r="N612">
        <f t="shared" si="9"/>
        <v>1</v>
      </c>
    </row>
    <row r="613" spans="1:14" x14ac:dyDescent="0.35">
      <c r="A613" s="22" t="s">
        <v>683</v>
      </c>
      <c r="B613" s="23" t="s">
        <v>92</v>
      </c>
      <c r="C613" s="23">
        <v>12</v>
      </c>
      <c r="D613" s="24">
        <v>45993</v>
      </c>
      <c r="E613" s="23" t="s">
        <v>36</v>
      </c>
      <c r="F613" s="23" t="s">
        <v>43</v>
      </c>
      <c r="G613" s="23" t="s">
        <v>21</v>
      </c>
      <c r="H613" s="23" t="s">
        <v>16</v>
      </c>
      <c r="I613" s="23">
        <v>8</v>
      </c>
      <c r="J613" s="23">
        <v>0</v>
      </c>
      <c r="K613" s="23">
        <v>5</v>
      </c>
      <c r="L613" s="23" t="s">
        <v>8363</v>
      </c>
      <c r="M613" s="25">
        <v>15.2</v>
      </c>
      <c r="N613">
        <f t="shared" si="9"/>
        <v>0</v>
      </c>
    </row>
    <row r="614" spans="1:14" x14ac:dyDescent="0.35">
      <c r="A614" s="6" t="s">
        <v>684</v>
      </c>
      <c r="B614" s="19" t="s">
        <v>23</v>
      </c>
      <c r="C614" s="19"/>
      <c r="D614" s="20"/>
      <c r="E614" s="19" t="s">
        <v>25</v>
      </c>
      <c r="F614" s="19" t="s">
        <v>59</v>
      </c>
      <c r="G614" s="19" t="s">
        <v>15</v>
      </c>
      <c r="H614" s="19" t="s">
        <v>8364</v>
      </c>
      <c r="I614" s="19">
        <v>72</v>
      </c>
      <c r="J614" s="19">
        <v>2</v>
      </c>
      <c r="K614" s="19">
        <v>3</v>
      </c>
      <c r="L614" s="19" t="s">
        <v>62</v>
      </c>
      <c r="M614" s="21">
        <v>21</v>
      </c>
      <c r="N614">
        <f t="shared" si="9"/>
        <v>1</v>
      </c>
    </row>
    <row r="615" spans="1:14" x14ac:dyDescent="0.35">
      <c r="A615" s="22" t="s">
        <v>685</v>
      </c>
      <c r="B615" s="23" t="s">
        <v>69</v>
      </c>
      <c r="C615" s="23">
        <v>10</v>
      </c>
      <c r="D615" s="24">
        <v>45939</v>
      </c>
      <c r="E615" s="23" t="s">
        <v>25</v>
      </c>
      <c r="F615" s="23" t="s">
        <v>14</v>
      </c>
      <c r="G615" s="23" t="s">
        <v>15</v>
      </c>
      <c r="H615" s="23" t="s">
        <v>22</v>
      </c>
      <c r="I615" s="23">
        <v>4</v>
      </c>
      <c r="J615" s="23">
        <v>0</v>
      </c>
      <c r="K615" s="23">
        <v>4</v>
      </c>
      <c r="L615" s="23" t="s">
        <v>62</v>
      </c>
      <c r="M615" s="25">
        <v>12.5</v>
      </c>
      <c r="N615">
        <f t="shared" si="9"/>
        <v>0</v>
      </c>
    </row>
    <row r="616" spans="1:14" x14ac:dyDescent="0.35">
      <c r="A616" s="6" t="s">
        <v>686</v>
      </c>
      <c r="B616" s="19" t="s">
        <v>69</v>
      </c>
      <c r="C616" s="19">
        <v>1</v>
      </c>
      <c r="D616" s="20">
        <v>45676</v>
      </c>
      <c r="E616" s="19" t="s">
        <v>13</v>
      </c>
      <c r="F616" s="19" t="s">
        <v>43</v>
      </c>
      <c r="G616" s="19" t="s">
        <v>21</v>
      </c>
      <c r="H616" s="19" t="s">
        <v>28</v>
      </c>
      <c r="I616" s="19">
        <v>8</v>
      </c>
      <c r="J616" s="19">
        <v>0</v>
      </c>
      <c r="K616" s="19">
        <v>5</v>
      </c>
      <c r="L616" s="19" t="s">
        <v>55</v>
      </c>
      <c r="M616" s="21">
        <v>16</v>
      </c>
      <c r="N616">
        <f t="shared" si="9"/>
        <v>0</v>
      </c>
    </row>
    <row r="617" spans="1:14" x14ac:dyDescent="0.35">
      <c r="A617" s="22" t="s">
        <v>687</v>
      </c>
      <c r="B617" s="23" t="s">
        <v>81</v>
      </c>
      <c r="C617" s="23">
        <v>12</v>
      </c>
      <c r="D617" s="24">
        <v>46005</v>
      </c>
      <c r="E617" s="23" t="s">
        <v>25</v>
      </c>
      <c r="F617" s="23" t="s">
        <v>8364</v>
      </c>
      <c r="G617" s="23" t="s">
        <v>27</v>
      </c>
      <c r="H617" s="23" t="s">
        <v>22</v>
      </c>
      <c r="I617" s="23">
        <v>24</v>
      </c>
      <c r="J617" s="23">
        <v>0</v>
      </c>
      <c r="K617" s="23">
        <v>3</v>
      </c>
      <c r="L617" s="23" t="s">
        <v>75</v>
      </c>
      <c r="M617" s="25">
        <v>4</v>
      </c>
      <c r="N617">
        <f t="shared" si="9"/>
        <v>1</v>
      </c>
    </row>
    <row r="618" spans="1:14" x14ac:dyDescent="0.35">
      <c r="A618" s="6" t="s">
        <v>688</v>
      </c>
      <c r="B618" s="19" t="s">
        <v>181</v>
      </c>
      <c r="C618" s="19">
        <v>6</v>
      </c>
      <c r="D618" s="20">
        <v>45831</v>
      </c>
      <c r="E618" s="19" t="s">
        <v>13</v>
      </c>
      <c r="F618" s="19" t="s">
        <v>26</v>
      </c>
      <c r="G618" s="19" t="s">
        <v>27</v>
      </c>
      <c r="H618" s="19" t="s">
        <v>8364</v>
      </c>
      <c r="I618" s="19">
        <v>8</v>
      </c>
      <c r="J618" s="19">
        <v>2</v>
      </c>
      <c r="K618" s="19">
        <v>4</v>
      </c>
      <c r="L618" s="19" t="s">
        <v>8363</v>
      </c>
      <c r="M618" s="21">
        <v>4.9000000000000004</v>
      </c>
      <c r="N618">
        <f t="shared" si="9"/>
        <v>1</v>
      </c>
    </row>
    <row r="619" spans="1:14" x14ac:dyDescent="0.35">
      <c r="A619" s="22" t="s">
        <v>689</v>
      </c>
      <c r="B619" s="23" t="s">
        <v>139</v>
      </c>
      <c r="C619" s="23"/>
      <c r="D619" s="24"/>
      <c r="E619" s="23" t="s">
        <v>36</v>
      </c>
      <c r="F619" s="23" t="s">
        <v>26</v>
      </c>
      <c r="G619" s="23" t="s">
        <v>21</v>
      </c>
      <c r="H619" s="23" t="s">
        <v>8364</v>
      </c>
      <c r="I619" s="23">
        <v>8</v>
      </c>
      <c r="J619" s="23">
        <v>0</v>
      </c>
      <c r="K619" s="23">
        <v>5</v>
      </c>
      <c r="L619" s="23" t="s">
        <v>8363</v>
      </c>
      <c r="M619" s="25">
        <v>9.8000000000000007</v>
      </c>
      <c r="N619">
        <f t="shared" si="9"/>
        <v>0</v>
      </c>
    </row>
    <row r="620" spans="1:14" x14ac:dyDescent="0.35">
      <c r="A620" s="6" t="s">
        <v>690</v>
      </c>
      <c r="B620" s="19" t="s">
        <v>65</v>
      </c>
      <c r="C620" s="19">
        <v>10</v>
      </c>
      <c r="D620" s="20">
        <v>45947</v>
      </c>
      <c r="E620" s="19" t="s">
        <v>25</v>
      </c>
      <c r="F620" s="19" t="s">
        <v>14</v>
      </c>
      <c r="G620" s="19" t="s">
        <v>31</v>
      </c>
      <c r="H620" s="19" t="s">
        <v>8364</v>
      </c>
      <c r="I620" s="19">
        <v>72</v>
      </c>
      <c r="J620" s="19">
        <v>2</v>
      </c>
      <c r="K620" s="19">
        <v>4</v>
      </c>
      <c r="L620" s="19" t="s">
        <v>8363</v>
      </c>
      <c r="M620" s="21">
        <v>43.7</v>
      </c>
      <c r="N620">
        <f t="shared" si="9"/>
        <v>1</v>
      </c>
    </row>
    <row r="621" spans="1:14" x14ac:dyDescent="0.35">
      <c r="A621" s="22" t="s">
        <v>691</v>
      </c>
      <c r="B621" s="23" t="s">
        <v>57</v>
      </c>
      <c r="C621" s="23">
        <v>9</v>
      </c>
      <c r="D621" s="24">
        <v>45910</v>
      </c>
      <c r="E621" s="23" t="s">
        <v>13</v>
      </c>
      <c r="F621" s="23" t="s">
        <v>43</v>
      </c>
      <c r="G621" s="23" t="s">
        <v>15</v>
      </c>
      <c r="H621" s="23" t="s">
        <v>22</v>
      </c>
      <c r="I621" s="23">
        <v>24</v>
      </c>
      <c r="J621" s="23">
        <v>2</v>
      </c>
      <c r="K621" s="23">
        <v>2</v>
      </c>
      <c r="L621" s="23" t="s">
        <v>62</v>
      </c>
      <c r="M621" s="25">
        <v>3.1</v>
      </c>
      <c r="N621">
        <f t="shared" si="9"/>
        <v>1</v>
      </c>
    </row>
    <row r="622" spans="1:14" x14ac:dyDescent="0.35">
      <c r="A622" s="6" t="s">
        <v>692</v>
      </c>
      <c r="B622" s="19" t="s">
        <v>130</v>
      </c>
      <c r="C622" s="19"/>
      <c r="D622" s="20"/>
      <c r="E622" s="19" t="s">
        <v>13</v>
      </c>
      <c r="F622" s="19" t="s">
        <v>43</v>
      </c>
      <c r="G622" s="19" t="s">
        <v>31</v>
      </c>
      <c r="H622" s="19" t="s">
        <v>8364</v>
      </c>
      <c r="I622" s="19">
        <v>8</v>
      </c>
      <c r="J622" s="19">
        <v>1</v>
      </c>
      <c r="K622" s="19">
        <v>4</v>
      </c>
      <c r="L622" s="19" t="s">
        <v>17</v>
      </c>
      <c r="M622" s="21">
        <v>0.6</v>
      </c>
      <c r="N622">
        <f t="shared" si="9"/>
        <v>1</v>
      </c>
    </row>
    <row r="623" spans="1:14" x14ac:dyDescent="0.35">
      <c r="A623" s="22" t="s">
        <v>693</v>
      </c>
      <c r="B623" s="23" t="s">
        <v>87</v>
      </c>
      <c r="C623" s="23">
        <v>4</v>
      </c>
      <c r="D623" s="24">
        <v>45754</v>
      </c>
      <c r="E623" s="23" t="s">
        <v>8364</v>
      </c>
      <c r="F623" s="23" t="s">
        <v>43</v>
      </c>
      <c r="G623" s="23" t="s">
        <v>27</v>
      </c>
      <c r="H623" s="23" t="s">
        <v>32</v>
      </c>
      <c r="I623" s="23">
        <v>72</v>
      </c>
      <c r="J623" s="23">
        <v>0</v>
      </c>
      <c r="K623" s="23">
        <v>3</v>
      </c>
      <c r="L623" s="23" t="s">
        <v>75</v>
      </c>
      <c r="M623" s="25">
        <v>9.8000000000000007</v>
      </c>
      <c r="N623">
        <f t="shared" si="9"/>
        <v>1</v>
      </c>
    </row>
    <row r="624" spans="1:14" x14ac:dyDescent="0.35">
      <c r="A624" s="6" t="s">
        <v>694</v>
      </c>
      <c r="B624" s="19" t="s">
        <v>85</v>
      </c>
      <c r="C624" s="19">
        <v>2</v>
      </c>
      <c r="D624" s="20">
        <v>45709</v>
      </c>
      <c r="E624" s="19" t="s">
        <v>13</v>
      </c>
      <c r="F624" s="19" t="s">
        <v>59</v>
      </c>
      <c r="G624" s="19" t="s">
        <v>15</v>
      </c>
      <c r="H624" s="19" t="s">
        <v>22</v>
      </c>
      <c r="I624" s="19">
        <v>24</v>
      </c>
      <c r="J624" s="19">
        <v>0</v>
      </c>
      <c r="K624" s="19">
        <v>3</v>
      </c>
      <c r="L624" s="19" t="s">
        <v>55</v>
      </c>
      <c r="M624" s="21">
        <v>2.1</v>
      </c>
      <c r="N624">
        <f t="shared" si="9"/>
        <v>1</v>
      </c>
    </row>
    <row r="625" spans="1:14" x14ac:dyDescent="0.35">
      <c r="A625" s="22" t="s">
        <v>695</v>
      </c>
      <c r="B625" s="23" t="s">
        <v>41</v>
      </c>
      <c r="C625" s="23">
        <v>6</v>
      </c>
      <c r="D625" s="24">
        <v>45837</v>
      </c>
      <c r="E625" s="23" t="s">
        <v>20</v>
      </c>
      <c r="F625" s="23" t="s">
        <v>40</v>
      </c>
      <c r="G625" s="23" t="s">
        <v>21</v>
      </c>
      <c r="H625" s="23" t="s">
        <v>32</v>
      </c>
      <c r="I625" s="23">
        <v>4</v>
      </c>
      <c r="J625" s="23">
        <v>0</v>
      </c>
      <c r="K625" s="23">
        <v>5</v>
      </c>
      <c r="L625" s="23" t="s">
        <v>17</v>
      </c>
      <c r="M625" s="25">
        <v>6.4</v>
      </c>
      <c r="N625">
        <f t="shared" si="9"/>
        <v>0</v>
      </c>
    </row>
    <row r="626" spans="1:14" x14ac:dyDescent="0.35">
      <c r="A626" s="6" t="s">
        <v>696</v>
      </c>
      <c r="B626" s="19" t="s">
        <v>29</v>
      </c>
      <c r="C626" s="19">
        <v>10</v>
      </c>
      <c r="D626" s="20">
        <v>45951</v>
      </c>
      <c r="E626" s="19" t="s">
        <v>25</v>
      </c>
      <c r="F626" s="19" t="s">
        <v>14</v>
      </c>
      <c r="G626" s="19" t="s">
        <v>21</v>
      </c>
      <c r="H626" s="19" t="s">
        <v>8364</v>
      </c>
      <c r="I626" s="19">
        <v>72</v>
      </c>
      <c r="J626" s="19"/>
      <c r="K626" s="19"/>
      <c r="L626" s="19" t="s">
        <v>17</v>
      </c>
      <c r="M626" s="21">
        <v>14.5</v>
      </c>
      <c r="N626">
        <f t="shared" si="9"/>
        <v>1</v>
      </c>
    </row>
    <row r="627" spans="1:14" x14ac:dyDescent="0.35">
      <c r="A627" s="22" t="s">
        <v>697</v>
      </c>
      <c r="B627" s="23" t="s">
        <v>89</v>
      </c>
      <c r="C627" s="23">
        <v>8</v>
      </c>
      <c r="D627" s="24">
        <v>45882</v>
      </c>
      <c r="E627" s="23" t="s">
        <v>25</v>
      </c>
      <c r="F627" s="23" t="s">
        <v>59</v>
      </c>
      <c r="G627" s="23" t="s">
        <v>31</v>
      </c>
      <c r="H627" s="23" t="s">
        <v>16</v>
      </c>
      <c r="I627" s="23">
        <v>4</v>
      </c>
      <c r="J627" s="23">
        <v>0</v>
      </c>
      <c r="K627" s="23"/>
      <c r="L627" s="23" t="s">
        <v>8363</v>
      </c>
      <c r="M627" s="25">
        <v>25</v>
      </c>
      <c r="N627">
        <f t="shared" si="9"/>
        <v>0</v>
      </c>
    </row>
    <row r="628" spans="1:14" x14ac:dyDescent="0.35">
      <c r="A628" s="6" t="s">
        <v>698</v>
      </c>
      <c r="B628" s="19" t="s">
        <v>87</v>
      </c>
      <c r="C628" s="19">
        <v>10</v>
      </c>
      <c r="D628" s="20">
        <v>45940</v>
      </c>
      <c r="E628" s="19" t="s">
        <v>8364</v>
      </c>
      <c r="F628" s="19" t="s">
        <v>8364</v>
      </c>
      <c r="G628" s="19" t="s">
        <v>27</v>
      </c>
      <c r="H628" s="19" t="s">
        <v>8364</v>
      </c>
      <c r="I628" s="19">
        <v>4</v>
      </c>
      <c r="J628" s="19">
        <v>1</v>
      </c>
      <c r="K628" s="19">
        <v>5</v>
      </c>
      <c r="L628" s="19" t="s">
        <v>8363</v>
      </c>
      <c r="M628" s="21">
        <v>4.0999999999999996</v>
      </c>
      <c r="N628">
        <f t="shared" si="9"/>
        <v>0</v>
      </c>
    </row>
    <row r="629" spans="1:14" x14ac:dyDescent="0.35">
      <c r="A629" s="22" t="s">
        <v>699</v>
      </c>
      <c r="B629" s="23" t="s">
        <v>92</v>
      </c>
      <c r="C629" s="23">
        <v>9</v>
      </c>
      <c r="D629" s="24">
        <v>45926</v>
      </c>
      <c r="E629" s="23" t="s">
        <v>36</v>
      </c>
      <c r="F629" s="23" t="s">
        <v>26</v>
      </c>
      <c r="G629" s="23" t="s">
        <v>31</v>
      </c>
      <c r="H629" s="23" t="s">
        <v>32</v>
      </c>
      <c r="I629" s="23">
        <v>24</v>
      </c>
      <c r="J629" s="23">
        <v>0</v>
      </c>
      <c r="K629" s="23">
        <v>1</v>
      </c>
      <c r="L629" s="23" t="s">
        <v>44</v>
      </c>
      <c r="M629" s="25">
        <v>10.199999999999999</v>
      </c>
      <c r="N629">
        <f t="shared" si="9"/>
        <v>1</v>
      </c>
    </row>
    <row r="630" spans="1:14" x14ac:dyDescent="0.35">
      <c r="A630" s="6" t="s">
        <v>700</v>
      </c>
      <c r="B630" s="19" t="s">
        <v>45</v>
      </c>
      <c r="C630" s="19">
        <v>4</v>
      </c>
      <c r="D630" s="20">
        <v>45757</v>
      </c>
      <c r="E630" s="19" t="s">
        <v>13</v>
      </c>
      <c r="F630" s="19" t="s">
        <v>43</v>
      </c>
      <c r="G630" s="19" t="s">
        <v>15</v>
      </c>
      <c r="H630" s="19" t="s">
        <v>22</v>
      </c>
      <c r="I630" s="19">
        <v>4</v>
      </c>
      <c r="J630" s="19">
        <v>0</v>
      </c>
      <c r="K630" s="19"/>
      <c r="L630" s="19" t="s">
        <v>8363</v>
      </c>
      <c r="M630" s="21">
        <v>5.0999999999999996</v>
      </c>
      <c r="N630">
        <f t="shared" si="9"/>
        <v>0</v>
      </c>
    </row>
    <row r="631" spans="1:14" x14ac:dyDescent="0.35">
      <c r="A631" s="22" t="s">
        <v>701</v>
      </c>
      <c r="B631" s="23" t="s">
        <v>34</v>
      </c>
      <c r="C631" s="23">
        <v>8</v>
      </c>
      <c r="D631" s="24">
        <v>45873</v>
      </c>
      <c r="E631" s="23" t="s">
        <v>25</v>
      </c>
      <c r="F631" s="23" t="s">
        <v>37</v>
      </c>
      <c r="G631" s="23" t="s">
        <v>15</v>
      </c>
      <c r="H631" s="23" t="s">
        <v>28</v>
      </c>
      <c r="I631" s="23">
        <v>8</v>
      </c>
      <c r="J631" s="23">
        <v>0</v>
      </c>
      <c r="K631" s="23">
        <v>4</v>
      </c>
      <c r="L631" s="23" t="s">
        <v>75</v>
      </c>
      <c r="M631" s="25">
        <v>23.7</v>
      </c>
      <c r="N631">
        <f t="shared" si="9"/>
        <v>0</v>
      </c>
    </row>
    <row r="632" spans="1:14" x14ac:dyDescent="0.35">
      <c r="A632" s="6" t="s">
        <v>702</v>
      </c>
      <c r="B632" s="19" t="s">
        <v>72</v>
      </c>
      <c r="C632" s="19">
        <v>8</v>
      </c>
      <c r="D632" s="20">
        <v>45895</v>
      </c>
      <c r="E632" s="19" t="s">
        <v>68</v>
      </c>
      <c r="F632" s="19" t="s">
        <v>43</v>
      </c>
      <c r="G632" s="19" t="s">
        <v>21</v>
      </c>
      <c r="H632" s="19" t="s">
        <v>22</v>
      </c>
      <c r="I632" s="19">
        <v>72</v>
      </c>
      <c r="J632" s="19">
        <v>0</v>
      </c>
      <c r="K632" s="19">
        <v>4</v>
      </c>
      <c r="L632" s="19" t="s">
        <v>8363</v>
      </c>
      <c r="M632" s="21">
        <v>4.4000000000000004</v>
      </c>
      <c r="N632">
        <f t="shared" si="9"/>
        <v>1</v>
      </c>
    </row>
    <row r="633" spans="1:14" x14ac:dyDescent="0.35">
      <c r="A633" s="22" t="s">
        <v>703</v>
      </c>
      <c r="B633" s="23" t="s">
        <v>41</v>
      </c>
      <c r="C633" s="23">
        <v>10</v>
      </c>
      <c r="D633" s="24">
        <v>45937</v>
      </c>
      <c r="E633" s="23" t="s">
        <v>25</v>
      </c>
      <c r="F633" s="23" t="s">
        <v>43</v>
      </c>
      <c r="G633" s="23" t="s">
        <v>21</v>
      </c>
      <c r="H633" s="23" t="s">
        <v>16</v>
      </c>
      <c r="I633" s="23">
        <v>4</v>
      </c>
      <c r="J633" s="23"/>
      <c r="K633" s="23"/>
      <c r="L633" s="23" t="s">
        <v>8363</v>
      </c>
      <c r="M633" s="25">
        <v>18.100000000000001</v>
      </c>
      <c r="N633">
        <f t="shared" si="9"/>
        <v>0</v>
      </c>
    </row>
    <row r="634" spans="1:14" x14ac:dyDescent="0.35">
      <c r="A634" s="6" t="s">
        <v>704</v>
      </c>
      <c r="B634" s="19" t="s">
        <v>23</v>
      </c>
      <c r="C634" s="19">
        <v>4</v>
      </c>
      <c r="D634" s="20">
        <v>45748</v>
      </c>
      <c r="E634" s="19" t="s">
        <v>25</v>
      </c>
      <c r="F634" s="19" t="s">
        <v>43</v>
      </c>
      <c r="G634" s="19" t="s">
        <v>21</v>
      </c>
      <c r="H634" s="19" t="s">
        <v>28</v>
      </c>
      <c r="I634" s="19">
        <v>8</v>
      </c>
      <c r="J634" s="19">
        <v>0</v>
      </c>
      <c r="K634" s="19">
        <v>5</v>
      </c>
      <c r="L634" s="19" t="s">
        <v>75</v>
      </c>
      <c r="M634" s="21">
        <v>4.7</v>
      </c>
      <c r="N634">
        <f t="shared" si="9"/>
        <v>1</v>
      </c>
    </row>
    <row r="635" spans="1:14" x14ac:dyDescent="0.35">
      <c r="A635" s="22" t="s">
        <v>705</v>
      </c>
      <c r="B635" s="23" t="s">
        <v>57</v>
      </c>
      <c r="C635" s="23"/>
      <c r="D635" s="24"/>
      <c r="E635" s="23" t="s">
        <v>36</v>
      </c>
      <c r="F635" s="23" t="s">
        <v>40</v>
      </c>
      <c r="G635" s="23" t="s">
        <v>15</v>
      </c>
      <c r="H635" s="23" t="s">
        <v>22</v>
      </c>
      <c r="I635" s="23">
        <v>24</v>
      </c>
      <c r="J635" s="23">
        <v>0</v>
      </c>
      <c r="K635" s="23">
        <v>1</v>
      </c>
      <c r="L635" s="23" t="s">
        <v>17</v>
      </c>
      <c r="M635" s="25">
        <v>4.4000000000000004</v>
      </c>
      <c r="N635">
        <f t="shared" si="9"/>
        <v>1</v>
      </c>
    </row>
    <row r="636" spans="1:14" x14ac:dyDescent="0.35">
      <c r="A636" s="6" t="s">
        <v>706</v>
      </c>
      <c r="B636" s="19" t="s">
        <v>51</v>
      </c>
      <c r="C636" s="19">
        <v>11</v>
      </c>
      <c r="D636" s="20">
        <v>45964</v>
      </c>
      <c r="E636" s="19" t="s">
        <v>36</v>
      </c>
      <c r="F636" s="19" t="s">
        <v>43</v>
      </c>
      <c r="G636" s="19" t="s">
        <v>8364</v>
      </c>
      <c r="H636" s="19" t="s">
        <v>22</v>
      </c>
      <c r="I636" s="19">
        <v>24</v>
      </c>
      <c r="J636" s="19">
        <v>0</v>
      </c>
      <c r="K636" s="19">
        <v>2</v>
      </c>
      <c r="L636" s="19" t="s">
        <v>44</v>
      </c>
      <c r="M636" s="21">
        <v>6.4</v>
      </c>
      <c r="N636">
        <f t="shared" si="9"/>
        <v>1</v>
      </c>
    </row>
    <row r="637" spans="1:14" x14ac:dyDescent="0.35">
      <c r="A637" s="22" t="s">
        <v>707</v>
      </c>
      <c r="B637" s="23" t="s">
        <v>47</v>
      </c>
      <c r="C637" s="23">
        <v>8</v>
      </c>
      <c r="D637" s="24">
        <v>45874</v>
      </c>
      <c r="E637" s="23" t="s">
        <v>25</v>
      </c>
      <c r="F637" s="23" t="s">
        <v>40</v>
      </c>
      <c r="G637" s="23" t="s">
        <v>27</v>
      </c>
      <c r="H637" s="23" t="s">
        <v>22</v>
      </c>
      <c r="I637" s="23">
        <v>24</v>
      </c>
      <c r="J637" s="23">
        <v>0</v>
      </c>
      <c r="K637" s="23"/>
      <c r="L637" s="23" t="s">
        <v>62</v>
      </c>
      <c r="M637" s="25">
        <v>10</v>
      </c>
      <c r="N637">
        <f t="shared" si="9"/>
        <v>1</v>
      </c>
    </row>
    <row r="638" spans="1:14" x14ac:dyDescent="0.35">
      <c r="A638" s="6" t="s">
        <v>708</v>
      </c>
      <c r="B638" s="19" t="s">
        <v>53</v>
      </c>
      <c r="C638" s="19"/>
      <c r="D638" s="20"/>
      <c r="E638" s="19" t="s">
        <v>25</v>
      </c>
      <c r="F638" s="19" t="s">
        <v>43</v>
      </c>
      <c r="G638" s="19" t="s">
        <v>31</v>
      </c>
      <c r="H638" s="19" t="s">
        <v>22</v>
      </c>
      <c r="I638" s="19">
        <v>8</v>
      </c>
      <c r="J638" s="19">
        <v>0</v>
      </c>
      <c r="K638" s="19">
        <v>4</v>
      </c>
      <c r="L638" s="19" t="s">
        <v>8363</v>
      </c>
      <c r="M638" s="21">
        <v>78</v>
      </c>
      <c r="N638">
        <f t="shared" si="9"/>
        <v>0</v>
      </c>
    </row>
    <row r="639" spans="1:14" x14ac:dyDescent="0.35">
      <c r="A639" s="22" t="s">
        <v>709</v>
      </c>
      <c r="B639" s="23" t="s">
        <v>97</v>
      </c>
      <c r="C639" s="23">
        <v>12</v>
      </c>
      <c r="D639" s="24">
        <v>46003</v>
      </c>
      <c r="E639" s="23" t="s">
        <v>68</v>
      </c>
      <c r="F639" s="23" t="s">
        <v>59</v>
      </c>
      <c r="G639" s="23" t="s">
        <v>27</v>
      </c>
      <c r="H639" s="23" t="s">
        <v>8364</v>
      </c>
      <c r="I639" s="23">
        <v>4</v>
      </c>
      <c r="J639" s="23">
        <v>0</v>
      </c>
      <c r="K639" s="23">
        <v>5</v>
      </c>
      <c r="L639" s="23" t="s">
        <v>38</v>
      </c>
      <c r="M639" s="25">
        <v>16.399999999999999</v>
      </c>
      <c r="N639">
        <f t="shared" si="9"/>
        <v>0</v>
      </c>
    </row>
    <row r="640" spans="1:14" x14ac:dyDescent="0.35">
      <c r="A640" s="6" t="s">
        <v>710</v>
      </c>
      <c r="B640" s="19" t="s">
        <v>49</v>
      </c>
      <c r="C640" s="19">
        <v>10</v>
      </c>
      <c r="D640" s="20">
        <v>45957</v>
      </c>
      <c r="E640" s="19" t="s">
        <v>8364</v>
      </c>
      <c r="F640" s="19" t="s">
        <v>43</v>
      </c>
      <c r="G640" s="19" t="s">
        <v>31</v>
      </c>
      <c r="H640" s="19" t="s">
        <v>22</v>
      </c>
      <c r="I640" s="19">
        <v>8</v>
      </c>
      <c r="J640" s="19">
        <v>1</v>
      </c>
      <c r="K640" s="19">
        <v>5</v>
      </c>
      <c r="L640" s="19" t="s">
        <v>8363</v>
      </c>
      <c r="M640" s="21">
        <v>12</v>
      </c>
      <c r="N640">
        <f t="shared" si="9"/>
        <v>0</v>
      </c>
    </row>
    <row r="641" spans="1:14" x14ac:dyDescent="0.35">
      <c r="A641" s="22" t="s">
        <v>711</v>
      </c>
      <c r="B641" s="23" t="s">
        <v>23</v>
      </c>
      <c r="C641" s="23">
        <v>3</v>
      </c>
      <c r="D641" s="24">
        <v>45732</v>
      </c>
      <c r="E641" s="23" t="s">
        <v>20</v>
      </c>
      <c r="F641" s="23" t="s">
        <v>59</v>
      </c>
      <c r="G641" s="23" t="s">
        <v>21</v>
      </c>
      <c r="H641" s="23" t="s">
        <v>8364</v>
      </c>
      <c r="I641" s="23">
        <v>24</v>
      </c>
      <c r="J641" s="23">
        <v>0</v>
      </c>
      <c r="K641" s="23">
        <v>2</v>
      </c>
      <c r="L641" s="23" t="s">
        <v>8363</v>
      </c>
      <c r="M641" s="25">
        <v>17.399999999999999</v>
      </c>
      <c r="N641">
        <f t="shared" si="9"/>
        <v>1</v>
      </c>
    </row>
    <row r="642" spans="1:14" x14ac:dyDescent="0.35">
      <c r="A642" s="6" t="s">
        <v>712</v>
      </c>
      <c r="B642" s="19" t="s">
        <v>34</v>
      </c>
      <c r="C642" s="19">
        <v>11</v>
      </c>
      <c r="D642" s="20">
        <v>45978</v>
      </c>
      <c r="E642" s="19" t="s">
        <v>13</v>
      </c>
      <c r="F642" s="19" t="s">
        <v>40</v>
      </c>
      <c r="G642" s="19" t="s">
        <v>27</v>
      </c>
      <c r="H642" s="19" t="s">
        <v>28</v>
      </c>
      <c r="I642" s="19">
        <v>8</v>
      </c>
      <c r="J642" s="19">
        <v>0</v>
      </c>
      <c r="K642" s="19"/>
      <c r="L642" s="19" t="s">
        <v>75</v>
      </c>
      <c r="M642" s="21">
        <v>29</v>
      </c>
      <c r="N642">
        <f t="shared" si="9"/>
        <v>0</v>
      </c>
    </row>
    <row r="643" spans="1:14" x14ac:dyDescent="0.35">
      <c r="A643" s="22" t="s">
        <v>713</v>
      </c>
      <c r="B643" s="23" t="s">
        <v>34</v>
      </c>
      <c r="C643" s="23"/>
      <c r="D643" s="24"/>
      <c r="E643" s="23" t="s">
        <v>25</v>
      </c>
      <c r="F643" s="23" t="s">
        <v>43</v>
      </c>
      <c r="G643" s="23" t="s">
        <v>27</v>
      </c>
      <c r="H643" s="23" t="s">
        <v>22</v>
      </c>
      <c r="I643" s="23">
        <v>4</v>
      </c>
      <c r="J643" s="23">
        <v>0</v>
      </c>
      <c r="K643" s="23">
        <v>3</v>
      </c>
      <c r="L643" s="23" t="s">
        <v>17</v>
      </c>
      <c r="M643" s="25">
        <v>12.5</v>
      </c>
      <c r="N643">
        <f t="shared" ref="N643:N706" si="10">IF(M643 &lt;= I643, 1, 0)</f>
        <v>0</v>
      </c>
    </row>
    <row r="644" spans="1:14" x14ac:dyDescent="0.35">
      <c r="A644" s="6" t="s">
        <v>714</v>
      </c>
      <c r="B644" s="19" t="s">
        <v>81</v>
      </c>
      <c r="C644" s="19">
        <v>1</v>
      </c>
      <c r="D644" s="20">
        <v>45659</v>
      </c>
      <c r="E644" s="19" t="s">
        <v>13</v>
      </c>
      <c r="F644" s="19" t="s">
        <v>59</v>
      </c>
      <c r="G644" s="19" t="s">
        <v>31</v>
      </c>
      <c r="H644" s="19" t="s">
        <v>28</v>
      </c>
      <c r="I644" s="19">
        <v>4</v>
      </c>
      <c r="J644" s="19">
        <v>0</v>
      </c>
      <c r="K644" s="19">
        <v>5</v>
      </c>
      <c r="L644" s="19" t="s">
        <v>38</v>
      </c>
      <c r="M644" s="21">
        <v>17.5</v>
      </c>
      <c r="N644">
        <f t="shared" si="10"/>
        <v>0</v>
      </c>
    </row>
    <row r="645" spans="1:14" x14ac:dyDescent="0.35">
      <c r="A645" s="22" t="s">
        <v>715</v>
      </c>
      <c r="B645" s="23" t="s">
        <v>236</v>
      </c>
      <c r="C645" s="23"/>
      <c r="D645" s="24"/>
      <c r="E645" s="23" t="s">
        <v>8364</v>
      </c>
      <c r="F645" s="23" t="s">
        <v>14</v>
      </c>
      <c r="G645" s="23" t="s">
        <v>15</v>
      </c>
      <c r="H645" s="23" t="s">
        <v>28</v>
      </c>
      <c r="I645" s="23">
        <v>48</v>
      </c>
      <c r="J645" s="23">
        <v>0</v>
      </c>
      <c r="K645" s="23">
        <v>1</v>
      </c>
      <c r="L645" s="23" t="s">
        <v>8363</v>
      </c>
      <c r="M645" s="25">
        <v>16.3</v>
      </c>
      <c r="N645">
        <f t="shared" si="10"/>
        <v>1</v>
      </c>
    </row>
    <row r="646" spans="1:14" x14ac:dyDescent="0.35">
      <c r="A646" s="6" t="s">
        <v>716</v>
      </c>
      <c r="B646" s="19" t="s">
        <v>49</v>
      </c>
      <c r="C646" s="19">
        <v>11</v>
      </c>
      <c r="D646" s="20">
        <v>45991</v>
      </c>
      <c r="E646" s="19" t="s">
        <v>25</v>
      </c>
      <c r="F646" s="19" t="s">
        <v>8364</v>
      </c>
      <c r="G646" s="19" t="s">
        <v>15</v>
      </c>
      <c r="H646" s="19" t="s">
        <v>22</v>
      </c>
      <c r="I646" s="19">
        <v>4</v>
      </c>
      <c r="J646" s="19">
        <v>0</v>
      </c>
      <c r="K646" s="19">
        <v>4</v>
      </c>
      <c r="L646" s="19" t="s">
        <v>75</v>
      </c>
      <c r="M646" s="21">
        <v>4.2</v>
      </c>
      <c r="N646">
        <f t="shared" si="10"/>
        <v>0</v>
      </c>
    </row>
    <row r="647" spans="1:14" x14ac:dyDescent="0.35">
      <c r="A647" s="22" t="s">
        <v>717</v>
      </c>
      <c r="B647" s="23" t="s">
        <v>57</v>
      </c>
      <c r="C647" s="23">
        <v>10</v>
      </c>
      <c r="D647" s="24">
        <v>45942</v>
      </c>
      <c r="E647" s="23" t="s">
        <v>20</v>
      </c>
      <c r="F647" s="23" t="s">
        <v>37</v>
      </c>
      <c r="G647" s="23" t="s">
        <v>27</v>
      </c>
      <c r="H647" s="23" t="s">
        <v>22</v>
      </c>
      <c r="I647" s="23">
        <v>48</v>
      </c>
      <c r="J647" s="23">
        <v>0</v>
      </c>
      <c r="K647" s="23">
        <v>3</v>
      </c>
      <c r="L647" s="23" t="s">
        <v>8363</v>
      </c>
      <c r="M647" s="25">
        <v>9.3000000000000007</v>
      </c>
      <c r="N647">
        <f t="shared" si="10"/>
        <v>1</v>
      </c>
    </row>
    <row r="648" spans="1:14" x14ac:dyDescent="0.35">
      <c r="A648" s="6" t="s">
        <v>718</v>
      </c>
      <c r="B648" s="19" t="s">
        <v>89</v>
      </c>
      <c r="C648" s="19">
        <v>7</v>
      </c>
      <c r="D648" s="20">
        <v>45864</v>
      </c>
      <c r="E648" s="19" t="s">
        <v>8364</v>
      </c>
      <c r="F648" s="19" t="s">
        <v>26</v>
      </c>
      <c r="G648" s="19" t="s">
        <v>27</v>
      </c>
      <c r="H648" s="19" t="s">
        <v>28</v>
      </c>
      <c r="I648" s="19">
        <v>4</v>
      </c>
      <c r="J648" s="19">
        <v>0</v>
      </c>
      <c r="K648" s="19">
        <v>4</v>
      </c>
      <c r="L648" s="19" t="s">
        <v>8363</v>
      </c>
      <c r="M648" s="21">
        <v>5.9</v>
      </c>
      <c r="N648">
        <f t="shared" si="10"/>
        <v>0</v>
      </c>
    </row>
    <row r="649" spans="1:14" x14ac:dyDescent="0.35">
      <c r="A649" s="22" t="s">
        <v>719</v>
      </c>
      <c r="B649" s="23" t="s">
        <v>104</v>
      </c>
      <c r="C649" s="23">
        <v>6</v>
      </c>
      <c r="D649" s="24">
        <v>45816</v>
      </c>
      <c r="E649" s="23" t="s">
        <v>20</v>
      </c>
      <c r="F649" s="23" t="s">
        <v>14</v>
      </c>
      <c r="G649" s="23" t="s">
        <v>21</v>
      </c>
      <c r="H649" s="23" t="s">
        <v>22</v>
      </c>
      <c r="I649" s="23">
        <v>8</v>
      </c>
      <c r="J649" s="23">
        <v>3</v>
      </c>
      <c r="K649" s="23">
        <v>2</v>
      </c>
      <c r="L649" s="23" t="s">
        <v>38</v>
      </c>
      <c r="M649" s="25">
        <v>4.8</v>
      </c>
      <c r="N649">
        <f t="shared" si="10"/>
        <v>1</v>
      </c>
    </row>
    <row r="650" spans="1:14" x14ac:dyDescent="0.35">
      <c r="A650" s="6" t="s">
        <v>720</v>
      </c>
      <c r="B650" s="19" t="s">
        <v>34</v>
      </c>
      <c r="C650" s="19">
        <v>5</v>
      </c>
      <c r="D650" s="20">
        <v>45800</v>
      </c>
      <c r="E650" s="19" t="s">
        <v>36</v>
      </c>
      <c r="F650" s="19" t="s">
        <v>59</v>
      </c>
      <c r="G650" s="19" t="s">
        <v>15</v>
      </c>
      <c r="H650" s="19" t="s">
        <v>22</v>
      </c>
      <c r="I650" s="19">
        <v>24</v>
      </c>
      <c r="J650" s="19">
        <v>1</v>
      </c>
      <c r="K650" s="19">
        <v>4</v>
      </c>
      <c r="L650" s="19" t="s">
        <v>17</v>
      </c>
      <c r="M650" s="21">
        <v>9.4</v>
      </c>
      <c r="N650">
        <f t="shared" si="10"/>
        <v>1</v>
      </c>
    </row>
    <row r="651" spans="1:14" x14ac:dyDescent="0.35">
      <c r="A651" s="22" t="s">
        <v>721</v>
      </c>
      <c r="B651" s="23" t="s">
        <v>47</v>
      </c>
      <c r="C651" s="23">
        <v>12</v>
      </c>
      <c r="D651" s="24">
        <v>46005</v>
      </c>
      <c r="E651" s="23" t="s">
        <v>13</v>
      </c>
      <c r="F651" s="23" t="s">
        <v>40</v>
      </c>
      <c r="G651" s="23" t="s">
        <v>15</v>
      </c>
      <c r="H651" s="23" t="s">
        <v>8364</v>
      </c>
      <c r="I651" s="23">
        <v>24</v>
      </c>
      <c r="J651" s="23">
        <v>3</v>
      </c>
      <c r="K651" s="23">
        <v>5</v>
      </c>
      <c r="L651" s="23" t="s">
        <v>8363</v>
      </c>
      <c r="M651" s="25">
        <v>8.9</v>
      </c>
      <c r="N651">
        <f t="shared" si="10"/>
        <v>1</v>
      </c>
    </row>
    <row r="652" spans="1:14" x14ac:dyDescent="0.35">
      <c r="A652" s="6" t="s">
        <v>722</v>
      </c>
      <c r="B652" s="19" t="s">
        <v>18</v>
      </c>
      <c r="C652" s="19">
        <v>1</v>
      </c>
      <c r="D652" s="20">
        <v>45662</v>
      </c>
      <c r="E652" s="19" t="s">
        <v>8364</v>
      </c>
      <c r="F652" s="19" t="s">
        <v>43</v>
      </c>
      <c r="G652" s="19" t="s">
        <v>27</v>
      </c>
      <c r="H652" s="19" t="s">
        <v>28</v>
      </c>
      <c r="I652" s="19">
        <v>8</v>
      </c>
      <c r="J652" s="19">
        <v>0</v>
      </c>
      <c r="K652" s="19">
        <v>3</v>
      </c>
      <c r="L652" s="19" t="s">
        <v>38</v>
      </c>
      <c r="M652" s="21">
        <v>19.3</v>
      </c>
      <c r="N652">
        <f t="shared" si="10"/>
        <v>0</v>
      </c>
    </row>
    <row r="653" spans="1:14" x14ac:dyDescent="0.35">
      <c r="A653" s="22" t="s">
        <v>723</v>
      </c>
      <c r="B653" s="23" t="s">
        <v>45</v>
      </c>
      <c r="C653" s="23">
        <v>10</v>
      </c>
      <c r="D653" s="24">
        <v>45953</v>
      </c>
      <c r="E653" s="23" t="s">
        <v>68</v>
      </c>
      <c r="F653" s="23" t="s">
        <v>26</v>
      </c>
      <c r="G653" s="23" t="s">
        <v>31</v>
      </c>
      <c r="H653" s="23" t="s">
        <v>28</v>
      </c>
      <c r="I653" s="23">
        <v>48</v>
      </c>
      <c r="J653" s="23">
        <v>3</v>
      </c>
      <c r="K653" s="23">
        <v>5</v>
      </c>
      <c r="L653" s="23" t="s">
        <v>62</v>
      </c>
      <c r="M653" s="25">
        <v>21.6</v>
      </c>
      <c r="N653">
        <f t="shared" si="10"/>
        <v>1</v>
      </c>
    </row>
    <row r="654" spans="1:14" x14ac:dyDescent="0.35">
      <c r="A654" s="6" t="s">
        <v>724</v>
      </c>
      <c r="B654" s="19" t="s">
        <v>34</v>
      </c>
      <c r="C654" s="19"/>
      <c r="D654" s="20"/>
      <c r="E654" s="19" t="s">
        <v>68</v>
      </c>
      <c r="F654" s="19" t="s">
        <v>43</v>
      </c>
      <c r="G654" s="19" t="s">
        <v>21</v>
      </c>
      <c r="H654" s="19" t="s">
        <v>22</v>
      </c>
      <c r="I654" s="19">
        <v>4</v>
      </c>
      <c r="J654" s="19">
        <v>3</v>
      </c>
      <c r="K654" s="19">
        <v>4</v>
      </c>
      <c r="L654" s="19" t="s">
        <v>17</v>
      </c>
      <c r="M654" s="21">
        <v>14.3</v>
      </c>
      <c r="N654">
        <f t="shared" si="10"/>
        <v>0</v>
      </c>
    </row>
    <row r="655" spans="1:14" x14ac:dyDescent="0.35">
      <c r="A655" s="22" t="s">
        <v>725</v>
      </c>
      <c r="B655" s="23" t="s">
        <v>65</v>
      </c>
      <c r="C655" s="23">
        <v>6</v>
      </c>
      <c r="D655" s="24">
        <v>45824</v>
      </c>
      <c r="E655" s="23" t="s">
        <v>13</v>
      </c>
      <c r="F655" s="23" t="s">
        <v>40</v>
      </c>
      <c r="G655" s="23" t="s">
        <v>31</v>
      </c>
      <c r="H655" s="23" t="s">
        <v>22</v>
      </c>
      <c r="I655" s="23">
        <v>72</v>
      </c>
      <c r="J655" s="23">
        <v>2</v>
      </c>
      <c r="K655" s="23">
        <v>3</v>
      </c>
      <c r="L655" s="23" t="s">
        <v>44</v>
      </c>
      <c r="M655" s="25">
        <v>15</v>
      </c>
      <c r="N655">
        <f t="shared" si="10"/>
        <v>1</v>
      </c>
    </row>
    <row r="656" spans="1:14" x14ac:dyDescent="0.35">
      <c r="A656" s="6" t="s">
        <v>726</v>
      </c>
      <c r="B656" s="19" t="s">
        <v>81</v>
      </c>
      <c r="C656" s="19">
        <v>11</v>
      </c>
      <c r="D656" s="20">
        <v>45971</v>
      </c>
      <c r="E656" s="19" t="s">
        <v>25</v>
      </c>
      <c r="F656" s="19" t="s">
        <v>8364</v>
      </c>
      <c r="G656" s="19" t="s">
        <v>21</v>
      </c>
      <c r="H656" s="19" t="s">
        <v>22</v>
      </c>
      <c r="I656" s="19">
        <v>48</v>
      </c>
      <c r="J656" s="19">
        <v>2</v>
      </c>
      <c r="K656" s="19">
        <v>3</v>
      </c>
      <c r="L656" s="19" t="s">
        <v>75</v>
      </c>
      <c r="M656" s="21">
        <v>11.2</v>
      </c>
      <c r="N656">
        <f t="shared" si="10"/>
        <v>1</v>
      </c>
    </row>
    <row r="657" spans="1:14" x14ac:dyDescent="0.35">
      <c r="A657" s="22" t="s">
        <v>727</v>
      </c>
      <c r="B657" s="23" t="s">
        <v>81</v>
      </c>
      <c r="C657" s="23">
        <v>8</v>
      </c>
      <c r="D657" s="24">
        <v>45892</v>
      </c>
      <c r="E657" s="23" t="s">
        <v>20</v>
      </c>
      <c r="F657" s="23" t="s">
        <v>40</v>
      </c>
      <c r="G657" s="23" t="s">
        <v>31</v>
      </c>
      <c r="H657" s="23" t="s">
        <v>16</v>
      </c>
      <c r="I657" s="23">
        <v>24</v>
      </c>
      <c r="J657" s="23"/>
      <c r="K657" s="23">
        <v>5</v>
      </c>
      <c r="L657" s="23" t="s">
        <v>33</v>
      </c>
      <c r="M657" s="25">
        <v>12.4</v>
      </c>
      <c r="N657">
        <f t="shared" si="10"/>
        <v>1</v>
      </c>
    </row>
    <row r="658" spans="1:14" x14ac:dyDescent="0.35">
      <c r="A658" s="6" t="s">
        <v>728</v>
      </c>
      <c r="B658" s="19" t="s">
        <v>41</v>
      </c>
      <c r="C658" s="19"/>
      <c r="D658" s="20"/>
      <c r="E658" s="19" t="s">
        <v>25</v>
      </c>
      <c r="F658" s="19" t="s">
        <v>26</v>
      </c>
      <c r="G658" s="19" t="s">
        <v>15</v>
      </c>
      <c r="H658" s="19" t="s">
        <v>32</v>
      </c>
      <c r="I658" s="19">
        <v>72</v>
      </c>
      <c r="J658" s="19">
        <v>0</v>
      </c>
      <c r="K658" s="19">
        <v>4</v>
      </c>
      <c r="L658" s="19" t="s">
        <v>8363</v>
      </c>
      <c r="M658" s="21"/>
      <c r="N658">
        <f t="shared" si="10"/>
        <v>1</v>
      </c>
    </row>
    <row r="659" spans="1:14" x14ac:dyDescent="0.35">
      <c r="A659" s="22" t="s">
        <v>729</v>
      </c>
      <c r="B659" s="23" t="s">
        <v>53</v>
      </c>
      <c r="C659" s="23">
        <v>6</v>
      </c>
      <c r="D659" s="24">
        <v>45827</v>
      </c>
      <c r="E659" s="23" t="s">
        <v>13</v>
      </c>
      <c r="F659" s="23" t="s">
        <v>43</v>
      </c>
      <c r="G659" s="23" t="s">
        <v>21</v>
      </c>
      <c r="H659" s="23" t="s">
        <v>32</v>
      </c>
      <c r="I659" s="23">
        <v>8</v>
      </c>
      <c r="J659" s="23">
        <v>0</v>
      </c>
      <c r="K659" s="23">
        <v>1</v>
      </c>
      <c r="L659" s="23" t="s">
        <v>75</v>
      </c>
      <c r="M659" s="25">
        <v>8.3000000000000007</v>
      </c>
      <c r="N659">
        <f t="shared" si="10"/>
        <v>0</v>
      </c>
    </row>
    <row r="660" spans="1:14" x14ac:dyDescent="0.35">
      <c r="A660" s="6" t="s">
        <v>730</v>
      </c>
      <c r="B660" s="19" t="s">
        <v>41</v>
      </c>
      <c r="C660" s="19">
        <v>6</v>
      </c>
      <c r="D660" s="20">
        <v>45831</v>
      </c>
      <c r="E660" s="19" t="s">
        <v>36</v>
      </c>
      <c r="F660" s="19" t="s">
        <v>59</v>
      </c>
      <c r="G660" s="19" t="s">
        <v>15</v>
      </c>
      <c r="H660" s="19" t="s">
        <v>8364</v>
      </c>
      <c r="I660" s="19">
        <v>72</v>
      </c>
      <c r="J660" s="19">
        <v>2</v>
      </c>
      <c r="K660" s="19">
        <v>4</v>
      </c>
      <c r="L660" s="19" t="s">
        <v>33</v>
      </c>
      <c r="M660" s="21">
        <v>13.9</v>
      </c>
      <c r="N660">
        <f t="shared" si="10"/>
        <v>1</v>
      </c>
    </row>
    <row r="661" spans="1:14" x14ac:dyDescent="0.35">
      <c r="A661" s="22" t="s">
        <v>731</v>
      </c>
      <c r="B661" s="23" t="s">
        <v>139</v>
      </c>
      <c r="C661" s="23">
        <v>10</v>
      </c>
      <c r="D661" s="24">
        <v>45948</v>
      </c>
      <c r="E661" s="23" t="s">
        <v>25</v>
      </c>
      <c r="F661" s="23" t="s">
        <v>14</v>
      </c>
      <c r="G661" s="23" t="s">
        <v>21</v>
      </c>
      <c r="H661" s="23" t="s">
        <v>8364</v>
      </c>
      <c r="I661" s="23">
        <v>24</v>
      </c>
      <c r="J661" s="23">
        <v>0</v>
      </c>
      <c r="K661" s="23">
        <v>3</v>
      </c>
      <c r="L661" s="23" t="s">
        <v>33</v>
      </c>
      <c r="M661" s="25">
        <v>48</v>
      </c>
      <c r="N661">
        <f t="shared" si="10"/>
        <v>0</v>
      </c>
    </row>
    <row r="662" spans="1:14" x14ac:dyDescent="0.35">
      <c r="A662" s="6" t="s">
        <v>732</v>
      </c>
      <c r="B662" s="19" t="s">
        <v>69</v>
      </c>
      <c r="C662" s="19">
        <v>9</v>
      </c>
      <c r="D662" s="20">
        <v>45912</v>
      </c>
      <c r="E662" s="19" t="s">
        <v>25</v>
      </c>
      <c r="F662" s="19" t="s">
        <v>14</v>
      </c>
      <c r="G662" s="19" t="s">
        <v>15</v>
      </c>
      <c r="H662" s="19" t="s">
        <v>22</v>
      </c>
      <c r="I662" s="19">
        <v>48</v>
      </c>
      <c r="J662" s="19">
        <v>0</v>
      </c>
      <c r="K662" s="19">
        <v>5</v>
      </c>
      <c r="L662" s="19" t="s">
        <v>17</v>
      </c>
      <c r="M662" s="21">
        <v>2.2999999999999998</v>
      </c>
      <c r="N662">
        <f t="shared" si="10"/>
        <v>1</v>
      </c>
    </row>
    <row r="663" spans="1:14" x14ac:dyDescent="0.35">
      <c r="A663" s="22" t="s">
        <v>733</v>
      </c>
      <c r="B663" s="23" t="s">
        <v>130</v>
      </c>
      <c r="C663" s="23">
        <v>4</v>
      </c>
      <c r="D663" s="24">
        <v>45753</v>
      </c>
      <c r="E663" s="23" t="s">
        <v>36</v>
      </c>
      <c r="F663" s="23" t="s">
        <v>43</v>
      </c>
      <c r="G663" s="23" t="s">
        <v>27</v>
      </c>
      <c r="H663" s="23" t="s">
        <v>8364</v>
      </c>
      <c r="I663" s="23">
        <v>4</v>
      </c>
      <c r="J663" s="23">
        <v>0</v>
      </c>
      <c r="K663" s="23">
        <v>4</v>
      </c>
      <c r="L663" s="23" t="s">
        <v>33</v>
      </c>
      <c r="M663" s="25">
        <v>16.2</v>
      </c>
      <c r="N663">
        <f t="shared" si="10"/>
        <v>0</v>
      </c>
    </row>
    <row r="664" spans="1:14" x14ac:dyDescent="0.35">
      <c r="A664" s="6" t="s">
        <v>734</v>
      </c>
      <c r="B664" s="19" t="s">
        <v>47</v>
      </c>
      <c r="C664" s="19">
        <v>12</v>
      </c>
      <c r="D664" s="20">
        <v>46010</v>
      </c>
      <c r="E664" s="19" t="s">
        <v>36</v>
      </c>
      <c r="F664" s="19" t="s">
        <v>37</v>
      </c>
      <c r="G664" s="19" t="s">
        <v>31</v>
      </c>
      <c r="H664" s="19" t="s">
        <v>32</v>
      </c>
      <c r="I664" s="19">
        <v>4</v>
      </c>
      <c r="J664" s="19">
        <v>1</v>
      </c>
      <c r="K664" s="19">
        <v>1</v>
      </c>
      <c r="L664" s="19" t="s">
        <v>33</v>
      </c>
      <c r="M664" s="21"/>
      <c r="N664">
        <f t="shared" si="10"/>
        <v>1</v>
      </c>
    </row>
    <row r="665" spans="1:14" x14ac:dyDescent="0.35">
      <c r="A665" s="22" t="s">
        <v>735</v>
      </c>
      <c r="B665" s="23" t="s">
        <v>23</v>
      </c>
      <c r="C665" s="23">
        <v>4</v>
      </c>
      <c r="D665" s="24">
        <v>45758</v>
      </c>
      <c r="E665" s="23" t="s">
        <v>36</v>
      </c>
      <c r="F665" s="23" t="s">
        <v>59</v>
      </c>
      <c r="G665" s="23" t="s">
        <v>15</v>
      </c>
      <c r="H665" s="23" t="s">
        <v>16</v>
      </c>
      <c r="I665" s="23">
        <v>24</v>
      </c>
      <c r="J665" s="23">
        <v>0</v>
      </c>
      <c r="K665" s="23">
        <v>1</v>
      </c>
      <c r="L665" s="23" t="s">
        <v>44</v>
      </c>
      <c r="M665" s="25">
        <v>6.5</v>
      </c>
      <c r="N665">
        <f t="shared" si="10"/>
        <v>1</v>
      </c>
    </row>
    <row r="666" spans="1:14" x14ac:dyDescent="0.35">
      <c r="A666" s="6" t="s">
        <v>736</v>
      </c>
      <c r="B666" s="19" t="s">
        <v>81</v>
      </c>
      <c r="C666" s="19">
        <v>7</v>
      </c>
      <c r="D666" s="20">
        <v>45839</v>
      </c>
      <c r="E666" s="19" t="s">
        <v>13</v>
      </c>
      <c r="F666" s="19" t="s">
        <v>43</v>
      </c>
      <c r="G666" s="19" t="s">
        <v>15</v>
      </c>
      <c r="H666" s="19" t="s">
        <v>22</v>
      </c>
      <c r="I666" s="19">
        <v>8</v>
      </c>
      <c r="J666" s="19">
        <v>0</v>
      </c>
      <c r="K666" s="19">
        <v>5</v>
      </c>
      <c r="L666" s="19" t="s">
        <v>38</v>
      </c>
      <c r="M666" s="21">
        <v>7.7</v>
      </c>
      <c r="N666">
        <f t="shared" si="10"/>
        <v>1</v>
      </c>
    </row>
    <row r="667" spans="1:14" x14ac:dyDescent="0.35">
      <c r="A667" s="22" t="s">
        <v>737</v>
      </c>
      <c r="B667" s="23" t="s">
        <v>53</v>
      </c>
      <c r="C667" s="23">
        <v>1</v>
      </c>
      <c r="D667" s="24">
        <v>45670</v>
      </c>
      <c r="E667" s="23" t="s">
        <v>13</v>
      </c>
      <c r="F667" s="23" t="s">
        <v>8364</v>
      </c>
      <c r="G667" s="23" t="s">
        <v>15</v>
      </c>
      <c r="H667" s="23" t="s">
        <v>22</v>
      </c>
      <c r="I667" s="23">
        <v>4</v>
      </c>
      <c r="J667" s="23">
        <v>0</v>
      </c>
      <c r="K667" s="23">
        <v>3</v>
      </c>
      <c r="L667" s="23" t="s">
        <v>44</v>
      </c>
      <c r="M667" s="25">
        <v>9.9</v>
      </c>
      <c r="N667">
        <f t="shared" si="10"/>
        <v>0</v>
      </c>
    </row>
    <row r="668" spans="1:14" x14ac:dyDescent="0.35">
      <c r="A668" s="6" t="s">
        <v>738</v>
      </c>
      <c r="B668" s="19" t="s">
        <v>39</v>
      </c>
      <c r="C668" s="19">
        <v>9</v>
      </c>
      <c r="D668" s="20">
        <v>45928</v>
      </c>
      <c r="E668" s="19" t="s">
        <v>13</v>
      </c>
      <c r="F668" s="19" t="s">
        <v>40</v>
      </c>
      <c r="G668" s="19" t="s">
        <v>15</v>
      </c>
      <c r="H668" s="19" t="s">
        <v>16</v>
      </c>
      <c r="I668" s="19">
        <v>24</v>
      </c>
      <c r="J668" s="19">
        <v>2</v>
      </c>
      <c r="K668" s="19">
        <v>5</v>
      </c>
      <c r="L668" s="19" t="s">
        <v>8363</v>
      </c>
      <c r="M668" s="21">
        <v>4.7</v>
      </c>
      <c r="N668">
        <f t="shared" si="10"/>
        <v>1</v>
      </c>
    </row>
    <row r="669" spans="1:14" x14ac:dyDescent="0.35">
      <c r="A669" s="22" t="s">
        <v>739</v>
      </c>
      <c r="B669" s="23" t="s">
        <v>53</v>
      </c>
      <c r="C669" s="23"/>
      <c r="D669" s="24"/>
      <c r="E669" s="23" t="s">
        <v>8364</v>
      </c>
      <c r="F669" s="23" t="s">
        <v>14</v>
      </c>
      <c r="G669" s="23" t="s">
        <v>27</v>
      </c>
      <c r="H669" s="23" t="s">
        <v>16</v>
      </c>
      <c r="I669" s="23">
        <v>24</v>
      </c>
      <c r="J669" s="23">
        <v>0</v>
      </c>
      <c r="K669" s="23">
        <v>4</v>
      </c>
      <c r="L669" s="23" t="s">
        <v>44</v>
      </c>
      <c r="M669" s="25">
        <v>0.7</v>
      </c>
      <c r="N669">
        <f t="shared" si="10"/>
        <v>1</v>
      </c>
    </row>
    <row r="670" spans="1:14" x14ac:dyDescent="0.35">
      <c r="A670" s="6" t="s">
        <v>740</v>
      </c>
      <c r="B670" s="19" t="s">
        <v>23</v>
      </c>
      <c r="C670" s="19">
        <v>4</v>
      </c>
      <c r="D670" s="20">
        <v>45772</v>
      </c>
      <c r="E670" s="19" t="s">
        <v>13</v>
      </c>
      <c r="F670" s="19" t="s">
        <v>59</v>
      </c>
      <c r="G670" s="19" t="s">
        <v>21</v>
      </c>
      <c r="H670" s="19" t="s">
        <v>28</v>
      </c>
      <c r="I670" s="19">
        <v>4</v>
      </c>
      <c r="J670" s="19">
        <v>0</v>
      </c>
      <c r="K670" s="19">
        <v>5</v>
      </c>
      <c r="L670" s="19" t="s">
        <v>44</v>
      </c>
      <c r="M670" s="21">
        <v>7.5</v>
      </c>
      <c r="N670">
        <f t="shared" si="10"/>
        <v>0</v>
      </c>
    </row>
    <row r="671" spans="1:14" x14ac:dyDescent="0.35">
      <c r="A671" s="22" t="s">
        <v>741</v>
      </c>
      <c r="B671" s="23" t="s">
        <v>47</v>
      </c>
      <c r="C671" s="23">
        <v>11</v>
      </c>
      <c r="D671" s="24">
        <v>45975</v>
      </c>
      <c r="E671" s="23" t="s">
        <v>13</v>
      </c>
      <c r="F671" s="23" t="s">
        <v>43</v>
      </c>
      <c r="G671" s="23" t="s">
        <v>15</v>
      </c>
      <c r="H671" s="23" t="s">
        <v>22</v>
      </c>
      <c r="I671" s="23">
        <v>4</v>
      </c>
      <c r="J671" s="23">
        <v>1</v>
      </c>
      <c r="K671" s="23">
        <v>5</v>
      </c>
      <c r="L671" s="23" t="s">
        <v>62</v>
      </c>
      <c r="M671" s="25">
        <v>22.3</v>
      </c>
      <c r="N671">
        <f t="shared" si="10"/>
        <v>0</v>
      </c>
    </row>
    <row r="672" spans="1:14" x14ac:dyDescent="0.35">
      <c r="A672" s="6" t="s">
        <v>742</v>
      </c>
      <c r="B672" s="19" t="s">
        <v>34</v>
      </c>
      <c r="C672" s="19">
        <v>10</v>
      </c>
      <c r="D672" s="20">
        <v>45944</v>
      </c>
      <c r="E672" s="19" t="s">
        <v>25</v>
      </c>
      <c r="F672" s="19" t="s">
        <v>14</v>
      </c>
      <c r="G672" s="19" t="s">
        <v>31</v>
      </c>
      <c r="H672" s="19" t="s">
        <v>22</v>
      </c>
      <c r="I672" s="19">
        <v>72</v>
      </c>
      <c r="J672" s="19">
        <v>0</v>
      </c>
      <c r="K672" s="19">
        <v>4</v>
      </c>
      <c r="L672" s="19" t="s">
        <v>33</v>
      </c>
      <c r="M672" s="21">
        <v>13.1</v>
      </c>
      <c r="N672">
        <f t="shared" si="10"/>
        <v>1</v>
      </c>
    </row>
    <row r="673" spans="1:14" x14ac:dyDescent="0.35">
      <c r="A673" s="22" t="s">
        <v>743</v>
      </c>
      <c r="B673" s="23" t="s">
        <v>78</v>
      </c>
      <c r="C673" s="23">
        <v>9</v>
      </c>
      <c r="D673" s="24">
        <v>45916</v>
      </c>
      <c r="E673" s="23" t="s">
        <v>13</v>
      </c>
      <c r="F673" s="23" t="s">
        <v>14</v>
      </c>
      <c r="G673" s="23" t="s">
        <v>31</v>
      </c>
      <c r="H673" s="23" t="s">
        <v>22</v>
      </c>
      <c r="I673" s="23">
        <v>8</v>
      </c>
      <c r="J673" s="23">
        <v>0</v>
      </c>
      <c r="K673" s="23">
        <v>4</v>
      </c>
      <c r="L673" s="23" t="s">
        <v>38</v>
      </c>
      <c r="M673" s="25">
        <v>25.8</v>
      </c>
      <c r="N673">
        <f t="shared" si="10"/>
        <v>0</v>
      </c>
    </row>
    <row r="674" spans="1:14" x14ac:dyDescent="0.35">
      <c r="A674" s="6" t="s">
        <v>744</v>
      </c>
      <c r="B674" s="19" t="s">
        <v>89</v>
      </c>
      <c r="C674" s="19">
        <v>9</v>
      </c>
      <c r="D674" s="20">
        <v>45909</v>
      </c>
      <c r="E674" s="19" t="s">
        <v>13</v>
      </c>
      <c r="F674" s="19" t="s">
        <v>37</v>
      </c>
      <c r="G674" s="19" t="s">
        <v>31</v>
      </c>
      <c r="H674" s="19" t="s">
        <v>8364</v>
      </c>
      <c r="I674" s="19">
        <v>48</v>
      </c>
      <c r="J674" s="19">
        <v>0</v>
      </c>
      <c r="K674" s="19">
        <v>1</v>
      </c>
      <c r="L674" s="19" t="s">
        <v>17</v>
      </c>
      <c r="M674" s="21">
        <v>5.3</v>
      </c>
      <c r="N674">
        <f t="shared" si="10"/>
        <v>1</v>
      </c>
    </row>
    <row r="675" spans="1:14" x14ac:dyDescent="0.35">
      <c r="A675" s="22" t="s">
        <v>745</v>
      </c>
      <c r="B675" s="23" t="s">
        <v>236</v>
      </c>
      <c r="C675" s="23">
        <v>7</v>
      </c>
      <c r="D675" s="24">
        <v>45852</v>
      </c>
      <c r="E675" s="23" t="s">
        <v>25</v>
      </c>
      <c r="F675" s="23" t="s">
        <v>14</v>
      </c>
      <c r="G675" s="23" t="s">
        <v>27</v>
      </c>
      <c r="H675" s="23" t="s">
        <v>8364</v>
      </c>
      <c r="I675" s="23">
        <v>48</v>
      </c>
      <c r="J675" s="23">
        <v>0</v>
      </c>
      <c r="K675" s="23">
        <v>5</v>
      </c>
      <c r="L675" s="23" t="s">
        <v>8363</v>
      </c>
      <c r="M675" s="25">
        <v>2.7</v>
      </c>
      <c r="N675">
        <f t="shared" si="10"/>
        <v>1</v>
      </c>
    </row>
    <row r="676" spans="1:14" x14ac:dyDescent="0.35">
      <c r="A676" s="6" t="s">
        <v>746</v>
      </c>
      <c r="B676" s="19" t="s">
        <v>101</v>
      </c>
      <c r="C676" s="19">
        <v>12</v>
      </c>
      <c r="D676" s="20">
        <v>45993</v>
      </c>
      <c r="E676" s="19" t="s">
        <v>25</v>
      </c>
      <c r="F676" s="19" t="s">
        <v>37</v>
      </c>
      <c r="G676" s="19" t="s">
        <v>31</v>
      </c>
      <c r="H676" s="19" t="s">
        <v>8364</v>
      </c>
      <c r="I676" s="19">
        <v>4</v>
      </c>
      <c r="J676" s="19">
        <v>0</v>
      </c>
      <c r="K676" s="19">
        <v>5</v>
      </c>
      <c r="L676" s="19" t="s">
        <v>8363</v>
      </c>
      <c r="M676" s="21">
        <v>28</v>
      </c>
      <c r="N676">
        <f t="shared" si="10"/>
        <v>0</v>
      </c>
    </row>
    <row r="677" spans="1:14" x14ac:dyDescent="0.35">
      <c r="A677" s="22" t="s">
        <v>747</v>
      </c>
      <c r="B677" s="23" t="s">
        <v>104</v>
      </c>
      <c r="C677" s="23">
        <v>8</v>
      </c>
      <c r="D677" s="24">
        <v>45878</v>
      </c>
      <c r="E677" s="23" t="s">
        <v>25</v>
      </c>
      <c r="F677" s="23" t="s">
        <v>14</v>
      </c>
      <c r="G677" s="23" t="s">
        <v>21</v>
      </c>
      <c r="H677" s="23" t="s">
        <v>16</v>
      </c>
      <c r="I677" s="23">
        <v>24</v>
      </c>
      <c r="J677" s="23">
        <v>0</v>
      </c>
      <c r="K677" s="23"/>
      <c r="L677" s="23" t="s">
        <v>62</v>
      </c>
      <c r="M677" s="25">
        <v>3</v>
      </c>
      <c r="N677">
        <f t="shared" si="10"/>
        <v>1</v>
      </c>
    </row>
    <row r="678" spans="1:14" x14ac:dyDescent="0.35">
      <c r="A678" s="6" t="s">
        <v>748</v>
      </c>
      <c r="B678" s="19" t="s">
        <v>104</v>
      </c>
      <c r="C678" s="19">
        <v>4</v>
      </c>
      <c r="D678" s="20">
        <v>45755</v>
      </c>
      <c r="E678" s="19" t="s">
        <v>25</v>
      </c>
      <c r="F678" s="19" t="s">
        <v>43</v>
      </c>
      <c r="G678" s="19" t="s">
        <v>21</v>
      </c>
      <c r="H678" s="19" t="s">
        <v>8364</v>
      </c>
      <c r="I678" s="19">
        <v>8</v>
      </c>
      <c r="J678" s="19">
        <v>0</v>
      </c>
      <c r="K678" s="19">
        <v>4</v>
      </c>
      <c r="L678" s="19" t="s">
        <v>38</v>
      </c>
      <c r="M678" s="21">
        <v>14.1</v>
      </c>
      <c r="N678">
        <f t="shared" si="10"/>
        <v>0</v>
      </c>
    </row>
    <row r="679" spans="1:14" x14ac:dyDescent="0.35">
      <c r="A679" s="22" t="s">
        <v>749</v>
      </c>
      <c r="B679" s="23" t="s">
        <v>78</v>
      </c>
      <c r="C679" s="23">
        <v>2</v>
      </c>
      <c r="D679" s="24">
        <v>45695</v>
      </c>
      <c r="E679" s="23" t="s">
        <v>25</v>
      </c>
      <c r="F679" s="23" t="s">
        <v>43</v>
      </c>
      <c r="G679" s="23" t="s">
        <v>31</v>
      </c>
      <c r="H679" s="23" t="s">
        <v>28</v>
      </c>
      <c r="I679" s="23">
        <v>4</v>
      </c>
      <c r="J679" s="23">
        <v>1</v>
      </c>
      <c r="K679" s="23"/>
      <c r="L679" s="23" t="s">
        <v>44</v>
      </c>
      <c r="M679" s="25">
        <v>7</v>
      </c>
      <c r="N679">
        <f t="shared" si="10"/>
        <v>0</v>
      </c>
    </row>
    <row r="680" spans="1:14" x14ac:dyDescent="0.35">
      <c r="A680" s="6" t="s">
        <v>750</v>
      </c>
      <c r="B680" s="19" t="s">
        <v>87</v>
      </c>
      <c r="C680" s="19">
        <v>4</v>
      </c>
      <c r="D680" s="20">
        <v>45751</v>
      </c>
      <c r="E680" s="19" t="s">
        <v>13</v>
      </c>
      <c r="F680" s="19" t="s">
        <v>40</v>
      </c>
      <c r="G680" s="19" t="s">
        <v>15</v>
      </c>
      <c r="H680" s="19" t="s">
        <v>22</v>
      </c>
      <c r="I680" s="19">
        <v>4</v>
      </c>
      <c r="J680" s="19">
        <v>0</v>
      </c>
      <c r="K680" s="19">
        <v>1</v>
      </c>
      <c r="L680" s="19" t="s">
        <v>55</v>
      </c>
      <c r="M680" s="21">
        <v>11.1</v>
      </c>
      <c r="N680">
        <f t="shared" si="10"/>
        <v>0</v>
      </c>
    </row>
    <row r="681" spans="1:14" x14ac:dyDescent="0.35">
      <c r="A681" s="22" t="s">
        <v>751</v>
      </c>
      <c r="B681" s="23" t="s">
        <v>18</v>
      </c>
      <c r="C681" s="23">
        <v>5</v>
      </c>
      <c r="D681" s="24">
        <v>45804</v>
      </c>
      <c r="E681" s="23" t="s">
        <v>25</v>
      </c>
      <c r="F681" s="23" t="s">
        <v>43</v>
      </c>
      <c r="G681" s="23" t="s">
        <v>31</v>
      </c>
      <c r="H681" s="23" t="s">
        <v>22</v>
      </c>
      <c r="I681" s="23">
        <v>24</v>
      </c>
      <c r="J681" s="23">
        <v>0</v>
      </c>
      <c r="K681" s="23">
        <v>5</v>
      </c>
      <c r="L681" s="23" t="s">
        <v>33</v>
      </c>
      <c r="M681" s="25">
        <v>10.5</v>
      </c>
      <c r="N681">
        <f t="shared" si="10"/>
        <v>1</v>
      </c>
    </row>
    <row r="682" spans="1:14" x14ac:dyDescent="0.35">
      <c r="A682" s="6" t="s">
        <v>752</v>
      </c>
      <c r="B682" s="19" t="s">
        <v>23</v>
      </c>
      <c r="C682" s="19">
        <v>9</v>
      </c>
      <c r="D682" s="20">
        <v>45907</v>
      </c>
      <c r="E682" s="19" t="s">
        <v>13</v>
      </c>
      <c r="F682" s="19" t="s">
        <v>37</v>
      </c>
      <c r="G682" s="19" t="s">
        <v>31</v>
      </c>
      <c r="H682" s="19" t="s">
        <v>16</v>
      </c>
      <c r="I682" s="19">
        <v>8</v>
      </c>
      <c r="J682" s="19">
        <v>0</v>
      </c>
      <c r="K682" s="19">
        <v>1</v>
      </c>
      <c r="L682" s="19" t="s">
        <v>75</v>
      </c>
      <c r="M682" s="21">
        <v>12.9</v>
      </c>
      <c r="N682">
        <f t="shared" si="10"/>
        <v>0</v>
      </c>
    </row>
    <row r="683" spans="1:14" x14ac:dyDescent="0.35">
      <c r="A683" s="22" t="s">
        <v>753</v>
      </c>
      <c r="B683" s="23" t="s">
        <v>99</v>
      </c>
      <c r="C683" s="23">
        <v>4</v>
      </c>
      <c r="D683" s="24">
        <v>45753</v>
      </c>
      <c r="E683" s="23" t="s">
        <v>20</v>
      </c>
      <c r="F683" s="23" t="s">
        <v>43</v>
      </c>
      <c r="G683" s="23" t="s">
        <v>15</v>
      </c>
      <c r="H683" s="23" t="s">
        <v>8364</v>
      </c>
      <c r="I683" s="23">
        <v>24</v>
      </c>
      <c r="J683" s="23">
        <v>0</v>
      </c>
      <c r="K683" s="23">
        <v>5</v>
      </c>
      <c r="L683" s="23" t="s">
        <v>75</v>
      </c>
      <c r="M683" s="25">
        <v>15.5</v>
      </c>
      <c r="N683">
        <f t="shared" si="10"/>
        <v>1</v>
      </c>
    </row>
    <row r="684" spans="1:14" x14ac:dyDescent="0.35">
      <c r="A684" s="6" t="s">
        <v>754</v>
      </c>
      <c r="B684" s="19" t="s">
        <v>104</v>
      </c>
      <c r="C684" s="19">
        <v>1</v>
      </c>
      <c r="D684" s="20">
        <v>45683</v>
      </c>
      <c r="E684" s="19" t="s">
        <v>25</v>
      </c>
      <c r="F684" s="19" t="s">
        <v>8364</v>
      </c>
      <c r="G684" s="19" t="s">
        <v>27</v>
      </c>
      <c r="H684" s="19" t="s">
        <v>28</v>
      </c>
      <c r="I684" s="19">
        <v>48</v>
      </c>
      <c r="J684" s="19">
        <v>0</v>
      </c>
      <c r="K684" s="19">
        <v>4</v>
      </c>
      <c r="L684" s="19" t="s">
        <v>33</v>
      </c>
      <c r="M684" s="21">
        <v>25.9</v>
      </c>
      <c r="N684">
        <f t="shared" si="10"/>
        <v>1</v>
      </c>
    </row>
    <row r="685" spans="1:14" x14ac:dyDescent="0.35">
      <c r="A685" s="22" t="s">
        <v>755</v>
      </c>
      <c r="B685" s="23" t="s">
        <v>85</v>
      </c>
      <c r="C685" s="23"/>
      <c r="D685" s="24"/>
      <c r="E685" s="23" t="s">
        <v>25</v>
      </c>
      <c r="F685" s="23" t="s">
        <v>26</v>
      </c>
      <c r="G685" s="23" t="s">
        <v>31</v>
      </c>
      <c r="H685" s="23" t="s">
        <v>22</v>
      </c>
      <c r="I685" s="23">
        <v>72</v>
      </c>
      <c r="J685" s="23">
        <v>0</v>
      </c>
      <c r="K685" s="23"/>
      <c r="L685" s="23" t="s">
        <v>75</v>
      </c>
      <c r="M685" s="25">
        <v>17.3</v>
      </c>
      <c r="N685">
        <f t="shared" si="10"/>
        <v>1</v>
      </c>
    </row>
    <row r="686" spans="1:14" x14ac:dyDescent="0.35">
      <c r="A686" s="6" t="s">
        <v>756</v>
      </c>
      <c r="B686" s="19" t="s">
        <v>34</v>
      </c>
      <c r="C686" s="19">
        <v>12</v>
      </c>
      <c r="D686" s="20">
        <v>45997</v>
      </c>
      <c r="E686" s="19" t="s">
        <v>36</v>
      </c>
      <c r="F686" s="19" t="s">
        <v>14</v>
      </c>
      <c r="G686" s="19" t="s">
        <v>31</v>
      </c>
      <c r="H686" s="19" t="s">
        <v>28</v>
      </c>
      <c r="I686" s="19">
        <v>24</v>
      </c>
      <c r="J686" s="19">
        <v>1</v>
      </c>
      <c r="K686" s="19">
        <v>2</v>
      </c>
      <c r="L686" s="19" t="s">
        <v>62</v>
      </c>
      <c r="M686" s="21">
        <v>25.5</v>
      </c>
      <c r="N686">
        <f t="shared" si="10"/>
        <v>0</v>
      </c>
    </row>
    <row r="687" spans="1:14" x14ac:dyDescent="0.35">
      <c r="A687" s="22" t="s">
        <v>757</v>
      </c>
      <c r="B687" s="23" t="s">
        <v>108</v>
      </c>
      <c r="C687" s="23">
        <v>2</v>
      </c>
      <c r="D687" s="24">
        <v>45709</v>
      </c>
      <c r="E687" s="23" t="s">
        <v>68</v>
      </c>
      <c r="F687" s="23" t="s">
        <v>43</v>
      </c>
      <c r="G687" s="23" t="s">
        <v>27</v>
      </c>
      <c r="H687" s="23" t="s">
        <v>16</v>
      </c>
      <c r="I687" s="23">
        <v>72</v>
      </c>
      <c r="J687" s="23">
        <v>1</v>
      </c>
      <c r="K687" s="23">
        <v>2</v>
      </c>
      <c r="L687" s="23" t="s">
        <v>62</v>
      </c>
      <c r="M687" s="25">
        <v>10</v>
      </c>
      <c r="N687">
        <f t="shared" si="10"/>
        <v>1</v>
      </c>
    </row>
    <row r="688" spans="1:14" x14ac:dyDescent="0.35">
      <c r="A688" s="6" t="s">
        <v>758</v>
      </c>
      <c r="B688" s="19" t="s">
        <v>69</v>
      </c>
      <c r="C688" s="19">
        <v>1</v>
      </c>
      <c r="D688" s="20">
        <v>45674</v>
      </c>
      <c r="E688" s="19" t="s">
        <v>8364</v>
      </c>
      <c r="F688" s="19" t="s">
        <v>40</v>
      </c>
      <c r="G688" s="19" t="s">
        <v>21</v>
      </c>
      <c r="H688" s="19" t="s">
        <v>28</v>
      </c>
      <c r="I688" s="19">
        <v>4</v>
      </c>
      <c r="J688" s="19">
        <v>0</v>
      </c>
      <c r="K688" s="19">
        <v>2</v>
      </c>
      <c r="L688" s="19" t="s">
        <v>55</v>
      </c>
      <c r="M688" s="21">
        <v>16.3</v>
      </c>
      <c r="N688">
        <f t="shared" si="10"/>
        <v>0</v>
      </c>
    </row>
    <row r="689" spans="1:14" x14ac:dyDescent="0.35">
      <c r="A689" s="22" t="s">
        <v>759</v>
      </c>
      <c r="B689" s="23" t="s">
        <v>236</v>
      </c>
      <c r="C689" s="23">
        <v>4</v>
      </c>
      <c r="D689" s="24">
        <v>45776</v>
      </c>
      <c r="E689" s="23" t="s">
        <v>13</v>
      </c>
      <c r="F689" s="23" t="s">
        <v>43</v>
      </c>
      <c r="G689" s="23" t="s">
        <v>31</v>
      </c>
      <c r="H689" s="23" t="s">
        <v>22</v>
      </c>
      <c r="I689" s="23">
        <v>24</v>
      </c>
      <c r="J689" s="23">
        <v>2</v>
      </c>
      <c r="K689" s="23">
        <v>5</v>
      </c>
      <c r="L689" s="23" t="s">
        <v>8363</v>
      </c>
      <c r="M689" s="25">
        <v>12.6</v>
      </c>
      <c r="N689">
        <f t="shared" si="10"/>
        <v>1</v>
      </c>
    </row>
    <row r="690" spans="1:14" x14ac:dyDescent="0.35">
      <c r="A690" s="6" t="s">
        <v>760</v>
      </c>
      <c r="B690" s="19" t="s">
        <v>39</v>
      </c>
      <c r="C690" s="19">
        <v>6</v>
      </c>
      <c r="D690" s="20">
        <v>45829</v>
      </c>
      <c r="E690" s="19" t="s">
        <v>36</v>
      </c>
      <c r="F690" s="19" t="s">
        <v>59</v>
      </c>
      <c r="G690" s="19" t="s">
        <v>31</v>
      </c>
      <c r="H690" s="19" t="s">
        <v>22</v>
      </c>
      <c r="I690" s="19">
        <v>4</v>
      </c>
      <c r="J690" s="19">
        <v>0</v>
      </c>
      <c r="K690" s="19">
        <v>2</v>
      </c>
      <c r="L690" s="19" t="s">
        <v>62</v>
      </c>
      <c r="M690" s="21">
        <v>5.6</v>
      </c>
      <c r="N690">
        <f t="shared" si="10"/>
        <v>0</v>
      </c>
    </row>
    <row r="691" spans="1:14" x14ac:dyDescent="0.35">
      <c r="A691" s="22" t="s">
        <v>761</v>
      </c>
      <c r="B691" s="23" t="s">
        <v>143</v>
      </c>
      <c r="C691" s="23">
        <v>8</v>
      </c>
      <c r="D691" s="24">
        <v>45894</v>
      </c>
      <c r="E691" s="23" t="s">
        <v>25</v>
      </c>
      <c r="F691" s="23" t="s">
        <v>43</v>
      </c>
      <c r="G691" s="23" t="s">
        <v>21</v>
      </c>
      <c r="H691" s="23" t="s">
        <v>22</v>
      </c>
      <c r="I691" s="23">
        <v>24</v>
      </c>
      <c r="J691" s="23">
        <v>1</v>
      </c>
      <c r="K691" s="23">
        <v>4</v>
      </c>
      <c r="L691" s="23" t="s">
        <v>17</v>
      </c>
      <c r="M691" s="25">
        <v>25.2</v>
      </c>
      <c r="N691">
        <f t="shared" si="10"/>
        <v>0</v>
      </c>
    </row>
    <row r="692" spans="1:14" x14ac:dyDescent="0.35">
      <c r="A692" s="6" t="s">
        <v>762</v>
      </c>
      <c r="B692" s="19" t="s">
        <v>34</v>
      </c>
      <c r="C692" s="19">
        <v>7</v>
      </c>
      <c r="D692" s="20">
        <v>45847</v>
      </c>
      <c r="E692" s="19" t="s">
        <v>25</v>
      </c>
      <c r="F692" s="19" t="s">
        <v>14</v>
      </c>
      <c r="G692" s="19" t="s">
        <v>31</v>
      </c>
      <c r="H692" s="19" t="s">
        <v>22</v>
      </c>
      <c r="I692" s="19">
        <v>4</v>
      </c>
      <c r="J692" s="19">
        <v>0</v>
      </c>
      <c r="K692" s="19"/>
      <c r="L692" s="19" t="s">
        <v>33</v>
      </c>
      <c r="M692" s="21">
        <v>21.7</v>
      </c>
      <c r="N692">
        <f t="shared" si="10"/>
        <v>0</v>
      </c>
    </row>
    <row r="693" spans="1:14" x14ac:dyDescent="0.35">
      <c r="A693" s="22" t="s">
        <v>763</v>
      </c>
      <c r="B693" s="23" t="s">
        <v>139</v>
      </c>
      <c r="C693" s="23">
        <v>6</v>
      </c>
      <c r="D693" s="24">
        <v>45833</v>
      </c>
      <c r="E693" s="23" t="s">
        <v>13</v>
      </c>
      <c r="F693" s="23" t="s">
        <v>59</v>
      </c>
      <c r="G693" s="23" t="s">
        <v>27</v>
      </c>
      <c r="H693" s="23" t="s">
        <v>22</v>
      </c>
      <c r="I693" s="23">
        <v>24</v>
      </c>
      <c r="J693" s="23">
        <v>2</v>
      </c>
      <c r="K693" s="23"/>
      <c r="L693" s="23" t="s">
        <v>33</v>
      </c>
      <c r="M693" s="25">
        <v>9.4</v>
      </c>
      <c r="N693">
        <f t="shared" si="10"/>
        <v>1</v>
      </c>
    </row>
    <row r="694" spans="1:14" x14ac:dyDescent="0.35">
      <c r="A694" s="6" t="s">
        <v>764</v>
      </c>
      <c r="B694" s="19" t="s">
        <v>39</v>
      </c>
      <c r="C694" s="19">
        <v>1</v>
      </c>
      <c r="D694" s="20">
        <v>45678</v>
      </c>
      <c r="E694" s="19" t="s">
        <v>20</v>
      </c>
      <c r="F694" s="19" t="s">
        <v>37</v>
      </c>
      <c r="G694" s="19" t="s">
        <v>21</v>
      </c>
      <c r="H694" s="19" t="s">
        <v>22</v>
      </c>
      <c r="I694" s="19">
        <v>48</v>
      </c>
      <c r="J694" s="19">
        <v>0</v>
      </c>
      <c r="K694" s="19">
        <v>5</v>
      </c>
      <c r="L694" s="19" t="s">
        <v>75</v>
      </c>
      <c r="M694" s="21">
        <v>6.5</v>
      </c>
      <c r="N694">
        <f t="shared" si="10"/>
        <v>1</v>
      </c>
    </row>
    <row r="695" spans="1:14" x14ac:dyDescent="0.35">
      <c r="A695" s="22" t="s">
        <v>765</v>
      </c>
      <c r="B695" s="23" t="s">
        <v>65</v>
      </c>
      <c r="C695" s="23">
        <v>10</v>
      </c>
      <c r="D695" s="24">
        <v>45947</v>
      </c>
      <c r="E695" s="23" t="s">
        <v>13</v>
      </c>
      <c r="F695" s="23" t="s">
        <v>14</v>
      </c>
      <c r="G695" s="23" t="s">
        <v>31</v>
      </c>
      <c r="H695" s="23" t="s">
        <v>32</v>
      </c>
      <c r="I695" s="23">
        <v>72</v>
      </c>
      <c r="J695" s="23">
        <v>0</v>
      </c>
      <c r="K695" s="23">
        <v>5</v>
      </c>
      <c r="L695" s="23" t="s">
        <v>75</v>
      </c>
      <c r="M695" s="25">
        <v>12</v>
      </c>
      <c r="N695">
        <f t="shared" si="10"/>
        <v>1</v>
      </c>
    </row>
    <row r="696" spans="1:14" x14ac:dyDescent="0.35">
      <c r="A696" s="6" t="s">
        <v>766</v>
      </c>
      <c r="B696" s="19" t="s">
        <v>41</v>
      </c>
      <c r="C696" s="19">
        <v>11</v>
      </c>
      <c r="D696" s="20">
        <v>45972</v>
      </c>
      <c r="E696" s="19" t="s">
        <v>13</v>
      </c>
      <c r="F696" s="19" t="s">
        <v>14</v>
      </c>
      <c r="G696" s="19" t="s">
        <v>31</v>
      </c>
      <c r="H696" s="19" t="s">
        <v>32</v>
      </c>
      <c r="I696" s="19">
        <v>48</v>
      </c>
      <c r="J696" s="19">
        <v>0</v>
      </c>
      <c r="K696" s="19">
        <v>5</v>
      </c>
      <c r="L696" s="19" t="s">
        <v>17</v>
      </c>
      <c r="M696" s="21">
        <v>3.7</v>
      </c>
      <c r="N696">
        <f t="shared" si="10"/>
        <v>1</v>
      </c>
    </row>
    <row r="697" spans="1:14" x14ac:dyDescent="0.35">
      <c r="A697" s="22" t="s">
        <v>767</v>
      </c>
      <c r="B697" s="23" t="s">
        <v>34</v>
      </c>
      <c r="C697" s="23">
        <v>11</v>
      </c>
      <c r="D697" s="24">
        <v>45982</v>
      </c>
      <c r="E697" s="23" t="s">
        <v>13</v>
      </c>
      <c r="F697" s="23" t="s">
        <v>59</v>
      </c>
      <c r="G697" s="23" t="s">
        <v>15</v>
      </c>
      <c r="H697" s="23" t="s">
        <v>22</v>
      </c>
      <c r="I697" s="23">
        <v>4</v>
      </c>
      <c r="J697" s="23">
        <v>0</v>
      </c>
      <c r="K697" s="23">
        <v>5</v>
      </c>
      <c r="L697" s="23" t="s">
        <v>75</v>
      </c>
      <c r="M697" s="25">
        <v>1.6</v>
      </c>
      <c r="N697">
        <f t="shared" si="10"/>
        <v>1</v>
      </c>
    </row>
    <row r="698" spans="1:14" x14ac:dyDescent="0.35">
      <c r="A698" s="6" t="s">
        <v>768</v>
      </c>
      <c r="B698" s="19" t="s">
        <v>72</v>
      </c>
      <c r="C698" s="19">
        <v>12</v>
      </c>
      <c r="D698" s="20">
        <v>45994</v>
      </c>
      <c r="E698" s="19" t="s">
        <v>68</v>
      </c>
      <c r="F698" s="19" t="s">
        <v>26</v>
      </c>
      <c r="G698" s="19" t="s">
        <v>27</v>
      </c>
      <c r="H698" s="19" t="s">
        <v>32</v>
      </c>
      <c r="I698" s="19">
        <v>48</v>
      </c>
      <c r="J698" s="19">
        <v>0</v>
      </c>
      <c r="K698" s="19">
        <v>1</v>
      </c>
      <c r="L698" s="19" t="s">
        <v>44</v>
      </c>
      <c r="M698" s="21">
        <v>15</v>
      </c>
      <c r="N698">
        <f t="shared" si="10"/>
        <v>1</v>
      </c>
    </row>
    <row r="699" spans="1:14" x14ac:dyDescent="0.35">
      <c r="A699" s="22" t="s">
        <v>769</v>
      </c>
      <c r="B699" s="23" t="s">
        <v>23</v>
      </c>
      <c r="C699" s="23">
        <v>8</v>
      </c>
      <c r="D699" s="24">
        <v>45879</v>
      </c>
      <c r="E699" s="23" t="s">
        <v>36</v>
      </c>
      <c r="F699" s="23" t="s">
        <v>43</v>
      </c>
      <c r="G699" s="23" t="s">
        <v>21</v>
      </c>
      <c r="H699" s="23" t="s">
        <v>22</v>
      </c>
      <c r="I699" s="23">
        <v>72</v>
      </c>
      <c r="J699" s="23">
        <v>2</v>
      </c>
      <c r="K699" s="23">
        <v>5</v>
      </c>
      <c r="L699" s="23" t="s">
        <v>8363</v>
      </c>
      <c r="M699" s="25">
        <v>9.9</v>
      </c>
      <c r="N699">
        <f t="shared" si="10"/>
        <v>1</v>
      </c>
    </row>
    <row r="700" spans="1:14" x14ac:dyDescent="0.35">
      <c r="A700" s="6" t="s">
        <v>770</v>
      </c>
      <c r="B700" s="19" t="s">
        <v>41</v>
      </c>
      <c r="C700" s="19">
        <v>2</v>
      </c>
      <c r="D700" s="20">
        <v>45699</v>
      </c>
      <c r="E700" s="19" t="s">
        <v>13</v>
      </c>
      <c r="F700" s="19" t="s">
        <v>8364</v>
      </c>
      <c r="G700" s="19" t="s">
        <v>31</v>
      </c>
      <c r="H700" s="19" t="s">
        <v>8364</v>
      </c>
      <c r="I700" s="19">
        <v>8</v>
      </c>
      <c r="J700" s="19">
        <v>0</v>
      </c>
      <c r="K700" s="19">
        <v>5</v>
      </c>
      <c r="L700" s="19" t="s">
        <v>8363</v>
      </c>
      <c r="M700" s="21">
        <v>14.4</v>
      </c>
      <c r="N700">
        <f t="shared" si="10"/>
        <v>0</v>
      </c>
    </row>
    <row r="701" spans="1:14" x14ac:dyDescent="0.35">
      <c r="A701" s="22" t="s">
        <v>771</v>
      </c>
      <c r="B701" s="23" t="s">
        <v>92</v>
      </c>
      <c r="C701" s="23">
        <v>11</v>
      </c>
      <c r="D701" s="24">
        <v>45990</v>
      </c>
      <c r="E701" s="23" t="s">
        <v>13</v>
      </c>
      <c r="F701" s="23" t="s">
        <v>14</v>
      </c>
      <c r="G701" s="23" t="s">
        <v>27</v>
      </c>
      <c r="H701" s="23" t="s">
        <v>8364</v>
      </c>
      <c r="I701" s="23">
        <v>4</v>
      </c>
      <c r="J701" s="23">
        <v>0</v>
      </c>
      <c r="K701" s="23">
        <v>3</v>
      </c>
      <c r="L701" s="23" t="s">
        <v>8363</v>
      </c>
      <c r="M701" s="25">
        <v>21.4</v>
      </c>
      <c r="N701">
        <f t="shared" si="10"/>
        <v>0</v>
      </c>
    </row>
    <row r="702" spans="1:14" x14ac:dyDescent="0.35">
      <c r="A702" s="6" t="s">
        <v>772</v>
      </c>
      <c r="B702" s="19" t="s">
        <v>41</v>
      </c>
      <c r="C702" s="19">
        <v>2</v>
      </c>
      <c r="D702" s="20">
        <v>45696</v>
      </c>
      <c r="E702" s="19" t="s">
        <v>36</v>
      </c>
      <c r="F702" s="19" t="s">
        <v>43</v>
      </c>
      <c r="G702" s="19" t="s">
        <v>15</v>
      </c>
      <c r="H702" s="19" t="s">
        <v>32</v>
      </c>
      <c r="I702" s="19">
        <v>24</v>
      </c>
      <c r="J702" s="19">
        <v>0</v>
      </c>
      <c r="K702" s="19">
        <v>3</v>
      </c>
      <c r="L702" s="19" t="s">
        <v>33</v>
      </c>
      <c r="M702" s="21">
        <v>30.9</v>
      </c>
      <c r="N702">
        <f t="shared" si="10"/>
        <v>0</v>
      </c>
    </row>
    <row r="703" spans="1:14" x14ac:dyDescent="0.35">
      <c r="A703" s="22" t="s">
        <v>773</v>
      </c>
      <c r="B703" s="23" t="s">
        <v>78</v>
      </c>
      <c r="C703" s="23"/>
      <c r="D703" s="24"/>
      <c r="E703" s="23" t="s">
        <v>13</v>
      </c>
      <c r="F703" s="23" t="s">
        <v>14</v>
      </c>
      <c r="G703" s="23" t="s">
        <v>15</v>
      </c>
      <c r="H703" s="23" t="s">
        <v>28</v>
      </c>
      <c r="I703" s="23">
        <v>72</v>
      </c>
      <c r="J703" s="23">
        <v>0</v>
      </c>
      <c r="K703" s="23">
        <v>5</v>
      </c>
      <c r="L703" s="23" t="s">
        <v>62</v>
      </c>
      <c r="M703" s="25">
        <v>42.8</v>
      </c>
      <c r="N703">
        <f t="shared" si="10"/>
        <v>1</v>
      </c>
    </row>
    <row r="704" spans="1:14" x14ac:dyDescent="0.35">
      <c r="A704" s="6" t="s">
        <v>774</v>
      </c>
      <c r="B704" s="19" t="s">
        <v>108</v>
      </c>
      <c r="C704" s="19">
        <v>8</v>
      </c>
      <c r="D704" s="20">
        <v>45881</v>
      </c>
      <c r="E704" s="19" t="s">
        <v>8364</v>
      </c>
      <c r="F704" s="19" t="s">
        <v>26</v>
      </c>
      <c r="G704" s="19" t="s">
        <v>27</v>
      </c>
      <c r="H704" s="19" t="s">
        <v>22</v>
      </c>
      <c r="I704" s="19">
        <v>72</v>
      </c>
      <c r="J704" s="19">
        <v>0</v>
      </c>
      <c r="K704" s="19">
        <v>2</v>
      </c>
      <c r="L704" s="19" t="s">
        <v>17</v>
      </c>
      <c r="M704" s="21">
        <v>4.3</v>
      </c>
      <c r="N704">
        <f t="shared" si="10"/>
        <v>1</v>
      </c>
    </row>
    <row r="705" spans="1:14" x14ac:dyDescent="0.35">
      <c r="A705" s="22" t="s">
        <v>775</v>
      </c>
      <c r="B705" s="23" t="s">
        <v>181</v>
      </c>
      <c r="C705" s="23">
        <v>2</v>
      </c>
      <c r="D705" s="24">
        <v>45697</v>
      </c>
      <c r="E705" s="23" t="s">
        <v>68</v>
      </c>
      <c r="F705" s="23" t="s">
        <v>14</v>
      </c>
      <c r="G705" s="23" t="s">
        <v>21</v>
      </c>
      <c r="H705" s="23" t="s">
        <v>22</v>
      </c>
      <c r="I705" s="23">
        <v>4</v>
      </c>
      <c r="J705" s="23">
        <v>0</v>
      </c>
      <c r="K705" s="23">
        <v>5</v>
      </c>
      <c r="L705" s="23" t="s">
        <v>8363</v>
      </c>
      <c r="M705" s="25">
        <v>8.5</v>
      </c>
      <c r="N705">
        <f t="shared" si="10"/>
        <v>0</v>
      </c>
    </row>
    <row r="706" spans="1:14" x14ac:dyDescent="0.35">
      <c r="A706" s="6" t="s">
        <v>776</v>
      </c>
      <c r="B706" s="19" t="s">
        <v>23</v>
      </c>
      <c r="C706" s="19">
        <v>9</v>
      </c>
      <c r="D706" s="20">
        <v>45926</v>
      </c>
      <c r="E706" s="19" t="s">
        <v>8364</v>
      </c>
      <c r="F706" s="19" t="s">
        <v>14</v>
      </c>
      <c r="G706" s="19" t="s">
        <v>15</v>
      </c>
      <c r="H706" s="19" t="s">
        <v>22</v>
      </c>
      <c r="I706" s="19">
        <v>48</v>
      </c>
      <c r="J706" s="19">
        <v>1</v>
      </c>
      <c r="K706" s="19">
        <v>2</v>
      </c>
      <c r="L706" s="19" t="s">
        <v>8363</v>
      </c>
      <c r="M706" s="21">
        <v>9.8000000000000007</v>
      </c>
      <c r="N706">
        <f t="shared" si="10"/>
        <v>1</v>
      </c>
    </row>
    <row r="707" spans="1:14" x14ac:dyDescent="0.35">
      <c r="A707" s="22" t="s">
        <v>777</v>
      </c>
      <c r="B707" s="23" t="s">
        <v>49</v>
      </c>
      <c r="C707" s="23">
        <v>1</v>
      </c>
      <c r="D707" s="24">
        <v>45666</v>
      </c>
      <c r="E707" s="23" t="s">
        <v>8364</v>
      </c>
      <c r="F707" s="23" t="s">
        <v>40</v>
      </c>
      <c r="G707" s="23" t="s">
        <v>21</v>
      </c>
      <c r="H707" s="23" t="s">
        <v>8364</v>
      </c>
      <c r="I707" s="23">
        <v>8</v>
      </c>
      <c r="J707" s="23">
        <v>0</v>
      </c>
      <c r="K707" s="23">
        <v>5</v>
      </c>
      <c r="L707" s="23" t="s">
        <v>38</v>
      </c>
      <c r="M707" s="25">
        <v>12</v>
      </c>
      <c r="N707">
        <f t="shared" ref="N707:N770" si="11">IF(M707 &lt;= I707, 1, 0)</f>
        <v>0</v>
      </c>
    </row>
    <row r="708" spans="1:14" x14ac:dyDescent="0.35">
      <c r="A708" s="6" t="s">
        <v>778</v>
      </c>
      <c r="B708" s="19" t="s">
        <v>47</v>
      </c>
      <c r="C708" s="19">
        <v>4</v>
      </c>
      <c r="D708" s="20">
        <v>45760</v>
      </c>
      <c r="E708" s="19" t="s">
        <v>25</v>
      </c>
      <c r="F708" s="19" t="s">
        <v>8364</v>
      </c>
      <c r="G708" s="19" t="s">
        <v>21</v>
      </c>
      <c r="H708" s="19" t="s">
        <v>32</v>
      </c>
      <c r="I708" s="19">
        <v>24</v>
      </c>
      <c r="J708" s="19">
        <v>2</v>
      </c>
      <c r="K708" s="19">
        <v>5</v>
      </c>
      <c r="L708" s="19" t="s">
        <v>62</v>
      </c>
      <c r="M708" s="21"/>
      <c r="N708">
        <f t="shared" si="11"/>
        <v>1</v>
      </c>
    </row>
    <row r="709" spans="1:14" x14ac:dyDescent="0.35">
      <c r="A709" s="22" t="s">
        <v>779</v>
      </c>
      <c r="B709" s="23" t="s">
        <v>18</v>
      </c>
      <c r="C709" s="23">
        <v>4</v>
      </c>
      <c r="D709" s="24">
        <v>45748</v>
      </c>
      <c r="E709" s="23" t="s">
        <v>25</v>
      </c>
      <c r="F709" s="23" t="s">
        <v>14</v>
      </c>
      <c r="G709" s="23" t="s">
        <v>15</v>
      </c>
      <c r="H709" s="23" t="s">
        <v>22</v>
      </c>
      <c r="I709" s="23">
        <v>8</v>
      </c>
      <c r="J709" s="23">
        <v>1</v>
      </c>
      <c r="K709" s="23">
        <v>2</v>
      </c>
      <c r="L709" s="23" t="s">
        <v>8363</v>
      </c>
      <c r="M709" s="25">
        <v>28.8</v>
      </c>
      <c r="N709">
        <f t="shared" si="11"/>
        <v>0</v>
      </c>
    </row>
    <row r="710" spans="1:14" x14ac:dyDescent="0.35">
      <c r="A710" s="6" t="s">
        <v>780</v>
      </c>
      <c r="B710" s="19" t="s">
        <v>57</v>
      </c>
      <c r="C710" s="19"/>
      <c r="D710" s="20"/>
      <c r="E710" s="19" t="s">
        <v>20</v>
      </c>
      <c r="F710" s="19" t="s">
        <v>43</v>
      </c>
      <c r="G710" s="19" t="s">
        <v>21</v>
      </c>
      <c r="H710" s="19" t="s">
        <v>22</v>
      </c>
      <c r="I710" s="19">
        <v>8</v>
      </c>
      <c r="J710" s="19">
        <v>0</v>
      </c>
      <c r="K710" s="19">
        <v>3</v>
      </c>
      <c r="L710" s="19" t="s">
        <v>38</v>
      </c>
      <c r="M710" s="21"/>
      <c r="N710">
        <f t="shared" si="11"/>
        <v>1</v>
      </c>
    </row>
    <row r="711" spans="1:14" x14ac:dyDescent="0.35">
      <c r="A711" s="22" t="s">
        <v>781</v>
      </c>
      <c r="B711" s="23" t="s">
        <v>18</v>
      </c>
      <c r="C711" s="23">
        <v>12</v>
      </c>
      <c r="D711" s="24">
        <v>46018</v>
      </c>
      <c r="E711" s="23" t="s">
        <v>13</v>
      </c>
      <c r="F711" s="23" t="s">
        <v>14</v>
      </c>
      <c r="G711" s="23" t="s">
        <v>31</v>
      </c>
      <c r="H711" s="23" t="s">
        <v>16</v>
      </c>
      <c r="I711" s="23">
        <v>48</v>
      </c>
      <c r="J711" s="23">
        <v>0</v>
      </c>
      <c r="K711" s="23">
        <v>5</v>
      </c>
      <c r="L711" s="23" t="s">
        <v>33</v>
      </c>
      <c r="M711" s="25">
        <v>9.6</v>
      </c>
      <c r="N711">
        <f t="shared" si="11"/>
        <v>1</v>
      </c>
    </row>
    <row r="712" spans="1:14" x14ac:dyDescent="0.35">
      <c r="A712" s="6" t="s">
        <v>782</v>
      </c>
      <c r="B712" s="19" t="s">
        <v>18</v>
      </c>
      <c r="C712" s="19">
        <v>10</v>
      </c>
      <c r="D712" s="20">
        <v>45941</v>
      </c>
      <c r="E712" s="19" t="s">
        <v>13</v>
      </c>
      <c r="F712" s="19" t="s">
        <v>8364</v>
      </c>
      <c r="G712" s="19" t="s">
        <v>27</v>
      </c>
      <c r="H712" s="19" t="s">
        <v>16</v>
      </c>
      <c r="I712" s="19">
        <v>72</v>
      </c>
      <c r="J712" s="19">
        <v>2</v>
      </c>
      <c r="K712" s="19">
        <v>4</v>
      </c>
      <c r="L712" s="19" t="s">
        <v>17</v>
      </c>
      <c r="M712" s="21">
        <v>9.6</v>
      </c>
      <c r="N712">
        <f t="shared" si="11"/>
        <v>1</v>
      </c>
    </row>
    <row r="713" spans="1:14" x14ac:dyDescent="0.35">
      <c r="A713" s="22" t="s">
        <v>783</v>
      </c>
      <c r="B713" s="23" t="s">
        <v>181</v>
      </c>
      <c r="C713" s="23">
        <v>11</v>
      </c>
      <c r="D713" s="24">
        <v>45991</v>
      </c>
      <c r="E713" s="23" t="s">
        <v>13</v>
      </c>
      <c r="F713" s="23" t="s">
        <v>40</v>
      </c>
      <c r="G713" s="23" t="s">
        <v>15</v>
      </c>
      <c r="H713" s="23" t="s">
        <v>28</v>
      </c>
      <c r="I713" s="23">
        <v>4</v>
      </c>
      <c r="J713" s="23">
        <v>0</v>
      </c>
      <c r="K713" s="23">
        <v>4</v>
      </c>
      <c r="L713" s="23" t="s">
        <v>33</v>
      </c>
      <c r="M713" s="25">
        <v>4.5</v>
      </c>
      <c r="N713">
        <f t="shared" si="11"/>
        <v>0</v>
      </c>
    </row>
    <row r="714" spans="1:14" x14ac:dyDescent="0.35">
      <c r="A714" s="6" t="s">
        <v>784</v>
      </c>
      <c r="B714" s="19" t="s">
        <v>139</v>
      </c>
      <c r="C714" s="19">
        <v>3</v>
      </c>
      <c r="D714" s="20">
        <v>45732</v>
      </c>
      <c r="E714" s="19" t="s">
        <v>68</v>
      </c>
      <c r="F714" s="19" t="s">
        <v>8364</v>
      </c>
      <c r="G714" s="19" t="s">
        <v>31</v>
      </c>
      <c r="H714" s="19" t="s">
        <v>32</v>
      </c>
      <c r="I714" s="19">
        <v>72</v>
      </c>
      <c r="J714" s="19">
        <v>1</v>
      </c>
      <c r="K714" s="19">
        <v>5</v>
      </c>
      <c r="L714" s="19" t="s">
        <v>8363</v>
      </c>
      <c r="M714" s="21">
        <v>10.9</v>
      </c>
      <c r="N714">
        <f t="shared" si="11"/>
        <v>1</v>
      </c>
    </row>
    <row r="715" spans="1:14" x14ac:dyDescent="0.35">
      <c r="A715" s="22" t="s">
        <v>785</v>
      </c>
      <c r="B715" s="23" t="s">
        <v>69</v>
      </c>
      <c r="C715" s="23">
        <v>3</v>
      </c>
      <c r="D715" s="24">
        <v>45747</v>
      </c>
      <c r="E715" s="23" t="s">
        <v>25</v>
      </c>
      <c r="F715" s="23" t="s">
        <v>37</v>
      </c>
      <c r="G715" s="23" t="s">
        <v>31</v>
      </c>
      <c r="H715" s="23" t="s">
        <v>22</v>
      </c>
      <c r="I715" s="23">
        <v>4</v>
      </c>
      <c r="J715" s="23">
        <v>1</v>
      </c>
      <c r="K715" s="23">
        <v>2</v>
      </c>
      <c r="L715" s="23" t="s">
        <v>75</v>
      </c>
      <c r="M715" s="25">
        <v>18.899999999999999</v>
      </c>
      <c r="N715">
        <f t="shared" si="11"/>
        <v>0</v>
      </c>
    </row>
    <row r="716" spans="1:14" x14ac:dyDescent="0.35">
      <c r="A716" s="6" t="s">
        <v>786</v>
      </c>
      <c r="B716" s="19" t="s">
        <v>47</v>
      </c>
      <c r="C716" s="19">
        <v>1</v>
      </c>
      <c r="D716" s="20">
        <v>45675</v>
      </c>
      <c r="E716" s="19" t="s">
        <v>13</v>
      </c>
      <c r="F716" s="19" t="s">
        <v>8364</v>
      </c>
      <c r="G716" s="19" t="s">
        <v>8364</v>
      </c>
      <c r="H716" s="19" t="s">
        <v>32</v>
      </c>
      <c r="I716" s="19">
        <v>24</v>
      </c>
      <c r="J716" s="19">
        <v>0</v>
      </c>
      <c r="K716" s="19">
        <v>1</v>
      </c>
      <c r="L716" s="19" t="s">
        <v>8363</v>
      </c>
      <c r="M716" s="21">
        <v>23.5</v>
      </c>
      <c r="N716">
        <f t="shared" si="11"/>
        <v>1</v>
      </c>
    </row>
    <row r="717" spans="1:14" x14ac:dyDescent="0.35">
      <c r="A717" s="22" t="s">
        <v>787</v>
      </c>
      <c r="B717" s="23" t="s">
        <v>57</v>
      </c>
      <c r="C717" s="23">
        <v>4</v>
      </c>
      <c r="D717" s="24">
        <v>45750</v>
      </c>
      <c r="E717" s="23" t="s">
        <v>68</v>
      </c>
      <c r="F717" s="23" t="s">
        <v>14</v>
      </c>
      <c r="G717" s="23" t="s">
        <v>31</v>
      </c>
      <c r="H717" s="23" t="s">
        <v>28</v>
      </c>
      <c r="I717" s="23">
        <v>72</v>
      </c>
      <c r="J717" s="23">
        <v>1</v>
      </c>
      <c r="K717" s="23"/>
      <c r="L717" s="23" t="s">
        <v>55</v>
      </c>
      <c r="M717" s="25">
        <v>15</v>
      </c>
      <c r="N717">
        <f t="shared" si="11"/>
        <v>1</v>
      </c>
    </row>
    <row r="718" spans="1:14" x14ac:dyDescent="0.35">
      <c r="A718" s="6" t="s">
        <v>788</v>
      </c>
      <c r="B718" s="19" t="s">
        <v>158</v>
      </c>
      <c r="C718" s="19">
        <v>9</v>
      </c>
      <c r="D718" s="20">
        <v>45930</v>
      </c>
      <c r="E718" s="19" t="s">
        <v>13</v>
      </c>
      <c r="F718" s="19" t="s">
        <v>43</v>
      </c>
      <c r="G718" s="19" t="s">
        <v>21</v>
      </c>
      <c r="H718" s="19" t="s">
        <v>22</v>
      </c>
      <c r="I718" s="19">
        <v>72</v>
      </c>
      <c r="J718" s="19">
        <v>0</v>
      </c>
      <c r="K718" s="19">
        <v>4</v>
      </c>
      <c r="L718" s="19" t="s">
        <v>44</v>
      </c>
      <c r="M718" s="21">
        <v>5.2</v>
      </c>
      <c r="N718">
        <f t="shared" si="11"/>
        <v>1</v>
      </c>
    </row>
    <row r="719" spans="1:14" x14ac:dyDescent="0.35">
      <c r="A719" s="22" t="s">
        <v>789</v>
      </c>
      <c r="B719" s="23" t="s">
        <v>69</v>
      </c>
      <c r="C719" s="23"/>
      <c r="D719" s="24"/>
      <c r="E719" s="23" t="s">
        <v>68</v>
      </c>
      <c r="F719" s="23" t="s">
        <v>14</v>
      </c>
      <c r="G719" s="23" t="s">
        <v>27</v>
      </c>
      <c r="H719" s="23" t="s">
        <v>32</v>
      </c>
      <c r="I719" s="23">
        <v>48</v>
      </c>
      <c r="J719" s="23">
        <v>2</v>
      </c>
      <c r="K719" s="23">
        <v>4</v>
      </c>
      <c r="L719" s="23" t="s">
        <v>44</v>
      </c>
      <c r="M719" s="25">
        <v>7</v>
      </c>
      <c r="N719">
        <f t="shared" si="11"/>
        <v>1</v>
      </c>
    </row>
    <row r="720" spans="1:14" x14ac:dyDescent="0.35">
      <c r="A720" s="6" t="s">
        <v>790</v>
      </c>
      <c r="B720" s="19" t="s">
        <v>158</v>
      </c>
      <c r="C720" s="19">
        <v>7</v>
      </c>
      <c r="D720" s="20">
        <v>45844</v>
      </c>
      <c r="E720" s="19" t="s">
        <v>25</v>
      </c>
      <c r="F720" s="19" t="s">
        <v>59</v>
      </c>
      <c r="G720" s="19" t="s">
        <v>31</v>
      </c>
      <c r="H720" s="19" t="s">
        <v>32</v>
      </c>
      <c r="I720" s="19">
        <v>72</v>
      </c>
      <c r="J720" s="19">
        <v>0</v>
      </c>
      <c r="K720" s="19">
        <v>5</v>
      </c>
      <c r="L720" s="19" t="s">
        <v>44</v>
      </c>
      <c r="M720" s="21">
        <v>12.2</v>
      </c>
      <c r="N720">
        <f t="shared" si="11"/>
        <v>1</v>
      </c>
    </row>
    <row r="721" spans="1:14" x14ac:dyDescent="0.35">
      <c r="A721" s="22" t="s">
        <v>791</v>
      </c>
      <c r="B721" s="23" t="s">
        <v>51</v>
      </c>
      <c r="C721" s="23">
        <v>2</v>
      </c>
      <c r="D721" s="24">
        <v>45714</v>
      </c>
      <c r="E721" s="23" t="s">
        <v>25</v>
      </c>
      <c r="F721" s="23" t="s">
        <v>14</v>
      </c>
      <c r="G721" s="23" t="s">
        <v>21</v>
      </c>
      <c r="H721" s="23" t="s">
        <v>8364</v>
      </c>
      <c r="I721" s="23">
        <v>48</v>
      </c>
      <c r="J721" s="23">
        <v>1</v>
      </c>
      <c r="K721" s="23">
        <v>3</v>
      </c>
      <c r="L721" s="23" t="s">
        <v>55</v>
      </c>
      <c r="M721" s="25">
        <v>12.6</v>
      </c>
      <c r="N721">
        <f t="shared" si="11"/>
        <v>1</v>
      </c>
    </row>
    <row r="722" spans="1:14" x14ac:dyDescent="0.35">
      <c r="A722" s="6" t="s">
        <v>792</v>
      </c>
      <c r="B722" s="19" t="s">
        <v>78</v>
      </c>
      <c r="C722" s="19"/>
      <c r="D722" s="20"/>
      <c r="E722" s="19" t="s">
        <v>25</v>
      </c>
      <c r="F722" s="19" t="s">
        <v>43</v>
      </c>
      <c r="G722" s="19" t="s">
        <v>27</v>
      </c>
      <c r="H722" s="19" t="s">
        <v>22</v>
      </c>
      <c r="I722" s="19">
        <v>4</v>
      </c>
      <c r="J722" s="19">
        <v>0</v>
      </c>
      <c r="K722" s="19">
        <v>2</v>
      </c>
      <c r="L722" s="19" t="s">
        <v>44</v>
      </c>
      <c r="M722" s="21">
        <v>7.6</v>
      </c>
      <c r="N722">
        <f t="shared" si="11"/>
        <v>0</v>
      </c>
    </row>
    <row r="723" spans="1:14" x14ac:dyDescent="0.35">
      <c r="A723" s="22" t="s">
        <v>793</v>
      </c>
      <c r="B723" s="23" t="s">
        <v>41</v>
      </c>
      <c r="C723" s="23">
        <v>3</v>
      </c>
      <c r="D723" s="24">
        <v>45717</v>
      </c>
      <c r="E723" s="23" t="s">
        <v>13</v>
      </c>
      <c r="F723" s="23" t="s">
        <v>26</v>
      </c>
      <c r="G723" s="23" t="s">
        <v>21</v>
      </c>
      <c r="H723" s="23" t="s">
        <v>22</v>
      </c>
      <c r="I723" s="23">
        <v>24</v>
      </c>
      <c r="J723" s="23">
        <v>1</v>
      </c>
      <c r="K723" s="23">
        <v>3</v>
      </c>
      <c r="L723" s="23" t="s">
        <v>75</v>
      </c>
      <c r="M723" s="25">
        <v>6.2</v>
      </c>
      <c r="N723">
        <f t="shared" si="11"/>
        <v>1</v>
      </c>
    </row>
    <row r="724" spans="1:14" x14ac:dyDescent="0.35">
      <c r="A724" s="6" t="s">
        <v>794</v>
      </c>
      <c r="B724" s="19" t="s">
        <v>92</v>
      </c>
      <c r="C724" s="19">
        <v>5</v>
      </c>
      <c r="D724" s="20">
        <v>45785</v>
      </c>
      <c r="E724" s="19" t="s">
        <v>13</v>
      </c>
      <c r="F724" s="19" t="s">
        <v>26</v>
      </c>
      <c r="G724" s="19" t="s">
        <v>27</v>
      </c>
      <c r="H724" s="19" t="s">
        <v>28</v>
      </c>
      <c r="I724" s="19">
        <v>48</v>
      </c>
      <c r="J724" s="19">
        <v>0</v>
      </c>
      <c r="K724" s="19">
        <v>2</v>
      </c>
      <c r="L724" s="19" t="s">
        <v>33</v>
      </c>
      <c r="M724" s="21">
        <v>9.3000000000000007</v>
      </c>
      <c r="N724">
        <f t="shared" si="11"/>
        <v>1</v>
      </c>
    </row>
    <row r="725" spans="1:14" x14ac:dyDescent="0.35">
      <c r="A725" s="22" t="s">
        <v>795</v>
      </c>
      <c r="B725" s="23" t="s">
        <v>158</v>
      </c>
      <c r="C725" s="23"/>
      <c r="D725" s="24"/>
      <c r="E725" s="23" t="s">
        <v>8364</v>
      </c>
      <c r="F725" s="23" t="s">
        <v>26</v>
      </c>
      <c r="G725" s="23" t="s">
        <v>8364</v>
      </c>
      <c r="H725" s="23" t="s">
        <v>32</v>
      </c>
      <c r="I725" s="23">
        <v>48</v>
      </c>
      <c r="J725" s="23">
        <v>0</v>
      </c>
      <c r="K725" s="23">
        <v>4</v>
      </c>
      <c r="L725" s="23" t="s">
        <v>33</v>
      </c>
      <c r="M725" s="25">
        <v>11.3</v>
      </c>
      <c r="N725">
        <f t="shared" si="11"/>
        <v>1</v>
      </c>
    </row>
    <row r="726" spans="1:14" x14ac:dyDescent="0.35">
      <c r="A726" s="6" t="s">
        <v>796</v>
      </c>
      <c r="B726" s="19" t="s">
        <v>47</v>
      </c>
      <c r="C726" s="19">
        <v>10</v>
      </c>
      <c r="D726" s="20">
        <v>45950</v>
      </c>
      <c r="E726" s="19" t="s">
        <v>13</v>
      </c>
      <c r="F726" s="19" t="s">
        <v>43</v>
      </c>
      <c r="G726" s="19" t="s">
        <v>21</v>
      </c>
      <c r="H726" s="19" t="s">
        <v>28</v>
      </c>
      <c r="I726" s="19">
        <v>72</v>
      </c>
      <c r="J726" s="19">
        <v>0</v>
      </c>
      <c r="K726" s="19">
        <v>5</v>
      </c>
      <c r="L726" s="19" t="s">
        <v>55</v>
      </c>
      <c r="M726" s="21">
        <v>40</v>
      </c>
      <c r="N726">
        <f t="shared" si="11"/>
        <v>1</v>
      </c>
    </row>
    <row r="727" spans="1:14" x14ac:dyDescent="0.35">
      <c r="A727" s="22" t="s">
        <v>797</v>
      </c>
      <c r="B727" s="23" t="s">
        <v>104</v>
      </c>
      <c r="C727" s="23">
        <v>10</v>
      </c>
      <c r="D727" s="24">
        <v>45947</v>
      </c>
      <c r="E727" s="23" t="s">
        <v>13</v>
      </c>
      <c r="F727" s="23" t="s">
        <v>26</v>
      </c>
      <c r="G727" s="23" t="s">
        <v>27</v>
      </c>
      <c r="H727" s="23" t="s">
        <v>8364</v>
      </c>
      <c r="I727" s="23">
        <v>48</v>
      </c>
      <c r="J727" s="23">
        <v>1</v>
      </c>
      <c r="K727" s="23">
        <v>5</v>
      </c>
      <c r="L727" s="23" t="s">
        <v>38</v>
      </c>
      <c r="M727" s="25">
        <v>7.8</v>
      </c>
      <c r="N727">
        <f t="shared" si="11"/>
        <v>1</v>
      </c>
    </row>
    <row r="728" spans="1:14" x14ac:dyDescent="0.35">
      <c r="A728" s="6" t="s">
        <v>798</v>
      </c>
      <c r="B728" s="19" t="s">
        <v>89</v>
      </c>
      <c r="C728" s="19">
        <v>10</v>
      </c>
      <c r="D728" s="20">
        <v>45935</v>
      </c>
      <c r="E728" s="19" t="s">
        <v>13</v>
      </c>
      <c r="F728" s="19" t="s">
        <v>43</v>
      </c>
      <c r="G728" s="19" t="s">
        <v>15</v>
      </c>
      <c r="H728" s="19" t="s">
        <v>22</v>
      </c>
      <c r="I728" s="19">
        <v>24</v>
      </c>
      <c r="J728" s="19">
        <v>2</v>
      </c>
      <c r="K728" s="19">
        <v>3</v>
      </c>
      <c r="L728" s="19" t="s">
        <v>8363</v>
      </c>
      <c r="M728" s="21"/>
      <c r="N728">
        <f t="shared" si="11"/>
        <v>1</v>
      </c>
    </row>
    <row r="729" spans="1:14" x14ac:dyDescent="0.35">
      <c r="A729" s="22" t="s">
        <v>799</v>
      </c>
      <c r="B729" s="23" t="s">
        <v>85</v>
      </c>
      <c r="C729" s="23">
        <v>6</v>
      </c>
      <c r="D729" s="24">
        <v>45836</v>
      </c>
      <c r="E729" s="23" t="s">
        <v>13</v>
      </c>
      <c r="F729" s="23" t="s">
        <v>14</v>
      </c>
      <c r="G729" s="23" t="s">
        <v>21</v>
      </c>
      <c r="H729" s="23" t="s">
        <v>8364</v>
      </c>
      <c r="I729" s="23">
        <v>72</v>
      </c>
      <c r="J729" s="23">
        <v>0</v>
      </c>
      <c r="K729" s="23">
        <v>4</v>
      </c>
      <c r="L729" s="23" t="s">
        <v>8363</v>
      </c>
      <c r="M729" s="25">
        <v>11.3</v>
      </c>
      <c r="N729">
        <f t="shared" si="11"/>
        <v>1</v>
      </c>
    </row>
    <row r="730" spans="1:14" x14ac:dyDescent="0.35">
      <c r="A730" s="6" t="s">
        <v>800</v>
      </c>
      <c r="B730" s="19" t="s">
        <v>47</v>
      </c>
      <c r="C730" s="19">
        <v>5</v>
      </c>
      <c r="D730" s="20">
        <v>45791</v>
      </c>
      <c r="E730" s="19" t="s">
        <v>13</v>
      </c>
      <c r="F730" s="19" t="s">
        <v>14</v>
      </c>
      <c r="G730" s="19" t="s">
        <v>15</v>
      </c>
      <c r="H730" s="19" t="s">
        <v>22</v>
      </c>
      <c r="I730" s="19">
        <v>48</v>
      </c>
      <c r="J730" s="19">
        <v>2</v>
      </c>
      <c r="K730" s="19">
        <v>2</v>
      </c>
      <c r="L730" s="19" t="s">
        <v>33</v>
      </c>
      <c r="M730" s="21">
        <v>1.8</v>
      </c>
      <c r="N730">
        <f t="shared" si="11"/>
        <v>1</v>
      </c>
    </row>
    <row r="731" spans="1:14" x14ac:dyDescent="0.35">
      <c r="A731" s="22" t="s">
        <v>801</v>
      </c>
      <c r="B731" s="23" t="s">
        <v>41</v>
      </c>
      <c r="C731" s="23">
        <v>8</v>
      </c>
      <c r="D731" s="24">
        <v>45877</v>
      </c>
      <c r="E731" s="23" t="s">
        <v>68</v>
      </c>
      <c r="F731" s="23" t="s">
        <v>26</v>
      </c>
      <c r="G731" s="23" t="s">
        <v>8364</v>
      </c>
      <c r="H731" s="23" t="s">
        <v>8364</v>
      </c>
      <c r="I731" s="23">
        <v>24</v>
      </c>
      <c r="J731" s="23">
        <v>1</v>
      </c>
      <c r="K731" s="23">
        <v>2</v>
      </c>
      <c r="L731" s="23" t="s">
        <v>44</v>
      </c>
      <c r="M731" s="25"/>
      <c r="N731">
        <f t="shared" si="11"/>
        <v>1</v>
      </c>
    </row>
    <row r="732" spans="1:14" x14ac:dyDescent="0.35">
      <c r="A732" s="6" t="s">
        <v>802</v>
      </c>
      <c r="B732" s="19" t="s">
        <v>57</v>
      </c>
      <c r="C732" s="19">
        <v>8</v>
      </c>
      <c r="D732" s="20">
        <v>45891</v>
      </c>
      <c r="E732" s="19" t="s">
        <v>13</v>
      </c>
      <c r="F732" s="19" t="s">
        <v>26</v>
      </c>
      <c r="G732" s="19" t="s">
        <v>15</v>
      </c>
      <c r="H732" s="19" t="s">
        <v>32</v>
      </c>
      <c r="I732" s="19">
        <v>8</v>
      </c>
      <c r="J732" s="19">
        <v>0</v>
      </c>
      <c r="K732" s="19">
        <v>4</v>
      </c>
      <c r="L732" s="19" t="s">
        <v>55</v>
      </c>
      <c r="M732" s="21">
        <v>3.1</v>
      </c>
      <c r="N732">
        <f t="shared" si="11"/>
        <v>1</v>
      </c>
    </row>
    <row r="733" spans="1:14" x14ac:dyDescent="0.35">
      <c r="A733" s="22" t="s">
        <v>803</v>
      </c>
      <c r="B733" s="23" t="s">
        <v>18</v>
      </c>
      <c r="C733" s="23">
        <v>1</v>
      </c>
      <c r="D733" s="24">
        <v>45663</v>
      </c>
      <c r="E733" s="23" t="s">
        <v>8364</v>
      </c>
      <c r="F733" s="23" t="s">
        <v>59</v>
      </c>
      <c r="G733" s="23" t="s">
        <v>27</v>
      </c>
      <c r="H733" s="23" t="s">
        <v>8364</v>
      </c>
      <c r="I733" s="23">
        <v>72</v>
      </c>
      <c r="J733" s="23">
        <v>0</v>
      </c>
      <c r="K733" s="23">
        <v>5</v>
      </c>
      <c r="L733" s="23" t="s">
        <v>62</v>
      </c>
      <c r="M733" s="25">
        <v>4.8</v>
      </c>
      <c r="N733">
        <f t="shared" si="11"/>
        <v>1</v>
      </c>
    </row>
    <row r="734" spans="1:14" x14ac:dyDescent="0.35">
      <c r="A734" s="6" t="s">
        <v>804</v>
      </c>
      <c r="B734" s="19" t="s">
        <v>81</v>
      </c>
      <c r="C734" s="19">
        <v>5</v>
      </c>
      <c r="D734" s="20">
        <v>45803</v>
      </c>
      <c r="E734" s="19" t="s">
        <v>8364</v>
      </c>
      <c r="F734" s="19" t="s">
        <v>40</v>
      </c>
      <c r="G734" s="19" t="s">
        <v>31</v>
      </c>
      <c r="H734" s="19" t="s">
        <v>28</v>
      </c>
      <c r="I734" s="19">
        <v>48</v>
      </c>
      <c r="J734" s="19">
        <v>0</v>
      </c>
      <c r="K734" s="19">
        <v>3</v>
      </c>
      <c r="L734" s="19" t="s">
        <v>44</v>
      </c>
      <c r="M734" s="21">
        <v>4.8</v>
      </c>
      <c r="N734">
        <f t="shared" si="11"/>
        <v>1</v>
      </c>
    </row>
    <row r="735" spans="1:14" x14ac:dyDescent="0.35">
      <c r="A735" s="22" t="s">
        <v>805</v>
      </c>
      <c r="B735" s="23" t="s">
        <v>104</v>
      </c>
      <c r="C735" s="23">
        <v>1</v>
      </c>
      <c r="D735" s="24">
        <v>45675</v>
      </c>
      <c r="E735" s="23" t="s">
        <v>68</v>
      </c>
      <c r="F735" s="23" t="s">
        <v>59</v>
      </c>
      <c r="G735" s="23" t="s">
        <v>15</v>
      </c>
      <c r="H735" s="23" t="s">
        <v>22</v>
      </c>
      <c r="I735" s="23">
        <v>48</v>
      </c>
      <c r="J735" s="23">
        <v>0</v>
      </c>
      <c r="K735" s="23">
        <v>4</v>
      </c>
      <c r="L735" s="23" t="s">
        <v>75</v>
      </c>
      <c r="M735" s="25">
        <v>18.899999999999999</v>
      </c>
      <c r="N735">
        <f t="shared" si="11"/>
        <v>1</v>
      </c>
    </row>
    <row r="736" spans="1:14" x14ac:dyDescent="0.35">
      <c r="A736" s="6" t="s">
        <v>806</v>
      </c>
      <c r="B736" s="19" t="s">
        <v>51</v>
      </c>
      <c r="C736" s="19">
        <v>10</v>
      </c>
      <c r="D736" s="20">
        <v>45931</v>
      </c>
      <c r="E736" s="19" t="s">
        <v>25</v>
      </c>
      <c r="F736" s="19" t="s">
        <v>14</v>
      </c>
      <c r="G736" s="19" t="s">
        <v>15</v>
      </c>
      <c r="H736" s="19" t="s">
        <v>22</v>
      </c>
      <c r="I736" s="19">
        <v>48</v>
      </c>
      <c r="J736" s="19">
        <v>2</v>
      </c>
      <c r="K736" s="19">
        <v>1</v>
      </c>
      <c r="L736" s="19" t="s">
        <v>8363</v>
      </c>
      <c r="M736" s="21">
        <v>8.6999999999999993</v>
      </c>
      <c r="N736">
        <f t="shared" si="11"/>
        <v>1</v>
      </c>
    </row>
    <row r="737" spans="1:14" x14ac:dyDescent="0.35">
      <c r="A737" s="22" t="s">
        <v>807</v>
      </c>
      <c r="B737" s="23" t="s">
        <v>81</v>
      </c>
      <c r="C737" s="23">
        <v>12</v>
      </c>
      <c r="D737" s="24">
        <v>45998</v>
      </c>
      <c r="E737" s="23" t="s">
        <v>68</v>
      </c>
      <c r="F737" s="23" t="s">
        <v>14</v>
      </c>
      <c r="G737" s="23" t="s">
        <v>31</v>
      </c>
      <c r="H737" s="23" t="s">
        <v>22</v>
      </c>
      <c r="I737" s="23">
        <v>72</v>
      </c>
      <c r="J737" s="23">
        <v>0</v>
      </c>
      <c r="K737" s="23">
        <v>2</v>
      </c>
      <c r="L737" s="23" t="s">
        <v>75</v>
      </c>
      <c r="M737" s="25">
        <v>3.3</v>
      </c>
      <c r="N737">
        <f t="shared" si="11"/>
        <v>1</v>
      </c>
    </row>
    <row r="738" spans="1:14" x14ac:dyDescent="0.35">
      <c r="A738" s="6" t="s">
        <v>808</v>
      </c>
      <c r="B738" s="19" t="s">
        <v>99</v>
      </c>
      <c r="C738" s="19">
        <v>12</v>
      </c>
      <c r="D738" s="20">
        <v>46004</v>
      </c>
      <c r="E738" s="19" t="s">
        <v>68</v>
      </c>
      <c r="F738" s="19" t="s">
        <v>8364</v>
      </c>
      <c r="G738" s="19" t="s">
        <v>27</v>
      </c>
      <c r="H738" s="19" t="s">
        <v>8364</v>
      </c>
      <c r="I738" s="19">
        <v>4</v>
      </c>
      <c r="J738" s="19"/>
      <c r="K738" s="19">
        <v>4</v>
      </c>
      <c r="L738" s="19" t="s">
        <v>44</v>
      </c>
      <c r="M738" s="21">
        <v>3.6</v>
      </c>
      <c r="N738">
        <f t="shared" si="11"/>
        <v>1</v>
      </c>
    </row>
    <row r="739" spans="1:14" x14ac:dyDescent="0.35">
      <c r="A739" s="22" t="s">
        <v>809</v>
      </c>
      <c r="B739" s="23" t="s">
        <v>57</v>
      </c>
      <c r="C739" s="23">
        <v>12</v>
      </c>
      <c r="D739" s="24">
        <v>46014</v>
      </c>
      <c r="E739" s="23" t="s">
        <v>25</v>
      </c>
      <c r="F739" s="23" t="s">
        <v>43</v>
      </c>
      <c r="G739" s="23" t="s">
        <v>15</v>
      </c>
      <c r="H739" s="23" t="s">
        <v>22</v>
      </c>
      <c r="I739" s="23">
        <v>4</v>
      </c>
      <c r="J739" s="23">
        <v>0</v>
      </c>
      <c r="K739" s="23"/>
      <c r="L739" s="23" t="s">
        <v>75</v>
      </c>
      <c r="M739" s="25">
        <v>9.3000000000000007</v>
      </c>
      <c r="N739">
        <f t="shared" si="11"/>
        <v>0</v>
      </c>
    </row>
    <row r="740" spans="1:14" x14ac:dyDescent="0.35">
      <c r="A740" s="6" t="s">
        <v>810</v>
      </c>
      <c r="B740" s="19" t="s">
        <v>143</v>
      </c>
      <c r="C740" s="19">
        <v>8</v>
      </c>
      <c r="D740" s="20">
        <v>45871</v>
      </c>
      <c r="E740" s="19" t="s">
        <v>68</v>
      </c>
      <c r="F740" s="19" t="s">
        <v>26</v>
      </c>
      <c r="G740" s="19" t="s">
        <v>21</v>
      </c>
      <c r="H740" s="19" t="s">
        <v>28</v>
      </c>
      <c r="I740" s="19">
        <v>72</v>
      </c>
      <c r="J740" s="19">
        <v>0</v>
      </c>
      <c r="K740" s="19">
        <v>5</v>
      </c>
      <c r="L740" s="19" t="s">
        <v>55</v>
      </c>
      <c r="M740" s="21">
        <v>8.5</v>
      </c>
      <c r="N740">
        <f t="shared" si="11"/>
        <v>1</v>
      </c>
    </row>
    <row r="741" spans="1:14" x14ac:dyDescent="0.35">
      <c r="A741" s="22" t="s">
        <v>811</v>
      </c>
      <c r="B741" s="23" t="s">
        <v>139</v>
      </c>
      <c r="C741" s="23"/>
      <c r="D741" s="24"/>
      <c r="E741" s="23" t="s">
        <v>68</v>
      </c>
      <c r="F741" s="23" t="s">
        <v>37</v>
      </c>
      <c r="G741" s="23" t="s">
        <v>8364</v>
      </c>
      <c r="H741" s="23" t="s">
        <v>28</v>
      </c>
      <c r="I741" s="23">
        <v>72</v>
      </c>
      <c r="J741" s="23">
        <v>0</v>
      </c>
      <c r="K741" s="23">
        <v>5</v>
      </c>
      <c r="L741" s="23" t="s">
        <v>33</v>
      </c>
      <c r="M741" s="25">
        <v>56.3</v>
      </c>
      <c r="N741">
        <f t="shared" si="11"/>
        <v>1</v>
      </c>
    </row>
    <row r="742" spans="1:14" x14ac:dyDescent="0.35">
      <c r="A742" s="6" t="s">
        <v>812</v>
      </c>
      <c r="B742" s="19" t="s">
        <v>101</v>
      </c>
      <c r="C742" s="19">
        <v>12</v>
      </c>
      <c r="D742" s="20">
        <v>46005</v>
      </c>
      <c r="E742" s="19" t="s">
        <v>13</v>
      </c>
      <c r="F742" s="19" t="s">
        <v>43</v>
      </c>
      <c r="G742" s="19" t="s">
        <v>31</v>
      </c>
      <c r="H742" s="19" t="s">
        <v>22</v>
      </c>
      <c r="I742" s="19">
        <v>48</v>
      </c>
      <c r="J742" s="19">
        <v>0</v>
      </c>
      <c r="K742" s="19">
        <v>3</v>
      </c>
      <c r="L742" s="19" t="s">
        <v>8363</v>
      </c>
      <c r="M742" s="21">
        <v>12</v>
      </c>
      <c r="N742">
        <f t="shared" si="11"/>
        <v>1</v>
      </c>
    </row>
    <row r="743" spans="1:14" x14ac:dyDescent="0.35">
      <c r="A743" s="22" t="s">
        <v>813</v>
      </c>
      <c r="B743" s="23" t="s">
        <v>69</v>
      </c>
      <c r="C743" s="23">
        <v>12</v>
      </c>
      <c r="D743" s="24">
        <v>46010</v>
      </c>
      <c r="E743" s="23" t="s">
        <v>13</v>
      </c>
      <c r="F743" s="23" t="s">
        <v>14</v>
      </c>
      <c r="G743" s="23" t="s">
        <v>31</v>
      </c>
      <c r="H743" s="23" t="s">
        <v>22</v>
      </c>
      <c r="I743" s="23">
        <v>4</v>
      </c>
      <c r="J743" s="23">
        <v>0</v>
      </c>
      <c r="K743" s="23">
        <v>3</v>
      </c>
      <c r="L743" s="23" t="s">
        <v>55</v>
      </c>
      <c r="M743" s="25">
        <v>16.3</v>
      </c>
      <c r="N743">
        <f t="shared" si="11"/>
        <v>0</v>
      </c>
    </row>
    <row r="744" spans="1:14" x14ac:dyDescent="0.35">
      <c r="A744" s="6" t="s">
        <v>814</v>
      </c>
      <c r="B744" s="19" t="s">
        <v>108</v>
      </c>
      <c r="C744" s="19">
        <v>12</v>
      </c>
      <c r="D744" s="20">
        <v>45999</v>
      </c>
      <c r="E744" s="19" t="s">
        <v>20</v>
      </c>
      <c r="F744" s="19" t="s">
        <v>37</v>
      </c>
      <c r="G744" s="19" t="s">
        <v>21</v>
      </c>
      <c r="H744" s="19" t="s">
        <v>22</v>
      </c>
      <c r="I744" s="19">
        <v>8</v>
      </c>
      <c r="J744" s="19">
        <v>0</v>
      </c>
      <c r="K744" s="19">
        <v>4</v>
      </c>
      <c r="L744" s="19" t="s">
        <v>38</v>
      </c>
      <c r="M744" s="21">
        <v>11.9</v>
      </c>
      <c r="N744">
        <f t="shared" si="11"/>
        <v>0</v>
      </c>
    </row>
    <row r="745" spans="1:14" x14ac:dyDescent="0.35">
      <c r="A745" s="22" t="s">
        <v>815</v>
      </c>
      <c r="B745" s="23" t="s">
        <v>53</v>
      </c>
      <c r="C745" s="23">
        <v>6</v>
      </c>
      <c r="D745" s="24">
        <v>45809</v>
      </c>
      <c r="E745" s="23" t="s">
        <v>20</v>
      </c>
      <c r="F745" s="23" t="s">
        <v>26</v>
      </c>
      <c r="G745" s="23" t="s">
        <v>8364</v>
      </c>
      <c r="H745" s="23" t="s">
        <v>22</v>
      </c>
      <c r="I745" s="23">
        <v>72</v>
      </c>
      <c r="J745" s="23">
        <v>0</v>
      </c>
      <c r="K745" s="23">
        <v>5</v>
      </c>
      <c r="L745" s="23" t="s">
        <v>8363</v>
      </c>
      <c r="M745" s="25">
        <v>6.5</v>
      </c>
      <c r="N745">
        <f t="shared" si="11"/>
        <v>1</v>
      </c>
    </row>
    <row r="746" spans="1:14" x14ac:dyDescent="0.35">
      <c r="A746" s="6" t="s">
        <v>816</v>
      </c>
      <c r="B746" s="19" t="s">
        <v>97</v>
      </c>
      <c r="C746" s="19">
        <v>10</v>
      </c>
      <c r="D746" s="20">
        <v>45954</v>
      </c>
      <c r="E746" s="19" t="s">
        <v>20</v>
      </c>
      <c r="F746" s="19" t="s">
        <v>59</v>
      </c>
      <c r="G746" s="19" t="s">
        <v>21</v>
      </c>
      <c r="H746" s="19" t="s">
        <v>32</v>
      </c>
      <c r="I746" s="19">
        <v>8</v>
      </c>
      <c r="J746" s="19">
        <v>0</v>
      </c>
      <c r="K746" s="19">
        <v>3</v>
      </c>
      <c r="L746" s="19" t="s">
        <v>17</v>
      </c>
      <c r="M746" s="21"/>
      <c r="N746">
        <f t="shared" si="11"/>
        <v>1</v>
      </c>
    </row>
    <row r="747" spans="1:14" x14ac:dyDescent="0.35">
      <c r="A747" s="22" t="s">
        <v>817</v>
      </c>
      <c r="B747" s="23" t="s">
        <v>34</v>
      </c>
      <c r="C747" s="23">
        <v>8</v>
      </c>
      <c r="D747" s="24">
        <v>45871</v>
      </c>
      <c r="E747" s="23" t="s">
        <v>13</v>
      </c>
      <c r="F747" s="23" t="s">
        <v>14</v>
      </c>
      <c r="G747" s="23" t="s">
        <v>27</v>
      </c>
      <c r="H747" s="23" t="s">
        <v>32</v>
      </c>
      <c r="I747" s="23">
        <v>72</v>
      </c>
      <c r="J747" s="23">
        <v>0</v>
      </c>
      <c r="K747" s="23">
        <v>5</v>
      </c>
      <c r="L747" s="23" t="s">
        <v>33</v>
      </c>
      <c r="M747" s="25">
        <v>7.8</v>
      </c>
      <c r="N747">
        <f t="shared" si="11"/>
        <v>1</v>
      </c>
    </row>
    <row r="748" spans="1:14" x14ac:dyDescent="0.35">
      <c r="A748" s="6" t="s">
        <v>818</v>
      </c>
      <c r="B748" s="19" t="s">
        <v>85</v>
      </c>
      <c r="C748" s="19">
        <v>7</v>
      </c>
      <c r="D748" s="20">
        <v>45857</v>
      </c>
      <c r="E748" s="19" t="s">
        <v>25</v>
      </c>
      <c r="F748" s="19" t="s">
        <v>59</v>
      </c>
      <c r="G748" s="19" t="s">
        <v>27</v>
      </c>
      <c r="H748" s="19" t="s">
        <v>22</v>
      </c>
      <c r="I748" s="19">
        <v>48</v>
      </c>
      <c r="J748" s="19">
        <v>0</v>
      </c>
      <c r="K748" s="19">
        <v>4</v>
      </c>
      <c r="L748" s="19" t="s">
        <v>44</v>
      </c>
      <c r="M748" s="21">
        <v>3.1</v>
      </c>
      <c r="N748">
        <f t="shared" si="11"/>
        <v>1</v>
      </c>
    </row>
    <row r="749" spans="1:14" x14ac:dyDescent="0.35">
      <c r="A749" s="22" t="s">
        <v>819</v>
      </c>
      <c r="B749" s="23" t="s">
        <v>101</v>
      </c>
      <c r="C749" s="23">
        <v>8</v>
      </c>
      <c r="D749" s="24">
        <v>45896</v>
      </c>
      <c r="E749" s="23" t="s">
        <v>8364</v>
      </c>
      <c r="F749" s="23" t="s">
        <v>14</v>
      </c>
      <c r="G749" s="23" t="s">
        <v>15</v>
      </c>
      <c r="H749" s="23" t="s">
        <v>8364</v>
      </c>
      <c r="I749" s="23">
        <v>8</v>
      </c>
      <c r="J749" s="23">
        <v>0</v>
      </c>
      <c r="K749" s="23">
        <v>5</v>
      </c>
      <c r="L749" s="23" t="s">
        <v>33</v>
      </c>
      <c r="M749" s="25">
        <v>7.9</v>
      </c>
      <c r="N749">
        <f t="shared" si="11"/>
        <v>1</v>
      </c>
    </row>
    <row r="750" spans="1:14" x14ac:dyDescent="0.35">
      <c r="A750" s="6" t="s">
        <v>820</v>
      </c>
      <c r="B750" s="19" t="s">
        <v>253</v>
      </c>
      <c r="C750" s="19">
        <v>11</v>
      </c>
      <c r="D750" s="20">
        <v>45989</v>
      </c>
      <c r="E750" s="19" t="s">
        <v>8364</v>
      </c>
      <c r="F750" s="19" t="s">
        <v>26</v>
      </c>
      <c r="G750" s="19" t="s">
        <v>31</v>
      </c>
      <c r="H750" s="19" t="s">
        <v>8364</v>
      </c>
      <c r="I750" s="19">
        <v>24</v>
      </c>
      <c r="J750" s="19">
        <v>0</v>
      </c>
      <c r="K750" s="19">
        <v>3</v>
      </c>
      <c r="L750" s="19" t="s">
        <v>44</v>
      </c>
      <c r="M750" s="21">
        <v>19.399999999999999</v>
      </c>
      <c r="N750">
        <f t="shared" si="11"/>
        <v>1</v>
      </c>
    </row>
    <row r="751" spans="1:14" x14ac:dyDescent="0.35">
      <c r="A751" s="22" t="s">
        <v>821</v>
      </c>
      <c r="B751" s="23" t="s">
        <v>45</v>
      </c>
      <c r="C751" s="23">
        <v>1</v>
      </c>
      <c r="D751" s="24">
        <v>45680</v>
      </c>
      <c r="E751" s="23" t="s">
        <v>68</v>
      </c>
      <c r="F751" s="23" t="s">
        <v>59</v>
      </c>
      <c r="G751" s="23" t="s">
        <v>21</v>
      </c>
      <c r="H751" s="23" t="s">
        <v>32</v>
      </c>
      <c r="I751" s="23">
        <v>72</v>
      </c>
      <c r="J751" s="23">
        <v>0</v>
      </c>
      <c r="K751" s="23"/>
      <c r="L751" s="23" t="s">
        <v>17</v>
      </c>
      <c r="M751" s="25">
        <v>8.1999999999999993</v>
      </c>
      <c r="N751">
        <f t="shared" si="11"/>
        <v>1</v>
      </c>
    </row>
    <row r="752" spans="1:14" x14ac:dyDescent="0.35">
      <c r="A752" s="6" t="s">
        <v>822</v>
      </c>
      <c r="B752" s="19" t="s">
        <v>143</v>
      </c>
      <c r="C752" s="19"/>
      <c r="D752" s="20"/>
      <c r="E752" s="19" t="s">
        <v>25</v>
      </c>
      <c r="F752" s="19" t="s">
        <v>26</v>
      </c>
      <c r="G752" s="19" t="s">
        <v>27</v>
      </c>
      <c r="H752" s="19" t="s">
        <v>22</v>
      </c>
      <c r="I752" s="19">
        <v>48</v>
      </c>
      <c r="J752" s="19">
        <v>0</v>
      </c>
      <c r="K752" s="19">
        <v>5</v>
      </c>
      <c r="L752" s="19" t="s">
        <v>8363</v>
      </c>
      <c r="M752" s="21">
        <v>11.7</v>
      </c>
      <c r="N752">
        <f t="shared" si="11"/>
        <v>1</v>
      </c>
    </row>
    <row r="753" spans="1:14" x14ac:dyDescent="0.35">
      <c r="A753" s="22" t="s">
        <v>823</v>
      </c>
      <c r="B753" s="23" t="s">
        <v>143</v>
      </c>
      <c r="C753" s="23">
        <v>8</v>
      </c>
      <c r="D753" s="24">
        <v>45900</v>
      </c>
      <c r="E753" s="23" t="s">
        <v>25</v>
      </c>
      <c r="F753" s="23" t="s">
        <v>43</v>
      </c>
      <c r="G753" s="23" t="s">
        <v>31</v>
      </c>
      <c r="H753" s="23" t="s">
        <v>22</v>
      </c>
      <c r="I753" s="23">
        <v>4</v>
      </c>
      <c r="J753" s="23">
        <v>0</v>
      </c>
      <c r="K753" s="23">
        <v>5</v>
      </c>
      <c r="L753" s="23" t="s">
        <v>75</v>
      </c>
      <c r="M753" s="25">
        <v>12.2</v>
      </c>
      <c r="N753">
        <f t="shared" si="11"/>
        <v>0</v>
      </c>
    </row>
    <row r="754" spans="1:14" x14ac:dyDescent="0.35">
      <c r="A754" s="6" t="s">
        <v>824</v>
      </c>
      <c r="B754" s="19" t="s">
        <v>41</v>
      </c>
      <c r="C754" s="19">
        <v>8</v>
      </c>
      <c r="D754" s="20">
        <v>45879</v>
      </c>
      <c r="E754" s="19" t="s">
        <v>13</v>
      </c>
      <c r="F754" s="19" t="s">
        <v>43</v>
      </c>
      <c r="G754" s="19" t="s">
        <v>21</v>
      </c>
      <c r="H754" s="19" t="s">
        <v>16</v>
      </c>
      <c r="I754" s="19">
        <v>4</v>
      </c>
      <c r="J754" s="19">
        <v>0</v>
      </c>
      <c r="K754" s="19">
        <v>5</v>
      </c>
      <c r="L754" s="19" t="s">
        <v>55</v>
      </c>
      <c r="M754" s="21">
        <v>25.4</v>
      </c>
      <c r="N754">
        <f t="shared" si="11"/>
        <v>0</v>
      </c>
    </row>
    <row r="755" spans="1:14" x14ac:dyDescent="0.35">
      <c r="A755" s="22" t="s">
        <v>825</v>
      </c>
      <c r="B755" s="23" t="s">
        <v>81</v>
      </c>
      <c r="C755" s="23"/>
      <c r="D755" s="24"/>
      <c r="E755" s="23" t="s">
        <v>25</v>
      </c>
      <c r="F755" s="23" t="s">
        <v>43</v>
      </c>
      <c r="G755" s="23" t="s">
        <v>27</v>
      </c>
      <c r="H755" s="23" t="s">
        <v>32</v>
      </c>
      <c r="I755" s="23">
        <v>8</v>
      </c>
      <c r="J755" s="23">
        <v>0</v>
      </c>
      <c r="K755" s="23">
        <v>5</v>
      </c>
      <c r="L755" s="23" t="s">
        <v>75</v>
      </c>
      <c r="M755" s="25">
        <v>4.7</v>
      </c>
      <c r="N755">
        <f t="shared" si="11"/>
        <v>1</v>
      </c>
    </row>
    <row r="756" spans="1:14" x14ac:dyDescent="0.35">
      <c r="A756" s="6" t="s">
        <v>826</v>
      </c>
      <c r="B756" s="19" t="s">
        <v>181</v>
      </c>
      <c r="C756" s="19">
        <v>4</v>
      </c>
      <c r="D756" s="20">
        <v>45758</v>
      </c>
      <c r="E756" s="19" t="s">
        <v>8364</v>
      </c>
      <c r="F756" s="19" t="s">
        <v>26</v>
      </c>
      <c r="G756" s="19" t="s">
        <v>15</v>
      </c>
      <c r="H756" s="19" t="s">
        <v>22</v>
      </c>
      <c r="I756" s="19">
        <v>4</v>
      </c>
      <c r="J756" s="19">
        <v>1</v>
      </c>
      <c r="K756" s="19"/>
      <c r="L756" s="19" t="s">
        <v>55</v>
      </c>
      <c r="M756" s="21">
        <v>13.9</v>
      </c>
      <c r="N756">
        <f t="shared" si="11"/>
        <v>0</v>
      </c>
    </row>
    <row r="757" spans="1:14" x14ac:dyDescent="0.35">
      <c r="A757" s="22" t="s">
        <v>827</v>
      </c>
      <c r="B757" s="23" t="s">
        <v>65</v>
      </c>
      <c r="C757" s="23">
        <v>11</v>
      </c>
      <c r="D757" s="24">
        <v>45987</v>
      </c>
      <c r="E757" s="23" t="s">
        <v>13</v>
      </c>
      <c r="F757" s="23" t="s">
        <v>59</v>
      </c>
      <c r="G757" s="23" t="s">
        <v>31</v>
      </c>
      <c r="H757" s="23" t="s">
        <v>32</v>
      </c>
      <c r="I757" s="23">
        <v>8</v>
      </c>
      <c r="J757" s="23">
        <v>0</v>
      </c>
      <c r="K757" s="23">
        <v>4</v>
      </c>
      <c r="L757" s="23" t="s">
        <v>44</v>
      </c>
      <c r="M757" s="25">
        <v>25.2</v>
      </c>
      <c r="N757">
        <f t="shared" si="11"/>
        <v>0</v>
      </c>
    </row>
    <row r="758" spans="1:14" x14ac:dyDescent="0.35">
      <c r="A758" s="6" t="s">
        <v>828</v>
      </c>
      <c r="B758" s="19" t="s">
        <v>81</v>
      </c>
      <c r="C758" s="19">
        <v>6</v>
      </c>
      <c r="D758" s="20">
        <v>45829</v>
      </c>
      <c r="E758" s="19" t="s">
        <v>13</v>
      </c>
      <c r="F758" s="19" t="s">
        <v>40</v>
      </c>
      <c r="G758" s="19" t="s">
        <v>21</v>
      </c>
      <c r="H758" s="19" t="s">
        <v>16</v>
      </c>
      <c r="I758" s="19">
        <v>48</v>
      </c>
      <c r="J758" s="19">
        <v>0</v>
      </c>
      <c r="K758" s="19">
        <v>1</v>
      </c>
      <c r="L758" s="19" t="s">
        <v>8363</v>
      </c>
      <c r="M758" s="21">
        <v>3.2</v>
      </c>
      <c r="N758">
        <f t="shared" si="11"/>
        <v>1</v>
      </c>
    </row>
    <row r="759" spans="1:14" x14ac:dyDescent="0.35">
      <c r="A759" s="22" t="s">
        <v>829</v>
      </c>
      <c r="B759" s="23" t="s">
        <v>146</v>
      </c>
      <c r="C759" s="23"/>
      <c r="D759" s="24"/>
      <c r="E759" s="23" t="s">
        <v>36</v>
      </c>
      <c r="F759" s="23" t="s">
        <v>37</v>
      </c>
      <c r="G759" s="23" t="s">
        <v>21</v>
      </c>
      <c r="H759" s="23" t="s">
        <v>8364</v>
      </c>
      <c r="I759" s="23">
        <v>8</v>
      </c>
      <c r="J759" s="23">
        <v>0</v>
      </c>
      <c r="K759" s="23">
        <v>4</v>
      </c>
      <c r="L759" s="23" t="s">
        <v>33</v>
      </c>
      <c r="M759" s="25">
        <v>7.7</v>
      </c>
      <c r="N759">
        <f t="shared" si="11"/>
        <v>1</v>
      </c>
    </row>
    <row r="760" spans="1:14" x14ac:dyDescent="0.35">
      <c r="A760" s="6" t="s">
        <v>830</v>
      </c>
      <c r="B760" s="19" t="s">
        <v>39</v>
      </c>
      <c r="C760" s="19"/>
      <c r="D760" s="20"/>
      <c r="E760" s="19" t="s">
        <v>25</v>
      </c>
      <c r="F760" s="19" t="s">
        <v>43</v>
      </c>
      <c r="G760" s="19" t="s">
        <v>21</v>
      </c>
      <c r="H760" s="19" t="s">
        <v>8364</v>
      </c>
      <c r="I760" s="19">
        <v>72</v>
      </c>
      <c r="J760" s="19">
        <v>0</v>
      </c>
      <c r="K760" s="19">
        <v>4</v>
      </c>
      <c r="L760" s="19" t="s">
        <v>17</v>
      </c>
      <c r="M760" s="21">
        <v>4.0999999999999996</v>
      </c>
      <c r="N760">
        <f t="shared" si="11"/>
        <v>1</v>
      </c>
    </row>
    <row r="761" spans="1:14" x14ac:dyDescent="0.35">
      <c r="A761" s="22" t="s">
        <v>831</v>
      </c>
      <c r="B761" s="23" t="s">
        <v>47</v>
      </c>
      <c r="C761" s="23">
        <v>11</v>
      </c>
      <c r="D761" s="24">
        <v>45968</v>
      </c>
      <c r="E761" s="23" t="s">
        <v>36</v>
      </c>
      <c r="F761" s="23" t="s">
        <v>14</v>
      </c>
      <c r="G761" s="23" t="s">
        <v>21</v>
      </c>
      <c r="H761" s="23" t="s">
        <v>8364</v>
      </c>
      <c r="I761" s="23">
        <v>24</v>
      </c>
      <c r="J761" s="23">
        <v>0</v>
      </c>
      <c r="K761" s="23">
        <v>5</v>
      </c>
      <c r="L761" s="23" t="s">
        <v>8363</v>
      </c>
      <c r="M761" s="25">
        <v>13.9</v>
      </c>
      <c r="N761">
        <f t="shared" si="11"/>
        <v>1</v>
      </c>
    </row>
    <row r="762" spans="1:14" x14ac:dyDescent="0.35">
      <c r="A762" s="6" t="s">
        <v>832</v>
      </c>
      <c r="B762" s="19" t="s">
        <v>92</v>
      </c>
      <c r="C762" s="19">
        <v>7</v>
      </c>
      <c r="D762" s="20">
        <v>45848</v>
      </c>
      <c r="E762" s="19" t="s">
        <v>68</v>
      </c>
      <c r="F762" s="19" t="s">
        <v>59</v>
      </c>
      <c r="G762" s="19" t="s">
        <v>27</v>
      </c>
      <c r="H762" s="19" t="s">
        <v>32</v>
      </c>
      <c r="I762" s="19">
        <v>48</v>
      </c>
      <c r="J762" s="19">
        <v>0</v>
      </c>
      <c r="K762" s="19">
        <v>3</v>
      </c>
      <c r="L762" s="19" t="s">
        <v>44</v>
      </c>
      <c r="M762" s="21">
        <v>1.9</v>
      </c>
      <c r="N762">
        <f t="shared" si="11"/>
        <v>1</v>
      </c>
    </row>
    <row r="763" spans="1:14" x14ac:dyDescent="0.35">
      <c r="A763" s="22" t="s">
        <v>833</v>
      </c>
      <c r="B763" s="23" t="s">
        <v>34</v>
      </c>
      <c r="C763" s="23">
        <v>7</v>
      </c>
      <c r="D763" s="24">
        <v>45862</v>
      </c>
      <c r="E763" s="23" t="s">
        <v>8364</v>
      </c>
      <c r="F763" s="23" t="s">
        <v>14</v>
      </c>
      <c r="G763" s="23" t="s">
        <v>27</v>
      </c>
      <c r="H763" s="23" t="s">
        <v>32</v>
      </c>
      <c r="I763" s="23">
        <v>48</v>
      </c>
      <c r="J763" s="23">
        <v>0</v>
      </c>
      <c r="K763" s="23">
        <v>3</v>
      </c>
      <c r="L763" s="23" t="s">
        <v>55</v>
      </c>
      <c r="M763" s="25">
        <v>7.6</v>
      </c>
      <c r="N763">
        <f t="shared" si="11"/>
        <v>1</v>
      </c>
    </row>
    <row r="764" spans="1:14" x14ac:dyDescent="0.35">
      <c r="A764" s="6" t="s">
        <v>834</v>
      </c>
      <c r="B764" s="19" t="s">
        <v>143</v>
      </c>
      <c r="C764" s="19">
        <v>5</v>
      </c>
      <c r="D764" s="20">
        <v>45782</v>
      </c>
      <c r="E764" s="19" t="s">
        <v>25</v>
      </c>
      <c r="F764" s="19" t="s">
        <v>43</v>
      </c>
      <c r="G764" s="19" t="s">
        <v>31</v>
      </c>
      <c r="H764" s="19" t="s">
        <v>8364</v>
      </c>
      <c r="I764" s="19">
        <v>72</v>
      </c>
      <c r="J764" s="19">
        <v>0</v>
      </c>
      <c r="K764" s="19">
        <v>4</v>
      </c>
      <c r="L764" s="19" t="s">
        <v>44</v>
      </c>
      <c r="M764" s="21">
        <v>16.100000000000001</v>
      </c>
      <c r="N764">
        <f t="shared" si="11"/>
        <v>1</v>
      </c>
    </row>
    <row r="765" spans="1:14" x14ac:dyDescent="0.35">
      <c r="A765" s="22" t="s">
        <v>835</v>
      </c>
      <c r="B765" s="23" t="s">
        <v>69</v>
      </c>
      <c r="C765" s="23">
        <v>12</v>
      </c>
      <c r="D765" s="24">
        <v>46009</v>
      </c>
      <c r="E765" s="23" t="s">
        <v>13</v>
      </c>
      <c r="F765" s="23" t="s">
        <v>14</v>
      </c>
      <c r="G765" s="23" t="s">
        <v>27</v>
      </c>
      <c r="H765" s="23" t="s">
        <v>22</v>
      </c>
      <c r="I765" s="23">
        <v>72</v>
      </c>
      <c r="J765" s="23">
        <v>0</v>
      </c>
      <c r="K765" s="23">
        <v>3</v>
      </c>
      <c r="L765" s="23" t="s">
        <v>17</v>
      </c>
      <c r="M765" s="25">
        <v>12.6</v>
      </c>
      <c r="N765">
        <f t="shared" si="11"/>
        <v>1</v>
      </c>
    </row>
    <row r="766" spans="1:14" x14ac:dyDescent="0.35">
      <c r="A766" s="6" t="s">
        <v>836</v>
      </c>
      <c r="B766" s="19" t="s">
        <v>47</v>
      </c>
      <c r="C766" s="19">
        <v>8</v>
      </c>
      <c r="D766" s="20">
        <v>45884</v>
      </c>
      <c r="E766" s="19" t="s">
        <v>20</v>
      </c>
      <c r="F766" s="19" t="s">
        <v>43</v>
      </c>
      <c r="G766" s="19" t="s">
        <v>15</v>
      </c>
      <c r="H766" s="19" t="s">
        <v>22</v>
      </c>
      <c r="I766" s="19">
        <v>48</v>
      </c>
      <c r="J766" s="19">
        <v>0</v>
      </c>
      <c r="K766" s="19">
        <v>4</v>
      </c>
      <c r="L766" s="19" t="s">
        <v>44</v>
      </c>
      <c r="M766" s="21">
        <v>13.1</v>
      </c>
      <c r="N766">
        <f t="shared" si="11"/>
        <v>1</v>
      </c>
    </row>
    <row r="767" spans="1:14" x14ac:dyDescent="0.35">
      <c r="A767" s="22" t="s">
        <v>837</v>
      </c>
      <c r="B767" s="23" t="s">
        <v>101</v>
      </c>
      <c r="C767" s="23">
        <v>7</v>
      </c>
      <c r="D767" s="24">
        <v>45858</v>
      </c>
      <c r="E767" s="23" t="s">
        <v>13</v>
      </c>
      <c r="F767" s="23" t="s">
        <v>26</v>
      </c>
      <c r="G767" s="23" t="s">
        <v>27</v>
      </c>
      <c r="H767" s="23" t="s">
        <v>8364</v>
      </c>
      <c r="I767" s="23">
        <v>72</v>
      </c>
      <c r="J767" s="23">
        <v>0</v>
      </c>
      <c r="K767" s="23">
        <v>5</v>
      </c>
      <c r="L767" s="23" t="s">
        <v>62</v>
      </c>
      <c r="M767" s="25">
        <v>4.0999999999999996</v>
      </c>
      <c r="N767">
        <f t="shared" si="11"/>
        <v>1</v>
      </c>
    </row>
    <row r="768" spans="1:14" x14ac:dyDescent="0.35">
      <c r="A768" s="6" t="s">
        <v>838</v>
      </c>
      <c r="B768" s="19" t="s">
        <v>81</v>
      </c>
      <c r="C768" s="19">
        <v>11</v>
      </c>
      <c r="D768" s="20">
        <v>45963</v>
      </c>
      <c r="E768" s="19" t="s">
        <v>8364</v>
      </c>
      <c r="F768" s="19" t="s">
        <v>43</v>
      </c>
      <c r="G768" s="19" t="s">
        <v>27</v>
      </c>
      <c r="H768" s="19" t="s">
        <v>22</v>
      </c>
      <c r="I768" s="19">
        <v>72</v>
      </c>
      <c r="J768" s="19">
        <v>0</v>
      </c>
      <c r="K768" s="19">
        <v>5</v>
      </c>
      <c r="L768" s="19" t="s">
        <v>38</v>
      </c>
      <c r="M768" s="21">
        <v>0.9</v>
      </c>
      <c r="N768">
        <f t="shared" si="11"/>
        <v>1</v>
      </c>
    </row>
    <row r="769" spans="1:14" x14ac:dyDescent="0.35">
      <c r="A769" s="22" t="s">
        <v>839</v>
      </c>
      <c r="B769" s="23" t="s">
        <v>34</v>
      </c>
      <c r="C769" s="23">
        <v>2</v>
      </c>
      <c r="D769" s="24">
        <v>45706</v>
      </c>
      <c r="E769" s="23" t="s">
        <v>13</v>
      </c>
      <c r="F769" s="23" t="s">
        <v>14</v>
      </c>
      <c r="G769" s="23" t="s">
        <v>31</v>
      </c>
      <c r="H769" s="23" t="s">
        <v>32</v>
      </c>
      <c r="I769" s="23">
        <v>24</v>
      </c>
      <c r="J769" s="23">
        <v>0</v>
      </c>
      <c r="K769" s="23">
        <v>4</v>
      </c>
      <c r="L769" s="23" t="s">
        <v>8363</v>
      </c>
      <c r="M769" s="25">
        <v>5.2</v>
      </c>
      <c r="N769">
        <f t="shared" si="11"/>
        <v>1</v>
      </c>
    </row>
    <row r="770" spans="1:14" x14ac:dyDescent="0.35">
      <c r="A770" s="6" t="s">
        <v>840</v>
      </c>
      <c r="B770" s="19" t="s">
        <v>89</v>
      </c>
      <c r="C770" s="19">
        <v>2</v>
      </c>
      <c r="D770" s="20">
        <v>45704</v>
      </c>
      <c r="E770" s="19" t="s">
        <v>36</v>
      </c>
      <c r="F770" s="19" t="s">
        <v>14</v>
      </c>
      <c r="G770" s="19" t="s">
        <v>27</v>
      </c>
      <c r="H770" s="19" t="s">
        <v>8364</v>
      </c>
      <c r="I770" s="19">
        <v>8</v>
      </c>
      <c r="J770" s="19">
        <v>0</v>
      </c>
      <c r="K770" s="19">
        <v>5</v>
      </c>
      <c r="L770" s="19" t="s">
        <v>8363</v>
      </c>
      <c r="M770" s="21">
        <v>11.7</v>
      </c>
      <c r="N770">
        <f t="shared" si="11"/>
        <v>0</v>
      </c>
    </row>
    <row r="771" spans="1:14" x14ac:dyDescent="0.35">
      <c r="A771" s="22" t="s">
        <v>841</v>
      </c>
      <c r="B771" s="23" t="s">
        <v>39</v>
      </c>
      <c r="C771" s="23">
        <v>3</v>
      </c>
      <c r="D771" s="24">
        <v>45720</v>
      </c>
      <c r="E771" s="23" t="s">
        <v>25</v>
      </c>
      <c r="F771" s="23" t="s">
        <v>37</v>
      </c>
      <c r="G771" s="23" t="s">
        <v>15</v>
      </c>
      <c r="H771" s="23" t="s">
        <v>16</v>
      </c>
      <c r="I771" s="23">
        <v>72</v>
      </c>
      <c r="J771" s="23">
        <v>0</v>
      </c>
      <c r="K771" s="23">
        <v>5</v>
      </c>
      <c r="L771" s="23" t="s">
        <v>55</v>
      </c>
      <c r="M771" s="25">
        <v>20.2</v>
      </c>
      <c r="N771">
        <f t="shared" ref="N771:N834" si="12">IF(M771 &lt;= I771, 1, 0)</f>
        <v>1</v>
      </c>
    </row>
    <row r="772" spans="1:14" x14ac:dyDescent="0.35">
      <c r="A772" s="6" t="s">
        <v>842</v>
      </c>
      <c r="B772" s="19" t="s">
        <v>89</v>
      </c>
      <c r="C772" s="19"/>
      <c r="D772" s="20"/>
      <c r="E772" s="19" t="s">
        <v>13</v>
      </c>
      <c r="F772" s="19" t="s">
        <v>8364</v>
      </c>
      <c r="G772" s="19" t="s">
        <v>15</v>
      </c>
      <c r="H772" s="19" t="s">
        <v>32</v>
      </c>
      <c r="I772" s="19">
        <v>48</v>
      </c>
      <c r="J772" s="19">
        <v>0</v>
      </c>
      <c r="K772" s="19">
        <v>4</v>
      </c>
      <c r="L772" s="19" t="s">
        <v>75</v>
      </c>
      <c r="M772" s="21">
        <v>4.0999999999999996</v>
      </c>
      <c r="N772">
        <f t="shared" si="12"/>
        <v>1</v>
      </c>
    </row>
    <row r="773" spans="1:14" x14ac:dyDescent="0.35">
      <c r="A773" s="22" t="s">
        <v>843</v>
      </c>
      <c r="B773" s="23" t="s">
        <v>101</v>
      </c>
      <c r="C773" s="23">
        <v>1</v>
      </c>
      <c r="D773" s="24">
        <v>45667</v>
      </c>
      <c r="E773" s="23" t="s">
        <v>20</v>
      </c>
      <c r="F773" s="23" t="s">
        <v>37</v>
      </c>
      <c r="G773" s="23" t="s">
        <v>27</v>
      </c>
      <c r="H773" s="23" t="s">
        <v>22</v>
      </c>
      <c r="I773" s="23">
        <v>8</v>
      </c>
      <c r="J773" s="23">
        <v>1</v>
      </c>
      <c r="K773" s="23">
        <v>5</v>
      </c>
      <c r="L773" s="23" t="s">
        <v>75</v>
      </c>
      <c r="M773" s="25">
        <v>19.899999999999999</v>
      </c>
      <c r="N773">
        <f t="shared" si="12"/>
        <v>0</v>
      </c>
    </row>
    <row r="774" spans="1:14" x14ac:dyDescent="0.35">
      <c r="A774" s="6" t="s">
        <v>844</v>
      </c>
      <c r="B774" s="19" t="s">
        <v>158</v>
      </c>
      <c r="C774" s="19">
        <v>4</v>
      </c>
      <c r="D774" s="20">
        <v>45758</v>
      </c>
      <c r="E774" s="19" t="s">
        <v>8364</v>
      </c>
      <c r="F774" s="19" t="s">
        <v>40</v>
      </c>
      <c r="G774" s="19" t="s">
        <v>21</v>
      </c>
      <c r="H774" s="19" t="s">
        <v>32</v>
      </c>
      <c r="I774" s="19">
        <v>24</v>
      </c>
      <c r="J774" s="19">
        <v>2</v>
      </c>
      <c r="K774" s="19">
        <v>3</v>
      </c>
      <c r="L774" s="19" t="s">
        <v>17</v>
      </c>
      <c r="M774" s="21">
        <v>21.5</v>
      </c>
      <c r="N774">
        <f t="shared" si="12"/>
        <v>1</v>
      </c>
    </row>
    <row r="775" spans="1:14" x14ac:dyDescent="0.35">
      <c r="A775" s="22" t="s">
        <v>845</v>
      </c>
      <c r="B775" s="23" t="s">
        <v>236</v>
      </c>
      <c r="C775" s="23">
        <v>2</v>
      </c>
      <c r="D775" s="24">
        <v>45701</v>
      </c>
      <c r="E775" s="23" t="s">
        <v>68</v>
      </c>
      <c r="F775" s="23" t="s">
        <v>43</v>
      </c>
      <c r="G775" s="23" t="s">
        <v>27</v>
      </c>
      <c r="H775" s="23" t="s">
        <v>32</v>
      </c>
      <c r="I775" s="23">
        <v>48</v>
      </c>
      <c r="J775" s="23">
        <v>2</v>
      </c>
      <c r="K775" s="23">
        <v>4</v>
      </c>
      <c r="L775" s="23" t="s">
        <v>55</v>
      </c>
      <c r="M775" s="25"/>
      <c r="N775">
        <f t="shared" si="12"/>
        <v>1</v>
      </c>
    </row>
    <row r="776" spans="1:14" x14ac:dyDescent="0.35">
      <c r="A776" s="6" t="s">
        <v>846</v>
      </c>
      <c r="B776" s="19" t="s">
        <v>101</v>
      </c>
      <c r="C776" s="19"/>
      <c r="D776" s="20"/>
      <c r="E776" s="19" t="s">
        <v>13</v>
      </c>
      <c r="F776" s="19" t="s">
        <v>43</v>
      </c>
      <c r="G776" s="19" t="s">
        <v>31</v>
      </c>
      <c r="H776" s="19" t="s">
        <v>22</v>
      </c>
      <c r="I776" s="19">
        <v>48</v>
      </c>
      <c r="J776" s="19">
        <v>0</v>
      </c>
      <c r="K776" s="19">
        <v>4</v>
      </c>
      <c r="L776" s="19" t="s">
        <v>44</v>
      </c>
      <c r="M776" s="21"/>
      <c r="N776">
        <f t="shared" si="12"/>
        <v>1</v>
      </c>
    </row>
    <row r="777" spans="1:14" x14ac:dyDescent="0.35">
      <c r="A777" s="22" t="s">
        <v>847</v>
      </c>
      <c r="B777" s="23" t="s">
        <v>41</v>
      </c>
      <c r="C777" s="23">
        <v>6</v>
      </c>
      <c r="D777" s="24">
        <v>45838</v>
      </c>
      <c r="E777" s="23" t="s">
        <v>36</v>
      </c>
      <c r="F777" s="23" t="s">
        <v>43</v>
      </c>
      <c r="G777" s="23" t="s">
        <v>31</v>
      </c>
      <c r="H777" s="23" t="s">
        <v>8364</v>
      </c>
      <c r="I777" s="23">
        <v>24</v>
      </c>
      <c r="J777" s="23">
        <v>0</v>
      </c>
      <c r="K777" s="23">
        <v>4</v>
      </c>
      <c r="L777" s="23" t="s">
        <v>38</v>
      </c>
      <c r="M777" s="25">
        <v>20.100000000000001</v>
      </c>
      <c r="N777">
        <f t="shared" si="12"/>
        <v>1</v>
      </c>
    </row>
    <row r="778" spans="1:14" x14ac:dyDescent="0.35">
      <c r="A778" s="6" t="s">
        <v>848</v>
      </c>
      <c r="B778" s="19" t="s">
        <v>108</v>
      </c>
      <c r="C778" s="19">
        <v>8</v>
      </c>
      <c r="D778" s="20">
        <v>45880</v>
      </c>
      <c r="E778" s="19" t="s">
        <v>13</v>
      </c>
      <c r="F778" s="19" t="s">
        <v>37</v>
      </c>
      <c r="G778" s="19" t="s">
        <v>21</v>
      </c>
      <c r="H778" s="19" t="s">
        <v>22</v>
      </c>
      <c r="I778" s="19">
        <v>4</v>
      </c>
      <c r="J778" s="19">
        <v>1</v>
      </c>
      <c r="K778" s="19">
        <v>4</v>
      </c>
      <c r="L778" s="19" t="s">
        <v>62</v>
      </c>
      <c r="M778" s="21">
        <v>11.6</v>
      </c>
      <c r="N778">
        <f t="shared" si="12"/>
        <v>0</v>
      </c>
    </row>
    <row r="779" spans="1:14" x14ac:dyDescent="0.35">
      <c r="A779" s="22" t="s">
        <v>849</v>
      </c>
      <c r="B779" s="23" t="s">
        <v>85</v>
      </c>
      <c r="C779" s="23">
        <v>10</v>
      </c>
      <c r="D779" s="24">
        <v>45960</v>
      </c>
      <c r="E779" s="23" t="s">
        <v>20</v>
      </c>
      <c r="F779" s="23" t="s">
        <v>14</v>
      </c>
      <c r="G779" s="23" t="s">
        <v>31</v>
      </c>
      <c r="H779" s="23" t="s">
        <v>8364</v>
      </c>
      <c r="I779" s="23">
        <v>4</v>
      </c>
      <c r="J779" s="23">
        <v>0</v>
      </c>
      <c r="K779" s="23">
        <v>3</v>
      </c>
      <c r="L779" s="23" t="s">
        <v>8363</v>
      </c>
      <c r="M779" s="25">
        <v>7.2</v>
      </c>
      <c r="N779">
        <f t="shared" si="12"/>
        <v>0</v>
      </c>
    </row>
    <row r="780" spans="1:14" x14ac:dyDescent="0.35">
      <c r="A780" s="6" t="s">
        <v>850</v>
      </c>
      <c r="B780" s="19" t="s">
        <v>146</v>
      </c>
      <c r="C780" s="19">
        <v>1</v>
      </c>
      <c r="D780" s="20">
        <v>45675</v>
      </c>
      <c r="E780" s="19" t="s">
        <v>13</v>
      </c>
      <c r="F780" s="19" t="s">
        <v>14</v>
      </c>
      <c r="G780" s="19" t="s">
        <v>15</v>
      </c>
      <c r="H780" s="19" t="s">
        <v>28</v>
      </c>
      <c r="I780" s="19">
        <v>24</v>
      </c>
      <c r="J780" s="19">
        <v>1</v>
      </c>
      <c r="K780" s="19">
        <v>5</v>
      </c>
      <c r="L780" s="19" t="s">
        <v>75</v>
      </c>
      <c r="M780" s="21">
        <v>12.3</v>
      </c>
      <c r="N780">
        <f t="shared" si="12"/>
        <v>1</v>
      </c>
    </row>
    <row r="781" spans="1:14" x14ac:dyDescent="0.35">
      <c r="A781" s="22" t="s">
        <v>851</v>
      </c>
      <c r="B781" s="23" t="s">
        <v>39</v>
      </c>
      <c r="C781" s="23">
        <v>11</v>
      </c>
      <c r="D781" s="24">
        <v>45967</v>
      </c>
      <c r="E781" s="23" t="s">
        <v>13</v>
      </c>
      <c r="F781" s="23" t="s">
        <v>26</v>
      </c>
      <c r="G781" s="23" t="s">
        <v>15</v>
      </c>
      <c r="H781" s="23" t="s">
        <v>8364</v>
      </c>
      <c r="I781" s="23">
        <v>72</v>
      </c>
      <c r="J781" s="23">
        <v>3</v>
      </c>
      <c r="K781" s="23">
        <v>4</v>
      </c>
      <c r="L781" s="23" t="s">
        <v>8363</v>
      </c>
      <c r="M781" s="25">
        <v>13.5</v>
      </c>
      <c r="N781">
        <f t="shared" si="12"/>
        <v>1</v>
      </c>
    </row>
    <row r="782" spans="1:14" x14ac:dyDescent="0.35">
      <c r="A782" s="6" t="s">
        <v>852</v>
      </c>
      <c r="B782" s="19" t="s">
        <v>47</v>
      </c>
      <c r="C782" s="19">
        <v>11</v>
      </c>
      <c r="D782" s="20">
        <v>45963</v>
      </c>
      <c r="E782" s="19" t="s">
        <v>20</v>
      </c>
      <c r="F782" s="19" t="s">
        <v>14</v>
      </c>
      <c r="G782" s="19" t="s">
        <v>27</v>
      </c>
      <c r="H782" s="19" t="s">
        <v>8364</v>
      </c>
      <c r="I782" s="19">
        <v>8</v>
      </c>
      <c r="J782" s="19">
        <v>0</v>
      </c>
      <c r="K782" s="19">
        <v>5</v>
      </c>
      <c r="L782" s="19" t="s">
        <v>75</v>
      </c>
      <c r="M782" s="21">
        <v>6.5</v>
      </c>
      <c r="N782">
        <f t="shared" si="12"/>
        <v>1</v>
      </c>
    </row>
    <row r="783" spans="1:14" x14ac:dyDescent="0.35">
      <c r="A783" s="22" t="s">
        <v>853</v>
      </c>
      <c r="B783" s="23" t="s">
        <v>181</v>
      </c>
      <c r="C783" s="23"/>
      <c r="D783" s="24"/>
      <c r="E783" s="23" t="s">
        <v>25</v>
      </c>
      <c r="F783" s="23" t="s">
        <v>26</v>
      </c>
      <c r="G783" s="23" t="s">
        <v>15</v>
      </c>
      <c r="H783" s="23" t="s">
        <v>22</v>
      </c>
      <c r="I783" s="23">
        <v>72</v>
      </c>
      <c r="J783" s="23">
        <v>1</v>
      </c>
      <c r="K783" s="23">
        <v>4</v>
      </c>
      <c r="L783" s="23" t="s">
        <v>55</v>
      </c>
      <c r="M783" s="25">
        <v>9.9</v>
      </c>
      <c r="N783">
        <f t="shared" si="12"/>
        <v>1</v>
      </c>
    </row>
    <row r="784" spans="1:14" x14ac:dyDescent="0.35">
      <c r="A784" s="6" t="s">
        <v>854</v>
      </c>
      <c r="B784" s="19" t="s">
        <v>57</v>
      </c>
      <c r="C784" s="19">
        <v>3</v>
      </c>
      <c r="D784" s="20">
        <v>45726</v>
      </c>
      <c r="E784" s="19" t="s">
        <v>68</v>
      </c>
      <c r="F784" s="19" t="s">
        <v>14</v>
      </c>
      <c r="G784" s="19" t="s">
        <v>21</v>
      </c>
      <c r="H784" s="19" t="s">
        <v>28</v>
      </c>
      <c r="I784" s="19">
        <v>4</v>
      </c>
      <c r="J784" s="19">
        <v>2</v>
      </c>
      <c r="K784" s="19">
        <v>4</v>
      </c>
      <c r="L784" s="19" t="s">
        <v>44</v>
      </c>
      <c r="M784" s="21">
        <v>17.3</v>
      </c>
      <c r="N784">
        <f t="shared" si="12"/>
        <v>0</v>
      </c>
    </row>
    <row r="785" spans="1:14" x14ac:dyDescent="0.35">
      <c r="A785" s="22" t="s">
        <v>855</v>
      </c>
      <c r="B785" s="23" t="s">
        <v>51</v>
      </c>
      <c r="C785" s="23">
        <v>11</v>
      </c>
      <c r="D785" s="24">
        <v>45965</v>
      </c>
      <c r="E785" s="23" t="s">
        <v>68</v>
      </c>
      <c r="F785" s="23" t="s">
        <v>8364</v>
      </c>
      <c r="G785" s="23" t="s">
        <v>8364</v>
      </c>
      <c r="H785" s="23" t="s">
        <v>22</v>
      </c>
      <c r="I785" s="23">
        <v>72</v>
      </c>
      <c r="J785" s="23">
        <v>0</v>
      </c>
      <c r="K785" s="23">
        <v>5</v>
      </c>
      <c r="L785" s="23" t="s">
        <v>62</v>
      </c>
      <c r="M785" s="25">
        <v>25.1</v>
      </c>
      <c r="N785">
        <f t="shared" si="12"/>
        <v>1</v>
      </c>
    </row>
    <row r="786" spans="1:14" x14ac:dyDescent="0.35">
      <c r="A786" s="6" t="s">
        <v>856</v>
      </c>
      <c r="B786" s="19" t="s">
        <v>53</v>
      </c>
      <c r="C786" s="19"/>
      <c r="D786" s="20"/>
      <c r="E786" s="19" t="s">
        <v>36</v>
      </c>
      <c r="F786" s="19" t="s">
        <v>14</v>
      </c>
      <c r="G786" s="19" t="s">
        <v>27</v>
      </c>
      <c r="H786" s="19" t="s">
        <v>32</v>
      </c>
      <c r="I786" s="19">
        <v>72</v>
      </c>
      <c r="J786" s="19">
        <v>0</v>
      </c>
      <c r="K786" s="19">
        <v>4</v>
      </c>
      <c r="L786" s="19" t="s">
        <v>17</v>
      </c>
      <c r="M786" s="21">
        <v>13.2</v>
      </c>
      <c r="N786">
        <f t="shared" si="12"/>
        <v>1</v>
      </c>
    </row>
    <row r="787" spans="1:14" x14ac:dyDescent="0.35">
      <c r="A787" s="22" t="s">
        <v>857</v>
      </c>
      <c r="B787" s="23" t="s">
        <v>89</v>
      </c>
      <c r="C787" s="23">
        <v>10</v>
      </c>
      <c r="D787" s="24">
        <v>45934</v>
      </c>
      <c r="E787" s="23" t="s">
        <v>13</v>
      </c>
      <c r="F787" s="23" t="s">
        <v>14</v>
      </c>
      <c r="G787" s="23" t="s">
        <v>31</v>
      </c>
      <c r="H787" s="23" t="s">
        <v>22</v>
      </c>
      <c r="I787" s="23">
        <v>4</v>
      </c>
      <c r="J787" s="23">
        <v>0</v>
      </c>
      <c r="K787" s="23">
        <v>1</v>
      </c>
      <c r="L787" s="23" t="s">
        <v>8363</v>
      </c>
      <c r="M787" s="25">
        <v>11</v>
      </c>
      <c r="N787">
        <f t="shared" si="12"/>
        <v>0</v>
      </c>
    </row>
    <row r="788" spans="1:14" x14ac:dyDescent="0.35">
      <c r="A788" s="6" t="s">
        <v>858</v>
      </c>
      <c r="B788" s="19" t="s">
        <v>89</v>
      </c>
      <c r="C788" s="19">
        <v>7</v>
      </c>
      <c r="D788" s="20">
        <v>45849</v>
      </c>
      <c r="E788" s="19" t="s">
        <v>20</v>
      </c>
      <c r="F788" s="19" t="s">
        <v>59</v>
      </c>
      <c r="G788" s="19" t="s">
        <v>27</v>
      </c>
      <c r="H788" s="19" t="s">
        <v>22</v>
      </c>
      <c r="I788" s="19">
        <v>48</v>
      </c>
      <c r="J788" s="19">
        <v>0</v>
      </c>
      <c r="K788" s="19">
        <v>1</v>
      </c>
      <c r="L788" s="19" t="s">
        <v>33</v>
      </c>
      <c r="M788" s="21">
        <v>14.9</v>
      </c>
      <c r="N788">
        <f t="shared" si="12"/>
        <v>1</v>
      </c>
    </row>
    <row r="789" spans="1:14" x14ac:dyDescent="0.35">
      <c r="A789" s="22" t="s">
        <v>859</v>
      </c>
      <c r="B789" s="23" t="s">
        <v>47</v>
      </c>
      <c r="C789" s="23">
        <v>3</v>
      </c>
      <c r="D789" s="24">
        <v>45719</v>
      </c>
      <c r="E789" s="23" t="s">
        <v>68</v>
      </c>
      <c r="F789" s="23" t="s">
        <v>43</v>
      </c>
      <c r="G789" s="23" t="s">
        <v>21</v>
      </c>
      <c r="H789" s="23" t="s">
        <v>22</v>
      </c>
      <c r="I789" s="23">
        <v>72</v>
      </c>
      <c r="J789" s="23">
        <v>0</v>
      </c>
      <c r="K789" s="23">
        <v>4</v>
      </c>
      <c r="L789" s="23" t="s">
        <v>55</v>
      </c>
      <c r="M789" s="25">
        <v>4.3</v>
      </c>
      <c r="N789">
        <f t="shared" si="12"/>
        <v>1</v>
      </c>
    </row>
    <row r="790" spans="1:14" x14ac:dyDescent="0.35">
      <c r="A790" s="6" t="s">
        <v>860</v>
      </c>
      <c r="B790" s="19" t="s">
        <v>34</v>
      </c>
      <c r="C790" s="19"/>
      <c r="D790" s="20"/>
      <c r="E790" s="19" t="s">
        <v>25</v>
      </c>
      <c r="F790" s="19" t="s">
        <v>43</v>
      </c>
      <c r="G790" s="19" t="s">
        <v>31</v>
      </c>
      <c r="H790" s="19" t="s">
        <v>8364</v>
      </c>
      <c r="I790" s="19">
        <v>48</v>
      </c>
      <c r="J790" s="19">
        <v>0</v>
      </c>
      <c r="K790" s="19">
        <v>5</v>
      </c>
      <c r="L790" s="19" t="s">
        <v>8363</v>
      </c>
      <c r="M790" s="21">
        <v>4.3</v>
      </c>
      <c r="N790">
        <f t="shared" si="12"/>
        <v>1</v>
      </c>
    </row>
    <row r="791" spans="1:14" x14ac:dyDescent="0.35">
      <c r="A791" s="22" t="s">
        <v>861</v>
      </c>
      <c r="B791" s="23" t="s">
        <v>99</v>
      </c>
      <c r="C791" s="23">
        <v>10</v>
      </c>
      <c r="D791" s="24">
        <v>45952</v>
      </c>
      <c r="E791" s="23" t="s">
        <v>25</v>
      </c>
      <c r="F791" s="23" t="s">
        <v>37</v>
      </c>
      <c r="G791" s="23" t="s">
        <v>31</v>
      </c>
      <c r="H791" s="23" t="s">
        <v>22</v>
      </c>
      <c r="I791" s="23">
        <v>72</v>
      </c>
      <c r="J791" s="23">
        <v>0</v>
      </c>
      <c r="K791" s="23">
        <v>5</v>
      </c>
      <c r="L791" s="23" t="s">
        <v>8363</v>
      </c>
      <c r="M791" s="25">
        <v>11.4</v>
      </c>
      <c r="N791">
        <f t="shared" si="12"/>
        <v>1</v>
      </c>
    </row>
    <row r="792" spans="1:14" x14ac:dyDescent="0.35">
      <c r="A792" s="6" t="s">
        <v>862</v>
      </c>
      <c r="B792" s="19" t="s">
        <v>158</v>
      </c>
      <c r="C792" s="19">
        <v>7</v>
      </c>
      <c r="D792" s="20">
        <v>45846</v>
      </c>
      <c r="E792" s="19" t="s">
        <v>20</v>
      </c>
      <c r="F792" s="19" t="s">
        <v>14</v>
      </c>
      <c r="G792" s="19" t="s">
        <v>15</v>
      </c>
      <c r="H792" s="19" t="s">
        <v>22</v>
      </c>
      <c r="I792" s="19">
        <v>8</v>
      </c>
      <c r="J792" s="19">
        <v>1</v>
      </c>
      <c r="K792" s="19">
        <v>2</v>
      </c>
      <c r="L792" s="19" t="s">
        <v>55</v>
      </c>
      <c r="M792" s="21">
        <v>6.1</v>
      </c>
      <c r="N792">
        <f t="shared" si="12"/>
        <v>1</v>
      </c>
    </row>
    <row r="793" spans="1:14" x14ac:dyDescent="0.35">
      <c r="A793" s="22" t="s">
        <v>863</v>
      </c>
      <c r="B793" s="23" t="s">
        <v>146</v>
      </c>
      <c r="C793" s="23">
        <v>1</v>
      </c>
      <c r="D793" s="24">
        <v>45675</v>
      </c>
      <c r="E793" s="23" t="s">
        <v>36</v>
      </c>
      <c r="F793" s="23" t="s">
        <v>43</v>
      </c>
      <c r="G793" s="23" t="s">
        <v>31</v>
      </c>
      <c r="H793" s="23" t="s">
        <v>32</v>
      </c>
      <c r="I793" s="23">
        <v>72</v>
      </c>
      <c r="J793" s="23">
        <v>0</v>
      </c>
      <c r="K793" s="23">
        <v>4</v>
      </c>
      <c r="L793" s="23" t="s">
        <v>44</v>
      </c>
      <c r="M793" s="25">
        <v>20.2</v>
      </c>
      <c r="N793">
        <f t="shared" si="12"/>
        <v>1</v>
      </c>
    </row>
    <row r="794" spans="1:14" x14ac:dyDescent="0.35">
      <c r="A794" s="6" t="s">
        <v>864</v>
      </c>
      <c r="B794" s="19" t="s">
        <v>51</v>
      </c>
      <c r="C794" s="19">
        <v>4</v>
      </c>
      <c r="D794" s="20">
        <v>45769</v>
      </c>
      <c r="E794" s="19" t="s">
        <v>8364</v>
      </c>
      <c r="F794" s="19" t="s">
        <v>8364</v>
      </c>
      <c r="G794" s="19" t="s">
        <v>27</v>
      </c>
      <c r="H794" s="19" t="s">
        <v>16</v>
      </c>
      <c r="I794" s="19">
        <v>48</v>
      </c>
      <c r="J794" s="19">
        <v>0</v>
      </c>
      <c r="K794" s="19">
        <v>3</v>
      </c>
      <c r="L794" s="19" t="s">
        <v>75</v>
      </c>
      <c r="M794" s="21">
        <v>10.199999999999999</v>
      </c>
      <c r="N794">
        <f t="shared" si="12"/>
        <v>1</v>
      </c>
    </row>
    <row r="795" spans="1:14" x14ac:dyDescent="0.35">
      <c r="A795" s="22" t="s">
        <v>865</v>
      </c>
      <c r="B795" s="23" t="s">
        <v>34</v>
      </c>
      <c r="C795" s="23">
        <v>1</v>
      </c>
      <c r="D795" s="24">
        <v>45687</v>
      </c>
      <c r="E795" s="23" t="s">
        <v>25</v>
      </c>
      <c r="F795" s="23" t="s">
        <v>8364</v>
      </c>
      <c r="G795" s="23" t="s">
        <v>31</v>
      </c>
      <c r="H795" s="23" t="s">
        <v>8364</v>
      </c>
      <c r="I795" s="23">
        <v>8</v>
      </c>
      <c r="J795" s="23">
        <v>0</v>
      </c>
      <c r="K795" s="23">
        <v>3</v>
      </c>
      <c r="L795" s="23" t="s">
        <v>17</v>
      </c>
      <c r="M795" s="25">
        <v>11</v>
      </c>
      <c r="N795">
        <f t="shared" si="12"/>
        <v>0</v>
      </c>
    </row>
    <row r="796" spans="1:14" x14ac:dyDescent="0.35">
      <c r="A796" s="6" t="s">
        <v>866</v>
      </c>
      <c r="B796" s="19" t="s">
        <v>69</v>
      </c>
      <c r="C796" s="19">
        <v>6</v>
      </c>
      <c r="D796" s="20">
        <v>45820</v>
      </c>
      <c r="E796" s="19" t="s">
        <v>13</v>
      </c>
      <c r="F796" s="19" t="s">
        <v>14</v>
      </c>
      <c r="G796" s="19" t="s">
        <v>27</v>
      </c>
      <c r="H796" s="19" t="s">
        <v>22</v>
      </c>
      <c r="I796" s="19">
        <v>24</v>
      </c>
      <c r="J796" s="19">
        <v>0</v>
      </c>
      <c r="K796" s="19">
        <v>4</v>
      </c>
      <c r="L796" s="19" t="s">
        <v>44</v>
      </c>
      <c r="M796" s="21">
        <v>5.0999999999999996</v>
      </c>
      <c r="N796">
        <f t="shared" si="12"/>
        <v>1</v>
      </c>
    </row>
    <row r="797" spans="1:14" x14ac:dyDescent="0.35">
      <c r="A797" s="22" t="s">
        <v>867</v>
      </c>
      <c r="B797" s="23" t="s">
        <v>45</v>
      </c>
      <c r="C797" s="23">
        <v>9</v>
      </c>
      <c r="D797" s="24">
        <v>45906</v>
      </c>
      <c r="E797" s="23" t="s">
        <v>36</v>
      </c>
      <c r="F797" s="23" t="s">
        <v>40</v>
      </c>
      <c r="G797" s="23" t="s">
        <v>8364</v>
      </c>
      <c r="H797" s="23" t="s">
        <v>22</v>
      </c>
      <c r="I797" s="23">
        <v>4</v>
      </c>
      <c r="J797" s="23">
        <v>0</v>
      </c>
      <c r="K797" s="23">
        <v>2</v>
      </c>
      <c r="L797" s="23" t="s">
        <v>75</v>
      </c>
      <c r="M797" s="25">
        <v>11.5</v>
      </c>
      <c r="N797">
        <f t="shared" si="12"/>
        <v>0</v>
      </c>
    </row>
    <row r="798" spans="1:14" x14ac:dyDescent="0.35">
      <c r="A798" s="6" t="s">
        <v>868</v>
      </c>
      <c r="B798" s="19" t="s">
        <v>65</v>
      </c>
      <c r="C798" s="19">
        <v>10</v>
      </c>
      <c r="D798" s="20">
        <v>45957</v>
      </c>
      <c r="E798" s="19" t="s">
        <v>68</v>
      </c>
      <c r="F798" s="19" t="s">
        <v>14</v>
      </c>
      <c r="G798" s="19" t="s">
        <v>27</v>
      </c>
      <c r="H798" s="19" t="s">
        <v>32</v>
      </c>
      <c r="I798" s="19">
        <v>4</v>
      </c>
      <c r="J798" s="19">
        <v>0</v>
      </c>
      <c r="K798" s="19">
        <v>3</v>
      </c>
      <c r="L798" s="19" t="s">
        <v>62</v>
      </c>
      <c r="M798" s="21">
        <v>13.8</v>
      </c>
      <c r="N798">
        <f t="shared" si="12"/>
        <v>0</v>
      </c>
    </row>
    <row r="799" spans="1:14" x14ac:dyDescent="0.35">
      <c r="A799" s="22" t="s">
        <v>869</v>
      </c>
      <c r="B799" s="23" t="s">
        <v>47</v>
      </c>
      <c r="C799" s="23">
        <v>8</v>
      </c>
      <c r="D799" s="24">
        <v>45870</v>
      </c>
      <c r="E799" s="23" t="s">
        <v>13</v>
      </c>
      <c r="F799" s="23" t="s">
        <v>14</v>
      </c>
      <c r="G799" s="23" t="s">
        <v>31</v>
      </c>
      <c r="H799" s="23" t="s">
        <v>8364</v>
      </c>
      <c r="I799" s="23">
        <v>72</v>
      </c>
      <c r="J799" s="23"/>
      <c r="K799" s="23">
        <v>3</v>
      </c>
      <c r="L799" s="23" t="s">
        <v>33</v>
      </c>
      <c r="M799" s="25">
        <v>24.9</v>
      </c>
      <c r="N799">
        <f t="shared" si="12"/>
        <v>1</v>
      </c>
    </row>
    <row r="800" spans="1:14" x14ac:dyDescent="0.35">
      <c r="A800" s="6" t="s">
        <v>870</v>
      </c>
      <c r="B800" s="19" t="s">
        <v>89</v>
      </c>
      <c r="C800" s="19"/>
      <c r="D800" s="20"/>
      <c r="E800" s="19" t="s">
        <v>8364</v>
      </c>
      <c r="F800" s="19" t="s">
        <v>43</v>
      </c>
      <c r="G800" s="19" t="s">
        <v>31</v>
      </c>
      <c r="H800" s="19" t="s">
        <v>22</v>
      </c>
      <c r="I800" s="19">
        <v>8</v>
      </c>
      <c r="J800" s="19">
        <v>1</v>
      </c>
      <c r="K800" s="19">
        <v>3</v>
      </c>
      <c r="L800" s="19" t="s">
        <v>17</v>
      </c>
      <c r="M800" s="21">
        <v>17.3</v>
      </c>
      <c r="N800">
        <f t="shared" si="12"/>
        <v>0</v>
      </c>
    </row>
    <row r="801" spans="1:14" x14ac:dyDescent="0.35">
      <c r="A801" s="22" t="s">
        <v>871</v>
      </c>
      <c r="B801" s="23" t="s">
        <v>47</v>
      </c>
      <c r="C801" s="23">
        <v>2</v>
      </c>
      <c r="D801" s="24">
        <v>45693</v>
      </c>
      <c r="E801" s="23" t="s">
        <v>36</v>
      </c>
      <c r="F801" s="23" t="s">
        <v>40</v>
      </c>
      <c r="G801" s="23" t="s">
        <v>31</v>
      </c>
      <c r="H801" s="23" t="s">
        <v>28</v>
      </c>
      <c r="I801" s="23">
        <v>8</v>
      </c>
      <c r="J801" s="23">
        <v>0</v>
      </c>
      <c r="K801" s="23">
        <v>2</v>
      </c>
      <c r="L801" s="23" t="s">
        <v>8363</v>
      </c>
      <c r="M801" s="25">
        <v>6.2</v>
      </c>
      <c r="N801">
        <f t="shared" si="12"/>
        <v>1</v>
      </c>
    </row>
    <row r="802" spans="1:14" x14ac:dyDescent="0.35">
      <c r="A802" s="6" t="s">
        <v>872</v>
      </c>
      <c r="B802" s="19" t="s">
        <v>69</v>
      </c>
      <c r="C802" s="19">
        <v>11</v>
      </c>
      <c r="D802" s="20">
        <v>45984</v>
      </c>
      <c r="E802" s="19" t="s">
        <v>13</v>
      </c>
      <c r="F802" s="19" t="s">
        <v>37</v>
      </c>
      <c r="G802" s="19" t="s">
        <v>8364</v>
      </c>
      <c r="H802" s="19" t="s">
        <v>22</v>
      </c>
      <c r="I802" s="19">
        <v>8</v>
      </c>
      <c r="J802" s="19">
        <v>0</v>
      </c>
      <c r="K802" s="19">
        <v>3</v>
      </c>
      <c r="L802" s="19" t="s">
        <v>38</v>
      </c>
      <c r="M802" s="21">
        <v>8.5</v>
      </c>
      <c r="N802">
        <f t="shared" si="12"/>
        <v>0</v>
      </c>
    </row>
    <row r="803" spans="1:14" x14ac:dyDescent="0.35">
      <c r="A803" s="22" t="s">
        <v>873</v>
      </c>
      <c r="B803" s="23" t="s">
        <v>108</v>
      </c>
      <c r="C803" s="23">
        <v>12</v>
      </c>
      <c r="D803" s="24">
        <v>46014</v>
      </c>
      <c r="E803" s="23" t="s">
        <v>13</v>
      </c>
      <c r="F803" s="23" t="s">
        <v>14</v>
      </c>
      <c r="G803" s="23" t="s">
        <v>15</v>
      </c>
      <c r="H803" s="23" t="s">
        <v>32</v>
      </c>
      <c r="I803" s="23">
        <v>72</v>
      </c>
      <c r="J803" s="23">
        <v>1</v>
      </c>
      <c r="K803" s="23">
        <v>3</v>
      </c>
      <c r="L803" s="23" t="s">
        <v>33</v>
      </c>
      <c r="M803" s="25">
        <v>5.2</v>
      </c>
      <c r="N803">
        <f t="shared" si="12"/>
        <v>1</v>
      </c>
    </row>
    <row r="804" spans="1:14" x14ac:dyDescent="0.35">
      <c r="A804" s="6" t="s">
        <v>874</v>
      </c>
      <c r="B804" s="19" t="s">
        <v>65</v>
      </c>
      <c r="C804" s="19">
        <v>7</v>
      </c>
      <c r="D804" s="20">
        <v>45852</v>
      </c>
      <c r="E804" s="19" t="s">
        <v>13</v>
      </c>
      <c r="F804" s="19" t="s">
        <v>40</v>
      </c>
      <c r="G804" s="19" t="s">
        <v>21</v>
      </c>
      <c r="H804" s="19" t="s">
        <v>22</v>
      </c>
      <c r="I804" s="19">
        <v>4</v>
      </c>
      <c r="J804" s="19">
        <v>0</v>
      </c>
      <c r="K804" s="19">
        <v>5</v>
      </c>
      <c r="L804" s="19" t="s">
        <v>62</v>
      </c>
      <c r="M804" s="21">
        <v>20.7</v>
      </c>
      <c r="N804">
        <f t="shared" si="12"/>
        <v>0</v>
      </c>
    </row>
    <row r="805" spans="1:14" x14ac:dyDescent="0.35">
      <c r="A805" s="22" t="s">
        <v>875</v>
      </c>
      <c r="B805" s="23" t="s">
        <v>130</v>
      </c>
      <c r="C805" s="23">
        <v>2</v>
      </c>
      <c r="D805" s="24">
        <v>45709</v>
      </c>
      <c r="E805" s="23" t="s">
        <v>13</v>
      </c>
      <c r="F805" s="23" t="s">
        <v>14</v>
      </c>
      <c r="G805" s="23" t="s">
        <v>21</v>
      </c>
      <c r="H805" s="23" t="s">
        <v>28</v>
      </c>
      <c r="I805" s="23">
        <v>24</v>
      </c>
      <c r="J805" s="23">
        <v>0</v>
      </c>
      <c r="K805" s="23">
        <v>3</v>
      </c>
      <c r="L805" s="23" t="s">
        <v>38</v>
      </c>
      <c r="M805" s="25">
        <v>19.100000000000001</v>
      </c>
      <c r="N805">
        <f t="shared" si="12"/>
        <v>1</v>
      </c>
    </row>
    <row r="806" spans="1:14" x14ac:dyDescent="0.35">
      <c r="A806" s="6" t="s">
        <v>876</v>
      </c>
      <c r="B806" s="19" t="s">
        <v>253</v>
      </c>
      <c r="C806" s="19">
        <v>3</v>
      </c>
      <c r="D806" s="20">
        <v>45735</v>
      </c>
      <c r="E806" s="19" t="s">
        <v>13</v>
      </c>
      <c r="F806" s="19" t="s">
        <v>43</v>
      </c>
      <c r="G806" s="19" t="s">
        <v>8364</v>
      </c>
      <c r="H806" s="19" t="s">
        <v>28</v>
      </c>
      <c r="I806" s="19">
        <v>4</v>
      </c>
      <c r="J806" s="19">
        <v>0</v>
      </c>
      <c r="K806" s="19">
        <v>5</v>
      </c>
      <c r="L806" s="19" t="s">
        <v>17</v>
      </c>
      <c r="M806" s="21">
        <v>4.2</v>
      </c>
      <c r="N806">
        <f t="shared" si="12"/>
        <v>0</v>
      </c>
    </row>
    <row r="807" spans="1:14" x14ac:dyDescent="0.35">
      <c r="A807" s="22" t="s">
        <v>877</v>
      </c>
      <c r="B807" s="23" t="s">
        <v>181</v>
      </c>
      <c r="C807" s="23">
        <v>4</v>
      </c>
      <c r="D807" s="24">
        <v>45755</v>
      </c>
      <c r="E807" s="23" t="s">
        <v>68</v>
      </c>
      <c r="F807" s="23" t="s">
        <v>40</v>
      </c>
      <c r="G807" s="23" t="s">
        <v>27</v>
      </c>
      <c r="H807" s="23" t="s">
        <v>16</v>
      </c>
      <c r="I807" s="23">
        <v>4</v>
      </c>
      <c r="J807" s="23">
        <v>1</v>
      </c>
      <c r="K807" s="23">
        <v>4</v>
      </c>
      <c r="L807" s="23" t="s">
        <v>8363</v>
      </c>
      <c r="M807" s="25"/>
      <c r="N807">
        <f t="shared" si="12"/>
        <v>1</v>
      </c>
    </row>
    <row r="808" spans="1:14" x14ac:dyDescent="0.35">
      <c r="A808" s="6" t="s">
        <v>878</v>
      </c>
      <c r="B808" s="19" t="s">
        <v>146</v>
      </c>
      <c r="C808" s="19"/>
      <c r="D808" s="20"/>
      <c r="E808" s="19" t="s">
        <v>20</v>
      </c>
      <c r="F808" s="19" t="s">
        <v>26</v>
      </c>
      <c r="G808" s="19" t="s">
        <v>31</v>
      </c>
      <c r="H808" s="19" t="s">
        <v>16</v>
      </c>
      <c r="I808" s="19">
        <v>8</v>
      </c>
      <c r="J808" s="19">
        <v>0</v>
      </c>
      <c r="K808" s="19">
        <v>5</v>
      </c>
      <c r="L808" s="19" t="s">
        <v>75</v>
      </c>
      <c r="M808" s="21">
        <v>10.5</v>
      </c>
      <c r="N808">
        <f t="shared" si="12"/>
        <v>0</v>
      </c>
    </row>
    <row r="809" spans="1:14" x14ac:dyDescent="0.35">
      <c r="A809" s="22" t="s">
        <v>879</v>
      </c>
      <c r="B809" s="23" t="s">
        <v>143</v>
      </c>
      <c r="C809" s="23">
        <v>1</v>
      </c>
      <c r="D809" s="24">
        <v>45670</v>
      </c>
      <c r="E809" s="23" t="s">
        <v>25</v>
      </c>
      <c r="F809" s="23" t="s">
        <v>14</v>
      </c>
      <c r="G809" s="23" t="s">
        <v>27</v>
      </c>
      <c r="H809" s="23" t="s">
        <v>8364</v>
      </c>
      <c r="I809" s="23">
        <v>72</v>
      </c>
      <c r="J809" s="23">
        <v>0</v>
      </c>
      <c r="K809" s="23">
        <v>1</v>
      </c>
      <c r="L809" s="23" t="s">
        <v>62</v>
      </c>
      <c r="M809" s="25">
        <v>4.9000000000000004</v>
      </c>
      <c r="N809">
        <f t="shared" si="12"/>
        <v>1</v>
      </c>
    </row>
    <row r="810" spans="1:14" x14ac:dyDescent="0.35">
      <c r="A810" s="6" t="s">
        <v>880</v>
      </c>
      <c r="B810" s="19" t="s">
        <v>87</v>
      </c>
      <c r="C810" s="19">
        <v>5</v>
      </c>
      <c r="D810" s="20">
        <v>45805</v>
      </c>
      <c r="E810" s="19" t="s">
        <v>8364</v>
      </c>
      <c r="F810" s="19" t="s">
        <v>37</v>
      </c>
      <c r="G810" s="19" t="s">
        <v>21</v>
      </c>
      <c r="H810" s="19" t="s">
        <v>8364</v>
      </c>
      <c r="I810" s="19">
        <v>24</v>
      </c>
      <c r="J810" s="19">
        <v>0</v>
      </c>
      <c r="K810" s="19">
        <v>3</v>
      </c>
      <c r="L810" s="19" t="s">
        <v>8363</v>
      </c>
      <c r="M810" s="21">
        <v>3.5</v>
      </c>
      <c r="N810">
        <f t="shared" si="12"/>
        <v>1</v>
      </c>
    </row>
    <row r="811" spans="1:14" x14ac:dyDescent="0.35">
      <c r="A811" s="22" t="s">
        <v>881</v>
      </c>
      <c r="B811" s="23" t="s">
        <v>29</v>
      </c>
      <c r="C811" s="23">
        <v>11</v>
      </c>
      <c r="D811" s="24">
        <v>45970</v>
      </c>
      <c r="E811" s="23" t="s">
        <v>20</v>
      </c>
      <c r="F811" s="23" t="s">
        <v>14</v>
      </c>
      <c r="G811" s="23" t="s">
        <v>31</v>
      </c>
      <c r="H811" s="23" t="s">
        <v>22</v>
      </c>
      <c r="I811" s="23">
        <v>48</v>
      </c>
      <c r="J811" s="23">
        <v>1</v>
      </c>
      <c r="K811" s="23">
        <v>5</v>
      </c>
      <c r="L811" s="23" t="s">
        <v>44</v>
      </c>
      <c r="M811" s="25">
        <v>12.4</v>
      </c>
      <c r="N811">
        <f t="shared" si="12"/>
        <v>1</v>
      </c>
    </row>
    <row r="812" spans="1:14" x14ac:dyDescent="0.35">
      <c r="A812" s="6" t="s">
        <v>882</v>
      </c>
      <c r="B812" s="19" t="s">
        <v>81</v>
      </c>
      <c r="C812" s="19">
        <v>10</v>
      </c>
      <c r="D812" s="20">
        <v>45958</v>
      </c>
      <c r="E812" s="19" t="s">
        <v>8364</v>
      </c>
      <c r="F812" s="19" t="s">
        <v>14</v>
      </c>
      <c r="G812" s="19" t="s">
        <v>21</v>
      </c>
      <c r="H812" s="19" t="s">
        <v>22</v>
      </c>
      <c r="I812" s="19">
        <v>8</v>
      </c>
      <c r="J812" s="19">
        <v>2</v>
      </c>
      <c r="K812" s="19">
        <v>2</v>
      </c>
      <c r="L812" s="19" t="s">
        <v>8363</v>
      </c>
      <c r="M812" s="21">
        <v>15.5</v>
      </c>
      <c r="N812">
        <f t="shared" si="12"/>
        <v>0</v>
      </c>
    </row>
    <row r="813" spans="1:14" x14ac:dyDescent="0.35">
      <c r="A813" s="22" t="s">
        <v>883</v>
      </c>
      <c r="B813" s="23" t="s">
        <v>143</v>
      </c>
      <c r="C813" s="23">
        <v>12</v>
      </c>
      <c r="D813" s="24">
        <v>46016</v>
      </c>
      <c r="E813" s="23" t="s">
        <v>8364</v>
      </c>
      <c r="F813" s="23" t="s">
        <v>26</v>
      </c>
      <c r="G813" s="23" t="s">
        <v>21</v>
      </c>
      <c r="H813" s="23" t="s">
        <v>32</v>
      </c>
      <c r="I813" s="23">
        <v>8</v>
      </c>
      <c r="J813" s="23">
        <v>0</v>
      </c>
      <c r="K813" s="23">
        <v>5</v>
      </c>
      <c r="L813" s="23" t="s">
        <v>62</v>
      </c>
      <c r="M813" s="25">
        <v>11.6</v>
      </c>
      <c r="N813">
        <f t="shared" si="12"/>
        <v>0</v>
      </c>
    </row>
    <row r="814" spans="1:14" x14ac:dyDescent="0.35">
      <c r="A814" s="6" t="s">
        <v>884</v>
      </c>
      <c r="B814" s="19" t="s">
        <v>143</v>
      </c>
      <c r="C814" s="19">
        <v>7</v>
      </c>
      <c r="D814" s="20">
        <v>45868</v>
      </c>
      <c r="E814" s="19" t="s">
        <v>36</v>
      </c>
      <c r="F814" s="19" t="s">
        <v>43</v>
      </c>
      <c r="G814" s="19" t="s">
        <v>27</v>
      </c>
      <c r="H814" s="19" t="s">
        <v>8364</v>
      </c>
      <c r="I814" s="19">
        <v>48</v>
      </c>
      <c r="J814" s="19">
        <v>0</v>
      </c>
      <c r="K814" s="19">
        <v>3</v>
      </c>
      <c r="L814" s="19" t="s">
        <v>38</v>
      </c>
      <c r="M814" s="21">
        <v>3.6</v>
      </c>
      <c r="N814">
        <f t="shared" si="12"/>
        <v>1</v>
      </c>
    </row>
    <row r="815" spans="1:14" x14ac:dyDescent="0.35">
      <c r="A815" s="22" t="s">
        <v>885</v>
      </c>
      <c r="B815" s="23" t="s">
        <v>81</v>
      </c>
      <c r="C815" s="23">
        <v>5</v>
      </c>
      <c r="D815" s="24">
        <v>45784</v>
      </c>
      <c r="E815" s="23" t="s">
        <v>13</v>
      </c>
      <c r="F815" s="23" t="s">
        <v>43</v>
      </c>
      <c r="G815" s="23" t="s">
        <v>21</v>
      </c>
      <c r="H815" s="23" t="s">
        <v>22</v>
      </c>
      <c r="I815" s="23">
        <v>8</v>
      </c>
      <c r="J815" s="23">
        <v>0</v>
      </c>
      <c r="K815" s="23">
        <v>4</v>
      </c>
      <c r="L815" s="23" t="s">
        <v>38</v>
      </c>
      <c r="M815" s="25">
        <v>14.3</v>
      </c>
      <c r="N815">
        <f t="shared" si="12"/>
        <v>0</v>
      </c>
    </row>
    <row r="816" spans="1:14" x14ac:dyDescent="0.35">
      <c r="A816" s="6" t="s">
        <v>886</v>
      </c>
      <c r="B816" s="19" t="s">
        <v>18</v>
      </c>
      <c r="C816" s="19"/>
      <c r="D816" s="20"/>
      <c r="E816" s="19" t="s">
        <v>25</v>
      </c>
      <c r="F816" s="19" t="s">
        <v>14</v>
      </c>
      <c r="G816" s="19" t="s">
        <v>21</v>
      </c>
      <c r="H816" s="19" t="s">
        <v>22</v>
      </c>
      <c r="I816" s="19">
        <v>8</v>
      </c>
      <c r="J816" s="19">
        <v>1</v>
      </c>
      <c r="K816" s="19">
        <v>5</v>
      </c>
      <c r="L816" s="19" t="s">
        <v>33</v>
      </c>
      <c r="M816" s="21">
        <v>13.1</v>
      </c>
      <c r="N816">
        <f t="shared" si="12"/>
        <v>0</v>
      </c>
    </row>
    <row r="817" spans="1:14" x14ac:dyDescent="0.35">
      <c r="A817" s="22" t="s">
        <v>887</v>
      </c>
      <c r="B817" s="23" t="s">
        <v>89</v>
      </c>
      <c r="C817" s="23">
        <v>4</v>
      </c>
      <c r="D817" s="24">
        <v>45758</v>
      </c>
      <c r="E817" s="23" t="s">
        <v>36</v>
      </c>
      <c r="F817" s="23" t="s">
        <v>43</v>
      </c>
      <c r="G817" s="23" t="s">
        <v>27</v>
      </c>
      <c r="H817" s="23" t="s">
        <v>22</v>
      </c>
      <c r="I817" s="23">
        <v>4</v>
      </c>
      <c r="J817" s="23">
        <v>0</v>
      </c>
      <c r="K817" s="23">
        <v>2</v>
      </c>
      <c r="L817" s="23" t="s">
        <v>8363</v>
      </c>
      <c r="M817" s="25">
        <v>10.4</v>
      </c>
      <c r="N817">
        <f t="shared" si="12"/>
        <v>0</v>
      </c>
    </row>
    <row r="818" spans="1:14" x14ac:dyDescent="0.35">
      <c r="A818" s="6" t="s">
        <v>888</v>
      </c>
      <c r="B818" s="19" t="s">
        <v>85</v>
      </c>
      <c r="C818" s="19">
        <v>12</v>
      </c>
      <c r="D818" s="20">
        <v>46005</v>
      </c>
      <c r="E818" s="19" t="s">
        <v>36</v>
      </c>
      <c r="F818" s="19" t="s">
        <v>40</v>
      </c>
      <c r="G818" s="19" t="s">
        <v>31</v>
      </c>
      <c r="H818" s="19" t="s">
        <v>16</v>
      </c>
      <c r="I818" s="19">
        <v>48</v>
      </c>
      <c r="J818" s="19">
        <v>0</v>
      </c>
      <c r="K818" s="19">
        <v>5</v>
      </c>
      <c r="L818" s="19" t="s">
        <v>33</v>
      </c>
      <c r="M818" s="21">
        <v>23.5</v>
      </c>
      <c r="N818">
        <f t="shared" si="12"/>
        <v>1</v>
      </c>
    </row>
    <row r="819" spans="1:14" x14ac:dyDescent="0.35">
      <c r="A819" s="22" t="s">
        <v>889</v>
      </c>
      <c r="B819" s="23" t="s">
        <v>181</v>
      </c>
      <c r="C819" s="23">
        <v>3</v>
      </c>
      <c r="D819" s="24">
        <v>45719</v>
      </c>
      <c r="E819" s="23" t="s">
        <v>25</v>
      </c>
      <c r="F819" s="23" t="s">
        <v>8364</v>
      </c>
      <c r="G819" s="23" t="s">
        <v>31</v>
      </c>
      <c r="H819" s="23" t="s">
        <v>32</v>
      </c>
      <c r="I819" s="23">
        <v>24</v>
      </c>
      <c r="J819" s="23">
        <v>0</v>
      </c>
      <c r="K819" s="23">
        <v>4</v>
      </c>
      <c r="L819" s="23" t="s">
        <v>44</v>
      </c>
      <c r="M819" s="25">
        <v>8.5</v>
      </c>
      <c r="N819">
        <f t="shared" si="12"/>
        <v>1</v>
      </c>
    </row>
    <row r="820" spans="1:14" x14ac:dyDescent="0.35">
      <c r="A820" s="6" t="s">
        <v>890</v>
      </c>
      <c r="B820" s="19" t="s">
        <v>41</v>
      </c>
      <c r="C820" s="19">
        <v>11</v>
      </c>
      <c r="D820" s="20">
        <v>45977</v>
      </c>
      <c r="E820" s="19" t="s">
        <v>25</v>
      </c>
      <c r="F820" s="19" t="s">
        <v>37</v>
      </c>
      <c r="G820" s="19" t="s">
        <v>31</v>
      </c>
      <c r="H820" s="19" t="s">
        <v>22</v>
      </c>
      <c r="I820" s="19">
        <v>48</v>
      </c>
      <c r="J820" s="19">
        <v>0</v>
      </c>
      <c r="K820" s="19">
        <v>4</v>
      </c>
      <c r="L820" s="19" t="s">
        <v>38</v>
      </c>
      <c r="M820" s="21">
        <v>6.8</v>
      </c>
      <c r="N820">
        <f t="shared" si="12"/>
        <v>1</v>
      </c>
    </row>
    <row r="821" spans="1:14" x14ac:dyDescent="0.35">
      <c r="A821" s="22" t="s">
        <v>891</v>
      </c>
      <c r="B821" s="23" t="s">
        <v>41</v>
      </c>
      <c r="C821" s="23">
        <v>2</v>
      </c>
      <c r="D821" s="24">
        <v>45704</v>
      </c>
      <c r="E821" s="23" t="s">
        <v>8364</v>
      </c>
      <c r="F821" s="23" t="s">
        <v>14</v>
      </c>
      <c r="G821" s="23" t="s">
        <v>8364</v>
      </c>
      <c r="H821" s="23" t="s">
        <v>22</v>
      </c>
      <c r="I821" s="23">
        <v>48</v>
      </c>
      <c r="J821" s="23">
        <v>0</v>
      </c>
      <c r="K821" s="23">
        <v>2</v>
      </c>
      <c r="L821" s="23" t="s">
        <v>17</v>
      </c>
      <c r="M821" s="25">
        <v>5.9</v>
      </c>
      <c r="N821">
        <f t="shared" si="12"/>
        <v>1</v>
      </c>
    </row>
    <row r="822" spans="1:14" x14ac:dyDescent="0.35">
      <c r="A822" s="6" t="s">
        <v>892</v>
      </c>
      <c r="B822" s="19" t="s">
        <v>143</v>
      </c>
      <c r="C822" s="19">
        <v>1</v>
      </c>
      <c r="D822" s="20">
        <v>45664</v>
      </c>
      <c r="E822" s="19" t="s">
        <v>20</v>
      </c>
      <c r="F822" s="19" t="s">
        <v>8364</v>
      </c>
      <c r="G822" s="19" t="s">
        <v>27</v>
      </c>
      <c r="H822" s="19" t="s">
        <v>28</v>
      </c>
      <c r="I822" s="19">
        <v>72</v>
      </c>
      <c r="J822" s="19">
        <v>0</v>
      </c>
      <c r="K822" s="19">
        <v>4</v>
      </c>
      <c r="L822" s="19" t="s">
        <v>8363</v>
      </c>
      <c r="M822" s="21">
        <v>6.4</v>
      </c>
      <c r="N822">
        <f t="shared" si="12"/>
        <v>1</v>
      </c>
    </row>
    <row r="823" spans="1:14" x14ac:dyDescent="0.35">
      <c r="A823" s="22" t="s">
        <v>893</v>
      </c>
      <c r="B823" s="23" t="s">
        <v>89</v>
      </c>
      <c r="C823" s="23">
        <v>3</v>
      </c>
      <c r="D823" s="24">
        <v>45727</v>
      </c>
      <c r="E823" s="23" t="s">
        <v>68</v>
      </c>
      <c r="F823" s="23" t="s">
        <v>8364</v>
      </c>
      <c r="G823" s="23" t="s">
        <v>31</v>
      </c>
      <c r="H823" s="23" t="s">
        <v>8364</v>
      </c>
      <c r="I823" s="23">
        <v>48</v>
      </c>
      <c r="J823" s="23">
        <v>0</v>
      </c>
      <c r="K823" s="23"/>
      <c r="L823" s="23" t="s">
        <v>55</v>
      </c>
      <c r="M823" s="25">
        <v>5.8</v>
      </c>
      <c r="N823">
        <f t="shared" si="12"/>
        <v>1</v>
      </c>
    </row>
    <row r="824" spans="1:14" x14ac:dyDescent="0.35">
      <c r="A824" s="6" t="s">
        <v>894</v>
      </c>
      <c r="B824" s="19" t="s">
        <v>97</v>
      </c>
      <c r="C824" s="19">
        <v>5</v>
      </c>
      <c r="D824" s="20">
        <v>45798</v>
      </c>
      <c r="E824" s="19" t="s">
        <v>13</v>
      </c>
      <c r="F824" s="19" t="s">
        <v>26</v>
      </c>
      <c r="G824" s="19" t="s">
        <v>31</v>
      </c>
      <c r="H824" s="19" t="s">
        <v>8364</v>
      </c>
      <c r="I824" s="19">
        <v>72</v>
      </c>
      <c r="J824" s="19">
        <v>0</v>
      </c>
      <c r="K824" s="19"/>
      <c r="L824" s="19" t="s">
        <v>75</v>
      </c>
      <c r="M824" s="21">
        <v>22.7</v>
      </c>
      <c r="N824">
        <f t="shared" si="12"/>
        <v>1</v>
      </c>
    </row>
    <row r="825" spans="1:14" x14ac:dyDescent="0.35">
      <c r="A825" s="22" t="s">
        <v>895</v>
      </c>
      <c r="B825" s="23" t="s">
        <v>45</v>
      </c>
      <c r="C825" s="23">
        <v>2</v>
      </c>
      <c r="D825" s="24">
        <v>45714</v>
      </c>
      <c r="E825" s="23" t="s">
        <v>13</v>
      </c>
      <c r="F825" s="23" t="s">
        <v>14</v>
      </c>
      <c r="G825" s="23" t="s">
        <v>27</v>
      </c>
      <c r="H825" s="23" t="s">
        <v>22</v>
      </c>
      <c r="I825" s="23">
        <v>48</v>
      </c>
      <c r="J825" s="23">
        <v>1</v>
      </c>
      <c r="K825" s="23">
        <v>4</v>
      </c>
      <c r="L825" s="23" t="s">
        <v>62</v>
      </c>
      <c r="M825" s="25">
        <v>9.4</v>
      </c>
      <c r="N825">
        <f t="shared" si="12"/>
        <v>1</v>
      </c>
    </row>
    <row r="826" spans="1:14" x14ac:dyDescent="0.35">
      <c r="A826" s="6" t="s">
        <v>896</v>
      </c>
      <c r="B826" s="19" t="s">
        <v>253</v>
      </c>
      <c r="C826" s="19">
        <v>1</v>
      </c>
      <c r="D826" s="20">
        <v>45666</v>
      </c>
      <c r="E826" s="19" t="s">
        <v>25</v>
      </c>
      <c r="F826" s="19" t="s">
        <v>59</v>
      </c>
      <c r="G826" s="19" t="s">
        <v>27</v>
      </c>
      <c r="H826" s="19" t="s">
        <v>32</v>
      </c>
      <c r="I826" s="19">
        <v>4</v>
      </c>
      <c r="J826" s="19">
        <v>1</v>
      </c>
      <c r="K826" s="19">
        <v>4</v>
      </c>
      <c r="L826" s="19" t="s">
        <v>62</v>
      </c>
      <c r="M826" s="21">
        <v>13.7</v>
      </c>
      <c r="N826">
        <f t="shared" si="12"/>
        <v>0</v>
      </c>
    </row>
    <row r="827" spans="1:14" x14ac:dyDescent="0.35">
      <c r="A827" s="22" t="s">
        <v>897</v>
      </c>
      <c r="B827" s="23" t="s">
        <v>87</v>
      </c>
      <c r="C827" s="23">
        <v>5</v>
      </c>
      <c r="D827" s="24">
        <v>45797</v>
      </c>
      <c r="E827" s="23" t="s">
        <v>36</v>
      </c>
      <c r="F827" s="23" t="s">
        <v>43</v>
      </c>
      <c r="G827" s="23" t="s">
        <v>15</v>
      </c>
      <c r="H827" s="23" t="s">
        <v>8364</v>
      </c>
      <c r="I827" s="23">
        <v>8</v>
      </c>
      <c r="J827" s="23">
        <v>0</v>
      </c>
      <c r="K827" s="23">
        <v>3</v>
      </c>
      <c r="L827" s="23" t="s">
        <v>44</v>
      </c>
      <c r="M827" s="25"/>
      <c r="N827">
        <f t="shared" si="12"/>
        <v>1</v>
      </c>
    </row>
    <row r="828" spans="1:14" x14ac:dyDescent="0.35">
      <c r="A828" s="6" t="s">
        <v>898</v>
      </c>
      <c r="B828" s="19" t="s">
        <v>108</v>
      </c>
      <c r="C828" s="19">
        <v>2</v>
      </c>
      <c r="D828" s="20">
        <v>45698</v>
      </c>
      <c r="E828" s="19" t="s">
        <v>20</v>
      </c>
      <c r="F828" s="19" t="s">
        <v>14</v>
      </c>
      <c r="G828" s="19" t="s">
        <v>21</v>
      </c>
      <c r="H828" s="19" t="s">
        <v>16</v>
      </c>
      <c r="I828" s="19">
        <v>8</v>
      </c>
      <c r="J828" s="19">
        <v>0</v>
      </c>
      <c r="K828" s="19">
        <v>5</v>
      </c>
      <c r="L828" s="19" t="s">
        <v>8363</v>
      </c>
      <c r="M828" s="21">
        <v>11.8</v>
      </c>
      <c r="N828">
        <f t="shared" si="12"/>
        <v>0</v>
      </c>
    </row>
    <row r="829" spans="1:14" x14ac:dyDescent="0.35">
      <c r="A829" s="22" t="s">
        <v>899</v>
      </c>
      <c r="B829" s="23" t="s">
        <v>51</v>
      </c>
      <c r="C829" s="23">
        <v>12</v>
      </c>
      <c r="D829" s="24">
        <v>45997</v>
      </c>
      <c r="E829" s="23" t="s">
        <v>25</v>
      </c>
      <c r="F829" s="23" t="s">
        <v>14</v>
      </c>
      <c r="G829" s="23" t="s">
        <v>15</v>
      </c>
      <c r="H829" s="23" t="s">
        <v>22</v>
      </c>
      <c r="I829" s="23">
        <v>72</v>
      </c>
      <c r="J829" s="23">
        <v>0</v>
      </c>
      <c r="K829" s="23">
        <v>4</v>
      </c>
      <c r="L829" s="23" t="s">
        <v>44</v>
      </c>
      <c r="M829" s="25">
        <v>2.1</v>
      </c>
      <c r="N829">
        <f t="shared" si="12"/>
        <v>1</v>
      </c>
    </row>
    <row r="830" spans="1:14" x14ac:dyDescent="0.35">
      <c r="A830" s="6" t="s">
        <v>900</v>
      </c>
      <c r="B830" s="19" t="s">
        <v>65</v>
      </c>
      <c r="C830" s="19">
        <v>9</v>
      </c>
      <c r="D830" s="20">
        <v>45915</v>
      </c>
      <c r="E830" s="19" t="s">
        <v>13</v>
      </c>
      <c r="F830" s="19" t="s">
        <v>26</v>
      </c>
      <c r="G830" s="19" t="s">
        <v>27</v>
      </c>
      <c r="H830" s="19" t="s">
        <v>8364</v>
      </c>
      <c r="I830" s="19">
        <v>72</v>
      </c>
      <c r="J830" s="19">
        <v>0</v>
      </c>
      <c r="K830" s="19">
        <v>4</v>
      </c>
      <c r="L830" s="19" t="s">
        <v>33</v>
      </c>
      <c r="M830" s="21">
        <v>10.8</v>
      </c>
      <c r="N830">
        <f t="shared" si="12"/>
        <v>1</v>
      </c>
    </row>
    <row r="831" spans="1:14" x14ac:dyDescent="0.35">
      <c r="A831" s="22" t="s">
        <v>901</v>
      </c>
      <c r="B831" s="23" t="s">
        <v>101</v>
      </c>
      <c r="C831" s="23">
        <v>11</v>
      </c>
      <c r="D831" s="24">
        <v>45971</v>
      </c>
      <c r="E831" s="23" t="s">
        <v>25</v>
      </c>
      <c r="F831" s="23" t="s">
        <v>43</v>
      </c>
      <c r="G831" s="23" t="s">
        <v>8364</v>
      </c>
      <c r="H831" s="23" t="s">
        <v>22</v>
      </c>
      <c r="I831" s="23">
        <v>8</v>
      </c>
      <c r="J831" s="23">
        <v>0</v>
      </c>
      <c r="K831" s="23">
        <v>5</v>
      </c>
      <c r="L831" s="23" t="s">
        <v>75</v>
      </c>
      <c r="M831" s="25">
        <v>4.5999999999999996</v>
      </c>
      <c r="N831">
        <f t="shared" si="12"/>
        <v>1</v>
      </c>
    </row>
    <row r="832" spans="1:14" x14ac:dyDescent="0.35">
      <c r="A832" s="6" t="s">
        <v>902</v>
      </c>
      <c r="B832" s="19" t="s">
        <v>69</v>
      </c>
      <c r="C832" s="19">
        <v>3</v>
      </c>
      <c r="D832" s="20">
        <v>45735</v>
      </c>
      <c r="E832" s="19" t="s">
        <v>25</v>
      </c>
      <c r="F832" s="19" t="s">
        <v>14</v>
      </c>
      <c r="G832" s="19" t="s">
        <v>8364</v>
      </c>
      <c r="H832" s="19" t="s">
        <v>22</v>
      </c>
      <c r="I832" s="19">
        <v>4</v>
      </c>
      <c r="J832" s="19">
        <v>0</v>
      </c>
      <c r="K832" s="19">
        <v>5</v>
      </c>
      <c r="L832" s="19" t="s">
        <v>55</v>
      </c>
      <c r="M832" s="21">
        <v>8</v>
      </c>
      <c r="N832">
        <f t="shared" si="12"/>
        <v>0</v>
      </c>
    </row>
    <row r="833" spans="1:14" x14ac:dyDescent="0.35">
      <c r="A833" s="22" t="s">
        <v>903</v>
      </c>
      <c r="B833" s="23" t="s">
        <v>53</v>
      </c>
      <c r="C833" s="23">
        <v>11</v>
      </c>
      <c r="D833" s="24">
        <v>45987</v>
      </c>
      <c r="E833" s="23" t="s">
        <v>25</v>
      </c>
      <c r="F833" s="23" t="s">
        <v>26</v>
      </c>
      <c r="G833" s="23" t="s">
        <v>15</v>
      </c>
      <c r="H833" s="23" t="s">
        <v>28</v>
      </c>
      <c r="I833" s="23">
        <v>4</v>
      </c>
      <c r="J833" s="23">
        <v>0</v>
      </c>
      <c r="K833" s="23"/>
      <c r="L833" s="23" t="s">
        <v>33</v>
      </c>
      <c r="M833" s="25">
        <v>7.2</v>
      </c>
      <c r="N833">
        <f t="shared" si="12"/>
        <v>0</v>
      </c>
    </row>
    <row r="834" spans="1:14" x14ac:dyDescent="0.35">
      <c r="A834" s="6" t="s">
        <v>904</v>
      </c>
      <c r="B834" s="19" t="s">
        <v>108</v>
      </c>
      <c r="C834" s="19">
        <v>10</v>
      </c>
      <c r="D834" s="20">
        <v>45944</v>
      </c>
      <c r="E834" s="19" t="s">
        <v>13</v>
      </c>
      <c r="F834" s="19" t="s">
        <v>14</v>
      </c>
      <c r="G834" s="19" t="s">
        <v>27</v>
      </c>
      <c r="H834" s="19" t="s">
        <v>28</v>
      </c>
      <c r="I834" s="19">
        <v>4</v>
      </c>
      <c r="J834" s="19">
        <v>1</v>
      </c>
      <c r="K834" s="19">
        <v>5</v>
      </c>
      <c r="L834" s="19" t="s">
        <v>33</v>
      </c>
      <c r="M834" s="21">
        <v>5.6</v>
      </c>
      <c r="N834">
        <f t="shared" si="12"/>
        <v>0</v>
      </c>
    </row>
    <row r="835" spans="1:14" x14ac:dyDescent="0.35">
      <c r="A835" s="22" t="s">
        <v>905</v>
      </c>
      <c r="B835" s="23" t="s">
        <v>146</v>
      </c>
      <c r="C835" s="23">
        <v>5</v>
      </c>
      <c r="D835" s="24">
        <v>45783</v>
      </c>
      <c r="E835" s="23" t="s">
        <v>36</v>
      </c>
      <c r="F835" s="23" t="s">
        <v>14</v>
      </c>
      <c r="G835" s="23" t="s">
        <v>27</v>
      </c>
      <c r="H835" s="23" t="s">
        <v>22</v>
      </c>
      <c r="I835" s="23">
        <v>48</v>
      </c>
      <c r="J835" s="23">
        <v>0</v>
      </c>
      <c r="K835" s="23"/>
      <c r="L835" s="23" t="s">
        <v>75</v>
      </c>
      <c r="M835" s="25">
        <v>5.4</v>
      </c>
      <c r="N835">
        <f t="shared" ref="N835:N898" si="13">IF(M835 &lt;= I835, 1, 0)</f>
        <v>1</v>
      </c>
    </row>
    <row r="836" spans="1:14" x14ac:dyDescent="0.35">
      <c r="A836" s="6" t="s">
        <v>906</v>
      </c>
      <c r="B836" s="19" t="s">
        <v>72</v>
      </c>
      <c r="C836" s="19"/>
      <c r="D836" s="20"/>
      <c r="E836" s="19" t="s">
        <v>13</v>
      </c>
      <c r="F836" s="19" t="s">
        <v>14</v>
      </c>
      <c r="G836" s="19" t="s">
        <v>31</v>
      </c>
      <c r="H836" s="19" t="s">
        <v>32</v>
      </c>
      <c r="I836" s="19">
        <v>24</v>
      </c>
      <c r="J836" s="19">
        <v>0</v>
      </c>
      <c r="K836" s="19">
        <v>2</v>
      </c>
      <c r="L836" s="19" t="s">
        <v>17</v>
      </c>
      <c r="M836" s="21">
        <v>3</v>
      </c>
      <c r="N836">
        <f t="shared" si="13"/>
        <v>1</v>
      </c>
    </row>
    <row r="837" spans="1:14" x14ac:dyDescent="0.35">
      <c r="A837" s="22" t="s">
        <v>907</v>
      </c>
      <c r="B837" s="23" t="s">
        <v>97</v>
      </c>
      <c r="C837" s="23">
        <v>10</v>
      </c>
      <c r="D837" s="24">
        <v>45960</v>
      </c>
      <c r="E837" s="23" t="s">
        <v>13</v>
      </c>
      <c r="F837" s="23" t="s">
        <v>26</v>
      </c>
      <c r="G837" s="23" t="s">
        <v>8364</v>
      </c>
      <c r="H837" s="23" t="s">
        <v>8364</v>
      </c>
      <c r="I837" s="23">
        <v>4</v>
      </c>
      <c r="J837" s="23">
        <v>2</v>
      </c>
      <c r="K837" s="23">
        <v>5</v>
      </c>
      <c r="L837" s="23" t="s">
        <v>55</v>
      </c>
      <c r="M837" s="25">
        <v>7</v>
      </c>
      <c r="N837">
        <f t="shared" si="13"/>
        <v>0</v>
      </c>
    </row>
    <row r="838" spans="1:14" x14ac:dyDescent="0.35">
      <c r="A838" s="6" t="s">
        <v>908</v>
      </c>
      <c r="B838" s="19" t="s">
        <v>81</v>
      </c>
      <c r="C838" s="19">
        <v>7</v>
      </c>
      <c r="D838" s="20">
        <v>45848</v>
      </c>
      <c r="E838" s="19" t="s">
        <v>68</v>
      </c>
      <c r="F838" s="19" t="s">
        <v>40</v>
      </c>
      <c r="G838" s="19" t="s">
        <v>15</v>
      </c>
      <c r="H838" s="19" t="s">
        <v>8364</v>
      </c>
      <c r="I838" s="19">
        <v>72</v>
      </c>
      <c r="J838" s="19">
        <v>0</v>
      </c>
      <c r="K838" s="19">
        <v>1</v>
      </c>
      <c r="L838" s="19" t="s">
        <v>38</v>
      </c>
      <c r="M838" s="21">
        <v>23</v>
      </c>
      <c r="N838">
        <f t="shared" si="13"/>
        <v>1</v>
      </c>
    </row>
    <row r="839" spans="1:14" x14ac:dyDescent="0.35">
      <c r="A839" s="22" t="s">
        <v>909</v>
      </c>
      <c r="B839" s="23" t="s">
        <v>72</v>
      </c>
      <c r="C839" s="23">
        <v>3</v>
      </c>
      <c r="D839" s="24">
        <v>45721</v>
      </c>
      <c r="E839" s="23" t="s">
        <v>13</v>
      </c>
      <c r="F839" s="23" t="s">
        <v>59</v>
      </c>
      <c r="G839" s="23" t="s">
        <v>15</v>
      </c>
      <c r="H839" s="23" t="s">
        <v>22</v>
      </c>
      <c r="I839" s="23">
        <v>48</v>
      </c>
      <c r="J839" s="23">
        <v>0</v>
      </c>
      <c r="K839" s="23">
        <v>4</v>
      </c>
      <c r="L839" s="23" t="s">
        <v>8363</v>
      </c>
      <c r="M839" s="25">
        <v>15.1</v>
      </c>
      <c r="N839">
        <f t="shared" si="13"/>
        <v>1</v>
      </c>
    </row>
    <row r="840" spans="1:14" x14ac:dyDescent="0.35">
      <c r="A840" s="6" t="s">
        <v>910</v>
      </c>
      <c r="B840" s="19" t="s">
        <v>18</v>
      </c>
      <c r="C840" s="19">
        <v>2</v>
      </c>
      <c r="D840" s="20">
        <v>45708</v>
      </c>
      <c r="E840" s="19" t="s">
        <v>20</v>
      </c>
      <c r="F840" s="19" t="s">
        <v>37</v>
      </c>
      <c r="G840" s="19" t="s">
        <v>27</v>
      </c>
      <c r="H840" s="19" t="s">
        <v>22</v>
      </c>
      <c r="I840" s="19">
        <v>4</v>
      </c>
      <c r="J840" s="19">
        <v>0</v>
      </c>
      <c r="K840" s="19">
        <v>4</v>
      </c>
      <c r="L840" s="19" t="s">
        <v>55</v>
      </c>
      <c r="M840" s="21">
        <v>4.3</v>
      </c>
      <c r="N840">
        <f t="shared" si="13"/>
        <v>0</v>
      </c>
    </row>
    <row r="841" spans="1:14" x14ac:dyDescent="0.35">
      <c r="A841" s="22" t="s">
        <v>911</v>
      </c>
      <c r="B841" s="23" t="s">
        <v>69</v>
      </c>
      <c r="C841" s="23">
        <v>6</v>
      </c>
      <c r="D841" s="24">
        <v>45829</v>
      </c>
      <c r="E841" s="23" t="s">
        <v>25</v>
      </c>
      <c r="F841" s="23" t="s">
        <v>26</v>
      </c>
      <c r="G841" s="23" t="s">
        <v>15</v>
      </c>
      <c r="H841" s="23" t="s">
        <v>22</v>
      </c>
      <c r="I841" s="23">
        <v>48</v>
      </c>
      <c r="J841" s="23">
        <v>0</v>
      </c>
      <c r="K841" s="23">
        <v>4</v>
      </c>
      <c r="L841" s="23" t="s">
        <v>38</v>
      </c>
      <c r="M841" s="25">
        <v>3.8</v>
      </c>
      <c r="N841">
        <f t="shared" si="13"/>
        <v>1</v>
      </c>
    </row>
    <row r="842" spans="1:14" x14ac:dyDescent="0.35">
      <c r="A842" s="6" t="s">
        <v>912</v>
      </c>
      <c r="B842" s="19" t="s">
        <v>89</v>
      </c>
      <c r="C842" s="19">
        <v>5</v>
      </c>
      <c r="D842" s="20">
        <v>45783</v>
      </c>
      <c r="E842" s="19" t="s">
        <v>13</v>
      </c>
      <c r="F842" s="19" t="s">
        <v>14</v>
      </c>
      <c r="G842" s="19" t="s">
        <v>21</v>
      </c>
      <c r="H842" s="19" t="s">
        <v>8364</v>
      </c>
      <c r="I842" s="19">
        <v>24</v>
      </c>
      <c r="J842" s="19">
        <v>0</v>
      </c>
      <c r="K842" s="19">
        <v>5</v>
      </c>
      <c r="L842" s="19" t="s">
        <v>55</v>
      </c>
      <c r="M842" s="21">
        <v>24.4</v>
      </c>
      <c r="N842">
        <f t="shared" si="13"/>
        <v>0</v>
      </c>
    </row>
    <row r="843" spans="1:14" x14ac:dyDescent="0.35">
      <c r="A843" s="22" t="s">
        <v>913</v>
      </c>
      <c r="B843" s="23" t="s">
        <v>34</v>
      </c>
      <c r="C843" s="23">
        <v>12</v>
      </c>
      <c r="D843" s="24">
        <v>46016</v>
      </c>
      <c r="E843" s="23" t="s">
        <v>68</v>
      </c>
      <c r="F843" s="23" t="s">
        <v>43</v>
      </c>
      <c r="G843" s="23" t="s">
        <v>27</v>
      </c>
      <c r="H843" s="23" t="s">
        <v>32</v>
      </c>
      <c r="I843" s="23">
        <v>8</v>
      </c>
      <c r="J843" s="23">
        <v>0</v>
      </c>
      <c r="K843" s="23">
        <v>3</v>
      </c>
      <c r="L843" s="23" t="s">
        <v>55</v>
      </c>
      <c r="M843" s="25">
        <v>9.4</v>
      </c>
      <c r="N843">
        <f t="shared" si="13"/>
        <v>0</v>
      </c>
    </row>
    <row r="844" spans="1:14" x14ac:dyDescent="0.35">
      <c r="A844" s="6" t="s">
        <v>914</v>
      </c>
      <c r="B844" s="19" t="s">
        <v>143</v>
      </c>
      <c r="C844" s="19">
        <v>9</v>
      </c>
      <c r="D844" s="20">
        <v>45922</v>
      </c>
      <c r="E844" s="19" t="s">
        <v>13</v>
      </c>
      <c r="F844" s="19" t="s">
        <v>14</v>
      </c>
      <c r="G844" s="19" t="s">
        <v>8364</v>
      </c>
      <c r="H844" s="19" t="s">
        <v>22</v>
      </c>
      <c r="I844" s="19">
        <v>72</v>
      </c>
      <c r="J844" s="19">
        <v>0</v>
      </c>
      <c r="K844" s="19">
        <v>5</v>
      </c>
      <c r="L844" s="19" t="s">
        <v>55</v>
      </c>
      <c r="M844" s="21">
        <v>12.2</v>
      </c>
      <c r="N844">
        <f t="shared" si="13"/>
        <v>1</v>
      </c>
    </row>
    <row r="845" spans="1:14" x14ac:dyDescent="0.35">
      <c r="A845" s="22" t="s">
        <v>915</v>
      </c>
      <c r="B845" s="23" t="s">
        <v>34</v>
      </c>
      <c r="C845" s="23">
        <v>4</v>
      </c>
      <c r="D845" s="24">
        <v>45762</v>
      </c>
      <c r="E845" s="23" t="s">
        <v>13</v>
      </c>
      <c r="F845" s="23" t="s">
        <v>14</v>
      </c>
      <c r="G845" s="23" t="s">
        <v>21</v>
      </c>
      <c r="H845" s="23" t="s">
        <v>28</v>
      </c>
      <c r="I845" s="23">
        <v>8</v>
      </c>
      <c r="J845" s="23">
        <v>0</v>
      </c>
      <c r="K845" s="23">
        <v>5</v>
      </c>
      <c r="L845" s="23" t="s">
        <v>44</v>
      </c>
      <c r="M845" s="25">
        <v>6.3</v>
      </c>
      <c r="N845">
        <f t="shared" si="13"/>
        <v>1</v>
      </c>
    </row>
    <row r="846" spans="1:14" x14ac:dyDescent="0.35">
      <c r="A846" s="6" t="s">
        <v>916</v>
      </c>
      <c r="B846" s="19" t="s">
        <v>139</v>
      </c>
      <c r="C846" s="19">
        <v>7</v>
      </c>
      <c r="D846" s="20">
        <v>45862</v>
      </c>
      <c r="E846" s="19" t="s">
        <v>25</v>
      </c>
      <c r="F846" s="19" t="s">
        <v>43</v>
      </c>
      <c r="G846" s="19" t="s">
        <v>8364</v>
      </c>
      <c r="H846" s="19" t="s">
        <v>16</v>
      </c>
      <c r="I846" s="19">
        <v>72</v>
      </c>
      <c r="J846" s="19">
        <v>0</v>
      </c>
      <c r="K846" s="19">
        <v>5</v>
      </c>
      <c r="L846" s="19" t="s">
        <v>44</v>
      </c>
      <c r="M846" s="21">
        <v>18.2</v>
      </c>
      <c r="N846">
        <f t="shared" si="13"/>
        <v>1</v>
      </c>
    </row>
    <row r="847" spans="1:14" x14ac:dyDescent="0.35">
      <c r="A847" s="22" t="s">
        <v>917</v>
      </c>
      <c r="B847" s="23" t="s">
        <v>89</v>
      </c>
      <c r="C847" s="23">
        <v>8</v>
      </c>
      <c r="D847" s="24">
        <v>45880</v>
      </c>
      <c r="E847" s="23" t="s">
        <v>8364</v>
      </c>
      <c r="F847" s="23" t="s">
        <v>14</v>
      </c>
      <c r="G847" s="23" t="s">
        <v>21</v>
      </c>
      <c r="H847" s="23" t="s">
        <v>32</v>
      </c>
      <c r="I847" s="23">
        <v>48</v>
      </c>
      <c r="J847" s="23">
        <v>0</v>
      </c>
      <c r="K847" s="23">
        <v>5</v>
      </c>
      <c r="L847" s="23" t="s">
        <v>17</v>
      </c>
      <c r="M847" s="25">
        <v>54</v>
      </c>
      <c r="N847">
        <f t="shared" si="13"/>
        <v>0</v>
      </c>
    </row>
    <row r="848" spans="1:14" x14ac:dyDescent="0.35">
      <c r="A848" s="6" t="s">
        <v>918</v>
      </c>
      <c r="B848" s="19" t="s">
        <v>53</v>
      </c>
      <c r="C848" s="19">
        <v>8</v>
      </c>
      <c r="D848" s="20">
        <v>45870</v>
      </c>
      <c r="E848" s="19" t="s">
        <v>8364</v>
      </c>
      <c r="F848" s="19" t="s">
        <v>26</v>
      </c>
      <c r="G848" s="19" t="s">
        <v>31</v>
      </c>
      <c r="H848" s="19" t="s">
        <v>32</v>
      </c>
      <c r="I848" s="19">
        <v>48</v>
      </c>
      <c r="J848" s="19">
        <v>0</v>
      </c>
      <c r="K848" s="19">
        <v>3</v>
      </c>
      <c r="L848" s="19" t="s">
        <v>38</v>
      </c>
      <c r="M848" s="21">
        <v>29</v>
      </c>
      <c r="N848">
        <f t="shared" si="13"/>
        <v>1</v>
      </c>
    </row>
    <row r="849" spans="1:14" x14ac:dyDescent="0.35">
      <c r="A849" s="22" t="s">
        <v>919</v>
      </c>
      <c r="B849" s="23" t="s">
        <v>126</v>
      </c>
      <c r="C849" s="23">
        <v>12</v>
      </c>
      <c r="D849" s="24">
        <v>46006</v>
      </c>
      <c r="E849" s="23" t="s">
        <v>13</v>
      </c>
      <c r="F849" s="23" t="s">
        <v>59</v>
      </c>
      <c r="G849" s="23" t="s">
        <v>15</v>
      </c>
      <c r="H849" s="23" t="s">
        <v>32</v>
      </c>
      <c r="I849" s="23">
        <v>48</v>
      </c>
      <c r="J849" s="23">
        <v>0</v>
      </c>
      <c r="K849" s="23">
        <v>2</v>
      </c>
      <c r="L849" s="23" t="s">
        <v>17</v>
      </c>
      <c r="M849" s="25">
        <v>8.5</v>
      </c>
      <c r="N849">
        <f t="shared" si="13"/>
        <v>1</v>
      </c>
    </row>
    <row r="850" spans="1:14" x14ac:dyDescent="0.35">
      <c r="A850" s="6" t="s">
        <v>920</v>
      </c>
      <c r="B850" s="19" t="s">
        <v>81</v>
      </c>
      <c r="C850" s="19">
        <v>1</v>
      </c>
      <c r="D850" s="20">
        <v>45664</v>
      </c>
      <c r="E850" s="19" t="s">
        <v>36</v>
      </c>
      <c r="F850" s="19" t="s">
        <v>40</v>
      </c>
      <c r="G850" s="19" t="s">
        <v>27</v>
      </c>
      <c r="H850" s="19" t="s">
        <v>28</v>
      </c>
      <c r="I850" s="19">
        <v>72</v>
      </c>
      <c r="J850" s="19">
        <v>1</v>
      </c>
      <c r="K850" s="19">
        <v>5</v>
      </c>
      <c r="L850" s="19" t="s">
        <v>8363</v>
      </c>
      <c r="M850" s="21">
        <v>11</v>
      </c>
      <c r="N850">
        <f t="shared" si="13"/>
        <v>1</v>
      </c>
    </row>
    <row r="851" spans="1:14" x14ac:dyDescent="0.35">
      <c r="A851" s="22" t="s">
        <v>921</v>
      </c>
      <c r="B851" s="23" t="s">
        <v>108</v>
      </c>
      <c r="C851" s="23">
        <v>7</v>
      </c>
      <c r="D851" s="24">
        <v>45847</v>
      </c>
      <c r="E851" s="23" t="s">
        <v>25</v>
      </c>
      <c r="F851" s="23" t="s">
        <v>43</v>
      </c>
      <c r="G851" s="23" t="s">
        <v>31</v>
      </c>
      <c r="H851" s="23" t="s">
        <v>22</v>
      </c>
      <c r="I851" s="23">
        <v>72</v>
      </c>
      <c r="J851" s="23">
        <v>0</v>
      </c>
      <c r="K851" s="23">
        <v>5</v>
      </c>
      <c r="L851" s="23" t="s">
        <v>62</v>
      </c>
      <c r="M851" s="25">
        <v>14</v>
      </c>
      <c r="N851">
        <f t="shared" si="13"/>
        <v>1</v>
      </c>
    </row>
    <row r="852" spans="1:14" x14ac:dyDescent="0.35">
      <c r="A852" s="6" t="s">
        <v>922</v>
      </c>
      <c r="B852" s="19" t="s">
        <v>47</v>
      </c>
      <c r="C852" s="19">
        <v>12</v>
      </c>
      <c r="D852" s="20">
        <v>46003</v>
      </c>
      <c r="E852" s="19" t="s">
        <v>25</v>
      </c>
      <c r="F852" s="19" t="s">
        <v>26</v>
      </c>
      <c r="G852" s="19" t="s">
        <v>27</v>
      </c>
      <c r="H852" s="19" t="s">
        <v>32</v>
      </c>
      <c r="I852" s="19">
        <v>48</v>
      </c>
      <c r="J852" s="19">
        <v>0</v>
      </c>
      <c r="K852" s="19">
        <v>4</v>
      </c>
      <c r="L852" s="19" t="s">
        <v>38</v>
      </c>
      <c r="M852" s="21">
        <v>4.8</v>
      </c>
      <c r="N852">
        <f t="shared" si="13"/>
        <v>1</v>
      </c>
    </row>
    <row r="853" spans="1:14" x14ac:dyDescent="0.35">
      <c r="A853" s="22" t="s">
        <v>923</v>
      </c>
      <c r="B853" s="23" t="s">
        <v>69</v>
      </c>
      <c r="C853" s="23">
        <v>12</v>
      </c>
      <c r="D853" s="24">
        <v>46002</v>
      </c>
      <c r="E853" s="23" t="s">
        <v>8364</v>
      </c>
      <c r="F853" s="23" t="s">
        <v>59</v>
      </c>
      <c r="G853" s="23" t="s">
        <v>27</v>
      </c>
      <c r="H853" s="23" t="s">
        <v>28</v>
      </c>
      <c r="I853" s="23">
        <v>48</v>
      </c>
      <c r="J853" s="23">
        <v>0</v>
      </c>
      <c r="K853" s="23">
        <v>4</v>
      </c>
      <c r="L853" s="23" t="s">
        <v>17</v>
      </c>
      <c r="M853" s="25">
        <v>14.3</v>
      </c>
      <c r="N853">
        <f t="shared" si="13"/>
        <v>1</v>
      </c>
    </row>
    <row r="854" spans="1:14" x14ac:dyDescent="0.35">
      <c r="A854" s="6" t="s">
        <v>924</v>
      </c>
      <c r="B854" s="19" t="s">
        <v>85</v>
      </c>
      <c r="C854" s="19">
        <v>9</v>
      </c>
      <c r="D854" s="20">
        <v>45930</v>
      </c>
      <c r="E854" s="19" t="s">
        <v>13</v>
      </c>
      <c r="F854" s="19" t="s">
        <v>59</v>
      </c>
      <c r="G854" s="19" t="s">
        <v>15</v>
      </c>
      <c r="H854" s="19" t="s">
        <v>32</v>
      </c>
      <c r="I854" s="19">
        <v>48</v>
      </c>
      <c r="J854" s="19">
        <v>0</v>
      </c>
      <c r="K854" s="19">
        <v>5</v>
      </c>
      <c r="L854" s="19" t="s">
        <v>75</v>
      </c>
      <c r="M854" s="21">
        <v>23.7</v>
      </c>
      <c r="N854">
        <f t="shared" si="13"/>
        <v>1</v>
      </c>
    </row>
    <row r="855" spans="1:14" x14ac:dyDescent="0.35">
      <c r="A855" s="22" t="s">
        <v>925</v>
      </c>
      <c r="B855" s="23" t="s">
        <v>89</v>
      </c>
      <c r="C855" s="23">
        <v>2</v>
      </c>
      <c r="D855" s="24">
        <v>45697</v>
      </c>
      <c r="E855" s="23" t="s">
        <v>25</v>
      </c>
      <c r="F855" s="23" t="s">
        <v>59</v>
      </c>
      <c r="G855" s="23" t="s">
        <v>21</v>
      </c>
      <c r="H855" s="23" t="s">
        <v>22</v>
      </c>
      <c r="I855" s="23">
        <v>8</v>
      </c>
      <c r="J855" s="23">
        <v>0</v>
      </c>
      <c r="K855" s="23">
        <v>5</v>
      </c>
      <c r="L855" s="23" t="s">
        <v>62</v>
      </c>
      <c r="M855" s="25">
        <v>32.6</v>
      </c>
      <c r="N855">
        <f t="shared" si="13"/>
        <v>0</v>
      </c>
    </row>
    <row r="856" spans="1:14" x14ac:dyDescent="0.35">
      <c r="A856" s="6" t="s">
        <v>926</v>
      </c>
      <c r="B856" s="19" t="s">
        <v>41</v>
      </c>
      <c r="C856" s="19">
        <v>10</v>
      </c>
      <c r="D856" s="20">
        <v>45939</v>
      </c>
      <c r="E856" s="19" t="s">
        <v>25</v>
      </c>
      <c r="F856" s="19" t="s">
        <v>14</v>
      </c>
      <c r="G856" s="19" t="s">
        <v>27</v>
      </c>
      <c r="H856" s="19" t="s">
        <v>8364</v>
      </c>
      <c r="I856" s="19">
        <v>48</v>
      </c>
      <c r="J856" s="19">
        <v>0</v>
      </c>
      <c r="K856" s="19">
        <v>5</v>
      </c>
      <c r="L856" s="19" t="s">
        <v>8363</v>
      </c>
      <c r="M856" s="21">
        <v>7.3</v>
      </c>
      <c r="N856">
        <f t="shared" si="13"/>
        <v>1</v>
      </c>
    </row>
    <row r="857" spans="1:14" x14ac:dyDescent="0.35">
      <c r="A857" s="22" t="s">
        <v>927</v>
      </c>
      <c r="B857" s="23" t="s">
        <v>89</v>
      </c>
      <c r="C857" s="23">
        <v>3</v>
      </c>
      <c r="D857" s="24">
        <v>45729</v>
      </c>
      <c r="E857" s="23" t="s">
        <v>13</v>
      </c>
      <c r="F857" s="23" t="s">
        <v>26</v>
      </c>
      <c r="G857" s="23" t="s">
        <v>31</v>
      </c>
      <c r="H857" s="23" t="s">
        <v>22</v>
      </c>
      <c r="I857" s="23">
        <v>48</v>
      </c>
      <c r="J857" s="23">
        <v>0</v>
      </c>
      <c r="K857" s="23">
        <v>5</v>
      </c>
      <c r="L857" s="23" t="s">
        <v>33</v>
      </c>
      <c r="M857" s="25">
        <v>23.7</v>
      </c>
      <c r="N857">
        <f t="shared" si="13"/>
        <v>1</v>
      </c>
    </row>
    <row r="858" spans="1:14" x14ac:dyDescent="0.35">
      <c r="A858" s="6" t="s">
        <v>928</v>
      </c>
      <c r="B858" s="19" t="s">
        <v>146</v>
      </c>
      <c r="C858" s="19">
        <v>5</v>
      </c>
      <c r="D858" s="20">
        <v>45804</v>
      </c>
      <c r="E858" s="19" t="s">
        <v>25</v>
      </c>
      <c r="F858" s="19" t="s">
        <v>8364</v>
      </c>
      <c r="G858" s="19" t="s">
        <v>21</v>
      </c>
      <c r="H858" s="19" t="s">
        <v>28</v>
      </c>
      <c r="I858" s="19">
        <v>24</v>
      </c>
      <c r="J858" s="19">
        <v>0</v>
      </c>
      <c r="K858" s="19">
        <v>3</v>
      </c>
      <c r="L858" s="19" t="s">
        <v>55</v>
      </c>
      <c r="M858" s="21">
        <v>22.1</v>
      </c>
      <c r="N858">
        <f t="shared" si="13"/>
        <v>1</v>
      </c>
    </row>
    <row r="859" spans="1:14" x14ac:dyDescent="0.35">
      <c r="A859" s="22" t="s">
        <v>929</v>
      </c>
      <c r="B859" s="23" t="s">
        <v>236</v>
      </c>
      <c r="C859" s="23">
        <v>4</v>
      </c>
      <c r="D859" s="24">
        <v>45759</v>
      </c>
      <c r="E859" s="23" t="s">
        <v>20</v>
      </c>
      <c r="F859" s="23" t="s">
        <v>14</v>
      </c>
      <c r="G859" s="23" t="s">
        <v>31</v>
      </c>
      <c r="H859" s="23" t="s">
        <v>32</v>
      </c>
      <c r="I859" s="23">
        <v>8</v>
      </c>
      <c r="J859" s="23">
        <v>0</v>
      </c>
      <c r="K859" s="23">
        <v>4</v>
      </c>
      <c r="L859" s="23" t="s">
        <v>17</v>
      </c>
      <c r="M859" s="25">
        <v>6.6</v>
      </c>
      <c r="N859">
        <f t="shared" si="13"/>
        <v>1</v>
      </c>
    </row>
    <row r="860" spans="1:14" x14ac:dyDescent="0.35">
      <c r="A860" s="6" t="s">
        <v>930</v>
      </c>
      <c r="B860" s="19" t="s">
        <v>236</v>
      </c>
      <c r="C860" s="19">
        <v>1</v>
      </c>
      <c r="D860" s="20">
        <v>45671</v>
      </c>
      <c r="E860" s="19" t="s">
        <v>13</v>
      </c>
      <c r="F860" s="19" t="s">
        <v>14</v>
      </c>
      <c r="G860" s="19" t="s">
        <v>27</v>
      </c>
      <c r="H860" s="19" t="s">
        <v>22</v>
      </c>
      <c r="I860" s="19">
        <v>48</v>
      </c>
      <c r="J860" s="19">
        <v>0</v>
      </c>
      <c r="K860" s="19">
        <v>3</v>
      </c>
      <c r="L860" s="19" t="s">
        <v>38</v>
      </c>
      <c r="M860" s="21">
        <v>1.7</v>
      </c>
      <c r="N860">
        <f t="shared" si="13"/>
        <v>1</v>
      </c>
    </row>
    <row r="861" spans="1:14" x14ac:dyDescent="0.35">
      <c r="A861" s="22" t="s">
        <v>931</v>
      </c>
      <c r="B861" s="23" t="s">
        <v>41</v>
      </c>
      <c r="C861" s="23">
        <v>8</v>
      </c>
      <c r="D861" s="24">
        <v>45877</v>
      </c>
      <c r="E861" s="23" t="s">
        <v>20</v>
      </c>
      <c r="F861" s="23" t="s">
        <v>59</v>
      </c>
      <c r="G861" s="23" t="s">
        <v>21</v>
      </c>
      <c r="H861" s="23" t="s">
        <v>8364</v>
      </c>
      <c r="I861" s="23">
        <v>8</v>
      </c>
      <c r="J861" s="23">
        <v>0</v>
      </c>
      <c r="K861" s="23">
        <v>4</v>
      </c>
      <c r="L861" s="23" t="s">
        <v>8363</v>
      </c>
      <c r="M861" s="25">
        <v>8.6</v>
      </c>
      <c r="N861">
        <f t="shared" si="13"/>
        <v>0</v>
      </c>
    </row>
    <row r="862" spans="1:14" x14ac:dyDescent="0.35">
      <c r="A862" s="6" t="s">
        <v>932</v>
      </c>
      <c r="B862" s="19" t="s">
        <v>39</v>
      </c>
      <c r="C862" s="19">
        <v>10</v>
      </c>
      <c r="D862" s="20">
        <v>45932</v>
      </c>
      <c r="E862" s="19" t="s">
        <v>36</v>
      </c>
      <c r="F862" s="19" t="s">
        <v>43</v>
      </c>
      <c r="G862" s="19" t="s">
        <v>8364</v>
      </c>
      <c r="H862" s="19" t="s">
        <v>28</v>
      </c>
      <c r="I862" s="19">
        <v>24</v>
      </c>
      <c r="J862" s="19">
        <v>3</v>
      </c>
      <c r="K862" s="19">
        <v>2</v>
      </c>
      <c r="L862" s="19" t="s">
        <v>44</v>
      </c>
      <c r="M862" s="21">
        <v>12.4</v>
      </c>
      <c r="N862">
        <f t="shared" si="13"/>
        <v>1</v>
      </c>
    </row>
    <row r="863" spans="1:14" x14ac:dyDescent="0.35">
      <c r="A863" s="22" t="s">
        <v>933</v>
      </c>
      <c r="B863" s="23" t="s">
        <v>236</v>
      </c>
      <c r="C863" s="23">
        <v>11</v>
      </c>
      <c r="D863" s="24">
        <v>45991</v>
      </c>
      <c r="E863" s="23" t="s">
        <v>13</v>
      </c>
      <c r="F863" s="23" t="s">
        <v>14</v>
      </c>
      <c r="G863" s="23" t="s">
        <v>8364</v>
      </c>
      <c r="H863" s="23" t="s">
        <v>22</v>
      </c>
      <c r="I863" s="23">
        <v>8</v>
      </c>
      <c r="J863" s="23">
        <v>1</v>
      </c>
      <c r="K863" s="23">
        <v>4</v>
      </c>
      <c r="L863" s="23" t="s">
        <v>44</v>
      </c>
      <c r="M863" s="25">
        <v>3.5</v>
      </c>
      <c r="N863">
        <f t="shared" si="13"/>
        <v>1</v>
      </c>
    </row>
    <row r="864" spans="1:14" x14ac:dyDescent="0.35">
      <c r="A864" s="6" t="s">
        <v>934</v>
      </c>
      <c r="B864" s="19" t="s">
        <v>253</v>
      </c>
      <c r="C864" s="19">
        <v>8</v>
      </c>
      <c r="D864" s="20">
        <v>45885</v>
      </c>
      <c r="E864" s="19" t="s">
        <v>68</v>
      </c>
      <c r="F864" s="19" t="s">
        <v>14</v>
      </c>
      <c r="G864" s="19" t="s">
        <v>27</v>
      </c>
      <c r="H864" s="19" t="s">
        <v>16</v>
      </c>
      <c r="I864" s="19">
        <v>48</v>
      </c>
      <c r="J864" s="19">
        <v>0</v>
      </c>
      <c r="K864" s="19">
        <v>5</v>
      </c>
      <c r="L864" s="19" t="s">
        <v>17</v>
      </c>
      <c r="M864" s="21">
        <v>13.6</v>
      </c>
      <c r="N864">
        <f t="shared" si="13"/>
        <v>1</v>
      </c>
    </row>
    <row r="865" spans="1:14" x14ac:dyDescent="0.35">
      <c r="A865" s="22" t="s">
        <v>935</v>
      </c>
      <c r="B865" s="23" t="s">
        <v>99</v>
      </c>
      <c r="C865" s="23">
        <v>8</v>
      </c>
      <c r="D865" s="24">
        <v>45888</v>
      </c>
      <c r="E865" s="23" t="s">
        <v>36</v>
      </c>
      <c r="F865" s="23" t="s">
        <v>43</v>
      </c>
      <c r="G865" s="23" t="s">
        <v>21</v>
      </c>
      <c r="H865" s="23" t="s">
        <v>8364</v>
      </c>
      <c r="I865" s="23">
        <v>24</v>
      </c>
      <c r="J865" s="23">
        <v>2</v>
      </c>
      <c r="K865" s="23">
        <v>2</v>
      </c>
      <c r="L865" s="23" t="s">
        <v>44</v>
      </c>
      <c r="M865" s="25">
        <v>8.5</v>
      </c>
      <c r="N865">
        <f t="shared" si="13"/>
        <v>1</v>
      </c>
    </row>
    <row r="866" spans="1:14" x14ac:dyDescent="0.35">
      <c r="A866" s="6" t="s">
        <v>936</v>
      </c>
      <c r="B866" s="19" t="s">
        <v>87</v>
      </c>
      <c r="C866" s="19">
        <v>12</v>
      </c>
      <c r="D866" s="20">
        <v>46002</v>
      </c>
      <c r="E866" s="19" t="s">
        <v>25</v>
      </c>
      <c r="F866" s="19" t="s">
        <v>43</v>
      </c>
      <c r="G866" s="19" t="s">
        <v>8364</v>
      </c>
      <c r="H866" s="19" t="s">
        <v>28</v>
      </c>
      <c r="I866" s="19">
        <v>48</v>
      </c>
      <c r="J866" s="19">
        <v>0</v>
      </c>
      <c r="K866" s="19">
        <v>4</v>
      </c>
      <c r="L866" s="19" t="s">
        <v>55</v>
      </c>
      <c r="M866" s="21">
        <v>14.3</v>
      </c>
      <c r="N866">
        <f t="shared" si="13"/>
        <v>1</v>
      </c>
    </row>
    <row r="867" spans="1:14" x14ac:dyDescent="0.35">
      <c r="A867" s="22" t="s">
        <v>937</v>
      </c>
      <c r="B867" s="23" t="s">
        <v>85</v>
      </c>
      <c r="C867" s="23">
        <v>8</v>
      </c>
      <c r="D867" s="24">
        <v>45890</v>
      </c>
      <c r="E867" s="23" t="s">
        <v>25</v>
      </c>
      <c r="F867" s="23" t="s">
        <v>59</v>
      </c>
      <c r="G867" s="23" t="s">
        <v>21</v>
      </c>
      <c r="H867" s="23" t="s">
        <v>32</v>
      </c>
      <c r="I867" s="23">
        <v>72</v>
      </c>
      <c r="J867" s="23">
        <v>0</v>
      </c>
      <c r="K867" s="23">
        <v>3</v>
      </c>
      <c r="L867" s="23" t="s">
        <v>44</v>
      </c>
      <c r="M867" s="25">
        <v>4.5</v>
      </c>
      <c r="N867">
        <f t="shared" si="13"/>
        <v>1</v>
      </c>
    </row>
    <row r="868" spans="1:14" x14ac:dyDescent="0.35">
      <c r="A868" s="6" t="s">
        <v>938</v>
      </c>
      <c r="B868" s="19" t="s">
        <v>18</v>
      </c>
      <c r="C868" s="19"/>
      <c r="D868" s="20"/>
      <c r="E868" s="19" t="s">
        <v>13</v>
      </c>
      <c r="F868" s="19" t="s">
        <v>43</v>
      </c>
      <c r="G868" s="19" t="s">
        <v>31</v>
      </c>
      <c r="H868" s="19" t="s">
        <v>8364</v>
      </c>
      <c r="I868" s="19">
        <v>72</v>
      </c>
      <c r="J868" s="19">
        <v>2</v>
      </c>
      <c r="K868" s="19">
        <v>5</v>
      </c>
      <c r="L868" s="19" t="s">
        <v>44</v>
      </c>
      <c r="M868" s="21">
        <v>37</v>
      </c>
      <c r="N868">
        <f t="shared" si="13"/>
        <v>1</v>
      </c>
    </row>
    <row r="869" spans="1:14" x14ac:dyDescent="0.35">
      <c r="A869" s="22" t="s">
        <v>939</v>
      </c>
      <c r="B869" s="23" t="s">
        <v>92</v>
      </c>
      <c r="C869" s="23">
        <v>2</v>
      </c>
      <c r="D869" s="24">
        <v>45700</v>
      </c>
      <c r="E869" s="23" t="s">
        <v>36</v>
      </c>
      <c r="F869" s="23" t="s">
        <v>14</v>
      </c>
      <c r="G869" s="23" t="s">
        <v>27</v>
      </c>
      <c r="H869" s="23" t="s">
        <v>22</v>
      </c>
      <c r="I869" s="23">
        <v>4</v>
      </c>
      <c r="J869" s="23">
        <v>0</v>
      </c>
      <c r="K869" s="23">
        <v>3</v>
      </c>
      <c r="L869" s="23" t="s">
        <v>8363</v>
      </c>
      <c r="M869" s="25">
        <v>22</v>
      </c>
      <c r="N869">
        <f t="shared" si="13"/>
        <v>0</v>
      </c>
    </row>
    <row r="870" spans="1:14" x14ac:dyDescent="0.35">
      <c r="A870" s="6" t="s">
        <v>940</v>
      </c>
      <c r="B870" s="19" t="s">
        <v>139</v>
      </c>
      <c r="C870" s="19">
        <v>2</v>
      </c>
      <c r="D870" s="20">
        <v>45708</v>
      </c>
      <c r="E870" s="19" t="s">
        <v>36</v>
      </c>
      <c r="F870" s="19" t="s">
        <v>14</v>
      </c>
      <c r="G870" s="19" t="s">
        <v>8364</v>
      </c>
      <c r="H870" s="19" t="s">
        <v>16</v>
      </c>
      <c r="I870" s="19">
        <v>24</v>
      </c>
      <c r="J870" s="19">
        <v>0</v>
      </c>
      <c r="K870" s="19">
        <v>3</v>
      </c>
      <c r="L870" s="19" t="s">
        <v>33</v>
      </c>
      <c r="M870" s="21">
        <v>84</v>
      </c>
      <c r="N870">
        <f t="shared" si="13"/>
        <v>0</v>
      </c>
    </row>
    <row r="871" spans="1:14" x14ac:dyDescent="0.35">
      <c r="A871" s="22" t="s">
        <v>941</v>
      </c>
      <c r="B871" s="23" t="s">
        <v>97</v>
      </c>
      <c r="C871" s="23"/>
      <c r="D871" s="24"/>
      <c r="E871" s="23" t="s">
        <v>36</v>
      </c>
      <c r="F871" s="23" t="s">
        <v>59</v>
      </c>
      <c r="G871" s="23" t="s">
        <v>15</v>
      </c>
      <c r="H871" s="23" t="s">
        <v>28</v>
      </c>
      <c r="I871" s="23">
        <v>4</v>
      </c>
      <c r="J871" s="23">
        <v>1</v>
      </c>
      <c r="K871" s="23">
        <v>5</v>
      </c>
      <c r="L871" s="23" t="s">
        <v>44</v>
      </c>
      <c r="M871" s="25">
        <v>8.6999999999999993</v>
      </c>
      <c r="N871">
        <f t="shared" si="13"/>
        <v>0</v>
      </c>
    </row>
    <row r="872" spans="1:14" x14ac:dyDescent="0.35">
      <c r="A872" s="6" t="s">
        <v>942</v>
      </c>
      <c r="B872" s="19" t="s">
        <v>181</v>
      </c>
      <c r="C872" s="19">
        <v>5</v>
      </c>
      <c r="D872" s="20">
        <v>45781</v>
      </c>
      <c r="E872" s="19" t="s">
        <v>20</v>
      </c>
      <c r="F872" s="19" t="s">
        <v>59</v>
      </c>
      <c r="G872" s="19" t="s">
        <v>15</v>
      </c>
      <c r="H872" s="19" t="s">
        <v>22</v>
      </c>
      <c r="I872" s="19">
        <v>24</v>
      </c>
      <c r="J872" s="19">
        <v>1</v>
      </c>
      <c r="K872" s="19">
        <v>5</v>
      </c>
      <c r="L872" s="19" t="s">
        <v>17</v>
      </c>
      <c r="M872" s="21">
        <v>14.8</v>
      </c>
      <c r="N872">
        <f t="shared" si="13"/>
        <v>1</v>
      </c>
    </row>
    <row r="873" spans="1:14" x14ac:dyDescent="0.35">
      <c r="A873" s="22" t="s">
        <v>943</v>
      </c>
      <c r="B873" s="23" t="s">
        <v>23</v>
      </c>
      <c r="C873" s="23">
        <v>8</v>
      </c>
      <c r="D873" s="24">
        <v>45899</v>
      </c>
      <c r="E873" s="23" t="s">
        <v>68</v>
      </c>
      <c r="F873" s="23" t="s">
        <v>43</v>
      </c>
      <c r="G873" s="23" t="s">
        <v>31</v>
      </c>
      <c r="H873" s="23" t="s">
        <v>28</v>
      </c>
      <c r="I873" s="23">
        <v>4</v>
      </c>
      <c r="J873" s="23">
        <v>0</v>
      </c>
      <c r="K873" s="23">
        <v>4</v>
      </c>
      <c r="L873" s="23" t="s">
        <v>38</v>
      </c>
      <c r="M873" s="25">
        <v>9.1999999999999993</v>
      </c>
      <c r="N873">
        <f t="shared" si="13"/>
        <v>0</v>
      </c>
    </row>
    <row r="874" spans="1:14" x14ac:dyDescent="0.35">
      <c r="A874" s="6" t="s">
        <v>944</v>
      </c>
      <c r="B874" s="19" t="s">
        <v>97</v>
      </c>
      <c r="C874" s="19">
        <v>2</v>
      </c>
      <c r="D874" s="20">
        <v>45704</v>
      </c>
      <c r="E874" s="19" t="s">
        <v>13</v>
      </c>
      <c r="F874" s="19" t="s">
        <v>26</v>
      </c>
      <c r="G874" s="19" t="s">
        <v>21</v>
      </c>
      <c r="H874" s="19" t="s">
        <v>16</v>
      </c>
      <c r="I874" s="19">
        <v>8</v>
      </c>
      <c r="J874" s="19">
        <v>2</v>
      </c>
      <c r="K874" s="19">
        <v>5</v>
      </c>
      <c r="L874" s="19" t="s">
        <v>33</v>
      </c>
      <c r="M874" s="21">
        <v>7.3</v>
      </c>
      <c r="N874">
        <f t="shared" si="13"/>
        <v>1</v>
      </c>
    </row>
    <row r="875" spans="1:14" x14ac:dyDescent="0.35">
      <c r="A875" s="22" t="s">
        <v>945</v>
      </c>
      <c r="B875" s="23" t="s">
        <v>99</v>
      </c>
      <c r="C875" s="23">
        <v>12</v>
      </c>
      <c r="D875" s="24">
        <v>46001</v>
      </c>
      <c r="E875" s="23" t="s">
        <v>20</v>
      </c>
      <c r="F875" s="23" t="s">
        <v>43</v>
      </c>
      <c r="G875" s="23" t="s">
        <v>21</v>
      </c>
      <c r="H875" s="23" t="s">
        <v>22</v>
      </c>
      <c r="I875" s="23">
        <v>48</v>
      </c>
      <c r="J875" s="23">
        <v>0</v>
      </c>
      <c r="K875" s="23">
        <v>4</v>
      </c>
      <c r="L875" s="23" t="s">
        <v>33</v>
      </c>
      <c r="M875" s="25">
        <v>12.7</v>
      </c>
      <c r="N875">
        <f t="shared" si="13"/>
        <v>1</v>
      </c>
    </row>
    <row r="876" spans="1:14" x14ac:dyDescent="0.35">
      <c r="A876" s="6" t="s">
        <v>946</v>
      </c>
      <c r="B876" s="19" t="s">
        <v>92</v>
      </c>
      <c r="C876" s="19"/>
      <c r="D876" s="20"/>
      <c r="E876" s="19" t="s">
        <v>8364</v>
      </c>
      <c r="F876" s="19" t="s">
        <v>14</v>
      </c>
      <c r="G876" s="19" t="s">
        <v>27</v>
      </c>
      <c r="H876" s="19" t="s">
        <v>8364</v>
      </c>
      <c r="I876" s="19">
        <v>8</v>
      </c>
      <c r="J876" s="19">
        <v>1</v>
      </c>
      <c r="K876" s="19">
        <v>4</v>
      </c>
      <c r="L876" s="19" t="s">
        <v>55</v>
      </c>
      <c r="M876" s="21">
        <v>11.6</v>
      </c>
      <c r="N876">
        <f t="shared" si="13"/>
        <v>0</v>
      </c>
    </row>
    <row r="877" spans="1:14" x14ac:dyDescent="0.35">
      <c r="A877" s="22" t="s">
        <v>947</v>
      </c>
      <c r="B877" s="23" t="s">
        <v>53</v>
      </c>
      <c r="C877" s="23">
        <v>9</v>
      </c>
      <c r="D877" s="24">
        <v>45928</v>
      </c>
      <c r="E877" s="23" t="s">
        <v>8364</v>
      </c>
      <c r="F877" s="23" t="s">
        <v>37</v>
      </c>
      <c r="G877" s="23" t="s">
        <v>27</v>
      </c>
      <c r="H877" s="23" t="s">
        <v>32</v>
      </c>
      <c r="I877" s="23">
        <v>24</v>
      </c>
      <c r="J877" s="23">
        <v>0</v>
      </c>
      <c r="K877" s="23">
        <v>5</v>
      </c>
      <c r="L877" s="23" t="s">
        <v>33</v>
      </c>
      <c r="M877" s="25">
        <v>21.1</v>
      </c>
      <c r="N877">
        <f t="shared" si="13"/>
        <v>1</v>
      </c>
    </row>
    <row r="878" spans="1:14" x14ac:dyDescent="0.35">
      <c r="A878" s="6" t="s">
        <v>948</v>
      </c>
      <c r="B878" s="19" t="s">
        <v>45</v>
      </c>
      <c r="C878" s="19">
        <v>6</v>
      </c>
      <c r="D878" s="20">
        <v>45816</v>
      </c>
      <c r="E878" s="19" t="s">
        <v>13</v>
      </c>
      <c r="F878" s="19" t="s">
        <v>43</v>
      </c>
      <c r="G878" s="19" t="s">
        <v>31</v>
      </c>
      <c r="H878" s="19" t="s">
        <v>8364</v>
      </c>
      <c r="I878" s="19">
        <v>48</v>
      </c>
      <c r="J878" s="19">
        <v>1</v>
      </c>
      <c r="K878" s="19">
        <v>5</v>
      </c>
      <c r="L878" s="19" t="s">
        <v>62</v>
      </c>
      <c r="M878" s="21">
        <v>3.2</v>
      </c>
      <c r="N878">
        <f t="shared" si="13"/>
        <v>1</v>
      </c>
    </row>
    <row r="879" spans="1:14" x14ac:dyDescent="0.35">
      <c r="A879" s="22" t="s">
        <v>949</v>
      </c>
      <c r="B879" s="23" t="s">
        <v>51</v>
      </c>
      <c r="C879" s="23">
        <v>3</v>
      </c>
      <c r="D879" s="24">
        <v>45717</v>
      </c>
      <c r="E879" s="23" t="s">
        <v>25</v>
      </c>
      <c r="F879" s="23" t="s">
        <v>14</v>
      </c>
      <c r="G879" s="23" t="s">
        <v>27</v>
      </c>
      <c r="H879" s="23" t="s">
        <v>22</v>
      </c>
      <c r="I879" s="23">
        <v>72</v>
      </c>
      <c r="J879" s="23">
        <v>0</v>
      </c>
      <c r="K879" s="23">
        <v>4</v>
      </c>
      <c r="L879" s="23" t="s">
        <v>55</v>
      </c>
      <c r="M879" s="25">
        <v>16.399999999999999</v>
      </c>
      <c r="N879">
        <f t="shared" si="13"/>
        <v>1</v>
      </c>
    </row>
    <row r="880" spans="1:14" x14ac:dyDescent="0.35">
      <c r="A880" s="6" t="s">
        <v>950</v>
      </c>
      <c r="B880" s="19" t="s">
        <v>89</v>
      </c>
      <c r="C880" s="19">
        <v>1</v>
      </c>
      <c r="D880" s="20">
        <v>45675</v>
      </c>
      <c r="E880" s="19" t="s">
        <v>13</v>
      </c>
      <c r="F880" s="19" t="s">
        <v>8364</v>
      </c>
      <c r="G880" s="19" t="s">
        <v>27</v>
      </c>
      <c r="H880" s="19" t="s">
        <v>16</v>
      </c>
      <c r="I880" s="19">
        <v>4</v>
      </c>
      <c r="J880" s="19">
        <v>0</v>
      </c>
      <c r="K880" s="19">
        <v>5</v>
      </c>
      <c r="L880" s="19" t="s">
        <v>38</v>
      </c>
      <c r="M880" s="21"/>
      <c r="N880">
        <f t="shared" si="13"/>
        <v>1</v>
      </c>
    </row>
    <row r="881" spans="1:14" x14ac:dyDescent="0.35">
      <c r="A881" s="22" t="s">
        <v>951</v>
      </c>
      <c r="B881" s="23" t="s">
        <v>101</v>
      </c>
      <c r="C881" s="23">
        <v>9</v>
      </c>
      <c r="D881" s="24">
        <v>45918</v>
      </c>
      <c r="E881" s="23" t="s">
        <v>68</v>
      </c>
      <c r="F881" s="23" t="s">
        <v>14</v>
      </c>
      <c r="G881" s="23" t="s">
        <v>31</v>
      </c>
      <c r="H881" s="23" t="s">
        <v>8364</v>
      </c>
      <c r="I881" s="23">
        <v>72</v>
      </c>
      <c r="J881" s="23">
        <v>0</v>
      </c>
      <c r="K881" s="23">
        <v>5</v>
      </c>
      <c r="L881" s="23" t="s">
        <v>44</v>
      </c>
      <c r="M881" s="25">
        <v>39.4</v>
      </c>
      <c r="N881">
        <f t="shared" si="13"/>
        <v>1</v>
      </c>
    </row>
    <row r="882" spans="1:14" x14ac:dyDescent="0.35">
      <c r="A882" s="6" t="s">
        <v>952</v>
      </c>
      <c r="B882" s="19" t="s">
        <v>89</v>
      </c>
      <c r="C882" s="19">
        <v>9</v>
      </c>
      <c r="D882" s="20">
        <v>45912</v>
      </c>
      <c r="E882" s="19" t="s">
        <v>36</v>
      </c>
      <c r="F882" s="19" t="s">
        <v>59</v>
      </c>
      <c r="G882" s="19" t="s">
        <v>8364</v>
      </c>
      <c r="H882" s="19" t="s">
        <v>16</v>
      </c>
      <c r="I882" s="19">
        <v>48</v>
      </c>
      <c r="J882" s="19">
        <v>0</v>
      </c>
      <c r="K882" s="19">
        <v>2</v>
      </c>
      <c r="L882" s="19" t="s">
        <v>62</v>
      </c>
      <c r="M882" s="21">
        <v>16.600000000000001</v>
      </c>
      <c r="N882">
        <f t="shared" si="13"/>
        <v>1</v>
      </c>
    </row>
    <row r="883" spans="1:14" x14ac:dyDescent="0.35">
      <c r="A883" s="22" t="s">
        <v>953</v>
      </c>
      <c r="B883" s="23" t="s">
        <v>69</v>
      </c>
      <c r="C883" s="23">
        <v>10</v>
      </c>
      <c r="D883" s="24">
        <v>45939</v>
      </c>
      <c r="E883" s="23" t="s">
        <v>36</v>
      </c>
      <c r="F883" s="23" t="s">
        <v>37</v>
      </c>
      <c r="G883" s="23" t="s">
        <v>15</v>
      </c>
      <c r="H883" s="23" t="s">
        <v>32</v>
      </c>
      <c r="I883" s="23">
        <v>24</v>
      </c>
      <c r="J883" s="23">
        <v>0</v>
      </c>
      <c r="K883" s="23">
        <v>5</v>
      </c>
      <c r="L883" s="23" t="s">
        <v>62</v>
      </c>
      <c r="M883" s="25">
        <v>9.1</v>
      </c>
      <c r="N883">
        <f t="shared" si="13"/>
        <v>1</v>
      </c>
    </row>
    <row r="884" spans="1:14" x14ac:dyDescent="0.35">
      <c r="A884" s="6" t="s">
        <v>954</v>
      </c>
      <c r="B884" s="19" t="s">
        <v>57</v>
      </c>
      <c r="C884" s="19">
        <v>12</v>
      </c>
      <c r="D884" s="20">
        <v>46010</v>
      </c>
      <c r="E884" s="19" t="s">
        <v>20</v>
      </c>
      <c r="F884" s="19" t="s">
        <v>43</v>
      </c>
      <c r="G884" s="19" t="s">
        <v>27</v>
      </c>
      <c r="H884" s="19" t="s">
        <v>8364</v>
      </c>
      <c r="I884" s="19">
        <v>8</v>
      </c>
      <c r="J884" s="19">
        <v>0</v>
      </c>
      <c r="K884" s="19">
        <v>3</v>
      </c>
      <c r="L884" s="19" t="s">
        <v>8363</v>
      </c>
      <c r="M884" s="21">
        <v>14.5</v>
      </c>
      <c r="N884">
        <f t="shared" si="13"/>
        <v>0</v>
      </c>
    </row>
    <row r="885" spans="1:14" x14ac:dyDescent="0.35">
      <c r="A885" s="22" t="s">
        <v>955</v>
      </c>
      <c r="B885" s="23" t="s">
        <v>87</v>
      </c>
      <c r="C885" s="23">
        <v>6</v>
      </c>
      <c r="D885" s="24">
        <v>45820</v>
      </c>
      <c r="E885" s="23" t="s">
        <v>8364</v>
      </c>
      <c r="F885" s="23" t="s">
        <v>43</v>
      </c>
      <c r="G885" s="23" t="s">
        <v>27</v>
      </c>
      <c r="H885" s="23" t="s">
        <v>22</v>
      </c>
      <c r="I885" s="23">
        <v>8</v>
      </c>
      <c r="J885" s="23">
        <v>0</v>
      </c>
      <c r="K885" s="23">
        <v>4</v>
      </c>
      <c r="L885" s="23" t="s">
        <v>8363</v>
      </c>
      <c r="M885" s="25">
        <v>7</v>
      </c>
      <c r="N885">
        <f t="shared" si="13"/>
        <v>1</v>
      </c>
    </row>
    <row r="886" spans="1:14" x14ac:dyDescent="0.35">
      <c r="A886" s="6" t="s">
        <v>956</v>
      </c>
      <c r="B886" s="19" t="s">
        <v>49</v>
      </c>
      <c r="C886" s="19">
        <v>4</v>
      </c>
      <c r="D886" s="20">
        <v>45768</v>
      </c>
      <c r="E886" s="19" t="s">
        <v>8364</v>
      </c>
      <c r="F886" s="19" t="s">
        <v>14</v>
      </c>
      <c r="G886" s="19" t="s">
        <v>21</v>
      </c>
      <c r="H886" s="19" t="s">
        <v>32</v>
      </c>
      <c r="I886" s="19">
        <v>24</v>
      </c>
      <c r="J886" s="19">
        <v>0</v>
      </c>
      <c r="K886" s="19">
        <v>5</v>
      </c>
      <c r="L886" s="19" t="s">
        <v>38</v>
      </c>
      <c r="M886" s="21"/>
      <c r="N886">
        <f t="shared" si="13"/>
        <v>1</v>
      </c>
    </row>
    <row r="887" spans="1:14" x14ac:dyDescent="0.35">
      <c r="A887" s="22" t="s">
        <v>957</v>
      </c>
      <c r="B887" s="23" t="s">
        <v>65</v>
      </c>
      <c r="C887" s="23">
        <v>4</v>
      </c>
      <c r="D887" s="24">
        <v>45768</v>
      </c>
      <c r="E887" s="23" t="s">
        <v>36</v>
      </c>
      <c r="F887" s="23" t="s">
        <v>59</v>
      </c>
      <c r="G887" s="23" t="s">
        <v>27</v>
      </c>
      <c r="H887" s="23" t="s">
        <v>22</v>
      </c>
      <c r="I887" s="23">
        <v>4</v>
      </c>
      <c r="J887" s="23">
        <v>0</v>
      </c>
      <c r="K887" s="23">
        <v>5</v>
      </c>
      <c r="L887" s="23" t="s">
        <v>8363</v>
      </c>
      <c r="M887" s="25">
        <v>7.8</v>
      </c>
      <c r="N887">
        <f t="shared" si="13"/>
        <v>0</v>
      </c>
    </row>
    <row r="888" spans="1:14" x14ac:dyDescent="0.35">
      <c r="A888" s="6" t="s">
        <v>958</v>
      </c>
      <c r="B888" s="19" t="s">
        <v>45</v>
      </c>
      <c r="C888" s="19">
        <v>4</v>
      </c>
      <c r="D888" s="20">
        <v>45756</v>
      </c>
      <c r="E888" s="19" t="s">
        <v>25</v>
      </c>
      <c r="F888" s="19" t="s">
        <v>40</v>
      </c>
      <c r="G888" s="19" t="s">
        <v>27</v>
      </c>
      <c r="H888" s="19" t="s">
        <v>8364</v>
      </c>
      <c r="I888" s="19">
        <v>4</v>
      </c>
      <c r="J888" s="19">
        <v>0</v>
      </c>
      <c r="K888" s="19">
        <v>3</v>
      </c>
      <c r="L888" s="19" t="s">
        <v>44</v>
      </c>
      <c r="M888" s="21">
        <v>13.7</v>
      </c>
      <c r="N888">
        <f t="shared" si="13"/>
        <v>0</v>
      </c>
    </row>
    <row r="889" spans="1:14" x14ac:dyDescent="0.35">
      <c r="A889" s="22" t="s">
        <v>959</v>
      </c>
      <c r="B889" s="23" t="s">
        <v>47</v>
      </c>
      <c r="C889" s="23">
        <v>2</v>
      </c>
      <c r="D889" s="24">
        <v>45694</v>
      </c>
      <c r="E889" s="23" t="s">
        <v>25</v>
      </c>
      <c r="F889" s="23" t="s">
        <v>8364</v>
      </c>
      <c r="G889" s="23" t="s">
        <v>21</v>
      </c>
      <c r="H889" s="23" t="s">
        <v>16</v>
      </c>
      <c r="I889" s="23">
        <v>72</v>
      </c>
      <c r="J889" s="23">
        <v>0</v>
      </c>
      <c r="K889" s="23">
        <v>4</v>
      </c>
      <c r="L889" s="23" t="s">
        <v>75</v>
      </c>
      <c r="M889" s="25">
        <v>19.899999999999999</v>
      </c>
      <c r="N889">
        <f t="shared" si="13"/>
        <v>1</v>
      </c>
    </row>
    <row r="890" spans="1:14" x14ac:dyDescent="0.35">
      <c r="A890" s="6" t="s">
        <v>960</v>
      </c>
      <c r="B890" s="19" t="s">
        <v>181</v>
      </c>
      <c r="C890" s="19">
        <v>8</v>
      </c>
      <c r="D890" s="20">
        <v>45879</v>
      </c>
      <c r="E890" s="19" t="s">
        <v>8364</v>
      </c>
      <c r="F890" s="19" t="s">
        <v>43</v>
      </c>
      <c r="G890" s="19" t="s">
        <v>31</v>
      </c>
      <c r="H890" s="19" t="s">
        <v>32</v>
      </c>
      <c r="I890" s="19">
        <v>24</v>
      </c>
      <c r="J890" s="19">
        <v>0</v>
      </c>
      <c r="K890" s="19">
        <v>4</v>
      </c>
      <c r="L890" s="19" t="s">
        <v>38</v>
      </c>
      <c r="M890" s="21"/>
      <c r="N890">
        <f t="shared" si="13"/>
        <v>1</v>
      </c>
    </row>
    <row r="891" spans="1:14" x14ac:dyDescent="0.35">
      <c r="A891" s="22" t="s">
        <v>961</v>
      </c>
      <c r="B891" s="23" t="s">
        <v>65</v>
      </c>
      <c r="C891" s="23">
        <v>3</v>
      </c>
      <c r="D891" s="24">
        <v>45741</v>
      </c>
      <c r="E891" s="23" t="s">
        <v>68</v>
      </c>
      <c r="F891" s="23" t="s">
        <v>59</v>
      </c>
      <c r="G891" s="23" t="s">
        <v>31</v>
      </c>
      <c r="H891" s="23" t="s">
        <v>16</v>
      </c>
      <c r="I891" s="23">
        <v>24</v>
      </c>
      <c r="J891" s="23">
        <v>2</v>
      </c>
      <c r="K891" s="23">
        <v>2</v>
      </c>
      <c r="L891" s="23" t="s">
        <v>62</v>
      </c>
      <c r="M891" s="25">
        <v>4.5999999999999996</v>
      </c>
      <c r="N891">
        <f t="shared" si="13"/>
        <v>1</v>
      </c>
    </row>
    <row r="892" spans="1:14" x14ac:dyDescent="0.35">
      <c r="A892" s="6" t="s">
        <v>962</v>
      </c>
      <c r="B892" s="19" t="s">
        <v>47</v>
      </c>
      <c r="C892" s="19">
        <v>9</v>
      </c>
      <c r="D892" s="20">
        <v>45912</v>
      </c>
      <c r="E892" s="19" t="s">
        <v>8364</v>
      </c>
      <c r="F892" s="19" t="s">
        <v>43</v>
      </c>
      <c r="G892" s="19" t="s">
        <v>8364</v>
      </c>
      <c r="H892" s="19" t="s">
        <v>8364</v>
      </c>
      <c r="I892" s="19">
        <v>4</v>
      </c>
      <c r="J892" s="19">
        <v>2</v>
      </c>
      <c r="K892" s="19">
        <v>4</v>
      </c>
      <c r="L892" s="19" t="s">
        <v>62</v>
      </c>
      <c r="M892" s="21">
        <v>7.8</v>
      </c>
      <c r="N892">
        <f t="shared" si="13"/>
        <v>0</v>
      </c>
    </row>
    <row r="893" spans="1:14" x14ac:dyDescent="0.35">
      <c r="A893" s="22" t="s">
        <v>963</v>
      </c>
      <c r="B893" s="23" t="s">
        <v>69</v>
      </c>
      <c r="C893" s="23">
        <v>11</v>
      </c>
      <c r="D893" s="24">
        <v>45982</v>
      </c>
      <c r="E893" s="23" t="s">
        <v>20</v>
      </c>
      <c r="F893" s="23" t="s">
        <v>8364</v>
      </c>
      <c r="G893" s="23" t="s">
        <v>27</v>
      </c>
      <c r="H893" s="23" t="s">
        <v>22</v>
      </c>
      <c r="I893" s="23">
        <v>24</v>
      </c>
      <c r="J893" s="23">
        <v>0</v>
      </c>
      <c r="K893" s="23">
        <v>5</v>
      </c>
      <c r="L893" s="23" t="s">
        <v>33</v>
      </c>
      <c r="M893" s="25">
        <v>14.2</v>
      </c>
      <c r="N893">
        <f t="shared" si="13"/>
        <v>1</v>
      </c>
    </row>
    <row r="894" spans="1:14" x14ac:dyDescent="0.35">
      <c r="A894" s="6" t="s">
        <v>964</v>
      </c>
      <c r="B894" s="19" t="s">
        <v>41</v>
      </c>
      <c r="C894" s="19">
        <v>8</v>
      </c>
      <c r="D894" s="20">
        <v>45895</v>
      </c>
      <c r="E894" s="19" t="s">
        <v>20</v>
      </c>
      <c r="F894" s="19" t="s">
        <v>8364</v>
      </c>
      <c r="G894" s="19" t="s">
        <v>15</v>
      </c>
      <c r="H894" s="19" t="s">
        <v>22</v>
      </c>
      <c r="I894" s="19">
        <v>4</v>
      </c>
      <c r="J894" s="19">
        <v>1</v>
      </c>
      <c r="K894" s="19">
        <v>4</v>
      </c>
      <c r="L894" s="19" t="s">
        <v>62</v>
      </c>
      <c r="M894" s="21">
        <v>2.9</v>
      </c>
      <c r="N894">
        <f t="shared" si="13"/>
        <v>1</v>
      </c>
    </row>
    <row r="895" spans="1:14" x14ac:dyDescent="0.35">
      <c r="A895" s="22" t="s">
        <v>965</v>
      </c>
      <c r="B895" s="23" t="s">
        <v>81</v>
      </c>
      <c r="C895" s="23">
        <v>2</v>
      </c>
      <c r="D895" s="24">
        <v>45689</v>
      </c>
      <c r="E895" s="23" t="s">
        <v>68</v>
      </c>
      <c r="F895" s="23" t="s">
        <v>26</v>
      </c>
      <c r="G895" s="23" t="s">
        <v>27</v>
      </c>
      <c r="H895" s="23" t="s">
        <v>28</v>
      </c>
      <c r="I895" s="23">
        <v>8</v>
      </c>
      <c r="J895" s="23">
        <v>2</v>
      </c>
      <c r="K895" s="23">
        <v>3</v>
      </c>
      <c r="L895" s="23" t="s">
        <v>75</v>
      </c>
      <c r="M895" s="25">
        <v>13</v>
      </c>
      <c r="N895">
        <f t="shared" si="13"/>
        <v>0</v>
      </c>
    </row>
    <row r="896" spans="1:14" x14ac:dyDescent="0.35">
      <c r="A896" s="6" t="s">
        <v>966</v>
      </c>
      <c r="B896" s="19" t="s">
        <v>51</v>
      </c>
      <c r="C896" s="19">
        <v>4</v>
      </c>
      <c r="D896" s="20">
        <v>45776</v>
      </c>
      <c r="E896" s="19" t="s">
        <v>13</v>
      </c>
      <c r="F896" s="19" t="s">
        <v>26</v>
      </c>
      <c r="G896" s="19" t="s">
        <v>31</v>
      </c>
      <c r="H896" s="19" t="s">
        <v>22</v>
      </c>
      <c r="I896" s="19">
        <v>24</v>
      </c>
      <c r="J896" s="19">
        <v>0</v>
      </c>
      <c r="K896" s="19">
        <v>4</v>
      </c>
      <c r="L896" s="19" t="s">
        <v>38</v>
      </c>
      <c r="M896" s="21">
        <v>3.8</v>
      </c>
      <c r="N896">
        <f t="shared" si="13"/>
        <v>1</v>
      </c>
    </row>
    <row r="897" spans="1:14" x14ac:dyDescent="0.35">
      <c r="A897" s="22" t="s">
        <v>967</v>
      </c>
      <c r="B897" s="23" t="s">
        <v>53</v>
      </c>
      <c r="C897" s="23">
        <v>5</v>
      </c>
      <c r="D897" s="24">
        <v>45798</v>
      </c>
      <c r="E897" s="23" t="s">
        <v>25</v>
      </c>
      <c r="F897" s="23" t="s">
        <v>14</v>
      </c>
      <c r="G897" s="23" t="s">
        <v>31</v>
      </c>
      <c r="H897" s="23" t="s">
        <v>32</v>
      </c>
      <c r="I897" s="23">
        <v>72</v>
      </c>
      <c r="J897" s="23">
        <v>0</v>
      </c>
      <c r="K897" s="23">
        <v>5</v>
      </c>
      <c r="L897" s="23" t="s">
        <v>75</v>
      </c>
      <c r="M897" s="25">
        <v>19.2</v>
      </c>
      <c r="N897">
        <f t="shared" si="13"/>
        <v>1</v>
      </c>
    </row>
    <row r="898" spans="1:14" x14ac:dyDescent="0.35">
      <c r="A898" s="6" t="s">
        <v>968</v>
      </c>
      <c r="B898" s="19" t="s">
        <v>47</v>
      </c>
      <c r="C898" s="19">
        <v>9</v>
      </c>
      <c r="D898" s="20">
        <v>45904</v>
      </c>
      <c r="E898" s="19" t="s">
        <v>8364</v>
      </c>
      <c r="F898" s="19" t="s">
        <v>8364</v>
      </c>
      <c r="G898" s="19" t="s">
        <v>15</v>
      </c>
      <c r="H898" s="19" t="s">
        <v>22</v>
      </c>
      <c r="I898" s="19">
        <v>4</v>
      </c>
      <c r="J898" s="19">
        <v>1</v>
      </c>
      <c r="K898" s="19">
        <v>1</v>
      </c>
      <c r="L898" s="19" t="s">
        <v>55</v>
      </c>
      <c r="M898" s="21">
        <v>5.7</v>
      </c>
      <c r="N898">
        <f t="shared" si="13"/>
        <v>0</v>
      </c>
    </row>
    <row r="899" spans="1:14" x14ac:dyDescent="0.35">
      <c r="A899" s="22" t="s">
        <v>969</v>
      </c>
      <c r="B899" s="23" t="s">
        <v>34</v>
      </c>
      <c r="C899" s="23">
        <v>12</v>
      </c>
      <c r="D899" s="24">
        <v>45997</v>
      </c>
      <c r="E899" s="23" t="s">
        <v>13</v>
      </c>
      <c r="F899" s="23" t="s">
        <v>43</v>
      </c>
      <c r="G899" s="23" t="s">
        <v>21</v>
      </c>
      <c r="H899" s="23" t="s">
        <v>16</v>
      </c>
      <c r="I899" s="23">
        <v>24</v>
      </c>
      <c r="J899" s="23">
        <v>1</v>
      </c>
      <c r="K899" s="23">
        <v>5</v>
      </c>
      <c r="L899" s="23" t="s">
        <v>55</v>
      </c>
      <c r="M899" s="25">
        <v>5.0999999999999996</v>
      </c>
      <c r="N899">
        <f t="shared" ref="N899:N962" si="14">IF(M899 &lt;= I899, 1, 0)</f>
        <v>1</v>
      </c>
    </row>
    <row r="900" spans="1:14" x14ac:dyDescent="0.35">
      <c r="A900" s="6" t="s">
        <v>970</v>
      </c>
      <c r="B900" s="19" t="s">
        <v>158</v>
      </c>
      <c r="C900" s="19">
        <v>8</v>
      </c>
      <c r="D900" s="20">
        <v>45888</v>
      </c>
      <c r="E900" s="19" t="s">
        <v>13</v>
      </c>
      <c r="F900" s="19" t="s">
        <v>14</v>
      </c>
      <c r="G900" s="19" t="s">
        <v>15</v>
      </c>
      <c r="H900" s="19" t="s">
        <v>16</v>
      </c>
      <c r="I900" s="19">
        <v>48</v>
      </c>
      <c r="J900" s="19">
        <v>0</v>
      </c>
      <c r="K900" s="19">
        <v>3</v>
      </c>
      <c r="L900" s="19" t="s">
        <v>62</v>
      </c>
      <c r="M900" s="21">
        <v>2.8</v>
      </c>
      <c r="N900">
        <f t="shared" si="14"/>
        <v>1</v>
      </c>
    </row>
    <row r="901" spans="1:14" x14ac:dyDescent="0.35">
      <c r="A901" s="22" t="s">
        <v>971</v>
      </c>
      <c r="B901" s="23" t="s">
        <v>236</v>
      </c>
      <c r="C901" s="23">
        <v>5</v>
      </c>
      <c r="D901" s="24">
        <v>45790</v>
      </c>
      <c r="E901" s="23" t="s">
        <v>25</v>
      </c>
      <c r="F901" s="23" t="s">
        <v>43</v>
      </c>
      <c r="G901" s="23" t="s">
        <v>27</v>
      </c>
      <c r="H901" s="23" t="s">
        <v>22</v>
      </c>
      <c r="I901" s="23">
        <v>48</v>
      </c>
      <c r="J901" s="23">
        <v>2</v>
      </c>
      <c r="K901" s="23">
        <v>2</v>
      </c>
      <c r="L901" s="23" t="s">
        <v>62</v>
      </c>
      <c r="M901" s="25">
        <v>11.9</v>
      </c>
      <c r="N901">
        <f t="shared" si="14"/>
        <v>1</v>
      </c>
    </row>
    <row r="902" spans="1:14" x14ac:dyDescent="0.35">
      <c r="A902" s="6" t="s">
        <v>972</v>
      </c>
      <c r="B902" s="19" t="s">
        <v>104</v>
      </c>
      <c r="C902" s="19">
        <v>2</v>
      </c>
      <c r="D902" s="20">
        <v>45692</v>
      </c>
      <c r="E902" s="19" t="s">
        <v>36</v>
      </c>
      <c r="F902" s="19" t="s">
        <v>26</v>
      </c>
      <c r="G902" s="19" t="s">
        <v>21</v>
      </c>
      <c r="H902" s="19" t="s">
        <v>8364</v>
      </c>
      <c r="I902" s="19">
        <v>4</v>
      </c>
      <c r="J902" s="19">
        <v>0</v>
      </c>
      <c r="K902" s="19">
        <v>1</v>
      </c>
      <c r="L902" s="19" t="s">
        <v>55</v>
      </c>
      <c r="M902" s="21">
        <v>17</v>
      </c>
      <c r="N902">
        <f t="shared" si="14"/>
        <v>0</v>
      </c>
    </row>
    <row r="903" spans="1:14" x14ac:dyDescent="0.35">
      <c r="A903" s="22" t="s">
        <v>973</v>
      </c>
      <c r="B903" s="23" t="s">
        <v>51</v>
      </c>
      <c r="C903" s="23">
        <v>4</v>
      </c>
      <c r="D903" s="24">
        <v>45762</v>
      </c>
      <c r="E903" s="23" t="s">
        <v>20</v>
      </c>
      <c r="F903" s="23" t="s">
        <v>8364</v>
      </c>
      <c r="G903" s="23" t="s">
        <v>21</v>
      </c>
      <c r="H903" s="23" t="s">
        <v>28</v>
      </c>
      <c r="I903" s="23">
        <v>24</v>
      </c>
      <c r="J903" s="23">
        <v>0</v>
      </c>
      <c r="K903" s="23">
        <v>5</v>
      </c>
      <c r="L903" s="23" t="s">
        <v>8363</v>
      </c>
      <c r="M903" s="25"/>
      <c r="N903">
        <f t="shared" si="14"/>
        <v>1</v>
      </c>
    </row>
    <row r="904" spans="1:14" x14ac:dyDescent="0.35">
      <c r="A904" s="6" t="s">
        <v>974</v>
      </c>
      <c r="B904" s="19" t="s">
        <v>57</v>
      </c>
      <c r="C904" s="19">
        <v>3</v>
      </c>
      <c r="D904" s="20">
        <v>45731</v>
      </c>
      <c r="E904" s="19" t="s">
        <v>8364</v>
      </c>
      <c r="F904" s="19" t="s">
        <v>43</v>
      </c>
      <c r="G904" s="19" t="s">
        <v>31</v>
      </c>
      <c r="H904" s="19" t="s">
        <v>28</v>
      </c>
      <c r="I904" s="19">
        <v>4</v>
      </c>
      <c r="J904" s="19">
        <v>0</v>
      </c>
      <c r="K904" s="19">
        <v>4</v>
      </c>
      <c r="L904" s="19" t="s">
        <v>33</v>
      </c>
      <c r="M904" s="21">
        <v>2.5</v>
      </c>
      <c r="N904">
        <f t="shared" si="14"/>
        <v>1</v>
      </c>
    </row>
    <row r="905" spans="1:14" x14ac:dyDescent="0.35">
      <c r="A905" s="22" t="s">
        <v>975</v>
      </c>
      <c r="B905" s="23" t="s">
        <v>89</v>
      </c>
      <c r="C905" s="23">
        <v>10</v>
      </c>
      <c r="D905" s="24">
        <v>45957</v>
      </c>
      <c r="E905" s="23" t="s">
        <v>13</v>
      </c>
      <c r="F905" s="23" t="s">
        <v>8364</v>
      </c>
      <c r="G905" s="23" t="s">
        <v>15</v>
      </c>
      <c r="H905" s="23" t="s">
        <v>22</v>
      </c>
      <c r="I905" s="23">
        <v>4</v>
      </c>
      <c r="J905" s="23">
        <v>1</v>
      </c>
      <c r="K905" s="23"/>
      <c r="L905" s="23" t="s">
        <v>62</v>
      </c>
      <c r="M905" s="25">
        <v>0.9</v>
      </c>
      <c r="N905">
        <f t="shared" si="14"/>
        <v>1</v>
      </c>
    </row>
    <row r="906" spans="1:14" x14ac:dyDescent="0.35">
      <c r="A906" s="6" t="s">
        <v>976</v>
      </c>
      <c r="B906" s="19" t="s">
        <v>101</v>
      </c>
      <c r="C906" s="19">
        <v>9</v>
      </c>
      <c r="D906" s="20">
        <v>45901</v>
      </c>
      <c r="E906" s="19" t="s">
        <v>68</v>
      </c>
      <c r="F906" s="19" t="s">
        <v>43</v>
      </c>
      <c r="G906" s="19" t="s">
        <v>8364</v>
      </c>
      <c r="H906" s="19" t="s">
        <v>22</v>
      </c>
      <c r="I906" s="19">
        <v>24</v>
      </c>
      <c r="J906" s="19">
        <v>2</v>
      </c>
      <c r="K906" s="19">
        <v>4</v>
      </c>
      <c r="L906" s="19" t="s">
        <v>33</v>
      </c>
      <c r="M906" s="21">
        <v>21.1</v>
      </c>
      <c r="N906">
        <f t="shared" si="14"/>
        <v>1</v>
      </c>
    </row>
    <row r="907" spans="1:14" x14ac:dyDescent="0.35">
      <c r="A907" s="22" t="s">
        <v>977</v>
      </c>
      <c r="B907" s="23" t="s">
        <v>53</v>
      </c>
      <c r="C907" s="23">
        <v>4</v>
      </c>
      <c r="D907" s="24">
        <v>45774</v>
      </c>
      <c r="E907" s="23" t="s">
        <v>8364</v>
      </c>
      <c r="F907" s="23" t="s">
        <v>43</v>
      </c>
      <c r="G907" s="23" t="s">
        <v>8364</v>
      </c>
      <c r="H907" s="23" t="s">
        <v>22</v>
      </c>
      <c r="I907" s="23">
        <v>8</v>
      </c>
      <c r="J907" s="23">
        <v>0</v>
      </c>
      <c r="K907" s="23">
        <v>4</v>
      </c>
      <c r="L907" s="23" t="s">
        <v>8363</v>
      </c>
      <c r="M907" s="25">
        <v>2.7</v>
      </c>
      <c r="N907">
        <f t="shared" si="14"/>
        <v>1</v>
      </c>
    </row>
    <row r="908" spans="1:14" x14ac:dyDescent="0.35">
      <c r="A908" s="6" t="s">
        <v>978</v>
      </c>
      <c r="B908" s="19" t="s">
        <v>69</v>
      </c>
      <c r="C908" s="19">
        <v>11</v>
      </c>
      <c r="D908" s="20">
        <v>45973</v>
      </c>
      <c r="E908" s="19" t="s">
        <v>68</v>
      </c>
      <c r="F908" s="19" t="s">
        <v>59</v>
      </c>
      <c r="G908" s="19" t="s">
        <v>27</v>
      </c>
      <c r="H908" s="19" t="s">
        <v>32</v>
      </c>
      <c r="I908" s="19">
        <v>4</v>
      </c>
      <c r="J908" s="19">
        <v>3</v>
      </c>
      <c r="K908" s="19">
        <v>3</v>
      </c>
      <c r="L908" s="19" t="s">
        <v>8363</v>
      </c>
      <c r="M908" s="21">
        <v>43.5</v>
      </c>
      <c r="N908">
        <f t="shared" si="14"/>
        <v>0</v>
      </c>
    </row>
    <row r="909" spans="1:14" x14ac:dyDescent="0.35">
      <c r="A909" s="22" t="s">
        <v>979</v>
      </c>
      <c r="B909" s="23" t="s">
        <v>104</v>
      </c>
      <c r="C909" s="23">
        <v>8</v>
      </c>
      <c r="D909" s="24">
        <v>45873</v>
      </c>
      <c r="E909" s="23" t="s">
        <v>20</v>
      </c>
      <c r="F909" s="23" t="s">
        <v>43</v>
      </c>
      <c r="G909" s="23" t="s">
        <v>27</v>
      </c>
      <c r="H909" s="23" t="s">
        <v>32</v>
      </c>
      <c r="I909" s="23">
        <v>8</v>
      </c>
      <c r="J909" s="23"/>
      <c r="K909" s="23"/>
      <c r="L909" s="23" t="s">
        <v>8363</v>
      </c>
      <c r="M909" s="25">
        <v>4.3</v>
      </c>
      <c r="N909">
        <f t="shared" si="14"/>
        <v>1</v>
      </c>
    </row>
    <row r="910" spans="1:14" x14ac:dyDescent="0.35">
      <c r="A910" s="6" t="s">
        <v>980</v>
      </c>
      <c r="B910" s="19" t="s">
        <v>92</v>
      </c>
      <c r="C910" s="19">
        <v>6</v>
      </c>
      <c r="D910" s="20">
        <v>45820</v>
      </c>
      <c r="E910" s="19" t="s">
        <v>8364</v>
      </c>
      <c r="F910" s="19" t="s">
        <v>37</v>
      </c>
      <c r="G910" s="19" t="s">
        <v>31</v>
      </c>
      <c r="H910" s="19" t="s">
        <v>8364</v>
      </c>
      <c r="I910" s="19">
        <v>72</v>
      </c>
      <c r="J910" s="19">
        <v>0</v>
      </c>
      <c r="K910" s="19">
        <v>5</v>
      </c>
      <c r="L910" s="19" t="s">
        <v>8363</v>
      </c>
      <c r="M910" s="21">
        <v>12.4</v>
      </c>
      <c r="N910">
        <f t="shared" si="14"/>
        <v>1</v>
      </c>
    </row>
    <row r="911" spans="1:14" x14ac:dyDescent="0.35">
      <c r="A911" s="22" t="s">
        <v>981</v>
      </c>
      <c r="B911" s="23" t="s">
        <v>51</v>
      </c>
      <c r="C911" s="23">
        <v>12</v>
      </c>
      <c r="D911" s="24">
        <v>46016</v>
      </c>
      <c r="E911" s="23" t="s">
        <v>25</v>
      </c>
      <c r="F911" s="23" t="s">
        <v>14</v>
      </c>
      <c r="G911" s="23" t="s">
        <v>15</v>
      </c>
      <c r="H911" s="23" t="s">
        <v>8364</v>
      </c>
      <c r="I911" s="23">
        <v>4</v>
      </c>
      <c r="J911" s="23">
        <v>0</v>
      </c>
      <c r="K911" s="23">
        <v>5</v>
      </c>
      <c r="L911" s="23" t="s">
        <v>17</v>
      </c>
      <c r="M911" s="25"/>
      <c r="N911">
        <f t="shared" si="14"/>
        <v>1</v>
      </c>
    </row>
    <row r="912" spans="1:14" x14ac:dyDescent="0.35">
      <c r="A912" s="6" t="s">
        <v>982</v>
      </c>
      <c r="B912" s="19" t="s">
        <v>126</v>
      </c>
      <c r="C912" s="19">
        <v>5</v>
      </c>
      <c r="D912" s="20">
        <v>45806</v>
      </c>
      <c r="E912" s="19" t="s">
        <v>68</v>
      </c>
      <c r="F912" s="19" t="s">
        <v>43</v>
      </c>
      <c r="G912" s="19" t="s">
        <v>8364</v>
      </c>
      <c r="H912" s="19" t="s">
        <v>8364</v>
      </c>
      <c r="I912" s="19">
        <v>4</v>
      </c>
      <c r="J912" s="19">
        <v>0</v>
      </c>
      <c r="K912" s="19"/>
      <c r="L912" s="19" t="s">
        <v>8363</v>
      </c>
      <c r="M912" s="21">
        <v>19.8</v>
      </c>
      <c r="N912">
        <f t="shared" si="14"/>
        <v>0</v>
      </c>
    </row>
    <row r="913" spans="1:14" x14ac:dyDescent="0.35">
      <c r="A913" s="22" t="s">
        <v>983</v>
      </c>
      <c r="B913" s="23" t="s">
        <v>34</v>
      </c>
      <c r="C913" s="23">
        <v>1</v>
      </c>
      <c r="D913" s="24">
        <v>45659</v>
      </c>
      <c r="E913" s="23" t="s">
        <v>20</v>
      </c>
      <c r="F913" s="23" t="s">
        <v>40</v>
      </c>
      <c r="G913" s="23" t="s">
        <v>31</v>
      </c>
      <c r="H913" s="23" t="s">
        <v>28</v>
      </c>
      <c r="I913" s="23">
        <v>24</v>
      </c>
      <c r="J913" s="23">
        <v>1</v>
      </c>
      <c r="K913" s="23">
        <v>5</v>
      </c>
      <c r="L913" s="23" t="s">
        <v>44</v>
      </c>
      <c r="M913" s="25">
        <v>13.8</v>
      </c>
      <c r="N913">
        <f t="shared" si="14"/>
        <v>1</v>
      </c>
    </row>
    <row r="914" spans="1:14" x14ac:dyDescent="0.35">
      <c r="A914" s="6" t="s">
        <v>984</v>
      </c>
      <c r="B914" s="19" t="s">
        <v>104</v>
      </c>
      <c r="C914" s="19">
        <v>11</v>
      </c>
      <c r="D914" s="20">
        <v>45991</v>
      </c>
      <c r="E914" s="19" t="s">
        <v>36</v>
      </c>
      <c r="F914" s="19" t="s">
        <v>43</v>
      </c>
      <c r="G914" s="19" t="s">
        <v>31</v>
      </c>
      <c r="H914" s="19" t="s">
        <v>8364</v>
      </c>
      <c r="I914" s="19">
        <v>8</v>
      </c>
      <c r="J914" s="19">
        <v>2</v>
      </c>
      <c r="K914" s="19">
        <v>5</v>
      </c>
      <c r="L914" s="19" t="s">
        <v>75</v>
      </c>
      <c r="M914" s="21">
        <v>7.5</v>
      </c>
      <c r="N914">
        <f t="shared" si="14"/>
        <v>1</v>
      </c>
    </row>
    <row r="915" spans="1:14" x14ac:dyDescent="0.35">
      <c r="A915" s="22" t="s">
        <v>985</v>
      </c>
      <c r="B915" s="23" t="s">
        <v>139</v>
      </c>
      <c r="C915" s="23">
        <v>7</v>
      </c>
      <c r="D915" s="24">
        <v>45869</v>
      </c>
      <c r="E915" s="23" t="s">
        <v>25</v>
      </c>
      <c r="F915" s="23" t="s">
        <v>26</v>
      </c>
      <c r="G915" s="23" t="s">
        <v>31</v>
      </c>
      <c r="H915" s="23" t="s">
        <v>32</v>
      </c>
      <c r="I915" s="23">
        <v>4</v>
      </c>
      <c r="J915" s="23">
        <v>2</v>
      </c>
      <c r="K915" s="23">
        <v>3</v>
      </c>
      <c r="L915" s="23" t="s">
        <v>55</v>
      </c>
      <c r="M915" s="25">
        <v>13.7</v>
      </c>
      <c r="N915">
        <f t="shared" si="14"/>
        <v>0</v>
      </c>
    </row>
    <row r="916" spans="1:14" x14ac:dyDescent="0.35">
      <c r="A916" s="6" t="s">
        <v>986</v>
      </c>
      <c r="B916" s="19" t="s">
        <v>53</v>
      </c>
      <c r="C916" s="19">
        <v>4</v>
      </c>
      <c r="D916" s="20">
        <v>45763</v>
      </c>
      <c r="E916" s="19" t="s">
        <v>25</v>
      </c>
      <c r="F916" s="19" t="s">
        <v>43</v>
      </c>
      <c r="G916" s="19" t="s">
        <v>27</v>
      </c>
      <c r="H916" s="19" t="s">
        <v>22</v>
      </c>
      <c r="I916" s="19">
        <v>4</v>
      </c>
      <c r="J916" s="19">
        <v>0</v>
      </c>
      <c r="K916" s="19">
        <v>4</v>
      </c>
      <c r="L916" s="19" t="s">
        <v>62</v>
      </c>
      <c r="M916" s="21">
        <v>10.199999999999999</v>
      </c>
      <c r="N916">
        <f t="shared" si="14"/>
        <v>0</v>
      </c>
    </row>
    <row r="917" spans="1:14" x14ac:dyDescent="0.35">
      <c r="A917" s="22" t="s">
        <v>987</v>
      </c>
      <c r="B917" s="23" t="s">
        <v>92</v>
      </c>
      <c r="C917" s="23">
        <v>5</v>
      </c>
      <c r="D917" s="24">
        <v>45796</v>
      </c>
      <c r="E917" s="23" t="s">
        <v>25</v>
      </c>
      <c r="F917" s="23" t="s">
        <v>26</v>
      </c>
      <c r="G917" s="23" t="s">
        <v>27</v>
      </c>
      <c r="H917" s="23" t="s">
        <v>8364</v>
      </c>
      <c r="I917" s="23">
        <v>4</v>
      </c>
      <c r="J917" s="23">
        <v>1</v>
      </c>
      <c r="K917" s="23">
        <v>4</v>
      </c>
      <c r="L917" s="23" t="s">
        <v>75</v>
      </c>
      <c r="M917" s="25">
        <v>7.3</v>
      </c>
      <c r="N917">
        <f t="shared" si="14"/>
        <v>0</v>
      </c>
    </row>
    <row r="918" spans="1:14" x14ac:dyDescent="0.35">
      <c r="A918" s="6" t="s">
        <v>988</v>
      </c>
      <c r="B918" s="19" t="s">
        <v>81</v>
      </c>
      <c r="C918" s="19">
        <v>3</v>
      </c>
      <c r="D918" s="20">
        <v>45734</v>
      </c>
      <c r="E918" s="19" t="s">
        <v>68</v>
      </c>
      <c r="F918" s="19" t="s">
        <v>26</v>
      </c>
      <c r="G918" s="19" t="s">
        <v>27</v>
      </c>
      <c r="H918" s="19" t="s">
        <v>28</v>
      </c>
      <c r="I918" s="19">
        <v>8</v>
      </c>
      <c r="J918" s="19">
        <v>0</v>
      </c>
      <c r="K918" s="19">
        <v>3</v>
      </c>
      <c r="L918" s="19" t="s">
        <v>44</v>
      </c>
      <c r="M918" s="21">
        <v>7.3</v>
      </c>
      <c r="N918">
        <f t="shared" si="14"/>
        <v>1</v>
      </c>
    </row>
    <row r="919" spans="1:14" x14ac:dyDescent="0.35">
      <c r="A919" s="22" t="s">
        <v>989</v>
      </c>
      <c r="B919" s="23" t="s">
        <v>47</v>
      </c>
      <c r="C919" s="23">
        <v>6</v>
      </c>
      <c r="D919" s="24">
        <v>45815</v>
      </c>
      <c r="E919" s="23" t="s">
        <v>25</v>
      </c>
      <c r="F919" s="23" t="s">
        <v>14</v>
      </c>
      <c r="G919" s="23" t="s">
        <v>31</v>
      </c>
      <c r="H919" s="23" t="s">
        <v>22</v>
      </c>
      <c r="I919" s="23">
        <v>4</v>
      </c>
      <c r="J919" s="23">
        <v>0</v>
      </c>
      <c r="K919" s="23">
        <v>5</v>
      </c>
      <c r="L919" s="23" t="s">
        <v>33</v>
      </c>
      <c r="M919" s="25">
        <v>4.9000000000000004</v>
      </c>
      <c r="N919">
        <f t="shared" si="14"/>
        <v>0</v>
      </c>
    </row>
    <row r="920" spans="1:14" x14ac:dyDescent="0.35">
      <c r="A920" s="6" t="s">
        <v>990</v>
      </c>
      <c r="B920" s="19" t="s">
        <v>97</v>
      </c>
      <c r="C920" s="19">
        <v>6</v>
      </c>
      <c r="D920" s="20">
        <v>45812</v>
      </c>
      <c r="E920" s="19" t="s">
        <v>36</v>
      </c>
      <c r="F920" s="19" t="s">
        <v>40</v>
      </c>
      <c r="G920" s="19" t="s">
        <v>31</v>
      </c>
      <c r="H920" s="19" t="s">
        <v>28</v>
      </c>
      <c r="I920" s="19">
        <v>48</v>
      </c>
      <c r="J920" s="19">
        <v>0</v>
      </c>
      <c r="K920" s="19">
        <v>5</v>
      </c>
      <c r="L920" s="19" t="s">
        <v>38</v>
      </c>
      <c r="M920" s="21">
        <v>16.5</v>
      </c>
      <c r="N920">
        <f t="shared" si="14"/>
        <v>1</v>
      </c>
    </row>
    <row r="921" spans="1:14" x14ac:dyDescent="0.35">
      <c r="A921" s="22" t="s">
        <v>991</v>
      </c>
      <c r="B921" s="23" t="s">
        <v>89</v>
      </c>
      <c r="C921" s="23">
        <v>6</v>
      </c>
      <c r="D921" s="24">
        <v>45811</v>
      </c>
      <c r="E921" s="23" t="s">
        <v>13</v>
      </c>
      <c r="F921" s="23" t="s">
        <v>43</v>
      </c>
      <c r="G921" s="23" t="s">
        <v>21</v>
      </c>
      <c r="H921" s="23" t="s">
        <v>16</v>
      </c>
      <c r="I921" s="23">
        <v>8</v>
      </c>
      <c r="J921" s="23">
        <v>0</v>
      </c>
      <c r="K921" s="23">
        <v>3</v>
      </c>
      <c r="L921" s="23" t="s">
        <v>44</v>
      </c>
      <c r="M921" s="25">
        <v>10.8</v>
      </c>
      <c r="N921">
        <f t="shared" si="14"/>
        <v>0</v>
      </c>
    </row>
    <row r="922" spans="1:14" x14ac:dyDescent="0.35">
      <c r="A922" s="6" t="s">
        <v>992</v>
      </c>
      <c r="B922" s="19" t="s">
        <v>47</v>
      </c>
      <c r="C922" s="19">
        <v>6</v>
      </c>
      <c r="D922" s="20">
        <v>45821</v>
      </c>
      <c r="E922" s="19" t="s">
        <v>20</v>
      </c>
      <c r="F922" s="19" t="s">
        <v>8364</v>
      </c>
      <c r="G922" s="19" t="s">
        <v>8364</v>
      </c>
      <c r="H922" s="19" t="s">
        <v>8364</v>
      </c>
      <c r="I922" s="19">
        <v>48</v>
      </c>
      <c r="J922" s="19">
        <v>1</v>
      </c>
      <c r="K922" s="19">
        <v>5</v>
      </c>
      <c r="L922" s="19" t="s">
        <v>33</v>
      </c>
      <c r="M922" s="21">
        <v>29</v>
      </c>
      <c r="N922">
        <f t="shared" si="14"/>
        <v>1</v>
      </c>
    </row>
    <row r="923" spans="1:14" x14ac:dyDescent="0.35">
      <c r="A923" s="22" t="s">
        <v>993</v>
      </c>
      <c r="B923" s="23" t="s">
        <v>253</v>
      </c>
      <c r="C923" s="23">
        <v>8</v>
      </c>
      <c r="D923" s="24">
        <v>45899</v>
      </c>
      <c r="E923" s="23" t="s">
        <v>13</v>
      </c>
      <c r="F923" s="23" t="s">
        <v>8364</v>
      </c>
      <c r="G923" s="23" t="s">
        <v>31</v>
      </c>
      <c r="H923" s="23" t="s">
        <v>22</v>
      </c>
      <c r="I923" s="23">
        <v>72</v>
      </c>
      <c r="J923" s="23">
        <v>1</v>
      </c>
      <c r="K923" s="23">
        <v>5</v>
      </c>
      <c r="L923" s="23" t="s">
        <v>44</v>
      </c>
      <c r="M923" s="25">
        <v>35.5</v>
      </c>
      <c r="N923">
        <f t="shared" si="14"/>
        <v>1</v>
      </c>
    </row>
    <row r="924" spans="1:14" x14ac:dyDescent="0.35">
      <c r="A924" s="6" t="s">
        <v>994</v>
      </c>
      <c r="B924" s="19" t="s">
        <v>69</v>
      </c>
      <c r="C924" s="19">
        <v>4</v>
      </c>
      <c r="D924" s="20">
        <v>45774</v>
      </c>
      <c r="E924" s="19" t="s">
        <v>36</v>
      </c>
      <c r="F924" s="19" t="s">
        <v>14</v>
      </c>
      <c r="G924" s="19" t="s">
        <v>15</v>
      </c>
      <c r="H924" s="19" t="s">
        <v>22</v>
      </c>
      <c r="I924" s="19">
        <v>24</v>
      </c>
      <c r="J924" s="19">
        <v>1</v>
      </c>
      <c r="K924" s="19">
        <v>5</v>
      </c>
      <c r="L924" s="19" t="s">
        <v>8363</v>
      </c>
      <c r="M924" s="21">
        <v>20.8</v>
      </c>
      <c r="N924">
        <f t="shared" si="14"/>
        <v>1</v>
      </c>
    </row>
    <row r="925" spans="1:14" x14ac:dyDescent="0.35">
      <c r="A925" s="22" t="s">
        <v>995</v>
      </c>
      <c r="B925" s="23" t="s">
        <v>146</v>
      </c>
      <c r="C925" s="23">
        <v>10</v>
      </c>
      <c r="D925" s="24">
        <v>45950</v>
      </c>
      <c r="E925" s="23" t="s">
        <v>8364</v>
      </c>
      <c r="F925" s="23" t="s">
        <v>37</v>
      </c>
      <c r="G925" s="23" t="s">
        <v>27</v>
      </c>
      <c r="H925" s="23" t="s">
        <v>8364</v>
      </c>
      <c r="I925" s="23">
        <v>24</v>
      </c>
      <c r="J925" s="23">
        <v>0</v>
      </c>
      <c r="K925" s="23">
        <v>4</v>
      </c>
      <c r="L925" s="23" t="s">
        <v>55</v>
      </c>
      <c r="M925" s="25">
        <v>15.9</v>
      </c>
      <c r="N925">
        <f t="shared" si="14"/>
        <v>1</v>
      </c>
    </row>
    <row r="926" spans="1:14" x14ac:dyDescent="0.35">
      <c r="A926" s="6" t="s">
        <v>996</v>
      </c>
      <c r="B926" s="19" t="s">
        <v>53</v>
      </c>
      <c r="C926" s="19">
        <v>1</v>
      </c>
      <c r="D926" s="20">
        <v>45665</v>
      </c>
      <c r="E926" s="19" t="s">
        <v>13</v>
      </c>
      <c r="F926" s="19" t="s">
        <v>43</v>
      </c>
      <c r="G926" s="19" t="s">
        <v>21</v>
      </c>
      <c r="H926" s="19" t="s">
        <v>22</v>
      </c>
      <c r="I926" s="19">
        <v>24</v>
      </c>
      <c r="J926" s="19">
        <v>0</v>
      </c>
      <c r="K926" s="19">
        <v>3</v>
      </c>
      <c r="L926" s="19" t="s">
        <v>55</v>
      </c>
      <c r="M926" s="21">
        <v>16.100000000000001</v>
      </c>
      <c r="N926">
        <f t="shared" si="14"/>
        <v>1</v>
      </c>
    </row>
    <row r="927" spans="1:14" x14ac:dyDescent="0.35">
      <c r="A927" s="22" t="s">
        <v>997</v>
      </c>
      <c r="B927" s="23" t="s">
        <v>97</v>
      </c>
      <c r="C927" s="23">
        <v>7</v>
      </c>
      <c r="D927" s="24">
        <v>45864</v>
      </c>
      <c r="E927" s="23" t="s">
        <v>68</v>
      </c>
      <c r="F927" s="23" t="s">
        <v>43</v>
      </c>
      <c r="G927" s="23" t="s">
        <v>8364</v>
      </c>
      <c r="H927" s="23" t="s">
        <v>32</v>
      </c>
      <c r="I927" s="23">
        <v>48</v>
      </c>
      <c r="J927" s="23">
        <v>0</v>
      </c>
      <c r="K927" s="23">
        <v>5</v>
      </c>
      <c r="L927" s="23" t="s">
        <v>38</v>
      </c>
      <c r="M927" s="25">
        <v>6.8</v>
      </c>
      <c r="N927">
        <f t="shared" si="14"/>
        <v>1</v>
      </c>
    </row>
    <row r="928" spans="1:14" x14ac:dyDescent="0.35">
      <c r="A928" s="6" t="s">
        <v>998</v>
      </c>
      <c r="B928" s="19" t="s">
        <v>69</v>
      </c>
      <c r="C928" s="19"/>
      <c r="D928" s="20"/>
      <c r="E928" s="19" t="s">
        <v>25</v>
      </c>
      <c r="F928" s="19" t="s">
        <v>8364</v>
      </c>
      <c r="G928" s="19" t="s">
        <v>8364</v>
      </c>
      <c r="H928" s="19" t="s">
        <v>32</v>
      </c>
      <c r="I928" s="19">
        <v>48</v>
      </c>
      <c r="J928" s="19">
        <v>0</v>
      </c>
      <c r="K928" s="19">
        <v>4</v>
      </c>
      <c r="L928" s="19" t="s">
        <v>8363</v>
      </c>
      <c r="M928" s="21">
        <v>12.9</v>
      </c>
      <c r="N928">
        <f t="shared" si="14"/>
        <v>1</v>
      </c>
    </row>
    <row r="929" spans="1:14" x14ac:dyDescent="0.35">
      <c r="A929" s="22" t="s">
        <v>999</v>
      </c>
      <c r="B929" s="23" t="s">
        <v>108</v>
      </c>
      <c r="C929" s="23">
        <v>4</v>
      </c>
      <c r="D929" s="24">
        <v>45760</v>
      </c>
      <c r="E929" s="23" t="s">
        <v>8364</v>
      </c>
      <c r="F929" s="23" t="s">
        <v>40</v>
      </c>
      <c r="G929" s="23" t="s">
        <v>27</v>
      </c>
      <c r="H929" s="23" t="s">
        <v>32</v>
      </c>
      <c r="I929" s="23">
        <v>72</v>
      </c>
      <c r="J929" s="23">
        <v>0</v>
      </c>
      <c r="K929" s="23">
        <v>4</v>
      </c>
      <c r="L929" s="23" t="s">
        <v>33</v>
      </c>
      <c r="M929" s="25">
        <v>12.9</v>
      </c>
      <c r="N929">
        <f t="shared" si="14"/>
        <v>1</v>
      </c>
    </row>
    <row r="930" spans="1:14" x14ac:dyDescent="0.35">
      <c r="A930" s="6" t="s">
        <v>1000</v>
      </c>
      <c r="B930" s="19" t="s">
        <v>23</v>
      </c>
      <c r="C930" s="19"/>
      <c r="D930" s="20"/>
      <c r="E930" s="19" t="s">
        <v>20</v>
      </c>
      <c r="F930" s="19" t="s">
        <v>43</v>
      </c>
      <c r="G930" s="19" t="s">
        <v>21</v>
      </c>
      <c r="H930" s="19" t="s">
        <v>22</v>
      </c>
      <c r="I930" s="19">
        <v>72</v>
      </c>
      <c r="J930" s="19">
        <v>0</v>
      </c>
      <c r="K930" s="19">
        <v>5</v>
      </c>
      <c r="L930" s="19" t="s">
        <v>38</v>
      </c>
      <c r="M930" s="21">
        <v>2.1</v>
      </c>
      <c r="N930">
        <f t="shared" si="14"/>
        <v>1</v>
      </c>
    </row>
    <row r="931" spans="1:14" x14ac:dyDescent="0.35">
      <c r="A931" s="22" t="s">
        <v>1001</v>
      </c>
      <c r="B931" s="23" t="s">
        <v>47</v>
      </c>
      <c r="C931" s="23">
        <v>10</v>
      </c>
      <c r="D931" s="24">
        <v>45947</v>
      </c>
      <c r="E931" s="23" t="s">
        <v>13</v>
      </c>
      <c r="F931" s="23" t="s">
        <v>37</v>
      </c>
      <c r="G931" s="23" t="s">
        <v>31</v>
      </c>
      <c r="H931" s="23" t="s">
        <v>28</v>
      </c>
      <c r="I931" s="23">
        <v>72</v>
      </c>
      <c r="J931" s="23">
        <v>0</v>
      </c>
      <c r="K931" s="23">
        <v>4</v>
      </c>
      <c r="L931" s="23" t="s">
        <v>38</v>
      </c>
      <c r="M931" s="25">
        <v>10.1</v>
      </c>
      <c r="N931">
        <f t="shared" si="14"/>
        <v>1</v>
      </c>
    </row>
    <row r="932" spans="1:14" x14ac:dyDescent="0.35">
      <c r="A932" s="6" t="s">
        <v>1002</v>
      </c>
      <c r="B932" s="19" t="s">
        <v>65</v>
      </c>
      <c r="C932" s="19">
        <v>4</v>
      </c>
      <c r="D932" s="20">
        <v>45760</v>
      </c>
      <c r="E932" s="19" t="s">
        <v>8364</v>
      </c>
      <c r="F932" s="19" t="s">
        <v>40</v>
      </c>
      <c r="G932" s="19" t="s">
        <v>8364</v>
      </c>
      <c r="H932" s="19" t="s">
        <v>22</v>
      </c>
      <c r="I932" s="19">
        <v>24</v>
      </c>
      <c r="J932" s="19">
        <v>0</v>
      </c>
      <c r="K932" s="19">
        <v>5</v>
      </c>
      <c r="L932" s="19" t="s">
        <v>62</v>
      </c>
      <c r="M932" s="21">
        <v>8.8000000000000007</v>
      </c>
      <c r="N932">
        <f t="shared" si="14"/>
        <v>1</v>
      </c>
    </row>
    <row r="933" spans="1:14" x14ac:dyDescent="0.35">
      <c r="A933" s="22" t="s">
        <v>1003</v>
      </c>
      <c r="B933" s="23" t="s">
        <v>69</v>
      </c>
      <c r="C933" s="23">
        <v>2</v>
      </c>
      <c r="D933" s="24">
        <v>45697</v>
      </c>
      <c r="E933" s="23" t="s">
        <v>13</v>
      </c>
      <c r="F933" s="23" t="s">
        <v>59</v>
      </c>
      <c r="G933" s="23" t="s">
        <v>21</v>
      </c>
      <c r="H933" s="23" t="s">
        <v>22</v>
      </c>
      <c r="I933" s="23">
        <v>48</v>
      </c>
      <c r="J933" s="23">
        <v>1</v>
      </c>
      <c r="K933" s="23">
        <v>4</v>
      </c>
      <c r="L933" s="23" t="s">
        <v>8363</v>
      </c>
      <c r="M933" s="25">
        <v>7.5</v>
      </c>
      <c r="N933">
        <f t="shared" si="14"/>
        <v>1</v>
      </c>
    </row>
    <row r="934" spans="1:14" x14ac:dyDescent="0.35">
      <c r="A934" s="6" t="s">
        <v>1004</v>
      </c>
      <c r="B934" s="19" t="s">
        <v>85</v>
      </c>
      <c r="C934" s="19">
        <v>1</v>
      </c>
      <c r="D934" s="20">
        <v>45682</v>
      </c>
      <c r="E934" s="19" t="s">
        <v>13</v>
      </c>
      <c r="F934" s="19" t="s">
        <v>37</v>
      </c>
      <c r="G934" s="19" t="s">
        <v>27</v>
      </c>
      <c r="H934" s="19" t="s">
        <v>8364</v>
      </c>
      <c r="I934" s="19">
        <v>4</v>
      </c>
      <c r="J934" s="19">
        <v>0</v>
      </c>
      <c r="K934" s="19">
        <v>3</v>
      </c>
      <c r="L934" s="19" t="s">
        <v>75</v>
      </c>
      <c r="M934" s="21"/>
      <c r="N934">
        <f t="shared" si="14"/>
        <v>1</v>
      </c>
    </row>
    <row r="935" spans="1:14" x14ac:dyDescent="0.35">
      <c r="A935" s="22" t="s">
        <v>1005</v>
      </c>
      <c r="B935" s="23" t="s">
        <v>41</v>
      </c>
      <c r="C935" s="23">
        <v>12</v>
      </c>
      <c r="D935" s="24">
        <v>46014</v>
      </c>
      <c r="E935" s="23" t="s">
        <v>68</v>
      </c>
      <c r="F935" s="23" t="s">
        <v>59</v>
      </c>
      <c r="G935" s="23" t="s">
        <v>27</v>
      </c>
      <c r="H935" s="23" t="s">
        <v>16</v>
      </c>
      <c r="I935" s="23">
        <v>72</v>
      </c>
      <c r="J935" s="23">
        <v>0</v>
      </c>
      <c r="K935" s="23">
        <v>5</v>
      </c>
      <c r="L935" s="23" t="s">
        <v>75</v>
      </c>
      <c r="M935" s="25">
        <v>13.3</v>
      </c>
      <c r="N935">
        <f t="shared" si="14"/>
        <v>1</v>
      </c>
    </row>
    <row r="936" spans="1:14" x14ac:dyDescent="0.35">
      <c r="A936" s="6" t="s">
        <v>1006</v>
      </c>
      <c r="B936" s="19" t="s">
        <v>53</v>
      </c>
      <c r="C936" s="19">
        <v>5</v>
      </c>
      <c r="D936" s="20">
        <v>45797</v>
      </c>
      <c r="E936" s="19" t="s">
        <v>36</v>
      </c>
      <c r="F936" s="19" t="s">
        <v>8364</v>
      </c>
      <c r="G936" s="19" t="s">
        <v>21</v>
      </c>
      <c r="H936" s="19" t="s">
        <v>22</v>
      </c>
      <c r="I936" s="19">
        <v>8</v>
      </c>
      <c r="J936" s="19">
        <v>0</v>
      </c>
      <c r="K936" s="19">
        <v>5</v>
      </c>
      <c r="L936" s="19" t="s">
        <v>38</v>
      </c>
      <c r="M936" s="21">
        <v>4</v>
      </c>
      <c r="N936">
        <f t="shared" si="14"/>
        <v>1</v>
      </c>
    </row>
    <row r="937" spans="1:14" x14ac:dyDescent="0.35">
      <c r="A937" s="22" t="s">
        <v>1007</v>
      </c>
      <c r="B937" s="23" t="s">
        <v>89</v>
      </c>
      <c r="C937" s="23">
        <v>2</v>
      </c>
      <c r="D937" s="24">
        <v>45690</v>
      </c>
      <c r="E937" s="23" t="s">
        <v>36</v>
      </c>
      <c r="F937" s="23" t="s">
        <v>59</v>
      </c>
      <c r="G937" s="23" t="s">
        <v>31</v>
      </c>
      <c r="H937" s="23" t="s">
        <v>32</v>
      </c>
      <c r="I937" s="23">
        <v>24</v>
      </c>
      <c r="J937" s="23">
        <v>0</v>
      </c>
      <c r="K937" s="23">
        <v>4</v>
      </c>
      <c r="L937" s="23" t="s">
        <v>33</v>
      </c>
      <c r="M937" s="25">
        <v>11</v>
      </c>
      <c r="N937">
        <f t="shared" si="14"/>
        <v>1</v>
      </c>
    </row>
    <row r="938" spans="1:14" x14ac:dyDescent="0.35">
      <c r="A938" s="6" t="s">
        <v>1008</v>
      </c>
      <c r="B938" s="19" t="s">
        <v>47</v>
      </c>
      <c r="C938" s="19">
        <v>5</v>
      </c>
      <c r="D938" s="20">
        <v>45794</v>
      </c>
      <c r="E938" s="19" t="s">
        <v>36</v>
      </c>
      <c r="F938" s="19" t="s">
        <v>8364</v>
      </c>
      <c r="G938" s="19" t="s">
        <v>15</v>
      </c>
      <c r="H938" s="19" t="s">
        <v>32</v>
      </c>
      <c r="I938" s="19">
        <v>24</v>
      </c>
      <c r="J938" s="19">
        <v>2</v>
      </c>
      <c r="K938" s="19">
        <v>2</v>
      </c>
      <c r="L938" s="19" t="s">
        <v>55</v>
      </c>
      <c r="M938" s="21">
        <v>18.3</v>
      </c>
      <c r="N938">
        <f t="shared" si="14"/>
        <v>1</v>
      </c>
    </row>
    <row r="939" spans="1:14" x14ac:dyDescent="0.35">
      <c r="A939" s="22" t="s">
        <v>1009</v>
      </c>
      <c r="B939" s="23" t="s">
        <v>18</v>
      </c>
      <c r="C939" s="23">
        <v>9</v>
      </c>
      <c r="D939" s="24">
        <v>45929</v>
      </c>
      <c r="E939" s="23" t="s">
        <v>8364</v>
      </c>
      <c r="F939" s="23" t="s">
        <v>14</v>
      </c>
      <c r="G939" s="23" t="s">
        <v>27</v>
      </c>
      <c r="H939" s="23" t="s">
        <v>32</v>
      </c>
      <c r="I939" s="23">
        <v>48</v>
      </c>
      <c r="J939" s="23">
        <v>0</v>
      </c>
      <c r="K939" s="23">
        <v>2</v>
      </c>
      <c r="L939" s="23" t="s">
        <v>8363</v>
      </c>
      <c r="M939" s="25">
        <v>12.6</v>
      </c>
      <c r="N939">
        <f t="shared" si="14"/>
        <v>1</v>
      </c>
    </row>
    <row r="940" spans="1:14" x14ac:dyDescent="0.35">
      <c r="A940" s="6" t="s">
        <v>1010</v>
      </c>
      <c r="B940" s="19" t="s">
        <v>39</v>
      </c>
      <c r="C940" s="19">
        <v>11</v>
      </c>
      <c r="D940" s="20">
        <v>45964</v>
      </c>
      <c r="E940" s="19" t="s">
        <v>68</v>
      </c>
      <c r="F940" s="19" t="s">
        <v>43</v>
      </c>
      <c r="G940" s="19" t="s">
        <v>21</v>
      </c>
      <c r="H940" s="19" t="s">
        <v>22</v>
      </c>
      <c r="I940" s="19">
        <v>24</v>
      </c>
      <c r="J940" s="19">
        <v>0</v>
      </c>
      <c r="K940" s="19">
        <v>4</v>
      </c>
      <c r="L940" s="19" t="s">
        <v>55</v>
      </c>
      <c r="M940" s="21">
        <v>17.600000000000001</v>
      </c>
      <c r="N940">
        <f t="shared" si="14"/>
        <v>1</v>
      </c>
    </row>
    <row r="941" spans="1:14" x14ac:dyDescent="0.35">
      <c r="A941" s="22" t="s">
        <v>1011</v>
      </c>
      <c r="B941" s="23" t="s">
        <v>181</v>
      </c>
      <c r="C941" s="23">
        <v>4</v>
      </c>
      <c r="D941" s="24">
        <v>45775</v>
      </c>
      <c r="E941" s="23" t="s">
        <v>20</v>
      </c>
      <c r="F941" s="23" t="s">
        <v>14</v>
      </c>
      <c r="G941" s="23" t="s">
        <v>27</v>
      </c>
      <c r="H941" s="23" t="s">
        <v>22</v>
      </c>
      <c r="I941" s="23">
        <v>4</v>
      </c>
      <c r="J941" s="23">
        <v>1</v>
      </c>
      <c r="K941" s="23">
        <v>2</v>
      </c>
      <c r="L941" s="23" t="s">
        <v>44</v>
      </c>
      <c r="M941" s="25">
        <v>37.9</v>
      </c>
      <c r="N941">
        <f t="shared" si="14"/>
        <v>0</v>
      </c>
    </row>
    <row r="942" spans="1:14" x14ac:dyDescent="0.35">
      <c r="A942" s="6" t="s">
        <v>1012</v>
      </c>
      <c r="B942" s="19" t="s">
        <v>34</v>
      </c>
      <c r="C942" s="19">
        <v>5</v>
      </c>
      <c r="D942" s="20">
        <v>45788</v>
      </c>
      <c r="E942" s="19" t="s">
        <v>8364</v>
      </c>
      <c r="F942" s="19" t="s">
        <v>8364</v>
      </c>
      <c r="G942" s="19" t="s">
        <v>31</v>
      </c>
      <c r="H942" s="19" t="s">
        <v>8364</v>
      </c>
      <c r="I942" s="19">
        <v>4</v>
      </c>
      <c r="J942" s="19">
        <v>0</v>
      </c>
      <c r="K942" s="19"/>
      <c r="L942" s="19" t="s">
        <v>75</v>
      </c>
      <c r="M942" s="21">
        <v>8.9</v>
      </c>
      <c r="N942">
        <f t="shared" si="14"/>
        <v>0</v>
      </c>
    </row>
    <row r="943" spans="1:14" x14ac:dyDescent="0.35">
      <c r="A943" s="22" t="s">
        <v>1013</v>
      </c>
      <c r="B943" s="23" t="s">
        <v>65</v>
      </c>
      <c r="C943" s="23">
        <v>3</v>
      </c>
      <c r="D943" s="24">
        <v>45722</v>
      </c>
      <c r="E943" s="23" t="s">
        <v>20</v>
      </c>
      <c r="F943" s="23" t="s">
        <v>14</v>
      </c>
      <c r="G943" s="23" t="s">
        <v>8364</v>
      </c>
      <c r="H943" s="23" t="s">
        <v>8364</v>
      </c>
      <c r="I943" s="23">
        <v>72</v>
      </c>
      <c r="J943" s="23">
        <v>2</v>
      </c>
      <c r="K943" s="23">
        <v>5</v>
      </c>
      <c r="L943" s="23" t="s">
        <v>8363</v>
      </c>
      <c r="M943" s="25">
        <v>18.8</v>
      </c>
      <c r="N943">
        <f t="shared" si="14"/>
        <v>1</v>
      </c>
    </row>
    <row r="944" spans="1:14" x14ac:dyDescent="0.35">
      <c r="A944" s="6" t="s">
        <v>1014</v>
      </c>
      <c r="B944" s="19" t="s">
        <v>72</v>
      </c>
      <c r="C944" s="19">
        <v>10</v>
      </c>
      <c r="D944" s="20">
        <v>45931</v>
      </c>
      <c r="E944" s="19" t="s">
        <v>13</v>
      </c>
      <c r="F944" s="19" t="s">
        <v>8364</v>
      </c>
      <c r="G944" s="19" t="s">
        <v>31</v>
      </c>
      <c r="H944" s="19" t="s">
        <v>22</v>
      </c>
      <c r="I944" s="19">
        <v>48</v>
      </c>
      <c r="J944" s="19">
        <v>0</v>
      </c>
      <c r="K944" s="19"/>
      <c r="L944" s="19" t="s">
        <v>62</v>
      </c>
      <c r="M944" s="21">
        <v>11</v>
      </c>
      <c r="N944">
        <f t="shared" si="14"/>
        <v>1</v>
      </c>
    </row>
    <row r="945" spans="1:14" x14ac:dyDescent="0.35">
      <c r="A945" s="22" t="s">
        <v>1015</v>
      </c>
      <c r="B945" s="23" t="s">
        <v>34</v>
      </c>
      <c r="C945" s="23">
        <v>12</v>
      </c>
      <c r="D945" s="24">
        <v>45994</v>
      </c>
      <c r="E945" s="23" t="s">
        <v>20</v>
      </c>
      <c r="F945" s="23" t="s">
        <v>59</v>
      </c>
      <c r="G945" s="23" t="s">
        <v>31</v>
      </c>
      <c r="H945" s="23" t="s">
        <v>8364</v>
      </c>
      <c r="I945" s="23">
        <v>8</v>
      </c>
      <c r="J945" s="23">
        <v>0</v>
      </c>
      <c r="K945" s="23">
        <v>3</v>
      </c>
      <c r="L945" s="23" t="s">
        <v>44</v>
      </c>
      <c r="M945" s="25">
        <v>28.1</v>
      </c>
      <c r="N945">
        <f t="shared" si="14"/>
        <v>0</v>
      </c>
    </row>
    <row r="946" spans="1:14" x14ac:dyDescent="0.35">
      <c r="A946" s="6" t="s">
        <v>1016</v>
      </c>
      <c r="B946" s="19" t="s">
        <v>49</v>
      </c>
      <c r="C946" s="19">
        <v>5</v>
      </c>
      <c r="D946" s="20">
        <v>45805</v>
      </c>
      <c r="E946" s="19" t="s">
        <v>8364</v>
      </c>
      <c r="F946" s="19" t="s">
        <v>40</v>
      </c>
      <c r="G946" s="19" t="s">
        <v>27</v>
      </c>
      <c r="H946" s="19" t="s">
        <v>8364</v>
      </c>
      <c r="I946" s="19">
        <v>8</v>
      </c>
      <c r="J946" s="19">
        <v>1</v>
      </c>
      <c r="K946" s="19">
        <v>2</v>
      </c>
      <c r="L946" s="19" t="s">
        <v>33</v>
      </c>
      <c r="M946" s="21">
        <v>15.1</v>
      </c>
      <c r="N946">
        <f t="shared" si="14"/>
        <v>0</v>
      </c>
    </row>
    <row r="947" spans="1:14" x14ac:dyDescent="0.35">
      <c r="A947" s="22" t="s">
        <v>1017</v>
      </c>
      <c r="B947" s="23" t="s">
        <v>69</v>
      </c>
      <c r="C947" s="23">
        <v>8</v>
      </c>
      <c r="D947" s="24">
        <v>45891</v>
      </c>
      <c r="E947" s="23" t="s">
        <v>25</v>
      </c>
      <c r="F947" s="23" t="s">
        <v>37</v>
      </c>
      <c r="G947" s="23" t="s">
        <v>15</v>
      </c>
      <c r="H947" s="23" t="s">
        <v>22</v>
      </c>
      <c r="I947" s="23">
        <v>72</v>
      </c>
      <c r="J947" s="23">
        <v>1</v>
      </c>
      <c r="K947" s="23">
        <v>3</v>
      </c>
      <c r="L947" s="23" t="s">
        <v>55</v>
      </c>
      <c r="M947" s="25">
        <v>14.5</v>
      </c>
      <c r="N947">
        <f t="shared" si="14"/>
        <v>1</v>
      </c>
    </row>
    <row r="948" spans="1:14" x14ac:dyDescent="0.35">
      <c r="A948" s="6" t="s">
        <v>1018</v>
      </c>
      <c r="B948" s="19" t="s">
        <v>130</v>
      </c>
      <c r="C948" s="19">
        <v>2</v>
      </c>
      <c r="D948" s="20">
        <v>45704</v>
      </c>
      <c r="E948" s="19" t="s">
        <v>13</v>
      </c>
      <c r="F948" s="19" t="s">
        <v>59</v>
      </c>
      <c r="G948" s="19" t="s">
        <v>15</v>
      </c>
      <c r="H948" s="19" t="s">
        <v>32</v>
      </c>
      <c r="I948" s="19">
        <v>24</v>
      </c>
      <c r="J948" s="19">
        <v>1</v>
      </c>
      <c r="K948" s="19">
        <v>5</v>
      </c>
      <c r="L948" s="19" t="s">
        <v>38</v>
      </c>
      <c r="M948" s="21"/>
      <c r="N948">
        <f t="shared" si="14"/>
        <v>1</v>
      </c>
    </row>
    <row r="949" spans="1:14" x14ac:dyDescent="0.35">
      <c r="A949" s="22" t="s">
        <v>1019</v>
      </c>
      <c r="B949" s="23" t="s">
        <v>78</v>
      </c>
      <c r="C949" s="23">
        <v>10</v>
      </c>
      <c r="D949" s="24">
        <v>45950</v>
      </c>
      <c r="E949" s="23" t="s">
        <v>13</v>
      </c>
      <c r="F949" s="23" t="s">
        <v>43</v>
      </c>
      <c r="G949" s="23" t="s">
        <v>15</v>
      </c>
      <c r="H949" s="23" t="s">
        <v>32</v>
      </c>
      <c r="I949" s="23">
        <v>4</v>
      </c>
      <c r="J949" s="23">
        <v>0</v>
      </c>
      <c r="K949" s="23">
        <v>3</v>
      </c>
      <c r="L949" s="23" t="s">
        <v>33</v>
      </c>
      <c r="M949" s="25">
        <v>8.5</v>
      </c>
      <c r="N949">
        <f t="shared" si="14"/>
        <v>0</v>
      </c>
    </row>
    <row r="950" spans="1:14" x14ac:dyDescent="0.35">
      <c r="A950" s="6" t="s">
        <v>1020</v>
      </c>
      <c r="B950" s="19" t="s">
        <v>29</v>
      </c>
      <c r="C950" s="19">
        <v>7</v>
      </c>
      <c r="D950" s="20">
        <v>45846</v>
      </c>
      <c r="E950" s="19" t="s">
        <v>13</v>
      </c>
      <c r="F950" s="19" t="s">
        <v>43</v>
      </c>
      <c r="G950" s="19" t="s">
        <v>31</v>
      </c>
      <c r="H950" s="19" t="s">
        <v>8364</v>
      </c>
      <c r="I950" s="19">
        <v>48</v>
      </c>
      <c r="J950" s="19">
        <v>0</v>
      </c>
      <c r="K950" s="19">
        <v>4</v>
      </c>
      <c r="L950" s="19" t="s">
        <v>17</v>
      </c>
      <c r="M950" s="21">
        <v>3.7</v>
      </c>
      <c r="N950">
        <f t="shared" si="14"/>
        <v>1</v>
      </c>
    </row>
    <row r="951" spans="1:14" x14ac:dyDescent="0.35">
      <c r="A951" s="22" t="s">
        <v>1021</v>
      </c>
      <c r="B951" s="23" t="s">
        <v>139</v>
      </c>
      <c r="C951" s="23">
        <v>5</v>
      </c>
      <c r="D951" s="24">
        <v>45807</v>
      </c>
      <c r="E951" s="23" t="s">
        <v>13</v>
      </c>
      <c r="F951" s="23" t="s">
        <v>14</v>
      </c>
      <c r="G951" s="23" t="s">
        <v>15</v>
      </c>
      <c r="H951" s="23" t="s">
        <v>28</v>
      </c>
      <c r="I951" s="23">
        <v>48</v>
      </c>
      <c r="J951" s="23">
        <v>2</v>
      </c>
      <c r="K951" s="23">
        <v>5</v>
      </c>
      <c r="L951" s="23" t="s">
        <v>8363</v>
      </c>
      <c r="M951" s="25"/>
      <c r="N951">
        <f t="shared" si="14"/>
        <v>1</v>
      </c>
    </row>
    <row r="952" spans="1:14" x14ac:dyDescent="0.35">
      <c r="A952" s="6" t="s">
        <v>1022</v>
      </c>
      <c r="B952" s="19" t="s">
        <v>49</v>
      </c>
      <c r="C952" s="19">
        <v>7</v>
      </c>
      <c r="D952" s="20">
        <v>45868</v>
      </c>
      <c r="E952" s="19" t="s">
        <v>68</v>
      </c>
      <c r="F952" s="19" t="s">
        <v>43</v>
      </c>
      <c r="G952" s="19" t="s">
        <v>27</v>
      </c>
      <c r="H952" s="19" t="s">
        <v>28</v>
      </c>
      <c r="I952" s="19">
        <v>48</v>
      </c>
      <c r="J952" s="19">
        <v>0</v>
      </c>
      <c r="K952" s="19">
        <v>4</v>
      </c>
      <c r="L952" s="19" t="s">
        <v>17</v>
      </c>
      <c r="M952" s="21">
        <v>15.8</v>
      </c>
      <c r="N952">
        <f t="shared" si="14"/>
        <v>1</v>
      </c>
    </row>
    <row r="953" spans="1:14" x14ac:dyDescent="0.35">
      <c r="A953" s="22" t="s">
        <v>1023</v>
      </c>
      <c r="B953" s="23" t="s">
        <v>81</v>
      </c>
      <c r="C953" s="23">
        <v>8</v>
      </c>
      <c r="D953" s="24">
        <v>45898</v>
      </c>
      <c r="E953" s="23" t="s">
        <v>25</v>
      </c>
      <c r="F953" s="23" t="s">
        <v>43</v>
      </c>
      <c r="G953" s="23" t="s">
        <v>31</v>
      </c>
      <c r="H953" s="23" t="s">
        <v>22</v>
      </c>
      <c r="I953" s="23">
        <v>72</v>
      </c>
      <c r="J953" s="23">
        <v>0</v>
      </c>
      <c r="K953" s="23"/>
      <c r="L953" s="23" t="s">
        <v>75</v>
      </c>
      <c r="M953" s="25">
        <v>25.3</v>
      </c>
      <c r="N953">
        <f t="shared" si="14"/>
        <v>1</v>
      </c>
    </row>
    <row r="954" spans="1:14" x14ac:dyDescent="0.35">
      <c r="A954" s="6" t="s">
        <v>1024</v>
      </c>
      <c r="B954" s="19" t="s">
        <v>81</v>
      </c>
      <c r="C954" s="19">
        <v>8</v>
      </c>
      <c r="D954" s="20">
        <v>45881</v>
      </c>
      <c r="E954" s="19" t="s">
        <v>25</v>
      </c>
      <c r="F954" s="19" t="s">
        <v>14</v>
      </c>
      <c r="G954" s="19" t="s">
        <v>21</v>
      </c>
      <c r="H954" s="19" t="s">
        <v>28</v>
      </c>
      <c r="I954" s="19">
        <v>4</v>
      </c>
      <c r="J954" s="19">
        <v>0</v>
      </c>
      <c r="K954" s="19">
        <v>5</v>
      </c>
      <c r="L954" s="19" t="s">
        <v>8363</v>
      </c>
      <c r="M954" s="21">
        <v>24.3</v>
      </c>
      <c r="N954">
        <f t="shared" si="14"/>
        <v>0</v>
      </c>
    </row>
    <row r="955" spans="1:14" x14ac:dyDescent="0.35">
      <c r="A955" s="22" t="s">
        <v>1025</v>
      </c>
      <c r="B955" s="23" t="s">
        <v>126</v>
      </c>
      <c r="C955" s="23">
        <v>6</v>
      </c>
      <c r="D955" s="24">
        <v>45811</v>
      </c>
      <c r="E955" s="23" t="s">
        <v>8364</v>
      </c>
      <c r="F955" s="23" t="s">
        <v>43</v>
      </c>
      <c r="G955" s="23" t="s">
        <v>31</v>
      </c>
      <c r="H955" s="23" t="s">
        <v>22</v>
      </c>
      <c r="I955" s="23">
        <v>72</v>
      </c>
      <c r="J955" s="23">
        <v>1</v>
      </c>
      <c r="K955" s="23">
        <v>5</v>
      </c>
      <c r="L955" s="23" t="s">
        <v>8363</v>
      </c>
      <c r="M955" s="25">
        <v>10.3</v>
      </c>
      <c r="N955">
        <f t="shared" si="14"/>
        <v>1</v>
      </c>
    </row>
    <row r="956" spans="1:14" x14ac:dyDescent="0.35">
      <c r="A956" s="6" t="s">
        <v>1026</v>
      </c>
      <c r="B956" s="19" t="s">
        <v>51</v>
      </c>
      <c r="C956" s="19">
        <v>8</v>
      </c>
      <c r="D956" s="20">
        <v>45884</v>
      </c>
      <c r="E956" s="19" t="s">
        <v>13</v>
      </c>
      <c r="F956" s="19" t="s">
        <v>14</v>
      </c>
      <c r="G956" s="19" t="s">
        <v>8364</v>
      </c>
      <c r="H956" s="19" t="s">
        <v>22</v>
      </c>
      <c r="I956" s="19">
        <v>48</v>
      </c>
      <c r="J956" s="19">
        <v>0</v>
      </c>
      <c r="K956" s="19">
        <v>4</v>
      </c>
      <c r="L956" s="19" t="s">
        <v>55</v>
      </c>
      <c r="M956" s="21">
        <v>26.7</v>
      </c>
      <c r="N956">
        <f t="shared" si="14"/>
        <v>1</v>
      </c>
    </row>
    <row r="957" spans="1:14" x14ac:dyDescent="0.35">
      <c r="A957" s="22" t="s">
        <v>1027</v>
      </c>
      <c r="B957" s="23" t="s">
        <v>104</v>
      </c>
      <c r="C957" s="23">
        <v>10</v>
      </c>
      <c r="D957" s="24">
        <v>45960</v>
      </c>
      <c r="E957" s="23" t="s">
        <v>13</v>
      </c>
      <c r="F957" s="23" t="s">
        <v>43</v>
      </c>
      <c r="G957" s="23" t="s">
        <v>27</v>
      </c>
      <c r="H957" s="23" t="s">
        <v>32</v>
      </c>
      <c r="I957" s="23">
        <v>72</v>
      </c>
      <c r="J957" s="23">
        <v>0</v>
      </c>
      <c r="K957" s="23">
        <v>1</v>
      </c>
      <c r="L957" s="23" t="s">
        <v>55</v>
      </c>
      <c r="M957" s="25">
        <v>22.7</v>
      </c>
      <c r="N957">
        <f t="shared" si="14"/>
        <v>1</v>
      </c>
    </row>
    <row r="958" spans="1:14" x14ac:dyDescent="0.35">
      <c r="A958" s="6" t="s">
        <v>1028</v>
      </c>
      <c r="B958" s="19" t="s">
        <v>49</v>
      </c>
      <c r="C958" s="19">
        <v>10</v>
      </c>
      <c r="D958" s="20">
        <v>45937</v>
      </c>
      <c r="E958" s="19" t="s">
        <v>68</v>
      </c>
      <c r="F958" s="19" t="s">
        <v>40</v>
      </c>
      <c r="G958" s="19" t="s">
        <v>21</v>
      </c>
      <c r="H958" s="19" t="s">
        <v>28</v>
      </c>
      <c r="I958" s="19">
        <v>48</v>
      </c>
      <c r="J958" s="19">
        <v>1</v>
      </c>
      <c r="K958" s="19">
        <v>2</v>
      </c>
      <c r="L958" s="19" t="s">
        <v>33</v>
      </c>
      <c r="M958" s="21">
        <v>10.9</v>
      </c>
      <c r="N958">
        <f t="shared" si="14"/>
        <v>1</v>
      </c>
    </row>
    <row r="959" spans="1:14" x14ac:dyDescent="0.35">
      <c r="A959" s="22" t="s">
        <v>1029</v>
      </c>
      <c r="B959" s="23" t="s">
        <v>41</v>
      </c>
      <c r="C959" s="23">
        <v>10</v>
      </c>
      <c r="D959" s="24">
        <v>45950</v>
      </c>
      <c r="E959" s="23" t="s">
        <v>36</v>
      </c>
      <c r="F959" s="23" t="s">
        <v>14</v>
      </c>
      <c r="G959" s="23" t="s">
        <v>15</v>
      </c>
      <c r="H959" s="23" t="s">
        <v>32</v>
      </c>
      <c r="I959" s="23">
        <v>48</v>
      </c>
      <c r="J959" s="23">
        <v>0</v>
      </c>
      <c r="K959" s="23">
        <v>1</v>
      </c>
      <c r="L959" s="23" t="s">
        <v>38</v>
      </c>
      <c r="M959" s="25">
        <v>10</v>
      </c>
      <c r="N959">
        <f t="shared" si="14"/>
        <v>1</v>
      </c>
    </row>
    <row r="960" spans="1:14" x14ac:dyDescent="0.35">
      <c r="A960" s="6" t="s">
        <v>1030</v>
      </c>
      <c r="B960" s="19" t="s">
        <v>39</v>
      </c>
      <c r="C960" s="19">
        <v>2</v>
      </c>
      <c r="D960" s="20">
        <v>45715</v>
      </c>
      <c r="E960" s="19" t="s">
        <v>25</v>
      </c>
      <c r="F960" s="19" t="s">
        <v>59</v>
      </c>
      <c r="G960" s="19" t="s">
        <v>27</v>
      </c>
      <c r="H960" s="19" t="s">
        <v>16</v>
      </c>
      <c r="I960" s="19">
        <v>24</v>
      </c>
      <c r="J960" s="19">
        <v>0</v>
      </c>
      <c r="K960" s="19">
        <v>1</v>
      </c>
      <c r="L960" s="19" t="s">
        <v>33</v>
      </c>
      <c r="M960" s="21">
        <v>5.6</v>
      </c>
      <c r="N960">
        <f t="shared" si="14"/>
        <v>1</v>
      </c>
    </row>
    <row r="961" spans="1:14" x14ac:dyDescent="0.35">
      <c r="A961" s="22" t="s">
        <v>1031</v>
      </c>
      <c r="B961" s="23" t="s">
        <v>65</v>
      </c>
      <c r="C961" s="23">
        <v>4</v>
      </c>
      <c r="D961" s="24">
        <v>45752</v>
      </c>
      <c r="E961" s="23" t="s">
        <v>8364</v>
      </c>
      <c r="F961" s="23" t="s">
        <v>43</v>
      </c>
      <c r="G961" s="23" t="s">
        <v>27</v>
      </c>
      <c r="H961" s="23" t="s">
        <v>16</v>
      </c>
      <c r="I961" s="23">
        <v>48</v>
      </c>
      <c r="J961" s="23">
        <v>0</v>
      </c>
      <c r="K961" s="23">
        <v>5</v>
      </c>
      <c r="L961" s="23" t="s">
        <v>75</v>
      </c>
      <c r="M961" s="25">
        <v>14.7</v>
      </c>
      <c r="N961">
        <f t="shared" si="14"/>
        <v>1</v>
      </c>
    </row>
    <row r="962" spans="1:14" x14ac:dyDescent="0.35">
      <c r="A962" s="6" t="s">
        <v>1032</v>
      </c>
      <c r="B962" s="19" t="s">
        <v>65</v>
      </c>
      <c r="C962" s="19">
        <v>6</v>
      </c>
      <c r="D962" s="20">
        <v>45819</v>
      </c>
      <c r="E962" s="19" t="s">
        <v>20</v>
      </c>
      <c r="F962" s="19" t="s">
        <v>14</v>
      </c>
      <c r="G962" s="19" t="s">
        <v>31</v>
      </c>
      <c r="H962" s="19" t="s">
        <v>28</v>
      </c>
      <c r="I962" s="19">
        <v>4</v>
      </c>
      <c r="J962" s="19">
        <v>0</v>
      </c>
      <c r="K962" s="19">
        <v>5</v>
      </c>
      <c r="L962" s="19" t="s">
        <v>44</v>
      </c>
      <c r="M962" s="21">
        <v>6.1</v>
      </c>
      <c r="N962">
        <f t="shared" si="14"/>
        <v>0</v>
      </c>
    </row>
    <row r="963" spans="1:14" x14ac:dyDescent="0.35">
      <c r="A963" s="22" t="s">
        <v>1033</v>
      </c>
      <c r="B963" s="23" t="s">
        <v>146</v>
      </c>
      <c r="C963" s="23"/>
      <c r="D963" s="24"/>
      <c r="E963" s="23" t="s">
        <v>13</v>
      </c>
      <c r="F963" s="23" t="s">
        <v>37</v>
      </c>
      <c r="G963" s="23" t="s">
        <v>31</v>
      </c>
      <c r="H963" s="23" t="s">
        <v>28</v>
      </c>
      <c r="I963" s="23">
        <v>8</v>
      </c>
      <c r="J963" s="23">
        <v>0</v>
      </c>
      <c r="K963" s="23">
        <v>5</v>
      </c>
      <c r="L963" s="23" t="s">
        <v>62</v>
      </c>
      <c r="M963" s="25">
        <v>7.4</v>
      </c>
      <c r="N963">
        <f t="shared" ref="N963:N1026" si="15">IF(M963 &lt;= I963, 1, 0)</f>
        <v>1</v>
      </c>
    </row>
    <row r="964" spans="1:14" x14ac:dyDescent="0.35">
      <c r="A964" s="6" t="s">
        <v>1034</v>
      </c>
      <c r="B964" s="19" t="s">
        <v>101</v>
      </c>
      <c r="C964" s="19">
        <v>2</v>
      </c>
      <c r="D964" s="20">
        <v>45702</v>
      </c>
      <c r="E964" s="19" t="s">
        <v>36</v>
      </c>
      <c r="F964" s="19" t="s">
        <v>8364</v>
      </c>
      <c r="G964" s="19" t="s">
        <v>27</v>
      </c>
      <c r="H964" s="19" t="s">
        <v>22</v>
      </c>
      <c r="I964" s="19">
        <v>24</v>
      </c>
      <c r="J964" s="19">
        <v>1</v>
      </c>
      <c r="K964" s="19">
        <v>5</v>
      </c>
      <c r="L964" s="19" t="s">
        <v>33</v>
      </c>
      <c r="M964" s="21">
        <v>6.2</v>
      </c>
      <c r="N964">
        <f t="shared" si="15"/>
        <v>1</v>
      </c>
    </row>
    <row r="965" spans="1:14" x14ac:dyDescent="0.35">
      <c r="A965" s="22" t="s">
        <v>1035</v>
      </c>
      <c r="B965" s="23" t="s">
        <v>87</v>
      </c>
      <c r="C965" s="23">
        <v>12</v>
      </c>
      <c r="D965" s="24">
        <v>46005</v>
      </c>
      <c r="E965" s="23" t="s">
        <v>8364</v>
      </c>
      <c r="F965" s="23" t="s">
        <v>37</v>
      </c>
      <c r="G965" s="23" t="s">
        <v>31</v>
      </c>
      <c r="H965" s="23" t="s">
        <v>22</v>
      </c>
      <c r="I965" s="23">
        <v>24</v>
      </c>
      <c r="J965" s="23">
        <v>3</v>
      </c>
      <c r="K965" s="23">
        <v>1</v>
      </c>
      <c r="L965" s="23" t="s">
        <v>8363</v>
      </c>
      <c r="M965" s="25">
        <v>14.4</v>
      </c>
      <c r="N965">
        <f t="shared" si="15"/>
        <v>1</v>
      </c>
    </row>
    <row r="966" spans="1:14" x14ac:dyDescent="0.35">
      <c r="A966" s="6" t="s">
        <v>1036</v>
      </c>
      <c r="B966" s="19" t="s">
        <v>181</v>
      </c>
      <c r="C966" s="19">
        <v>11</v>
      </c>
      <c r="D966" s="20">
        <v>45970</v>
      </c>
      <c r="E966" s="19" t="s">
        <v>13</v>
      </c>
      <c r="F966" s="19" t="s">
        <v>43</v>
      </c>
      <c r="G966" s="19" t="s">
        <v>27</v>
      </c>
      <c r="H966" s="19" t="s">
        <v>22</v>
      </c>
      <c r="I966" s="19">
        <v>48</v>
      </c>
      <c r="J966" s="19">
        <v>0</v>
      </c>
      <c r="K966" s="19">
        <v>4</v>
      </c>
      <c r="L966" s="19" t="s">
        <v>38</v>
      </c>
      <c r="M966" s="21">
        <v>9.1</v>
      </c>
      <c r="N966">
        <f t="shared" si="15"/>
        <v>1</v>
      </c>
    </row>
    <row r="967" spans="1:14" x14ac:dyDescent="0.35">
      <c r="A967" s="22" t="s">
        <v>1037</v>
      </c>
      <c r="B967" s="23" t="s">
        <v>253</v>
      </c>
      <c r="C967" s="23">
        <v>6</v>
      </c>
      <c r="D967" s="24">
        <v>45815</v>
      </c>
      <c r="E967" s="23" t="s">
        <v>36</v>
      </c>
      <c r="F967" s="23" t="s">
        <v>59</v>
      </c>
      <c r="G967" s="23" t="s">
        <v>31</v>
      </c>
      <c r="H967" s="23" t="s">
        <v>8364</v>
      </c>
      <c r="I967" s="23">
        <v>8</v>
      </c>
      <c r="J967" s="23">
        <v>0</v>
      </c>
      <c r="K967" s="23">
        <v>5</v>
      </c>
      <c r="L967" s="23" t="s">
        <v>33</v>
      </c>
      <c r="M967" s="25">
        <v>20.5</v>
      </c>
      <c r="N967">
        <f t="shared" si="15"/>
        <v>0</v>
      </c>
    </row>
    <row r="968" spans="1:14" x14ac:dyDescent="0.35">
      <c r="A968" s="6" t="s">
        <v>1038</v>
      </c>
      <c r="B968" s="19" t="s">
        <v>57</v>
      </c>
      <c r="C968" s="19"/>
      <c r="D968" s="20"/>
      <c r="E968" s="19" t="s">
        <v>13</v>
      </c>
      <c r="F968" s="19" t="s">
        <v>40</v>
      </c>
      <c r="G968" s="19" t="s">
        <v>31</v>
      </c>
      <c r="H968" s="19" t="s">
        <v>28</v>
      </c>
      <c r="I968" s="19">
        <v>72</v>
      </c>
      <c r="J968" s="19">
        <v>3</v>
      </c>
      <c r="K968" s="19">
        <v>4</v>
      </c>
      <c r="L968" s="19" t="s">
        <v>33</v>
      </c>
      <c r="M968" s="21">
        <v>7.5</v>
      </c>
      <c r="N968">
        <f t="shared" si="15"/>
        <v>1</v>
      </c>
    </row>
    <row r="969" spans="1:14" x14ac:dyDescent="0.35">
      <c r="A969" s="22" t="s">
        <v>1039</v>
      </c>
      <c r="B969" s="23" t="s">
        <v>69</v>
      </c>
      <c r="C969" s="23">
        <v>7</v>
      </c>
      <c r="D969" s="24">
        <v>45865</v>
      </c>
      <c r="E969" s="23" t="s">
        <v>25</v>
      </c>
      <c r="F969" s="23" t="s">
        <v>14</v>
      </c>
      <c r="G969" s="23" t="s">
        <v>27</v>
      </c>
      <c r="H969" s="23" t="s">
        <v>8364</v>
      </c>
      <c r="I969" s="23">
        <v>72</v>
      </c>
      <c r="J969" s="23">
        <v>0</v>
      </c>
      <c r="K969" s="23">
        <v>1</v>
      </c>
      <c r="L969" s="23" t="s">
        <v>17</v>
      </c>
      <c r="M969" s="25">
        <v>4.5</v>
      </c>
      <c r="N969">
        <f t="shared" si="15"/>
        <v>1</v>
      </c>
    </row>
    <row r="970" spans="1:14" x14ac:dyDescent="0.35">
      <c r="A970" s="6" t="s">
        <v>1040</v>
      </c>
      <c r="B970" s="19" t="s">
        <v>18</v>
      </c>
      <c r="C970" s="19">
        <v>7</v>
      </c>
      <c r="D970" s="20">
        <v>45860</v>
      </c>
      <c r="E970" s="19" t="s">
        <v>8364</v>
      </c>
      <c r="F970" s="19" t="s">
        <v>14</v>
      </c>
      <c r="G970" s="19" t="s">
        <v>27</v>
      </c>
      <c r="H970" s="19" t="s">
        <v>22</v>
      </c>
      <c r="I970" s="19">
        <v>72</v>
      </c>
      <c r="J970" s="19">
        <v>2</v>
      </c>
      <c r="K970" s="19">
        <v>5</v>
      </c>
      <c r="L970" s="19" t="s">
        <v>38</v>
      </c>
      <c r="M970" s="21">
        <v>3.1</v>
      </c>
      <c r="N970">
        <f t="shared" si="15"/>
        <v>1</v>
      </c>
    </row>
    <row r="971" spans="1:14" x14ac:dyDescent="0.35">
      <c r="A971" s="22" t="s">
        <v>1041</v>
      </c>
      <c r="B971" s="23" t="s">
        <v>181</v>
      </c>
      <c r="C971" s="23">
        <v>1</v>
      </c>
      <c r="D971" s="24">
        <v>45679</v>
      </c>
      <c r="E971" s="23" t="s">
        <v>20</v>
      </c>
      <c r="F971" s="23" t="s">
        <v>26</v>
      </c>
      <c r="G971" s="23" t="s">
        <v>27</v>
      </c>
      <c r="H971" s="23" t="s">
        <v>22</v>
      </c>
      <c r="I971" s="23">
        <v>4</v>
      </c>
      <c r="J971" s="23">
        <v>0</v>
      </c>
      <c r="K971" s="23"/>
      <c r="L971" s="23" t="s">
        <v>38</v>
      </c>
      <c r="M971" s="25">
        <v>11.2</v>
      </c>
      <c r="N971">
        <f t="shared" si="15"/>
        <v>0</v>
      </c>
    </row>
    <row r="972" spans="1:14" x14ac:dyDescent="0.35">
      <c r="A972" s="6" t="s">
        <v>1042</v>
      </c>
      <c r="B972" s="19" t="s">
        <v>85</v>
      </c>
      <c r="C972" s="19">
        <v>6</v>
      </c>
      <c r="D972" s="20">
        <v>45810</v>
      </c>
      <c r="E972" s="19" t="s">
        <v>25</v>
      </c>
      <c r="F972" s="19" t="s">
        <v>43</v>
      </c>
      <c r="G972" s="19" t="s">
        <v>15</v>
      </c>
      <c r="H972" s="19" t="s">
        <v>22</v>
      </c>
      <c r="I972" s="19">
        <v>8</v>
      </c>
      <c r="J972" s="19">
        <v>0</v>
      </c>
      <c r="K972" s="19">
        <v>3</v>
      </c>
      <c r="L972" s="19" t="s">
        <v>62</v>
      </c>
      <c r="M972" s="21">
        <v>13.6</v>
      </c>
      <c r="N972">
        <f t="shared" si="15"/>
        <v>0</v>
      </c>
    </row>
    <row r="973" spans="1:14" x14ac:dyDescent="0.35">
      <c r="A973" s="22" t="s">
        <v>1043</v>
      </c>
      <c r="B973" s="23" t="s">
        <v>130</v>
      </c>
      <c r="C973" s="23">
        <v>7</v>
      </c>
      <c r="D973" s="24">
        <v>45864</v>
      </c>
      <c r="E973" s="23" t="s">
        <v>20</v>
      </c>
      <c r="F973" s="23" t="s">
        <v>14</v>
      </c>
      <c r="G973" s="23" t="s">
        <v>31</v>
      </c>
      <c r="H973" s="23" t="s">
        <v>22</v>
      </c>
      <c r="I973" s="23">
        <v>48</v>
      </c>
      <c r="J973" s="23">
        <v>0</v>
      </c>
      <c r="K973" s="23">
        <v>3</v>
      </c>
      <c r="L973" s="23" t="s">
        <v>55</v>
      </c>
      <c r="M973" s="25">
        <v>6.7</v>
      </c>
      <c r="N973">
        <f t="shared" si="15"/>
        <v>1</v>
      </c>
    </row>
    <row r="974" spans="1:14" x14ac:dyDescent="0.35">
      <c r="A974" s="6" t="s">
        <v>1044</v>
      </c>
      <c r="B974" s="19" t="s">
        <v>69</v>
      </c>
      <c r="C974" s="19">
        <v>5</v>
      </c>
      <c r="D974" s="20">
        <v>45808</v>
      </c>
      <c r="E974" s="19" t="s">
        <v>13</v>
      </c>
      <c r="F974" s="19" t="s">
        <v>14</v>
      </c>
      <c r="G974" s="19" t="s">
        <v>31</v>
      </c>
      <c r="H974" s="19" t="s">
        <v>22</v>
      </c>
      <c r="I974" s="19">
        <v>8</v>
      </c>
      <c r="J974" s="19">
        <v>2</v>
      </c>
      <c r="K974" s="19">
        <v>3</v>
      </c>
      <c r="L974" s="19" t="s">
        <v>38</v>
      </c>
      <c r="M974" s="21">
        <v>7.3</v>
      </c>
      <c r="N974">
        <f t="shared" si="15"/>
        <v>1</v>
      </c>
    </row>
    <row r="975" spans="1:14" x14ac:dyDescent="0.35">
      <c r="A975" s="22" t="s">
        <v>1045</v>
      </c>
      <c r="B975" s="23" t="s">
        <v>65</v>
      </c>
      <c r="C975" s="23">
        <v>7</v>
      </c>
      <c r="D975" s="24">
        <v>45854</v>
      </c>
      <c r="E975" s="23" t="s">
        <v>25</v>
      </c>
      <c r="F975" s="23" t="s">
        <v>43</v>
      </c>
      <c r="G975" s="23" t="s">
        <v>31</v>
      </c>
      <c r="H975" s="23" t="s">
        <v>32</v>
      </c>
      <c r="I975" s="23">
        <v>8</v>
      </c>
      <c r="J975" s="23">
        <v>1</v>
      </c>
      <c r="K975" s="23">
        <v>4</v>
      </c>
      <c r="L975" s="23" t="s">
        <v>38</v>
      </c>
      <c r="M975" s="25">
        <v>9</v>
      </c>
      <c r="N975">
        <f t="shared" si="15"/>
        <v>0</v>
      </c>
    </row>
    <row r="976" spans="1:14" x14ac:dyDescent="0.35">
      <c r="A976" s="6" t="s">
        <v>1046</v>
      </c>
      <c r="B976" s="19" t="s">
        <v>18</v>
      </c>
      <c r="C976" s="19">
        <v>6</v>
      </c>
      <c r="D976" s="20">
        <v>45826</v>
      </c>
      <c r="E976" s="19" t="s">
        <v>13</v>
      </c>
      <c r="F976" s="19" t="s">
        <v>8364</v>
      </c>
      <c r="G976" s="19" t="s">
        <v>27</v>
      </c>
      <c r="H976" s="19" t="s">
        <v>22</v>
      </c>
      <c r="I976" s="19">
        <v>72</v>
      </c>
      <c r="J976" s="19">
        <v>0</v>
      </c>
      <c r="K976" s="19">
        <v>5</v>
      </c>
      <c r="L976" s="19" t="s">
        <v>75</v>
      </c>
      <c r="M976" s="21"/>
      <c r="N976">
        <f t="shared" si="15"/>
        <v>1</v>
      </c>
    </row>
    <row r="977" spans="1:14" x14ac:dyDescent="0.35">
      <c r="A977" s="22" t="s">
        <v>1047</v>
      </c>
      <c r="B977" s="23" t="s">
        <v>78</v>
      </c>
      <c r="C977" s="23">
        <v>2</v>
      </c>
      <c r="D977" s="24">
        <v>45702</v>
      </c>
      <c r="E977" s="23" t="s">
        <v>20</v>
      </c>
      <c r="F977" s="23" t="s">
        <v>14</v>
      </c>
      <c r="G977" s="23" t="s">
        <v>21</v>
      </c>
      <c r="H977" s="23" t="s">
        <v>28</v>
      </c>
      <c r="I977" s="23">
        <v>24</v>
      </c>
      <c r="J977" s="23">
        <v>0</v>
      </c>
      <c r="K977" s="23">
        <v>4</v>
      </c>
      <c r="L977" s="23" t="s">
        <v>38</v>
      </c>
      <c r="M977" s="25">
        <v>12.5</v>
      </c>
      <c r="N977">
        <f t="shared" si="15"/>
        <v>1</v>
      </c>
    </row>
    <row r="978" spans="1:14" x14ac:dyDescent="0.35">
      <c r="A978" s="6" t="s">
        <v>1048</v>
      </c>
      <c r="B978" s="19" t="s">
        <v>89</v>
      </c>
      <c r="C978" s="19">
        <v>7</v>
      </c>
      <c r="D978" s="20">
        <v>45839</v>
      </c>
      <c r="E978" s="19" t="s">
        <v>68</v>
      </c>
      <c r="F978" s="19" t="s">
        <v>26</v>
      </c>
      <c r="G978" s="19" t="s">
        <v>27</v>
      </c>
      <c r="H978" s="19" t="s">
        <v>22</v>
      </c>
      <c r="I978" s="19">
        <v>24</v>
      </c>
      <c r="J978" s="19">
        <v>1</v>
      </c>
      <c r="K978" s="19">
        <v>3</v>
      </c>
      <c r="L978" s="19" t="s">
        <v>33</v>
      </c>
      <c r="M978" s="21">
        <v>23.6</v>
      </c>
      <c r="N978">
        <f t="shared" si="15"/>
        <v>1</v>
      </c>
    </row>
    <row r="979" spans="1:14" x14ac:dyDescent="0.35">
      <c r="A979" s="22" t="s">
        <v>1049</v>
      </c>
      <c r="B979" s="23" t="s">
        <v>65</v>
      </c>
      <c r="C979" s="23">
        <v>8</v>
      </c>
      <c r="D979" s="24">
        <v>45882</v>
      </c>
      <c r="E979" s="23" t="s">
        <v>20</v>
      </c>
      <c r="F979" s="23" t="s">
        <v>59</v>
      </c>
      <c r="G979" s="23" t="s">
        <v>31</v>
      </c>
      <c r="H979" s="23" t="s">
        <v>22</v>
      </c>
      <c r="I979" s="23">
        <v>8</v>
      </c>
      <c r="J979" s="23">
        <v>2</v>
      </c>
      <c r="K979" s="23">
        <v>4</v>
      </c>
      <c r="L979" s="23" t="s">
        <v>44</v>
      </c>
      <c r="M979" s="25">
        <v>5.3</v>
      </c>
      <c r="N979">
        <f t="shared" si="15"/>
        <v>1</v>
      </c>
    </row>
    <row r="980" spans="1:14" x14ac:dyDescent="0.35">
      <c r="A980" s="6" t="s">
        <v>1050</v>
      </c>
      <c r="B980" s="19" t="s">
        <v>253</v>
      </c>
      <c r="C980" s="19">
        <v>8</v>
      </c>
      <c r="D980" s="20">
        <v>45895</v>
      </c>
      <c r="E980" s="19" t="s">
        <v>20</v>
      </c>
      <c r="F980" s="19" t="s">
        <v>40</v>
      </c>
      <c r="G980" s="19" t="s">
        <v>27</v>
      </c>
      <c r="H980" s="19" t="s">
        <v>16</v>
      </c>
      <c r="I980" s="19">
        <v>8</v>
      </c>
      <c r="J980" s="19">
        <v>0</v>
      </c>
      <c r="K980" s="19">
        <v>1</v>
      </c>
      <c r="L980" s="19" t="s">
        <v>17</v>
      </c>
      <c r="M980" s="21">
        <v>7.6</v>
      </c>
      <c r="N980">
        <f t="shared" si="15"/>
        <v>1</v>
      </c>
    </row>
    <row r="981" spans="1:14" x14ac:dyDescent="0.35">
      <c r="A981" s="22" t="s">
        <v>1051</v>
      </c>
      <c r="B981" s="23" t="s">
        <v>69</v>
      </c>
      <c r="C981" s="23">
        <v>1</v>
      </c>
      <c r="D981" s="24">
        <v>45679</v>
      </c>
      <c r="E981" s="23" t="s">
        <v>25</v>
      </c>
      <c r="F981" s="23" t="s">
        <v>14</v>
      </c>
      <c r="G981" s="23" t="s">
        <v>31</v>
      </c>
      <c r="H981" s="23" t="s">
        <v>8364</v>
      </c>
      <c r="I981" s="23">
        <v>48</v>
      </c>
      <c r="J981" s="23">
        <v>0</v>
      </c>
      <c r="K981" s="23">
        <v>4</v>
      </c>
      <c r="L981" s="23" t="s">
        <v>8363</v>
      </c>
      <c r="M981" s="25">
        <v>13.7</v>
      </c>
      <c r="N981">
        <f t="shared" si="15"/>
        <v>1</v>
      </c>
    </row>
    <row r="982" spans="1:14" x14ac:dyDescent="0.35">
      <c r="A982" s="6" t="s">
        <v>1052</v>
      </c>
      <c r="B982" s="19" t="s">
        <v>92</v>
      </c>
      <c r="C982" s="19">
        <v>1</v>
      </c>
      <c r="D982" s="20">
        <v>45688</v>
      </c>
      <c r="E982" s="19" t="s">
        <v>36</v>
      </c>
      <c r="F982" s="19" t="s">
        <v>26</v>
      </c>
      <c r="G982" s="19" t="s">
        <v>21</v>
      </c>
      <c r="H982" s="19" t="s">
        <v>8364</v>
      </c>
      <c r="I982" s="19">
        <v>8</v>
      </c>
      <c r="J982" s="19">
        <v>0</v>
      </c>
      <c r="K982" s="19">
        <v>5</v>
      </c>
      <c r="L982" s="19" t="s">
        <v>44</v>
      </c>
      <c r="M982" s="21">
        <v>3.8</v>
      </c>
      <c r="N982">
        <f t="shared" si="15"/>
        <v>1</v>
      </c>
    </row>
    <row r="983" spans="1:14" x14ac:dyDescent="0.35">
      <c r="A983" s="22" t="s">
        <v>1053</v>
      </c>
      <c r="B983" s="23" t="s">
        <v>89</v>
      </c>
      <c r="C983" s="23">
        <v>11</v>
      </c>
      <c r="D983" s="24">
        <v>45991</v>
      </c>
      <c r="E983" s="23" t="s">
        <v>13</v>
      </c>
      <c r="F983" s="23" t="s">
        <v>43</v>
      </c>
      <c r="G983" s="23" t="s">
        <v>15</v>
      </c>
      <c r="H983" s="23" t="s">
        <v>22</v>
      </c>
      <c r="I983" s="23">
        <v>24</v>
      </c>
      <c r="J983" s="23">
        <v>0</v>
      </c>
      <c r="K983" s="23">
        <v>5</v>
      </c>
      <c r="L983" s="23" t="s">
        <v>33</v>
      </c>
      <c r="M983" s="25">
        <v>23.2</v>
      </c>
      <c r="N983">
        <f t="shared" si="15"/>
        <v>1</v>
      </c>
    </row>
    <row r="984" spans="1:14" x14ac:dyDescent="0.35">
      <c r="A984" s="6" t="s">
        <v>1054</v>
      </c>
      <c r="B984" s="19" t="s">
        <v>53</v>
      </c>
      <c r="C984" s="19">
        <v>2</v>
      </c>
      <c r="D984" s="20">
        <v>45703</v>
      </c>
      <c r="E984" s="19" t="s">
        <v>68</v>
      </c>
      <c r="F984" s="19" t="s">
        <v>14</v>
      </c>
      <c r="G984" s="19" t="s">
        <v>27</v>
      </c>
      <c r="H984" s="19" t="s">
        <v>32</v>
      </c>
      <c r="I984" s="19">
        <v>72</v>
      </c>
      <c r="J984" s="19">
        <v>0</v>
      </c>
      <c r="K984" s="19">
        <v>5</v>
      </c>
      <c r="L984" s="19" t="s">
        <v>38</v>
      </c>
      <c r="M984" s="21">
        <v>3.8</v>
      </c>
      <c r="N984">
        <f t="shared" si="15"/>
        <v>1</v>
      </c>
    </row>
    <row r="985" spans="1:14" x14ac:dyDescent="0.35">
      <c r="A985" s="22" t="s">
        <v>1055</v>
      </c>
      <c r="B985" s="23" t="s">
        <v>49</v>
      </c>
      <c r="C985" s="23">
        <v>3</v>
      </c>
      <c r="D985" s="24">
        <v>45738</v>
      </c>
      <c r="E985" s="23" t="s">
        <v>68</v>
      </c>
      <c r="F985" s="23" t="s">
        <v>14</v>
      </c>
      <c r="G985" s="23" t="s">
        <v>27</v>
      </c>
      <c r="H985" s="23" t="s">
        <v>32</v>
      </c>
      <c r="I985" s="23">
        <v>4</v>
      </c>
      <c r="J985" s="23">
        <v>0</v>
      </c>
      <c r="K985" s="23">
        <v>4</v>
      </c>
      <c r="L985" s="23" t="s">
        <v>33</v>
      </c>
      <c r="M985" s="25">
        <v>1</v>
      </c>
      <c r="N985">
        <f t="shared" si="15"/>
        <v>1</v>
      </c>
    </row>
    <row r="986" spans="1:14" x14ac:dyDescent="0.35">
      <c r="A986" s="6" t="s">
        <v>1056</v>
      </c>
      <c r="B986" s="19" t="s">
        <v>69</v>
      </c>
      <c r="C986" s="19">
        <v>1</v>
      </c>
      <c r="D986" s="20">
        <v>45667</v>
      </c>
      <c r="E986" s="19" t="s">
        <v>13</v>
      </c>
      <c r="F986" s="19" t="s">
        <v>37</v>
      </c>
      <c r="G986" s="19" t="s">
        <v>27</v>
      </c>
      <c r="H986" s="19" t="s">
        <v>16</v>
      </c>
      <c r="I986" s="19">
        <v>24</v>
      </c>
      <c r="J986" s="19">
        <v>1</v>
      </c>
      <c r="K986" s="19">
        <v>4</v>
      </c>
      <c r="L986" s="19" t="s">
        <v>8363</v>
      </c>
      <c r="M986" s="21">
        <v>22.5</v>
      </c>
      <c r="N986">
        <f t="shared" si="15"/>
        <v>1</v>
      </c>
    </row>
    <row r="987" spans="1:14" x14ac:dyDescent="0.35">
      <c r="A987" s="22" t="s">
        <v>1057</v>
      </c>
      <c r="B987" s="23" t="s">
        <v>97</v>
      </c>
      <c r="C987" s="23">
        <v>1</v>
      </c>
      <c r="D987" s="24">
        <v>45686</v>
      </c>
      <c r="E987" s="23" t="s">
        <v>25</v>
      </c>
      <c r="F987" s="23" t="s">
        <v>8364</v>
      </c>
      <c r="G987" s="23" t="s">
        <v>31</v>
      </c>
      <c r="H987" s="23" t="s">
        <v>22</v>
      </c>
      <c r="I987" s="23">
        <v>24</v>
      </c>
      <c r="J987" s="23">
        <v>0</v>
      </c>
      <c r="K987" s="23">
        <v>4</v>
      </c>
      <c r="L987" s="23" t="s">
        <v>44</v>
      </c>
      <c r="M987" s="25">
        <v>6.2</v>
      </c>
      <c r="N987">
        <f t="shared" si="15"/>
        <v>1</v>
      </c>
    </row>
    <row r="988" spans="1:14" x14ac:dyDescent="0.35">
      <c r="A988" s="6" t="s">
        <v>1058</v>
      </c>
      <c r="B988" s="19" t="s">
        <v>41</v>
      </c>
      <c r="C988" s="19">
        <v>9</v>
      </c>
      <c r="D988" s="20">
        <v>45913</v>
      </c>
      <c r="E988" s="19" t="s">
        <v>13</v>
      </c>
      <c r="F988" s="19" t="s">
        <v>14</v>
      </c>
      <c r="G988" s="19" t="s">
        <v>27</v>
      </c>
      <c r="H988" s="19" t="s">
        <v>8364</v>
      </c>
      <c r="I988" s="19">
        <v>8</v>
      </c>
      <c r="J988" s="19">
        <v>2</v>
      </c>
      <c r="K988" s="19">
        <v>5</v>
      </c>
      <c r="L988" s="19" t="s">
        <v>33</v>
      </c>
      <c r="M988" s="21">
        <v>16.100000000000001</v>
      </c>
      <c r="N988">
        <f t="shared" si="15"/>
        <v>0</v>
      </c>
    </row>
    <row r="989" spans="1:14" x14ac:dyDescent="0.35">
      <c r="A989" s="22" t="s">
        <v>1059</v>
      </c>
      <c r="B989" s="23" t="s">
        <v>69</v>
      </c>
      <c r="C989" s="23">
        <v>10</v>
      </c>
      <c r="D989" s="24">
        <v>45941</v>
      </c>
      <c r="E989" s="23" t="s">
        <v>36</v>
      </c>
      <c r="F989" s="23" t="s">
        <v>14</v>
      </c>
      <c r="G989" s="23" t="s">
        <v>27</v>
      </c>
      <c r="H989" s="23" t="s">
        <v>22</v>
      </c>
      <c r="I989" s="23">
        <v>4</v>
      </c>
      <c r="J989" s="23">
        <v>0</v>
      </c>
      <c r="K989" s="23">
        <v>5</v>
      </c>
      <c r="L989" s="23" t="s">
        <v>62</v>
      </c>
      <c r="M989" s="25">
        <v>27.2</v>
      </c>
      <c r="N989">
        <f t="shared" si="15"/>
        <v>0</v>
      </c>
    </row>
    <row r="990" spans="1:14" x14ac:dyDescent="0.35">
      <c r="A990" s="6" t="s">
        <v>1060</v>
      </c>
      <c r="B990" s="19" t="s">
        <v>47</v>
      </c>
      <c r="C990" s="19">
        <v>6</v>
      </c>
      <c r="D990" s="20">
        <v>45833</v>
      </c>
      <c r="E990" s="19" t="s">
        <v>25</v>
      </c>
      <c r="F990" s="19" t="s">
        <v>26</v>
      </c>
      <c r="G990" s="19" t="s">
        <v>27</v>
      </c>
      <c r="H990" s="19" t="s">
        <v>16</v>
      </c>
      <c r="I990" s="19">
        <v>4</v>
      </c>
      <c r="J990" s="19">
        <v>0</v>
      </c>
      <c r="K990" s="19">
        <v>4</v>
      </c>
      <c r="L990" s="19" t="s">
        <v>44</v>
      </c>
      <c r="M990" s="21">
        <v>9</v>
      </c>
      <c r="N990">
        <f t="shared" si="15"/>
        <v>0</v>
      </c>
    </row>
    <row r="991" spans="1:14" x14ac:dyDescent="0.35">
      <c r="A991" s="22" t="s">
        <v>1061</v>
      </c>
      <c r="B991" s="23" t="s">
        <v>47</v>
      </c>
      <c r="C991" s="23"/>
      <c r="D991" s="24"/>
      <c r="E991" s="23" t="s">
        <v>20</v>
      </c>
      <c r="F991" s="23" t="s">
        <v>14</v>
      </c>
      <c r="G991" s="23" t="s">
        <v>15</v>
      </c>
      <c r="H991" s="23" t="s">
        <v>22</v>
      </c>
      <c r="I991" s="23">
        <v>24</v>
      </c>
      <c r="J991" s="23">
        <v>0</v>
      </c>
      <c r="K991" s="23"/>
      <c r="L991" s="23" t="s">
        <v>8363</v>
      </c>
      <c r="M991" s="25">
        <v>4.9000000000000004</v>
      </c>
      <c r="N991">
        <f t="shared" si="15"/>
        <v>1</v>
      </c>
    </row>
    <row r="992" spans="1:14" x14ac:dyDescent="0.35">
      <c r="A992" s="6" t="s">
        <v>1062</v>
      </c>
      <c r="B992" s="19" t="s">
        <v>65</v>
      </c>
      <c r="C992" s="19">
        <v>4</v>
      </c>
      <c r="D992" s="20">
        <v>45772</v>
      </c>
      <c r="E992" s="19" t="s">
        <v>36</v>
      </c>
      <c r="F992" s="19" t="s">
        <v>37</v>
      </c>
      <c r="G992" s="19" t="s">
        <v>31</v>
      </c>
      <c r="H992" s="19" t="s">
        <v>8364</v>
      </c>
      <c r="I992" s="19">
        <v>24</v>
      </c>
      <c r="J992" s="19">
        <v>0</v>
      </c>
      <c r="K992" s="19">
        <v>5</v>
      </c>
      <c r="L992" s="19" t="s">
        <v>62</v>
      </c>
      <c r="M992" s="21">
        <v>7.4</v>
      </c>
      <c r="N992">
        <f t="shared" si="15"/>
        <v>1</v>
      </c>
    </row>
    <row r="993" spans="1:14" x14ac:dyDescent="0.35">
      <c r="A993" s="22" t="s">
        <v>1063</v>
      </c>
      <c r="B993" s="23" t="s">
        <v>130</v>
      </c>
      <c r="C993" s="23">
        <v>11</v>
      </c>
      <c r="D993" s="24">
        <v>45978</v>
      </c>
      <c r="E993" s="23" t="s">
        <v>20</v>
      </c>
      <c r="F993" s="23" t="s">
        <v>37</v>
      </c>
      <c r="G993" s="23" t="s">
        <v>31</v>
      </c>
      <c r="H993" s="23" t="s">
        <v>22</v>
      </c>
      <c r="I993" s="23">
        <v>48</v>
      </c>
      <c r="J993" s="23">
        <v>2</v>
      </c>
      <c r="K993" s="23"/>
      <c r="L993" s="23" t="s">
        <v>55</v>
      </c>
      <c r="M993" s="25">
        <v>5.5</v>
      </c>
      <c r="N993">
        <f t="shared" si="15"/>
        <v>1</v>
      </c>
    </row>
    <row r="994" spans="1:14" x14ac:dyDescent="0.35">
      <c r="A994" s="6" t="s">
        <v>1064</v>
      </c>
      <c r="B994" s="19" t="s">
        <v>143</v>
      </c>
      <c r="C994" s="19">
        <v>10</v>
      </c>
      <c r="D994" s="20">
        <v>45932</v>
      </c>
      <c r="E994" s="19" t="s">
        <v>8364</v>
      </c>
      <c r="F994" s="19" t="s">
        <v>26</v>
      </c>
      <c r="G994" s="19" t="s">
        <v>21</v>
      </c>
      <c r="H994" s="19" t="s">
        <v>8364</v>
      </c>
      <c r="I994" s="19">
        <v>72</v>
      </c>
      <c r="J994" s="19">
        <v>0</v>
      </c>
      <c r="K994" s="19">
        <v>4</v>
      </c>
      <c r="L994" s="19" t="s">
        <v>38</v>
      </c>
      <c r="M994" s="21">
        <v>10.3</v>
      </c>
      <c r="N994">
        <f t="shared" si="15"/>
        <v>1</v>
      </c>
    </row>
    <row r="995" spans="1:14" x14ac:dyDescent="0.35">
      <c r="A995" s="22" t="s">
        <v>1065</v>
      </c>
      <c r="B995" s="23" t="s">
        <v>41</v>
      </c>
      <c r="C995" s="23">
        <v>10</v>
      </c>
      <c r="D995" s="24">
        <v>45951</v>
      </c>
      <c r="E995" s="23" t="s">
        <v>13</v>
      </c>
      <c r="F995" s="23" t="s">
        <v>37</v>
      </c>
      <c r="G995" s="23" t="s">
        <v>31</v>
      </c>
      <c r="H995" s="23" t="s">
        <v>22</v>
      </c>
      <c r="I995" s="23">
        <v>24</v>
      </c>
      <c r="J995" s="23">
        <v>0</v>
      </c>
      <c r="K995" s="23">
        <v>4</v>
      </c>
      <c r="L995" s="23" t="s">
        <v>8363</v>
      </c>
      <c r="M995" s="25">
        <v>23.4</v>
      </c>
      <c r="N995">
        <f t="shared" si="15"/>
        <v>1</v>
      </c>
    </row>
    <row r="996" spans="1:14" x14ac:dyDescent="0.35">
      <c r="A996" s="6" t="s">
        <v>1066</v>
      </c>
      <c r="B996" s="19" t="s">
        <v>89</v>
      </c>
      <c r="C996" s="19">
        <v>6</v>
      </c>
      <c r="D996" s="20">
        <v>45823</v>
      </c>
      <c r="E996" s="19" t="s">
        <v>36</v>
      </c>
      <c r="F996" s="19" t="s">
        <v>37</v>
      </c>
      <c r="G996" s="19" t="s">
        <v>27</v>
      </c>
      <c r="H996" s="19" t="s">
        <v>22</v>
      </c>
      <c r="I996" s="19">
        <v>8</v>
      </c>
      <c r="J996" s="19">
        <v>0</v>
      </c>
      <c r="K996" s="19">
        <v>4</v>
      </c>
      <c r="L996" s="19" t="s">
        <v>75</v>
      </c>
      <c r="M996" s="21"/>
      <c r="N996">
        <f t="shared" si="15"/>
        <v>1</v>
      </c>
    </row>
    <row r="997" spans="1:14" x14ac:dyDescent="0.35">
      <c r="A997" s="22" t="s">
        <v>1067</v>
      </c>
      <c r="B997" s="23" t="s">
        <v>18</v>
      </c>
      <c r="C997" s="23">
        <v>1</v>
      </c>
      <c r="D997" s="24">
        <v>45668</v>
      </c>
      <c r="E997" s="23" t="s">
        <v>13</v>
      </c>
      <c r="F997" s="23" t="s">
        <v>14</v>
      </c>
      <c r="G997" s="23" t="s">
        <v>31</v>
      </c>
      <c r="H997" s="23" t="s">
        <v>22</v>
      </c>
      <c r="I997" s="23">
        <v>8</v>
      </c>
      <c r="J997" s="23">
        <v>0</v>
      </c>
      <c r="K997" s="23">
        <v>1</v>
      </c>
      <c r="L997" s="23" t="s">
        <v>55</v>
      </c>
      <c r="M997" s="25">
        <v>23.3</v>
      </c>
      <c r="N997">
        <f t="shared" si="15"/>
        <v>0</v>
      </c>
    </row>
    <row r="998" spans="1:14" x14ac:dyDescent="0.35">
      <c r="A998" s="6" t="s">
        <v>1068</v>
      </c>
      <c r="B998" s="19" t="s">
        <v>78</v>
      </c>
      <c r="C998" s="19">
        <v>5</v>
      </c>
      <c r="D998" s="20">
        <v>45779</v>
      </c>
      <c r="E998" s="19" t="s">
        <v>36</v>
      </c>
      <c r="F998" s="19" t="s">
        <v>14</v>
      </c>
      <c r="G998" s="19" t="s">
        <v>15</v>
      </c>
      <c r="H998" s="19" t="s">
        <v>22</v>
      </c>
      <c r="I998" s="19">
        <v>48</v>
      </c>
      <c r="J998" s="19">
        <v>0</v>
      </c>
      <c r="K998" s="19">
        <v>4</v>
      </c>
      <c r="L998" s="19" t="s">
        <v>8363</v>
      </c>
      <c r="M998" s="21">
        <v>13.3</v>
      </c>
      <c r="N998">
        <f t="shared" si="15"/>
        <v>1</v>
      </c>
    </row>
    <row r="999" spans="1:14" x14ac:dyDescent="0.35">
      <c r="A999" s="22" t="s">
        <v>1069</v>
      </c>
      <c r="B999" s="23" t="s">
        <v>23</v>
      </c>
      <c r="C999" s="23">
        <v>1</v>
      </c>
      <c r="D999" s="24">
        <v>45680</v>
      </c>
      <c r="E999" s="23" t="s">
        <v>8364</v>
      </c>
      <c r="F999" s="23" t="s">
        <v>14</v>
      </c>
      <c r="G999" s="23" t="s">
        <v>31</v>
      </c>
      <c r="H999" s="23" t="s">
        <v>32</v>
      </c>
      <c r="I999" s="23">
        <v>48</v>
      </c>
      <c r="J999" s="23">
        <v>0</v>
      </c>
      <c r="K999" s="23">
        <v>4</v>
      </c>
      <c r="L999" s="23" t="s">
        <v>8363</v>
      </c>
      <c r="M999" s="25">
        <v>4.9000000000000004</v>
      </c>
      <c r="N999">
        <f t="shared" si="15"/>
        <v>1</v>
      </c>
    </row>
    <row r="1000" spans="1:14" x14ac:dyDescent="0.35">
      <c r="A1000" s="6" t="s">
        <v>1070</v>
      </c>
      <c r="B1000" s="19" t="s">
        <v>57</v>
      </c>
      <c r="C1000" s="19">
        <v>11</v>
      </c>
      <c r="D1000" s="20">
        <v>45973</v>
      </c>
      <c r="E1000" s="19" t="s">
        <v>8364</v>
      </c>
      <c r="F1000" s="19" t="s">
        <v>8364</v>
      </c>
      <c r="G1000" s="19" t="s">
        <v>21</v>
      </c>
      <c r="H1000" s="19" t="s">
        <v>32</v>
      </c>
      <c r="I1000" s="19">
        <v>72</v>
      </c>
      <c r="J1000" s="19">
        <v>0</v>
      </c>
      <c r="K1000" s="19">
        <v>2</v>
      </c>
      <c r="L1000" s="19" t="s">
        <v>8363</v>
      </c>
      <c r="M1000" s="21">
        <v>5.7</v>
      </c>
      <c r="N1000">
        <f t="shared" si="15"/>
        <v>1</v>
      </c>
    </row>
    <row r="1001" spans="1:14" x14ac:dyDescent="0.35">
      <c r="A1001" s="22" t="s">
        <v>1071</v>
      </c>
      <c r="B1001" s="23" t="s">
        <v>158</v>
      </c>
      <c r="C1001" s="23">
        <v>1</v>
      </c>
      <c r="D1001" s="24">
        <v>45677</v>
      </c>
      <c r="E1001" s="23" t="s">
        <v>8364</v>
      </c>
      <c r="F1001" s="23" t="s">
        <v>37</v>
      </c>
      <c r="G1001" s="23" t="s">
        <v>31</v>
      </c>
      <c r="H1001" s="23" t="s">
        <v>22</v>
      </c>
      <c r="I1001" s="23">
        <v>4</v>
      </c>
      <c r="J1001" s="23">
        <v>0</v>
      </c>
      <c r="K1001" s="23">
        <v>2</v>
      </c>
      <c r="L1001" s="23" t="s">
        <v>17</v>
      </c>
      <c r="M1001" s="25">
        <v>11.3</v>
      </c>
      <c r="N1001">
        <f t="shared" si="15"/>
        <v>0</v>
      </c>
    </row>
    <row r="1002" spans="1:14" x14ac:dyDescent="0.35">
      <c r="A1002" s="6" t="s">
        <v>1072</v>
      </c>
      <c r="B1002" s="19" t="s">
        <v>41</v>
      </c>
      <c r="C1002" s="19">
        <v>2</v>
      </c>
      <c r="D1002" s="20">
        <v>45699</v>
      </c>
      <c r="E1002" s="19" t="s">
        <v>20</v>
      </c>
      <c r="F1002" s="19" t="s">
        <v>8364</v>
      </c>
      <c r="G1002" s="19" t="s">
        <v>27</v>
      </c>
      <c r="H1002" s="19" t="s">
        <v>32</v>
      </c>
      <c r="I1002" s="19">
        <v>4</v>
      </c>
      <c r="J1002" s="19">
        <v>0</v>
      </c>
      <c r="K1002" s="19">
        <v>3</v>
      </c>
      <c r="L1002" s="19" t="s">
        <v>62</v>
      </c>
      <c r="M1002" s="21">
        <v>8.6</v>
      </c>
      <c r="N1002">
        <f t="shared" si="15"/>
        <v>0</v>
      </c>
    </row>
    <row r="1003" spans="1:14" x14ac:dyDescent="0.35">
      <c r="A1003" s="22" t="s">
        <v>1073</v>
      </c>
      <c r="B1003" s="23" t="s">
        <v>41</v>
      </c>
      <c r="C1003" s="23">
        <v>8</v>
      </c>
      <c r="D1003" s="24">
        <v>45886</v>
      </c>
      <c r="E1003" s="23" t="s">
        <v>13</v>
      </c>
      <c r="F1003" s="23" t="s">
        <v>14</v>
      </c>
      <c r="G1003" s="23" t="s">
        <v>8364</v>
      </c>
      <c r="H1003" s="23" t="s">
        <v>22</v>
      </c>
      <c r="I1003" s="23">
        <v>24</v>
      </c>
      <c r="J1003" s="23">
        <v>1</v>
      </c>
      <c r="K1003" s="23">
        <v>2</v>
      </c>
      <c r="L1003" s="23" t="s">
        <v>38</v>
      </c>
      <c r="M1003" s="25">
        <v>10.7</v>
      </c>
      <c r="N1003">
        <f t="shared" si="15"/>
        <v>1</v>
      </c>
    </row>
    <row r="1004" spans="1:14" x14ac:dyDescent="0.35">
      <c r="A1004" s="6" t="s">
        <v>1074</v>
      </c>
      <c r="B1004" s="19" t="s">
        <v>92</v>
      </c>
      <c r="C1004" s="19">
        <v>2</v>
      </c>
      <c r="D1004" s="20">
        <v>45700</v>
      </c>
      <c r="E1004" s="19" t="s">
        <v>20</v>
      </c>
      <c r="F1004" s="19" t="s">
        <v>14</v>
      </c>
      <c r="G1004" s="19" t="s">
        <v>31</v>
      </c>
      <c r="H1004" s="19" t="s">
        <v>16</v>
      </c>
      <c r="I1004" s="19">
        <v>8</v>
      </c>
      <c r="J1004" s="19">
        <v>1</v>
      </c>
      <c r="K1004" s="19">
        <v>4</v>
      </c>
      <c r="L1004" s="19" t="s">
        <v>17</v>
      </c>
      <c r="M1004" s="21">
        <v>36</v>
      </c>
      <c r="N1004">
        <f t="shared" si="15"/>
        <v>0</v>
      </c>
    </row>
    <row r="1005" spans="1:14" x14ac:dyDescent="0.35">
      <c r="A1005" s="22" t="s">
        <v>1075</v>
      </c>
      <c r="B1005" s="23" t="s">
        <v>97</v>
      </c>
      <c r="C1005" s="23">
        <v>11</v>
      </c>
      <c r="D1005" s="24">
        <v>45977</v>
      </c>
      <c r="E1005" s="23" t="s">
        <v>25</v>
      </c>
      <c r="F1005" s="23" t="s">
        <v>43</v>
      </c>
      <c r="G1005" s="23" t="s">
        <v>21</v>
      </c>
      <c r="H1005" s="23" t="s">
        <v>22</v>
      </c>
      <c r="I1005" s="23">
        <v>48</v>
      </c>
      <c r="J1005" s="23">
        <v>0</v>
      </c>
      <c r="K1005" s="23">
        <v>5</v>
      </c>
      <c r="L1005" s="23" t="s">
        <v>55</v>
      </c>
      <c r="M1005" s="25">
        <v>6.9</v>
      </c>
      <c r="N1005">
        <f t="shared" si="15"/>
        <v>1</v>
      </c>
    </row>
    <row r="1006" spans="1:14" x14ac:dyDescent="0.35">
      <c r="A1006" s="6" t="s">
        <v>1076</v>
      </c>
      <c r="B1006" s="19" t="s">
        <v>236</v>
      </c>
      <c r="C1006" s="19">
        <v>10</v>
      </c>
      <c r="D1006" s="20">
        <v>45932</v>
      </c>
      <c r="E1006" s="19" t="s">
        <v>13</v>
      </c>
      <c r="F1006" s="19" t="s">
        <v>43</v>
      </c>
      <c r="G1006" s="19" t="s">
        <v>21</v>
      </c>
      <c r="H1006" s="19" t="s">
        <v>22</v>
      </c>
      <c r="I1006" s="19">
        <v>8</v>
      </c>
      <c r="J1006" s="19">
        <v>0</v>
      </c>
      <c r="K1006" s="19">
        <v>4</v>
      </c>
      <c r="L1006" s="19" t="s">
        <v>17</v>
      </c>
      <c r="M1006" s="21">
        <v>19.2</v>
      </c>
      <c r="N1006">
        <f t="shared" si="15"/>
        <v>0</v>
      </c>
    </row>
    <row r="1007" spans="1:14" x14ac:dyDescent="0.35">
      <c r="A1007" s="22" t="s">
        <v>1077</v>
      </c>
      <c r="B1007" s="23" t="s">
        <v>34</v>
      </c>
      <c r="C1007" s="23">
        <v>1</v>
      </c>
      <c r="D1007" s="24">
        <v>45682</v>
      </c>
      <c r="E1007" s="23" t="s">
        <v>13</v>
      </c>
      <c r="F1007" s="23" t="s">
        <v>26</v>
      </c>
      <c r="G1007" s="23" t="s">
        <v>27</v>
      </c>
      <c r="H1007" s="23" t="s">
        <v>8364</v>
      </c>
      <c r="I1007" s="23">
        <v>48</v>
      </c>
      <c r="J1007" s="23">
        <v>3</v>
      </c>
      <c r="K1007" s="23">
        <v>5</v>
      </c>
      <c r="L1007" s="23" t="s">
        <v>75</v>
      </c>
      <c r="M1007" s="25">
        <v>11.6</v>
      </c>
      <c r="N1007">
        <f t="shared" si="15"/>
        <v>1</v>
      </c>
    </row>
    <row r="1008" spans="1:14" x14ac:dyDescent="0.35">
      <c r="A1008" s="6" t="s">
        <v>1078</v>
      </c>
      <c r="B1008" s="19" t="s">
        <v>99</v>
      </c>
      <c r="C1008" s="19">
        <v>3</v>
      </c>
      <c r="D1008" s="20">
        <v>45746</v>
      </c>
      <c r="E1008" s="19" t="s">
        <v>8364</v>
      </c>
      <c r="F1008" s="19" t="s">
        <v>14</v>
      </c>
      <c r="G1008" s="19" t="s">
        <v>31</v>
      </c>
      <c r="H1008" s="19" t="s">
        <v>32</v>
      </c>
      <c r="I1008" s="19">
        <v>4</v>
      </c>
      <c r="J1008" s="19">
        <v>1</v>
      </c>
      <c r="K1008" s="19"/>
      <c r="L1008" s="19" t="s">
        <v>62</v>
      </c>
      <c r="M1008" s="21">
        <v>1.6</v>
      </c>
      <c r="N1008">
        <f t="shared" si="15"/>
        <v>1</v>
      </c>
    </row>
    <row r="1009" spans="1:14" x14ac:dyDescent="0.35">
      <c r="A1009" s="22" t="s">
        <v>1079</v>
      </c>
      <c r="B1009" s="23" t="s">
        <v>158</v>
      </c>
      <c r="C1009" s="23">
        <v>3</v>
      </c>
      <c r="D1009" s="24">
        <v>45741</v>
      </c>
      <c r="E1009" s="23" t="s">
        <v>25</v>
      </c>
      <c r="F1009" s="23" t="s">
        <v>43</v>
      </c>
      <c r="G1009" s="23" t="s">
        <v>31</v>
      </c>
      <c r="H1009" s="23" t="s">
        <v>32</v>
      </c>
      <c r="I1009" s="23">
        <v>8</v>
      </c>
      <c r="J1009" s="23">
        <v>1</v>
      </c>
      <c r="K1009" s="23">
        <v>4</v>
      </c>
      <c r="L1009" s="23" t="s">
        <v>75</v>
      </c>
      <c r="M1009" s="25">
        <v>15.6</v>
      </c>
      <c r="N1009">
        <f t="shared" si="15"/>
        <v>0</v>
      </c>
    </row>
    <row r="1010" spans="1:14" x14ac:dyDescent="0.35">
      <c r="A1010" s="6" t="s">
        <v>1080</v>
      </c>
      <c r="B1010" s="19" t="s">
        <v>65</v>
      </c>
      <c r="C1010" s="19">
        <v>2</v>
      </c>
      <c r="D1010" s="20">
        <v>45710</v>
      </c>
      <c r="E1010" s="19" t="s">
        <v>8364</v>
      </c>
      <c r="F1010" s="19" t="s">
        <v>14</v>
      </c>
      <c r="G1010" s="19" t="s">
        <v>21</v>
      </c>
      <c r="H1010" s="19" t="s">
        <v>8364</v>
      </c>
      <c r="I1010" s="19">
        <v>72</v>
      </c>
      <c r="J1010" s="19">
        <v>1</v>
      </c>
      <c r="K1010" s="19">
        <v>4</v>
      </c>
      <c r="L1010" s="19" t="s">
        <v>33</v>
      </c>
      <c r="M1010" s="21">
        <v>7.9</v>
      </c>
      <c r="N1010">
        <f t="shared" si="15"/>
        <v>1</v>
      </c>
    </row>
    <row r="1011" spans="1:14" x14ac:dyDescent="0.35">
      <c r="A1011" s="22" t="s">
        <v>1081</v>
      </c>
      <c r="B1011" s="23" t="s">
        <v>85</v>
      </c>
      <c r="C1011" s="23">
        <v>6</v>
      </c>
      <c r="D1011" s="24">
        <v>45816</v>
      </c>
      <c r="E1011" s="23" t="s">
        <v>25</v>
      </c>
      <c r="F1011" s="23" t="s">
        <v>59</v>
      </c>
      <c r="G1011" s="23" t="s">
        <v>31</v>
      </c>
      <c r="H1011" s="23" t="s">
        <v>22</v>
      </c>
      <c r="I1011" s="23">
        <v>72</v>
      </c>
      <c r="J1011" s="23">
        <v>0</v>
      </c>
      <c r="K1011" s="23">
        <v>2</v>
      </c>
      <c r="L1011" s="23" t="s">
        <v>33</v>
      </c>
      <c r="M1011" s="25">
        <v>8.8000000000000007</v>
      </c>
      <c r="N1011">
        <f t="shared" si="15"/>
        <v>1</v>
      </c>
    </row>
    <row r="1012" spans="1:14" x14ac:dyDescent="0.35">
      <c r="A1012" s="6" t="s">
        <v>1082</v>
      </c>
      <c r="B1012" s="19" t="s">
        <v>181</v>
      </c>
      <c r="C1012" s="19">
        <v>10</v>
      </c>
      <c r="D1012" s="20">
        <v>45955</v>
      </c>
      <c r="E1012" s="19" t="s">
        <v>25</v>
      </c>
      <c r="F1012" s="19" t="s">
        <v>26</v>
      </c>
      <c r="G1012" s="19" t="s">
        <v>8364</v>
      </c>
      <c r="H1012" s="19" t="s">
        <v>28</v>
      </c>
      <c r="I1012" s="19">
        <v>72</v>
      </c>
      <c r="J1012" s="19">
        <v>0</v>
      </c>
      <c r="K1012" s="19">
        <v>2</v>
      </c>
      <c r="L1012" s="19" t="s">
        <v>8363</v>
      </c>
      <c r="M1012" s="21">
        <v>42</v>
      </c>
      <c r="N1012">
        <f t="shared" si="15"/>
        <v>1</v>
      </c>
    </row>
    <row r="1013" spans="1:14" x14ac:dyDescent="0.35">
      <c r="A1013" s="22" t="s">
        <v>1083</v>
      </c>
      <c r="B1013" s="23" t="s">
        <v>45</v>
      </c>
      <c r="C1013" s="23">
        <v>1</v>
      </c>
      <c r="D1013" s="24">
        <v>45687</v>
      </c>
      <c r="E1013" s="23" t="s">
        <v>8364</v>
      </c>
      <c r="F1013" s="23" t="s">
        <v>43</v>
      </c>
      <c r="G1013" s="23" t="s">
        <v>27</v>
      </c>
      <c r="H1013" s="23" t="s">
        <v>28</v>
      </c>
      <c r="I1013" s="23">
        <v>8</v>
      </c>
      <c r="J1013" s="23">
        <v>0</v>
      </c>
      <c r="K1013" s="23">
        <v>3</v>
      </c>
      <c r="L1013" s="23" t="s">
        <v>44</v>
      </c>
      <c r="M1013" s="25">
        <v>12.2</v>
      </c>
      <c r="N1013">
        <f t="shared" si="15"/>
        <v>0</v>
      </c>
    </row>
    <row r="1014" spans="1:14" x14ac:dyDescent="0.35">
      <c r="A1014" s="6" t="s">
        <v>1084</v>
      </c>
      <c r="B1014" s="19" t="s">
        <v>57</v>
      </c>
      <c r="C1014" s="19">
        <v>1</v>
      </c>
      <c r="D1014" s="20">
        <v>45665</v>
      </c>
      <c r="E1014" s="19" t="s">
        <v>25</v>
      </c>
      <c r="F1014" s="19" t="s">
        <v>14</v>
      </c>
      <c r="G1014" s="19" t="s">
        <v>31</v>
      </c>
      <c r="H1014" s="19" t="s">
        <v>8364</v>
      </c>
      <c r="I1014" s="19">
        <v>72</v>
      </c>
      <c r="J1014" s="19">
        <v>2</v>
      </c>
      <c r="K1014" s="19">
        <v>5</v>
      </c>
      <c r="L1014" s="19" t="s">
        <v>44</v>
      </c>
      <c r="M1014" s="21">
        <v>5</v>
      </c>
      <c r="N1014">
        <f t="shared" si="15"/>
        <v>1</v>
      </c>
    </row>
    <row r="1015" spans="1:14" x14ac:dyDescent="0.35">
      <c r="A1015" s="22" t="s">
        <v>1085</v>
      </c>
      <c r="B1015" s="23" t="s">
        <v>146</v>
      </c>
      <c r="C1015" s="23">
        <v>10</v>
      </c>
      <c r="D1015" s="24">
        <v>45937</v>
      </c>
      <c r="E1015" s="23" t="s">
        <v>8364</v>
      </c>
      <c r="F1015" s="23" t="s">
        <v>8364</v>
      </c>
      <c r="G1015" s="23" t="s">
        <v>21</v>
      </c>
      <c r="H1015" s="23" t="s">
        <v>22</v>
      </c>
      <c r="I1015" s="23">
        <v>24</v>
      </c>
      <c r="J1015" s="23">
        <v>2</v>
      </c>
      <c r="K1015" s="23">
        <v>4</v>
      </c>
      <c r="L1015" s="23" t="s">
        <v>75</v>
      </c>
      <c r="M1015" s="25">
        <v>12.3</v>
      </c>
      <c r="N1015">
        <f t="shared" si="15"/>
        <v>1</v>
      </c>
    </row>
    <row r="1016" spans="1:14" x14ac:dyDescent="0.35">
      <c r="A1016" s="6" t="s">
        <v>1086</v>
      </c>
      <c r="B1016" s="19" t="s">
        <v>47</v>
      </c>
      <c r="C1016" s="19">
        <v>1</v>
      </c>
      <c r="D1016" s="20">
        <v>45665</v>
      </c>
      <c r="E1016" s="19" t="s">
        <v>8364</v>
      </c>
      <c r="F1016" s="19" t="s">
        <v>40</v>
      </c>
      <c r="G1016" s="19" t="s">
        <v>27</v>
      </c>
      <c r="H1016" s="19" t="s">
        <v>22</v>
      </c>
      <c r="I1016" s="19">
        <v>72</v>
      </c>
      <c r="J1016" s="19">
        <v>1</v>
      </c>
      <c r="K1016" s="19">
        <v>5</v>
      </c>
      <c r="L1016" s="19" t="s">
        <v>62</v>
      </c>
      <c r="M1016" s="21"/>
      <c r="N1016">
        <f t="shared" si="15"/>
        <v>1</v>
      </c>
    </row>
    <row r="1017" spans="1:14" x14ac:dyDescent="0.35">
      <c r="A1017" s="22" t="s">
        <v>1087</v>
      </c>
      <c r="B1017" s="23" t="s">
        <v>72</v>
      </c>
      <c r="C1017" s="23">
        <v>9</v>
      </c>
      <c r="D1017" s="24">
        <v>45924</v>
      </c>
      <c r="E1017" s="23" t="s">
        <v>25</v>
      </c>
      <c r="F1017" s="23" t="s">
        <v>37</v>
      </c>
      <c r="G1017" s="23" t="s">
        <v>15</v>
      </c>
      <c r="H1017" s="23" t="s">
        <v>8364</v>
      </c>
      <c r="I1017" s="23">
        <v>24</v>
      </c>
      <c r="J1017" s="23">
        <v>0</v>
      </c>
      <c r="K1017" s="23">
        <v>5</v>
      </c>
      <c r="L1017" s="23" t="s">
        <v>75</v>
      </c>
      <c r="M1017" s="25">
        <v>12.7</v>
      </c>
      <c r="N1017">
        <f t="shared" si="15"/>
        <v>1</v>
      </c>
    </row>
    <row r="1018" spans="1:14" x14ac:dyDescent="0.35">
      <c r="A1018" s="6" t="s">
        <v>1088</v>
      </c>
      <c r="B1018" s="19" t="s">
        <v>143</v>
      </c>
      <c r="C1018" s="19">
        <v>4</v>
      </c>
      <c r="D1018" s="20">
        <v>45758</v>
      </c>
      <c r="E1018" s="19" t="s">
        <v>68</v>
      </c>
      <c r="F1018" s="19" t="s">
        <v>14</v>
      </c>
      <c r="G1018" s="19" t="s">
        <v>27</v>
      </c>
      <c r="H1018" s="19" t="s">
        <v>22</v>
      </c>
      <c r="I1018" s="19">
        <v>48</v>
      </c>
      <c r="J1018" s="19">
        <v>0</v>
      </c>
      <c r="K1018" s="19">
        <v>5</v>
      </c>
      <c r="L1018" s="19" t="s">
        <v>62</v>
      </c>
      <c r="M1018" s="21">
        <v>11.9</v>
      </c>
      <c r="N1018">
        <f t="shared" si="15"/>
        <v>1</v>
      </c>
    </row>
    <row r="1019" spans="1:14" x14ac:dyDescent="0.35">
      <c r="A1019" s="22" t="s">
        <v>1089</v>
      </c>
      <c r="B1019" s="23" t="s">
        <v>72</v>
      </c>
      <c r="C1019" s="23"/>
      <c r="D1019" s="24"/>
      <c r="E1019" s="23" t="s">
        <v>20</v>
      </c>
      <c r="F1019" s="23" t="s">
        <v>59</v>
      </c>
      <c r="G1019" s="23" t="s">
        <v>8364</v>
      </c>
      <c r="H1019" s="23" t="s">
        <v>8364</v>
      </c>
      <c r="I1019" s="23">
        <v>24</v>
      </c>
      <c r="J1019" s="23">
        <v>1</v>
      </c>
      <c r="K1019" s="23">
        <v>3</v>
      </c>
      <c r="L1019" s="23" t="s">
        <v>44</v>
      </c>
      <c r="M1019" s="25">
        <v>8.6</v>
      </c>
      <c r="N1019">
        <f t="shared" si="15"/>
        <v>1</v>
      </c>
    </row>
    <row r="1020" spans="1:14" x14ac:dyDescent="0.35">
      <c r="A1020" s="6" t="s">
        <v>1090</v>
      </c>
      <c r="B1020" s="19" t="s">
        <v>81</v>
      </c>
      <c r="C1020" s="19">
        <v>1</v>
      </c>
      <c r="D1020" s="20">
        <v>45670</v>
      </c>
      <c r="E1020" s="19" t="s">
        <v>13</v>
      </c>
      <c r="F1020" s="19" t="s">
        <v>59</v>
      </c>
      <c r="G1020" s="19" t="s">
        <v>8364</v>
      </c>
      <c r="H1020" s="19" t="s">
        <v>32</v>
      </c>
      <c r="I1020" s="19">
        <v>24</v>
      </c>
      <c r="J1020" s="19">
        <v>0</v>
      </c>
      <c r="K1020" s="19">
        <v>2</v>
      </c>
      <c r="L1020" s="19" t="s">
        <v>8363</v>
      </c>
      <c r="M1020" s="21">
        <v>1.9</v>
      </c>
      <c r="N1020">
        <f t="shared" si="15"/>
        <v>1</v>
      </c>
    </row>
    <row r="1021" spans="1:14" x14ac:dyDescent="0.35">
      <c r="A1021" s="22" t="s">
        <v>1091</v>
      </c>
      <c r="B1021" s="23" t="s">
        <v>51</v>
      </c>
      <c r="C1021" s="23">
        <v>3</v>
      </c>
      <c r="D1021" s="24">
        <v>45747</v>
      </c>
      <c r="E1021" s="23" t="s">
        <v>25</v>
      </c>
      <c r="F1021" s="23" t="s">
        <v>43</v>
      </c>
      <c r="G1021" s="23" t="s">
        <v>27</v>
      </c>
      <c r="H1021" s="23" t="s">
        <v>8364</v>
      </c>
      <c r="I1021" s="23">
        <v>72</v>
      </c>
      <c r="J1021" s="23">
        <v>0</v>
      </c>
      <c r="K1021" s="23">
        <v>3</v>
      </c>
      <c r="L1021" s="23" t="s">
        <v>55</v>
      </c>
      <c r="M1021" s="25">
        <v>23.1</v>
      </c>
      <c r="N1021">
        <f t="shared" si="15"/>
        <v>1</v>
      </c>
    </row>
    <row r="1022" spans="1:14" x14ac:dyDescent="0.35">
      <c r="A1022" s="6" t="s">
        <v>1092</v>
      </c>
      <c r="B1022" s="19" t="s">
        <v>108</v>
      </c>
      <c r="C1022" s="19">
        <v>5</v>
      </c>
      <c r="D1022" s="20">
        <v>45799</v>
      </c>
      <c r="E1022" s="19" t="s">
        <v>13</v>
      </c>
      <c r="F1022" s="19" t="s">
        <v>8364</v>
      </c>
      <c r="G1022" s="19" t="s">
        <v>21</v>
      </c>
      <c r="H1022" s="19" t="s">
        <v>16</v>
      </c>
      <c r="I1022" s="19">
        <v>8</v>
      </c>
      <c r="J1022" s="19">
        <v>0</v>
      </c>
      <c r="K1022" s="19">
        <v>4</v>
      </c>
      <c r="L1022" s="19" t="s">
        <v>8363</v>
      </c>
      <c r="M1022" s="21">
        <v>12.9</v>
      </c>
      <c r="N1022">
        <f t="shared" si="15"/>
        <v>0</v>
      </c>
    </row>
    <row r="1023" spans="1:14" x14ac:dyDescent="0.35">
      <c r="A1023" s="22" t="s">
        <v>1093</v>
      </c>
      <c r="B1023" s="23" t="s">
        <v>34</v>
      </c>
      <c r="C1023" s="23">
        <v>5</v>
      </c>
      <c r="D1023" s="24">
        <v>45781</v>
      </c>
      <c r="E1023" s="23" t="s">
        <v>25</v>
      </c>
      <c r="F1023" s="23" t="s">
        <v>43</v>
      </c>
      <c r="G1023" s="23" t="s">
        <v>15</v>
      </c>
      <c r="H1023" s="23" t="s">
        <v>22</v>
      </c>
      <c r="I1023" s="23">
        <v>48</v>
      </c>
      <c r="J1023" s="23"/>
      <c r="K1023" s="23">
        <v>5</v>
      </c>
      <c r="L1023" s="23" t="s">
        <v>33</v>
      </c>
      <c r="M1023" s="25">
        <v>1.6</v>
      </c>
      <c r="N1023">
        <f t="shared" si="15"/>
        <v>1</v>
      </c>
    </row>
    <row r="1024" spans="1:14" x14ac:dyDescent="0.35">
      <c r="A1024" s="6" t="s">
        <v>1094</v>
      </c>
      <c r="B1024" s="19" t="s">
        <v>139</v>
      </c>
      <c r="C1024" s="19">
        <v>10</v>
      </c>
      <c r="D1024" s="20">
        <v>45952</v>
      </c>
      <c r="E1024" s="19" t="s">
        <v>68</v>
      </c>
      <c r="F1024" s="19" t="s">
        <v>43</v>
      </c>
      <c r="G1024" s="19" t="s">
        <v>21</v>
      </c>
      <c r="H1024" s="19" t="s">
        <v>28</v>
      </c>
      <c r="I1024" s="19">
        <v>72</v>
      </c>
      <c r="J1024" s="19">
        <v>0</v>
      </c>
      <c r="K1024" s="19">
        <v>1</v>
      </c>
      <c r="L1024" s="19" t="s">
        <v>8363</v>
      </c>
      <c r="M1024" s="21">
        <v>14.6</v>
      </c>
      <c r="N1024">
        <f t="shared" si="15"/>
        <v>1</v>
      </c>
    </row>
    <row r="1025" spans="1:14" x14ac:dyDescent="0.35">
      <c r="A1025" s="22" t="s">
        <v>1095</v>
      </c>
      <c r="B1025" s="23" t="s">
        <v>89</v>
      </c>
      <c r="C1025" s="23">
        <v>10</v>
      </c>
      <c r="D1025" s="24">
        <v>45934</v>
      </c>
      <c r="E1025" s="23" t="s">
        <v>13</v>
      </c>
      <c r="F1025" s="23" t="s">
        <v>40</v>
      </c>
      <c r="G1025" s="23" t="s">
        <v>31</v>
      </c>
      <c r="H1025" s="23" t="s">
        <v>22</v>
      </c>
      <c r="I1025" s="23">
        <v>4</v>
      </c>
      <c r="J1025" s="23">
        <v>2</v>
      </c>
      <c r="K1025" s="23">
        <v>4</v>
      </c>
      <c r="L1025" s="23" t="s">
        <v>8363</v>
      </c>
      <c r="M1025" s="25">
        <v>8</v>
      </c>
      <c r="N1025">
        <f t="shared" si="15"/>
        <v>0</v>
      </c>
    </row>
    <row r="1026" spans="1:14" x14ac:dyDescent="0.35">
      <c r="A1026" s="6" t="s">
        <v>1096</v>
      </c>
      <c r="B1026" s="19" t="s">
        <v>181</v>
      </c>
      <c r="C1026" s="19"/>
      <c r="D1026" s="20"/>
      <c r="E1026" s="19" t="s">
        <v>13</v>
      </c>
      <c r="F1026" s="19" t="s">
        <v>8364</v>
      </c>
      <c r="G1026" s="19" t="s">
        <v>21</v>
      </c>
      <c r="H1026" s="19" t="s">
        <v>22</v>
      </c>
      <c r="I1026" s="19">
        <v>4</v>
      </c>
      <c r="J1026" s="19">
        <v>0</v>
      </c>
      <c r="K1026" s="19">
        <v>5</v>
      </c>
      <c r="L1026" s="19" t="s">
        <v>44</v>
      </c>
      <c r="M1026" s="21">
        <v>7.5</v>
      </c>
      <c r="N1026">
        <f t="shared" si="15"/>
        <v>0</v>
      </c>
    </row>
    <row r="1027" spans="1:14" x14ac:dyDescent="0.35">
      <c r="A1027" s="22" t="s">
        <v>1097</v>
      </c>
      <c r="B1027" s="23" t="s">
        <v>29</v>
      </c>
      <c r="C1027" s="23">
        <v>9</v>
      </c>
      <c r="D1027" s="24">
        <v>45917</v>
      </c>
      <c r="E1027" s="23" t="s">
        <v>68</v>
      </c>
      <c r="F1027" s="23" t="s">
        <v>8364</v>
      </c>
      <c r="G1027" s="23" t="s">
        <v>31</v>
      </c>
      <c r="H1027" s="23" t="s">
        <v>28</v>
      </c>
      <c r="I1027" s="23">
        <v>24</v>
      </c>
      <c r="J1027" s="23">
        <v>0</v>
      </c>
      <c r="K1027" s="23">
        <v>4</v>
      </c>
      <c r="L1027" s="23" t="s">
        <v>44</v>
      </c>
      <c r="M1027" s="25">
        <v>26</v>
      </c>
      <c r="N1027">
        <f t="shared" ref="N1027:N1090" si="16">IF(M1027 &lt;= I1027, 1, 0)</f>
        <v>0</v>
      </c>
    </row>
    <row r="1028" spans="1:14" x14ac:dyDescent="0.35">
      <c r="A1028" s="6" t="s">
        <v>1098</v>
      </c>
      <c r="B1028" s="19" t="s">
        <v>69</v>
      </c>
      <c r="C1028" s="19">
        <v>8</v>
      </c>
      <c r="D1028" s="20">
        <v>45881</v>
      </c>
      <c r="E1028" s="19" t="s">
        <v>36</v>
      </c>
      <c r="F1028" s="19" t="s">
        <v>14</v>
      </c>
      <c r="G1028" s="19" t="s">
        <v>27</v>
      </c>
      <c r="H1028" s="19" t="s">
        <v>22</v>
      </c>
      <c r="I1028" s="19">
        <v>8</v>
      </c>
      <c r="J1028" s="19">
        <v>0</v>
      </c>
      <c r="K1028" s="19">
        <v>4</v>
      </c>
      <c r="L1028" s="19" t="s">
        <v>17</v>
      </c>
      <c r="M1028" s="21">
        <v>9</v>
      </c>
      <c r="N1028">
        <f t="shared" si="16"/>
        <v>0</v>
      </c>
    </row>
    <row r="1029" spans="1:14" x14ac:dyDescent="0.35">
      <c r="A1029" s="22" t="s">
        <v>1099</v>
      </c>
      <c r="B1029" s="23" t="s">
        <v>104</v>
      </c>
      <c r="C1029" s="23">
        <v>11</v>
      </c>
      <c r="D1029" s="24">
        <v>45991</v>
      </c>
      <c r="E1029" s="23" t="s">
        <v>13</v>
      </c>
      <c r="F1029" s="23" t="s">
        <v>59</v>
      </c>
      <c r="G1029" s="23" t="s">
        <v>31</v>
      </c>
      <c r="H1029" s="23" t="s">
        <v>28</v>
      </c>
      <c r="I1029" s="23">
        <v>8</v>
      </c>
      <c r="J1029" s="23">
        <v>0</v>
      </c>
      <c r="K1029" s="23">
        <v>2</v>
      </c>
      <c r="L1029" s="23" t="s">
        <v>8363</v>
      </c>
      <c r="M1029" s="25">
        <v>78</v>
      </c>
      <c r="N1029">
        <f t="shared" si="16"/>
        <v>0</v>
      </c>
    </row>
    <row r="1030" spans="1:14" x14ac:dyDescent="0.35">
      <c r="A1030" s="6" t="s">
        <v>1100</v>
      </c>
      <c r="B1030" s="19" t="s">
        <v>143</v>
      </c>
      <c r="C1030" s="19">
        <v>3</v>
      </c>
      <c r="D1030" s="20">
        <v>45723</v>
      </c>
      <c r="E1030" s="19" t="s">
        <v>8364</v>
      </c>
      <c r="F1030" s="19" t="s">
        <v>43</v>
      </c>
      <c r="G1030" s="19" t="s">
        <v>27</v>
      </c>
      <c r="H1030" s="19" t="s">
        <v>22</v>
      </c>
      <c r="I1030" s="19">
        <v>24</v>
      </c>
      <c r="J1030" s="19">
        <v>2</v>
      </c>
      <c r="K1030" s="19">
        <v>4</v>
      </c>
      <c r="L1030" s="19" t="s">
        <v>33</v>
      </c>
      <c r="M1030" s="21">
        <v>8.5</v>
      </c>
      <c r="N1030">
        <f t="shared" si="16"/>
        <v>1</v>
      </c>
    </row>
    <row r="1031" spans="1:14" x14ac:dyDescent="0.35">
      <c r="A1031" s="22" t="s">
        <v>1101</v>
      </c>
      <c r="B1031" s="23" t="s">
        <v>89</v>
      </c>
      <c r="C1031" s="23">
        <v>6</v>
      </c>
      <c r="D1031" s="24">
        <v>45822</v>
      </c>
      <c r="E1031" s="23" t="s">
        <v>25</v>
      </c>
      <c r="F1031" s="23" t="s">
        <v>37</v>
      </c>
      <c r="G1031" s="23" t="s">
        <v>27</v>
      </c>
      <c r="H1031" s="23" t="s">
        <v>8364</v>
      </c>
      <c r="I1031" s="23">
        <v>4</v>
      </c>
      <c r="J1031" s="23">
        <v>0</v>
      </c>
      <c r="K1031" s="23">
        <v>4</v>
      </c>
      <c r="L1031" s="23" t="s">
        <v>38</v>
      </c>
      <c r="M1031" s="25">
        <v>23.3</v>
      </c>
      <c r="N1031">
        <f t="shared" si="16"/>
        <v>0</v>
      </c>
    </row>
    <row r="1032" spans="1:14" x14ac:dyDescent="0.35">
      <c r="A1032" s="6" t="s">
        <v>1102</v>
      </c>
      <c r="B1032" s="19" t="s">
        <v>146</v>
      </c>
      <c r="C1032" s="19">
        <v>9</v>
      </c>
      <c r="D1032" s="20">
        <v>45927</v>
      </c>
      <c r="E1032" s="19" t="s">
        <v>36</v>
      </c>
      <c r="F1032" s="19" t="s">
        <v>37</v>
      </c>
      <c r="G1032" s="19" t="s">
        <v>8364</v>
      </c>
      <c r="H1032" s="19" t="s">
        <v>28</v>
      </c>
      <c r="I1032" s="19">
        <v>72</v>
      </c>
      <c r="J1032" s="19">
        <v>0</v>
      </c>
      <c r="K1032" s="19">
        <v>5</v>
      </c>
      <c r="L1032" s="19" t="s">
        <v>8363</v>
      </c>
      <c r="M1032" s="21">
        <v>20.2</v>
      </c>
      <c r="N1032">
        <f t="shared" si="16"/>
        <v>1</v>
      </c>
    </row>
    <row r="1033" spans="1:14" x14ac:dyDescent="0.35">
      <c r="A1033" s="22" t="s">
        <v>1103</v>
      </c>
      <c r="B1033" s="23" t="s">
        <v>39</v>
      </c>
      <c r="C1033" s="23">
        <v>1</v>
      </c>
      <c r="D1033" s="24">
        <v>45677</v>
      </c>
      <c r="E1033" s="23" t="s">
        <v>36</v>
      </c>
      <c r="F1033" s="23" t="s">
        <v>26</v>
      </c>
      <c r="G1033" s="23" t="s">
        <v>21</v>
      </c>
      <c r="H1033" s="23" t="s">
        <v>22</v>
      </c>
      <c r="I1033" s="23">
        <v>48</v>
      </c>
      <c r="J1033" s="23">
        <v>1</v>
      </c>
      <c r="K1033" s="23">
        <v>1</v>
      </c>
      <c r="L1033" s="23" t="s">
        <v>8363</v>
      </c>
      <c r="M1033" s="25">
        <v>36.5</v>
      </c>
      <c r="N1033">
        <f t="shared" si="16"/>
        <v>1</v>
      </c>
    </row>
    <row r="1034" spans="1:14" x14ac:dyDescent="0.35">
      <c r="A1034" s="6" t="s">
        <v>1104</v>
      </c>
      <c r="B1034" s="19" t="s">
        <v>130</v>
      </c>
      <c r="C1034" s="19">
        <v>9</v>
      </c>
      <c r="D1034" s="20">
        <v>45909</v>
      </c>
      <c r="E1034" s="19" t="s">
        <v>25</v>
      </c>
      <c r="F1034" s="19" t="s">
        <v>43</v>
      </c>
      <c r="G1034" s="19" t="s">
        <v>27</v>
      </c>
      <c r="H1034" s="19" t="s">
        <v>22</v>
      </c>
      <c r="I1034" s="19">
        <v>24</v>
      </c>
      <c r="J1034" s="19">
        <v>0</v>
      </c>
      <c r="K1034" s="19">
        <v>5</v>
      </c>
      <c r="L1034" s="19" t="s">
        <v>44</v>
      </c>
      <c r="M1034" s="21">
        <v>5.5</v>
      </c>
      <c r="N1034">
        <f t="shared" si="16"/>
        <v>1</v>
      </c>
    </row>
    <row r="1035" spans="1:14" x14ac:dyDescent="0.35">
      <c r="A1035" s="22" t="s">
        <v>1105</v>
      </c>
      <c r="B1035" s="23" t="s">
        <v>72</v>
      </c>
      <c r="C1035" s="23">
        <v>6</v>
      </c>
      <c r="D1035" s="24">
        <v>45811</v>
      </c>
      <c r="E1035" s="23" t="s">
        <v>25</v>
      </c>
      <c r="F1035" s="23" t="s">
        <v>43</v>
      </c>
      <c r="G1035" s="23" t="s">
        <v>27</v>
      </c>
      <c r="H1035" s="23" t="s">
        <v>8364</v>
      </c>
      <c r="I1035" s="23">
        <v>72</v>
      </c>
      <c r="J1035" s="23">
        <v>0</v>
      </c>
      <c r="K1035" s="23">
        <v>4</v>
      </c>
      <c r="L1035" s="23" t="s">
        <v>33</v>
      </c>
      <c r="M1035" s="25">
        <v>12.2</v>
      </c>
      <c r="N1035">
        <f t="shared" si="16"/>
        <v>1</v>
      </c>
    </row>
    <row r="1036" spans="1:14" x14ac:dyDescent="0.35">
      <c r="A1036" s="6" t="s">
        <v>1106</v>
      </c>
      <c r="B1036" s="19" t="s">
        <v>146</v>
      </c>
      <c r="C1036" s="19"/>
      <c r="D1036" s="20"/>
      <c r="E1036" s="19" t="s">
        <v>20</v>
      </c>
      <c r="F1036" s="19" t="s">
        <v>8364</v>
      </c>
      <c r="G1036" s="19" t="s">
        <v>27</v>
      </c>
      <c r="H1036" s="19" t="s">
        <v>22</v>
      </c>
      <c r="I1036" s="19">
        <v>4</v>
      </c>
      <c r="J1036" s="19">
        <v>2</v>
      </c>
      <c r="K1036" s="19">
        <v>5</v>
      </c>
      <c r="L1036" s="19" t="s">
        <v>75</v>
      </c>
      <c r="M1036" s="21">
        <v>3.4</v>
      </c>
      <c r="N1036">
        <f t="shared" si="16"/>
        <v>1</v>
      </c>
    </row>
    <row r="1037" spans="1:14" x14ac:dyDescent="0.35">
      <c r="A1037" s="22" t="s">
        <v>1107</v>
      </c>
      <c r="B1037" s="23" t="s">
        <v>108</v>
      </c>
      <c r="C1037" s="23">
        <v>6</v>
      </c>
      <c r="D1037" s="24">
        <v>45819</v>
      </c>
      <c r="E1037" s="23" t="s">
        <v>25</v>
      </c>
      <c r="F1037" s="23" t="s">
        <v>8364</v>
      </c>
      <c r="G1037" s="23" t="s">
        <v>15</v>
      </c>
      <c r="H1037" s="23" t="s">
        <v>32</v>
      </c>
      <c r="I1037" s="23">
        <v>4</v>
      </c>
      <c r="J1037" s="23">
        <v>2</v>
      </c>
      <c r="K1037" s="23">
        <v>4</v>
      </c>
      <c r="L1037" s="23" t="s">
        <v>17</v>
      </c>
      <c r="M1037" s="25"/>
      <c r="N1037">
        <f t="shared" si="16"/>
        <v>1</v>
      </c>
    </row>
    <row r="1038" spans="1:14" x14ac:dyDescent="0.35">
      <c r="A1038" s="6" t="s">
        <v>1108</v>
      </c>
      <c r="B1038" s="19" t="s">
        <v>78</v>
      </c>
      <c r="C1038" s="19"/>
      <c r="D1038" s="20"/>
      <c r="E1038" s="19" t="s">
        <v>13</v>
      </c>
      <c r="F1038" s="19" t="s">
        <v>43</v>
      </c>
      <c r="G1038" s="19" t="s">
        <v>8364</v>
      </c>
      <c r="H1038" s="19" t="s">
        <v>32</v>
      </c>
      <c r="I1038" s="19">
        <v>24</v>
      </c>
      <c r="J1038" s="19">
        <v>1</v>
      </c>
      <c r="K1038" s="19">
        <v>3</v>
      </c>
      <c r="L1038" s="19" t="s">
        <v>8363</v>
      </c>
      <c r="M1038" s="21">
        <v>26.6</v>
      </c>
      <c r="N1038">
        <f t="shared" si="16"/>
        <v>0</v>
      </c>
    </row>
    <row r="1039" spans="1:14" x14ac:dyDescent="0.35">
      <c r="A1039" s="22" t="s">
        <v>1109</v>
      </c>
      <c r="B1039" s="23" t="s">
        <v>23</v>
      </c>
      <c r="C1039" s="23">
        <v>3</v>
      </c>
      <c r="D1039" s="24">
        <v>45739</v>
      </c>
      <c r="E1039" s="23" t="s">
        <v>8364</v>
      </c>
      <c r="F1039" s="23" t="s">
        <v>43</v>
      </c>
      <c r="G1039" s="23" t="s">
        <v>27</v>
      </c>
      <c r="H1039" s="23" t="s">
        <v>8364</v>
      </c>
      <c r="I1039" s="23">
        <v>48</v>
      </c>
      <c r="J1039" s="23">
        <v>0</v>
      </c>
      <c r="K1039" s="23"/>
      <c r="L1039" s="23" t="s">
        <v>44</v>
      </c>
      <c r="M1039" s="25">
        <v>2.9</v>
      </c>
      <c r="N1039">
        <f t="shared" si="16"/>
        <v>1</v>
      </c>
    </row>
    <row r="1040" spans="1:14" x14ac:dyDescent="0.35">
      <c r="A1040" s="6" t="s">
        <v>1110</v>
      </c>
      <c r="B1040" s="19" t="s">
        <v>47</v>
      </c>
      <c r="C1040" s="19">
        <v>11</v>
      </c>
      <c r="D1040" s="20">
        <v>45975</v>
      </c>
      <c r="E1040" s="19" t="s">
        <v>13</v>
      </c>
      <c r="F1040" s="19" t="s">
        <v>37</v>
      </c>
      <c r="G1040" s="19" t="s">
        <v>27</v>
      </c>
      <c r="H1040" s="19" t="s">
        <v>16</v>
      </c>
      <c r="I1040" s="19">
        <v>48</v>
      </c>
      <c r="J1040" s="19">
        <v>0</v>
      </c>
      <c r="K1040" s="19">
        <v>5</v>
      </c>
      <c r="L1040" s="19" t="s">
        <v>38</v>
      </c>
      <c r="M1040" s="21">
        <v>3.6</v>
      </c>
      <c r="N1040">
        <f t="shared" si="16"/>
        <v>1</v>
      </c>
    </row>
    <row r="1041" spans="1:14" x14ac:dyDescent="0.35">
      <c r="A1041" s="22" t="s">
        <v>1111</v>
      </c>
      <c r="B1041" s="23" t="s">
        <v>130</v>
      </c>
      <c r="C1041" s="23"/>
      <c r="D1041" s="24"/>
      <c r="E1041" s="23" t="s">
        <v>13</v>
      </c>
      <c r="F1041" s="23" t="s">
        <v>59</v>
      </c>
      <c r="G1041" s="23" t="s">
        <v>27</v>
      </c>
      <c r="H1041" s="23" t="s">
        <v>16</v>
      </c>
      <c r="I1041" s="23">
        <v>48</v>
      </c>
      <c r="J1041" s="23"/>
      <c r="K1041" s="23">
        <v>3</v>
      </c>
      <c r="L1041" s="23" t="s">
        <v>75</v>
      </c>
      <c r="M1041" s="25">
        <v>4.9000000000000004</v>
      </c>
      <c r="N1041">
        <f t="shared" si="16"/>
        <v>1</v>
      </c>
    </row>
    <row r="1042" spans="1:14" x14ac:dyDescent="0.35">
      <c r="A1042" s="6" t="s">
        <v>1112</v>
      </c>
      <c r="B1042" s="19" t="s">
        <v>18</v>
      </c>
      <c r="C1042" s="19">
        <v>12</v>
      </c>
      <c r="D1042" s="20">
        <v>46015</v>
      </c>
      <c r="E1042" s="19" t="s">
        <v>68</v>
      </c>
      <c r="F1042" s="19" t="s">
        <v>14</v>
      </c>
      <c r="G1042" s="19" t="s">
        <v>31</v>
      </c>
      <c r="H1042" s="19" t="s">
        <v>22</v>
      </c>
      <c r="I1042" s="19">
        <v>8</v>
      </c>
      <c r="J1042" s="19">
        <v>0</v>
      </c>
      <c r="K1042" s="19">
        <v>5</v>
      </c>
      <c r="L1042" s="19" t="s">
        <v>8363</v>
      </c>
      <c r="M1042" s="21"/>
      <c r="N1042">
        <f t="shared" si="16"/>
        <v>1</v>
      </c>
    </row>
    <row r="1043" spans="1:14" x14ac:dyDescent="0.35">
      <c r="A1043" s="22" t="s">
        <v>1113</v>
      </c>
      <c r="B1043" s="23" t="s">
        <v>51</v>
      </c>
      <c r="C1043" s="23">
        <v>1</v>
      </c>
      <c r="D1043" s="24">
        <v>45679</v>
      </c>
      <c r="E1043" s="23" t="s">
        <v>68</v>
      </c>
      <c r="F1043" s="23" t="s">
        <v>40</v>
      </c>
      <c r="G1043" s="23" t="s">
        <v>15</v>
      </c>
      <c r="H1043" s="23" t="s">
        <v>28</v>
      </c>
      <c r="I1043" s="23">
        <v>24</v>
      </c>
      <c r="J1043" s="23">
        <v>0</v>
      </c>
      <c r="K1043" s="23">
        <v>5</v>
      </c>
      <c r="L1043" s="23" t="s">
        <v>17</v>
      </c>
      <c r="M1043" s="25">
        <v>21.9</v>
      </c>
      <c r="N1043">
        <f t="shared" si="16"/>
        <v>1</v>
      </c>
    </row>
    <row r="1044" spans="1:14" x14ac:dyDescent="0.35">
      <c r="A1044" s="6" t="s">
        <v>1114</v>
      </c>
      <c r="B1044" s="19" t="s">
        <v>146</v>
      </c>
      <c r="C1044" s="19">
        <v>9</v>
      </c>
      <c r="D1044" s="20">
        <v>45901</v>
      </c>
      <c r="E1044" s="19" t="s">
        <v>68</v>
      </c>
      <c r="F1044" s="19" t="s">
        <v>43</v>
      </c>
      <c r="G1044" s="19" t="s">
        <v>27</v>
      </c>
      <c r="H1044" s="19" t="s">
        <v>32</v>
      </c>
      <c r="I1044" s="19">
        <v>8</v>
      </c>
      <c r="J1044" s="19">
        <v>1</v>
      </c>
      <c r="K1044" s="19">
        <v>1</v>
      </c>
      <c r="L1044" s="19" t="s">
        <v>33</v>
      </c>
      <c r="M1044" s="21">
        <v>7.8</v>
      </c>
      <c r="N1044">
        <f t="shared" si="16"/>
        <v>1</v>
      </c>
    </row>
    <row r="1045" spans="1:14" x14ac:dyDescent="0.35">
      <c r="A1045" s="22" t="s">
        <v>1115</v>
      </c>
      <c r="B1045" s="23" t="s">
        <v>29</v>
      </c>
      <c r="C1045" s="23">
        <v>10</v>
      </c>
      <c r="D1045" s="24">
        <v>45941</v>
      </c>
      <c r="E1045" s="23" t="s">
        <v>25</v>
      </c>
      <c r="F1045" s="23" t="s">
        <v>43</v>
      </c>
      <c r="G1045" s="23" t="s">
        <v>31</v>
      </c>
      <c r="H1045" s="23" t="s">
        <v>28</v>
      </c>
      <c r="I1045" s="23">
        <v>24</v>
      </c>
      <c r="J1045" s="23">
        <v>0</v>
      </c>
      <c r="K1045" s="23">
        <v>4</v>
      </c>
      <c r="L1045" s="23" t="s">
        <v>44</v>
      </c>
      <c r="M1045" s="25">
        <v>27.7</v>
      </c>
      <c r="N1045">
        <f t="shared" si="16"/>
        <v>0</v>
      </c>
    </row>
    <row r="1046" spans="1:14" x14ac:dyDescent="0.35">
      <c r="A1046" s="6" t="s">
        <v>1116</v>
      </c>
      <c r="B1046" s="19" t="s">
        <v>87</v>
      </c>
      <c r="C1046" s="19"/>
      <c r="D1046" s="20"/>
      <c r="E1046" s="19" t="s">
        <v>68</v>
      </c>
      <c r="F1046" s="19" t="s">
        <v>14</v>
      </c>
      <c r="G1046" s="19" t="s">
        <v>8364</v>
      </c>
      <c r="H1046" s="19" t="s">
        <v>8364</v>
      </c>
      <c r="I1046" s="19">
        <v>4</v>
      </c>
      <c r="J1046" s="19">
        <v>0</v>
      </c>
      <c r="K1046" s="19">
        <v>4</v>
      </c>
      <c r="L1046" s="19" t="s">
        <v>75</v>
      </c>
      <c r="M1046" s="21">
        <v>9.6</v>
      </c>
      <c r="N1046">
        <f t="shared" si="16"/>
        <v>0</v>
      </c>
    </row>
    <row r="1047" spans="1:14" x14ac:dyDescent="0.35">
      <c r="A1047" s="22" t="s">
        <v>1117</v>
      </c>
      <c r="B1047" s="23" t="s">
        <v>143</v>
      </c>
      <c r="C1047" s="23">
        <v>4</v>
      </c>
      <c r="D1047" s="24">
        <v>45749</v>
      </c>
      <c r="E1047" s="23" t="s">
        <v>25</v>
      </c>
      <c r="F1047" s="23" t="s">
        <v>14</v>
      </c>
      <c r="G1047" s="23" t="s">
        <v>21</v>
      </c>
      <c r="H1047" s="23" t="s">
        <v>28</v>
      </c>
      <c r="I1047" s="23">
        <v>72</v>
      </c>
      <c r="J1047" s="23">
        <v>0</v>
      </c>
      <c r="K1047" s="23">
        <v>4</v>
      </c>
      <c r="L1047" s="23" t="s">
        <v>44</v>
      </c>
      <c r="M1047" s="25">
        <v>11.7</v>
      </c>
      <c r="N1047">
        <f t="shared" si="16"/>
        <v>1</v>
      </c>
    </row>
    <row r="1048" spans="1:14" x14ac:dyDescent="0.35">
      <c r="A1048" s="6" t="s">
        <v>1118</v>
      </c>
      <c r="B1048" s="19" t="s">
        <v>47</v>
      </c>
      <c r="C1048" s="19">
        <v>11</v>
      </c>
      <c r="D1048" s="20">
        <v>45970</v>
      </c>
      <c r="E1048" s="19" t="s">
        <v>20</v>
      </c>
      <c r="F1048" s="19" t="s">
        <v>40</v>
      </c>
      <c r="G1048" s="19" t="s">
        <v>21</v>
      </c>
      <c r="H1048" s="19" t="s">
        <v>16</v>
      </c>
      <c r="I1048" s="19">
        <v>24</v>
      </c>
      <c r="J1048" s="19">
        <v>0</v>
      </c>
      <c r="K1048" s="19">
        <v>4</v>
      </c>
      <c r="L1048" s="19" t="s">
        <v>44</v>
      </c>
      <c r="M1048" s="21">
        <v>13.6</v>
      </c>
      <c r="N1048">
        <f t="shared" si="16"/>
        <v>1</v>
      </c>
    </row>
    <row r="1049" spans="1:14" x14ac:dyDescent="0.35">
      <c r="A1049" s="22" t="s">
        <v>1119</v>
      </c>
      <c r="B1049" s="23" t="s">
        <v>130</v>
      </c>
      <c r="C1049" s="23">
        <v>4</v>
      </c>
      <c r="D1049" s="24">
        <v>45772</v>
      </c>
      <c r="E1049" s="23" t="s">
        <v>68</v>
      </c>
      <c r="F1049" s="23" t="s">
        <v>43</v>
      </c>
      <c r="G1049" s="23" t="s">
        <v>21</v>
      </c>
      <c r="H1049" s="23" t="s">
        <v>8364</v>
      </c>
      <c r="I1049" s="23">
        <v>24</v>
      </c>
      <c r="J1049" s="23">
        <v>0</v>
      </c>
      <c r="K1049" s="23">
        <v>4</v>
      </c>
      <c r="L1049" s="23" t="s">
        <v>62</v>
      </c>
      <c r="M1049" s="25">
        <v>28.8</v>
      </c>
      <c r="N1049">
        <f t="shared" si="16"/>
        <v>0</v>
      </c>
    </row>
    <row r="1050" spans="1:14" x14ac:dyDescent="0.35">
      <c r="A1050" s="6" t="s">
        <v>1120</v>
      </c>
      <c r="B1050" s="19" t="s">
        <v>101</v>
      </c>
      <c r="C1050" s="19">
        <v>12</v>
      </c>
      <c r="D1050" s="20">
        <v>45996</v>
      </c>
      <c r="E1050" s="19" t="s">
        <v>20</v>
      </c>
      <c r="F1050" s="19" t="s">
        <v>26</v>
      </c>
      <c r="G1050" s="19" t="s">
        <v>15</v>
      </c>
      <c r="H1050" s="19" t="s">
        <v>28</v>
      </c>
      <c r="I1050" s="19">
        <v>72</v>
      </c>
      <c r="J1050" s="19">
        <v>0</v>
      </c>
      <c r="K1050" s="19">
        <v>5</v>
      </c>
      <c r="L1050" s="19" t="s">
        <v>62</v>
      </c>
      <c r="M1050" s="21">
        <v>10.4</v>
      </c>
      <c r="N1050">
        <f t="shared" si="16"/>
        <v>1</v>
      </c>
    </row>
    <row r="1051" spans="1:14" x14ac:dyDescent="0.35">
      <c r="A1051" s="22" t="s">
        <v>1121</v>
      </c>
      <c r="B1051" s="23" t="s">
        <v>29</v>
      </c>
      <c r="C1051" s="23">
        <v>11</v>
      </c>
      <c r="D1051" s="24">
        <v>45982</v>
      </c>
      <c r="E1051" s="23" t="s">
        <v>36</v>
      </c>
      <c r="F1051" s="23" t="s">
        <v>14</v>
      </c>
      <c r="G1051" s="23" t="s">
        <v>31</v>
      </c>
      <c r="H1051" s="23" t="s">
        <v>28</v>
      </c>
      <c r="I1051" s="23">
        <v>8</v>
      </c>
      <c r="J1051" s="23">
        <v>0</v>
      </c>
      <c r="K1051" s="23">
        <v>3</v>
      </c>
      <c r="L1051" s="23" t="s">
        <v>38</v>
      </c>
      <c r="M1051" s="25">
        <v>5</v>
      </c>
      <c r="N1051">
        <f t="shared" si="16"/>
        <v>1</v>
      </c>
    </row>
    <row r="1052" spans="1:14" x14ac:dyDescent="0.35">
      <c r="A1052" s="6" t="s">
        <v>1122</v>
      </c>
      <c r="B1052" s="19" t="s">
        <v>139</v>
      </c>
      <c r="C1052" s="19">
        <v>11</v>
      </c>
      <c r="D1052" s="20">
        <v>45976</v>
      </c>
      <c r="E1052" s="19" t="s">
        <v>68</v>
      </c>
      <c r="F1052" s="19" t="s">
        <v>43</v>
      </c>
      <c r="G1052" s="19" t="s">
        <v>21</v>
      </c>
      <c r="H1052" s="19" t="s">
        <v>22</v>
      </c>
      <c r="I1052" s="19">
        <v>24</v>
      </c>
      <c r="J1052" s="19">
        <v>0</v>
      </c>
      <c r="K1052" s="19">
        <v>5</v>
      </c>
      <c r="L1052" s="19" t="s">
        <v>38</v>
      </c>
      <c r="M1052" s="21">
        <v>14.3</v>
      </c>
      <c r="N1052">
        <f t="shared" si="16"/>
        <v>1</v>
      </c>
    </row>
    <row r="1053" spans="1:14" x14ac:dyDescent="0.35">
      <c r="A1053" s="22" t="s">
        <v>1123</v>
      </c>
      <c r="B1053" s="23" t="s">
        <v>18</v>
      </c>
      <c r="C1053" s="23">
        <v>12</v>
      </c>
      <c r="D1053" s="24">
        <v>46022</v>
      </c>
      <c r="E1053" s="23" t="s">
        <v>13</v>
      </c>
      <c r="F1053" s="23" t="s">
        <v>59</v>
      </c>
      <c r="G1053" s="23" t="s">
        <v>21</v>
      </c>
      <c r="H1053" s="23" t="s">
        <v>32</v>
      </c>
      <c r="I1053" s="23">
        <v>8</v>
      </c>
      <c r="J1053" s="23">
        <v>0</v>
      </c>
      <c r="K1053" s="23">
        <v>5</v>
      </c>
      <c r="L1053" s="23" t="s">
        <v>55</v>
      </c>
      <c r="M1053" s="25">
        <v>4.2</v>
      </c>
      <c r="N1053">
        <f t="shared" si="16"/>
        <v>1</v>
      </c>
    </row>
    <row r="1054" spans="1:14" x14ac:dyDescent="0.35">
      <c r="A1054" s="6" t="s">
        <v>1124</v>
      </c>
      <c r="B1054" s="19" t="s">
        <v>78</v>
      </c>
      <c r="C1054" s="19">
        <v>8</v>
      </c>
      <c r="D1054" s="20">
        <v>45891</v>
      </c>
      <c r="E1054" s="19" t="s">
        <v>13</v>
      </c>
      <c r="F1054" s="19" t="s">
        <v>59</v>
      </c>
      <c r="G1054" s="19" t="s">
        <v>31</v>
      </c>
      <c r="H1054" s="19" t="s">
        <v>8364</v>
      </c>
      <c r="I1054" s="19">
        <v>4</v>
      </c>
      <c r="J1054" s="19">
        <v>0</v>
      </c>
      <c r="K1054" s="19"/>
      <c r="L1054" s="19" t="s">
        <v>8363</v>
      </c>
      <c r="M1054" s="21">
        <v>12.5</v>
      </c>
      <c r="N1054">
        <f t="shared" si="16"/>
        <v>0</v>
      </c>
    </row>
    <row r="1055" spans="1:14" x14ac:dyDescent="0.35">
      <c r="A1055" s="22" t="s">
        <v>1125</v>
      </c>
      <c r="B1055" s="23" t="s">
        <v>78</v>
      </c>
      <c r="C1055" s="23"/>
      <c r="D1055" s="24"/>
      <c r="E1055" s="23" t="s">
        <v>13</v>
      </c>
      <c r="F1055" s="23" t="s">
        <v>59</v>
      </c>
      <c r="G1055" s="23" t="s">
        <v>31</v>
      </c>
      <c r="H1055" s="23" t="s">
        <v>32</v>
      </c>
      <c r="I1055" s="23">
        <v>24</v>
      </c>
      <c r="J1055" s="23">
        <v>2</v>
      </c>
      <c r="K1055" s="23">
        <v>4</v>
      </c>
      <c r="L1055" s="23" t="s">
        <v>17</v>
      </c>
      <c r="M1055" s="25">
        <v>16.100000000000001</v>
      </c>
      <c r="N1055">
        <f t="shared" si="16"/>
        <v>1</v>
      </c>
    </row>
    <row r="1056" spans="1:14" x14ac:dyDescent="0.35">
      <c r="A1056" s="6" t="s">
        <v>1126</v>
      </c>
      <c r="B1056" s="19" t="s">
        <v>181</v>
      </c>
      <c r="C1056" s="19">
        <v>8</v>
      </c>
      <c r="D1056" s="20">
        <v>45895</v>
      </c>
      <c r="E1056" s="19" t="s">
        <v>68</v>
      </c>
      <c r="F1056" s="19" t="s">
        <v>14</v>
      </c>
      <c r="G1056" s="19" t="s">
        <v>15</v>
      </c>
      <c r="H1056" s="19" t="s">
        <v>28</v>
      </c>
      <c r="I1056" s="19">
        <v>8</v>
      </c>
      <c r="J1056" s="19">
        <v>0</v>
      </c>
      <c r="K1056" s="19">
        <v>4</v>
      </c>
      <c r="L1056" s="19" t="s">
        <v>75</v>
      </c>
      <c r="M1056" s="21">
        <v>18.899999999999999</v>
      </c>
      <c r="N1056">
        <f t="shared" si="16"/>
        <v>0</v>
      </c>
    </row>
    <row r="1057" spans="1:14" x14ac:dyDescent="0.35">
      <c r="A1057" s="22" t="s">
        <v>1127</v>
      </c>
      <c r="B1057" s="23" t="s">
        <v>34</v>
      </c>
      <c r="C1057" s="23">
        <v>6</v>
      </c>
      <c r="D1057" s="24">
        <v>45815</v>
      </c>
      <c r="E1057" s="23" t="s">
        <v>20</v>
      </c>
      <c r="F1057" s="23" t="s">
        <v>37</v>
      </c>
      <c r="G1057" s="23" t="s">
        <v>15</v>
      </c>
      <c r="H1057" s="23" t="s">
        <v>16</v>
      </c>
      <c r="I1057" s="23">
        <v>72</v>
      </c>
      <c r="J1057" s="23">
        <v>0</v>
      </c>
      <c r="K1057" s="23">
        <v>5</v>
      </c>
      <c r="L1057" s="23" t="s">
        <v>44</v>
      </c>
      <c r="M1057" s="25">
        <v>9.5</v>
      </c>
      <c r="N1057">
        <f t="shared" si="16"/>
        <v>1</v>
      </c>
    </row>
    <row r="1058" spans="1:14" x14ac:dyDescent="0.35">
      <c r="A1058" s="6" t="s">
        <v>1128</v>
      </c>
      <c r="B1058" s="19" t="s">
        <v>89</v>
      </c>
      <c r="C1058" s="19">
        <v>2</v>
      </c>
      <c r="D1058" s="20">
        <v>45694</v>
      </c>
      <c r="E1058" s="19" t="s">
        <v>8364</v>
      </c>
      <c r="F1058" s="19" t="s">
        <v>14</v>
      </c>
      <c r="G1058" s="19" t="s">
        <v>21</v>
      </c>
      <c r="H1058" s="19" t="s">
        <v>22</v>
      </c>
      <c r="I1058" s="19">
        <v>72</v>
      </c>
      <c r="J1058" s="19">
        <v>0</v>
      </c>
      <c r="K1058" s="19"/>
      <c r="L1058" s="19" t="s">
        <v>8363</v>
      </c>
      <c r="M1058" s="21">
        <v>2.5</v>
      </c>
      <c r="N1058">
        <f t="shared" si="16"/>
        <v>1</v>
      </c>
    </row>
    <row r="1059" spans="1:14" x14ac:dyDescent="0.35">
      <c r="A1059" s="22" t="s">
        <v>1129</v>
      </c>
      <c r="B1059" s="23" t="s">
        <v>47</v>
      </c>
      <c r="C1059" s="23">
        <v>1</v>
      </c>
      <c r="D1059" s="24">
        <v>45663</v>
      </c>
      <c r="E1059" s="23" t="s">
        <v>25</v>
      </c>
      <c r="F1059" s="23" t="s">
        <v>14</v>
      </c>
      <c r="G1059" s="23" t="s">
        <v>31</v>
      </c>
      <c r="H1059" s="23" t="s">
        <v>16</v>
      </c>
      <c r="I1059" s="23">
        <v>48</v>
      </c>
      <c r="J1059" s="23">
        <v>0</v>
      </c>
      <c r="K1059" s="23"/>
      <c r="L1059" s="23" t="s">
        <v>44</v>
      </c>
      <c r="M1059" s="25">
        <v>19.8</v>
      </c>
      <c r="N1059">
        <f t="shared" si="16"/>
        <v>1</v>
      </c>
    </row>
    <row r="1060" spans="1:14" x14ac:dyDescent="0.35">
      <c r="A1060" s="6" t="s">
        <v>1130</v>
      </c>
      <c r="B1060" s="19" t="s">
        <v>143</v>
      </c>
      <c r="C1060" s="19">
        <v>6</v>
      </c>
      <c r="D1060" s="20">
        <v>45815</v>
      </c>
      <c r="E1060" s="19" t="s">
        <v>13</v>
      </c>
      <c r="F1060" s="19" t="s">
        <v>43</v>
      </c>
      <c r="G1060" s="19" t="s">
        <v>27</v>
      </c>
      <c r="H1060" s="19" t="s">
        <v>22</v>
      </c>
      <c r="I1060" s="19">
        <v>48</v>
      </c>
      <c r="J1060" s="19">
        <v>0</v>
      </c>
      <c r="K1060" s="19">
        <v>4</v>
      </c>
      <c r="L1060" s="19" t="s">
        <v>75</v>
      </c>
      <c r="M1060" s="21"/>
      <c r="N1060">
        <f t="shared" si="16"/>
        <v>1</v>
      </c>
    </row>
    <row r="1061" spans="1:14" x14ac:dyDescent="0.35">
      <c r="A1061" s="22" t="s">
        <v>1131</v>
      </c>
      <c r="B1061" s="23" t="s">
        <v>47</v>
      </c>
      <c r="C1061" s="23">
        <v>8</v>
      </c>
      <c r="D1061" s="24">
        <v>45891</v>
      </c>
      <c r="E1061" s="23" t="s">
        <v>8364</v>
      </c>
      <c r="F1061" s="23" t="s">
        <v>40</v>
      </c>
      <c r="G1061" s="23" t="s">
        <v>31</v>
      </c>
      <c r="H1061" s="23" t="s">
        <v>28</v>
      </c>
      <c r="I1061" s="23">
        <v>72</v>
      </c>
      <c r="J1061" s="23">
        <v>0</v>
      </c>
      <c r="K1061" s="23">
        <v>4</v>
      </c>
      <c r="L1061" s="23" t="s">
        <v>75</v>
      </c>
      <c r="M1061" s="25">
        <v>17</v>
      </c>
      <c r="N1061">
        <f t="shared" si="16"/>
        <v>1</v>
      </c>
    </row>
    <row r="1062" spans="1:14" x14ac:dyDescent="0.35">
      <c r="A1062" s="6" t="s">
        <v>1132</v>
      </c>
      <c r="B1062" s="19" t="s">
        <v>104</v>
      </c>
      <c r="C1062" s="19"/>
      <c r="D1062" s="20"/>
      <c r="E1062" s="19" t="s">
        <v>36</v>
      </c>
      <c r="F1062" s="19" t="s">
        <v>43</v>
      </c>
      <c r="G1062" s="19" t="s">
        <v>15</v>
      </c>
      <c r="H1062" s="19" t="s">
        <v>8364</v>
      </c>
      <c r="I1062" s="19">
        <v>48</v>
      </c>
      <c r="J1062" s="19">
        <v>0</v>
      </c>
      <c r="K1062" s="19">
        <v>3</v>
      </c>
      <c r="L1062" s="19" t="s">
        <v>33</v>
      </c>
      <c r="M1062" s="21">
        <v>18.2</v>
      </c>
      <c r="N1062">
        <f t="shared" si="16"/>
        <v>1</v>
      </c>
    </row>
    <row r="1063" spans="1:14" x14ac:dyDescent="0.35">
      <c r="A1063" s="22" t="s">
        <v>1133</v>
      </c>
      <c r="B1063" s="23" t="s">
        <v>158</v>
      </c>
      <c r="C1063" s="23">
        <v>7</v>
      </c>
      <c r="D1063" s="24">
        <v>45848</v>
      </c>
      <c r="E1063" s="23" t="s">
        <v>8364</v>
      </c>
      <c r="F1063" s="23" t="s">
        <v>43</v>
      </c>
      <c r="G1063" s="23" t="s">
        <v>31</v>
      </c>
      <c r="H1063" s="23" t="s">
        <v>8364</v>
      </c>
      <c r="I1063" s="23">
        <v>72</v>
      </c>
      <c r="J1063" s="23">
        <v>0</v>
      </c>
      <c r="K1063" s="23">
        <v>5</v>
      </c>
      <c r="L1063" s="23" t="s">
        <v>17</v>
      </c>
      <c r="M1063" s="25">
        <v>8.4</v>
      </c>
      <c r="N1063">
        <f t="shared" si="16"/>
        <v>1</v>
      </c>
    </row>
    <row r="1064" spans="1:14" x14ac:dyDescent="0.35">
      <c r="A1064" s="6" t="s">
        <v>1134</v>
      </c>
      <c r="B1064" s="19" t="s">
        <v>51</v>
      </c>
      <c r="C1064" s="19">
        <v>5</v>
      </c>
      <c r="D1064" s="20">
        <v>45794</v>
      </c>
      <c r="E1064" s="19" t="s">
        <v>36</v>
      </c>
      <c r="F1064" s="19" t="s">
        <v>40</v>
      </c>
      <c r="G1064" s="19" t="s">
        <v>15</v>
      </c>
      <c r="H1064" s="19" t="s">
        <v>28</v>
      </c>
      <c r="I1064" s="19">
        <v>48</v>
      </c>
      <c r="J1064" s="19">
        <v>0</v>
      </c>
      <c r="K1064" s="19">
        <v>5</v>
      </c>
      <c r="L1064" s="19" t="s">
        <v>8363</v>
      </c>
      <c r="M1064" s="21">
        <v>90</v>
      </c>
      <c r="N1064">
        <f t="shared" si="16"/>
        <v>0</v>
      </c>
    </row>
    <row r="1065" spans="1:14" x14ac:dyDescent="0.35">
      <c r="A1065" s="22" t="s">
        <v>1135</v>
      </c>
      <c r="B1065" s="23" t="s">
        <v>51</v>
      </c>
      <c r="C1065" s="23">
        <v>6</v>
      </c>
      <c r="D1065" s="24">
        <v>45809</v>
      </c>
      <c r="E1065" s="23" t="s">
        <v>68</v>
      </c>
      <c r="F1065" s="23" t="s">
        <v>37</v>
      </c>
      <c r="G1065" s="23" t="s">
        <v>21</v>
      </c>
      <c r="H1065" s="23" t="s">
        <v>22</v>
      </c>
      <c r="I1065" s="23">
        <v>4</v>
      </c>
      <c r="J1065" s="23">
        <v>0</v>
      </c>
      <c r="K1065" s="23">
        <v>3</v>
      </c>
      <c r="L1065" s="23" t="s">
        <v>8363</v>
      </c>
      <c r="M1065" s="25">
        <v>11.9</v>
      </c>
      <c r="N1065">
        <f t="shared" si="16"/>
        <v>0</v>
      </c>
    </row>
    <row r="1066" spans="1:14" x14ac:dyDescent="0.35">
      <c r="A1066" s="6" t="s">
        <v>1136</v>
      </c>
      <c r="B1066" s="19" t="s">
        <v>39</v>
      </c>
      <c r="C1066" s="19"/>
      <c r="D1066" s="20"/>
      <c r="E1066" s="19" t="s">
        <v>20</v>
      </c>
      <c r="F1066" s="19" t="s">
        <v>8364</v>
      </c>
      <c r="G1066" s="19" t="s">
        <v>21</v>
      </c>
      <c r="H1066" s="19" t="s">
        <v>16</v>
      </c>
      <c r="I1066" s="19">
        <v>4</v>
      </c>
      <c r="J1066" s="19">
        <v>0</v>
      </c>
      <c r="K1066" s="19">
        <v>5</v>
      </c>
      <c r="L1066" s="19" t="s">
        <v>33</v>
      </c>
      <c r="M1066" s="21">
        <v>20.6</v>
      </c>
      <c r="N1066">
        <f t="shared" si="16"/>
        <v>0</v>
      </c>
    </row>
    <row r="1067" spans="1:14" x14ac:dyDescent="0.35">
      <c r="A1067" s="22" t="s">
        <v>1137</v>
      </c>
      <c r="B1067" s="23" t="s">
        <v>92</v>
      </c>
      <c r="C1067" s="23">
        <v>9</v>
      </c>
      <c r="D1067" s="24">
        <v>45922</v>
      </c>
      <c r="E1067" s="23" t="s">
        <v>68</v>
      </c>
      <c r="F1067" s="23" t="s">
        <v>8364</v>
      </c>
      <c r="G1067" s="23" t="s">
        <v>27</v>
      </c>
      <c r="H1067" s="23" t="s">
        <v>8364</v>
      </c>
      <c r="I1067" s="23">
        <v>24</v>
      </c>
      <c r="J1067" s="23">
        <v>0</v>
      </c>
      <c r="K1067" s="23">
        <v>2</v>
      </c>
      <c r="L1067" s="23" t="s">
        <v>55</v>
      </c>
      <c r="M1067" s="25">
        <v>7.8</v>
      </c>
      <c r="N1067">
        <f t="shared" si="16"/>
        <v>1</v>
      </c>
    </row>
    <row r="1068" spans="1:14" x14ac:dyDescent="0.35">
      <c r="A1068" s="6" t="s">
        <v>1138</v>
      </c>
      <c r="B1068" s="19" t="s">
        <v>23</v>
      </c>
      <c r="C1068" s="19">
        <v>11</v>
      </c>
      <c r="D1068" s="20">
        <v>45964</v>
      </c>
      <c r="E1068" s="19" t="s">
        <v>68</v>
      </c>
      <c r="F1068" s="19" t="s">
        <v>59</v>
      </c>
      <c r="G1068" s="19" t="s">
        <v>27</v>
      </c>
      <c r="H1068" s="19" t="s">
        <v>8364</v>
      </c>
      <c r="I1068" s="19">
        <v>48</v>
      </c>
      <c r="J1068" s="19">
        <v>2</v>
      </c>
      <c r="K1068" s="19">
        <v>2</v>
      </c>
      <c r="L1068" s="19" t="s">
        <v>33</v>
      </c>
      <c r="M1068" s="21">
        <v>8.1999999999999993</v>
      </c>
      <c r="N1068">
        <f t="shared" si="16"/>
        <v>1</v>
      </c>
    </row>
    <row r="1069" spans="1:14" x14ac:dyDescent="0.35">
      <c r="A1069" s="22" t="s">
        <v>1139</v>
      </c>
      <c r="B1069" s="23" t="s">
        <v>47</v>
      </c>
      <c r="C1069" s="23">
        <v>4</v>
      </c>
      <c r="D1069" s="24">
        <v>45768</v>
      </c>
      <c r="E1069" s="23" t="s">
        <v>8364</v>
      </c>
      <c r="F1069" s="23" t="s">
        <v>8364</v>
      </c>
      <c r="G1069" s="23" t="s">
        <v>15</v>
      </c>
      <c r="H1069" s="23" t="s">
        <v>32</v>
      </c>
      <c r="I1069" s="23">
        <v>48</v>
      </c>
      <c r="J1069" s="23">
        <v>0</v>
      </c>
      <c r="K1069" s="23"/>
      <c r="L1069" s="23" t="s">
        <v>38</v>
      </c>
      <c r="M1069" s="25">
        <v>21</v>
      </c>
      <c r="N1069">
        <f t="shared" si="16"/>
        <v>1</v>
      </c>
    </row>
    <row r="1070" spans="1:14" x14ac:dyDescent="0.35">
      <c r="A1070" s="6" t="s">
        <v>1140</v>
      </c>
      <c r="B1070" s="19" t="s">
        <v>92</v>
      </c>
      <c r="C1070" s="19">
        <v>6</v>
      </c>
      <c r="D1070" s="20">
        <v>45835</v>
      </c>
      <c r="E1070" s="19" t="s">
        <v>8364</v>
      </c>
      <c r="F1070" s="19" t="s">
        <v>14</v>
      </c>
      <c r="G1070" s="19" t="s">
        <v>21</v>
      </c>
      <c r="H1070" s="19" t="s">
        <v>8364</v>
      </c>
      <c r="I1070" s="19">
        <v>48</v>
      </c>
      <c r="J1070" s="19">
        <v>1</v>
      </c>
      <c r="K1070" s="19">
        <v>5</v>
      </c>
      <c r="L1070" s="19" t="s">
        <v>8363</v>
      </c>
      <c r="M1070" s="21">
        <v>24.9</v>
      </c>
      <c r="N1070">
        <f t="shared" si="16"/>
        <v>1</v>
      </c>
    </row>
    <row r="1071" spans="1:14" x14ac:dyDescent="0.35">
      <c r="A1071" s="22" t="s">
        <v>1141</v>
      </c>
      <c r="B1071" s="23" t="s">
        <v>34</v>
      </c>
      <c r="C1071" s="23">
        <v>6</v>
      </c>
      <c r="D1071" s="24">
        <v>45810</v>
      </c>
      <c r="E1071" s="23" t="s">
        <v>25</v>
      </c>
      <c r="F1071" s="23" t="s">
        <v>43</v>
      </c>
      <c r="G1071" s="23" t="s">
        <v>27</v>
      </c>
      <c r="H1071" s="23" t="s">
        <v>22</v>
      </c>
      <c r="I1071" s="23">
        <v>8</v>
      </c>
      <c r="J1071" s="23">
        <v>0</v>
      </c>
      <c r="K1071" s="23">
        <v>5</v>
      </c>
      <c r="L1071" s="23" t="s">
        <v>17</v>
      </c>
      <c r="M1071" s="25">
        <v>12.1</v>
      </c>
      <c r="N1071">
        <f t="shared" si="16"/>
        <v>0</v>
      </c>
    </row>
    <row r="1072" spans="1:14" x14ac:dyDescent="0.35">
      <c r="A1072" s="6" t="s">
        <v>1142</v>
      </c>
      <c r="B1072" s="19" t="s">
        <v>69</v>
      </c>
      <c r="C1072" s="19">
        <v>8</v>
      </c>
      <c r="D1072" s="20">
        <v>45873</v>
      </c>
      <c r="E1072" s="19" t="s">
        <v>13</v>
      </c>
      <c r="F1072" s="19" t="s">
        <v>26</v>
      </c>
      <c r="G1072" s="19" t="s">
        <v>31</v>
      </c>
      <c r="H1072" s="19" t="s">
        <v>28</v>
      </c>
      <c r="I1072" s="19">
        <v>24</v>
      </c>
      <c r="J1072" s="19">
        <v>1</v>
      </c>
      <c r="K1072" s="19">
        <v>3</v>
      </c>
      <c r="L1072" s="19" t="s">
        <v>62</v>
      </c>
      <c r="M1072" s="21">
        <v>7.5</v>
      </c>
      <c r="N1072">
        <f t="shared" si="16"/>
        <v>1</v>
      </c>
    </row>
    <row r="1073" spans="1:14" x14ac:dyDescent="0.35">
      <c r="A1073" s="22" t="s">
        <v>1143</v>
      </c>
      <c r="B1073" s="23" t="s">
        <v>53</v>
      </c>
      <c r="C1073" s="23">
        <v>10</v>
      </c>
      <c r="D1073" s="24">
        <v>45936</v>
      </c>
      <c r="E1073" s="23" t="s">
        <v>20</v>
      </c>
      <c r="F1073" s="23" t="s">
        <v>14</v>
      </c>
      <c r="G1073" s="23" t="s">
        <v>31</v>
      </c>
      <c r="H1073" s="23" t="s">
        <v>16</v>
      </c>
      <c r="I1073" s="23">
        <v>4</v>
      </c>
      <c r="J1073" s="23">
        <v>0</v>
      </c>
      <c r="K1073" s="23">
        <v>3</v>
      </c>
      <c r="L1073" s="23" t="s">
        <v>8363</v>
      </c>
      <c r="M1073" s="25">
        <v>4.3</v>
      </c>
      <c r="N1073">
        <f t="shared" si="16"/>
        <v>0</v>
      </c>
    </row>
    <row r="1074" spans="1:14" x14ac:dyDescent="0.35">
      <c r="A1074" s="6" t="s">
        <v>1144</v>
      </c>
      <c r="B1074" s="19" t="s">
        <v>34</v>
      </c>
      <c r="C1074" s="19">
        <v>3</v>
      </c>
      <c r="D1074" s="20">
        <v>45732</v>
      </c>
      <c r="E1074" s="19" t="s">
        <v>68</v>
      </c>
      <c r="F1074" s="19" t="s">
        <v>14</v>
      </c>
      <c r="G1074" s="19" t="s">
        <v>8364</v>
      </c>
      <c r="H1074" s="19" t="s">
        <v>22</v>
      </c>
      <c r="I1074" s="19">
        <v>48</v>
      </c>
      <c r="J1074" s="19">
        <v>0</v>
      </c>
      <c r="K1074" s="19">
        <v>4</v>
      </c>
      <c r="L1074" s="19" t="s">
        <v>75</v>
      </c>
      <c r="M1074" s="21">
        <v>11.8</v>
      </c>
      <c r="N1074">
        <f t="shared" si="16"/>
        <v>1</v>
      </c>
    </row>
    <row r="1075" spans="1:14" x14ac:dyDescent="0.35">
      <c r="A1075" s="22" t="s">
        <v>1145</v>
      </c>
      <c r="B1075" s="23" t="s">
        <v>99</v>
      </c>
      <c r="C1075" s="23">
        <v>3</v>
      </c>
      <c r="D1075" s="24">
        <v>45718</v>
      </c>
      <c r="E1075" s="23" t="s">
        <v>68</v>
      </c>
      <c r="F1075" s="23" t="s">
        <v>40</v>
      </c>
      <c r="G1075" s="23" t="s">
        <v>31</v>
      </c>
      <c r="H1075" s="23" t="s">
        <v>22</v>
      </c>
      <c r="I1075" s="23">
        <v>8</v>
      </c>
      <c r="J1075" s="23">
        <v>0</v>
      </c>
      <c r="K1075" s="23">
        <v>4</v>
      </c>
      <c r="L1075" s="23" t="s">
        <v>75</v>
      </c>
      <c r="M1075" s="25">
        <v>10.6</v>
      </c>
      <c r="N1075">
        <f t="shared" si="16"/>
        <v>0</v>
      </c>
    </row>
    <row r="1076" spans="1:14" x14ac:dyDescent="0.35">
      <c r="A1076" s="6" t="s">
        <v>1146</v>
      </c>
      <c r="B1076" s="19" t="s">
        <v>87</v>
      </c>
      <c r="C1076" s="19">
        <v>6</v>
      </c>
      <c r="D1076" s="20">
        <v>45833</v>
      </c>
      <c r="E1076" s="19" t="s">
        <v>68</v>
      </c>
      <c r="F1076" s="19" t="s">
        <v>14</v>
      </c>
      <c r="G1076" s="19" t="s">
        <v>21</v>
      </c>
      <c r="H1076" s="19" t="s">
        <v>16</v>
      </c>
      <c r="I1076" s="19">
        <v>4</v>
      </c>
      <c r="J1076" s="19">
        <v>0</v>
      </c>
      <c r="K1076" s="19">
        <v>2</v>
      </c>
      <c r="L1076" s="19" t="s">
        <v>38</v>
      </c>
      <c r="M1076" s="21">
        <v>13.1</v>
      </c>
      <c r="N1076">
        <f t="shared" si="16"/>
        <v>0</v>
      </c>
    </row>
    <row r="1077" spans="1:14" x14ac:dyDescent="0.35">
      <c r="A1077" s="22" t="s">
        <v>1147</v>
      </c>
      <c r="B1077" s="23" t="s">
        <v>69</v>
      </c>
      <c r="C1077" s="23">
        <v>7</v>
      </c>
      <c r="D1077" s="24">
        <v>45847</v>
      </c>
      <c r="E1077" s="23" t="s">
        <v>68</v>
      </c>
      <c r="F1077" s="23" t="s">
        <v>37</v>
      </c>
      <c r="G1077" s="23" t="s">
        <v>15</v>
      </c>
      <c r="H1077" s="23" t="s">
        <v>8364</v>
      </c>
      <c r="I1077" s="23">
        <v>8</v>
      </c>
      <c r="J1077" s="23">
        <v>0</v>
      </c>
      <c r="K1077" s="23">
        <v>1</v>
      </c>
      <c r="L1077" s="23" t="s">
        <v>55</v>
      </c>
      <c r="M1077" s="25">
        <v>3</v>
      </c>
      <c r="N1077">
        <f t="shared" si="16"/>
        <v>1</v>
      </c>
    </row>
    <row r="1078" spans="1:14" x14ac:dyDescent="0.35">
      <c r="A1078" s="6" t="s">
        <v>1148</v>
      </c>
      <c r="B1078" s="19" t="s">
        <v>34</v>
      </c>
      <c r="C1078" s="19">
        <v>1</v>
      </c>
      <c r="D1078" s="20">
        <v>45686</v>
      </c>
      <c r="E1078" s="19" t="s">
        <v>25</v>
      </c>
      <c r="F1078" s="19" t="s">
        <v>40</v>
      </c>
      <c r="G1078" s="19" t="s">
        <v>31</v>
      </c>
      <c r="H1078" s="19" t="s">
        <v>28</v>
      </c>
      <c r="I1078" s="19">
        <v>8</v>
      </c>
      <c r="J1078" s="19">
        <v>0</v>
      </c>
      <c r="K1078" s="19">
        <v>5</v>
      </c>
      <c r="L1078" s="19" t="s">
        <v>38</v>
      </c>
      <c r="M1078" s="21">
        <v>9.9</v>
      </c>
      <c r="N1078">
        <f t="shared" si="16"/>
        <v>0</v>
      </c>
    </row>
    <row r="1079" spans="1:14" x14ac:dyDescent="0.35">
      <c r="A1079" s="22" t="s">
        <v>1149</v>
      </c>
      <c r="B1079" s="23" t="s">
        <v>34</v>
      </c>
      <c r="C1079" s="23">
        <v>1</v>
      </c>
      <c r="D1079" s="24">
        <v>45675</v>
      </c>
      <c r="E1079" s="23" t="s">
        <v>68</v>
      </c>
      <c r="F1079" s="23" t="s">
        <v>43</v>
      </c>
      <c r="G1079" s="23" t="s">
        <v>15</v>
      </c>
      <c r="H1079" s="23" t="s">
        <v>16</v>
      </c>
      <c r="I1079" s="23">
        <v>4</v>
      </c>
      <c r="J1079" s="23"/>
      <c r="K1079" s="23">
        <v>2</v>
      </c>
      <c r="L1079" s="23" t="s">
        <v>62</v>
      </c>
      <c r="M1079" s="25">
        <v>25.8</v>
      </c>
      <c r="N1079">
        <f t="shared" si="16"/>
        <v>0</v>
      </c>
    </row>
    <row r="1080" spans="1:14" x14ac:dyDescent="0.35">
      <c r="A1080" s="6" t="s">
        <v>1150</v>
      </c>
      <c r="B1080" s="19" t="s">
        <v>158</v>
      </c>
      <c r="C1080" s="19">
        <v>9</v>
      </c>
      <c r="D1080" s="20">
        <v>45905</v>
      </c>
      <c r="E1080" s="19" t="s">
        <v>20</v>
      </c>
      <c r="F1080" s="19" t="s">
        <v>43</v>
      </c>
      <c r="G1080" s="19" t="s">
        <v>8364</v>
      </c>
      <c r="H1080" s="19" t="s">
        <v>22</v>
      </c>
      <c r="I1080" s="19">
        <v>48</v>
      </c>
      <c r="J1080" s="19">
        <v>1</v>
      </c>
      <c r="K1080" s="19">
        <v>3</v>
      </c>
      <c r="L1080" s="19" t="s">
        <v>62</v>
      </c>
      <c r="M1080" s="21">
        <v>6.8</v>
      </c>
      <c r="N1080">
        <f t="shared" si="16"/>
        <v>1</v>
      </c>
    </row>
    <row r="1081" spans="1:14" x14ac:dyDescent="0.35">
      <c r="A1081" s="22" t="s">
        <v>1151</v>
      </c>
      <c r="B1081" s="23" t="s">
        <v>34</v>
      </c>
      <c r="C1081" s="23">
        <v>12</v>
      </c>
      <c r="D1081" s="24">
        <v>46012</v>
      </c>
      <c r="E1081" s="23" t="s">
        <v>36</v>
      </c>
      <c r="F1081" s="23" t="s">
        <v>14</v>
      </c>
      <c r="G1081" s="23" t="s">
        <v>21</v>
      </c>
      <c r="H1081" s="23" t="s">
        <v>16</v>
      </c>
      <c r="I1081" s="23">
        <v>8</v>
      </c>
      <c r="J1081" s="23">
        <v>0</v>
      </c>
      <c r="K1081" s="23">
        <v>4</v>
      </c>
      <c r="L1081" s="23" t="s">
        <v>44</v>
      </c>
      <c r="M1081" s="25">
        <v>8.5</v>
      </c>
      <c r="N1081">
        <f t="shared" si="16"/>
        <v>0</v>
      </c>
    </row>
    <row r="1082" spans="1:14" x14ac:dyDescent="0.35">
      <c r="A1082" s="6" t="s">
        <v>1152</v>
      </c>
      <c r="B1082" s="19" t="s">
        <v>47</v>
      </c>
      <c r="C1082" s="19">
        <v>4</v>
      </c>
      <c r="D1082" s="20">
        <v>45777</v>
      </c>
      <c r="E1082" s="19" t="s">
        <v>8364</v>
      </c>
      <c r="F1082" s="19" t="s">
        <v>43</v>
      </c>
      <c r="G1082" s="19" t="s">
        <v>31</v>
      </c>
      <c r="H1082" s="19" t="s">
        <v>22</v>
      </c>
      <c r="I1082" s="19">
        <v>24</v>
      </c>
      <c r="J1082" s="19">
        <v>1</v>
      </c>
      <c r="K1082" s="19">
        <v>1</v>
      </c>
      <c r="L1082" s="19" t="s">
        <v>62</v>
      </c>
      <c r="M1082" s="21">
        <v>11.2</v>
      </c>
      <c r="N1082">
        <f t="shared" si="16"/>
        <v>1</v>
      </c>
    </row>
    <row r="1083" spans="1:14" x14ac:dyDescent="0.35">
      <c r="A1083" s="22" t="s">
        <v>1153</v>
      </c>
      <c r="B1083" s="23" t="s">
        <v>69</v>
      </c>
      <c r="C1083" s="23">
        <v>11</v>
      </c>
      <c r="D1083" s="24">
        <v>45988</v>
      </c>
      <c r="E1083" s="23" t="s">
        <v>13</v>
      </c>
      <c r="F1083" s="23" t="s">
        <v>14</v>
      </c>
      <c r="G1083" s="23" t="s">
        <v>27</v>
      </c>
      <c r="H1083" s="23" t="s">
        <v>28</v>
      </c>
      <c r="I1083" s="23">
        <v>72</v>
      </c>
      <c r="J1083" s="23">
        <v>0</v>
      </c>
      <c r="K1083" s="23">
        <v>2</v>
      </c>
      <c r="L1083" s="23" t="s">
        <v>38</v>
      </c>
      <c r="M1083" s="25">
        <v>27.3</v>
      </c>
      <c r="N1083">
        <f t="shared" si="16"/>
        <v>1</v>
      </c>
    </row>
    <row r="1084" spans="1:14" x14ac:dyDescent="0.35">
      <c r="A1084" s="6" t="s">
        <v>1154</v>
      </c>
      <c r="B1084" s="19" t="s">
        <v>65</v>
      </c>
      <c r="C1084" s="19">
        <v>6</v>
      </c>
      <c r="D1084" s="20">
        <v>45838</v>
      </c>
      <c r="E1084" s="19" t="s">
        <v>20</v>
      </c>
      <c r="F1084" s="19" t="s">
        <v>14</v>
      </c>
      <c r="G1084" s="19" t="s">
        <v>27</v>
      </c>
      <c r="H1084" s="19" t="s">
        <v>8364</v>
      </c>
      <c r="I1084" s="19">
        <v>4</v>
      </c>
      <c r="J1084" s="19">
        <v>0</v>
      </c>
      <c r="K1084" s="19">
        <v>5</v>
      </c>
      <c r="L1084" s="19" t="s">
        <v>62</v>
      </c>
      <c r="M1084" s="21">
        <v>11.4</v>
      </c>
      <c r="N1084">
        <f t="shared" si="16"/>
        <v>0</v>
      </c>
    </row>
    <row r="1085" spans="1:14" x14ac:dyDescent="0.35">
      <c r="A1085" s="22" t="s">
        <v>1155</v>
      </c>
      <c r="B1085" s="23" t="s">
        <v>69</v>
      </c>
      <c r="C1085" s="23">
        <v>2</v>
      </c>
      <c r="D1085" s="24">
        <v>45702</v>
      </c>
      <c r="E1085" s="23" t="s">
        <v>25</v>
      </c>
      <c r="F1085" s="23" t="s">
        <v>59</v>
      </c>
      <c r="G1085" s="23" t="s">
        <v>27</v>
      </c>
      <c r="H1085" s="23" t="s">
        <v>28</v>
      </c>
      <c r="I1085" s="23">
        <v>48</v>
      </c>
      <c r="J1085" s="23">
        <v>1</v>
      </c>
      <c r="K1085" s="23">
        <v>5</v>
      </c>
      <c r="L1085" s="23" t="s">
        <v>17</v>
      </c>
      <c r="M1085" s="25">
        <v>7.6</v>
      </c>
      <c r="N1085">
        <f t="shared" si="16"/>
        <v>1</v>
      </c>
    </row>
    <row r="1086" spans="1:14" x14ac:dyDescent="0.35">
      <c r="A1086" s="6" t="s">
        <v>1156</v>
      </c>
      <c r="B1086" s="19" t="s">
        <v>45</v>
      </c>
      <c r="C1086" s="19"/>
      <c r="D1086" s="20"/>
      <c r="E1086" s="19" t="s">
        <v>68</v>
      </c>
      <c r="F1086" s="19" t="s">
        <v>59</v>
      </c>
      <c r="G1086" s="19" t="s">
        <v>31</v>
      </c>
      <c r="H1086" s="19" t="s">
        <v>32</v>
      </c>
      <c r="I1086" s="19">
        <v>48</v>
      </c>
      <c r="J1086" s="19">
        <v>0</v>
      </c>
      <c r="K1086" s="19">
        <v>4</v>
      </c>
      <c r="L1086" s="19" t="s">
        <v>33</v>
      </c>
      <c r="M1086" s="21">
        <v>3.8</v>
      </c>
      <c r="N1086">
        <f t="shared" si="16"/>
        <v>1</v>
      </c>
    </row>
    <row r="1087" spans="1:14" x14ac:dyDescent="0.35">
      <c r="A1087" s="22" t="s">
        <v>1157</v>
      </c>
      <c r="B1087" s="23" t="s">
        <v>181</v>
      </c>
      <c r="C1087" s="23">
        <v>8</v>
      </c>
      <c r="D1087" s="24">
        <v>45872</v>
      </c>
      <c r="E1087" s="23" t="s">
        <v>36</v>
      </c>
      <c r="F1087" s="23" t="s">
        <v>14</v>
      </c>
      <c r="G1087" s="23" t="s">
        <v>27</v>
      </c>
      <c r="H1087" s="23" t="s">
        <v>8364</v>
      </c>
      <c r="I1087" s="23">
        <v>72</v>
      </c>
      <c r="J1087" s="23">
        <v>0</v>
      </c>
      <c r="K1087" s="23">
        <v>5</v>
      </c>
      <c r="L1087" s="23" t="s">
        <v>33</v>
      </c>
      <c r="M1087" s="25">
        <v>19.899999999999999</v>
      </c>
      <c r="N1087">
        <f t="shared" si="16"/>
        <v>1</v>
      </c>
    </row>
    <row r="1088" spans="1:14" x14ac:dyDescent="0.35">
      <c r="A1088" s="6" t="s">
        <v>1158</v>
      </c>
      <c r="B1088" s="19" t="s">
        <v>143</v>
      </c>
      <c r="C1088" s="19"/>
      <c r="D1088" s="20"/>
      <c r="E1088" s="19" t="s">
        <v>8364</v>
      </c>
      <c r="F1088" s="19" t="s">
        <v>40</v>
      </c>
      <c r="G1088" s="19" t="s">
        <v>27</v>
      </c>
      <c r="H1088" s="19" t="s">
        <v>8364</v>
      </c>
      <c r="I1088" s="19">
        <v>24</v>
      </c>
      <c r="J1088" s="19">
        <v>0</v>
      </c>
      <c r="K1088" s="19">
        <v>5</v>
      </c>
      <c r="L1088" s="19" t="s">
        <v>75</v>
      </c>
      <c r="M1088" s="21">
        <v>3.9</v>
      </c>
      <c r="N1088">
        <f t="shared" si="16"/>
        <v>1</v>
      </c>
    </row>
    <row r="1089" spans="1:14" x14ac:dyDescent="0.35">
      <c r="A1089" s="22" t="s">
        <v>1159</v>
      </c>
      <c r="B1089" s="23" t="s">
        <v>139</v>
      </c>
      <c r="C1089" s="23">
        <v>11</v>
      </c>
      <c r="D1089" s="24">
        <v>45991</v>
      </c>
      <c r="E1089" s="23" t="s">
        <v>13</v>
      </c>
      <c r="F1089" s="23" t="s">
        <v>43</v>
      </c>
      <c r="G1089" s="23" t="s">
        <v>15</v>
      </c>
      <c r="H1089" s="23" t="s">
        <v>32</v>
      </c>
      <c r="I1089" s="23">
        <v>4</v>
      </c>
      <c r="J1089" s="23">
        <v>1</v>
      </c>
      <c r="K1089" s="23">
        <v>4</v>
      </c>
      <c r="L1089" s="23" t="s">
        <v>33</v>
      </c>
      <c r="M1089" s="25">
        <v>13.8</v>
      </c>
      <c r="N1089">
        <f t="shared" si="16"/>
        <v>0</v>
      </c>
    </row>
    <row r="1090" spans="1:14" x14ac:dyDescent="0.35">
      <c r="A1090" s="6" t="s">
        <v>1160</v>
      </c>
      <c r="B1090" s="19" t="s">
        <v>39</v>
      </c>
      <c r="C1090" s="19"/>
      <c r="D1090" s="20"/>
      <c r="E1090" s="19" t="s">
        <v>20</v>
      </c>
      <c r="F1090" s="19" t="s">
        <v>14</v>
      </c>
      <c r="G1090" s="19" t="s">
        <v>27</v>
      </c>
      <c r="H1090" s="19" t="s">
        <v>32</v>
      </c>
      <c r="I1090" s="19">
        <v>48</v>
      </c>
      <c r="J1090" s="19">
        <v>0</v>
      </c>
      <c r="K1090" s="19">
        <v>4</v>
      </c>
      <c r="L1090" s="19" t="s">
        <v>75</v>
      </c>
      <c r="M1090" s="21">
        <v>2.8</v>
      </c>
      <c r="N1090">
        <f t="shared" si="16"/>
        <v>1</v>
      </c>
    </row>
    <row r="1091" spans="1:14" x14ac:dyDescent="0.35">
      <c r="A1091" s="22" t="s">
        <v>1161</v>
      </c>
      <c r="B1091" s="23" t="s">
        <v>108</v>
      </c>
      <c r="C1091" s="23"/>
      <c r="D1091" s="24"/>
      <c r="E1091" s="23" t="s">
        <v>36</v>
      </c>
      <c r="F1091" s="23" t="s">
        <v>37</v>
      </c>
      <c r="G1091" s="23" t="s">
        <v>27</v>
      </c>
      <c r="H1091" s="23" t="s">
        <v>22</v>
      </c>
      <c r="I1091" s="23">
        <v>72</v>
      </c>
      <c r="J1091" s="23">
        <v>0</v>
      </c>
      <c r="K1091" s="23">
        <v>2</v>
      </c>
      <c r="L1091" s="23" t="s">
        <v>8363</v>
      </c>
      <c r="M1091" s="25">
        <v>7.4</v>
      </c>
      <c r="N1091">
        <f t="shared" ref="N1091:N1154" si="17">IF(M1091 &lt;= I1091, 1, 0)</f>
        <v>1</v>
      </c>
    </row>
    <row r="1092" spans="1:14" x14ac:dyDescent="0.35">
      <c r="A1092" s="6" t="s">
        <v>1162</v>
      </c>
      <c r="B1092" s="19" t="s">
        <v>97</v>
      </c>
      <c r="C1092" s="19">
        <v>2</v>
      </c>
      <c r="D1092" s="20">
        <v>45693</v>
      </c>
      <c r="E1092" s="19" t="s">
        <v>13</v>
      </c>
      <c r="F1092" s="19" t="s">
        <v>43</v>
      </c>
      <c r="G1092" s="19" t="s">
        <v>27</v>
      </c>
      <c r="H1092" s="19" t="s">
        <v>22</v>
      </c>
      <c r="I1092" s="19">
        <v>8</v>
      </c>
      <c r="J1092" s="19">
        <v>0</v>
      </c>
      <c r="K1092" s="19">
        <v>5</v>
      </c>
      <c r="L1092" s="19" t="s">
        <v>44</v>
      </c>
      <c r="M1092" s="21">
        <v>3.7</v>
      </c>
      <c r="N1092">
        <f t="shared" si="17"/>
        <v>1</v>
      </c>
    </row>
    <row r="1093" spans="1:14" x14ac:dyDescent="0.35">
      <c r="A1093" s="22" t="s">
        <v>1163</v>
      </c>
      <c r="B1093" s="23" t="s">
        <v>139</v>
      </c>
      <c r="C1093" s="23">
        <v>6</v>
      </c>
      <c r="D1093" s="24">
        <v>45827</v>
      </c>
      <c r="E1093" s="23" t="s">
        <v>20</v>
      </c>
      <c r="F1093" s="23" t="s">
        <v>26</v>
      </c>
      <c r="G1093" s="23" t="s">
        <v>27</v>
      </c>
      <c r="H1093" s="23" t="s">
        <v>22</v>
      </c>
      <c r="I1093" s="23">
        <v>24</v>
      </c>
      <c r="J1093" s="23">
        <v>0</v>
      </c>
      <c r="K1093" s="23">
        <v>3</v>
      </c>
      <c r="L1093" s="23" t="s">
        <v>33</v>
      </c>
      <c r="M1093" s="25">
        <v>4.0999999999999996</v>
      </c>
      <c r="N1093">
        <f t="shared" si="17"/>
        <v>1</v>
      </c>
    </row>
    <row r="1094" spans="1:14" x14ac:dyDescent="0.35">
      <c r="A1094" s="6" t="s">
        <v>1164</v>
      </c>
      <c r="B1094" s="19" t="s">
        <v>39</v>
      </c>
      <c r="C1094" s="19">
        <v>11</v>
      </c>
      <c r="D1094" s="20">
        <v>45974</v>
      </c>
      <c r="E1094" s="19" t="s">
        <v>13</v>
      </c>
      <c r="F1094" s="19" t="s">
        <v>8364</v>
      </c>
      <c r="G1094" s="19" t="s">
        <v>21</v>
      </c>
      <c r="H1094" s="19" t="s">
        <v>22</v>
      </c>
      <c r="I1094" s="19">
        <v>72</v>
      </c>
      <c r="J1094" s="19">
        <v>0</v>
      </c>
      <c r="K1094" s="19">
        <v>4</v>
      </c>
      <c r="L1094" s="19" t="s">
        <v>38</v>
      </c>
      <c r="M1094" s="21">
        <v>17.5</v>
      </c>
      <c r="N1094">
        <f t="shared" si="17"/>
        <v>1</v>
      </c>
    </row>
    <row r="1095" spans="1:14" x14ac:dyDescent="0.35">
      <c r="A1095" s="22" t="s">
        <v>1165</v>
      </c>
      <c r="B1095" s="23" t="s">
        <v>92</v>
      </c>
      <c r="C1095" s="23">
        <v>3</v>
      </c>
      <c r="D1095" s="24">
        <v>45725</v>
      </c>
      <c r="E1095" s="23" t="s">
        <v>13</v>
      </c>
      <c r="F1095" s="23" t="s">
        <v>14</v>
      </c>
      <c r="G1095" s="23" t="s">
        <v>8364</v>
      </c>
      <c r="H1095" s="23" t="s">
        <v>22</v>
      </c>
      <c r="I1095" s="23">
        <v>8</v>
      </c>
      <c r="J1095" s="23">
        <v>0</v>
      </c>
      <c r="K1095" s="23">
        <v>4</v>
      </c>
      <c r="L1095" s="23" t="s">
        <v>62</v>
      </c>
      <c r="M1095" s="25">
        <v>14.1</v>
      </c>
      <c r="N1095">
        <f t="shared" si="17"/>
        <v>0</v>
      </c>
    </row>
    <row r="1096" spans="1:14" x14ac:dyDescent="0.35">
      <c r="A1096" s="6" t="s">
        <v>1166</v>
      </c>
      <c r="B1096" s="19" t="s">
        <v>41</v>
      </c>
      <c r="C1096" s="19">
        <v>3</v>
      </c>
      <c r="D1096" s="20">
        <v>45732</v>
      </c>
      <c r="E1096" s="19" t="s">
        <v>68</v>
      </c>
      <c r="F1096" s="19" t="s">
        <v>14</v>
      </c>
      <c r="G1096" s="19" t="s">
        <v>27</v>
      </c>
      <c r="H1096" s="19" t="s">
        <v>22</v>
      </c>
      <c r="I1096" s="19">
        <v>48</v>
      </c>
      <c r="J1096" s="19">
        <v>1</v>
      </c>
      <c r="K1096" s="19"/>
      <c r="L1096" s="19" t="s">
        <v>8363</v>
      </c>
      <c r="M1096" s="21">
        <v>5.2</v>
      </c>
      <c r="N1096">
        <f t="shared" si="17"/>
        <v>1</v>
      </c>
    </row>
    <row r="1097" spans="1:14" x14ac:dyDescent="0.35">
      <c r="A1097" s="22" t="s">
        <v>1167</v>
      </c>
      <c r="B1097" s="23" t="s">
        <v>104</v>
      </c>
      <c r="C1097" s="23">
        <v>1</v>
      </c>
      <c r="D1097" s="24">
        <v>45659</v>
      </c>
      <c r="E1097" s="23" t="s">
        <v>13</v>
      </c>
      <c r="F1097" s="23" t="s">
        <v>43</v>
      </c>
      <c r="G1097" s="23" t="s">
        <v>27</v>
      </c>
      <c r="H1097" s="23" t="s">
        <v>22</v>
      </c>
      <c r="I1097" s="23">
        <v>72</v>
      </c>
      <c r="J1097" s="23">
        <v>0</v>
      </c>
      <c r="K1097" s="23">
        <v>5</v>
      </c>
      <c r="L1097" s="23" t="s">
        <v>44</v>
      </c>
      <c r="M1097" s="25">
        <v>3.5</v>
      </c>
      <c r="N1097">
        <f t="shared" si="17"/>
        <v>1</v>
      </c>
    </row>
    <row r="1098" spans="1:14" x14ac:dyDescent="0.35">
      <c r="A1098" s="6" t="s">
        <v>1168</v>
      </c>
      <c r="B1098" s="19" t="s">
        <v>51</v>
      </c>
      <c r="C1098" s="19">
        <v>1</v>
      </c>
      <c r="D1098" s="20">
        <v>45675</v>
      </c>
      <c r="E1098" s="19" t="s">
        <v>36</v>
      </c>
      <c r="F1098" s="19" t="s">
        <v>14</v>
      </c>
      <c r="G1098" s="19" t="s">
        <v>27</v>
      </c>
      <c r="H1098" s="19" t="s">
        <v>32</v>
      </c>
      <c r="I1098" s="19">
        <v>72</v>
      </c>
      <c r="J1098" s="19">
        <v>0</v>
      </c>
      <c r="K1098" s="19">
        <v>5</v>
      </c>
      <c r="L1098" s="19" t="s">
        <v>33</v>
      </c>
      <c r="M1098" s="21">
        <v>7.1</v>
      </c>
      <c r="N1098">
        <f t="shared" si="17"/>
        <v>1</v>
      </c>
    </row>
    <row r="1099" spans="1:14" x14ac:dyDescent="0.35">
      <c r="A1099" s="22" t="s">
        <v>1169</v>
      </c>
      <c r="B1099" s="23" t="s">
        <v>89</v>
      </c>
      <c r="C1099" s="23">
        <v>5</v>
      </c>
      <c r="D1099" s="24">
        <v>45803</v>
      </c>
      <c r="E1099" s="23" t="s">
        <v>25</v>
      </c>
      <c r="F1099" s="23" t="s">
        <v>14</v>
      </c>
      <c r="G1099" s="23" t="s">
        <v>8364</v>
      </c>
      <c r="H1099" s="23" t="s">
        <v>28</v>
      </c>
      <c r="I1099" s="23">
        <v>24</v>
      </c>
      <c r="J1099" s="23">
        <v>2</v>
      </c>
      <c r="K1099" s="23">
        <v>4</v>
      </c>
      <c r="L1099" s="23" t="s">
        <v>8363</v>
      </c>
      <c r="M1099" s="25">
        <v>17.399999999999999</v>
      </c>
      <c r="N1099">
        <f t="shared" si="17"/>
        <v>1</v>
      </c>
    </row>
    <row r="1100" spans="1:14" x14ac:dyDescent="0.35">
      <c r="A1100" s="6" t="s">
        <v>1170</v>
      </c>
      <c r="B1100" s="19" t="s">
        <v>85</v>
      </c>
      <c r="C1100" s="19">
        <v>4</v>
      </c>
      <c r="D1100" s="20">
        <v>45776</v>
      </c>
      <c r="E1100" s="19" t="s">
        <v>20</v>
      </c>
      <c r="F1100" s="19" t="s">
        <v>14</v>
      </c>
      <c r="G1100" s="19" t="s">
        <v>15</v>
      </c>
      <c r="H1100" s="19" t="s">
        <v>32</v>
      </c>
      <c r="I1100" s="19">
        <v>24</v>
      </c>
      <c r="J1100" s="19">
        <v>0</v>
      </c>
      <c r="K1100" s="19">
        <v>2</v>
      </c>
      <c r="L1100" s="19" t="s">
        <v>38</v>
      </c>
      <c r="M1100" s="21">
        <v>5.3</v>
      </c>
      <c r="N1100">
        <f t="shared" si="17"/>
        <v>1</v>
      </c>
    </row>
    <row r="1101" spans="1:14" x14ac:dyDescent="0.35">
      <c r="A1101" s="22" t="s">
        <v>1171</v>
      </c>
      <c r="B1101" s="23" t="s">
        <v>53</v>
      </c>
      <c r="C1101" s="23">
        <v>6</v>
      </c>
      <c r="D1101" s="24">
        <v>45821</v>
      </c>
      <c r="E1101" s="23" t="s">
        <v>8364</v>
      </c>
      <c r="F1101" s="23" t="s">
        <v>26</v>
      </c>
      <c r="G1101" s="23" t="s">
        <v>21</v>
      </c>
      <c r="H1101" s="23" t="s">
        <v>8364</v>
      </c>
      <c r="I1101" s="23">
        <v>72</v>
      </c>
      <c r="J1101" s="23">
        <v>0</v>
      </c>
      <c r="K1101" s="23">
        <v>5</v>
      </c>
      <c r="L1101" s="23" t="s">
        <v>8363</v>
      </c>
      <c r="M1101" s="25">
        <v>2.4</v>
      </c>
      <c r="N1101">
        <f t="shared" si="17"/>
        <v>1</v>
      </c>
    </row>
    <row r="1102" spans="1:14" x14ac:dyDescent="0.35">
      <c r="A1102" s="6" t="s">
        <v>1172</v>
      </c>
      <c r="B1102" s="19" t="s">
        <v>85</v>
      </c>
      <c r="C1102" s="19"/>
      <c r="D1102" s="20"/>
      <c r="E1102" s="19" t="s">
        <v>8364</v>
      </c>
      <c r="F1102" s="19" t="s">
        <v>40</v>
      </c>
      <c r="G1102" s="19" t="s">
        <v>27</v>
      </c>
      <c r="H1102" s="19" t="s">
        <v>16</v>
      </c>
      <c r="I1102" s="19">
        <v>72</v>
      </c>
      <c r="J1102" s="19">
        <v>3</v>
      </c>
      <c r="K1102" s="19">
        <v>5</v>
      </c>
      <c r="L1102" s="19" t="s">
        <v>8363</v>
      </c>
      <c r="M1102" s="21">
        <v>12.5</v>
      </c>
      <c r="N1102">
        <f t="shared" si="17"/>
        <v>1</v>
      </c>
    </row>
    <row r="1103" spans="1:14" x14ac:dyDescent="0.35">
      <c r="A1103" s="22" t="s">
        <v>1173</v>
      </c>
      <c r="B1103" s="23" t="s">
        <v>101</v>
      </c>
      <c r="C1103" s="23">
        <v>6</v>
      </c>
      <c r="D1103" s="24">
        <v>45834</v>
      </c>
      <c r="E1103" s="23" t="s">
        <v>68</v>
      </c>
      <c r="F1103" s="23" t="s">
        <v>43</v>
      </c>
      <c r="G1103" s="23" t="s">
        <v>21</v>
      </c>
      <c r="H1103" s="23" t="s">
        <v>22</v>
      </c>
      <c r="I1103" s="23">
        <v>8</v>
      </c>
      <c r="J1103" s="23">
        <v>0</v>
      </c>
      <c r="K1103" s="23">
        <v>2</v>
      </c>
      <c r="L1103" s="23" t="s">
        <v>33</v>
      </c>
      <c r="M1103" s="25">
        <v>4.7</v>
      </c>
      <c r="N1103">
        <f t="shared" si="17"/>
        <v>1</v>
      </c>
    </row>
    <row r="1104" spans="1:14" x14ac:dyDescent="0.35">
      <c r="A1104" s="6" t="s">
        <v>1174</v>
      </c>
      <c r="B1104" s="19" t="s">
        <v>18</v>
      </c>
      <c r="C1104" s="19">
        <v>1</v>
      </c>
      <c r="D1104" s="20">
        <v>45679</v>
      </c>
      <c r="E1104" s="19" t="s">
        <v>36</v>
      </c>
      <c r="F1104" s="19" t="s">
        <v>37</v>
      </c>
      <c r="G1104" s="19" t="s">
        <v>27</v>
      </c>
      <c r="H1104" s="19" t="s">
        <v>28</v>
      </c>
      <c r="I1104" s="19">
        <v>8</v>
      </c>
      <c r="J1104" s="19">
        <v>0</v>
      </c>
      <c r="K1104" s="19">
        <v>5</v>
      </c>
      <c r="L1104" s="19" t="s">
        <v>33</v>
      </c>
      <c r="M1104" s="21">
        <v>19.8</v>
      </c>
      <c r="N1104">
        <f t="shared" si="17"/>
        <v>0</v>
      </c>
    </row>
    <row r="1105" spans="1:14" x14ac:dyDescent="0.35">
      <c r="A1105" s="22" t="s">
        <v>1175</v>
      </c>
      <c r="B1105" s="23" t="s">
        <v>51</v>
      </c>
      <c r="C1105" s="23">
        <v>1</v>
      </c>
      <c r="D1105" s="24">
        <v>45660</v>
      </c>
      <c r="E1105" s="23" t="s">
        <v>68</v>
      </c>
      <c r="F1105" s="23" t="s">
        <v>59</v>
      </c>
      <c r="G1105" s="23" t="s">
        <v>27</v>
      </c>
      <c r="H1105" s="23" t="s">
        <v>8364</v>
      </c>
      <c r="I1105" s="23">
        <v>72</v>
      </c>
      <c r="J1105" s="23">
        <v>3</v>
      </c>
      <c r="K1105" s="23">
        <v>1</v>
      </c>
      <c r="L1105" s="23" t="s">
        <v>44</v>
      </c>
      <c r="M1105" s="25"/>
      <c r="N1105">
        <f t="shared" si="17"/>
        <v>1</v>
      </c>
    </row>
    <row r="1106" spans="1:14" x14ac:dyDescent="0.35">
      <c r="A1106" s="6" t="s">
        <v>1176</v>
      </c>
      <c r="B1106" s="19" t="s">
        <v>47</v>
      </c>
      <c r="C1106" s="19"/>
      <c r="D1106" s="20"/>
      <c r="E1106" s="19" t="s">
        <v>25</v>
      </c>
      <c r="F1106" s="19" t="s">
        <v>14</v>
      </c>
      <c r="G1106" s="19" t="s">
        <v>31</v>
      </c>
      <c r="H1106" s="19" t="s">
        <v>28</v>
      </c>
      <c r="I1106" s="19">
        <v>48</v>
      </c>
      <c r="J1106" s="19">
        <v>0</v>
      </c>
      <c r="K1106" s="19">
        <v>5</v>
      </c>
      <c r="L1106" s="19" t="s">
        <v>55</v>
      </c>
      <c r="M1106" s="21">
        <v>16.5</v>
      </c>
      <c r="N1106">
        <f t="shared" si="17"/>
        <v>1</v>
      </c>
    </row>
    <row r="1107" spans="1:14" x14ac:dyDescent="0.35">
      <c r="A1107" s="22" t="s">
        <v>1177</v>
      </c>
      <c r="B1107" s="23" t="s">
        <v>87</v>
      </c>
      <c r="C1107" s="23">
        <v>4</v>
      </c>
      <c r="D1107" s="24">
        <v>45754</v>
      </c>
      <c r="E1107" s="23" t="s">
        <v>13</v>
      </c>
      <c r="F1107" s="23" t="s">
        <v>14</v>
      </c>
      <c r="G1107" s="23" t="s">
        <v>15</v>
      </c>
      <c r="H1107" s="23" t="s">
        <v>22</v>
      </c>
      <c r="I1107" s="23">
        <v>72</v>
      </c>
      <c r="J1107" s="23">
        <v>0</v>
      </c>
      <c r="K1107" s="23">
        <v>4</v>
      </c>
      <c r="L1107" s="23" t="s">
        <v>55</v>
      </c>
      <c r="M1107" s="25">
        <v>22.8</v>
      </c>
      <c r="N1107">
        <f t="shared" si="17"/>
        <v>1</v>
      </c>
    </row>
    <row r="1108" spans="1:14" x14ac:dyDescent="0.35">
      <c r="A1108" s="6" t="s">
        <v>1178</v>
      </c>
      <c r="B1108" s="19" t="s">
        <v>81</v>
      </c>
      <c r="C1108" s="19">
        <v>10</v>
      </c>
      <c r="D1108" s="20">
        <v>45937</v>
      </c>
      <c r="E1108" s="19" t="s">
        <v>36</v>
      </c>
      <c r="F1108" s="19" t="s">
        <v>43</v>
      </c>
      <c r="G1108" s="19" t="s">
        <v>31</v>
      </c>
      <c r="H1108" s="19" t="s">
        <v>32</v>
      </c>
      <c r="I1108" s="19">
        <v>24</v>
      </c>
      <c r="J1108" s="19">
        <v>0</v>
      </c>
      <c r="K1108" s="19">
        <v>5</v>
      </c>
      <c r="L1108" s="19" t="s">
        <v>44</v>
      </c>
      <c r="M1108" s="21">
        <v>11.2</v>
      </c>
      <c r="N1108">
        <f t="shared" si="17"/>
        <v>1</v>
      </c>
    </row>
    <row r="1109" spans="1:14" x14ac:dyDescent="0.35">
      <c r="A1109" s="22" t="s">
        <v>1179</v>
      </c>
      <c r="B1109" s="23" t="s">
        <v>51</v>
      </c>
      <c r="C1109" s="23">
        <v>2</v>
      </c>
      <c r="D1109" s="24">
        <v>45711</v>
      </c>
      <c r="E1109" s="23" t="s">
        <v>25</v>
      </c>
      <c r="F1109" s="23" t="s">
        <v>43</v>
      </c>
      <c r="G1109" s="23" t="s">
        <v>27</v>
      </c>
      <c r="H1109" s="23" t="s">
        <v>32</v>
      </c>
      <c r="I1109" s="23">
        <v>72</v>
      </c>
      <c r="J1109" s="23">
        <v>0</v>
      </c>
      <c r="K1109" s="23"/>
      <c r="L1109" s="23" t="s">
        <v>75</v>
      </c>
      <c r="M1109" s="25">
        <v>5.5</v>
      </c>
      <c r="N1109">
        <f t="shared" si="17"/>
        <v>1</v>
      </c>
    </row>
    <row r="1110" spans="1:14" x14ac:dyDescent="0.35">
      <c r="A1110" s="6" t="s">
        <v>1180</v>
      </c>
      <c r="B1110" s="19" t="s">
        <v>108</v>
      </c>
      <c r="C1110" s="19">
        <v>7</v>
      </c>
      <c r="D1110" s="20">
        <v>45846</v>
      </c>
      <c r="E1110" s="19" t="s">
        <v>13</v>
      </c>
      <c r="F1110" s="19" t="s">
        <v>40</v>
      </c>
      <c r="G1110" s="19" t="s">
        <v>21</v>
      </c>
      <c r="H1110" s="19" t="s">
        <v>16</v>
      </c>
      <c r="I1110" s="19">
        <v>8</v>
      </c>
      <c r="J1110" s="19">
        <v>0</v>
      </c>
      <c r="K1110" s="19">
        <v>2</v>
      </c>
      <c r="L1110" s="19" t="s">
        <v>8363</v>
      </c>
      <c r="M1110" s="21">
        <v>5.8</v>
      </c>
      <c r="N1110">
        <f t="shared" si="17"/>
        <v>1</v>
      </c>
    </row>
    <row r="1111" spans="1:14" x14ac:dyDescent="0.35">
      <c r="A1111" s="22" t="s">
        <v>1181</v>
      </c>
      <c r="B1111" s="23" t="s">
        <v>97</v>
      </c>
      <c r="C1111" s="23">
        <v>10</v>
      </c>
      <c r="D1111" s="24">
        <v>45934</v>
      </c>
      <c r="E1111" s="23" t="s">
        <v>25</v>
      </c>
      <c r="F1111" s="23" t="s">
        <v>14</v>
      </c>
      <c r="G1111" s="23" t="s">
        <v>21</v>
      </c>
      <c r="H1111" s="23" t="s">
        <v>28</v>
      </c>
      <c r="I1111" s="23">
        <v>24</v>
      </c>
      <c r="J1111" s="23">
        <v>0</v>
      </c>
      <c r="K1111" s="23">
        <v>4</v>
      </c>
      <c r="L1111" s="23" t="s">
        <v>44</v>
      </c>
      <c r="M1111" s="25"/>
      <c r="N1111">
        <f t="shared" si="17"/>
        <v>1</v>
      </c>
    </row>
    <row r="1112" spans="1:14" x14ac:dyDescent="0.35">
      <c r="A1112" s="6" t="s">
        <v>1182</v>
      </c>
      <c r="B1112" s="19" t="s">
        <v>34</v>
      </c>
      <c r="C1112" s="19">
        <v>3</v>
      </c>
      <c r="D1112" s="20">
        <v>45729</v>
      </c>
      <c r="E1112" s="19" t="s">
        <v>13</v>
      </c>
      <c r="F1112" s="19" t="s">
        <v>43</v>
      </c>
      <c r="G1112" s="19" t="s">
        <v>21</v>
      </c>
      <c r="H1112" s="19" t="s">
        <v>8364</v>
      </c>
      <c r="I1112" s="19">
        <v>24</v>
      </c>
      <c r="J1112" s="19">
        <v>0</v>
      </c>
      <c r="K1112" s="19">
        <v>5</v>
      </c>
      <c r="L1112" s="19" t="s">
        <v>75</v>
      </c>
      <c r="M1112" s="21">
        <v>3.3</v>
      </c>
      <c r="N1112">
        <f t="shared" si="17"/>
        <v>1</v>
      </c>
    </row>
    <row r="1113" spans="1:14" x14ac:dyDescent="0.35">
      <c r="A1113" s="22" t="s">
        <v>1183</v>
      </c>
      <c r="B1113" s="23" t="s">
        <v>101</v>
      </c>
      <c r="C1113" s="23">
        <v>11</v>
      </c>
      <c r="D1113" s="24">
        <v>45973</v>
      </c>
      <c r="E1113" s="23" t="s">
        <v>8364</v>
      </c>
      <c r="F1113" s="23" t="s">
        <v>43</v>
      </c>
      <c r="G1113" s="23" t="s">
        <v>31</v>
      </c>
      <c r="H1113" s="23" t="s">
        <v>8364</v>
      </c>
      <c r="I1113" s="23">
        <v>24</v>
      </c>
      <c r="J1113" s="23">
        <v>1</v>
      </c>
      <c r="K1113" s="23">
        <v>4</v>
      </c>
      <c r="L1113" s="23" t="s">
        <v>17</v>
      </c>
      <c r="M1113" s="25">
        <v>16.7</v>
      </c>
      <c r="N1113">
        <f t="shared" si="17"/>
        <v>1</v>
      </c>
    </row>
    <row r="1114" spans="1:14" x14ac:dyDescent="0.35">
      <c r="A1114" s="6" t="s">
        <v>1184</v>
      </c>
      <c r="B1114" s="19" t="s">
        <v>51</v>
      </c>
      <c r="C1114" s="19">
        <v>12</v>
      </c>
      <c r="D1114" s="20">
        <v>45992</v>
      </c>
      <c r="E1114" s="19" t="s">
        <v>25</v>
      </c>
      <c r="F1114" s="19" t="s">
        <v>14</v>
      </c>
      <c r="G1114" s="19" t="s">
        <v>27</v>
      </c>
      <c r="H1114" s="19" t="s">
        <v>22</v>
      </c>
      <c r="I1114" s="19">
        <v>72</v>
      </c>
      <c r="J1114" s="19"/>
      <c r="K1114" s="19">
        <v>1</v>
      </c>
      <c r="L1114" s="19" t="s">
        <v>75</v>
      </c>
      <c r="M1114" s="21"/>
      <c r="N1114">
        <f t="shared" si="17"/>
        <v>1</v>
      </c>
    </row>
    <row r="1115" spans="1:14" x14ac:dyDescent="0.35">
      <c r="A1115" s="22" t="s">
        <v>1185</v>
      </c>
      <c r="B1115" s="23" t="s">
        <v>51</v>
      </c>
      <c r="C1115" s="23">
        <v>2</v>
      </c>
      <c r="D1115" s="24">
        <v>45710</v>
      </c>
      <c r="E1115" s="23" t="s">
        <v>25</v>
      </c>
      <c r="F1115" s="23" t="s">
        <v>14</v>
      </c>
      <c r="G1115" s="23" t="s">
        <v>15</v>
      </c>
      <c r="H1115" s="23" t="s">
        <v>22</v>
      </c>
      <c r="I1115" s="23">
        <v>4</v>
      </c>
      <c r="J1115" s="23">
        <v>0</v>
      </c>
      <c r="K1115" s="23">
        <v>4</v>
      </c>
      <c r="L1115" s="23" t="s">
        <v>62</v>
      </c>
      <c r="M1115" s="25">
        <v>21.6</v>
      </c>
      <c r="N1115">
        <f t="shared" si="17"/>
        <v>0</v>
      </c>
    </row>
    <row r="1116" spans="1:14" x14ac:dyDescent="0.35">
      <c r="A1116" s="6" t="s">
        <v>1186</v>
      </c>
      <c r="B1116" s="19" t="s">
        <v>81</v>
      </c>
      <c r="C1116" s="19">
        <v>4</v>
      </c>
      <c r="D1116" s="20">
        <v>45767</v>
      </c>
      <c r="E1116" s="19" t="s">
        <v>8364</v>
      </c>
      <c r="F1116" s="19" t="s">
        <v>37</v>
      </c>
      <c r="G1116" s="19" t="s">
        <v>31</v>
      </c>
      <c r="H1116" s="19" t="s">
        <v>8364</v>
      </c>
      <c r="I1116" s="19">
        <v>72</v>
      </c>
      <c r="J1116" s="19">
        <v>0</v>
      </c>
      <c r="K1116" s="19">
        <v>4</v>
      </c>
      <c r="L1116" s="19" t="s">
        <v>44</v>
      </c>
      <c r="M1116" s="21">
        <v>11.9</v>
      </c>
      <c r="N1116">
        <f t="shared" si="17"/>
        <v>1</v>
      </c>
    </row>
    <row r="1117" spans="1:14" x14ac:dyDescent="0.35">
      <c r="A1117" s="22" t="s">
        <v>1187</v>
      </c>
      <c r="B1117" s="23" t="s">
        <v>126</v>
      </c>
      <c r="C1117" s="23">
        <v>8</v>
      </c>
      <c r="D1117" s="24">
        <v>45896</v>
      </c>
      <c r="E1117" s="23" t="s">
        <v>36</v>
      </c>
      <c r="F1117" s="23" t="s">
        <v>43</v>
      </c>
      <c r="G1117" s="23" t="s">
        <v>15</v>
      </c>
      <c r="H1117" s="23" t="s">
        <v>22</v>
      </c>
      <c r="I1117" s="23">
        <v>72</v>
      </c>
      <c r="J1117" s="23">
        <v>0</v>
      </c>
      <c r="K1117" s="23"/>
      <c r="L1117" s="23" t="s">
        <v>38</v>
      </c>
      <c r="M1117" s="25">
        <v>12.1</v>
      </c>
      <c r="N1117">
        <f t="shared" si="17"/>
        <v>1</v>
      </c>
    </row>
    <row r="1118" spans="1:14" x14ac:dyDescent="0.35">
      <c r="A1118" s="6" t="s">
        <v>1188</v>
      </c>
      <c r="B1118" s="19" t="s">
        <v>78</v>
      </c>
      <c r="C1118" s="19">
        <v>2</v>
      </c>
      <c r="D1118" s="20">
        <v>45705</v>
      </c>
      <c r="E1118" s="19" t="s">
        <v>13</v>
      </c>
      <c r="F1118" s="19" t="s">
        <v>40</v>
      </c>
      <c r="G1118" s="19" t="s">
        <v>27</v>
      </c>
      <c r="H1118" s="19" t="s">
        <v>8364</v>
      </c>
      <c r="I1118" s="19">
        <v>4</v>
      </c>
      <c r="J1118" s="19">
        <v>0</v>
      </c>
      <c r="K1118" s="19">
        <v>4</v>
      </c>
      <c r="L1118" s="19" t="s">
        <v>17</v>
      </c>
      <c r="M1118" s="21">
        <v>11.3</v>
      </c>
      <c r="N1118">
        <f t="shared" si="17"/>
        <v>0</v>
      </c>
    </row>
    <row r="1119" spans="1:14" x14ac:dyDescent="0.35">
      <c r="A1119" s="22" t="s">
        <v>1189</v>
      </c>
      <c r="B1119" s="23" t="s">
        <v>23</v>
      </c>
      <c r="C1119" s="23">
        <v>1</v>
      </c>
      <c r="D1119" s="24">
        <v>45667</v>
      </c>
      <c r="E1119" s="23" t="s">
        <v>8364</v>
      </c>
      <c r="F1119" s="23" t="s">
        <v>40</v>
      </c>
      <c r="G1119" s="23" t="s">
        <v>21</v>
      </c>
      <c r="H1119" s="23" t="s">
        <v>8364</v>
      </c>
      <c r="I1119" s="23">
        <v>8</v>
      </c>
      <c r="J1119" s="23">
        <v>0</v>
      </c>
      <c r="K1119" s="23">
        <v>5</v>
      </c>
      <c r="L1119" s="23" t="s">
        <v>38</v>
      </c>
      <c r="M1119" s="25">
        <v>11.9</v>
      </c>
      <c r="N1119">
        <f t="shared" si="17"/>
        <v>0</v>
      </c>
    </row>
    <row r="1120" spans="1:14" x14ac:dyDescent="0.35">
      <c r="A1120" s="6" t="s">
        <v>1190</v>
      </c>
      <c r="B1120" s="19" t="s">
        <v>53</v>
      </c>
      <c r="C1120" s="19"/>
      <c r="D1120" s="20"/>
      <c r="E1120" s="19" t="s">
        <v>13</v>
      </c>
      <c r="F1120" s="19" t="s">
        <v>40</v>
      </c>
      <c r="G1120" s="19" t="s">
        <v>21</v>
      </c>
      <c r="H1120" s="19" t="s">
        <v>28</v>
      </c>
      <c r="I1120" s="19">
        <v>48</v>
      </c>
      <c r="J1120" s="19">
        <v>0</v>
      </c>
      <c r="K1120" s="19">
        <v>5</v>
      </c>
      <c r="L1120" s="19" t="s">
        <v>17</v>
      </c>
      <c r="M1120" s="21">
        <v>4.5</v>
      </c>
      <c r="N1120">
        <f t="shared" si="17"/>
        <v>1</v>
      </c>
    </row>
    <row r="1121" spans="1:14" x14ac:dyDescent="0.35">
      <c r="A1121" s="22" t="s">
        <v>1191</v>
      </c>
      <c r="B1121" s="23" t="s">
        <v>108</v>
      </c>
      <c r="C1121" s="23">
        <v>7</v>
      </c>
      <c r="D1121" s="24">
        <v>45840</v>
      </c>
      <c r="E1121" s="23" t="s">
        <v>68</v>
      </c>
      <c r="F1121" s="23" t="s">
        <v>14</v>
      </c>
      <c r="G1121" s="23" t="s">
        <v>31</v>
      </c>
      <c r="H1121" s="23" t="s">
        <v>22</v>
      </c>
      <c r="I1121" s="23">
        <v>48</v>
      </c>
      <c r="J1121" s="23">
        <v>0</v>
      </c>
      <c r="K1121" s="23">
        <v>5</v>
      </c>
      <c r="L1121" s="23" t="s">
        <v>17</v>
      </c>
      <c r="M1121" s="25">
        <v>16.100000000000001</v>
      </c>
      <c r="N1121">
        <f t="shared" si="17"/>
        <v>1</v>
      </c>
    </row>
    <row r="1122" spans="1:14" x14ac:dyDescent="0.35">
      <c r="A1122" s="6" t="s">
        <v>1192</v>
      </c>
      <c r="B1122" s="19" t="s">
        <v>51</v>
      </c>
      <c r="C1122" s="19">
        <v>12</v>
      </c>
      <c r="D1122" s="20">
        <v>46016</v>
      </c>
      <c r="E1122" s="19" t="s">
        <v>13</v>
      </c>
      <c r="F1122" s="19" t="s">
        <v>43</v>
      </c>
      <c r="G1122" s="19" t="s">
        <v>21</v>
      </c>
      <c r="H1122" s="19" t="s">
        <v>32</v>
      </c>
      <c r="I1122" s="19">
        <v>24</v>
      </c>
      <c r="J1122" s="19">
        <v>0</v>
      </c>
      <c r="K1122" s="19">
        <v>3</v>
      </c>
      <c r="L1122" s="19" t="s">
        <v>38</v>
      </c>
      <c r="M1122" s="21"/>
      <c r="N1122">
        <f t="shared" si="17"/>
        <v>1</v>
      </c>
    </row>
    <row r="1123" spans="1:14" x14ac:dyDescent="0.35">
      <c r="A1123" s="22" t="s">
        <v>1193</v>
      </c>
      <c r="B1123" s="23" t="s">
        <v>23</v>
      </c>
      <c r="C1123" s="23">
        <v>4</v>
      </c>
      <c r="D1123" s="24">
        <v>45776</v>
      </c>
      <c r="E1123" s="23" t="s">
        <v>68</v>
      </c>
      <c r="F1123" s="23" t="s">
        <v>43</v>
      </c>
      <c r="G1123" s="23" t="s">
        <v>31</v>
      </c>
      <c r="H1123" s="23" t="s">
        <v>22</v>
      </c>
      <c r="I1123" s="23">
        <v>8</v>
      </c>
      <c r="J1123" s="23">
        <v>0</v>
      </c>
      <c r="K1123" s="23">
        <v>4</v>
      </c>
      <c r="L1123" s="23" t="s">
        <v>8363</v>
      </c>
      <c r="M1123" s="25">
        <v>14.1</v>
      </c>
      <c r="N1123">
        <f t="shared" si="17"/>
        <v>0</v>
      </c>
    </row>
    <row r="1124" spans="1:14" x14ac:dyDescent="0.35">
      <c r="A1124" s="6" t="s">
        <v>1194</v>
      </c>
      <c r="B1124" s="19" t="s">
        <v>85</v>
      </c>
      <c r="C1124" s="19">
        <v>3</v>
      </c>
      <c r="D1124" s="20">
        <v>45738</v>
      </c>
      <c r="E1124" s="19" t="s">
        <v>13</v>
      </c>
      <c r="F1124" s="19" t="s">
        <v>59</v>
      </c>
      <c r="G1124" s="19" t="s">
        <v>15</v>
      </c>
      <c r="H1124" s="19" t="s">
        <v>8364</v>
      </c>
      <c r="I1124" s="19">
        <v>72</v>
      </c>
      <c r="J1124" s="19">
        <v>0</v>
      </c>
      <c r="K1124" s="19">
        <v>5</v>
      </c>
      <c r="L1124" s="19" t="s">
        <v>8363</v>
      </c>
      <c r="M1124" s="21">
        <v>6.7</v>
      </c>
      <c r="N1124">
        <f t="shared" si="17"/>
        <v>1</v>
      </c>
    </row>
    <row r="1125" spans="1:14" x14ac:dyDescent="0.35">
      <c r="A1125" s="22" t="s">
        <v>1195</v>
      </c>
      <c r="B1125" s="23" t="s">
        <v>18</v>
      </c>
      <c r="C1125" s="23">
        <v>8</v>
      </c>
      <c r="D1125" s="24">
        <v>45899</v>
      </c>
      <c r="E1125" s="23" t="s">
        <v>20</v>
      </c>
      <c r="F1125" s="23" t="s">
        <v>43</v>
      </c>
      <c r="G1125" s="23" t="s">
        <v>15</v>
      </c>
      <c r="H1125" s="23" t="s">
        <v>32</v>
      </c>
      <c r="I1125" s="23">
        <v>48</v>
      </c>
      <c r="J1125" s="23">
        <v>2</v>
      </c>
      <c r="K1125" s="23">
        <v>5</v>
      </c>
      <c r="L1125" s="23" t="s">
        <v>44</v>
      </c>
      <c r="M1125" s="25">
        <v>21.9</v>
      </c>
      <c r="N1125">
        <f t="shared" si="17"/>
        <v>1</v>
      </c>
    </row>
    <row r="1126" spans="1:14" x14ac:dyDescent="0.35">
      <c r="A1126" s="6" t="s">
        <v>1196</v>
      </c>
      <c r="B1126" s="19" t="s">
        <v>253</v>
      </c>
      <c r="C1126" s="19">
        <v>4</v>
      </c>
      <c r="D1126" s="20">
        <v>45761</v>
      </c>
      <c r="E1126" s="19" t="s">
        <v>25</v>
      </c>
      <c r="F1126" s="19" t="s">
        <v>14</v>
      </c>
      <c r="G1126" s="19" t="s">
        <v>8364</v>
      </c>
      <c r="H1126" s="19" t="s">
        <v>28</v>
      </c>
      <c r="I1126" s="19">
        <v>72</v>
      </c>
      <c r="J1126" s="19">
        <v>0</v>
      </c>
      <c r="K1126" s="19">
        <v>5</v>
      </c>
      <c r="L1126" s="19" t="s">
        <v>17</v>
      </c>
      <c r="M1126" s="21">
        <v>8</v>
      </c>
      <c r="N1126">
        <f t="shared" si="17"/>
        <v>1</v>
      </c>
    </row>
    <row r="1127" spans="1:14" x14ac:dyDescent="0.35">
      <c r="A1127" s="22" t="s">
        <v>1197</v>
      </c>
      <c r="B1127" s="23" t="s">
        <v>89</v>
      </c>
      <c r="C1127" s="23">
        <v>3</v>
      </c>
      <c r="D1127" s="24">
        <v>45732</v>
      </c>
      <c r="E1127" s="23" t="s">
        <v>25</v>
      </c>
      <c r="F1127" s="23" t="s">
        <v>40</v>
      </c>
      <c r="G1127" s="23" t="s">
        <v>31</v>
      </c>
      <c r="H1127" s="23" t="s">
        <v>22</v>
      </c>
      <c r="I1127" s="23">
        <v>24</v>
      </c>
      <c r="J1127" s="23">
        <v>0</v>
      </c>
      <c r="K1127" s="23">
        <v>2</v>
      </c>
      <c r="L1127" s="23" t="s">
        <v>8363</v>
      </c>
      <c r="M1127" s="25">
        <v>6.9</v>
      </c>
      <c r="N1127">
        <f t="shared" si="17"/>
        <v>1</v>
      </c>
    </row>
    <row r="1128" spans="1:14" x14ac:dyDescent="0.35">
      <c r="A1128" s="6" t="s">
        <v>1198</v>
      </c>
      <c r="B1128" s="19" t="s">
        <v>97</v>
      </c>
      <c r="C1128" s="19"/>
      <c r="D1128" s="20"/>
      <c r="E1128" s="19" t="s">
        <v>25</v>
      </c>
      <c r="F1128" s="19" t="s">
        <v>26</v>
      </c>
      <c r="G1128" s="19" t="s">
        <v>31</v>
      </c>
      <c r="H1128" s="19" t="s">
        <v>22</v>
      </c>
      <c r="I1128" s="19">
        <v>72</v>
      </c>
      <c r="J1128" s="19">
        <v>1</v>
      </c>
      <c r="K1128" s="19">
        <v>5</v>
      </c>
      <c r="L1128" s="19" t="s">
        <v>75</v>
      </c>
      <c r="M1128" s="21">
        <v>11.7</v>
      </c>
      <c r="N1128">
        <f t="shared" si="17"/>
        <v>1</v>
      </c>
    </row>
    <row r="1129" spans="1:14" x14ac:dyDescent="0.35">
      <c r="A1129" s="22" t="s">
        <v>1199</v>
      </c>
      <c r="B1129" s="23" t="s">
        <v>23</v>
      </c>
      <c r="C1129" s="23">
        <v>5</v>
      </c>
      <c r="D1129" s="24">
        <v>45780</v>
      </c>
      <c r="E1129" s="23" t="s">
        <v>36</v>
      </c>
      <c r="F1129" s="23" t="s">
        <v>37</v>
      </c>
      <c r="G1129" s="23" t="s">
        <v>31</v>
      </c>
      <c r="H1129" s="23" t="s">
        <v>22</v>
      </c>
      <c r="I1129" s="23">
        <v>72</v>
      </c>
      <c r="J1129" s="23">
        <v>0</v>
      </c>
      <c r="K1129" s="23">
        <v>5</v>
      </c>
      <c r="L1129" s="23" t="s">
        <v>44</v>
      </c>
      <c r="M1129" s="25">
        <v>15.7</v>
      </c>
      <c r="N1129">
        <f t="shared" si="17"/>
        <v>1</v>
      </c>
    </row>
    <row r="1130" spans="1:14" x14ac:dyDescent="0.35">
      <c r="A1130" s="6" t="s">
        <v>1200</v>
      </c>
      <c r="B1130" s="19" t="s">
        <v>34</v>
      </c>
      <c r="C1130" s="19">
        <v>7</v>
      </c>
      <c r="D1130" s="20">
        <v>45853</v>
      </c>
      <c r="E1130" s="19" t="s">
        <v>25</v>
      </c>
      <c r="F1130" s="19" t="s">
        <v>14</v>
      </c>
      <c r="G1130" s="19" t="s">
        <v>8364</v>
      </c>
      <c r="H1130" s="19" t="s">
        <v>22</v>
      </c>
      <c r="I1130" s="19">
        <v>8</v>
      </c>
      <c r="J1130" s="19">
        <v>0</v>
      </c>
      <c r="K1130" s="19">
        <v>5</v>
      </c>
      <c r="L1130" s="19" t="s">
        <v>38</v>
      </c>
      <c r="M1130" s="21">
        <v>19.100000000000001</v>
      </c>
      <c r="N1130">
        <f t="shared" si="17"/>
        <v>0</v>
      </c>
    </row>
    <row r="1131" spans="1:14" x14ac:dyDescent="0.35">
      <c r="A1131" s="22" t="s">
        <v>1201</v>
      </c>
      <c r="B1131" s="23" t="s">
        <v>72</v>
      </c>
      <c r="C1131" s="23">
        <v>1</v>
      </c>
      <c r="D1131" s="24">
        <v>45675</v>
      </c>
      <c r="E1131" s="23" t="s">
        <v>25</v>
      </c>
      <c r="F1131" s="23" t="s">
        <v>37</v>
      </c>
      <c r="G1131" s="23" t="s">
        <v>27</v>
      </c>
      <c r="H1131" s="23" t="s">
        <v>28</v>
      </c>
      <c r="I1131" s="23">
        <v>4</v>
      </c>
      <c r="J1131" s="23">
        <v>0</v>
      </c>
      <c r="K1131" s="23">
        <v>3</v>
      </c>
      <c r="L1131" s="23" t="s">
        <v>62</v>
      </c>
      <c r="M1131" s="25">
        <v>4.0999999999999996</v>
      </c>
      <c r="N1131">
        <f t="shared" si="17"/>
        <v>0</v>
      </c>
    </row>
    <row r="1132" spans="1:14" x14ac:dyDescent="0.35">
      <c r="A1132" s="6" t="s">
        <v>1202</v>
      </c>
      <c r="B1132" s="19" t="s">
        <v>51</v>
      </c>
      <c r="C1132" s="19">
        <v>4</v>
      </c>
      <c r="D1132" s="20">
        <v>45771</v>
      </c>
      <c r="E1132" s="19" t="s">
        <v>13</v>
      </c>
      <c r="F1132" s="19" t="s">
        <v>14</v>
      </c>
      <c r="G1132" s="19" t="s">
        <v>31</v>
      </c>
      <c r="H1132" s="19" t="s">
        <v>32</v>
      </c>
      <c r="I1132" s="19">
        <v>48</v>
      </c>
      <c r="J1132" s="19">
        <v>1</v>
      </c>
      <c r="K1132" s="19">
        <v>5</v>
      </c>
      <c r="L1132" s="19" t="s">
        <v>8363</v>
      </c>
      <c r="M1132" s="21">
        <v>7.1</v>
      </c>
      <c r="N1132">
        <f t="shared" si="17"/>
        <v>1</v>
      </c>
    </row>
    <row r="1133" spans="1:14" x14ac:dyDescent="0.35">
      <c r="A1133" s="22" t="s">
        <v>1203</v>
      </c>
      <c r="B1133" s="23" t="s">
        <v>130</v>
      </c>
      <c r="C1133" s="23">
        <v>1</v>
      </c>
      <c r="D1133" s="24">
        <v>45687</v>
      </c>
      <c r="E1133" s="23" t="s">
        <v>20</v>
      </c>
      <c r="F1133" s="23" t="s">
        <v>59</v>
      </c>
      <c r="G1133" s="23" t="s">
        <v>8364</v>
      </c>
      <c r="H1133" s="23" t="s">
        <v>28</v>
      </c>
      <c r="I1133" s="23">
        <v>24</v>
      </c>
      <c r="J1133" s="23">
        <v>0</v>
      </c>
      <c r="K1133" s="23">
        <v>4</v>
      </c>
      <c r="L1133" s="23" t="s">
        <v>44</v>
      </c>
      <c r="M1133" s="25">
        <v>1.2</v>
      </c>
      <c r="N1133">
        <f t="shared" si="17"/>
        <v>1</v>
      </c>
    </row>
    <row r="1134" spans="1:14" x14ac:dyDescent="0.35">
      <c r="A1134" s="6" t="s">
        <v>1204</v>
      </c>
      <c r="B1134" s="19" t="s">
        <v>99</v>
      </c>
      <c r="C1134" s="19">
        <v>6</v>
      </c>
      <c r="D1134" s="20">
        <v>45816</v>
      </c>
      <c r="E1134" s="19" t="s">
        <v>20</v>
      </c>
      <c r="F1134" s="19" t="s">
        <v>14</v>
      </c>
      <c r="G1134" s="19" t="s">
        <v>21</v>
      </c>
      <c r="H1134" s="19" t="s">
        <v>32</v>
      </c>
      <c r="I1134" s="19">
        <v>24</v>
      </c>
      <c r="J1134" s="19">
        <v>0</v>
      </c>
      <c r="K1134" s="19">
        <v>5</v>
      </c>
      <c r="L1134" s="19" t="s">
        <v>62</v>
      </c>
      <c r="M1134" s="21">
        <v>6.9</v>
      </c>
      <c r="N1134">
        <f t="shared" si="17"/>
        <v>1</v>
      </c>
    </row>
    <row r="1135" spans="1:14" x14ac:dyDescent="0.35">
      <c r="A1135" s="22" t="s">
        <v>1205</v>
      </c>
      <c r="B1135" s="23" t="s">
        <v>39</v>
      </c>
      <c r="C1135" s="23">
        <v>6</v>
      </c>
      <c r="D1135" s="24">
        <v>45816</v>
      </c>
      <c r="E1135" s="23" t="s">
        <v>36</v>
      </c>
      <c r="F1135" s="23" t="s">
        <v>14</v>
      </c>
      <c r="G1135" s="23" t="s">
        <v>31</v>
      </c>
      <c r="H1135" s="23" t="s">
        <v>22</v>
      </c>
      <c r="I1135" s="23">
        <v>8</v>
      </c>
      <c r="J1135" s="23">
        <v>0</v>
      </c>
      <c r="K1135" s="23">
        <v>2</v>
      </c>
      <c r="L1135" s="23" t="s">
        <v>17</v>
      </c>
      <c r="M1135" s="25">
        <v>12.1</v>
      </c>
      <c r="N1135">
        <f t="shared" si="17"/>
        <v>0</v>
      </c>
    </row>
    <row r="1136" spans="1:14" x14ac:dyDescent="0.35">
      <c r="A1136" s="6" t="s">
        <v>1206</v>
      </c>
      <c r="B1136" s="19" t="s">
        <v>47</v>
      </c>
      <c r="C1136" s="19">
        <v>3</v>
      </c>
      <c r="D1136" s="20">
        <v>45736</v>
      </c>
      <c r="E1136" s="19" t="s">
        <v>25</v>
      </c>
      <c r="F1136" s="19" t="s">
        <v>26</v>
      </c>
      <c r="G1136" s="19" t="s">
        <v>15</v>
      </c>
      <c r="H1136" s="19" t="s">
        <v>8364</v>
      </c>
      <c r="I1136" s="19">
        <v>48</v>
      </c>
      <c r="J1136" s="19">
        <v>0</v>
      </c>
      <c r="K1136" s="19">
        <v>3</v>
      </c>
      <c r="L1136" s="19" t="s">
        <v>62</v>
      </c>
      <c r="M1136" s="21">
        <v>25.8</v>
      </c>
      <c r="N1136">
        <f t="shared" si="17"/>
        <v>1</v>
      </c>
    </row>
    <row r="1137" spans="1:14" x14ac:dyDescent="0.35">
      <c r="A1137" s="22" t="s">
        <v>1207</v>
      </c>
      <c r="B1137" s="23" t="s">
        <v>108</v>
      </c>
      <c r="C1137" s="23">
        <v>8</v>
      </c>
      <c r="D1137" s="24">
        <v>45878</v>
      </c>
      <c r="E1137" s="23" t="s">
        <v>68</v>
      </c>
      <c r="F1137" s="23" t="s">
        <v>14</v>
      </c>
      <c r="G1137" s="23" t="s">
        <v>15</v>
      </c>
      <c r="H1137" s="23" t="s">
        <v>22</v>
      </c>
      <c r="I1137" s="23">
        <v>72</v>
      </c>
      <c r="J1137" s="23">
        <v>1</v>
      </c>
      <c r="K1137" s="23">
        <v>2</v>
      </c>
      <c r="L1137" s="23" t="s">
        <v>44</v>
      </c>
      <c r="M1137" s="25">
        <v>17</v>
      </c>
      <c r="N1137">
        <f t="shared" si="17"/>
        <v>1</v>
      </c>
    </row>
    <row r="1138" spans="1:14" x14ac:dyDescent="0.35">
      <c r="A1138" s="6" t="s">
        <v>1208</v>
      </c>
      <c r="B1138" s="19" t="s">
        <v>126</v>
      </c>
      <c r="C1138" s="19">
        <v>11</v>
      </c>
      <c r="D1138" s="20">
        <v>45976</v>
      </c>
      <c r="E1138" s="19" t="s">
        <v>68</v>
      </c>
      <c r="F1138" s="19" t="s">
        <v>26</v>
      </c>
      <c r="G1138" s="19" t="s">
        <v>21</v>
      </c>
      <c r="H1138" s="19" t="s">
        <v>32</v>
      </c>
      <c r="I1138" s="19">
        <v>48</v>
      </c>
      <c r="J1138" s="19">
        <v>0</v>
      </c>
      <c r="K1138" s="19">
        <v>5</v>
      </c>
      <c r="L1138" s="19" t="s">
        <v>38</v>
      </c>
      <c r="M1138" s="21">
        <v>4.3</v>
      </c>
      <c r="N1138">
        <f t="shared" si="17"/>
        <v>1</v>
      </c>
    </row>
    <row r="1139" spans="1:14" x14ac:dyDescent="0.35">
      <c r="A1139" s="22" t="s">
        <v>1209</v>
      </c>
      <c r="B1139" s="23" t="s">
        <v>53</v>
      </c>
      <c r="C1139" s="23">
        <v>4</v>
      </c>
      <c r="D1139" s="24">
        <v>45755</v>
      </c>
      <c r="E1139" s="23" t="s">
        <v>68</v>
      </c>
      <c r="F1139" s="23" t="s">
        <v>14</v>
      </c>
      <c r="G1139" s="23" t="s">
        <v>31</v>
      </c>
      <c r="H1139" s="23" t="s">
        <v>32</v>
      </c>
      <c r="I1139" s="23">
        <v>4</v>
      </c>
      <c r="J1139" s="23">
        <v>0</v>
      </c>
      <c r="K1139" s="23">
        <v>3</v>
      </c>
      <c r="L1139" s="23" t="s">
        <v>38</v>
      </c>
      <c r="M1139" s="25">
        <v>9.3000000000000007</v>
      </c>
      <c r="N1139">
        <f t="shared" si="17"/>
        <v>0</v>
      </c>
    </row>
    <row r="1140" spans="1:14" x14ac:dyDescent="0.35">
      <c r="A1140" s="6" t="s">
        <v>1210</v>
      </c>
      <c r="B1140" s="19" t="s">
        <v>108</v>
      </c>
      <c r="C1140" s="19">
        <v>10</v>
      </c>
      <c r="D1140" s="20">
        <v>45935</v>
      </c>
      <c r="E1140" s="19" t="s">
        <v>13</v>
      </c>
      <c r="F1140" s="19" t="s">
        <v>43</v>
      </c>
      <c r="G1140" s="19" t="s">
        <v>31</v>
      </c>
      <c r="H1140" s="19" t="s">
        <v>22</v>
      </c>
      <c r="I1140" s="19">
        <v>72</v>
      </c>
      <c r="J1140" s="19">
        <v>0</v>
      </c>
      <c r="K1140" s="19">
        <v>5</v>
      </c>
      <c r="L1140" s="19" t="s">
        <v>62</v>
      </c>
      <c r="M1140" s="21">
        <v>4.0999999999999996</v>
      </c>
      <c r="N1140">
        <f t="shared" si="17"/>
        <v>1</v>
      </c>
    </row>
    <row r="1141" spans="1:14" x14ac:dyDescent="0.35">
      <c r="A1141" s="22" t="s">
        <v>1211</v>
      </c>
      <c r="B1141" s="23" t="s">
        <v>81</v>
      </c>
      <c r="C1141" s="23">
        <v>9</v>
      </c>
      <c r="D1141" s="24">
        <v>45907</v>
      </c>
      <c r="E1141" s="23" t="s">
        <v>36</v>
      </c>
      <c r="F1141" s="23" t="s">
        <v>37</v>
      </c>
      <c r="G1141" s="23" t="s">
        <v>31</v>
      </c>
      <c r="H1141" s="23" t="s">
        <v>32</v>
      </c>
      <c r="I1141" s="23">
        <v>4</v>
      </c>
      <c r="J1141" s="23">
        <v>0</v>
      </c>
      <c r="K1141" s="23">
        <v>2</v>
      </c>
      <c r="L1141" s="23" t="s">
        <v>55</v>
      </c>
      <c r="M1141" s="25">
        <v>11.3</v>
      </c>
      <c r="N1141">
        <f t="shared" si="17"/>
        <v>0</v>
      </c>
    </row>
    <row r="1142" spans="1:14" x14ac:dyDescent="0.35">
      <c r="A1142" s="6" t="s">
        <v>1212</v>
      </c>
      <c r="B1142" s="19" t="s">
        <v>143</v>
      </c>
      <c r="C1142" s="19">
        <v>12</v>
      </c>
      <c r="D1142" s="20">
        <v>45994</v>
      </c>
      <c r="E1142" s="19" t="s">
        <v>25</v>
      </c>
      <c r="F1142" s="19" t="s">
        <v>14</v>
      </c>
      <c r="G1142" s="19" t="s">
        <v>27</v>
      </c>
      <c r="H1142" s="19" t="s">
        <v>32</v>
      </c>
      <c r="I1142" s="19">
        <v>48</v>
      </c>
      <c r="J1142" s="19">
        <v>0</v>
      </c>
      <c r="K1142" s="19">
        <v>5</v>
      </c>
      <c r="L1142" s="19" t="s">
        <v>33</v>
      </c>
      <c r="M1142" s="21">
        <v>17</v>
      </c>
      <c r="N1142">
        <f t="shared" si="17"/>
        <v>1</v>
      </c>
    </row>
    <row r="1143" spans="1:14" x14ac:dyDescent="0.35">
      <c r="A1143" s="22" t="s">
        <v>1213</v>
      </c>
      <c r="B1143" s="23" t="s">
        <v>69</v>
      </c>
      <c r="C1143" s="23">
        <v>6</v>
      </c>
      <c r="D1143" s="24">
        <v>45833</v>
      </c>
      <c r="E1143" s="23" t="s">
        <v>20</v>
      </c>
      <c r="F1143" s="23" t="s">
        <v>40</v>
      </c>
      <c r="G1143" s="23" t="s">
        <v>8364</v>
      </c>
      <c r="H1143" s="23" t="s">
        <v>22</v>
      </c>
      <c r="I1143" s="23">
        <v>4</v>
      </c>
      <c r="J1143" s="23">
        <v>0</v>
      </c>
      <c r="K1143" s="23">
        <v>5</v>
      </c>
      <c r="L1143" s="23" t="s">
        <v>62</v>
      </c>
      <c r="M1143" s="25">
        <v>3.3</v>
      </c>
      <c r="N1143">
        <f t="shared" si="17"/>
        <v>1</v>
      </c>
    </row>
    <row r="1144" spans="1:14" x14ac:dyDescent="0.35">
      <c r="A1144" s="6" t="s">
        <v>1214</v>
      </c>
      <c r="B1144" s="19" t="s">
        <v>72</v>
      </c>
      <c r="C1144" s="19">
        <v>8</v>
      </c>
      <c r="D1144" s="20">
        <v>45881</v>
      </c>
      <c r="E1144" s="19" t="s">
        <v>13</v>
      </c>
      <c r="F1144" s="19" t="s">
        <v>8364</v>
      </c>
      <c r="G1144" s="19" t="s">
        <v>31</v>
      </c>
      <c r="H1144" s="19" t="s">
        <v>32</v>
      </c>
      <c r="I1144" s="19">
        <v>48</v>
      </c>
      <c r="J1144" s="19">
        <v>0</v>
      </c>
      <c r="K1144" s="19">
        <v>3</v>
      </c>
      <c r="L1144" s="19" t="s">
        <v>8363</v>
      </c>
      <c r="M1144" s="21">
        <v>3.2</v>
      </c>
      <c r="N1144">
        <f t="shared" si="17"/>
        <v>1</v>
      </c>
    </row>
    <row r="1145" spans="1:14" x14ac:dyDescent="0.35">
      <c r="A1145" s="22" t="s">
        <v>1215</v>
      </c>
      <c r="B1145" s="23" t="s">
        <v>39</v>
      </c>
      <c r="C1145" s="23">
        <v>8</v>
      </c>
      <c r="D1145" s="24">
        <v>45872</v>
      </c>
      <c r="E1145" s="23" t="s">
        <v>36</v>
      </c>
      <c r="F1145" s="23" t="s">
        <v>37</v>
      </c>
      <c r="G1145" s="23" t="s">
        <v>15</v>
      </c>
      <c r="H1145" s="23" t="s">
        <v>32</v>
      </c>
      <c r="I1145" s="23">
        <v>8</v>
      </c>
      <c r="J1145" s="23">
        <v>0</v>
      </c>
      <c r="K1145" s="23">
        <v>4</v>
      </c>
      <c r="L1145" s="23" t="s">
        <v>38</v>
      </c>
      <c r="M1145" s="25">
        <v>3.3</v>
      </c>
      <c r="N1145">
        <f t="shared" si="17"/>
        <v>1</v>
      </c>
    </row>
    <row r="1146" spans="1:14" x14ac:dyDescent="0.35">
      <c r="A1146" s="6" t="s">
        <v>1216</v>
      </c>
      <c r="B1146" s="19" t="s">
        <v>104</v>
      </c>
      <c r="C1146" s="19">
        <v>8</v>
      </c>
      <c r="D1146" s="20">
        <v>45870</v>
      </c>
      <c r="E1146" s="19" t="s">
        <v>25</v>
      </c>
      <c r="F1146" s="19" t="s">
        <v>8364</v>
      </c>
      <c r="G1146" s="19" t="s">
        <v>21</v>
      </c>
      <c r="H1146" s="19" t="s">
        <v>22</v>
      </c>
      <c r="I1146" s="19">
        <v>48</v>
      </c>
      <c r="J1146" s="19"/>
      <c r="K1146" s="19">
        <v>2</v>
      </c>
      <c r="L1146" s="19" t="s">
        <v>17</v>
      </c>
      <c r="M1146" s="21">
        <v>1.7</v>
      </c>
      <c r="N1146">
        <f t="shared" si="17"/>
        <v>1</v>
      </c>
    </row>
    <row r="1147" spans="1:14" x14ac:dyDescent="0.35">
      <c r="A1147" s="22" t="s">
        <v>1217</v>
      </c>
      <c r="B1147" s="23" t="s">
        <v>146</v>
      </c>
      <c r="C1147" s="23">
        <v>4</v>
      </c>
      <c r="D1147" s="24">
        <v>45749</v>
      </c>
      <c r="E1147" s="23" t="s">
        <v>13</v>
      </c>
      <c r="F1147" s="23" t="s">
        <v>26</v>
      </c>
      <c r="G1147" s="23" t="s">
        <v>27</v>
      </c>
      <c r="H1147" s="23" t="s">
        <v>28</v>
      </c>
      <c r="I1147" s="23">
        <v>8</v>
      </c>
      <c r="J1147" s="23">
        <v>0</v>
      </c>
      <c r="K1147" s="23">
        <v>2</v>
      </c>
      <c r="L1147" s="23" t="s">
        <v>8363</v>
      </c>
      <c r="M1147" s="25">
        <v>20.6</v>
      </c>
      <c r="N1147">
        <f t="shared" si="17"/>
        <v>0</v>
      </c>
    </row>
    <row r="1148" spans="1:14" x14ac:dyDescent="0.35">
      <c r="A1148" s="6" t="s">
        <v>1218</v>
      </c>
      <c r="B1148" s="19" t="s">
        <v>139</v>
      </c>
      <c r="C1148" s="19">
        <v>7</v>
      </c>
      <c r="D1148" s="20">
        <v>45852</v>
      </c>
      <c r="E1148" s="19" t="s">
        <v>68</v>
      </c>
      <c r="F1148" s="19" t="s">
        <v>26</v>
      </c>
      <c r="G1148" s="19" t="s">
        <v>15</v>
      </c>
      <c r="H1148" s="19" t="s">
        <v>32</v>
      </c>
      <c r="I1148" s="19">
        <v>4</v>
      </c>
      <c r="J1148" s="19">
        <v>0</v>
      </c>
      <c r="K1148" s="19">
        <v>1</v>
      </c>
      <c r="L1148" s="19" t="s">
        <v>55</v>
      </c>
      <c r="M1148" s="21">
        <v>4.3</v>
      </c>
      <c r="N1148">
        <f t="shared" si="17"/>
        <v>0</v>
      </c>
    </row>
    <row r="1149" spans="1:14" x14ac:dyDescent="0.35">
      <c r="A1149" s="22" t="s">
        <v>1219</v>
      </c>
      <c r="B1149" s="23" t="s">
        <v>34</v>
      </c>
      <c r="C1149" s="23">
        <v>9</v>
      </c>
      <c r="D1149" s="24">
        <v>45929</v>
      </c>
      <c r="E1149" s="23" t="s">
        <v>13</v>
      </c>
      <c r="F1149" s="23" t="s">
        <v>26</v>
      </c>
      <c r="G1149" s="23" t="s">
        <v>27</v>
      </c>
      <c r="H1149" s="23" t="s">
        <v>16</v>
      </c>
      <c r="I1149" s="23">
        <v>4</v>
      </c>
      <c r="J1149" s="23">
        <v>1</v>
      </c>
      <c r="K1149" s="23">
        <v>3</v>
      </c>
      <c r="L1149" s="23" t="s">
        <v>55</v>
      </c>
      <c r="M1149" s="25">
        <v>10.3</v>
      </c>
      <c r="N1149">
        <f t="shared" si="17"/>
        <v>0</v>
      </c>
    </row>
    <row r="1150" spans="1:14" x14ac:dyDescent="0.35">
      <c r="A1150" s="6" t="s">
        <v>1220</v>
      </c>
      <c r="B1150" s="19" t="s">
        <v>23</v>
      </c>
      <c r="C1150" s="19">
        <v>11</v>
      </c>
      <c r="D1150" s="20">
        <v>45976</v>
      </c>
      <c r="E1150" s="19" t="s">
        <v>68</v>
      </c>
      <c r="F1150" s="19" t="s">
        <v>43</v>
      </c>
      <c r="G1150" s="19" t="s">
        <v>31</v>
      </c>
      <c r="H1150" s="19" t="s">
        <v>22</v>
      </c>
      <c r="I1150" s="19">
        <v>72</v>
      </c>
      <c r="J1150" s="19">
        <v>0</v>
      </c>
      <c r="K1150" s="19">
        <v>3</v>
      </c>
      <c r="L1150" s="19" t="s">
        <v>44</v>
      </c>
      <c r="M1150" s="21">
        <v>2.1</v>
      </c>
      <c r="N1150">
        <f t="shared" si="17"/>
        <v>1</v>
      </c>
    </row>
    <row r="1151" spans="1:14" x14ac:dyDescent="0.35">
      <c r="A1151" s="22" t="s">
        <v>1221</v>
      </c>
      <c r="B1151" s="23" t="s">
        <v>78</v>
      </c>
      <c r="C1151" s="23">
        <v>1</v>
      </c>
      <c r="D1151" s="24">
        <v>45674</v>
      </c>
      <c r="E1151" s="23" t="s">
        <v>20</v>
      </c>
      <c r="F1151" s="23" t="s">
        <v>26</v>
      </c>
      <c r="G1151" s="23" t="s">
        <v>15</v>
      </c>
      <c r="H1151" s="23" t="s">
        <v>22</v>
      </c>
      <c r="I1151" s="23">
        <v>8</v>
      </c>
      <c r="J1151" s="23">
        <v>3</v>
      </c>
      <c r="K1151" s="23">
        <v>4</v>
      </c>
      <c r="L1151" s="23" t="s">
        <v>38</v>
      </c>
      <c r="M1151" s="25">
        <v>11.5</v>
      </c>
      <c r="N1151">
        <f t="shared" si="17"/>
        <v>0</v>
      </c>
    </row>
    <row r="1152" spans="1:14" x14ac:dyDescent="0.35">
      <c r="A1152" s="6" t="s">
        <v>1222</v>
      </c>
      <c r="B1152" s="19" t="s">
        <v>45</v>
      </c>
      <c r="C1152" s="19">
        <v>5</v>
      </c>
      <c r="D1152" s="20">
        <v>45797</v>
      </c>
      <c r="E1152" s="19" t="s">
        <v>13</v>
      </c>
      <c r="F1152" s="19" t="s">
        <v>14</v>
      </c>
      <c r="G1152" s="19" t="s">
        <v>31</v>
      </c>
      <c r="H1152" s="19" t="s">
        <v>8364</v>
      </c>
      <c r="I1152" s="19">
        <v>48</v>
      </c>
      <c r="J1152" s="19">
        <v>0</v>
      </c>
      <c r="K1152" s="19">
        <v>3</v>
      </c>
      <c r="L1152" s="19" t="s">
        <v>8363</v>
      </c>
      <c r="M1152" s="21">
        <v>9.8000000000000007</v>
      </c>
      <c r="N1152">
        <f t="shared" si="17"/>
        <v>1</v>
      </c>
    </row>
    <row r="1153" spans="1:14" x14ac:dyDescent="0.35">
      <c r="A1153" s="22" t="s">
        <v>1223</v>
      </c>
      <c r="B1153" s="23" t="s">
        <v>49</v>
      </c>
      <c r="C1153" s="23">
        <v>11</v>
      </c>
      <c r="D1153" s="24">
        <v>45968</v>
      </c>
      <c r="E1153" s="23" t="s">
        <v>8364</v>
      </c>
      <c r="F1153" s="23" t="s">
        <v>40</v>
      </c>
      <c r="G1153" s="23" t="s">
        <v>31</v>
      </c>
      <c r="H1153" s="23" t="s">
        <v>8364</v>
      </c>
      <c r="I1153" s="23">
        <v>72</v>
      </c>
      <c r="J1153" s="23">
        <v>2</v>
      </c>
      <c r="K1153" s="23">
        <v>4</v>
      </c>
      <c r="L1153" s="23" t="s">
        <v>75</v>
      </c>
      <c r="M1153" s="25">
        <v>13.5</v>
      </c>
      <c r="N1153">
        <f t="shared" si="17"/>
        <v>1</v>
      </c>
    </row>
    <row r="1154" spans="1:14" x14ac:dyDescent="0.35">
      <c r="A1154" s="6" t="s">
        <v>1224</v>
      </c>
      <c r="B1154" s="19" t="s">
        <v>57</v>
      </c>
      <c r="C1154" s="19">
        <v>12</v>
      </c>
      <c r="D1154" s="20">
        <v>45993</v>
      </c>
      <c r="E1154" s="19" t="s">
        <v>8364</v>
      </c>
      <c r="F1154" s="19" t="s">
        <v>14</v>
      </c>
      <c r="G1154" s="19" t="s">
        <v>21</v>
      </c>
      <c r="H1154" s="19" t="s">
        <v>28</v>
      </c>
      <c r="I1154" s="19">
        <v>24</v>
      </c>
      <c r="J1154" s="19">
        <v>0</v>
      </c>
      <c r="K1154" s="19">
        <v>4</v>
      </c>
      <c r="L1154" s="19" t="s">
        <v>75</v>
      </c>
      <c r="M1154" s="21">
        <v>10.8</v>
      </c>
      <c r="N1154">
        <f t="shared" si="17"/>
        <v>1</v>
      </c>
    </row>
    <row r="1155" spans="1:14" x14ac:dyDescent="0.35">
      <c r="A1155" s="22" t="s">
        <v>1225</v>
      </c>
      <c r="B1155" s="23" t="s">
        <v>57</v>
      </c>
      <c r="C1155" s="23">
        <v>7</v>
      </c>
      <c r="D1155" s="24">
        <v>45869</v>
      </c>
      <c r="E1155" s="23" t="s">
        <v>68</v>
      </c>
      <c r="F1155" s="23" t="s">
        <v>14</v>
      </c>
      <c r="G1155" s="23" t="s">
        <v>27</v>
      </c>
      <c r="H1155" s="23" t="s">
        <v>28</v>
      </c>
      <c r="I1155" s="23">
        <v>24</v>
      </c>
      <c r="J1155" s="23">
        <v>0</v>
      </c>
      <c r="K1155" s="23">
        <v>5</v>
      </c>
      <c r="L1155" s="23" t="s">
        <v>8363</v>
      </c>
      <c r="M1155" s="25">
        <v>8.5</v>
      </c>
      <c r="N1155">
        <f t="shared" ref="N1155:N1218" si="18">IF(M1155 &lt;= I1155, 1, 0)</f>
        <v>1</v>
      </c>
    </row>
    <row r="1156" spans="1:14" x14ac:dyDescent="0.35">
      <c r="A1156" s="6" t="s">
        <v>1226</v>
      </c>
      <c r="B1156" s="19" t="s">
        <v>39</v>
      </c>
      <c r="C1156" s="19">
        <v>1</v>
      </c>
      <c r="D1156" s="20">
        <v>45679</v>
      </c>
      <c r="E1156" s="19" t="s">
        <v>25</v>
      </c>
      <c r="F1156" s="19" t="s">
        <v>40</v>
      </c>
      <c r="G1156" s="19" t="s">
        <v>31</v>
      </c>
      <c r="H1156" s="19" t="s">
        <v>8364</v>
      </c>
      <c r="I1156" s="19">
        <v>72</v>
      </c>
      <c r="J1156" s="19">
        <v>0</v>
      </c>
      <c r="K1156" s="19">
        <v>5</v>
      </c>
      <c r="L1156" s="19" t="s">
        <v>75</v>
      </c>
      <c r="M1156" s="21">
        <v>7</v>
      </c>
      <c r="N1156">
        <f t="shared" si="18"/>
        <v>1</v>
      </c>
    </row>
    <row r="1157" spans="1:14" x14ac:dyDescent="0.35">
      <c r="A1157" s="22" t="s">
        <v>1227</v>
      </c>
      <c r="B1157" s="23" t="s">
        <v>89</v>
      </c>
      <c r="C1157" s="23">
        <v>11</v>
      </c>
      <c r="D1157" s="24">
        <v>45970</v>
      </c>
      <c r="E1157" s="23" t="s">
        <v>25</v>
      </c>
      <c r="F1157" s="23" t="s">
        <v>40</v>
      </c>
      <c r="G1157" s="23" t="s">
        <v>8364</v>
      </c>
      <c r="H1157" s="23" t="s">
        <v>28</v>
      </c>
      <c r="I1157" s="23">
        <v>48</v>
      </c>
      <c r="J1157" s="23">
        <v>2</v>
      </c>
      <c r="K1157" s="23">
        <v>2</v>
      </c>
      <c r="L1157" s="23" t="s">
        <v>38</v>
      </c>
      <c r="M1157" s="25"/>
      <c r="N1157">
        <f t="shared" si="18"/>
        <v>1</v>
      </c>
    </row>
    <row r="1158" spans="1:14" x14ac:dyDescent="0.35">
      <c r="A1158" s="6" t="s">
        <v>1228</v>
      </c>
      <c r="B1158" s="19" t="s">
        <v>87</v>
      </c>
      <c r="C1158" s="19">
        <v>12</v>
      </c>
      <c r="D1158" s="20">
        <v>46011</v>
      </c>
      <c r="E1158" s="19" t="s">
        <v>13</v>
      </c>
      <c r="F1158" s="19" t="s">
        <v>59</v>
      </c>
      <c r="G1158" s="19" t="s">
        <v>27</v>
      </c>
      <c r="H1158" s="19" t="s">
        <v>8364</v>
      </c>
      <c r="I1158" s="19">
        <v>4</v>
      </c>
      <c r="J1158" s="19">
        <v>0</v>
      </c>
      <c r="K1158" s="19">
        <v>2</v>
      </c>
      <c r="L1158" s="19" t="s">
        <v>55</v>
      </c>
      <c r="M1158" s="21"/>
      <c r="N1158">
        <f t="shared" si="18"/>
        <v>1</v>
      </c>
    </row>
    <row r="1159" spans="1:14" x14ac:dyDescent="0.35">
      <c r="A1159" s="22" t="s">
        <v>1229</v>
      </c>
      <c r="B1159" s="23" t="s">
        <v>89</v>
      </c>
      <c r="C1159" s="23">
        <v>10</v>
      </c>
      <c r="D1159" s="24">
        <v>45935</v>
      </c>
      <c r="E1159" s="23" t="s">
        <v>13</v>
      </c>
      <c r="F1159" s="23" t="s">
        <v>37</v>
      </c>
      <c r="G1159" s="23" t="s">
        <v>31</v>
      </c>
      <c r="H1159" s="23" t="s">
        <v>28</v>
      </c>
      <c r="I1159" s="23">
        <v>4</v>
      </c>
      <c r="J1159" s="23">
        <v>0</v>
      </c>
      <c r="K1159" s="23">
        <v>4</v>
      </c>
      <c r="L1159" s="23" t="s">
        <v>8363</v>
      </c>
      <c r="M1159" s="25">
        <v>7.8</v>
      </c>
      <c r="N1159">
        <f t="shared" si="18"/>
        <v>0</v>
      </c>
    </row>
    <row r="1160" spans="1:14" x14ac:dyDescent="0.35">
      <c r="A1160" s="6" t="s">
        <v>1230</v>
      </c>
      <c r="B1160" s="19" t="s">
        <v>130</v>
      </c>
      <c r="C1160" s="19"/>
      <c r="D1160" s="20"/>
      <c r="E1160" s="19" t="s">
        <v>68</v>
      </c>
      <c r="F1160" s="19" t="s">
        <v>14</v>
      </c>
      <c r="G1160" s="19" t="s">
        <v>15</v>
      </c>
      <c r="H1160" s="19" t="s">
        <v>22</v>
      </c>
      <c r="I1160" s="19">
        <v>24</v>
      </c>
      <c r="J1160" s="19">
        <v>1</v>
      </c>
      <c r="K1160" s="19">
        <v>4</v>
      </c>
      <c r="L1160" s="19" t="s">
        <v>62</v>
      </c>
      <c r="M1160" s="21">
        <v>9.1</v>
      </c>
      <c r="N1160">
        <f t="shared" si="18"/>
        <v>1</v>
      </c>
    </row>
    <row r="1161" spans="1:14" x14ac:dyDescent="0.35">
      <c r="A1161" s="22" t="s">
        <v>1231</v>
      </c>
      <c r="B1161" s="23" t="s">
        <v>47</v>
      </c>
      <c r="C1161" s="23">
        <v>3</v>
      </c>
      <c r="D1161" s="24">
        <v>45732</v>
      </c>
      <c r="E1161" s="23" t="s">
        <v>13</v>
      </c>
      <c r="F1161" s="23" t="s">
        <v>59</v>
      </c>
      <c r="G1161" s="23" t="s">
        <v>31</v>
      </c>
      <c r="H1161" s="23" t="s">
        <v>8364</v>
      </c>
      <c r="I1161" s="23">
        <v>72</v>
      </c>
      <c r="J1161" s="23">
        <v>0</v>
      </c>
      <c r="K1161" s="23">
        <v>5</v>
      </c>
      <c r="L1161" s="23" t="s">
        <v>55</v>
      </c>
      <c r="M1161" s="25">
        <v>1.2</v>
      </c>
      <c r="N1161">
        <f t="shared" si="18"/>
        <v>1</v>
      </c>
    </row>
    <row r="1162" spans="1:14" x14ac:dyDescent="0.35">
      <c r="A1162" s="6" t="s">
        <v>1232</v>
      </c>
      <c r="B1162" s="19" t="s">
        <v>158</v>
      </c>
      <c r="C1162" s="19"/>
      <c r="D1162" s="20"/>
      <c r="E1162" s="19" t="s">
        <v>13</v>
      </c>
      <c r="F1162" s="19" t="s">
        <v>59</v>
      </c>
      <c r="G1162" s="19" t="s">
        <v>27</v>
      </c>
      <c r="H1162" s="19" t="s">
        <v>22</v>
      </c>
      <c r="I1162" s="19">
        <v>72</v>
      </c>
      <c r="J1162" s="19">
        <v>0</v>
      </c>
      <c r="K1162" s="19">
        <v>2</v>
      </c>
      <c r="L1162" s="19" t="s">
        <v>55</v>
      </c>
      <c r="M1162" s="21">
        <v>7</v>
      </c>
      <c r="N1162">
        <f t="shared" si="18"/>
        <v>1</v>
      </c>
    </row>
    <row r="1163" spans="1:14" x14ac:dyDescent="0.35">
      <c r="A1163" s="22" t="s">
        <v>1233</v>
      </c>
      <c r="B1163" s="23" t="s">
        <v>139</v>
      </c>
      <c r="C1163" s="23">
        <v>12</v>
      </c>
      <c r="D1163" s="24">
        <v>46001</v>
      </c>
      <c r="E1163" s="23" t="s">
        <v>25</v>
      </c>
      <c r="F1163" s="23" t="s">
        <v>26</v>
      </c>
      <c r="G1163" s="23" t="s">
        <v>15</v>
      </c>
      <c r="H1163" s="23" t="s">
        <v>8364</v>
      </c>
      <c r="I1163" s="23">
        <v>72</v>
      </c>
      <c r="J1163" s="23">
        <v>0</v>
      </c>
      <c r="K1163" s="23">
        <v>4</v>
      </c>
      <c r="L1163" s="23" t="s">
        <v>8363</v>
      </c>
      <c r="M1163" s="25">
        <v>21.8</v>
      </c>
      <c r="N1163">
        <f t="shared" si="18"/>
        <v>1</v>
      </c>
    </row>
    <row r="1164" spans="1:14" x14ac:dyDescent="0.35">
      <c r="A1164" s="6" t="s">
        <v>1234</v>
      </c>
      <c r="B1164" s="19" t="s">
        <v>89</v>
      </c>
      <c r="C1164" s="19">
        <v>7</v>
      </c>
      <c r="D1164" s="20">
        <v>45842</v>
      </c>
      <c r="E1164" s="19" t="s">
        <v>36</v>
      </c>
      <c r="F1164" s="19" t="s">
        <v>59</v>
      </c>
      <c r="G1164" s="19" t="s">
        <v>27</v>
      </c>
      <c r="H1164" s="19" t="s">
        <v>22</v>
      </c>
      <c r="I1164" s="19">
        <v>24</v>
      </c>
      <c r="J1164" s="19">
        <v>0</v>
      </c>
      <c r="K1164" s="19">
        <v>2</v>
      </c>
      <c r="L1164" s="19" t="s">
        <v>44</v>
      </c>
      <c r="M1164" s="21">
        <v>7.2</v>
      </c>
      <c r="N1164">
        <f t="shared" si="18"/>
        <v>1</v>
      </c>
    </row>
    <row r="1165" spans="1:14" x14ac:dyDescent="0.35">
      <c r="A1165" s="22" t="s">
        <v>1235</v>
      </c>
      <c r="B1165" s="23" t="s">
        <v>69</v>
      </c>
      <c r="C1165" s="23">
        <v>1</v>
      </c>
      <c r="D1165" s="24">
        <v>45665</v>
      </c>
      <c r="E1165" s="23" t="s">
        <v>36</v>
      </c>
      <c r="F1165" s="23" t="s">
        <v>14</v>
      </c>
      <c r="G1165" s="23" t="s">
        <v>27</v>
      </c>
      <c r="H1165" s="23" t="s">
        <v>22</v>
      </c>
      <c r="I1165" s="23">
        <v>24</v>
      </c>
      <c r="J1165" s="23">
        <v>1</v>
      </c>
      <c r="K1165" s="23">
        <v>4</v>
      </c>
      <c r="L1165" s="23" t="s">
        <v>33</v>
      </c>
      <c r="M1165" s="25">
        <v>28.4</v>
      </c>
      <c r="N1165">
        <f t="shared" si="18"/>
        <v>0</v>
      </c>
    </row>
    <row r="1166" spans="1:14" x14ac:dyDescent="0.35">
      <c r="A1166" s="6" t="s">
        <v>1236</v>
      </c>
      <c r="B1166" s="19" t="s">
        <v>45</v>
      </c>
      <c r="C1166" s="19">
        <v>6</v>
      </c>
      <c r="D1166" s="20">
        <v>45810</v>
      </c>
      <c r="E1166" s="19" t="s">
        <v>25</v>
      </c>
      <c r="F1166" s="19" t="s">
        <v>8364</v>
      </c>
      <c r="G1166" s="19" t="s">
        <v>31</v>
      </c>
      <c r="H1166" s="19" t="s">
        <v>22</v>
      </c>
      <c r="I1166" s="19">
        <v>8</v>
      </c>
      <c r="J1166" s="19">
        <v>0</v>
      </c>
      <c r="K1166" s="19">
        <v>5</v>
      </c>
      <c r="L1166" s="19" t="s">
        <v>33</v>
      </c>
      <c r="M1166" s="21">
        <v>2.7</v>
      </c>
      <c r="N1166">
        <f t="shared" si="18"/>
        <v>1</v>
      </c>
    </row>
    <row r="1167" spans="1:14" x14ac:dyDescent="0.35">
      <c r="A1167" s="22" t="s">
        <v>1237</v>
      </c>
      <c r="B1167" s="23" t="s">
        <v>72</v>
      </c>
      <c r="C1167" s="23">
        <v>8</v>
      </c>
      <c r="D1167" s="24">
        <v>45898</v>
      </c>
      <c r="E1167" s="23" t="s">
        <v>25</v>
      </c>
      <c r="F1167" s="23" t="s">
        <v>37</v>
      </c>
      <c r="G1167" s="23" t="s">
        <v>8364</v>
      </c>
      <c r="H1167" s="23" t="s">
        <v>32</v>
      </c>
      <c r="I1167" s="23">
        <v>4</v>
      </c>
      <c r="J1167" s="23">
        <v>0</v>
      </c>
      <c r="K1167" s="23">
        <v>4</v>
      </c>
      <c r="L1167" s="23" t="s">
        <v>17</v>
      </c>
      <c r="M1167" s="25">
        <v>9.6</v>
      </c>
      <c r="N1167">
        <f t="shared" si="18"/>
        <v>0</v>
      </c>
    </row>
    <row r="1168" spans="1:14" x14ac:dyDescent="0.35">
      <c r="A1168" s="6" t="s">
        <v>1238</v>
      </c>
      <c r="B1168" s="19" t="s">
        <v>146</v>
      </c>
      <c r="C1168" s="19"/>
      <c r="D1168" s="20"/>
      <c r="E1168" s="19" t="s">
        <v>36</v>
      </c>
      <c r="F1168" s="19" t="s">
        <v>8364</v>
      </c>
      <c r="G1168" s="19" t="s">
        <v>31</v>
      </c>
      <c r="H1168" s="19" t="s">
        <v>32</v>
      </c>
      <c r="I1168" s="19">
        <v>4</v>
      </c>
      <c r="J1168" s="19">
        <v>0</v>
      </c>
      <c r="K1168" s="19">
        <v>5</v>
      </c>
      <c r="L1168" s="19" t="s">
        <v>33</v>
      </c>
      <c r="M1168" s="21">
        <v>5.7</v>
      </c>
      <c r="N1168">
        <f t="shared" si="18"/>
        <v>0</v>
      </c>
    </row>
    <row r="1169" spans="1:14" x14ac:dyDescent="0.35">
      <c r="A1169" s="22" t="s">
        <v>1239</v>
      </c>
      <c r="B1169" s="23" t="s">
        <v>85</v>
      </c>
      <c r="C1169" s="23">
        <v>1</v>
      </c>
      <c r="D1169" s="24">
        <v>45681</v>
      </c>
      <c r="E1169" s="23" t="s">
        <v>20</v>
      </c>
      <c r="F1169" s="23" t="s">
        <v>14</v>
      </c>
      <c r="G1169" s="23" t="s">
        <v>31</v>
      </c>
      <c r="H1169" s="23" t="s">
        <v>16</v>
      </c>
      <c r="I1169" s="23">
        <v>48</v>
      </c>
      <c r="J1169" s="23">
        <v>0</v>
      </c>
      <c r="K1169" s="23">
        <v>3</v>
      </c>
      <c r="L1169" s="23" t="s">
        <v>33</v>
      </c>
      <c r="M1169" s="25">
        <v>5.3</v>
      </c>
      <c r="N1169">
        <f t="shared" si="18"/>
        <v>1</v>
      </c>
    </row>
    <row r="1170" spans="1:14" x14ac:dyDescent="0.35">
      <c r="A1170" s="6" t="s">
        <v>1240</v>
      </c>
      <c r="B1170" s="19" t="s">
        <v>104</v>
      </c>
      <c r="C1170" s="19">
        <v>5</v>
      </c>
      <c r="D1170" s="20">
        <v>45787</v>
      </c>
      <c r="E1170" s="19" t="s">
        <v>25</v>
      </c>
      <c r="F1170" s="19" t="s">
        <v>26</v>
      </c>
      <c r="G1170" s="19" t="s">
        <v>31</v>
      </c>
      <c r="H1170" s="19" t="s">
        <v>22</v>
      </c>
      <c r="I1170" s="19">
        <v>48</v>
      </c>
      <c r="J1170" s="19">
        <v>0</v>
      </c>
      <c r="K1170" s="19">
        <v>5</v>
      </c>
      <c r="L1170" s="19" t="s">
        <v>44</v>
      </c>
      <c r="M1170" s="21">
        <v>6.1</v>
      </c>
      <c r="N1170">
        <f t="shared" si="18"/>
        <v>1</v>
      </c>
    </row>
    <row r="1171" spans="1:14" x14ac:dyDescent="0.35">
      <c r="A1171" s="22" t="s">
        <v>1241</v>
      </c>
      <c r="B1171" s="23" t="s">
        <v>85</v>
      </c>
      <c r="C1171" s="23">
        <v>11</v>
      </c>
      <c r="D1171" s="24">
        <v>45965</v>
      </c>
      <c r="E1171" s="23" t="s">
        <v>36</v>
      </c>
      <c r="F1171" s="23" t="s">
        <v>14</v>
      </c>
      <c r="G1171" s="23" t="s">
        <v>27</v>
      </c>
      <c r="H1171" s="23" t="s">
        <v>8364</v>
      </c>
      <c r="I1171" s="23">
        <v>72</v>
      </c>
      <c r="J1171" s="23">
        <v>3</v>
      </c>
      <c r="K1171" s="23">
        <v>3</v>
      </c>
      <c r="L1171" s="23" t="s">
        <v>75</v>
      </c>
      <c r="M1171" s="25">
        <v>9.3000000000000007</v>
      </c>
      <c r="N1171">
        <f t="shared" si="18"/>
        <v>1</v>
      </c>
    </row>
    <row r="1172" spans="1:14" x14ac:dyDescent="0.35">
      <c r="A1172" s="6" t="s">
        <v>1242</v>
      </c>
      <c r="B1172" s="19" t="s">
        <v>89</v>
      </c>
      <c r="C1172" s="19">
        <v>6</v>
      </c>
      <c r="D1172" s="20">
        <v>45831</v>
      </c>
      <c r="E1172" s="19" t="s">
        <v>68</v>
      </c>
      <c r="F1172" s="19" t="s">
        <v>14</v>
      </c>
      <c r="G1172" s="19" t="s">
        <v>31</v>
      </c>
      <c r="H1172" s="19" t="s">
        <v>28</v>
      </c>
      <c r="I1172" s="19">
        <v>4</v>
      </c>
      <c r="J1172" s="19">
        <v>0</v>
      </c>
      <c r="K1172" s="19">
        <v>2</v>
      </c>
      <c r="L1172" s="19" t="s">
        <v>62</v>
      </c>
      <c r="M1172" s="21">
        <v>1</v>
      </c>
      <c r="N1172">
        <f t="shared" si="18"/>
        <v>1</v>
      </c>
    </row>
    <row r="1173" spans="1:14" x14ac:dyDescent="0.35">
      <c r="A1173" s="22" t="s">
        <v>1243</v>
      </c>
      <c r="B1173" s="23" t="s">
        <v>97</v>
      </c>
      <c r="C1173" s="23">
        <v>6</v>
      </c>
      <c r="D1173" s="24">
        <v>45816</v>
      </c>
      <c r="E1173" s="23" t="s">
        <v>20</v>
      </c>
      <c r="F1173" s="23" t="s">
        <v>43</v>
      </c>
      <c r="G1173" s="23" t="s">
        <v>21</v>
      </c>
      <c r="H1173" s="23" t="s">
        <v>22</v>
      </c>
      <c r="I1173" s="23">
        <v>72</v>
      </c>
      <c r="J1173" s="23">
        <v>1</v>
      </c>
      <c r="K1173" s="23">
        <v>5</v>
      </c>
      <c r="L1173" s="23" t="s">
        <v>62</v>
      </c>
      <c r="M1173" s="25"/>
      <c r="N1173">
        <f t="shared" si="18"/>
        <v>1</v>
      </c>
    </row>
    <row r="1174" spans="1:14" x14ac:dyDescent="0.35">
      <c r="A1174" s="6" t="s">
        <v>1244</v>
      </c>
      <c r="B1174" s="19" t="s">
        <v>69</v>
      </c>
      <c r="C1174" s="19">
        <v>7</v>
      </c>
      <c r="D1174" s="20">
        <v>45842</v>
      </c>
      <c r="E1174" s="19" t="s">
        <v>25</v>
      </c>
      <c r="F1174" s="19" t="s">
        <v>14</v>
      </c>
      <c r="G1174" s="19" t="s">
        <v>27</v>
      </c>
      <c r="H1174" s="19" t="s">
        <v>22</v>
      </c>
      <c r="I1174" s="19">
        <v>4</v>
      </c>
      <c r="J1174" s="19">
        <v>0</v>
      </c>
      <c r="K1174" s="19">
        <v>4</v>
      </c>
      <c r="L1174" s="19" t="s">
        <v>33</v>
      </c>
      <c r="M1174" s="21">
        <v>8.5</v>
      </c>
      <c r="N1174">
        <f t="shared" si="18"/>
        <v>0</v>
      </c>
    </row>
    <row r="1175" spans="1:14" x14ac:dyDescent="0.35">
      <c r="A1175" s="22" t="s">
        <v>1245</v>
      </c>
      <c r="B1175" s="23" t="s">
        <v>39</v>
      </c>
      <c r="C1175" s="23">
        <v>6</v>
      </c>
      <c r="D1175" s="24">
        <v>45836</v>
      </c>
      <c r="E1175" s="23" t="s">
        <v>13</v>
      </c>
      <c r="F1175" s="23" t="s">
        <v>37</v>
      </c>
      <c r="G1175" s="23" t="s">
        <v>27</v>
      </c>
      <c r="H1175" s="23" t="s">
        <v>8364</v>
      </c>
      <c r="I1175" s="23">
        <v>48</v>
      </c>
      <c r="J1175" s="23">
        <v>0</v>
      </c>
      <c r="K1175" s="23">
        <v>4</v>
      </c>
      <c r="L1175" s="23" t="s">
        <v>44</v>
      </c>
      <c r="M1175" s="25">
        <v>16.2</v>
      </c>
      <c r="N1175">
        <f t="shared" si="18"/>
        <v>1</v>
      </c>
    </row>
    <row r="1176" spans="1:14" x14ac:dyDescent="0.35">
      <c r="A1176" s="6" t="s">
        <v>1246</v>
      </c>
      <c r="B1176" s="19" t="s">
        <v>65</v>
      </c>
      <c r="C1176" s="19">
        <v>3</v>
      </c>
      <c r="D1176" s="20">
        <v>45724</v>
      </c>
      <c r="E1176" s="19" t="s">
        <v>20</v>
      </c>
      <c r="F1176" s="19" t="s">
        <v>37</v>
      </c>
      <c r="G1176" s="19" t="s">
        <v>15</v>
      </c>
      <c r="H1176" s="19" t="s">
        <v>8364</v>
      </c>
      <c r="I1176" s="19">
        <v>24</v>
      </c>
      <c r="J1176" s="19">
        <v>0</v>
      </c>
      <c r="K1176" s="19">
        <v>4</v>
      </c>
      <c r="L1176" s="19" t="s">
        <v>44</v>
      </c>
      <c r="M1176" s="21">
        <v>9.6999999999999993</v>
      </c>
      <c r="N1176">
        <f t="shared" si="18"/>
        <v>1</v>
      </c>
    </row>
    <row r="1177" spans="1:14" x14ac:dyDescent="0.35">
      <c r="A1177" s="22" t="s">
        <v>1247</v>
      </c>
      <c r="B1177" s="23" t="s">
        <v>97</v>
      </c>
      <c r="C1177" s="23">
        <v>1</v>
      </c>
      <c r="D1177" s="24">
        <v>45670</v>
      </c>
      <c r="E1177" s="23" t="s">
        <v>8364</v>
      </c>
      <c r="F1177" s="23" t="s">
        <v>59</v>
      </c>
      <c r="G1177" s="23" t="s">
        <v>21</v>
      </c>
      <c r="H1177" s="23" t="s">
        <v>16</v>
      </c>
      <c r="I1177" s="23">
        <v>72</v>
      </c>
      <c r="J1177" s="23">
        <v>0</v>
      </c>
      <c r="K1177" s="23">
        <v>2</v>
      </c>
      <c r="L1177" s="23" t="s">
        <v>55</v>
      </c>
      <c r="M1177" s="25">
        <v>19.8</v>
      </c>
      <c r="N1177">
        <f t="shared" si="18"/>
        <v>1</v>
      </c>
    </row>
    <row r="1178" spans="1:14" x14ac:dyDescent="0.35">
      <c r="A1178" s="6" t="s">
        <v>1248</v>
      </c>
      <c r="B1178" s="19" t="s">
        <v>29</v>
      </c>
      <c r="C1178" s="19">
        <v>7</v>
      </c>
      <c r="D1178" s="20">
        <v>45865</v>
      </c>
      <c r="E1178" s="19" t="s">
        <v>13</v>
      </c>
      <c r="F1178" s="19" t="s">
        <v>43</v>
      </c>
      <c r="G1178" s="19" t="s">
        <v>31</v>
      </c>
      <c r="H1178" s="19" t="s">
        <v>22</v>
      </c>
      <c r="I1178" s="19">
        <v>24</v>
      </c>
      <c r="J1178" s="19">
        <v>1</v>
      </c>
      <c r="K1178" s="19">
        <v>3</v>
      </c>
      <c r="L1178" s="19" t="s">
        <v>44</v>
      </c>
      <c r="M1178" s="21">
        <v>4</v>
      </c>
      <c r="N1178">
        <f t="shared" si="18"/>
        <v>1</v>
      </c>
    </row>
    <row r="1179" spans="1:14" x14ac:dyDescent="0.35">
      <c r="A1179" s="22" t="s">
        <v>1249</v>
      </c>
      <c r="B1179" s="23" t="s">
        <v>89</v>
      </c>
      <c r="C1179" s="23"/>
      <c r="D1179" s="24"/>
      <c r="E1179" s="23" t="s">
        <v>68</v>
      </c>
      <c r="F1179" s="23" t="s">
        <v>8364</v>
      </c>
      <c r="G1179" s="23" t="s">
        <v>31</v>
      </c>
      <c r="H1179" s="23" t="s">
        <v>16</v>
      </c>
      <c r="I1179" s="23">
        <v>4</v>
      </c>
      <c r="J1179" s="23">
        <v>0</v>
      </c>
      <c r="K1179" s="23">
        <v>5</v>
      </c>
      <c r="L1179" s="23" t="s">
        <v>33</v>
      </c>
      <c r="M1179" s="25">
        <v>7.5</v>
      </c>
      <c r="N1179">
        <f t="shared" si="18"/>
        <v>0</v>
      </c>
    </row>
    <row r="1180" spans="1:14" x14ac:dyDescent="0.35">
      <c r="A1180" s="6" t="s">
        <v>1250</v>
      </c>
      <c r="B1180" s="19" t="s">
        <v>85</v>
      </c>
      <c r="C1180" s="19">
        <v>2</v>
      </c>
      <c r="D1180" s="20">
        <v>45714</v>
      </c>
      <c r="E1180" s="19" t="s">
        <v>8364</v>
      </c>
      <c r="F1180" s="19" t="s">
        <v>40</v>
      </c>
      <c r="G1180" s="19" t="s">
        <v>21</v>
      </c>
      <c r="H1180" s="19" t="s">
        <v>22</v>
      </c>
      <c r="I1180" s="19">
        <v>4</v>
      </c>
      <c r="J1180" s="19">
        <v>0</v>
      </c>
      <c r="K1180" s="19">
        <v>4</v>
      </c>
      <c r="L1180" s="19" t="s">
        <v>17</v>
      </c>
      <c r="M1180" s="21">
        <v>18.100000000000001</v>
      </c>
      <c r="N1180">
        <f t="shared" si="18"/>
        <v>0</v>
      </c>
    </row>
    <row r="1181" spans="1:14" x14ac:dyDescent="0.35">
      <c r="A1181" s="22" t="s">
        <v>1251</v>
      </c>
      <c r="B1181" s="23" t="s">
        <v>57</v>
      </c>
      <c r="C1181" s="23">
        <v>9</v>
      </c>
      <c r="D1181" s="24">
        <v>45916</v>
      </c>
      <c r="E1181" s="23" t="s">
        <v>36</v>
      </c>
      <c r="F1181" s="23" t="s">
        <v>14</v>
      </c>
      <c r="G1181" s="23" t="s">
        <v>21</v>
      </c>
      <c r="H1181" s="23" t="s">
        <v>8364</v>
      </c>
      <c r="I1181" s="23">
        <v>48</v>
      </c>
      <c r="J1181" s="23">
        <v>0</v>
      </c>
      <c r="K1181" s="23"/>
      <c r="L1181" s="23" t="s">
        <v>8363</v>
      </c>
      <c r="M1181" s="25">
        <v>1.6</v>
      </c>
      <c r="N1181">
        <f t="shared" si="18"/>
        <v>1</v>
      </c>
    </row>
    <row r="1182" spans="1:14" x14ac:dyDescent="0.35">
      <c r="A1182" s="6" t="s">
        <v>1252</v>
      </c>
      <c r="B1182" s="19" t="s">
        <v>99</v>
      </c>
      <c r="C1182" s="19">
        <v>9</v>
      </c>
      <c r="D1182" s="20">
        <v>45911</v>
      </c>
      <c r="E1182" s="19" t="s">
        <v>68</v>
      </c>
      <c r="F1182" s="19" t="s">
        <v>37</v>
      </c>
      <c r="G1182" s="19" t="s">
        <v>15</v>
      </c>
      <c r="H1182" s="19" t="s">
        <v>8364</v>
      </c>
      <c r="I1182" s="19">
        <v>24</v>
      </c>
      <c r="J1182" s="19">
        <v>0</v>
      </c>
      <c r="K1182" s="19">
        <v>2</v>
      </c>
      <c r="L1182" s="19" t="s">
        <v>62</v>
      </c>
      <c r="M1182" s="21">
        <v>9.9</v>
      </c>
      <c r="N1182">
        <f t="shared" si="18"/>
        <v>1</v>
      </c>
    </row>
    <row r="1183" spans="1:14" x14ac:dyDescent="0.35">
      <c r="A1183" s="22" t="s">
        <v>1253</v>
      </c>
      <c r="B1183" s="23" t="s">
        <v>65</v>
      </c>
      <c r="C1183" s="23">
        <v>3</v>
      </c>
      <c r="D1183" s="24">
        <v>45727</v>
      </c>
      <c r="E1183" s="23" t="s">
        <v>20</v>
      </c>
      <c r="F1183" s="23" t="s">
        <v>8364</v>
      </c>
      <c r="G1183" s="23" t="s">
        <v>31</v>
      </c>
      <c r="H1183" s="23" t="s">
        <v>28</v>
      </c>
      <c r="I1183" s="23">
        <v>8</v>
      </c>
      <c r="J1183" s="23">
        <v>0</v>
      </c>
      <c r="K1183" s="23">
        <v>4</v>
      </c>
      <c r="L1183" s="23" t="s">
        <v>44</v>
      </c>
      <c r="M1183" s="25">
        <v>8.4</v>
      </c>
      <c r="N1183">
        <f t="shared" si="18"/>
        <v>0</v>
      </c>
    </row>
    <row r="1184" spans="1:14" x14ac:dyDescent="0.35">
      <c r="A1184" s="6" t="s">
        <v>1254</v>
      </c>
      <c r="B1184" s="19" t="s">
        <v>81</v>
      </c>
      <c r="C1184" s="19">
        <v>6</v>
      </c>
      <c r="D1184" s="20">
        <v>45837</v>
      </c>
      <c r="E1184" s="19" t="s">
        <v>13</v>
      </c>
      <c r="F1184" s="19" t="s">
        <v>14</v>
      </c>
      <c r="G1184" s="19" t="s">
        <v>27</v>
      </c>
      <c r="H1184" s="19" t="s">
        <v>32</v>
      </c>
      <c r="I1184" s="19">
        <v>72</v>
      </c>
      <c r="J1184" s="19">
        <v>0</v>
      </c>
      <c r="K1184" s="19">
        <v>5</v>
      </c>
      <c r="L1184" s="19" t="s">
        <v>38</v>
      </c>
      <c r="M1184" s="21">
        <v>18.3</v>
      </c>
      <c r="N1184">
        <f t="shared" si="18"/>
        <v>1</v>
      </c>
    </row>
    <row r="1185" spans="1:14" x14ac:dyDescent="0.35">
      <c r="A1185" s="22" t="s">
        <v>1255</v>
      </c>
      <c r="B1185" s="23" t="s">
        <v>181</v>
      </c>
      <c r="C1185" s="23">
        <v>2</v>
      </c>
      <c r="D1185" s="24">
        <v>45706</v>
      </c>
      <c r="E1185" s="23" t="s">
        <v>13</v>
      </c>
      <c r="F1185" s="23" t="s">
        <v>26</v>
      </c>
      <c r="G1185" s="23" t="s">
        <v>31</v>
      </c>
      <c r="H1185" s="23" t="s">
        <v>16</v>
      </c>
      <c r="I1185" s="23">
        <v>72</v>
      </c>
      <c r="J1185" s="23">
        <v>0</v>
      </c>
      <c r="K1185" s="23">
        <v>3</v>
      </c>
      <c r="L1185" s="23" t="s">
        <v>55</v>
      </c>
      <c r="M1185" s="25"/>
      <c r="N1185">
        <f t="shared" si="18"/>
        <v>1</v>
      </c>
    </row>
    <row r="1186" spans="1:14" x14ac:dyDescent="0.35">
      <c r="A1186" s="6" t="s">
        <v>1256</v>
      </c>
      <c r="B1186" s="19" t="s">
        <v>23</v>
      </c>
      <c r="C1186" s="19">
        <v>1</v>
      </c>
      <c r="D1186" s="20">
        <v>45684</v>
      </c>
      <c r="E1186" s="19" t="s">
        <v>20</v>
      </c>
      <c r="F1186" s="19" t="s">
        <v>43</v>
      </c>
      <c r="G1186" s="19" t="s">
        <v>27</v>
      </c>
      <c r="H1186" s="19" t="s">
        <v>22</v>
      </c>
      <c r="I1186" s="19">
        <v>48</v>
      </c>
      <c r="J1186" s="19">
        <v>0</v>
      </c>
      <c r="K1186" s="19">
        <v>1</v>
      </c>
      <c r="L1186" s="19" t="s">
        <v>8363</v>
      </c>
      <c r="M1186" s="21">
        <v>26.4</v>
      </c>
      <c r="N1186">
        <f t="shared" si="18"/>
        <v>1</v>
      </c>
    </row>
    <row r="1187" spans="1:14" x14ac:dyDescent="0.35">
      <c r="A1187" s="22" t="s">
        <v>1257</v>
      </c>
      <c r="B1187" s="23" t="s">
        <v>47</v>
      </c>
      <c r="C1187" s="23"/>
      <c r="D1187" s="24"/>
      <c r="E1187" s="23" t="s">
        <v>13</v>
      </c>
      <c r="F1187" s="23" t="s">
        <v>37</v>
      </c>
      <c r="G1187" s="23" t="s">
        <v>31</v>
      </c>
      <c r="H1187" s="23" t="s">
        <v>32</v>
      </c>
      <c r="I1187" s="23">
        <v>8</v>
      </c>
      <c r="J1187" s="23">
        <v>0</v>
      </c>
      <c r="K1187" s="23">
        <v>5</v>
      </c>
      <c r="L1187" s="23" t="s">
        <v>55</v>
      </c>
      <c r="M1187" s="25">
        <v>23.7</v>
      </c>
      <c r="N1187">
        <f t="shared" si="18"/>
        <v>0</v>
      </c>
    </row>
    <row r="1188" spans="1:14" x14ac:dyDescent="0.35">
      <c r="A1188" s="6" t="s">
        <v>1258</v>
      </c>
      <c r="B1188" s="19" t="s">
        <v>236</v>
      </c>
      <c r="C1188" s="19">
        <v>2</v>
      </c>
      <c r="D1188" s="20">
        <v>45695</v>
      </c>
      <c r="E1188" s="19" t="s">
        <v>20</v>
      </c>
      <c r="F1188" s="19" t="s">
        <v>14</v>
      </c>
      <c r="G1188" s="19" t="s">
        <v>27</v>
      </c>
      <c r="H1188" s="19" t="s">
        <v>28</v>
      </c>
      <c r="I1188" s="19">
        <v>8</v>
      </c>
      <c r="J1188" s="19">
        <v>1</v>
      </c>
      <c r="K1188" s="19">
        <v>2</v>
      </c>
      <c r="L1188" s="19" t="s">
        <v>17</v>
      </c>
      <c r="M1188" s="21">
        <v>9.6999999999999993</v>
      </c>
      <c r="N1188">
        <f t="shared" si="18"/>
        <v>0</v>
      </c>
    </row>
    <row r="1189" spans="1:14" x14ac:dyDescent="0.35">
      <c r="A1189" s="22" t="s">
        <v>1259</v>
      </c>
      <c r="B1189" s="23" t="s">
        <v>89</v>
      </c>
      <c r="C1189" s="23">
        <v>12</v>
      </c>
      <c r="D1189" s="24">
        <v>45995</v>
      </c>
      <c r="E1189" s="23" t="s">
        <v>68</v>
      </c>
      <c r="F1189" s="23" t="s">
        <v>14</v>
      </c>
      <c r="G1189" s="23" t="s">
        <v>31</v>
      </c>
      <c r="H1189" s="23" t="s">
        <v>16</v>
      </c>
      <c r="I1189" s="23">
        <v>48</v>
      </c>
      <c r="J1189" s="23">
        <v>0</v>
      </c>
      <c r="K1189" s="23"/>
      <c r="L1189" s="23" t="s">
        <v>75</v>
      </c>
      <c r="M1189" s="25">
        <v>8.6</v>
      </c>
      <c r="N1189">
        <f t="shared" si="18"/>
        <v>1</v>
      </c>
    </row>
    <row r="1190" spans="1:14" x14ac:dyDescent="0.35">
      <c r="A1190" s="6" t="s">
        <v>1260</v>
      </c>
      <c r="B1190" s="19" t="s">
        <v>139</v>
      </c>
      <c r="C1190" s="19">
        <v>6</v>
      </c>
      <c r="D1190" s="20">
        <v>45833</v>
      </c>
      <c r="E1190" s="19" t="s">
        <v>25</v>
      </c>
      <c r="F1190" s="19" t="s">
        <v>37</v>
      </c>
      <c r="G1190" s="19" t="s">
        <v>31</v>
      </c>
      <c r="H1190" s="19" t="s">
        <v>16</v>
      </c>
      <c r="I1190" s="19">
        <v>4</v>
      </c>
      <c r="J1190" s="19">
        <v>0</v>
      </c>
      <c r="K1190" s="19"/>
      <c r="L1190" s="19" t="s">
        <v>8363</v>
      </c>
      <c r="M1190" s="21">
        <v>1.1000000000000001</v>
      </c>
      <c r="N1190">
        <f t="shared" si="18"/>
        <v>1</v>
      </c>
    </row>
    <row r="1191" spans="1:14" x14ac:dyDescent="0.35">
      <c r="A1191" s="22" t="s">
        <v>1261</v>
      </c>
      <c r="B1191" s="23" t="s">
        <v>29</v>
      </c>
      <c r="C1191" s="23"/>
      <c r="D1191" s="24"/>
      <c r="E1191" s="23" t="s">
        <v>20</v>
      </c>
      <c r="F1191" s="23" t="s">
        <v>14</v>
      </c>
      <c r="G1191" s="23" t="s">
        <v>15</v>
      </c>
      <c r="H1191" s="23" t="s">
        <v>32</v>
      </c>
      <c r="I1191" s="23">
        <v>48</v>
      </c>
      <c r="J1191" s="23">
        <v>1</v>
      </c>
      <c r="K1191" s="23">
        <v>4</v>
      </c>
      <c r="L1191" s="23" t="s">
        <v>55</v>
      </c>
      <c r="M1191" s="25">
        <v>4.0999999999999996</v>
      </c>
      <c r="N1191">
        <f t="shared" si="18"/>
        <v>1</v>
      </c>
    </row>
    <row r="1192" spans="1:14" x14ac:dyDescent="0.35">
      <c r="A1192" s="6" t="s">
        <v>1262</v>
      </c>
      <c r="B1192" s="19" t="s">
        <v>99</v>
      </c>
      <c r="C1192" s="19">
        <v>3</v>
      </c>
      <c r="D1192" s="20">
        <v>45739</v>
      </c>
      <c r="E1192" s="19" t="s">
        <v>13</v>
      </c>
      <c r="F1192" s="19" t="s">
        <v>43</v>
      </c>
      <c r="G1192" s="19" t="s">
        <v>8364</v>
      </c>
      <c r="H1192" s="19" t="s">
        <v>8364</v>
      </c>
      <c r="I1192" s="19">
        <v>48</v>
      </c>
      <c r="J1192" s="19">
        <v>0</v>
      </c>
      <c r="K1192" s="19">
        <v>4</v>
      </c>
      <c r="L1192" s="19" t="s">
        <v>17</v>
      </c>
      <c r="M1192" s="21">
        <v>13</v>
      </c>
      <c r="N1192">
        <f t="shared" si="18"/>
        <v>1</v>
      </c>
    </row>
    <row r="1193" spans="1:14" x14ac:dyDescent="0.35">
      <c r="A1193" s="22" t="s">
        <v>1263</v>
      </c>
      <c r="B1193" s="23" t="s">
        <v>97</v>
      </c>
      <c r="C1193" s="23">
        <v>11</v>
      </c>
      <c r="D1193" s="24">
        <v>45981</v>
      </c>
      <c r="E1193" s="23" t="s">
        <v>8364</v>
      </c>
      <c r="F1193" s="23" t="s">
        <v>14</v>
      </c>
      <c r="G1193" s="23" t="s">
        <v>31</v>
      </c>
      <c r="H1193" s="23" t="s">
        <v>22</v>
      </c>
      <c r="I1193" s="23">
        <v>24</v>
      </c>
      <c r="J1193" s="23">
        <v>0</v>
      </c>
      <c r="K1193" s="23">
        <v>4</v>
      </c>
      <c r="L1193" s="23" t="s">
        <v>44</v>
      </c>
      <c r="M1193" s="25">
        <v>3.2</v>
      </c>
      <c r="N1193">
        <f t="shared" si="18"/>
        <v>1</v>
      </c>
    </row>
    <row r="1194" spans="1:14" x14ac:dyDescent="0.35">
      <c r="A1194" s="6" t="s">
        <v>1264</v>
      </c>
      <c r="B1194" s="19" t="s">
        <v>139</v>
      </c>
      <c r="C1194" s="19">
        <v>1</v>
      </c>
      <c r="D1194" s="20">
        <v>45685</v>
      </c>
      <c r="E1194" s="19" t="s">
        <v>20</v>
      </c>
      <c r="F1194" s="19" t="s">
        <v>26</v>
      </c>
      <c r="G1194" s="19" t="s">
        <v>31</v>
      </c>
      <c r="H1194" s="19" t="s">
        <v>8364</v>
      </c>
      <c r="I1194" s="19">
        <v>24</v>
      </c>
      <c r="J1194" s="19">
        <v>2</v>
      </c>
      <c r="K1194" s="19">
        <v>5</v>
      </c>
      <c r="L1194" s="19" t="s">
        <v>44</v>
      </c>
      <c r="M1194" s="21">
        <v>11.9</v>
      </c>
      <c r="N1194">
        <f t="shared" si="18"/>
        <v>1</v>
      </c>
    </row>
    <row r="1195" spans="1:14" x14ac:dyDescent="0.35">
      <c r="A1195" s="22" t="s">
        <v>1265</v>
      </c>
      <c r="B1195" s="23" t="s">
        <v>18</v>
      </c>
      <c r="C1195" s="23">
        <v>1</v>
      </c>
      <c r="D1195" s="24">
        <v>45674</v>
      </c>
      <c r="E1195" s="23" t="s">
        <v>25</v>
      </c>
      <c r="F1195" s="23" t="s">
        <v>14</v>
      </c>
      <c r="G1195" s="23" t="s">
        <v>31</v>
      </c>
      <c r="H1195" s="23" t="s">
        <v>32</v>
      </c>
      <c r="I1195" s="23">
        <v>48</v>
      </c>
      <c r="J1195" s="23"/>
      <c r="K1195" s="23">
        <v>4</v>
      </c>
      <c r="L1195" s="23" t="s">
        <v>75</v>
      </c>
      <c r="M1195" s="25">
        <v>16.899999999999999</v>
      </c>
      <c r="N1195">
        <f t="shared" si="18"/>
        <v>1</v>
      </c>
    </row>
    <row r="1196" spans="1:14" x14ac:dyDescent="0.35">
      <c r="A1196" s="6" t="s">
        <v>1266</v>
      </c>
      <c r="B1196" s="19" t="s">
        <v>41</v>
      </c>
      <c r="C1196" s="19">
        <v>1</v>
      </c>
      <c r="D1196" s="20">
        <v>45686</v>
      </c>
      <c r="E1196" s="19" t="s">
        <v>8364</v>
      </c>
      <c r="F1196" s="19" t="s">
        <v>14</v>
      </c>
      <c r="G1196" s="19" t="s">
        <v>27</v>
      </c>
      <c r="H1196" s="19" t="s">
        <v>28</v>
      </c>
      <c r="I1196" s="19">
        <v>4</v>
      </c>
      <c r="J1196" s="19">
        <v>1</v>
      </c>
      <c r="K1196" s="19">
        <v>4</v>
      </c>
      <c r="L1196" s="19" t="s">
        <v>38</v>
      </c>
      <c r="M1196" s="21">
        <v>10</v>
      </c>
      <c r="N1196">
        <f t="shared" si="18"/>
        <v>0</v>
      </c>
    </row>
    <row r="1197" spans="1:14" x14ac:dyDescent="0.35">
      <c r="A1197" s="22" t="s">
        <v>1267</v>
      </c>
      <c r="B1197" s="23" t="s">
        <v>130</v>
      </c>
      <c r="C1197" s="23"/>
      <c r="D1197" s="24"/>
      <c r="E1197" s="23" t="s">
        <v>13</v>
      </c>
      <c r="F1197" s="23" t="s">
        <v>14</v>
      </c>
      <c r="G1197" s="23" t="s">
        <v>21</v>
      </c>
      <c r="H1197" s="23" t="s">
        <v>22</v>
      </c>
      <c r="I1197" s="23">
        <v>8</v>
      </c>
      <c r="J1197" s="23">
        <v>0</v>
      </c>
      <c r="K1197" s="23">
        <v>3</v>
      </c>
      <c r="L1197" s="23" t="s">
        <v>55</v>
      </c>
      <c r="M1197" s="25">
        <v>9.9</v>
      </c>
      <c r="N1197">
        <f t="shared" si="18"/>
        <v>0</v>
      </c>
    </row>
    <row r="1198" spans="1:14" x14ac:dyDescent="0.35">
      <c r="A1198" s="6" t="s">
        <v>1268</v>
      </c>
      <c r="B1198" s="19" t="s">
        <v>51</v>
      </c>
      <c r="C1198" s="19">
        <v>9</v>
      </c>
      <c r="D1198" s="20">
        <v>45914</v>
      </c>
      <c r="E1198" s="19" t="s">
        <v>36</v>
      </c>
      <c r="F1198" s="19" t="s">
        <v>43</v>
      </c>
      <c r="G1198" s="19" t="s">
        <v>27</v>
      </c>
      <c r="H1198" s="19" t="s">
        <v>22</v>
      </c>
      <c r="I1198" s="19">
        <v>24</v>
      </c>
      <c r="J1198" s="19">
        <v>0</v>
      </c>
      <c r="K1198" s="19">
        <v>4</v>
      </c>
      <c r="L1198" s="19" t="s">
        <v>17</v>
      </c>
      <c r="M1198" s="21">
        <v>11.4</v>
      </c>
      <c r="N1198">
        <f t="shared" si="18"/>
        <v>1</v>
      </c>
    </row>
    <row r="1199" spans="1:14" x14ac:dyDescent="0.35">
      <c r="A1199" s="22" t="s">
        <v>1269</v>
      </c>
      <c r="B1199" s="23" t="s">
        <v>49</v>
      </c>
      <c r="C1199" s="23">
        <v>10</v>
      </c>
      <c r="D1199" s="24">
        <v>45948</v>
      </c>
      <c r="E1199" s="23" t="s">
        <v>25</v>
      </c>
      <c r="F1199" s="23" t="s">
        <v>8364</v>
      </c>
      <c r="G1199" s="23" t="s">
        <v>31</v>
      </c>
      <c r="H1199" s="23" t="s">
        <v>22</v>
      </c>
      <c r="I1199" s="23">
        <v>72</v>
      </c>
      <c r="J1199" s="23">
        <v>1</v>
      </c>
      <c r="K1199" s="23">
        <v>5</v>
      </c>
      <c r="L1199" s="23" t="s">
        <v>38</v>
      </c>
      <c r="M1199" s="25">
        <v>14.2</v>
      </c>
      <c r="N1199">
        <f t="shared" si="18"/>
        <v>1</v>
      </c>
    </row>
    <row r="1200" spans="1:14" x14ac:dyDescent="0.35">
      <c r="A1200" s="6" t="s">
        <v>1270</v>
      </c>
      <c r="B1200" s="19" t="s">
        <v>146</v>
      </c>
      <c r="C1200" s="19">
        <v>10</v>
      </c>
      <c r="D1200" s="20">
        <v>45953</v>
      </c>
      <c r="E1200" s="19" t="s">
        <v>36</v>
      </c>
      <c r="F1200" s="19" t="s">
        <v>14</v>
      </c>
      <c r="G1200" s="19" t="s">
        <v>27</v>
      </c>
      <c r="H1200" s="19" t="s">
        <v>28</v>
      </c>
      <c r="I1200" s="19">
        <v>72</v>
      </c>
      <c r="J1200" s="19">
        <v>0</v>
      </c>
      <c r="K1200" s="19">
        <v>2</v>
      </c>
      <c r="L1200" s="19" t="s">
        <v>55</v>
      </c>
      <c r="M1200" s="21">
        <v>12.3</v>
      </c>
      <c r="N1200">
        <f t="shared" si="18"/>
        <v>1</v>
      </c>
    </row>
    <row r="1201" spans="1:14" x14ac:dyDescent="0.35">
      <c r="A1201" s="22" t="s">
        <v>1271</v>
      </c>
      <c r="B1201" s="23" t="s">
        <v>130</v>
      </c>
      <c r="C1201" s="23">
        <v>10</v>
      </c>
      <c r="D1201" s="24">
        <v>45957</v>
      </c>
      <c r="E1201" s="23" t="s">
        <v>25</v>
      </c>
      <c r="F1201" s="23" t="s">
        <v>43</v>
      </c>
      <c r="G1201" s="23" t="s">
        <v>31</v>
      </c>
      <c r="H1201" s="23" t="s">
        <v>22</v>
      </c>
      <c r="I1201" s="23">
        <v>48</v>
      </c>
      <c r="J1201" s="23">
        <v>0</v>
      </c>
      <c r="K1201" s="23">
        <v>2</v>
      </c>
      <c r="L1201" s="23" t="s">
        <v>8363</v>
      </c>
      <c r="M1201" s="25">
        <v>2.2000000000000002</v>
      </c>
      <c r="N1201">
        <f t="shared" si="18"/>
        <v>1</v>
      </c>
    </row>
    <row r="1202" spans="1:14" x14ac:dyDescent="0.35">
      <c r="A1202" s="6" t="s">
        <v>1272</v>
      </c>
      <c r="B1202" s="19" t="s">
        <v>92</v>
      </c>
      <c r="C1202" s="19">
        <v>9</v>
      </c>
      <c r="D1202" s="20">
        <v>45920</v>
      </c>
      <c r="E1202" s="19" t="s">
        <v>36</v>
      </c>
      <c r="F1202" s="19" t="s">
        <v>14</v>
      </c>
      <c r="G1202" s="19" t="s">
        <v>31</v>
      </c>
      <c r="H1202" s="19" t="s">
        <v>22</v>
      </c>
      <c r="I1202" s="19">
        <v>72</v>
      </c>
      <c r="J1202" s="19">
        <v>0</v>
      </c>
      <c r="K1202" s="19">
        <v>4</v>
      </c>
      <c r="L1202" s="19" t="s">
        <v>55</v>
      </c>
      <c r="M1202" s="21">
        <v>8.6</v>
      </c>
      <c r="N1202">
        <f t="shared" si="18"/>
        <v>1</v>
      </c>
    </row>
    <row r="1203" spans="1:14" x14ac:dyDescent="0.35">
      <c r="A1203" s="22" t="s">
        <v>1273</v>
      </c>
      <c r="B1203" s="23" t="s">
        <v>45</v>
      </c>
      <c r="C1203" s="23">
        <v>6</v>
      </c>
      <c r="D1203" s="24">
        <v>45820</v>
      </c>
      <c r="E1203" s="23" t="s">
        <v>13</v>
      </c>
      <c r="F1203" s="23" t="s">
        <v>37</v>
      </c>
      <c r="G1203" s="23" t="s">
        <v>8364</v>
      </c>
      <c r="H1203" s="23" t="s">
        <v>22</v>
      </c>
      <c r="I1203" s="23">
        <v>4</v>
      </c>
      <c r="J1203" s="23">
        <v>0</v>
      </c>
      <c r="K1203" s="23">
        <v>3</v>
      </c>
      <c r="L1203" s="23" t="s">
        <v>17</v>
      </c>
      <c r="M1203" s="25">
        <v>9.1999999999999993</v>
      </c>
      <c r="N1203">
        <f t="shared" si="18"/>
        <v>0</v>
      </c>
    </row>
    <row r="1204" spans="1:14" x14ac:dyDescent="0.35">
      <c r="A1204" s="6" t="s">
        <v>1274</v>
      </c>
      <c r="B1204" s="19" t="s">
        <v>29</v>
      </c>
      <c r="C1204" s="19">
        <v>2</v>
      </c>
      <c r="D1204" s="20">
        <v>45710</v>
      </c>
      <c r="E1204" s="19" t="s">
        <v>13</v>
      </c>
      <c r="F1204" s="19" t="s">
        <v>37</v>
      </c>
      <c r="G1204" s="19" t="s">
        <v>27</v>
      </c>
      <c r="H1204" s="19" t="s">
        <v>32</v>
      </c>
      <c r="I1204" s="19">
        <v>8</v>
      </c>
      <c r="J1204" s="19">
        <v>0</v>
      </c>
      <c r="K1204" s="19">
        <v>5</v>
      </c>
      <c r="L1204" s="19" t="s">
        <v>55</v>
      </c>
      <c r="M1204" s="21">
        <v>24</v>
      </c>
      <c r="N1204">
        <f t="shared" si="18"/>
        <v>0</v>
      </c>
    </row>
    <row r="1205" spans="1:14" x14ac:dyDescent="0.35">
      <c r="A1205" s="22" t="s">
        <v>1275</v>
      </c>
      <c r="B1205" s="23" t="s">
        <v>45</v>
      </c>
      <c r="C1205" s="23">
        <v>8</v>
      </c>
      <c r="D1205" s="24">
        <v>45872</v>
      </c>
      <c r="E1205" s="23" t="s">
        <v>25</v>
      </c>
      <c r="F1205" s="23" t="s">
        <v>40</v>
      </c>
      <c r="G1205" s="23" t="s">
        <v>15</v>
      </c>
      <c r="H1205" s="23" t="s">
        <v>28</v>
      </c>
      <c r="I1205" s="23">
        <v>24</v>
      </c>
      <c r="J1205" s="23">
        <v>1</v>
      </c>
      <c r="K1205" s="23"/>
      <c r="L1205" s="23" t="s">
        <v>8363</v>
      </c>
      <c r="M1205" s="25">
        <v>7.6</v>
      </c>
      <c r="N1205">
        <f t="shared" si="18"/>
        <v>1</v>
      </c>
    </row>
    <row r="1206" spans="1:14" x14ac:dyDescent="0.35">
      <c r="A1206" s="6" t="s">
        <v>1276</v>
      </c>
      <c r="B1206" s="19" t="s">
        <v>23</v>
      </c>
      <c r="C1206" s="19"/>
      <c r="D1206" s="20"/>
      <c r="E1206" s="19" t="s">
        <v>13</v>
      </c>
      <c r="F1206" s="19" t="s">
        <v>43</v>
      </c>
      <c r="G1206" s="19" t="s">
        <v>31</v>
      </c>
      <c r="H1206" s="19" t="s">
        <v>22</v>
      </c>
      <c r="I1206" s="19">
        <v>4</v>
      </c>
      <c r="J1206" s="19">
        <v>0</v>
      </c>
      <c r="K1206" s="19">
        <v>4</v>
      </c>
      <c r="L1206" s="19" t="s">
        <v>62</v>
      </c>
      <c r="M1206" s="21">
        <v>10.8</v>
      </c>
      <c r="N1206">
        <f t="shared" si="18"/>
        <v>0</v>
      </c>
    </row>
    <row r="1207" spans="1:14" x14ac:dyDescent="0.35">
      <c r="A1207" s="22" t="s">
        <v>1277</v>
      </c>
      <c r="B1207" s="23" t="s">
        <v>99</v>
      </c>
      <c r="C1207" s="23"/>
      <c r="D1207" s="24"/>
      <c r="E1207" s="23" t="s">
        <v>25</v>
      </c>
      <c r="F1207" s="23" t="s">
        <v>14</v>
      </c>
      <c r="G1207" s="23" t="s">
        <v>15</v>
      </c>
      <c r="H1207" s="23" t="s">
        <v>16</v>
      </c>
      <c r="I1207" s="23">
        <v>72</v>
      </c>
      <c r="J1207" s="23">
        <v>0</v>
      </c>
      <c r="K1207" s="23">
        <v>5</v>
      </c>
      <c r="L1207" s="23" t="s">
        <v>44</v>
      </c>
      <c r="M1207" s="25">
        <v>6.4</v>
      </c>
      <c r="N1207">
        <f t="shared" si="18"/>
        <v>1</v>
      </c>
    </row>
    <row r="1208" spans="1:14" x14ac:dyDescent="0.35">
      <c r="A1208" s="6" t="s">
        <v>1278</v>
      </c>
      <c r="B1208" s="19" t="s">
        <v>81</v>
      </c>
      <c r="C1208" s="19">
        <v>8</v>
      </c>
      <c r="D1208" s="20">
        <v>45873</v>
      </c>
      <c r="E1208" s="19" t="s">
        <v>8364</v>
      </c>
      <c r="F1208" s="19" t="s">
        <v>43</v>
      </c>
      <c r="G1208" s="19" t="s">
        <v>15</v>
      </c>
      <c r="H1208" s="19" t="s">
        <v>32</v>
      </c>
      <c r="I1208" s="19">
        <v>24</v>
      </c>
      <c r="J1208" s="19">
        <v>0</v>
      </c>
      <c r="K1208" s="19">
        <v>2</v>
      </c>
      <c r="L1208" s="19" t="s">
        <v>8363</v>
      </c>
      <c r="M1208" s="21">
        <v>4.7</v>
      </c>
      <c r="N1208">
        <f t="shared" si="18"/>
        <v>1</v>
      </c>
    </row>
    <row r="1209" spans="1:14" x14ac:dyDescent="0.35">
      <c r="A1209" s="22" t="s">
        <v>1279</v>
      </c>
      <c r="B1209" s="23" t="s">
        <v>69</v>
      </c>
      <c r="C1209" s="23">
        <v>3</v>
      </c>
      <c r="D1209" s="24">
        <v>45718</v>
      </c>
      <c r="E1209" s="23" t="s">
        <v>20</v>
      </c>
      <c r="F1209" s="23" t="s">
        <v>26</v>
      </c>
      <c r="G1209" s="23" t="s">
        <v>21</v>
      </c>
      <c r="H1209" s="23" t="s">
        <v>28</v>
      </c>
      <c r="I1209" s="23">
        <v>8</v>
      </c>
      <c r="J1209" s="23">
        <v>1</v>
      </c>
      <c r="K1209" s="23">
        <v>2</v>
      </c>
      <c r="L1209" s="23" t="s">
        <v>55</v>
      </c>
      <c r="M1209" s="25">
        <v>1.2</v>
      </c>
      <c r="N1209">
        <f t="shared" si="18"/>
        <v>1</v>
      </c>
    </row>
    <row r="1210" spans="1:14" x14ac:dyDescent="0.35">
      <c r="A1210" s="6" t="s">
        <v>1280</v>
      </c>
      <c r="B1210" s="19" t="s">
        <v>253</v>
      </c>
      <c r="C1210" s="19">
        <v>9</v>
      </c>
      <c r="D1210" s="20">
        <v>45926</v>
      </c>
      <c r="E1210" s="19" t="s">
        <v>25</v>
      </c>
      <c r="F1210" s="19" t="s">
        <v>14</v>
      </c>
      <c r="G1210" s="19" t="s">
        <v>21</v>
      </c>
      <c r="H1210" s="19" t="s">
        <v>28</v>
      </c>
      <c r="I1210" s="19">
        <v>24</v>
      </c>
      <c r="J1210" s="19">
        <v>0</v>
      </c>
      <c r="K1210" s="19">
        <v>5</v>
      </c>
      <c r="L1210" s="19" t="s">
        <v>17</v>
      </c>
      <c r="M1210" s="21">
        <v>50.8</v>
      </c>
      <c r="N1210">
        <f t="shared" si="18"/>
        <v>0</v>
      </c>
    </row>
    <row r="1211" spans="1:14" x14ac:dyDescent="0.35">
      <c r="A1211" s="22" t="s">
        <v>1281</v>
      </c>
      <c r="B1211" s="23" t="s">
        <v>18</v>
      </c>
      <c r="C1211" s="23">
        <v>1</v>
      </c>
      <c r="D1211" s="24">
        <v>45675</v>
      </c>
      <c r="E1211" s="23" t="s">
        <v>13</v>
      </c>
      <c r="F1211" s="23" t="s">
        <v>14</v>
      </c>
      <c r="G1211" s="23" t="s">
        <v>27</v>
      </c>
      <c r="H1211" s="23" t="s">
        <v>22</v>
      </c>
      <c r="I1211" s="23">
        <v>72</v>
      </c>
      <c r="J1211" s="23">
        <v>0</v>
      </c>
      <c r="K1211" s="23">
        <v>2</v>
      </c>
      <c r="L1211" s="23" t="s">
        <v>17</v>
      </c>
      <c r="M1211" s="25">
        <v>12.8</v>
      </c>
      <c r="N1211">
        <f t="shared" si="18"/>
        <v>1</v>
      </c>
    </row>
    <row r="1212" spans="1:14" x14ac:dyDescent="0.35">
      <c r="A1212" s="6" t="s">
        <v>1282</v>
      </c>
      <c r="B1212" s="19" t="s">
        <v>45</v>
      </c>
      <c r="C1212" s="19">
        <v>4</v>
      </c>
      <c r="D1212" s="20">
        <v>45760</v>
      </c>
      <c r="E1212" s="19" t="s">
        <v>25</v>
      </c>
      <c r="F1212" s="19" t="s">
        <v>40</v>
      </c>
      <c r="G1212" s="19" t="s">
        <v>15</v>
      </c>
      <c r="H1212" s="19" t="s">
        <v>8364</v>
      </c>
      <c r="I1212" s="19">
        <v>4</v>
      </c>
      <c r="J1212" s="19">
        <v>0</v>
      </c>
      <c r="K1212" s="19">
        <v>5</v>
      </c>
      <c r="L1212" s="19" t="s">
        <v>62</v>
      </c>
      <c r="M1212" s="21">
        <v>27.8</v>
      </c>
      <c r="N1212">
        <f t="shared" si="18"/>
        <v>0</v>
      </c>
    </row>
    <row r="1213" spans="1:14" x14ac:dyDescent="0.35">
      <c r="A1213" s="22" t="s">
        <v>1283</v>
      </c>
      <c r="B1213" s="23" t="s">
        <v>65</v>
      </c>
      <c r="C1213" s="23">
        <v>3</v>
      </c>
      <c r="D1213" s="24">
        <v>45727</v>
      </c>
      <c r="E1213" s="23" t="s">
        <v>68</v>
      </c>
      <c r="F1213" s="23" t="s">
        <v>14</v>
      </c>
      <c r="G1213" s="23" t="s">
        <v>15</v>
      </c>
      <c r="H1213" s="23" t="s">
        <v>16</v>
      </c>
      <c r="I1213" s="23">
        <v>24</v>
      </c>
      <c r="J1213" s="23">
        <v>2</v>
      </c>
      <c r="K1213" s="23">
        <v>4</v>
      </c>
      <c r="L1213" s="23" t="s">
        <v>75</v>
      </c>
      <c r="M1213" s="25"/>
      <c r="N1213">
        <f t="shared" si="18"/>
        <v>1</v>
      </c>
    </row>
    <row r="1214" spans="1:14" x14ac:dyDescent="0.35">
      <c r="A1214" s="6" t="s">
        <v>1284</v>
      </c>
      <c r="B1214" s="19" t="s">
        <v>39</v>
      </c>
      <c r="C1214" s="19">
        <v>7</v>
      </c>
      <c r="D1214" s="20">
        <v>45853</v>
      </c>
      <c r="E1214" s="19" t="s">
        <v>25</v>
      </c>
      <c r="F1214" s="19" t="s">
        <v>40</v>
      </c>
      <c r="G1214" s="19" t="s">
        <v>27</v>
      </c>
      <c r="H1214" s="19" t="s">
        <v>22</v>
      </c>
      <c r="I1214" s="19">
        <v>4</v>
      </c>
      <c r="J1214" s="19">
        <v>0</v>
      </c>
      <c r="K1214" s="19">
        <v>2</v>
      </c>
      <c r="L1214" s="19" t="s">
        <v>38</v>
      </c>
      <c r="M1214" s="21"/>
      <c r="N1214">
        <f t="shared" si="18"/>
        <v>1</v>
      </c>
    </row>
    <row r="1215" spans="1:14" x14ac:dyDescent="0.35">
      <c r="A1215" s="22" t="s">
        <v>1285</v>
      </c>
      <c r="B1215" s="23" t="s">
        <v>108</v>
      </c>
      <c r="C1215" s="23"/>
      <c r="D1215" s="24"/>
      <c r="E1215" s="23" t="s">
        <v>20</v>
      </c>
      <c r="F1215" s="23" t="s">
        <v>8364</v>
      </c>
      <c r="G1215" s="23" t="s">
        <v>31</v>
      </c>
      <c r="H1215" s="23" t="s">
        <v>28</v>
      </c>
      <c r="I1215" s="23">
        <v>8</v>
      </c>
      <c r="J1215" s="23">
        <v>0</v>
      </c>
      <c r="K1215" s="23">
        <v>5</v>
      </c>
      <c r="L1215" s="23" t="s">
        <v>33</v>
      </c>
      <c r="M1215" s="25">
        <v>10.7</v>
      </c>
      <c r="N1215">
        <f t="shared" si="18"/>
        <v>0</v>
      </c>
    </row>
    <row r="1216" spans="1:14" x14ac:dyDescent="0.35">
      <c r="A1216" s="6" t="s">
        <v>1286</v>
      </c>
      <c r="B1216" s="19" t="s">
        <v>108</v>
      </c>
      <c r="C1216" s="19">
        <v>10</v>
      </c>
      <c r="D1216" s="20">
        <v>45958</v>
      </c>
      <c r="E1216" s="19" t="s">
        <v>8364</v>
      </c>
      <c r="F1216" s="19" t="s">
        <v>8364</v>
      </c>
      <c r="G1216" s="19" t="s">
        <v>15</v>
      </c>
      <c r="H1216" s="19" t="s">
        <v>8364</v>
      </c>
      <c r="I1216" s="19">
        <v>24</v>
      </c>
      <c r="J1216" s="19">
        <v>1</v>
      </c>
      <c r="K1216" s="19">
        <v>4</v>
      </c>
      <c r="L1216" s="19" t="s">
        <v>75</v>
      </c>
      <c r="M1216" s="21">
        <v>3.9</v>
      </c>
      <c r="N1216">
        <f t="shared" si="18"/>
        <v>1</v>
      </c>
    </row>
    <row r="1217" spans="1:14" x14ac:dyDescent="0.35">
      <c r="A1217" s="22" t="s">
        <v>1287</v>
      </c>
      <c r="B1217" s="23" t="s">
        <v>29</v>
      </c>
      <c r="C1217" s="23">
        <v>7</v>
      </c>
      <c r="D1217" s="24">
        <v>45855</v>
      </c>
      <c r="E1217" s="23" t="s">
        <v>13</v>
      </c>
      <c r="F1217" s="23" t="s">
        <v>14</v>
      </c>
      <c r="G1217" s="23" t="s">
        <v>21</v>
      </c>
      <c r="H1217" s="23" t="s">
        <v>16</v>
      </c>
      <c r="I1217" s="23">
        <v>48</v>
      </c>
      <c r="J1217" s="23">
        <v>1</v>
      </c>
      <c r="K1217" s="23">
        <v>3</v>
      </c>
      <c r="L1217" s="23" t="s">
        <v>62</v>
      </c>
      <c r="M1217" s="25">
        <v>9.1999999999999993</v>
      </c>
      <c r="N1217">
        <f t="shared" si="18"/>
        <v>1</v>
      </c>
    </row>
    <row r="1218" spans="1:14" x14ac:dyDescent="0.35">
      <c r="A1218" s="6" t="s">
        <v>1288</v>
      </c>
      <c r="B1218" s="19" t="s">
        <v>236</v>
      </c>
      <c r="C1218" s="19">
        <v>8</v>
      </c>
      <c r="D1218" s="20">
        <v>45895</v>
      </c>
      <c r="E1218" s="19" t="s">
        <v>25</v>
      </c>
      <c r="F1218" s="19" t="s">
        <v>43</v>
      </c>
      <c r="G1218" s="19" t="s">
        <v>15</v>
      </c>
      <c r="H1218" s="19" t="s">
        <v>32</v>
      </c>
      <c r="I1218" s="19">
        <v>72</v>
      </c>
      <c r="J1218" s="19">
        <v>0</v>
      </c>
      <c r="K1218" s="19">
        <v>3</v>
      </c>
      <c r="L1218" s="19" t="s">
        <v>8363</v>
      </c>
      <c r="M1218" s="21">
        <v>5.5</v>
      </c>
      <c r="N1218">
        <f t="shared" si="18"/>
        <v>1</v>
      </c>
    </row>
    <row r="1219" spans="1:14" x14ac:dyDescent="0.35">
      <c r="A1219" s="22" t="s">
        <v>1289</v>
      </c>
      <c r="B1219" s="23" t="s">
        <v>108</v>
      </c>
      <c r="C1219" s="23">
        <v>7</v>
      </c>
      <c r="D1219" s="24">
        <v>45841</v>
      </c>
      <c r="E1219" s="23" t="s">
        <v>25</v>
      </c>
      <c r="F1219" s="23" t="s">
        <v>43</v>
      </c>
      <c r="G1219" s="23" t="s">
        <v>21</v>
      </c>
      <c r="H1219" s="23" t="s">
        <v>28</v>
      </c>
      <c r="I1219" s="23">
        <v>48</v>
      </c>
      <c r="J1219" s="23">
        <v>0</v>
      </c>
      <c r="K1219" s="23">
        <v>4</v>
      </c>
      <c r="L1219" s="23" t="s">
        <v>62</v>
      </c>
      <c r="M1219" s="25">
        <v>19.8</v>
      </c>
      <c r="N1219">
        <f t="shared" ref="N1219:N1282" si="19">IF(M1219 &lt;= I1219, 1, 0)</f>
        <v>1</v>
      </c>
    </row>
    <row r="1220" spans="1:14" x14ac:dyDescent="0.35">
      <c r="A1220" s="6" t="s">
        <v>1290</v>
      </c>
      <c r="B1220" s="19" t="s">
        <v>69</v>
      </c>
      <c r="C1220" s="19">
        <v>7</v>
      </c>
      <c r="D1220" s="20">
        <v>45860</v>
      </c>
      <c r="E1220" s="19" t="s">
        <v>36</v>
      </c>
      <c r="F1220" s="19" t="s">
        <v>40</v>
      </c>
      <c r="G1220" s="19" t="s">
        <v>21</v>
      </c>
      <c r="H1220" s="19" t="s">
        <v>32</v>
      </c>
      <c r="I1220" s="19">
        <v>24</v>
      </c>
      <c r="J1220" s="19">
        <v>0</v>
      </c>
      <c r="K1220" s="19">
        <v>5</v>
      </c>
      <c r="L1220" s="19" t="s">
        <v>75</v>
      </c>
      <c r="M1220" s="21">
        <v>15.8</v>
      </c>
      <c r="N1220">
        <f t="shared" si="19"/>
        <v>1</v>
      </c>
    </row>
    <row r="1221" spans="1:14" x14ac:dyDescent="0.35">
      <c r="A1221" s="22" t="s">
        <v>1291</v>
      </c>
      <c r="B1221" s="23" t="s">
        <v>69</v>
      </c>
      <c r="C1221" s="23">
        <v>3</v>
      </c>
      <c r="D1221" s="24">
        <v>45744</v>
      </c>
      <c r="E1221" s="23" t="s">
        <v>8364</v>
      </c>
      <c r="F1221" s="23" t="s">
        <v>14</v>
      </c>
      <c r="G1221" s="23" t="s">
        <v>27</v>
      </c>
      <c r="H1221" s="23" t="s">
        <v>28</v>
      </c>
      <c r="I1221" s="23">
        <v>24</v>
      </c>
      <c r="J1221" s="23">
        <v>1</v>
      </c>
      <c r="K1221" s="23">
        <v>3</v>
      </c>
      <c r="L1221" s="23" t="s">
        <v>8363</v>
      </c>
      <c r="M1221" s="25">
        <v>12.6</v>
      </c>
      <c r="N1221">
        <f t="shared" si="19"/>
        <v>1</v>
      </c>
    </row>
    <row r="1222" spans="1:14" x14ac:dyDescent="0.35">
      <c r="A1222" s="6" t="s">
        <v>1292</v>
      </c>
      <c r="B1222" s="19" t="s">
        <v>143</v>
      </c>
      <c r="C1222" s="19">
        <v>7</v>
      </c>
      <c r="D1222" s="20">
        <v>45857</v>
      </c>
      <c r="E1222" s="19" t="s">
        <v>8364</v>
      </c>
      <c r="F1222" s="19" t="s">
        <v>59</v>
      </c>
      <c r="G1222" s="19" t="s">
        <v>31</v>
      </c>
      <c r="H1222" s="19" t="s">
        <v>32</v>
      </c>
      <c r="I1222" s="19">
        <v>8</v>
      </c>
      <c r="J1222" s="19">
        <v>0</v>
      </c>
      <c r="K1222" s="19"/>
      <c r="L1222" s="19" t="s">
        <v>75</v>
      </c>
      <c r="M1222" s="21">
        <v>19.3</v>
      </c>
      <c r="N1222">
        <f t="shared" si="19"/>
        <v>0</v>
      </c>
    </row>
    <row r="1223" spans="1:14" x14ac:dyDescent="0.35">
      <c r="A1223" s="22" t="s">
        <v>1293</v>
      </c>
      <c r="B1223" s="23" t="s">
        <v>139</v>
      </c>
      <c r="C1223" s="23">
        <v>11</v>
      </c>
      <c r="D1223" s="24">
        <v>45969</v>
      </c>
      <c r="E1223" s="23" t="s">
        <v>36</v>
      </c>
      <c r="F1223" s="23" t="s">
        <v>43</v>
      </c>
      <c r="G1223" s="23" t="s">
        <v>21</v>
      </c>
      <c r="H1223" s="23" t="s">
        <v>22</v>
      </c>
      <c r="I1223" s="23">
        <v>4</v>
      </c>
      <c r="J1223" s="23">
        <v>0</v>
      </c>
      <c r="K1223" s="23">
        <v>3</v>
      </c>
      <c r="L1223" s="23" t="s">
        <v>33</v>
      </c>
      <c r="M1223" s="25">
        <v>13.9</v>
      </c>
      <c r="N1223">
        <f t="shared" si="19"/>
        <v>0</v>
      </c>
    </row>
    <row r="1224" spans="1:14" x14ac:dyDescent="0.35">
      <c r="A1224" s="6" t="s">
        <v>1294</v>
      </c>
      <c r="B1224" s="19" t="s">
        <v>143</v>
      </c>
      <c r="C1224" s="19">
        <v>4</v>
      </c>
      <c r="D1224" s="20">
        <v>45762</v>
      </c>
      <c r="E1224" s="19" t="s">
        <v>13</v>
      </c>
      <c r="F1224" s="19" t="s">
        <v>37</v>
      </c>
      <c r="G1224" s="19" t="s">
        <v>27</v>
      </c>
      <c r="H1224" s="19" t="s">
        <v>8364</v>
      </c>
      <c r="I1224" s="19">
        <v>48</v>
      </c>
      <c r="J1224" s="19">
        <v>0</v>
      </c>
      <c r="K1224" s="19">
        <v>5</v>
      </c>
      <c r="L1224" s="19" t="s">
        <v>55</v>
      </c>
      <c r="M1224" s="21">
        <v>8.6999999999999993</v>
      </c>
      <c r="N1224">
        <f t="shared" si="19"/>
        <v>1</v>
      </c>
    </row>
    <row r="1225" spans="1:14" x14ac:dyDescent="0.35">
      <c r="A1225" s="22" t="s">
        <v>1295</v>
      </c>
      <c r="B1225" s="23" t="s">
        <v>253</v>
      </c>
      <c r="C1225" s="23">
        <v>4</v>
      </c>
      <c r="D1225" s="24">
        <v>45761</v>
      </c>
      <c r="E1225" s="23" t="s">
        <v>25</v>
      </c>
      <c r="F1225" s="23" t="s">
        <v>37</v>
      </c>
      <c r="G1225" s="23" t="s">
        <v>21</v>
      </c>
      <c r="H1225" s="23" t="s">
        <v>22</v>
      </c>
      <c r="I1225" s="23">
        <v>24</v>
      </c>
      <c r="J1225" s="23">
        <v>2</v>
      </c>
      <c r="K1225" s="23">
        <v>3</v>
      </c>
      <c r="L1225" s="23" t="s">
        <v>62</v>
      </c>
      <c r="M1225" s="25">
        <v>6.4</v>
      </c>
      <c r="N1225">
        <f t="shared" si="19"/>
        <v>1</v>
      </c>
    </row>
    <row r="1226" spans="1:14" x14ac:dyDescent="0.35">
      <c r="A1226" s="6" t="s">
        <v>1296</v>
      </c>
      <c r="B1226" s="19" t="s">
        <v>72</v>
      </c>
      <c r="C1226" s="19">
        <v>12</v>
      </c>
      <c r="D1226" s="20">
        <v>46009</v>
      </c>
      <c r="E1226" s="19" t="s">
        <v>25</v>
      </c>
      <c r="F1226" s="19" t="s">
        <v>40</v>
      </c>
      <c r="G1226" s="19" t="s">
        <v>21</v>
      </c>
      <c r="H1226" s="19" t="s">
        <v>8364</v>
      </c>
      <c r="I1226" s="19">
        <v>72</v>
      </c>
      <c r="J1226" s="19">
        <v>0</v>
      </c>
      <c r="K1226" s="19">
        <v>4</v>
      </c>
      <c r="L1226" s="19" t="s">
        <v>8363</v>
      </c>
      <c r="M1226" s="21">
        <v>3.6</v>
      </c>
      <c r="N1226">
        <f t="shared" si="19"/>
        <v>1</v>
      </c>
    </row>
    <row r="1227" spans="1:14" x14ac:dyDescent="0.35">
      <c r="A1227" s="22" t="s">
        <v>1297</v>
      </c>
      <c r="B1227" s="23" t="s">
        <v>89</v>
      </c>
      <c r="C1227" s="23">
        <v>12</v>
      </c>
      <c r="D1227" s="24">
        <v>46019</v>
      </c>
      <c r="E1227" s="23" t="s">
        <v>68</v>
      </c>
      <c r="F1227" s="23" t="s">
        <v>8364</v>
      </c>
      <c r="G1227" s="23" t="s">
        <v>31</v>
      </c>
      <c r="H1227" s="23" t="s">
        <v>32</v>
      </c>
      <c r="I1227" s="23">
        <v>8</v>
      </c>
      <c r="J1227" s="23">
        <v>0</v>
      </c>
      <c r="K1227" s="23">
        <v>5</v>
      </c>
      <c r="L1227" s="23" t="s">
        <v>75</v>
      </c>
      <c r="M1227" s="25">
        <v>9</v>
      </c>
      <c r="N1227">
        <f t="shared" si="19"/>
        <v>0</v>
      </c>
    </row>
    <row r="1228" spans="1:14" x14ac:dyDescent="0.35">
      <c r="A1228" s="6" t="s">
        <v>1298</v>
      </c>
      <c r="B1228" s="19" t="s">
        <v>49</v>
      </c>
      <c r="C1228" s="19">
        <v>2</v>
      </c>
      <c r="D1228" s="20">
        <v>45710</v>
      </c>
      <c r="E1228" s="19" t="s">
        <v>25</v>
      </c>
      <c r="F1228" s="19" t="s">
        <v>14</v>
      </c>
      <c r="G1228" s="19" t="s">
        <v>27</v>
      </c>
      <c r="H1228" s="19" t="s">
        <v>16</v>
      </c>
      <c r="I1228" s="19">
        <v>48</v>
      </c>
      <c r="J1228" s="19">
        <v>2</v>
      </c>
      <c r="K1228" s="19">
        <v>3</v>
      </c>
      <c r="L1228" s="19" t="s">
        <v>38</v>
      </c>
      <c r="M1228" s="21">
        <v>9.9</v>
      </c>
      <c r="N1228">
        <f t="shared" si="19"/>
        <v>1</v>
      </c>
    </row>
    <row r="1229" spans="1:14" x14ac:dyDescent="0.35">
      <c r="A1229" s="22" t="s">
        <v>1299</v>
      </c>
      <c r="B1229" s="23" t="s">
        <v>236</v>
      </c>
      <c r="C1229" s="23">
        <v>4</v>
      </c>
      <c r="D1229" s="24">
        <v>45777</v>
      </c>
      <c r="E1229" s="23" t="s">
        <v>25</v>
      </c>
      <c r="F1229" s="23" t="s">
        <v>14</v>
      </c>
      <c r="G1229" s="23" t="s">
        <v>27</v>
      </c>
      <c r="H1229" s="23" t="s">
        <v>22</v>
      </c>
      <c r="I1229" s="23">
        <v>72</v>
      </c>
      <c r="J1229" s="23">
        <v>0</v>
      </c>
      <c r="K1229" s="23">
        <v>5</v>
      </c>
      <c r="L1229" s="23" t="s">
        <v>38</v>
      </c>
      <c r="M1229" s="25"/>
      <c r="N1229">
        <f t="shared" si="19"/>
        <v>1</v>
      </c>
    </row>
    <row r="1230" spans="1:14" x14ac:dyDescent="0.35">
      <c r="A1230" s="6" t="s">
        <v>1300</v>
      </c>
      <c r="B1230" s="19" t="s">
        <v>51</v>
      </c>
      <c r="C1230" s="19">
        <v>10</v>
      </c>
      <c r="D1230" s="20">
        <v>45932</v>
      </c>
      <c r="E1230" s="19" t="s">
        <v>20</v>
      </c>
      <c r="F1230" s="19" t="s">
        <v>8364</v>
      </c>
      <c r="G1230" s="19" t="s">
        <v>27</v>
      </c>
      <c r="H1230" s="19" t="s">
        <v>22</v>
      </c>
      <c r="I1230" s="19">
        <v>48</v>
      </c>
      <c r="J1230" s="19">
        <v>0</v>
      </c>
      <c r="K1230" s="19">
        <v>4</v>
      </c>
      <c r="L1230" s="19" t="s">
        <v>8363</v>
      </c>
      <c r="M1230" s="21">
        <v>26.9</v>
      </c>
      <c r="N1230">
        <f t="shared" si="19"/>
        <v>1</v>
      </c>
    </row>
    <row r="1231" spans="1:14" x14ac:dyDescent="0.35">
      <c r="A1231" s="22" t="s">
        <v>1301</v>
      </c>
      <c r="B1231" s="23" t="s">
        <v>53</v>
      </c>
      <c r="C1231" s="23"/>
      <c r="D1231" s="24"/>
      <c r="E1231" s="23" t="s">
        <v>8364</v>
      </c>
      <c r="F1231" s="23" t="s">
        <v>26</v>
      </c>
      <c r="G1231" s="23" t="s">
        <v>8364</v>
      </c>
      <c r="H1231" s="23" t="s">
        <v>32</v>
      </c>
      <c r="I1231" s="23">
        <v>72</v>
      </c>
      <c r="J1231" s="23">
        <v>0</v>
      </c>
      <c r="K1231" s="23">
        <v>3</v>
      </c>
      <c r="L1231" s="23" t="s">
        <v>62</v>
      </c>
      <c r="M1231" s="25">
        <v>3</v>
      </c>
      <c r="N1231">
        <f t="shared" si="19"/>
        <v>1</v>
      </c>
    </row>
    <row r="1232" spans="1:14" x14ac:dyDescent="0.35">
      <c r="A1232" s="6" t="s">
        <v>1302</v>
      </c>
      <c r="B1232" s="19" t="s">
        <v>57</v>
      </c>
      <c r="C1232" s="19">
        <v>11</v>
      </c>
      <c r="D1232" s="20">
        <v>45965</v>
      </c>
      <c r="E1232" s="19" t="s">
        <v>13</v>
      </c>
      <c r="F1232" s="19" t="s">
        <v>59</v>
      </c>
      <c r="G1232" s="19" t="s">
        <v>27</v>
      </c>
      <c r="H1232" s="19" t="s">
        <v>8364</v>
      </c>
      <c r="I1232" s="19">
        <v>4</v>
      </c>
      <c r="J1232" s="19">
        <v>0</v>
      </c>
      <c r="K1232" s="19">
        <v>5</v>
      </c>
      <c r="L1232" s="19" t="s">
        <v>75</v>
      </c>
      <c r="M1232" s="21">
        <v>6.2</v>
      </c>
      <c r="N1232">
        <f t="shared" si="19"/>
        <v>0</v>
      </c>
    </row>
    <row r="1233" spans="1:14" x14ac:dyDescent="0.35">
      <c r="A1233" s="22" t="s">
        <v>1303</v>
      </c>
      <c r="B1233" s="23" t="s">
        <v>181</v>
      </c>
      <c r="C1233" s="23">
        <v>8</v>
      </c>
      <c r="D1233" s="24">
        <v>45883</v>
      </c>
      <c r="E1233" s="23" t="s">
        <v>13</v>
      </c>
      <c r="F1233" s="23" t="s">
        <v>40</v>
      </c>
      <c r="G1233" s="23" t="s">
        <v>21</v>
      </c>
      <c r="H1233" s="23" t="s">
        <v>32</v>
      </c>
      <c r="I1233" s="23">
        <v>8</v>
      </c>
      <c r="J1233" s="23">
        <v>0</v>
      </c>
      <c r="K1233" s="23">
        <v>1</v>
      </c>
      <c r="L1233" s="23" t="s">
        <v>62</v>
      </c>
      <c r="M1233" s="25">
        <v>26.7</v>
      </c>
      <c r="N1233">
        <f t="shared" si="19"/>
        <v>0</v>
      </c>
    </row>
    <row r="1234" spans="1:14" x14ac:dyDescent="0.35">
      <c r="A1234" s="6" t="s">
        <v>1304</v>
      </c>
      <c r="B1234" s="19" t="s">
        <v>143</v>
      </c>
      <c r="C1234" s="19">
        <v>10</v>
      </c>
      <c r="D1234" s="20">
        <v>45956</v>
      </c>
      <c r="E1234" s="19" t="s">
        <v>13</v>
      </c>
      <c r="F1234" s="19" t="s">
        <v>37</v>
      </c>
      <c r="G1234" s="19" t="s">
        <v>31</v>
      </c>
      <c r="H1234" s="19" t="s">
        <v>22</v>
      </c>
      <c r="I1234" s="19">
        <v>24</v>
      </c>
      <c r="J1234" s="19">
        <v>0</v>
      </c>
      <c r="K1234" s="19">
        <v>4</v>
      </c>
      <c r="L1234" s="19" t="s">
        <v>38</v>
      </c>
      <c r="M1234" s="21">
        <v>10.199999999999999</v>
      </c>
      <c r="N1234">
        <f t="shared" si="19"/>
        <v>1</v>
      </c>
    </row>
    <row r="1235" spans="1:14" x14ac:dyDescent="0.35">
      <c r="A1235" s="22" t="s">
        <v>1305</v>
      </c>
      <c r="B1235" s="23" t="s">
        <v>47</v>
      </c>
      <c r="C1235" s="23">
        <v>5</v>
      </c>
      <c r="D1235" s="24">
        <v>45796</v>
      </c>
      <c r="E1235" s="23" t="s">
        <v>20</v>
      </c>
      <c r="F1235" s="23" t="s">
        <v>43</v>
      </c>
      <c r="G1235" s="23" t="s">
        <v>21</v>
      </c>
      <c r="H1235" s="23" t="s">
        <v>16</v>
      </c>
      <c r="I1235" s="23">
        <v>4</v>
      </c>
      <c r="J1235" s="23">
        <v>2</v>
      </c>
      <c r="K1235" s="23">
        <v>5</v>
      </c>
      <c r="L1235" s="23" t="s">
        <v>38</v>
      </c>
      <c r="M1235" s="25">
        <v>11.1</v>
      </c>
      <c r="N1235">
        <f t="shared" si="19"/>
        <v>0</v>
      </c>
    </row>
    <row r="1236" spans="1:14" x14ac:dyDescent="0.35">
      <c r="A1236" s="6" t="s">
        <v>1306</v>
      </c>
      <c r="B1236" s="19" t="s">
        <v>34</v>
      </c>
      <c r="C1236" s="19">
        <v>1</v>
      </c>
      <c r="D1236" s="20">
        <v>45670</v>
      </c>
      <c r="E1236" s="19" t="s">
        <v>13</v>
      </c>
      <c r="F1236" s="19" t="s">
        <v>40</v>
      </c>
      <c r="G1236" s="19" t="s">
        <v>27</v>
      </c>
      <c r="H1236" s="19" t="s">
        <v>22</v>
      </c>
      <c r="I1236" s="19">
        <v>48</v>
      </c>
      <c r="J1236" s="19">
        <v>0</v>
      </c>
      <c r="K1236" s="19">
        <v>5</v>
      </c>
      <c r="L1236" s="19" t="s">
        <v>55</v>
      </c>
      <c r="M1236" s="21">
        <v>3.8</v>
      </c>
      <c r="N1236">
        <f t="shared" si="19"/>
        <v>1</v>
      </c>
    </row>
    <row r="1237" spans="1:14" x14ac:dyDescent="0.35">
      <c r="A1237" s="22" t="s">
        <v>1307</v>
      </c>
      <c r="B1237" s="23" t="s">
        <v>143</v>
      </c>
      <c r="C1237" s="23">
        <v>8</v>
      </c>
      <c r="D1237" s="24">
        <v>45876</v>
      </c>
      <c r="E1237" s="23" t="s">
        <v>25</v>
      </c>
      <c r="F1237" s="23" t="s">
        <v>40</v>
      </c>
      <c r="G1237" s="23" t="s">
        <v>31</v>
      </c>
      <c r="H1237" s="23" t="s">
        <v>16</v>
      </c>
      <c r="I1237" s="23">
        <v>24</v>
      </c>
      <c r="J1237" s="23">
        <v>0</v>
      </c>
      <c r="K1237" s="23">
        <v>4</v>
      </c>
      <c r="L1237" s="23" t="s">
        <v>55</v>
      </c>
      <c r="M1237" s="25">
        <v>14.9</v>
      </c>
      <c r="N1237">
        <f t="shared" si="19"/>
        <v>1</v>
      </c>
    </row>
    <row r="1238" spans="1:14" x14ac:dyDescent="0.35">
      <c r="A1238" s="6" t="s">
        <v>1308</v>
      </c>
      <c r="B1238" s="19" t="s">
        <v>23</v>
      </c>
      <c r="C1238" s="19">
        <v>1</v>
      </c>
      <c r="D1238" s="20">
        <v>45663</v>
      </c>
      <c r="E1238" s="19" t="s">
        <v>8364</v>
      </c>
      <c r="F1238" s="19" t="s">
        <v>43</v>
      </c>
      <c r="G1238" s="19" t="s">
        <v>31</v>
      </c>
      <c r="H1238" s="19" t="s">
        <v>22</v>
      </c>
      <c r="I1238" s="19">
        <v>8</v>
      </c>
      <c r="J1238" s="19">
        <v>1</v>
      </c>
      <c r="K1238" s="19">
        <v>2</v>
      </c>
      <c r="L1238" s="19" t="s">
        <v>17</v>
      </c>
      <c r="M1238" s="21">
        <v>5.0999999999999996</v>
      </c>
      <c r="N1238">
        <f t="shared" si="19"/>
        <v>1</v>
      </c>
    </row>
    <row r="1239" spans="1:14" x14ac:dyDescent="0.35">
      <c r="A1239" s="22" t="s">
        <v>1309</v>
      </c>
      <c r="B1239" s="23" t="s">
        <v>143</v>
      </c>
      <c r="C1239" s="23">
        <v>9</v>
      </c>
      <c r="D1239" s="24">
        <v>45910</v>
      </c>
      <c r="E1239" s="23" t="s">
        <v>25</v>
      </c>
      <c r="F1239" s="23" t="s">
        <v>37</v>
      </c>
      <c r="G1239" s="23" t="s">
        <v>27</v>
      </c>
      <c r="H1239" s="23" t="s">
        <v>22</v>
      </c>
      <c r="I1239" s="23">
        <v>8</v>
      </c>
      <c r="J1239" s="23">
        <v>0</v>
      </c>
      <c r="K1239" s="23">
        <v>5</v>
      </c>
      <c r="L1239" s="23" t="s">
        <v>17</v>
      </c>
      <c r="M1239" s="25">
        <v>8.9</v>
      </c>
      <c r="N1239">
        <f t="shared" si="19"/>
        <v>0</v>
      </c>
    </row>
    <row r="1240" spans="1:14" x14ac:dyDescent="0.35">
      <c r="A1240" s="6" t="s">
        <v>1310</v>
      </c>
      <c r="B1240" s="19" t="s">
        <v>81</v>
      </c>
      <c r="C1240" s="19">
        <v>3</v>
      </c>
      <c r="D1240" s="20">
        <v>45745</v>
      </c>
      <c r="E1240" s="19" t="s">
        <v>20</v>
      </c>
      <c r="F1240" s="19" t="s">
        <v>59</v>
      </c>
      <c r="G1240" s="19" t="s">
        <v>31</v>
      </c>
      <c r="H1240" s="19" t="s">
        <v>22</v>
      </c>
      <c r="I1240" s="19">
        <v>48</v>
      </c>
      <c r="J1240" s="19">
        <v>1</v>
      </c>
      <c r="K1240" s="19">
        <v>1</v>
      </c>
      <c r="L1240" s="19" t="s">
        <v>55</v>
      </c>
      <c r="M1240" s="21">
        <v>8.6999999999999993</v>
      </c>
      <c r="N1240">
        <f t="shared" si="19"/>
        <v>1</v>
      </c>
    </row>
    <row r="1241" spans="1:14" x14ac:dyDescent="0.35">
      <c r="A1241" s="22" t="s">
        <v>1311</v>
      </c>
      <c r="B1241" s="23" t="s">
        <v>158</v>
      </c>
      <c r="C1241" s="23">
        <v>6</v>
      </c>
      <c r="D1241" s="24">
        <v>45836</v>
      </c>
      <c r="E1241" s="23" t="s">
        <v>36</v>
      </c>
      <c r="F1241" s="23" t="s">
        <v>14</v>
      </c>
      <c r="G1241" s="23" t="s">
        <v>21</v>
      </c>
      <c r="H1241" s="23" t="s">
        <v>22</v>
      </c>
      <c r="I1241" s="23">
        <v>24</v>
      </c>
      <c r="J1241" s="23">
        <v>1</v>
      </c>
      <c r="K1241" s="23">
        <v>4</v>
      </c>
      <c r="L1241" s="23" t="s">
        <v>55</v>
      </c>
      <c r="M1241" s="25">
        <v>17.600000000000001</v>
      </c>
      <c r="N1241">
        <f t="shared" si="19"/>
        <v>1</v>
      </c>
    </row>
    <row r="1242" spans="1:14" x14ac:dyDescent="0.35">
      <c r="A1242" s="6" t="s">
        <v>1312</v>
      </c>
      <c r="B1242" s="19" t="s">
        <v>158</v>
      </c>
      <c r="C1242" s="19">
        <v>6</v>
      </c>
      <c r="D1242" s="20">
        <v>45815</v>
      </c>
      <c r="E1242" s="19" t="s">
        <v>20</v>
      </c>
      <c r="F1242" s="19" t="s">
        <v>26</v>
      </c>
      <c r="G1242" s="19" t="s">
        <v>15</v>
      </c>
      <c r="H1242" s="19" t="s">
        <v>8364</v>
      </c>
      <c r="I1242" s="19">
        <v>8</v>
      </c>
      <c r="J1242" s="19">
        <v>2</v>
      </c>
      <c r="K1242" s="19">
        <v>5</v>
      </c>
      <c r="L1242" s="19" t="s">
        <v>17</v>
      </c>
      <c r="M1242" s="21"/>
      <c r="N1242">
        <f t="shared" si="19"/>
        <v>1</v>
      </c>
    </row>
    <row r="1243" spans="1:14" x14ac:dyDescent="0.35">
      <c r="A1243" s="22" t="s">
        <v>1313</v>
      </c>
      <c r="B1243" s="23" t="s">
        <v>104</v>
      </c>
      <c r="C1243" s="23">
        <v>7</v>
      </c>
      <c r="D1243" s="24">
        <v>45856</v>
      </c>
      <c r="E1243" s="23" t="s">
        <v>13</v>
      </c>
      <c r="F1243" s="23" t="s">
        <v>14</v>
      </c>
      <c r="G1243" s="23" t="s">
        <v>31</v>
      </c>
      <c r="H1243" s="23" t="s">
        <v>8364</v>
      </c>
      <c r="I1243" s="23">
        <v>24</v>
      </c>
      <c r="J1243" s="23">
        <v>1</v>
      </c>
      <c r="K1243" s="23">
        <v>3</v>
      </c>
      <c r="L1243" s="23" t="s">
        <v>44</v>
      </c>
      <c r="M1243" s="25">
        <v>7.9</v>
      </c>
      <c r="N1243">
        <f t="shared" si="19"/>
        <v>1</v>
      </c>
    </row>
    <row r="1244" spans="1:14" x14ac:dyDescent="0.35">
      <c r="A1244" s="6" t="s">
        <v>1314</v>
      </c>
      <c r="B1244" s="19" t="s">
        <v>23</v>
      </c>
      <c r="C1244" s="19">
        <v>10</v>
      </c>
      <c r="D1244" s="20">
        <v>45945</v>
      </c>
      <c r="E1244" s="19" t="s">
        <v>36</v>
      </c>
      <c r="F1244" s="19" t="s">
        <v>8364</v>
      </c>
      <c r="G1244" s="19" t="s">
        <v>21</v>
      </c>
      <c r="H1244" s="19" t="s">
        <v>32</v>
      </c>
      <c r="I1244" s="19">
        <v>48</v>
      </c>
      <c r="J1244" s="19">
        <v>1</v>
      </c>
      <c r="K1244" s="19">
        <v>3</v>
      </c>
      <c r="L1244" s="19" t="s">
        <v>55</v>
      </c>
      <c r="M1244" s="21">
        <v>4.9000000000000004</v>
      </c>
      <c r="N1244">
        <f t="shared" si="19"/>
        <v>1</v>
      </c>
    </row>
    <row r="1245" spans="1:14" x14ac:dyDescent="0.35">
      <c r="A1245" s="22" t="s">
        <v>1315</v>
      </c>
      <c r="B1245" s="23" t="s">
        <v>39</v>
      </c>
      <c r="C1245" s="23">
        <v>5</v>
      </c>
      <c r="D1245" s="24">
        <v>45786</v>
      </c>
      <c r="E1245" s="23" t="s">
        <v>13</v>
      </c>
      <c r="F1245" s="23" t="s">
        <v>14</v>
      </c>
      <c r="G1245" s="23" t="s">
        <v>15</v>
      </c>
      <c r="H1245" s="23" t="s">
        <v>8364</v>
      </c>
      <c r="I1245" s="23">
        <v>24</v>
      </c>
      <c r="J1245" s="23">
        <v>3</v>
      </c>
      <c r="K1245" s="23">
        <v>4</v>
      </c>
      <c r="L1245" s="23" t="s">
        <v>55</v>
      </c>
      <c r="M1245" s="25">
        <v>10.7</v>
      </c>
      <c r="N1245">
        <f t="shared" si="19"/>
        <v>1</v>
      </c>
    </row>
    <row r="1246" spans="1:14" x14ac:dyDescent="0.35">
      <c r="A1246" s="6" t="s">
        <v>1316</v>
      </c>
      <c r="B1246" s="19" t="s">
        <v>49</v>
      </c>
      <c r="C1246" s="19">
        <v>1</v>
      </c>
      <c r="D1246" s="20">
        <v>45685</v>
      </c>
      <c r="E1246" s="19" t="s">
        <v>8364</v>
      </c>
      <c r="F1246" s="19" t="s">
        <v>59</v>
      </c>
      <c r="G1246" s="19" t="s">
        <v>27</v>
      </c>
      <c r="H1246" s="19" t="s">
        <v>28</v>
      </c>
      <c r="I1246" s="19">
        <v>48</v>
      </c>
      <c r="J1246" s="19">
        <v>2</v>
      </c>
      <c r="K1246" s="19">
        <v>5</v>
      </c>
      <c r="L1246" s="19" t="s">
        <v>55</v>
      </c>
      <c r="M1246" s="21">
        <v>5.5</v>
      </c>
      <c r="N1246">
        <f t="shared" si="19"/>
        <v>1</v>
      </c>
    </row>
    <row r="1247" spans="1:14" x14ac:dyDescent="0.35">
      <c r="A1247" s="22" t="s">
        <v>1317</v>
      </c>
      <c r="B1247" s="23" t="s">
        <v>108</v>
      </c>
      <c r="C1247" s="23">
        <v>7</v>
      </c>
      <c r="D1247" s="24">
        <v>45843</v>
      </c>
      <c r="E1247" s="23" t="s">
        <v>68</v>
      </c>
      <c r="F1247" s="23" t="s">
        <v>40</v>
      </c>
      <c r="G1247" s="23" t="s">
        <v>15</v>
      </c>
      <c r="H1247" s="23" t="s">
        <v>16</v>
      </c>
      <c r="I1247" s="23">
        <v>4</v>
      </c>
      <c r="J1247" s="23">
        <v>0</v>
      </c>
      <c r="K1247" s="23">
        <v>1</v>
      </c>
      <c r="L1247" s="23" t="s">
        <v>17</v>
      </c>
      <c r="M1247" s="25">
        <v>13.9</v>
      </c>
      <c r="N1247">
        <f t="shared" si="19"/>
        <v>0</v>
      </c>
    </row>
    <row r="1248" spans="1:14" x14ac:dyDescent="0.35">
      <c r="A1248" s="6" t="s">
        <v>1318</v>
      </c>
      <c r="B1248" s="19" t="s">
        <v>253</v>
      </c>
      <c r="C1248" s="19">
        <v>1</v>
      </c>
      <c r="D1248" s="20">
        <v>45666</v>
      </c>
      <c r="E1248" s="19" t="s">
        <v>25</v>
      </c>
      <c r="F1248" s="19" t="s">
        <v>8364</v>
      </c>
      <c r="G1248" s="19" t="s">
        <v>15</v>
      </c>
      <c r="H1248" s="19" t="s">
        <v>22</v>
      </c>
      <c r="I1248" s="19">
        <v>24</v>
      </c>
      <c r="J1248" s="19">
        <v>0</v>
      </c>
      <c r="K1248" s="19">
        <v>4</v>
      </c>
      <c r="L1248" s="19" t="s">
        <v>8363</v>
      </c>
      <c r="M1248" s="21"/>
      <c r="N1248">
        <f t="shared" si="19"/>
        <v>1</v>
      </c>
    </row>
    <row r="1249" spans="1:14" x14ac:dyDescent="0.35">
      <c r="A1249" s="22" t="s">
        <v>1319</v>
      </c>
      <c r="B1249" s="23" t="s">
        <v>34</v>
      </c>
      <c r="C1249" s="23">
        <v>9</v>
      </c>
      <c r="D1249" s="24">
        <v>45925</v>
      </c>
      <c r="E1249" s="23" t="s">
        <v>68</v>
      </c>
      <c r="F1249" s="23" t="s">
        <v>14</v>
      </c>
      <c r="G1249" s="23" t="s">
        <v>21</v>
      </c>
      <c r="H1249" s="23" t="s">
        <v>32</v>
      </c>
      <c r="I1249" s="23">
        <v>24</v>
      </c>
      <c r="J1249" s="23"/>
      <c r="K1249" s="23">
        <v>3</v>
      </c>
      <c r="L1249" s="23" t="s">
        <v>33</v>
      </c>
      <c r="M1249" s="25">
        <v>20.9</v>
      </c>
      <c r="N1249">
        <f t="shared" si="19"/>
        <v>1</v>
      </c>
    </row>
    <row r="1250" spans="1:14" x14ac:dyDescent="0.35">
      <c r="A1250" s="6" t="s">
        <v>1320</v>
      </c>
      <c r="B1250" s="19" t="s">
        <v>69</v>
      </c>
      <c r="C1250" s="19">
        <v>12</v>
      </c>
      <c r="D1250" s="20">
        <v>46021</v>
      </c>
      <c r="E1250" s="19" t="s">
        <v>20</v>
      </c>
      <c r="F1250" s="19" t="s">
        <v>14</v>
      </c>
      <c r="G1250" s="19" t="s">
        <v>15</v>
      </c>
      <c r="H1250" s="19" t="s">
        <v>8364</v>
      </c>
      <c r="I1250" s="19">
        <v>72</v>
      </c>
      <c r="J1250" s="19">
        <v>0</v>
      </c>
      <c r="K1250" s="19">
        <v>5</v>
      </c>
      <c r="L1250" s="19" t="s">
        <v>44</v>
      </c>
      <c r="M1250" s="21"/>
      <c r="N1250">
        <f t="shared" si="19"/>
        <v>1</v>
      </c>
    </row>
    <row r="1251" spans="1:14" x14ac:dyDescent="0.35">
      <c r="A1251" s="22" t="s">
        <v>1321</v>
      </c>
      <c r="B1251" s="23" t="s">
        <v>57</v>
      </c>
      <c r="C1251" s="23">
        <v>11</v>
      </c>
      <c r="D1251" s="24">
        <v>45968</v>
      </c>
      <c r="E1251" s="23" t="s">
        <v>13</v>
      </c>
      <c r="F1251" s="23" t="s">
        <v>8364</v>
      </c>
      <c r="G1251" s="23" t="s">
        <v>8364</v>
      </c>
      <c r="H1251" s="23" t="s">
        <v>22</v>
      </c>
      <c r="I1251" s="23">
        <v>4</v>
      </c>
      <c r="J1251" s="23">
        <v>0</v>
      </c>
      <c r="K1251" s="23">
        <v>2</v>
      </c>
      <c r="L1251" s="23" t="s">
        <v>62</v>
      </c>
      <c r="M1251" s="25">
        <v>10.5</v>
      </c>
      <c r="N1251">
        <f t="shared" si="19"/>
        <v>0</v>
      </c>
    </row>
    <row r="1252" spans="1:14" x14ac:dyDescent="0.35">
      <c r="A1252" s="6" t="s">
        <v>1322</v>
      </c>
      <c r="B1252" s="19" t="s">
        <v>45</v>
      </c>
      <c r="C1252" s="19">
        <v>9</v>
      </c>
      <c r="D1252" s="20">
        <v>45901</v>
      </c>
      <c r="E1252" s="19" t="s">
        <v>8364</v>
      </c>
      <c r="F1252" s="19" t="s">
        <v>26</v>
      </c>
      <c r="G1252" s="19" t="s">
        <v>15</v>
      </c>
      <c r="H1252" s="19" t="s">
        <v>32</v>
      </c>
      <c r="I1252" s="19">
        <v>4</v>
      </c>
      <c r="J1252" s="19">
        <v>0</v>
      </c>
      <c r="K1252" s="19">
        <v>5</v>
      </c>
      <c r="L1252" s="19" t="s">
        <v>75</v>
      </c>
      <c r="M1252" s="21">
        <v>23.5</v>
      </c>
      <c r="N1252">
        <f t="shared" si="19"/>
        <v>0</v>
      </c>
    </row>
    <row r="1253" spans="1:14" x14ac:dyDescent="0.35">
      <c r="A1253" s="22" t="s">
        <v>1323</v>
      </c>
      <c r="B1253" s="23" t="s">
        <v>51</v>
      </c>
      <c r="C1253" s="23">
        <v>2</v>
      </c>
      <c r="D1253" s="24">
        <v>45692</v>
      </c>
      <c r="E1253" s="23" t="s">
        <v>8364</v>
      </c>
      <c r="F1253" s="23" t="s">
        <v>14</v>
      </c>
      <c r="G1253" s="23" t="s">
        <v>27</v>
      </c>
      <c r="H1253" s="23" t="s">
        <v>16</v>
      </c>
      <c r="I1253" s="23">
        <v>48</v>
      </c>
      <c r="J1253" s="23">
        <v>1</v>
      </c>
      <c r="K1253" s="23">
        <v>5</v>
      </c>
      <c r="L1253" s="23" t="s">
        <v>55</v>
      </c>
      <c r="M1253" s="25"/>
      <c r="N1253">
        <f t="shared" si="19"/>
        <v>1</v>
      </c>
    </row>
    <row r="1254" spans="1:14" x14ac:dyDescent="0.35">
      <c r="A1254" s="6" t="s">
        <v>1324</v>
      </c>
      <c r="B1254" s="19" t="s">
        <v>51</v>
      </c>
      <c r="C1254" s="19">
        <v>9</v>
      </c>
      <c r="D1254" s="20">
        <v>45912</v>
      </c>
      <c r="E1254" s="19" t="s">
        <v>68</v>
      </c>
      <c r="F1254" s="19" t="s">
        <v>37</v>
      </c>
      <c r="G1254" s="19" t="s">
        <v>31</v>
      </c>
      <c r="H1254" s="19" t="s">
        <v>22</v>
      </c>
      <c r="I1254" s="19">
        <v>48</v>
      </c>
      <c r="J1254" s="19">
        <v>0</v>
      </c>
      <c r="K1254" s="19">
        <v>4</v>
      </c>
      <c r="L1254" s="19" t="s">
        <v>75</v>
      </c>
      <c r="M1254" s="21">
        <v>15.2</v>
      </c>
      <c r="N1254">
        <f t="shared" si="19"/>
        <v>1</v>
      </c>
    </row>
    <row r="1255" spans="1:14" x14ac:dyDescent="0.35">
      <c r="A1255" s="22" t="s">
        <v>1325</v>
      </c>
      <c r="B1255" s="23" t="s">
        <v>146</v>
      </c>
      <c r="C1255" s="23">
        <v>9</v>
      </c>
      <c r="D1255" s="24">
        <v>45911</v>
      </c>
      <c r="E1255" s="23" t="s">
        <v>25</v>
      </c>
      <c r="F1255" s="23" t="s">
        <v>14</v>
      </c>
      <c r="G1255" s="23" t="s">
        <v>21</v>
      </c>
      <c r="H1255" s="23" t="s">
        <v>28</v>
      </c>
      <c r="I1255" s="23">
        <v>4</v>
      </c>
      <c r="J1255" s="23">
        <v>0</v>
      </c>
      <c r="K1255" s="23">
        <v>5</v>
      </c>
      <c r="L1255" s="23" t="s">
        <v>44</v>
      </c>
      <c r="M1255" s="25">
        <v>14.3</v>
      </c>
      <c r="N1255">
        <f t="shared" si="19"/>
        <v>0</v>
      </c>
    </row>
    <row r="1256" spans="1:14" x14ac:dyDescent="0.35">
      <c r="A1256" s="6" t="s">
        <v>1326</v>
      </c>
      <c r="B1256" s="19" t="s">
        <v>29</v>
      </c>
      <c r="C1256" s="19">
        <v>8</v>
      </c>
      <c r="D1256" s="20">
        <v>45877</v>
      </c>
      <c r="E1256" s="19" t="s">
        <v>13</v>
      </c>
      <c r="F1256" s="19" t="s">
        <v>43</v>
      </c>
      <c r="G1256" s="19" t="s">
        <v>15</v>
      </c>
      <c r="H1256" s="19" t="s">
        <v>22</v>
      </c>
      <c r="I1256" s="19">
        <v>4</v>
      </c>
      <c r="J1256" s="19">
        <v>0</v>
      </c>
      <c r="K1256" s="19">
        <v>4</v>
      </c>
      <c r="L1256" s="19" t="s">
        <v>8363</v>
      </c>
      <c r="M1256" s="21">
        <v>16.5</v>
      </c>
      <c r="N1256">
        <f t="shared" si="19"/>
        <v>0</v>
      </c>
    </row>
    <row r="1257" spans="1:14" x14ac:dyDescent="0.35">
      <c r="A1257" s="22" t="s">
        <v>1327</v>
      </c>
      <c r="B1257" s="23" t="s">
        <v>143</v>
      </c>
      <c r="C1257" s="23">
        <v>5</v>
      </c>
      <c r="D1257" s="24">
        <v>45801</v>
      </c>
      <c r="E1257" s="23" t="s">
        <v>8364</v>
      </c>
      <c r="F1257" s="23" t="s">
        <v>37</v>
      </c>
      <c r="G1257" s="23" t="s">
        <v>21</v>
      </c>
      <c r="H1257" s="23" t="s">
        <v>22</v>
      </c>
      <c r="I1257" s="23">
        <v>8</v>
      </c>
      <c r="J1257" s="23">
        <v>0</v>
      </c>
      <c r="K1257" s="23">
        <v>4</v>
      </c>
      <c r="L1257" s="23" t="s">
        <v>75</v>
      </c>
      <c r="M1257" s="25"/>
      <c r="N1257">
        <f t="shared" si="19"/>
        <v>1</v>
      </c>
    </row>
    <row r="1258" spans="1:14" x14ac:dyDescent="0.35">
      <c r="A1258" s="6" t="s">
        <v>1328</v>
      </c>
      <c r="B1258" s="19" t="s">
        <v>18</v>
      </c>
      <c r="C1258" s="19">
        <v>2</v>
      </c>
      <c r="D1258" s="20">
        <v>45697</v>
      </c>
      <c r="E1258" s="19" t="s">
        <v>13</v>
      </c>
      <c r="F1258" s="19" t="s">
        <v>26</v>
      </c>
      <c r="G1258" s="19" t="s">
        <v>15</v>
      </c>
      <c r="H1258" s="19" t="s">
        <v>8364</v>
      </c>
      <c r="I1258" s="19">
        <v>48</v>
      </c>
      <c r="J1258" s="19">
        <v>0</v>
      </c>
      <c r="K1258" s="19">
        <v>2</v>
      </c>
      <c r="L1258" s="19" t="s">
        <v>8363</v>
      </c>
      <c r="M1258" s="21">
        <v>5.3</v>
      </c>
      <c r="N1258">
        <f t="shared" si="19"/>
        <v>1</v>
      </c>
    </row>
    <row r="1259" spans="1:14" x14ac:dyDescent="0.35">
      <c r="A1259" s="22" t="s">
        <v>1329</v>
      </c>
      <c r="B1259" s="23" t="s">
        <v>34</v>
      </c>
      <c r="C1259" s="23">
        <v>5</v>
      </c>
      <c r="D1259" s="24">
        <v>45793</v>
      </c>
      <c r="E1259" s="23" t="s">
        <v>8364</v>
      </c>
      <c r="F1259" s="23" t="s">
        <v>14</v>
      </c>
      <c r="G1259" s="23" t="s">
        <v>21</v>
      </c>
      <c r="H1259" s="23" t="s">
        <v>32</v>
      </c>
      <c r="I1259" s="23">
        <v>48</v>
      </c>
      <c r="J1259" s="23">
        <v>0</v>
      </c>
      <c r="K1259" s="23"/>
      <c r="L1259" s="23" t="s">
        <v>38</v>
      </c>
      <c r="M1259" s="25">
        <v>5.3</v>
      </c>
      <c r="N1259">
        <f t="shared" si="19"/>
        <v>1</v>
      </c>
    </row>
    <row r="1260" spans="1:14" x14ac:dyDescent="0.35">
      <c r="A1260" s="6" t="s">
        <v>1330</v>
      </c>
      <c r="B1260" s="19" t="s">
        <v>143</v>
      </c>
      <c r="C1260" s="19">
        <v>12</v>
      </c>
      <c r="D1260" s="20">
        <v>46007</v>
      </c>
      <c r="E1260" s="19" t="s">
        <v>68</v>
      </c>
      <c r="F1260" s="19" t="s">
        <v>14</v>
      </c>
      <c r="G1260" s="19" t="s">
        <v>15</v>
      </c>
      <c r="H1260" s="19" t="s">
        <v>32</v>
      </c>
      <c r="I1260" s="19">
        <v>4</v>
      </c>
      <c r="J1260" s="19">
        <v>0</v>
      </c>
      <c r="K1260" s="19">
        <v>1</v>
      </c>
      <c r="L1260" s="19" t="s">
        <v>8363</v>
      </c>
      <c r="M1260" s="21">
        <v>12.2</v>
      </c>
      <c r="N1260">
        <f t="shared" si="19"/>
        <v>0</v>
      </c>
    </row>
    <row r="1261" spans="1:14" x14ac:dyDescent="0.35">
      <c r="A1261" s="22" t="s">
        <v>1331</v>
      </c>
      <c r="B1261" s="23" t="s">
        <v>53</v>
      </c>
      <c r="C1261" s="23">
        <v>1</v>
      </c>
      <c r="D1261" s="24">
        <v>45684</v>
      </c>
      <c r="E1261" s="23" t="s">
        <v>20</v>
      </c>
      <c r="F1261" s="23" t="s">
        <v>43</v>
      </c>
      <c r="G1261" s="23" t="s">
        <v>31</v>
      </c>
      <c r="H1261" s="23" t="s">
        <v>32</v>
      </c>
      <c r="I1261" s="23">
        <v>24</v>
      </c>
      <c r="J1261" s="23">
        <v>0</v>
      </c>
      <c r="K1261" s="23">
        <v>2</v>
      </c>
      <c r="L1261" s="23" t="s">
        <v>44</v>
      </c>
      <c r="M1261" s="25">
        <v>10.5</v>
      </c>
      <c r="N1261">
        <f t="shared" si="19"/>
        <v>1</v>
      </c>
    </row>
    <row r="1262" spans="1:14" x14ac:dyDescent="0.35">
      <c r="A1262" s="6" t="s">
        <v>1332</v>
      </c>
      <c r="B1262" s="19" t="s">
        <v>53</v>
      </c>
      <c r="C1262" s="19">
        <v>2</v>
      </c>
      <c r="D1262" s="20">
        <v>45697</v>
      </c>
      <c r="E1262" s="19" t="s">
        <v>36</v>
      </c>
      <c r="F1262" s="19" t="s">
        <v>14</v>
      </c>
      <c r="G1262" s="19" t="s">
        <v>27</v>
      </c>
      <c r="H1262" s="19" t="s">
        <v>32</v>
      </c>
      <c r="I1262" s="19">
        <v>24</v>
      </c>
      <c r="J1262" s="19">
        <v>0</v>
      </c>
      <c r="K1262" s="19">
        <v>3</v>
      </c>
      <c r="L1262" s="19" t="s">
        <v>55</v>
      </c>
      <c r="M1262" s="21">
        <v>4.9000000000000004</v>
      </c>
      <c r="N1262">
        <f t="shared" si="19"/>
        <v>1</v>
      </c>
    </row>
    <row r="1263" spans="1:14" x14ac:dyDescent="0.35">
      <c r="A1263" s="22" t="s">
        <v>1333</v>
      </c>
      <c r="B1263" s="23" t="s">
        <v>69</v>
      </c>
      <c r="C1263" s="23"/>
      <c r="D1263" s="24"/>
      <c r="E1263" s="23" t="s">
        <v>20</v>
      </c>
      <c r="F1263" s="23" t="s">
        <v>43</v>
      </c>
      <c r="G1263" s="23" t="s">
        <v>31</v>
      </c>
      <c r="H1263" s="23" t="s">
        <v>22</v>
      </c>
      <c r="I1263" s="23">
        <v>72</v>
      </c>
      <c r="J1263" s="23">
        <v>0</v>
      </c>
      <c r="K1263" s="23">
        <v>5</v>
      </c>
      <c r="L1263" s="23" t="s">
        <v>8363</v>
      </c>
      <c r="M1263" s="25">
        <v>5.8</v>
      </c>
      <c r="N1263">
        <f t="shared" si="19"/>
        <v>1</v>
      </c>
    </row>
    <row r="1264" spans="1:14" x14ac:dyDescent="0.35">
      <c r="A1264" s="6" t="s">
        <v>1334</v>
      </c>
      <c r="B1264" s="19" t="s">
        <v>34</v>
      </c>
      <c r="C1264" s="19"/>
      <c r="D1264" s="20"/>
      <c r="E1264" s="19" t="s">
        <v>25</v>
      </c>
      <c r="F1264" s="19" t="s">
        <v>14</v>
      </c>
      <c r="G1264" s="19" t="s">
        <v>31</v>
      </c>
      <c r="H1264" s="19" t="s">
        <v>22</v>
      </c>
      <c r="I1264" s="19">
        <v>72</v>
      </c>
      <c r="J1264" s="19">
        <v>0</v>
      </c>
      <c r="K1264" s="19">
        <v>4</v>
      </c>
      <c r="L1264" s="19" t="s">
        <v>38</v>
      </c>
      <c r="M1264" s="21">
        <v>3</v>
      </c>
      <c r="N1264">
        <f t="shared" si="19"/>
        <v>1</v>
      </c>
    </row>
    <row r="1265" spans="1:14" x14ac:dyDescent="0.35">
      <c r="A1265" s="22" t="s">
        <v>1335</v>
      </c>
      <c r="B1265" s="23" t="s">
        <v>34</v>
      </c>
      <c r="C1265" s="23">
        <v>4</v>
      </c>
      <c r="D1265" s="24">
        <v>45773</v>
      </c>
      <c r="E1265" s="23" t="s">
        <v>25</v>
      </c>
      <c r="F1265" s="23" t="s">
        <v>26</v>
      </c>
      <c r="G1265" s="23" t="s">
        <v>27</v>
      </c>
      <c r="H1265" s="23" t="s">
        <v>22</v>
      </c>
      <c r="I1265" s="23">
        <v>72</v>
      </c>
      <c r="J1265" s="23">
        <v>0</v>
      </c>
      <c r="K1265" s="23">
        <v>3</v>
      </c>
      <c r="L1265" s="23" t="s">
        <v>8363</v>
      </c>
      <c r="M1265" s="25"/>
      <c r="N1265">
        <f t="shared" si="19"/>
        <v>1</v>
      </c>
    </row>
    <row r="1266" spans="1:14" x14ac:dyDescent="0.35">
      <c r="A1266" s="6" t="s">
        <v>1336</v>
      </c>
      <c r="B1266" s="19" t="s">
        <v>51</v>
      </c>
      <c r="C1266" s="19">
        <v>12</v>
      </c>
      <c r="D1266" s="20">
        <v>46001</v>
      </c>
      <c r="E1266" s="19" t="s">
        <v>68</v>
      </c>
      <c r="F1266" s="19" t="s">
        <v>26</v>
      </c>
      <c r="G1266" s="19" t="s">
        <v>15</v>
      </c>
      <c r="H1266" s="19" t="s">
        <v>22</v>
      </c>
      <c r="I1266" s="19">
        <v>24</v>
      </c>
      <c r="J1266" s="19">
        <v>0</v>
      </c>
      <c r="K1266" s="19">
        <v>5</v>
      </c>
      <c r="L1266" s="19" t="s">
        <v>62</v>
      </c>
      <c r="M1266" s="21">
        <v>10.9</v>
      </c>
      <c r="N1266">
        <f t="shared" si="19"/>
        <v>1</v>
      </c>
    </row>
    <row r="1267" spans="1:14" x14ac:dyDescent="0.35">
      <c r="A1267" s="22" t="s">
        <v>1337</v>
      </c>
      <c r="B1267" s="23" t="s">
        <v>85</v>
      </c>
      <c r="C1267" s="23"/>
      <c r="D1267" s="24"/>
      <c r="E1267" s="23" t="s">
        <v>25</v>
      </c>
      <c r="F1267" s="23" t="s">
        <v>37</v>
      </c>
      <c r="G1267" s="23" t="s">
        <v>21</v>
      </c>
      <c r="H1267" s="23" t="s">
        <v>22</v>
      </c>
      <c r="I1267" s="23">
        <v>4</v>
      </c>
      <c r="J1267" s="23">
        <v>0</v>
      </c>
      <c r="K1267" s="23">
        <v>3</v>
      </c>
      <c r="L1267" s="23" t="s">
        <v>17</v>
      </c>
      <c r="M1267" s="25">
        <v>28.7</v>
      </c>
      <c r="N1267">
        <f t="shared" si="19"/>
        <v>0</v>
      </c>
    </row>
    <row r="1268" spans="1:14" x14ac:dyDescent="0.35">
      <c r="A1268" s="6" t="s">
        <v>1338</v>
      </c>
      <c r="B1268" s="19" t="s">
        <v>39</v>
      </c>
      <c r="C1268" s="19"/>
      <c r="D1268" s="20"/>
      <c r="E1268" s="19" t="s">
        <v>36</v>
      </c>
      <c r="F1268" s="19" t="s">
        <v>40</v>
      </c>
      <c r="G1268" s="19" t="s">
        <v>8364</v>
      </c>
      <c r="H1268" s="19" t="s">
        <v>32</v>
      </c>
      <c r="I1268" s="19">
        <v>4</v>
      </c>
      <c r="J1268" s="19">
        <v>1</v>
      </c>
      <c r="K1268" s="19">
        <v>5</v>
      </c>
      <c r="L1268" s="19" t="s">
        <v>62</v>
      </c>
      <c r="M1268" s="21">
        <v>14</v>
      </c>
      <c r="N1268">
        <f t="shared" si="19"/>
        <v>0</v>
      </c>
    </row>
    <row r="1269" spans="1:14" x14ac:dyDescent="0.35">
      <c r="A1269" s="22" t="s">
        <v>1339</v>
      </c>
      <c r="B1269" s="23" t="s">
        <v>34</v>
      </c>
      <c r="C1269" s="23">
        <v>9</v>
      </c>
      <c r="D1269" s="24">
        <v>45911</v>
      </c>
      <c r="E1269" s="23" t="s">
        <v>68</v>
      </c>
      <c r="F1269" s="23" t="s">
        <v>43</v>
      </c>
      <c r="G1269" s="23" t="s">
        <v>15</v>
      </c>
      <c r="H1269" s="23" t="s">
        <v>22</v>
      </c>
      <c r="I1269" s="23">
        <v>48</v>
      </c>
      <c r="J1269" s="23">
        <v>0</v>
      </c>
      <c r="K1269" s="23"/>
      <c r="L1269" s="23" t="s">
        <v>38</v>
      </c>
      <c r="M1269" s="25">
        <v>1.4</v>
      </c>
      <c r="N1269">
        <f t="shared" si="19"/>
        <v>1</v>
      </c>
    </row>
    <row r="1270" spans="1:14" x14ac:dyDescent="0.35">
      <c r="A1270" s="6" t="s">
        <v>1340</v>
      </c>
      <c r="B1270" s="19" t="s">
        <v>87</v>
      </c>
      <c r="C1270" s="19"/>
      <c r="D1270" s="20"/>
      <c r="E1270" s="19" t="s">
        <v>25</v>
      </c>
      <c r="F1270" s="19" t="s">
        <v>14</v>
      </c>
      <c r="G1270" s="19" t="s">
        <v>31</v>
      </c>
      <c r="H1270" s="19" t="s">
        <v>8364</v>
      </c>
      <c r="I1270" s="19">
        <v>48</v>
      </c>
      <c r="J1270" s="19">
        <v>0</v>
      </c>
      <c r="K1270" s="19">
        <v>3</v>
      </c>
      <c r="L1270" s="19" t="s">
        <v>62</v>
      </c>
      <c r="M1270" s="21">
        <v>15.7</v>
      </c>
      <c r="N1270">
        <f t="shared" si="19"/>
        <v>1</v>
      </c>
    </row>
    <row r="1271" spans="1:14" x14ac:dyDescent="0.35">
      <c r="A1271" s="22" t="s">
        <v>1341</v>
      </c>
      <c r="B1271" s="23" t="s">
        <v>146</v>
      </c>
      <c r="C1271" s="23">
        <v>6</v>
      </c>
      <c r="D1271" s="24">
        <v>45836</v>
      </c>
      <c r="E1271" s="23" t="s">
        <v>36</v>
      </c>
      <c r="F1271" s="23" t="s">
        <v>8364</v>
      </c>
      <c r="G1271" s="23" t="s">
        <v>8364</v>
      </c>
      <c r="H1271" s="23" t="s">
        <v>28</v>
      </c>
      <c r="I1271" s="23">
        <v>48</v>
      </c>
      <c r="J1271" s="23">
        <v>0</v>
      </c>
      <c r="K1271" s="23">
        <v>2</v>
      </c>
      <c r="L1271" s="23" t="s">
        <v>55</v>
      </c>
      <c r="M1271" s="25">
        <v>16.3</v>
      </c>
      <c r="N1271">
        <f t="shared" si="19"/>
        <v>1</v>
      </c>
    </row>
    <row r="1272" spans="1:14" x14ac:dyDescent="0.35">
      <c r="A1272" s="6" t="s">
        <v>1342</v>
      </c>
      <c r="B1272" s="19" t="s">
        <v>81</v>
      </c>
      <c r="C1272" s="19"/>
      <c r="D1272" s="20"/>
      <c r="E1272" s="19" t="s">
        <v>20</v>
      </c>
      <c r="F1272" s="19" t="s">
        <v>14</v>
      </c>
      <c r="G1272" s="19" t="s">
        <v>15</v>
      </c>
      <c r="H1272" s="19" t="s">
        <v>22</v>
      </c>
      <c r="I1272" s="19">
        <v>72</v>
      </c>
      <c r="J1272" s="19">
        <v>3</v>
      </c>
      <c r="K1272" s="19">
        <v>2</v>
      </c>
      <c r="L1272" s="19" t="s">
        <v>8363</v>
      </c>
      <c r="M1272" s="21">
        <v>13.3</v>
      </c>
      <c r="N1272">
        <f t="shared" si="19"/>
        <v>1</v>
      </c>
    </row>
    <row r="1273" spans="1:14" x14ac:dyDescent="0.35">
      <c r="A1273" s="22" t="s">
        <v>1343</v>
      </c>
      <c r="B1273" s="23" t="s">
        <v>51</v>
      </c>
      <c r="C1273" s="23">
        <v>7</v>
      </c>
      <c r="D1273" s="24">
        <v>45860</v>
      </c>
      <c r="E1273" s="23" t="s">
        <v>36</v>
      </c>
      <c r="F1273" s="23" t="s">
        <v>59</v>
      </c>
      <c r="G1273" s="23" t="s">
        <v>27</v>
      </c>
      <c r="H1273" s="23" t="s">
        <v>32</v>
      </c>
      <c r="I1273" s="23">
        <v>48</v>
      </c>
      <c r="J1273" s="23">
        <v>0</v>
      </c>
      <c r="K1273" s="23">
        <v>2</v>
      </c>
      <c r="L1273" s="23" t="s">
        <v>8363</v>
      </c>
      <c r="M1273" s="25">
        <v>15.2</v>
      </c>
      <c r="N1273">
        <f t="shared" si="19"/>
        <v>1</v>
      </c>
    </row>
    <row r="1274" spans="1:14" x14ac:dyDescent="0.35">
      <c r="A1274" s="6" t="s">
        <v>1344</v>
      </c>
      <c r="B1274" s="19" t="s">
        <v>85</v>
      </c>
      <c r="C1274" s="19">
        <v>12</v>
      </c>
      <c r="D1274" s="20">
        <v>46020</v>
      </c>
      <c r="E1274" s="19" t="s">
        <v>36</v>
      </c>
      <c r="F1274" s="19" t="s">
        <v>14</v>
      </c>
      <c r="G1274" s="19" t="s">
        <v>21</v>
      </c>
      <c r="H1274" s="19" t="s">
        <v>32</v>
      </c>
      <c r="I1274" s="19">
        <v>24</v>
      </c>
      <c r="J1274" s="19">
        <v>0</v>
      </c>
      <c r="K1274" s="19">
        <v>5</v>
      </c>
      <c r="L1274" s="19" t="s">
        <v>33</v>
      </c>
      <c r="M1274" s="21">
        <v>9.1999999999999993</v>
      </c>
      <c r="N1274">
        <f t="shared" si="19"/>
        <v>1</v>
      </c>
    </row>
    <row r="1275" spans="1:14" x14ac:dyDescent="0.35">
      <c r="A1275" s="22" t="s">
        <v>1345</v>
      </c>
      <c r="B1275" s="23" t="s">
        <v>18</v>
      </c>
      <c r="C1275" s="23">
        <v>5</v>
      </c>
      <c r="D1275" s="24">
        <v>45793</v>
      </c>
      <c r="E1275" s="23" t="s">
        <v>36</v>
      </c>
      <c r="F1275" s="23" t="s">
        <v>14</v>
      </c>
      <c r="G1275" s="23" t="s">
        <v>21</v>
      </c>
      <c r="H1275" s="23" t="s">
        <v>22</v>
      </c>
      <c r="I1275" s="23">
        <v>48</v>
      </c>
      <c r="J1275" s="23">
        <v>0</v>
      </c>
      <c r="K1275" s="23">
        <v>1</v>
      </c>
      <c r="L1275" s="23" t="s">
        <v>55</v>
      </c>
      <c r="M1275" s="25">
        <v>11.1</v>
      </c>
      <c r="N1275">
        <f t="shared" si="19"/>
        <v>1</v>
      </c>
    </row>
    <row r="1276" spans="1:14" x14ac:dyDescent="0.35">
      <c r="A1276" s="6" t="s">
        <v>1346</v>
      </c>
      <c r="B1276" s="19" t="s">
        <v>18</v>
      </c>
      <c r="C1276" s="19">
        <v>12</v>
      </c>
      <c r="D1276" s="20">
        <v>46018</v>
      </c>
      <c r="E1276" s="19" t="s">
        <v>13</v>
      </c>
      <c r="F1276" s="19" t="s">
        <v>43</v>
      </c>
      <c r="G1276" s="19" t="s">
        <v>21</v>
      </c>
      <c r="H1276" s="19" t="s">
        <v>32</v>
      </c>
      <c r="I1276" s="19">
        <v>48</v>
      </c>
      <c r="J1276" s="19">
        <v>1</v>
      </c>
      <c r="K1276" s="19">
        <v>3</v>
      </c>
      <c r="L1276" s="19" t="s">
        <v>75</v>
      </c>
      <c r="M1276" s="21">
        <v>7.8</v>
      </c>
      <c r="N1276">
        <f t="shared" si="19"/>
        <v>1</v>
      </c>
    </row>
    <row r="1277" spans="1:14" x14ac:dyDescent="0.35">
      <c r="A1277" s="22" t="s">
        <v>1347</v>
      </c>
      <c r="B1277" s="23" t="s">
        <v>53</v>
      </c>
      <c r="C1277" s="23">
        <v>3</v>
      </c>
      <c r="D1277" s="24">
        <v>45718</v>
      </c>
      <c r="E1277" s="23" t="s">
        <v>36</v>
      </c>
      <c r="F1277" s="23" t="s">
        <v>59</v>
      </c>
      <c r="G1277" s="23" t="s">
        <v>15</v>
      </c>
      <c r="H1277" s="23" t="s">
        <v>32</v>
      </c>
      <c r="I1277" s="23">
        <v>24</v>
      </c>
      <c r="J1277" s="23">
        <v>2</v>
      </c>
      <c r="K1277" s="23">
        <v>2</v>
      </c>
      <c r="L1277" s="23" t="s">
        <v>33</v>
      </c>
      <c r="M1277" s="25">
        <v>16.2</v>
      </c>
      <c r="N1277">
        <f t="shared" si="19"/>
        <v>1</v>
      </c>
    </row>
    <row r="1278" spans="1:14" x14ac:dyDescent="0.35">
      <c r="A1278" s="6" t="s">
        <v>1348</v>
      </c>
      <c r="B1278" s="19" t="s">
        <v>29</v>
      </c>
      <c r="C1278" s="19">
        <v>9</v>
      </c>
      <c r="D1278" s="20">
        <v>45903</v>
      </c>
      <c r="E1278" s="19" t="s">
        <v>8364</v>
      </c>
      <c r="F1278" s="19" t="s">
        <v>43</v>
      </c>
      <c r="G1278" s="19" t="s">
        <v>21</v>
      </c>
      <c r="H1278" s="19" t="s">
        <v>32</v>
      </c>
      <c r="I1278" s="19">
        <v>4</v>
      </c>
      <c r="J1278" s="19">
        <v>0</v>
      </c>
      <c r="K1278" s="19">
        <v>2</v>
      </c>
      <c r="L1278" s="19" t="s">
        <v>33</v>
      </c>
      <c r="M1278" s="21">
        <v>18.7</v>
      </c>
      <c r="N1278">
        <f t="shared" si="19"/>
        <v>0</v>
      </c>
    </row>
    <row r="1279" spans="1:14" x14ac:dyDescent="0.35">
      <c r="A1279" s="22" t="s">
        <v>1349</v>
      </c>
      <c r="B1279" s="23" t="s">
        <v>87</v>
      </c>
      <c r="C1279" s="23">
        <v>11</v>
      </c>
      <c r="D1279" s="24">
        <v>45971</v>
      </c>
      <c r="E1279" s="23" t="s">
        <v>8364</v>
      </c>
      <c r="F1279" s="23" t="s">
        <v>14</v>
      </c>
      <c r="G1279" s="23" t="s">
        <v>15</v>
      </c>
      <c r="H1279" s="23" t="s">
        <v>32</v>
      </c>
      <c r="I1279" s="23">
        <v>4</v>
      </c>
      <c r="J1279" s="23">
        <v>0</v>
      </c>
      <c r="K1279" s="23">
        <v>3</v>
      </c>
      <c r="L1279" s="23" t="s">
        <v>38</v>
      </c>
      <c r="M1279" s="25">
        <v>3.1</v>
      </c>
      <c r="N1279">
        <f t="shared" si="19"/>
        <v>1</v>
      </c>
    </row>
    <row r="1280" spans="1:14" x14ac:dyDescent="0.35">
      <c r="A1280" s="6" t="s">
        <v>1350</v>
      </c>
      <c r="B1280" s="19" t="s">
        <v>139</v>
      </c>
      <c r="C1280" s="19">
        <v>6</v>
      </c>
      <c r="D1280" s="20">
        <v>45834</v>
      </c>
      <c r="E1280" s="19" t="s">
        <v>20</v>
      </c>
      <c r="F1280" s="19" t="s">
        <v>26</v>
      </c>
      <c r="G1280" s="19" t="s">
        <v>27</v>
      </c>
      <c r="H1280" s="19" t="s">
        <v>28</v>
      </c>
      <c r="I1280" s="19">
        <v>24</v>
      </c>
      <c r="J1280" s="19">
        <v>1</v>
      </c>
      <c r="K1280" s="19">
        <v>5</v>
      </c>
      <c r="L1280" s="19" t="s">
        <v>17</v>
      </c>
      <c r="M1280" s="21">
        <v>16.399999999999999</v>
      </c>
      <c r="N1280">
        <f t="shared" si="19"/>
        <v>1</v>
      </c>
    </row>
    <row r="1281" spans="1:14" x14ac:dyDescent="0.35">
      <c r="A1281" s="22" t="s">
        <v>1351</v>
      </c>
      <c r="B1281" s="23" t="s">
        <v>65</v>
      </c>
      <c r="C1281" s="23">
        <v>1</v>
      </c>
      <c r="D1281" s="24">
        <v>45666</v>
      </c>
      <c r="E1281" s="23" t="s">
        <v>36</v>
      </c>
      <c r="F1281" s="23" t="s">
        <v>14</v>
      </c>
      <c r="G1281" s="23" t="s">
        <v>27</v>
      </c>
      <c r="H1281" s="23" t="s">
        <v>16</v>
      </c>
      <c r="I1281" s="23">
        <v>24</v>
      </c>
      <c r="J1281" s="23">
        <v>0</v>
      </c>
      <c r="K1281" s="23">
        <v>5</v>
      </c>
      <c r="L1281" s="23" t="s">
        <v>38</v>
      </c>
      <c r="M1281" s="25">
        <v>12.7</v>
      </c>
      <c r="N1281">
        <f t="shared" si="19"/>
        <v>1</v>
      </c>
    </row>
    <row r="1282" spans="1:14" x14ac:dyDescent="0.35">
      <c r="A1282" s="6" t="s">
        <v>1352</v>
      </c>
      <c r="B1282" s="19" t="s">
        <v>101</v>
      </c>
      <c r="C1282" s="19"/>
      <c r="D1282" s="20"/>
      <c r="E1282" s="19" t="s">
        <v>20</v>
      </c>
      <c r="F1282" s="19" t="s">
        <v>43</v>
      </c>
      <c r="G1282" s="19" t="s">
        <v>15</v>
      </c>
      <c r="H1282" s="19" t="s">
        <v>22</v>
      </c>
      <c r="I1282" s="19">
        <v>8</v>
      </c>
      <c r="J1282" s="19">
        <v>1</v>
      </c>
      <c r="K1282" s="19">
        <v>4</v>
      </c>
      <c r="L1282" s="19" t="s">
        <v>62</v>
      </c>
      <c r="M1282" s="21">
        <v>15.2</v>
      </c>
      <c r="N1282">
        <f t="shared" si="19"/>
        <v>0</v>
      </c>
    </row>
    <row r="1283" spans="1:14" x14ac:dyDescent="0.35">
      <c r="A1283" s="22" t="s">
        <v>1353</v>
      </c>
      <c r="B1283" s="23" t="s">
        <v>29</v>
      </c>
      <c r="C1283" s="23">
        <v>4</v>
      </c>
      <c r="D1283" s="24">
        <v>45760</v>
      </c>
      <c r="E1283" s="23" t="s">
        <v>13</v>
      </c>
      <c r="F1283" s="23" t="s">
        <v>43</v>
      </c>
      <c r="G1283" s="23" t="s">
        <v>21</v>
      </c>
      <c r="H1283" s="23" t="s">
        <v>8364</v>
      </c>
      <c r="I1283" s="23">
        <v>4</v>
      </c>
      <c r="J1283" s="23">
        <v>3</v>
      </c>
      <c r="K1283" s="23">
        <v>5</v>
      </c>
      <c r="L1283" s="23" t="s">
        <v>75</v>
      </c>
      <c r="M1283" s="25">
        <v>14</v>
      </c>
      <c r="N1283">
        <f t="shared" ref="N1283:N1346" si="20">IF(M1283 &lt;= I1283, 1, 0)</f>
        <v>0</v>
      </c>
    </row>
    <row r="1284" spans="1:14" x14ac:dyDescent="0.35">
      <c r="A1284" s="6" t="s">
        <v>1354</v>
      </c>
      <c r="B1284" s="19" t="s">
        <v>126</v>
      </c>
      <c r="C1284" s="19">
        <v>12</v>
      </c>
      <c r="D1284" s="20">
        <v>46004</v>
      </c>
      <c r="E1284" s="19" t="s">
        <v>8364</v>
      </c>
      <c r="F1284" s="19" t="s">
        <v>43</v>
      </c>
      <c r="G1284" s="19" t="s">
        <v>21</v>
      </c>
      <c r="H1284" s="19" t="s">
        <v>22</v>
      </c>
      <c r="I1284" s="19">
        <v>48</v>
      </c>
      <c r="J1284" s="19">
        <v>0</v>
      </c>
      <c r="K1284" s="19">
        <v>5</v>
      </c>
      <c r="L1284" s="19" t="s">
        <v>8363</v>
      </c>
      <c r="M1284" s="21">
        <v>19.600000000000001</v>
      </c>
      <c r="N1284">
        <f t="shared" si="20"/>
        <v>1</v>
      </c>
    </row>
    <row r="1285" spans="1:14" x14ac:dyDescent="0.35">
      <c r="A1285" s="22" t="s">
        <v>1355</v>
      </c>
      <c r="B1285" s="23" t="s">
        <v>47</v>
      </c>
      <c r="C1285" s="23">
        <v>2</v>
      </c>
      <c r="D1285" s="24">
        <v>45705</v>
      </c>
      <c r="E1285" s="23" t="s">
        <v>25</v>
      </c>
      <c r="F1285" s="23" t="s">
        <v>43</v>
      </c>
      <c r="G1285" s="23" t="s">
        <v>27</v>
      </c>
      <c r="H1285" s="23" t="s">
        <v>28</v>
      </c>
      <c r="I1285" s="23">
        <v>24</v>
      </c>
      <c r="J1285" s="23">
        <v>0</v>
      </c>
      <c r="K1285" s="23">
        <v>3</v>
      </c>
      <c r="L1285" s="23" t="s">
        <v>55</v>
      </c>
      <c r="M1285" s="25">
        <v>7.7</v>
      </c>
      <c r="N1285">
        <f t="shared" si="20"/>
        <v>1</v>
      </c>
    </row>
    <row r="1286" spans="1:14" x14ac:dyDescent="0.35">
      <c r="A1286" s="6" t="s">
        <v>1356</v>
      </c>
      <c r="B1286" s="19" t="s">
        <v>47</v>
      </c>
      <c r="C1286" s="19">
        <v>6</v>
      </c>
      <c r="D1286" s="20">
        <v>45819</v>
      </c>
      <c r="E1286" s="19" t="s">
        <v>8364</v>
      </c>
      <c r="F1286" s="19" t="s">
        <v>37</v>
      </c>
      <c r="G1286" s="19" t="s">
        <v>27</v>
      </c>
      <c r="H1286" s="19" t="s">
        <v>16</v>
      </c>
      <c r="I1286" s="19">
        <v>4</v>
      </c>
      <c r="J1286" s="19">
        <v>1</v>
      </c>
      <c r="K1286" s="19">
        <v>5</v>
      </c>
      <c r="L1286" s="19" t="s">
        <v>62</v>
      </c>
      <c r="M1286" s="21">
        <v>21.2</v>
      </c>
      <c r="N1286">
        <f t="shared" si="20"/>
        <v>0</v>
      </c>
    </row>
    <row r="1287" spans="1:14" x14ac:dyDescent="0.35">
      <c r="A1287" s="22" t="s">
        <v>1357</v>
      </c>
      <c r="B1287" s="23" t="s">
        <v>29</v>
      </c>
      <c r="C1287" s="23">
        <v>5</v>
      </c>
      <c r="D1287" s="24">
        <v>45793</v>
      </c>
      <c r="E1287" s="23" t="s">
        <v>25</v>
      </c>
      <c r="F1287" s="23" t="s">
        <v>8364</v>
      </c>
      <c r="G1287" s="23" t="s">
        <v>27</v>
      </c>
      <c r="H1287" s="23" t="s">
        <v>22</v>
      </c>
      <c r="I1287" s="23">
        <v>72</v>
      </c>
      <c r="J1287" s="23">
        <v>0</v>
      </c>
      <c r="K1287" s="23">
        <v>5</v>
      </c>
      <c r="L1287" s="23" t="s">
        <v>8363</v>
      </c>
      <c r="M1287" s="25">
        <v>21.3</v>
      </c>
      <c r="N1287">
        <f t="shared" si="20"/>
        <v>1</v>
      </c>
    </row>
    <row r="1288" spans="1:14" x14ac:dyDescent="0.35">
      <c r="A1288" s="6" t="s">
        <v>1358</v>
      </c>
      <c r="B1288" s="19" t="s">
        <v>104</v>
      </c>
      <c r="C1288" s="19">
        <v>3</v>
      </c>
      <c r="D1288" s="20">
        <v>45717</v>
      </c>
      <c r="E1288" s="19" t="s">
        <v>13</v>
      </c>
      <c r="F1288" s="19" t="s">
        <v>40</v>
      </c>
      <c r="G1288" s="19" t="s">
        <v>31</v>
      </c>
      <c r="H1288" s="19" t="s">
        <v>8364</v>
      </c>
      <c r="I1288" s="19">
        <v>72</v>
      </c>
      <c r="J1288" s="19">
        <v>1</v>
      </c>
      <c r="K1288" s="19">
        <v>5</v>
      </c>
      <c r="L1288" s="19" t="s">
        <v>55</v>
      </c>
      <c r="M1288" s="21">
        <v>12.2</v>
      </c>
      <c r="N1288">
        <f t="shared" si="20"/>
        <v>1</v>
      </c>
    </row>
    <row r="1289" spans="1:14" x14ac:dyDescent="0.35">
      <c r="A1289" s="22" t="s">
        <v>1359</v>
      </c>
      <c r="B1289" s="23" t="s">
        <v>143</v>
      </c>
      <c r="C1289" s="23">
        <v>4</v>
      </c>
      <c r="D1289" s="24">
        <v>45752</v>
      </c>
      <c r="E1289" s="23" t="s">
        <v>25</v>
      </c>
      <c r="F1289" s="23" t="s">
        <v>43</v>
      </c>
      <c r="G1289" s="23" t="s">
        <v>31</v>
      </c>
      <c r="H1289" s="23" t="s">
        <v>22</v>
      </c>
      <c r="I1289" s="23">
        <v>72</v>
      </c>
      <c r="J1289" s="23">
        <v>0</v>
      </c>
      <c r="K1289" s="23">
        <v>4</v>
      </c>
      <c r="L1289" s="23" t="s">
        <v>44</v>
      </c>
      <c r="M1289" s="25">
        <v>13.1</v>
      </c>
      <c r="N1289">
        <f t="shared" si="20"/>
        <v>1</v>
      </c>
    </row>
    <row r="1290" spans="1:14" x14ac:dyDescent="0.35">
      <c r="A1290" s="6" t="s">
        <v>1360</v>
      </c>
      <c r="B1290" s="19" t="s">
        <v>34</v>
      </c>
      <c r="C1290" s="19">
        <v>6</v>
      </c>
      <c r="D1290" s="20">
        <v>45827</v>
      </c>
      <c r="E1290" s="19" t="s">
        <v>13</v>
      </c>
      <c r="F1290" s="19" t="s">
        <v>40</v>
      </c>
      <c r="G1290" s="19" t="s">
        <v>31</v>
      </c>
      <c r="H1290" s="19" t="s">
        <v>32</v>
      </c>
      <c r="I1290" s="19">
        <v>72</v>
      </c>
      <c r="J1290" s="19">
        <v>0</v>
      </c>
      <c r="K1290" s="19">
        <v>3</v>
      </c>
      <c r="L1290" s="19" t="s">
        <v>44</v>
      </c>
      <c r="M1290" s="21">
        <v>6.3</v>
      </c>
      <c r="N1290">
        <f t="shared" si="20"/>
        <v>1</v>
      </c>
    </row>
    <row r="1291" spans="1:14" x14ac:dyDescent="0.35">
      <c r="A1291" s="22" t="s">
        <v>1361</v>
      </c>
      <c r="B1291" s="23" t="s">
        <v>65</v>
      </c>
      <c r="C1291" s="23">
        <v>4</v>
      </c>
      <c r="D1291" s="24">
        <v>45764</v>
      </c>
      <c r="E1291" s="23" t="s">
        <v>25</v>
      </c>
      <c r="F1291" s="23" t="s">
        <v>43</v>
      </c>
      <c r="G1291" s="23" t="s">
        <v>27</v>
      </c>
      <c r="H1291" s="23" t="s">
        <v>22</v>
      </c>
      <c r="I1291" s="23">
        <v>4</v>
      </c>
      <c r="J1291" s="23">
        <v>1</v>
      </c>
      <c r="K1291" s="23">
        <v>2</v>
      </c>
      <c r="L1291" s="23" t="s">
        <v>75</v>
      </c>
      <c r="M1291" s="25">
        <v>14</v>
      </c>
      <c r="N1291">
        <f t="shared" si="20"/>
        <v>0</v>
      </c>
    </row>
    <row r="1292" spans="1:14" x14ac:dyDescent="0.35">
      <c r="A1292" s="6" t="s">
        <v>1362</v>
      </c>
      <c r="B1292" s="19" t="s">
        <v>99</v>
      </c>
      <c r="C1292" s="19">
        <v>7</v>
      </c>
      <c r="D1292" s="20">
        <v>45865</v>
      </c>
      <c r="E1292" s="19" t="s">
        <v>25</v>
      </c>
      <c r="F1292" s="19" t="s">
        <v>43</v>
      </c>
      <c r="G1292" s="19" t="s">
        <v>15</v>
      </c>
      <c r="H1292" s="19" t="s">
        <v>22</v>
      </c>
      <c r="I1292" s="19">
        <v>24</v>
      </c>
      <c r="J1292" s="19">
        <v>0</v>
      </c>
      <c r="K1292" s="19">
        <v>3</v>
      </c>
      <c r="L1292" s="19" t="s">
        <v>17</v>
      </c>
      <c r="M1292" s="21">
        <v>20.8</v>
      </c>
      <c r="N1292">
        <f t="shared" si="20"/>
        <v>1</v>
      </c>
    </row>
    <row r="1293" spans="1:14" x14ac:dyDescent="0.35">
      <c r="A1293" s="22" t="s">
        <v>1363</v>
      </c>
      <c r="B1293" s="23" t="s">
        <v>87</v>
      </c>
      <c r="C1293" s="23">
        <v>4</v>
      </c>
      <c r="D1293" s="24">
        <v>45753</v>
      </c>
      <c r="E1293" s="23" t="s">
        <v>25</v>
      </c>
      <c r="F1293" s="23" t="s">
        <v>43</v>
      </c>
      <c r="G1293" s="23" t="s">
        <v>31</v>
      </c>
      <c r="H1293" s="23" t="s">
        <v>28</v>
      </c>
      <c r="I1293" s="23">
        <v>8</v>
      </c>
      <c r="J1293" s="23">
        <v>0</v>
      </c>
      <c r="K1293" s="23">
        <v>5</v>
      </c>
      <c r="L1293" s="23" t="s">
        <v>33</v>
      </c>
      <c r="M1293" s="25">
        <v>6.4</v>
      </c>
      <c r="N1293">
        <f t="shared" si="20"/>
        <v>1</v>
      </c>
    </row>
    <row r="1294" spans="1:14" x14ac:dyDescent="0.35">
      <c r="A1294" s="6" t="s">
        <v>1364</v>
      </c>
      <c r="B1294" s="19" t="s">
        <v>181</v>
      </c>
      <c r="C1294" s="19">
        <v>8</v>
      </c>
      <c r="D1294" s="20">
        <v>45898</v>
      </c>
      <c r="E1294" s="19" t="s">
        <v>13</v>
      </c>
      <c r="F1294" s="19" t="s">
        <v>8364</v>
      </c>
      <c r="G1294" s="19" t="s">
        <v>15</v>
      </c>
      <c r="H1294" s="19" t="s">
        <v>16</v>
      </c>
      <c r="I1294" s="19">
        <v>72</v>
      </c>
      <c r="J1294" s="19">
        <v>0</v>
      </c>
      <c r="K1294" s="19">
        <v>4</v>
      </c>
      <c r="L1294" s="19" t="s">
        <v>8363</v>
      </c>
      <c r="M1294" s="21">
        <v>11.4</v>
      </c>
      <c r="N1294">
        <f t="shared" si="20"/>
        <v>1</v>
      </c>
    </row>
    <row r="1295" spans="1:14" x14ac:dyDescent="0.35">
      <c r="A1295" s="22" t="s">
        <v>1365</v>
      </c>
      <c r="B1295" s="23" t="s">
        <v>57</v>
      </c>
      <c r="C1295" s="23">
        <v>12</v>
      </c>
      <c r="D1295" s="24">
        <v>46006</v>
      </c>
      <c r="E1295" s="23" t="s">
        <v>25</v>
      </c>
      <c r="F1295" s="23" t="s">
        <v>40</v>
      </c>
      <c r="G1295" s="23" t="s">
        <v>31</v>
      </c>
      <c r="H1295" s="23" t="s">
        <v>16</v>
      </c>
      <c r="I1295" s="23">
        <v>48</v>
      </c>
      <c r="J1295" s="23">
        <v>0</v>
      </c>
      <c r="K1295" s="23">
        <v>5</v>
      </c>
      <c r="L1295" s="23" t="s">
        <v>44</v>
      </c>
      <c r="M1295" s="25">
        <v>4.7</v>
      </c>
      <c r="N1295">
        <f t="shared" si="20"/>
        <v>1</v>
      </c>
    </row>
    <row r="1296" spans="1:14" x14ac:dyDescent="0.35">
      <c r="A1296" s="6" t="s">
        <v>1366</v>
      </c>
      <c r="B1296" s="19" t="s">
        <v>29</v>
      </c>
      <c r="C1296" s="19">
        <v>5</v>
      </c>
      <c r="D1296" s="20">
        <v>45801</v>
      </c>
      <c r="E1296" s="19" t="s">
        <v>25</v>
      </c>
      <c r="F1296" s="19" t="s">
        <v>14</v>
      </c>
      <c r="G1296" s="19" t="s">
        <v>27</v>
      </c>
      <c r="H1296" s="19" t="s">
        <v>22</v>
      </c>
      <c r="I1296" s="19">
        <v>8</v>
      </c>
      <c r="J1296" s="19">
        <v>2</v>
      </c>
      <c r="K1296" s="19">
        <v>5</v>
      </c>
      <c r="L1296" s="19" t="s">
        <v>44</v>
      </c>
      <c r="M1296" s="21">
        <v>3.1</v>
      </c>
      <c r="N1296">
        <f t="shared" si="20"/>
        <v>1</v>
      </c>
    </row>
    <row r="1297" spans="1:14" x14ac:dyDescent="0.35">
      <c r="A1297" s="22" t="s">
        <v>1367</v>
      </c>
      <c r="B1297" s="23" t="s">
        <v>69</v>
      </c>
      <c r="C1297" s="23">
        <v>6</v>
      </c>
      <c r="D1297" s="24">
        <v>45833</v>
      </c>
      <c r="E1297" s="23" t="s">
        <v>13</v>
      </c>
      <c r="F1297" s="23" t="s">
        <v>8364</v>
      </c>
      <c r="G1297" s="23" t="s">
        <v>15</v>
      </c>
      <c r="H1297" s="23" t="s">
        <v>22</v>
      </c>
      <c r="I1297" s="23">
        <v>48</v>
      </c>
      <c r="J1297" s="23">
        <v>0</v>
      </c>
      <c r="K1297" s="23">
        <v>5</v>
      </c>
      <c r="L1297" s="23" t="s">
        <v>55</v>
      </c>
      <c r="M1297" s="25">
        <v>1.1000000000000001</v>
      </c>
      <c r="N1297">
        <f t="shared" si="20"/>
        <v>1</v>
      </c>
    </row>
    <row r="1298" spans="1:14" x14ac:dyDescent="0.35">
      <c r="A1298" s="6" t="s">
        <v>1368</v>
      </c>
      <c r="B1298" s="19" t="s">
        <v>139</v>
      </c>
      <c r="C1298" s="19">
        <v>3</v>
      </c>
      <c r="D1298" s="20">
        <v>45723</v>
      </c>
      <c r="E1298" s="19" t="s">
        <v>13</v>
      </c>
      <c r="F1298" s="19" t="s">
        <v>26</v>
      </c>
      <c r="G1298" s="19" t="s">
        <v>27</v>
      </c>
      <c r="H1298" s="19" t="s">
        <v>22</v>
      </c>
      <c r="I1298" s="19">
        <v>8</v>
      </c>
      <c r="J1298" s="19">
        <v>0</v>
      </c>
      <c r="K1298" s="19">
        <v>3</v>
      </c>
      <c r="L1298" s="19" t="s">
        <v>55</v>
      </c>
      <c r="M1298" s="21">
        <v>3.6</v>
      </c>
      <c r="N1298">
        <f t="shared" si="20"/>
        <v>1</v>
      </c>
    </row>
    <row r="1299" spans="1:14" x14ac:dyDescent="0.35">
      <c r="A1299" s="22" t="s">
        <v>1369</v>
      </c>
      <c r="B1299" s="23" t="s">
        <v>47</v>
      </c>
      <c r="C1299" s="23">
        <v>6</v>
      </c>
      <c r="D1299" s="24">
        <v>45820</v>
      </c>
      <c r="E1299" s="23" t="s">
        <v>36</v>
      </c>
      <c r="F1299" s="23" t="s">
        <v>40</v>
      </c>
      <c r="G1299" s="23" t="s">
        <v>15</v>
      </c>
      <c r="H1299" s="23" t="s">
        <v>22</v>
      </c>
      <c r="I1299" s="23">
        <v>48</v>
      </c>
      <c r="J1299" s="23">
        <v>1</v>
      </c>
      <c r="K1299" s="23">
        <v>3</v>
      </c>
      <c r="L1299" s="23" t="s">
        <v>38</v>
      </c>
      <c r="M1299" s="25">
        <v>12.7</v>
      </c>
      <c r="N1299">
        <f t="shared" si="20"/>
        <v>1</v>
      </c>
    </row>
    <row r="1300" spans="1:14" x14ac:dyDescent="0.35">
      <c r="A1300" s="6" t="s">
        <v>1370</v>
      </c>
      <c r="B1300" s="19" t="s">
        <v>89</v>
      </c>
      <c r="C1300" s="19">
        <v>5</v>
      </c>
      <c r="D1300" s="20">
        <v>45799</v>
      </c>
      <c r="E1300" s="19" t="s">
        <v>13</v>
      </c>
      <c r="F1300" s="19" t="s">
        <v>37</v>
      </c>
      <c r="G1300" s="19" t="s">
        <v>8364</v>
      </c>
      <c r="H1300" s="19" t="s">
        <v>16</v>
      </c>
      <c r="I1300" s="19">
        <v>24</v>
      </c>
      <c r="J1300" s="19">
        <v>0</v>
      </c>
      <c r="K1300" s="19">
        <v>2</v>
      </c>
      <c r="L1300" s="19" t="s">
        <v>38</v>
      </c>
      <c r="M1300" s="21">
        <v>3.6</v>
      </c>
      <c r="N1300">
        <f t="shared" si="20"/>
        <v>1</v>
      </c>
    </row>
    <row r="1301" spans="1:14" x14ac:dyDescent="0.35">
      <c r="A1301" s="22" t="s">
        <v>1371</v>
      </c>
      <c r="B1301" s="23" t="s">
        <v>236</v>
      </c>
      <c r="C1301" s="23">
        <v>11</v>
      </c>
      <c r="D1301" s="24">
        <v>45977</v>
      </c>
      <c r="E1301" s="23" t="s">
        <v>13</v>
      </c>
      <c r="F1301" s="23" t="s">
        <v>14</v>
      </c>
      <c r="G1301" s="23" t="s">
        <v>21</v>
      </c>
      <c r="H1301" s="23" t="s">
        <v>28</v>
      </c>
      <c r="I1301" s="23">
        <v>4</v>
      </c>
      <c r="J1301" s="23">
        <v>0</v>
      </c>
      <c r="K1301" s="23">
        <v>4</v>
      </c>
      <c r="L1301" s="23" t="s">
        <v>44</v>
      </c>
      <c r="M1301" s="25">
        <v>28.4</v>
      </c>
      <c r="N1301">
        <f t="shared" si="20"/>
        <v>0</v>
      </c>
    </row>
    <row r="1302" spans="1:14" x14ac:dyDescent="0.35">
      <c r="A1302" s="6" t="s">
        <v>1372</v>
      </c>
      <c r="B1302" s="19" t="s">
        <v>85</v>
      </c>
      <c r="C1302" s="19">
        <v>2</v>
      </c>
      <c r="D1302" s="20">
        <v>45715</v>
      </c>
      <c r="E1302" s="19" t="s">
        <v>25</v>
      </c>
      <c r="F1302" s="19" t="s">
        <v>14</v>
      </c>
      <c r="G1302" s="19" t="s">
        <v>15</v>
      </c>
      <c r="H1302" s="19" t="s">
        <v>16</v>
      </c>
      <c r="I1302" s="19">
        <v>72</v>
      </c>
      <c r="J1302" s="19">
        <v>0</v>
      </c>
      <c r="K1302" s="19">
        <v>5</v>
      </c>
      <c r="L1302" s="19" t="s">
        <v>55</v>
      </c>
      <c r="M1302" s="21">
        <v>25.7</v>
      </c>
      <c r="N1302">
        <f t="shared" si="20"/>
        <v>1</v>
      </c>
    </row>
    <row r="1303" spans="1:14" x14ac:dyDescent="0.35">
      <c r="A1303" s="22" t="s">
        <v>1373</v>
      </c>
      <c r="B1303" s="23" t="s">
        <v>53</v>
      </c>
      <c r="C1303" s="23">
        <v>5</v>
      </c>
      <c r="D1303" s="24">
        <v>45805</v>
      </c>
      <c r="E1303" s="23" t="s">
        <v>8364</v>
      </c>
      <c r="F1303" s="23" t="s">
        <v>37</v>
      </c>
      <c r="G1303" s="23" t="s">
        <v>27</v>
      </c>
      <c r="H1303" s="23" t="s">
        <v>8364</v>
      </c>
      <c r="I1303" s="23">
        <v>8</v>
      </c>
      <c r="J1303" s="23">
        <v>0</v>
      </c>
      <c r="K1303" s="23">
        <v>1</v>
      </c>
      <c r="L1303" s="23" t="s">
        <v>38</v>
      </c>
      <c r="M1303" s="25">
        <v>3.9</v>
      </c>
      <c r="N1303">
        <f t="shared" si="20"/>
        <v>1</v>
      </c>
    </row>
    <row r="1304" spans="1:14" x14ac:dyDescent="0.35">
      <c r="A1304" s="6" t="s">
        <v>1374</v>
      </c>
      <c r="B1304" s="19" t="s">
        <v>126</v>
      </c>
      <c r="C1304" s="19">
        <v>10</v>
      </c>
      <c r="D1304" s="20">
        <v>45931</v>
      </c>
      <c r="E1304" s="19" t="s">
        <v>20</v>
      </c>
      <c r="F1304" s="19" t="s">
        <v>14</v>
      </c>
      <c r="G1304" s="19" t="s">
        <v>31</v>
      </c>
      <c r="H1304" s="19" t="s">
        <v>22</v>
      </c>
      <c r="I1304" s="19">
        <v>8</v>
      </c>
      <c r="J1304" s="19">
        <v>0</v>
      </c>
      <c r="K1304" s="19">
        <v>5</v>
      </c>
      <c r="L1304" s="19" t="s">
        <v>17</v>
      </c>
      <c r="M1304" s="21">
        <v>16.5</v>
      </c>
      <c r="N1304">
        <f t="shared" si="20"/>
        <v>0</v>
      </c>
    </row>
    <row r="1305" spans="1:14" x14ac:dyDescent="0.35">
      <c r="A1305" s="22" t="s">
        <v>1375</v>
      </c>
      <c r="B1305" s="23" t="s">
        <v>69</v>
      </c>
      <c r="C1305" s="23">
        <v>6</v>
      </c>
      <c r="D1305" s="24">
        <v>45813</v>
      </c>
      <c r="E1305" s="23" t="s">
        <v>13</v>
      </c>
      <c r="F1305" s="23" t="s">
        <v>43</v>
      </c>
      <c r="G1305" s="23" t="s">
        <v>21</v>
      </c>
      <c r="H1305" s="23" t="s">
        <v>22</v>
      </c>
      <c r="I1305" s="23">
        <v>8</v>
      </c>
      <c r="J1305" s="23">
        <v>0</v>
      </c>
      <c r="K1305" s="23"/>
      <c r="L1305" s="23" t="s">
        <v>55</v>
      </c>
      <c r="M1305" s="25">
        <v>2.2999999999999998</v>
      </c>
      <c r="N1305">
        <f t="shared" si="20"/>
        <v>1</v>
      </c>
    </row>
    <row r="1306" spans="1:14" x14ac:dyDescent="0.35">
      <c r="A1306" s="6" t="s">
        <v>1376</v>
      </c>
      <c r="B1306" s="19" t="s">
        <v>51</v>
      </c>
      <c r="C1306" s="19">
        <v>10</v>
      </c>
      <c r="D1306" s="20">
        <v>45959</v>
      </c>
      <c r="E1306" s="19" t="s">
        <v>20</v>
      </c>
      <c r="F1306" s="19" t="s">
        <v>43</v>
      </c>
      <c r="G1306" s="19" t="s">
        <v>21</v>
      </c>
      <c r="H1306" s="19" t="s">
        <v>22</v>
      </c>
      <c r="I1306" s="19">
        <v>4</v>
      </c>
      <c r="J1306" s="19">
        <v>0</v>
      </c>
      <c r="K1306" s="19"/>
      <c r="L1306" s="19" t="s">
        <v>62</v>
      </c>
      <c r="M1306" s="21">
        <v>6.2</v>
      </c>
      <c r="N1306">
        <f t="shared" si="20"/>
        <v>0</v>
      </c>
    </row>
    <row r="1307" spans="1:14" x14ac:dyDescent="0.35">
      <c r="A1307" s="22" t="s">
        <v>1377</v>
      </c>
      <c r="B1307" s="23" t="s">
        <v>85</v>
      </c>
      <c r="C1307" s="23">
        <v>11</v>
      </c>
      <c r="D1307" s="24">
        <v>45976</v>
      </c>
      <c r="E1307" s="23" t="s">
        <v>25</v>
      </c>
      <c r="F1307" s="23" t="s">
        <v>40</v>
      </c>
      <c r="G1307" s="23" t="s">
        <v>27</v>
      </c>
      <c r="H1307" s="23" t="s">
        <v>28</v>
      </c>
      <c r="I1307" s="23">
        <v>24</v>
      </c>
      <c r="J1307" s="23">
        <v>3</v>
      </c>
      <c r="K1307" s="23">
        <v>4</v>
      </c>
      <c r="L1307" s="23" t="s">
        <v>62</v>
      </c>
      <c r="M1307" s="25">
        <v>3</v>
      </c>
      <c r="N1307">
        <f t="shared" si="20"/>
        <v>1</v>
      </c>
    </row>
    <row r="1308" spans="1:14" x14ac:dyDescent="0.35">
      <c r="A1308" s="6" t="s">
        <v>1378</v>
      </c>
      <c r="B1308" s="19" t="s">
        <v>89</v>
      </c>
      <c r="C1308" s="19">
        <v>8</v>
      </c>
      <c r="D1308" s="20">
        <v>45880</v>
      </c>
      <c r="E1308" s="19" t="s">
        <v>25</v>
      </c>
      <c r="F1308" s="19" t="s">
        <v>14</v>
      </c>
      <c r="G1308" s="19" t="s">
        <v>31</v>
      </c>
      <c r="H1308" s="19" t="s">
        <v>16</v>
      </c>
      <c r="I1308" s="19">
        <v>72</v>
      </c>
      <c r="J1308" s="19">
        <v>3</v>
      </c>
      <c r="K1308" s="19">
        <v>2</v>
      </c>
      <c r="L1308" s="19" t="s">
        <v>75</v>
      </c>
      <c r="M1308" s="21">
        <v>8.3000000000000007</v>
      </c>
      <c r="N1308">
        <f t="shared" si="20"/>
        <v>1</v>
      </c>
    </row>
    <row r="1309" spans="1:14" x14ac:dyDescent="0.35">
      <c r="A1309" s="22" t="s">
        <v>1379</v>
      </c>
      <c r="B1309" s="23" t="s">
        <v>65</v>
      </c>
      <c r="C1309" s="23">
        <v>5</v>
      </c>
      <c r="D1309" s="24">
        <v>45793</v>
      </c>
      <c r="E1309" s="23" t="s">
        <v>36</v>
      </c>
      <c r="F1309" s="23" t="s">
        <v>26</v>
      </c>
      <c r="G1309" s="23" t="s">
        <v>27</v>
      </c>
      <c r="H1309" s="23" t="s">
        <v>8364</v>
      </c>
      <c r="I1309" s="23">
        <v>48</v>
      </c>
      <c r="J1309" s="23">
        <v>0</v>
      </c>
      <c r="K1309" s="23">
        <v>5</v>
      </c>
      <c r="L1309" s="23" t="s">
        <v>8363</v>
      </c>
      <c r="M1309" s="25">
        <v>8.1</v>
      </c>
      <c r="N1309">
        <f t="shared" si="20"/>
        <v>1</v>
      </c>
    </row>
    <row r="1310" spans="1:14" x14ac:dyDescent="0.35">
      <c r="A1310" s="6" t="s">
        <v>1380</v>
      </c>
      <c r="B1310" s="19" t="s">
        <v>143</v>
      </c>
      <c r="C1310" s="19">
        <v>5</v>
      </c>
      <c r="D1310" s="20">
        <v>45785</v>
      </c>
      <c r="E1310" s="19" t="s">
        <v>13</v>
      </c>
      <c r="F1310" s="19" t="s">
        <v>14</v>
      </c>
      <c r="G1310" s="19" t="s">
        <v>27</v>
      </c>
      <c r="H1310" s="19" t="s">
        <v>22</v>
      </c>
      <c r="I1310" s="19">
        <v>72</v>
      </c>
      <c r="J1310" s="19">
        <v>2</v>
      </c>
      <c r="K1310" s="19">
        <v>4</v>
      </c>
      <c r="L1310" s="19" t="s">
        <v>75</v>
      </c>
      <c r="M1310" s="21">
        <v>5.0999999999999996</v>
      </c>
      <c r="N1310">
        <f t="shared" si="20"/>
        <v>1</v>
      </c>
    </row>
    <row r="1311" spans="1:14" x14ac:dyDescent="0.35">
      <c r="A1311" s="22" t="s">
        <v>1381</v>
      </c>
      <c r="B1311" s="23" t="s">
        <v>49</v>
      </c>
      <c r="C1311" s="23">
        <v>11</v>
      </c>
      <c r="D1311" s="24">
        <v>45969</v>
      </c>
      <c r="E1311" s="23" t="s">
        <v>13</v>
      </c>
      <c r="F1311" s="23" t="s">
        <v>37</v>
      </c>
      <c r="G1311" s="23" t="s">
        <v>27</v>
      </c>
      <c r="H1311" s="23" t="s">
        <v>22</v>
      </c>
      <c r="I1311" s="23">
        <v>72</v>
      </c>
      <c r="J1311" s="23"/>
      <c r="K1311" s="23">
        <v>4</v>
      </c>
      <c r="L1311" s="23" t="s">
        <v>62</v>
      </c>
      <c r="M1311" s="25">
        <v>4.4000000000000004</v>
      </c>
      <c r="N1311">
        <f t="shared" si="20"/>
        <v>1</v>
      </c>
    </row>
    <row r="1312" spans="1:14" x14ac:dyDescent="0.35">
      <c r="A1312" s="6" t="s">
        <v>1382</v>
      </c>
      <c r="B1312" s="19" t="s">
        <v>89</v>
      </c>
      <c r="C1312" s="19">
        <v>3</v>
      </c>
      <c r="D1312" s="20">
        <v>45743</v>
      </c>
      <c r="E1312" s="19" t="s">
        <v>8364</v>
      </c>
      <c r="F1312" s="19" t="s">
        <v>26</v>
      </c>
      <c r="G1312" s="19" t="s">
        <v>21</v>
      </c>
      <c r="H1312" s="19" t="s">
        <v>16</v>
      </c>
      <c r="I1312" s="19">
        <v>48</v>
      </c>
      <c r="J1312" s="19">
        <v>2</v>
      </c>
      <c r="K1312" s="19">
        <v>5</v>
      </c>
      <c r="L1312" s="19" t="s">
        <v>75</v>
      </c>
      <c r="M1312" s="21">
        <v>4.0999999999999996</v>
      </c>
      <c r="N1312">
        <f t="shared" si="20"/>
        <v>1</v>
      </c>
    </row>
    <row r="1313" spans="1:14" x14ac:dyDescent="0.35">
      <c r="A1313" s="22" t="s">
        <v>1383</v>
      </c>
      <c r="B1313" s="23" t="s">
        <v>18</v>
      </c>
      <c r="C1313" s="23">
        <v>11</v>
      </c>
      <c r="D1313" s="24">
        <v>45991</v>
      </c>
      <c r="E1313" s="23" t="s">
        <v>13</v>
      </c>
      <c r="F1313" s="23" t="s">
        <v>37</v>
      </c>
      <c r="G1313" s="23" t="s">
        <v>15</v>
      </c>
      <c r="H1313" s="23" t="s">
        <v>22</v>
      </c>
      <c r="I1313" s="23">
        <v>72</v>
      </c>
      <c r="J1313" s="23">
        <v>0</v>
      </c>
      <c r="K1313" s="23"/>
      <c r="L1313" s="23" t="s">
        <v>38</v>
      </c>
      <c r="M1313" s="25">
        <v>11.8</v>
      </c>
      <c r="N1313">
        <f t="shared" si="20"/>
        <v>1</v>
      </c>
    </row>
    <row r="1314" spans="1:14" x14ac:dyDescent="0.35">
      <c r="A1314" s="6" t="s">
        <v>1384</v>
      </c>
      <c r="B1314" s="19" t="s">
        <v>72</v>
      </c>
      <c r="C1314" s="19">
        <v>7</v>
      </c>
      <c r="D1314" s="20">
        <v>45843</v>
      </c>
      <c r="E1314" s="19" t="s">
        <v>8364</v>
      </c>
      <c r="F1314" s="19" t="s">
        <v>14</v>
      </c>
      <c r="G1314" s="19" t="s">
        <v>27</v>
      </c>
      <c r="H1314" s="19" t="s">
        <v>8364</v>
      </c>
      <c r="I1314" s="19">
        <v>48</v>
      </c>
      <c r="J1314" s="19">
        <v>0</v>
      </c>
      <c r="K1314" s="19">
        <v>3</v>
      </c>
      <c r="L1314" s="19" t="s">
        <v>17</v>
      </c>
      <c r="M1314" s="21">
        <v>22.2</v>
      </c>
      <c r="N1314">
        <f t="shared" si="20"/>
        <v>1</v>
      </c>
    </row>
    <row r="1315" spans="1:14" x14ac:dyDescent="0.35">
      <c r="A1315" s="22" t="s">
        <v>1385</v>
      </c>
      <c r="B1315" s="23" t="s">
        <v>41</v>
      </c>
      <c r="C1315" s="23">
        <v>11</v>
      </c>
      <c r="D1315" s="24">
        <v>45969</v>
      </c>
      <c r="E1315" s="23" t="s">
        <v>36</v>
      </c>
      <c r="F1315" s="23" t="s">
        <v>37</v>
      </c>
      <c r="G1315" s="23" t="s">
        <v>8364</v>
      </c>
      <c r="H1315" s="23" t="s">
        <v>32</v>
      </c>
      <c r="I1315" s="23">
        <v>48</v>
      </c>
      <c r="J1315" s="23">
        <v>1</v>
      </c>
      <c r="K1315" s="23">
        <v>2</v>
      </c>
      <c r="L1315" s="23" t="s">
        <v>62</v>
      </c>
      <c r="M1315" s="25">
        <v>4.7</v>
      </c>
      <c r="N1315">
        <f t="shared" si="20"/>
        <v>1</v>
      </c>
    </row>
    <row r="1316" spans="1:14" x14ac:dyDescent="0.35">
      <c r="A1316" s="6" t="s">
        <v>1386</v>
      </c>
      <c r="B1316" s="19" t="s">
        <v>47</v>
      </c>
      <c r="C1316" s="19">
        <v>2</v>
      </c>
      <c r="D1316" s="20">
        <v>45693</v>
      </c>
      <c r="E1316" s="19" t="s">
        <v>68</v>
      </c>
      <c r="F1316" s="19" t="s">
        <v>40</v>
      </c>
      <c r="G1316" s="19" t="s">
        <v>21</v>
      </c>
      <c r="H1316" s="19" t="s">
        <v>22</v>
      </c>
      <c r="I1316" s="19">
        <v>4</v>
      </c>
      <c r="J1316" s="19">
        <v>1</v>
      </c>
      <c r="K1316" s="19">
        <v>4</v>
      </c>
      <c r="L1316" s="19" t="s">
        <v>75</v>
      </c>
      <c r="M1316" s="21">
        <v>3.3</v>
      </c>
      <c r="N1316">
        <f t="shared" si="20"/>
        <v>1</v>
      </c>
    </row>
    <row r="1317" spans="1:14" x14ac:dyDescent="0.35">
      <c r="A1317" s="22" t="s">
        <v>1387</v>
      </c>
      <c r="B1317" s="23" t="s">
        <v>29</v>
      </c>
      <c r="C1317" s="23">
        <v>8</v>
      </c>
      <c r="D1317" s="24">
        <v>45878</v>
      </c>
      <c r="E1317" s="23" t="s">
        <v>68</v>
      </c>
      <c r="F1317" s="23" t="s">
        <v>37</v>
      </c>
      <c r="G1317" s="23" t="s">
        <v>21</v>
      </c>
      <c r="H1317" s="23" t="s">
        <v>32</v>
      </c>
      <c r="I1317" s="23">
        <v>48</v>
      </c>
      <c r="J1317" s="23">
        <v>0</v>
      </c>
      <c r="K1317" s="23">
        <v>4</v>
      </c>
      <c r="L1317" s="23" t="s">
        <v>8363</v>
      </c>
      <c r="M1317" s="25">
        <v>13.4</v>
      </c>
      <c r="N1317">
        <f t="shared" si="20"/>
        <v>1</v>
      </c>
    </row>
    <row r="1318" spans="1:14" x14ac:dyDescent="0.35">
      <c r="A1318" s="6" t="s">
        <v>1388</v>
      </c>
      <c r="B1318" s="19" t="s">
        <v>78</v>
      </c>
      <c r="C1318" s="19">
        <v>5</v>
      </c>
      <c r="D1318" s="20">
        <v>45798</v>
      </c>
      <c r="E1318" s="19" t="s">
        <v>36</v>
      </c>
      <c r="F1318" s="19" t="s">
        <v>43</v>
      </c>
      <c r="G1318" s="19" t="s">
        <v>27</v>
      </c>
      <c r="H1318" s="19" t="s">
        <v>8364</v>
      </c>
      <c r="I1318" s="19">
        <v>8</v>
      </c>
      <c r="J1318" s="19">
        <v>0</v>
      </c>
      <c r="K1318" s="19">
        <v>3</v>
      </c>
      <c r="L1318" s="19" t="s">
        <v>75</v>
      </c>
      <c r="M1318" s="21">
        <v>10.4</v>
      </c>
      <c r="N1318">
        <f t="shared" si="20"/>
        <v>0</v>
      </c>
    </row>
    <row r="1319" spans="1:14" x14ac:dyDescent="0.35">
      <c r="A1319" s="22" t="s">
        <v>1389</v>
      </c>
      <c r="B1319" s="23" t="s">
        <v>146</v>
      </c>
      <c r="C1319" s="23">
        <v>5</v>
      </c>
      <c r="D1319" s="24">
        <v>45805</v>
      </c>
      <c r="E1319" s="23" t="s">
        <v>25</v>
      </c>
      <c r="F1319" s="23" t="s">
        <v>14</v>
      </c>
      <c r="G1319" s="23" t="s">
        <v>15</v>
      </c>
      <c r="H1319" s="23" t="s">
        <v>32</v>
      </c>
      <c r="I1319" s="23">
        <v>24</v>
      </c>
      <c r="J1319" s="23">
        <v>0</v>
      </c>
      <c r="K1319" s="23"/>
      <c r="L1319" s="23" t="s">
        <v>17</v>
      </c>
      <c r="M1319" s="25">
        <v>14.5</v>
      </c>
      <c r="N1319">
        <f t="shared" si="20"/>
        <v>1</v>
      </c>
    </row>
    <row r="1320" spans="1:14" x14ac:dyDescent="0.35">
      <c r="A1320" s="6" t="s">
        <v>1390</v>
      </c>
      <c r="B1320" s="19" t="s">
        <v>72</v>
      </c>
      <c r="C1320" s="19"/>
      <c r="D1320" s="20"/>
      <c r="E1320" s="19" t="s">
        <v>8364</v>
      </c>
      <c r="F1320" s="19" t="s">
        <v>14</v>
      </c>
      <c r="G1320" s="19" t="s">
        <v>31</v>
      </c>
      <c r="H1320" s="19" t="s">
        <v>28</v>
      </c>
      <c r="I1320" s="19">
        <v>24</v>
      </c>
      <c r="J1320" s="19">
        <v>1</v>
      </c>
      <c r="K1320" s="19">
        <v>5</v>
      </c>
      <c r="L1320" s="19" t="s">
        <v>62</v>
      </c>
      <c r="M1320" s="21">
        <v>17.3</v>
      </c>
      <c r="N1320">
        <f t="shared" si="20"/>
        <v>1</v>
      </c>
    </row>
    <row r="1321" spans="1:14" x14ac:dyDescent="0.35">
      <c r="A1321" s="22" t="s">
        <v>1391</v>
      </c>
      <c r="B1321" s="23" t="s">
        <v>45</v>
      </c>
      <c r="C1321" s="23">
        <v>5</v>
      </c>
      <c r="D1321" s="24">
        <v>45807</v>
      </c>
      <c r="E1321" s="23" t="s">
        <v>13</v>
      </c>
      <c r="F1321" s="23" t="s">
        <v>59</v>
      </c>
      <c r="G1321" s="23" t="s">
        <v>21</v>
      </c>
      <c r="H1321" s="23" t="s">
        <v>16</v>
      </c>
      <c r="I1321" s="23">
        <v>24</v>
      </c>
      <c r="J1321" s="23">
        <v>0</v>
      </c>
      <c r="K1321" s="23">
        <v>5</v>
      </c>
      <c r="L1321" s="23" t="s">
        <v>75</v>
      </c>
      <c r="M1321" s="25">
        <v>27.1</v>
      </c>
      <c r="N1321">
        <f t="shared" si="20"/>
        <v>0</v>
      </c>
    </row>
    <row r="1322" spans="1:14" x14ac:dyDescent="0.35">
      <c r="A1322" s="6" t="s">
        <v>1392</v>
      </c>
      <c r="B1322" s="19" t="s">
        <v>97</v>
      </c>
      <c r="C1322" s="19">
        <v>6</v>
      </c>
      <c r="D1322" s="20">
        <v>45823</v>
      </c>
      <c r="E1322" s="19" t="s">
        <v>68</v>
      </c>
      <c r="F1322" s="19" t="s">
        <v>43</v>
      </c>
      <c r="G1322" s="19" t="s">
        <v>27</v>
      </c>
      <c r="H1322" s="19" t="s">
        <v>22</v>
      </c>
      <c r="I1322" s="19">
        <v>48</v>
      </c>
      <c r="J1322" s="19">
        <v>0</v>
      </c>
      <c r="K1322" s="19">
        <v>3</v>
      </c>
      <c r="L1322" s="19" t="s">
        <v>75</v>
      </c>
      <c r="M1322" s="21">
        <v>26.5</v>
      </c>
      <c r="N1322">
        <f t="shared" si="20"/>
        <v>1</v>
      </c>
    </row>
    <row r="1323" spans="1:14" x14ac:dyDescent="0.35">
      <c r="A1323" s="22" t="s">
        <v>1393</v>
      </c>
      <c r="B1323" s="23" t="s">
        <v>65</v>
      </c>
      <c r="C1323" s="23">
        <v>11</v>
      </c>
      <c r="D1323" s="24">
        <v>45969</v>
      </c>
      <c r="E1323" s="23" t="s">
        <v>25</v>
      </c>
      <c r="F1323" s="23" t="s">
        <v>43</v>
      </c>
      <c r="G1323" s="23" t="s">
        <v>27</v>
      </c>
      <c r="H1323" s="23" t="s">
        <v>8364</v>
      </c>
      <c r="I1323" s="23">
        <v>4</v>
      </c>
      <c r="J1323" s="23">
        <v>0</v>
      </c>
      <c r="K1323" s="23">
        <v>5</v>
      </c>
      <c r="L1323" s="23" t="s">
        <v>44</v>
      </c>
      <c r="M1323" s="25">
        <v>4.0999999999999996</v>
      </c>
      <c r="N1323">
        <f t="shared" si="20"/>
        <v>0</v>
      </c>
    </row>
    <row r="1324" spans="1:14" x14ac:dyDescent="0.35">
      <c r="A1324" s="6" t="s">
        <v>1394</v>
      </c>
      <c r="B1324" s="19" t="s">
        <v>57</v>
      </c>
      <c r="C1324" s="19">
        <v>6</v>
      </c>
      <c r="D1324" s="20">
        <v>45827</v>
      </c>
      <c r="E1324" s="19" t="s">
        <v>13</v>
      </c>
      <c r="F1324" s="19" t="s">
        <v>8364</v>
      </c>
      <c r="G1324" s="19" t="s">
        <v>8364</v>
      </c>
      <c r="H1324" s="19" t="s">
        <v>32</v>
      </c>
      <c r="I1324" s="19">
        <v>72</v>
      </c>
      <c r="J1324" s="19">
        <v>0</v>
      </c>
      <c r="K1324" s="19">
        <v>2</v>
      </c>
      <c r="L1324" s="19" t="s">
        <v>8363</v>
      </c>
      <c r="M1324" s="21">
        <v>10.4</v>
      </c>
      <c r="N1324">
        <f t="shared" si="20"/>
        <v>1</v>
      </c>
    </row>
    <row r="1325" spans="1:14" x14ac:dyDescent="0.35">
      <c r="A1325" s="22" t="s">
        <v>1395</v>
      </c>
      <c r="B1325" s="23" t="s">
        <v>72</v>
      </c>
      <c r="C1325" s="23">
        <v>6</v>
      </c>
      <c r="D1325" s="24">
        <v>45821</v>
      </c>
      <c r="E1325" s="23" t="s">
        <v>68</v>
      </c>
      <c r="F1325" s="23" t="s">
        <v>26</v>
      </c>
      <c r="G1325" s="23" t="s">
        <v>31</v>
      </c>
      <c r="H1325" s="23" t="s">
        <v>22</v>
      </c>
      <c r="I1325" s="23">
        <v>72</v>
      </c>
      <c r="J1325" s="23">
        <v>0</v>
      </c>
      <c r="K1325" s="23">
        <v>5</v>
      </c>
      <c r="L1325" s="23" t="s">
        <v>55</v>
      </c>
      <c r="M1325" s="25">
        <v>12.6</v>
      </c>
      <c r="N1325">
        <f t="shared" si="20"/>
        <v>1</v>
      </c>
    </row>
    <row r="1326" spans="1:14" x14ac:dyDescent="0.35">
      <c r="A1326" s="6" t="s">
        <v>1396</v>
      </c>
      <c r="B1326" s="19" t="s">
        <v>78</v>
      </c>
      <c r="C1326" s="19">
        <v>10</v>
      </c>
      <c r="D1326" s="20">
        <v>45944</v>
      </c>
      <c r="E1326" s="19" t="s">
        <v>36</v>
      </c>
      <c r="F1326" s="19" t="s">
        <v>37</v>
      </c>
      <c r="G1326" s="19" t="s">
        <v>27</v>
      </c>
      <c r="H1326" s="19" t="s">
        <v>22</v>
      </c>
      <c r="I1326" s="19">
        <v>4</v>
      </c>
      <c r="J1326" s="19">
        <v>0</v>
      </c>
      <c r="K1326" s="19">
        <v>4</v>
      </c>
      <c r="L1326" s="19" t="s">
        <v>44</v>
      </c>
      <c r="M1326" s="21">
        <v>14.2</v>
      </c>
      <c r="N1326">
        <f t="shared" si="20"/>
        <v>0</v>
      </c>
    </row>
    <row r="1327" spans="1:14" x14ac:dyDescent="0.35">
      <c r="A1327" s="22" t="s">
        <v>1397</v>
      </c>
      <c r="B1327" s="23" t="s">
        <v>72</v>
      </c>
      <c r="C1327" s="23">
        <v>7</v>
      </c>
      <c r="D1327" s="24">
        <v>45840</v>
      </c>
      <c r="E1327" s="23" t="s">
        <v>36</v>
      </c>
      <c r="F1327" s="23" t="s">
        <v>40</v>
      </c>
      <c r="G1327" s="23" t="s">
        <v>31</v>
      </c>
      <c r="H1327" s="23" t="s">
        <v>22</v>
      </c>
      <c r="I1327" s="23">
        <v>24</v>
      </c>
      <c r="J1327" s="23">
        <v>0</v>
      </c>
      <c r="K1327" s="23">
        <v>3</v>
      </c>
      <c r="L1327" s="23" t="s">
        <v>44</v>
      </c>
      <c r="M1327" s="25"/>
      <c r="N1327">
        <f t="shared" si="20"/>
        <v>1</v>
      </c>
    </row>
    <row r="1328" spans="1:14" x14ac:dyDescent="0.35">
      <c r="A1328" s="6" t="s">
        <v>1398</v>
      </c>
      <c r="B1328" s="19" t="s">
        <v>108</v>
      </c>
      <c r="C1328" s="19">
        <v>6</v>
      </c>
      <c r="D1328" s="20">
        <v>45809</v>
      </c>
      <c r="E1328" s="19" t="s">
        <v>8364</v>
      </c>
      <c r="F1328" s="19" t="s">
        <v>8364</v>
      </c>
      <c r="G1328" s="19" t="s">
        <v>27</v>
      </c>
      <c r="H1328" s="19" t="s">
        <v>28</v>
      </c>
      <c r="I1328" s="19">
        <v>4</v>
      </c>
      <c r="J1328" s="19">
        <v>0</v>
      </c>
      <c r="K1328" s="19">
        <v>3</v>
      </c>
      <c r="L1328" s="19" t="s">
        <v>62</v>
      </c>
      <c r="M1328" s="21">
        <v>9.5</v>
      </c>
      <c r="N1328">
        <f t="shared" si="20"/>
        <v>0</v>
      </c>
    </row>
    <row r="1329" spans="1:14" x14ac:dyDescent="0.35">
      <c r="A1329" s="22" t="s">
        <v>1399</v>
      </c>
      <c r="B1329" s="23" t="s">
        <v>39</v>
      </c>
      <c r="C1329" s="23"/>
      <c r="D1329" s="24"/>
      <c r="E1329" s="23" t="s">
        <v>36</v>
      </c>
      <c r="F1329" s="23" t="s">
        <v>14</v>
      </c>
      <c r="G1329" s="23" t="s">
        <v>31</v>
      </c>
      <c r="H1329" s="23" t="s">
        <v>22</v>
      </c>
      <c r="I1329" s="23">
        <v>72</v>
      </c>
      <c r="J1329" s="23">
        <v>0</v>
      </c>
      <c r="K1329" s="23">
        <v>4</v>
      </c>
      <c r="L1329" s="23" t="s">
        <v>8363</v>
      </c>
      <c r="M1329" s="25">
        <v>11.9</v>
      </c>
      <c r="N1329">
        <f t="shared" si="20"/>
        <v>1</v>
      </c>
    </row>
    <row r="1330" spans="1:14" x14ac:dyDescent="0.35">
      <c r="A1330" s="6" t="s">
        <v>1400</v>
      </c>
      <c r="B1330" s="19" t="s">
        <v>72</v>
      </c>
      <c r="C1330" s="19">
        <v>10</v>
      </c>
      <c r="D1330" s="20">
        <v>45956</v>
      </c>
      <c r="E1330" s="19" t="s">
        <v>25</v>
      </c>
      <c r="F1330" s="19" t="s">
        <v>37</v>
      </c>
      <c r="G1330" s="19" t="s">
        <v>31</v>
      </c>
      <c r="H1330" s="19" t="s">
        <v>8364</v>
      </c>
      <c r="I1330" s="19">
        <v>72</v>
      </c>
      <c r="J1330" s="19">
        <v>2</v>
      </c>
      <c r="K1330" s="19"/>
      <c r="L1330" s="19" t="s">
        <v>62</v>
      </c>
      <c r="M1330" s="21">
        <v>9</v>
      </c>
      <c r="N1330">
        <f t="shared" si="20"/>
        <v>1</v>
      </c>
    </row>
    <row r="1331" spans="1:14" x14ac:dyDescent="0.35">
      <c r="A1331" s="22" t="s">
        <v>1401</v>
      </c>
      <c r="B1331" s="23" t="s">
        <v>18</v>
      </c>
      <c r="C1331" s="23">
        <v>8</v>
      </c>
      <c r="D1331" s="24">
        <v>45899</v>
      </c>
      <c r="E1331" s="23" t="s">
        <v>25</v>
      </c>
      <c r="F1331" s="23" t="s">
        <v>43</v>
      </c>
      <c r="G1331" s="23" t="s">
        <v>8364</v>
      </c>
      <c r="H1331" s="23" t="s">
        <v>28</v>
      </c>
      <c r="I1331" s="23">
        <v>48</v>
      </c>
      <c r="J1331" s="23">
        <v>2</v>
      </c>
      <c r="K1331" s="23">
        <v>3</v>
      </c>
      <c r="L1331" s="23" t="s">
        <v>75</v>
      </c>
      <c r="M1331" s="25">
        <v>24.9</v>
      </c>
      <c r="N1331">
        <f t="shared" si="20"/>
        <v>1</v>
      </c>
    </row>
    <row r="1332" spans="1:14" x14ac:dyDescent="0.35">
      <c r="A1332" s="6" t="s">
        <v>1402</v>
      </c>
      <c r="B1332" s="19" t="s">
        <v>57</v>
      </c>
      <c r="C1332" s="19">
        <v>9</v>
      </c>
      <c r="D1332" s="20">
        <v>45910</v>
      </c>
      <c r="E1332" s="19" t="s">
        <v>68</v>
      </c>
      <c r="F1332" s="19" t="s">
        <v>14</v>
      </c>
      <c r="G1332" s="19" t="s">
        <v>27</v>
      </c>
      <c r="H1332" s="19" t="s">
        <v>8364</v>
      </c>
      <c r="I1332" s="19">
        <v>48</v>
      </c>
      <c r="J1332" s="19">
        <v>0</v>
      </c>
      <c r="K1332" s="19">
        <v>3</v>
      </c>
      <c r="L1332" s="19" t="s">
        <v>38</v>
      </c>
      <c r="M1332" s="21">
        <v>3.6</v>
      </c>
      <c r="N1332">
        <f t="shared" si="20"/>
        <v>1</v>
      </c>
    </row>
    <row r="1333" spans="1:14" x14ac:dyDescent="0.35">
      <c r="A1333" s="22" t="s">
        <v>1403</v>
      </c>
      <c r="B1333" s="23" t="s">
        <v>69</v>
      </c>
      <c r="C1333" s="23">
        <v>3</v>
      </c>
      <c r="D1333" s="24">
        <v>45722</v>
      </c>
      <c r="E1333" s="23" t="s">
        <v>13</v>
      </c>
      <c r="F1333" s="23" t="s">
        <v>43</v>
      </c>
      <c r="G1333" s="23" t="s">
        <v>21</v>
      </c>
      <c r="H1333" s="23" t="s">
        <v>22</v>
      </c>
      <c r="I1333" s="23">
        <v>8</v>
      </c>
      <c r="J1333" s="23">
        <v>0</v>
      </c>
      <c r="K1333" s="23">
        <v>4</v>
      </c>
      <c r="L1333" s="23" t="s">
        <v>33</v>
      </c>
      <c r="M1333" s="25">
        <v>6.5</v>
      </c>
      <c r="N1333">
        <f t="shared" si="20"/>
        <v>1</v>
      </c>
    </row>
    <row r="1334" spans="1:14" x14ac:dyDescent="0.35">
      <c r="A1334" s="6" t="s">
        <v>1404</v>
      </c>
      <c r="B1334" s="19" t="s">
        <v>47</v>
      </c>
      <c r="C1334" s="19">
        <v>5</v>
      </c>
      <c r="D1334" s="20">
        <v>45793</v>
      </c>
      <c r="E1334" s="19" t="s">
        <v>8364</v>
      </c>
      <c r="F1334" s="19" t="s">
        <v>59</v>
      </c>
      <c r="G1334" s="19" t="s">
        <v>27</v>
      </c>
      <c r="H1334" s="19" t="s">
        <v>16</v>
      </c>
      <c r="I1334" s="19">
        <v>24</v>
      </c>
      <c r="J1334" s="19">
        <v>0</v>
      </c>
      <c r="K1334" s="19">
        <v>2</v>
      </c>
      <c r="L1334" s="19" t="s">
        <v>33</v>
      </c>
      <c r="M1334" s="21"/>
      <c r="N1334">
        <f t="shared" si="20"/>
        <v>1</v>
      </c>
    </row>
    <row r="1335" spans="1:14" x14ac:dyDescent="0.35">
      <c r="A1335" s="22" t="s">
        <v>1405</v>
      </c>
      <c r="B1335" s="23" t="s">
        <v>97</v>
      </c>
      <c r="C1335" s="23">
        <v>11</v>
      </c>
      <c r="D1335" s="24">
        <v>45968</v>
      </c>
      <c r="E1335" s="23" t="s">
        <v>13</v>
      </c>
      <c r="F1335" s="23" t="s">
        <v>8364</v>
      </c>
      <c r="G1335" s="23" t="s">
        <v>27</v>
      </c>
      <c r="H1335" s="23" t="s">
        <v>32</v>
      </c>
      <c r="I1335" s="23">
        <v>72</v>
      </c>
      <c r="J1335" s="23">
        <v>0</v>
      </c>
      <c r="K1335" s="23">
        <v>4</v>
      </c>
      <c r="L1335" s="23" t="s">
        <v>8363</v>
      </c>
      <c r="M1335" s="25">
        <v>6.1</v>
      </c>
      <c r="N1335">
        <f t="shared" si="20"/>
        <v>1</v>
      </c>
    </row>
    <row r="1336" spans="1:14" x14ac:dyDescent="0.35">
      <c r="A1336" s="6" t="s">
        <v>1406</v>
      </c>
      <c r="B1336" s="19" t="s">
        <v>81</v>
      </c>
      <c r="C1336" s="19">
        <v>1</v>
      </c>
      <c r="D1336" s="20">
        <v>45674</v>
      </c>
      <c r="E1336" s="19" t="s">
        <v>8364</v>
      </c>
      <c r="F1336" s="19" t="s">
        <v>37</v>
      </c>
      <c r="G1336" s="19" t="s">
        <v>15</v>
      </c>
      <c r="H1336" s="19" t="s">
        <v>22</v>
      </c>
      <c r="I1336" s="19">
        <v>8</v>
      </c>
      <c r="J1336" s="19">
        <v>0</v>
      </c>
      <c r="K1336" s="19">
        <v>2</v>
      </c>
      <c r="L1336" s="19" t="s">
        <v>8363</v>
      </c>
      <c r="M1336" s="21">
        <v>13.4</v>
      </c>
      <c r="N1336">
        <f t="shared" si="20"/>
        <v>0</v>
      </c>
    </row>
    <row r="1337" spans="1:14" x14ac:dyDescent="0.35">
      <c r="A1337" s="22" t="s">
        <v>1407</v>
      </c>
      <c r="B1337" s="23" t="s">
        <v>126</v>
      </c>
      <c r="C1337" s="23">
        <v>8</v>
      </c>
      <c r="D1337" s="24">
        <v>45874</v>
      </c>
      <c r="E1337" s="23" t="s">
        <v>25</v>
      </c>
      <c r="F1337" s="23" t="s">
        <v>8364</v>
      </c>
      <c r="G1337" s="23" t="s">
        <v>21</v>
      </c>
      <c r="H1337" s="23" t="s">
        <v>32</v>
      </c>
      <c r="I1337" s="23">
        <v>4</v>
      </c>
      <c r="J1337" s="23">
        <v>0</v>
      </c>
      <c r="K1337" s="23">
        <v>4</v>
      </c>
      <c r="L1337" s="23" t="s">
        <v>55</v>
      </c>
      <c r="M1337" s="25">
        <v>4.7</v>
      </c>
      <c r="N1337">
        <f t="shared" si="20"/>
        <v>0</v>
      </c>
    </row>
    <row r="1338" spans="1:14" x14ac:dyDescent="0.35">
      <c r="A1338" s="6" t="s">
        <v>1408</v>
      </c>
      <c r="B1338" s="19" t="s">
        <v>34</v>
      </c>
      <c r="C1338" s="19">
        <v>7</v>
      </c>
      <c r="D1338" s="20">
        <v>45855</v>
      </c>
      <c r="E1338" s="19" t="s">
        <v>13</v>
      </c>
      <c r="F1338" s="19" t="s">
        <v>43</v>
      </c>
      <c r="G1338" s="19" t="s">
        <v>8364</v>
      </c>
      <c r="H1338" s="19" t="s">
        <v>28</v>
      </c>
      <c r="I1338" s="19">
        <v>24</v>
      </c>
      <c r="J1338" s="19">
        <v>0</v>
      </c>
      <c r="K1338" s="19">
        <v>5</v>
      </c>
      <c r="L1338" s="19" t="s">
        <v>33</v>
      </c>
      <c r="M1338" s="21">
        <v>13</v>
      </c>
      <c r="N1338">
        <f t="shared" si="20"/>
        <v>1</v>
      </c>
    </row>
    <row r="1339" spans="1:14" x14ac:dyDescent="0.35">
      <c r="A1339" s="22" t="s">
        <v>1409</v>
      </c>
      <c r="B1339" s="23" t="s">
        <v>65</v>
      </c>
      <c r="C1339" s="23">
        <v>8</v>
      </c>
      <c r="D1339" s="24">
        <v>45872</v>
      </c>
      <c r="E1339" s="23" t="s">
        <v>25</v>
      </c>
      <c r="F1339" s="23" t="s">
        <v>14</v>
      </c>
      <c r="G1339" s="23" t="s">
        <v>27</v>
      </c>
      <c r="H1339" s="23" t="s">
        <v>32</v>
      </c>
      <c r="I1339" s="23">
        <v>24</v>
      </c>
      <c r="J1339" s="23">
        <v>0</v>
      </c>
      <c r="K1339" s="23">
        <v>4</v>
      </c>
      <c r="L1339" s="23" t="s">
        <v>8363</v>
      </c>
      <c r="M1339" s="25">
        <v>18.5</v>
      </c>
      <c r="N1339">
        <f t="shared" si="20"/>
        <v>1</v>
      </c>
    </row>
    <row r="1340" spans="1:14" x14ac:dyDescent="0.35">
      <c r="A1340" s="6" t="s">
        <v>1410</v>
      </c>
      <c r="B1340" s="19" t="s">
        <v>85</v>
      </c>
      <c r="C1340" s="19">
        <v>3</v>
      </c>
      <c r="D1340" s="20">
        <v>45731</v>
      </c>
      <c r="E1340" s="19" t="s">
        <v>25</v>
      </c>
      <c r="F1340" s="19" t="s">
        <v>43</v>
      </c>
      <c r="G1340" s="19" t="s">
        <v>15</v>
      </c>
      <c r="H1340" s="19" t="s">
        <v>28</v>
      </c>
      <c r="I1340" s="19">
        <v>4</v>
      </c>
      <c r="J1340" s="19">
        <v>0</v>
      </c>
      <c r="K1340" s="19">
        <v>5</v>
      </c>
      <c r="L1340" s="19" t="s">
        <v>75</v>
      </c>
      <c r="M1340" s="21">
        <v>3.4</v>
      </c>
      <c r="N1340">
        <f t="shared" si="20"/>
        <v>1</v>
      </c>
    </row>
    <row r="1341" spans="1:14" x14ac:dyDescent="0.35">
      <c r="A1341" s="22" t="s">
        <v>1411</v>
      </c>
      <c r="B1341" s="23" t="s">
        <v>89</v>
      </c>
      <c r="C1341" s="23">
        <v>8</v>
      </c>
      <c r="D1341" s="24">
        <v>45888</v>
      </c>
      <c r="E1341" s="23" t="s">
        <v>25</v>
      </c>
      <c r="F1341" s="23" t="s">
        <v>14</v>
      </c>
      <c r="G1341" s="23" t="s">
        <v>31</v>
      </c>
      <c r="H1341" s="23" t="s">
        <v>8364</v>
      </c>
      <c r="I1341" s="23">
        <v>48</v>
      </c>
      <c r="J1341" s="23">
        <v>1</v>
      </c>
      <c r="K1341" s="23">
        <v>5</v>
      </c>
      <c r="L1341" s="23" t="s">
        <v>33</v>
      </c>
      <c r="M1341" s="25">
        <v>26.1</v>
      </c>
      <c r="N1341">
        <f t="shared" si="20"/>
        <v>1</v>
      </c>
    </row>
    <row r="1342" spans="1:14" x14ac:dyDescent="0.35">
      <c r="A1342" s="6" t="s">
        <v>1412</v>
      </c>
      <c r="B1342" s="19" t="s">
        <v>143</v>
      </c>
      <c r="C1342" s="19">
        <v>10</v>
      </c>
      <c r="D1342" s="20">
        <v>45944</v>
      </c>
      <c r="E1342" s="19" t="s">
        <v>25</v>
      </c>
      <c r="F1342" s="19" t="s">
        <v>8364</v>
      </c>
      <c r="G1342" s="19" t="s">
        <v>31</v>
      </c>
      <c r="H1342" s="19" t="s">
        <v>8364</v>
      </c>
      <c r="I1342" s="19">
        <v>72</v>
      </c>
      <c r="J1342" s="19">
        <v>0</v>
      </c>
      <c r="K1342" s="19">
        <v>1</v>
      </c>
      <c r="L1342" s="19" t="s">
        <v>55</v>
      </c>
      <c r="M1342" s="21">
        <v>10.9</v>
      </c>
      <c r="N1342">
        <f t="shared" si="20"/>
        <v>1</v>
      </c>
    </row>
    <row r="1343" spans="1:14" x14ac:dyDescent="0.35">
      <c r="A1343" s="22" t="s">
        <v>1413</v>
      </c>
      <c r="B1343" s="23" t="s">
        <v>72</v>
      </c>
      <c r="C1343" s="23">
        <v>3</v>
      </c>
      <c r="D1343" s="24">
        <v>45731</v>
      </c>
      <c r="E1343" s="23" t="s">
        <v>13</v>
      </c>
      <c r="F1343" s="23" t="s">
        <v>26</v>
      </c>
      <c r="G1343" s="23" t="s">
        <v>15</v>
      </c>
      <c r="H1343" s="23" t="s">
        <v>22</v>
      </c>
      <c r="I1343" s="23">
        <v>4</v>
      </c>
      <c r="J1343" s="23">
        <v>0</v>
      </c>
      <c r="K1343" s="23">
        <v>4</v>
      </c>
      <c r="L1343" s="23" t="s">
        <v>75</v>
      </c>
      <c r="M1343" s="25">
        <v>2.2000000000000002</v>
      </c>
      <c r="N1343">
        <f t="shared" si="20"/>
        <v>1</v>
      </c>
    </row>
    <row r="1344" spans="1:14" x14ac:dyDescent="0.35">
      <c r="A1344" s="6" t="s">
        <v>1414</v>
      </c>
      <c r="B1344" s="19" t="s">
        <v>126</v>
      </c>
      <c r="C1344" s="19">
        <v>2</v>
      </c>
      <c r="D1344" s="20">
        <v>45707</v>
      </c>
      <c r="E1344" s="19" t="s">
        <v>13</v>
      </c>
      <c r="F1344" s="19" t="s">
        <v>43</v>
      </c>
      <c r="G1344" s="19" t="s">
        <v>27</v>
      </c>
      <c r="H1344" s="19" t="s">
        <v>8364</v>
      </c>
      <c r="I1344" s="19">
        <v>4</v>
      </c>
      <c r="J1344" s="19">
        <v>2</v>
      </c>
      <c r="K1344" s="19"/>
      <c r="L1344" s="19" t="s">
        <v>17</v>
      </c>
      <c r="M1344" s="21">
        <v>2.6</v>
      </c>
      <c r="N1344">
        <f t="shared" si="20"/>
        <v>1</v>
      </c>
    </row>
    <row r="1345" spans="1:14" x14ac:dyDescent="0.35">
      <c r="A1345" s="22" t="s">
        <v>1415</v>
      </c>
      <c r="B1345" s="23" t="s">
        <v>92</v>
      </c>
      <c r="C1345" s="23">
        <v>2</v>
      </c>
      <c r="D1345" s="24">
        <v>45701</v>
      </c>
      <c r="E1345" s="23" t="s">
        <v>20</v>
      </c>
      <c r="F1345" s="23" t="s">
        <v>43</v>
      </c>
      <c r="G1345" s="23" t="s">
        <v>27</v>
      </c>
      <c r="H1345" s="23" t="s">
        <v>8364</v>
      </c>
      <c r="I1345" s="23">
        <v>24</v>
      </c>
      <c r="J1345" s="23">
        <v>1</v>
      </c>
      <c r="K1345" s="23">
        <v>4</v>
      </c>
      <c r="L1345" s="23" t="s">
        <v>55</v>
      </c>
      <c r="M1345" s="25">
        <v>10.6</v>
      </c>
      <c r="N1345">
        <f t="shared" si="20"/>
        <v>1</v>
      </c>
    </row>
    <row r="1346" spans="1:14" x14ac:dyDescent="0.35">
      <c r="A1346" s="6" t="s">
        <v>1416</v>
      </c>
      <c r="B1346" s="19" t="s">
        <v>181</v>
      </c>
      <c r="C1346" s="19">
        <v>6</v>
      </c>
      <c r="D1346" s="20">
        <v>45836</v>
      </c>
      <c r="E1346" s="19" t="s">
        <v>36</v>
      </c>
      <c r="F1346" s="19" t="s">
        <v>14</v>
      </c>
      <c r="G1346" s="19" t="s">
        <v>15</v>
      </c>
      <c r="H1346" s="19" t="s">
        <v>22</v>
      </c>
      <c r="I1346" s="19">
        <v>4</v>
      </c>
      <c r="J1346" s="19">
        <v>0</v>
      </c>
      <c r="K1346" s="19">
        <v>1</v>
      </c>
      <c r="L1346" s="19" t="s">
        <v>8363</v>
      </c>
      <c r="M1346" s="21">
        <v>16.8</v>
      </c>
      <c r="N1346">
        <f t="shared" si="20"/>
        <v>0</v>
      </c>
    </row>
    <row r="1347" spans="1:14" x14ac:dyDescent="0.35">
      <c r="A1347" s="22" t="s">
        <v>1417</v>
      </c>
      <c r="B1347" s="23" t="s">
        <v>81</v>
      </c>
      <c r="C1347" s="23">
        <v>1</v>
      </c>
      <c r="D1347" s="24">
        <v>45682</v>
      </c>
      <c r="E1347" s="23" t="s">
        <v>25</v>
      </c>
      <c r="F1347" s="23" t="s">
        <v>14</v>
      </c>
      <c r="G1347" s="23" t="s">
        <v>15</v>
      </c>
      <c r="H1347" s="23" t="s">
        <v>28</v>
      </c>
      <c r="I1347" s="23">
        <v>4</v>
      </c>
      <c r="J1347" s="23">
        <v>3</v>
      </c>
      <c r="K1347" s="23">
        <v>4</v>
      </c>
      <c r="L1347" s="23" t="s">
        <v>8363</v>
      </c>
      <c r="M1347" s="25">
        <v>10.9</v>
      </c>
      <c r="N1347">
        <f t="shared" ref="N1347:N1410" si="21">IF(M1347 &lt;= I1347, 1, 0)</f>
        <v>0</v>
      </c>
    </row>
    <row r="1348" spans="1:14" x14ac:dyDescent="0.35">
      <c r="A1348" s="6" t="s">
        <v>1418</v>
      </c>
      <c r="B1348" s="19" t="s">
        <v>104</v>
      </c>
      <c r="C1348" s="19">
        <v>6</v>
      </c>
      <c r="D1348" s="20">
        <v>45811</v>
      </c>
      <c r="E1348" s="19" t="s">
        <v>8364</v>
      </c>
      <c r="F1348" s="19" t="s">
        <v>43</v>
      </c>
      <c r="G1348" s="19" t="s">
        <v>31</v>
      </c>
      <c r="H1348" s="19" t="s">
        <v>8364</v>
      </c>
      <c r="I1348" s="19">
        <v>72</v>
      </c>
      <c r="J1348" s="19">
        <v>0</v>
      </c>
      <c r="K1348" s="19"/>
      <c r="L1348" s="19" t="s">
        <v>55</v>
      </c>
      <c r="M1348" s="21">
        <v>16.2</v>
      </c>
      <c r="N1348">
        <f t="shared" si="21"/>
        <v>1</v>
      </c>
    </row>
    <row r="1349" spans="1:14" x14ac:dyDescent="0.35">
      <c r="A1349" s="22" t="s">
        <v>1419</v>
      </c>
      <c r="B1349" s="23" t="s">
        <v>23</v>
      </c>
      <c r="C1349" s="23">
        <v>8</v>
      </c>
      <c r="D1349" s="24">
        <v>45886</v>
      </c>
      <c r="E1349" s="23" t="s">
        <v>13</v>
      </c>
      <c r="F1349" s="23" t="s">
        <v>37</v>
      </c>
      <c r="G1349" s="23" t="s">
        <v>27</v>
      </c>
      <c r="H1349" s="23" t="s">
        <v>22</v>
      </c>
      <c r="I1349" s="23">
        <v>8</v>
      </c>
      <c r="J1349" s="23">
        <v>1</v>
      </c>
      <c r="K1349" s="23">
        <v>4</v>
      </c>
      <c r="L1349" s="23" t="s">
        <v>62</v>
      </c>
      <c r="M1349" s="25">
        <v>10.5</v>
      </c>
      <c r="N1349">
        <f t="shared" si="21"/>
        <v>0</v>
      </c>
    </row>
    <row r="1350" spans="1:14" x14ac:dyDescent="0.35">
      <c r="A1350" s="6" t="s">
        <v>1420</v>
      </c>
      <c r="B1350" s="19" t="s">
        <v>89</v>
      </c>
      <c r="C1350" s="19">
        <v>11</v>
      </c>
      <c r="D1350" s="20">
        <v>45981</v>
      </c>
      <c r="E1350" s="19" t="s">
        <v>68</v>
      </c>
      <c r="F1350" s="19" t="s">
        <v>40</v>
      </c>
      <c r="G1350" s="19" t="s">
        <v>31</v>
      </c>
      <c r="H1350" s="19" t="s">
        <v>22</v>
      </c>
      <c r="I1350" s="19">
        <v>4</v>
      </c>
      <c r="J1350" s="19">
        <v>0</v>
      </c>
      <c r="K1350" s="19">
        <v>3</v>
      </c>
      <c r="L1350" s="19" t="s">
        <v>38</v>
      </c>
      <c r="M1350" s="21">
        <v>3.7</v>
      </c>
      <c r="N1350">
        <f t="shared" si="21"/>
        <v>1</v>
      </c>
    </row>
    <row r="1351" spans="1:14" x14ac:dyDescent="0.35">
      <c r="A1351" s="22" t="s">
        <v>1421</v>
      </c>
      <c r="B1351" s="23" t="s">
        <v>101</v>
      </c>
      <c r="C1351" s="23">
        <v>1</v>
      </c>
      <c r="D1351" s="24">
        <v>45684</v>
      </c>
      <c r="E1351" s="23" t="s">
        <v>13</v>
      </c>
      <c r="F1351" s="23" t="s">
        <v>37</v>
      </c>
      <c r="G1351" s="23" t="s">
        <v>31</v>
      </c>
      <c r="H1351" s="23" t="s">
        <v>32</v>
      </c>
      <c r="I1351" s="23">
        <v>8</v>
      </c>
      <c r="J1351" s="23">
        <v>0</v>
      </c>
      <c r="K1351" s="23">
        <v>4</v>
      </c>
      <c r="L1351" s="23" t="s">
        <v>33</v>
      </c>
      <c r="M1351" s="25">
        <v>14.7</v>
      </c>
      <c r="N1351">
        <f t="shared" si="21"/>
        <v>0</v>
      </c>
    </row>
    <row r="1352" spans="1:14" x14ac:dyDescent="0.35">
      <c r="A1352" s="6" t="s">
        <v>1422</v>
      </c>
      <c r="B1352" s="19" t="s">
        <v>146</v>
      </c>
      <c r="C1352" s="19">
        <v>11</v>
      </c>
      <c r="D1352" s="20">
        <v>45978</v>
      </c>
      <c r="E1352" s="19" t="s">
        <v>20</v>
      </c>
      <c r="F1352" s="19" t="s">
        <v>8364</v>
      </c>
      <c r="G1352" s="19" t="s">
        <v>27</v>
      </c>
      <c r="H1352" s="19" t="s">
        <v>22</v>
      </c>
      <c r="I1352" s="19">
        <v>48</v>
      </c>
      <c r="J1352" s="19">
        <v>0</v>
      </c>
      <c r="K1352" s="19">
        <v>5</v>
      </c>
      <c r="L1352" s="19" t="s">
        <v>33</v>
      </c>
      <c r="M1352" s="21">
        <v>10.5</v>
      </c>
      <c r="N1352">
        <f t="shared" si="21"/>
        <v>1</v>
      </c>
    </row>
    <row r="1353" spans="1:14" x14ac:dyDescent="0.35">
      <c r="A1353" s="22" t="s">
        <v>1423</v>
      </c>
      <c r="B1353" s="23" t="s">
        <v>49</v>
      </c>
      <c r="C1353" s="23">
        <v>12</v>
      </c>
      <c r="D1353" s="24">
        <v>46012</v>
      </c>
      <c r="E1353" s="23" t="s">
        <v>20</v>
      </c>
      <c r="F1353" s="23" t="s">
        <v>8364</v>
      </c>
      <c r="G1353" s="23" t="s">
        <v>15</v>
      </c>
      <c r="H1353" s="23" t="s">
        <v>16</v>
      </c>
      <c r="I1353" s="23">
        <v>48</v>
      </c>
      <c r="J1353" s="23">
        <v>0</v>
      </c>
      <c r="K1353" s="23">
        <v>3</v>
      </c>
      <c r="L1353" s="23" t="s">
        <v>44</v>
      </c>
      <c r="M1353" s="25">
        <v>7.1</v>
      </c>
      <c r="N1353">
        <f t="shared" si="21"/>
        <v>1</v>
      </c>
    </row>
    <row r="1354" spans="1:14" x14ac:dyDescent="0.35">
      <c r="A1354" s="6" t="s">
        <v>1424</v>
      </c>
      <c r="B1354" s="19" t="s">
        <v>18</v>
      </c>
      <c r="C1354" s="19">
        <v>3</v>
      </c>
      <c r="D1354" s="20">
        <v>45726</v>
      </c>
      <c r="E1354" s="19" t="s">
        <v>13</v>
      </c>
      <c r="F1354" s="19" t="s">
        <v>14</v>
      </c>
      <c r="G1354" s="19" t="s">
        <v>15</v>
      </c>
      <c r="H1354" s="19" t="s">
        <v>32</v>
      </c>
      <c r="I1354" s="19">
        <v>4</v>
      </c>
      <c r="J1354" s="19">
        <v>0</v>
      </c>
      <c r="K1354" s="19">
        <v>5</v>
      </c>
      <c r="L1354" s="19" t="s">
        <v>8363</v>
      </c>
      <c r="M1354" s="21">
        <v>27</v>
      </c>
      <c r="N1354">
        <f t="shared" si="21"/>
        <v>0</v>
      </c>
    </row>
    <row r="1355" spans="1:14" x14ac:dyDescent="0.35">
      <c r="A1355" s="22" t="s">
        <v>1425</v>
      </c>
      <c r="B1355" s="23" t="s">
        <v>181</v>
      </c>
      <c r="C1355" s="23"/>
      <c r="D1355" s="24"/>
      <c r="E1355" s="23" t="s">
        <v>25</v>
      </c>
      <c r="F1355" s="23" t="s">
        <v>43</v>
      </c>
      <c r="G1355" s="23" t="s">
        <v>15</v>
      </c>
      <c r="H1355" s="23" t="s">
        <v>28</v>
      </c>
      <c r="I1355" s="23">
        <v>72</v>
      </c>
      <c r="J1355" s="23">
        <v>0</v>
      </c>
      <c r="K1355" s="23">
        <v>4</v>
      </c>
      <c r="L1355" s="23" t="s">
        <v>8363</v>
      </c>
      <c r="M1355" s="25">
        <v>15.5</v>
      </c>
      <c r="N1355">
        <f t="shared" si="21"/>
        <v>1</v>
      </c>
    </row>
    <row r="1356" spans="1:14" x14ac:dyDescent="0.35">
      <c r="A1356" s="6" t="s">
        <v>1426</v>
      </c>
      <c r="B1356" s="19" t="s">
        <v>97</v>
      </c>
      <c r="C1356" s="19">
        <v>5</v>
      </c>
      <c r="D1356" s="20">
        <v>45793</v>
      </c>
      <c r="E1356" s="19" t="s">
        <v>36</v>
      </c>
      <c r="F1356" s="19" t="s">
        <v>40</v>
      </c>
      <c r="G1356" s="19" t="s">
        <v>21</v>
      </c>
      <c r="H1356" s="19" t="s">
        <v>32</v>
      </c>
      <c r="I1356" s="19">
        <v>24</v>
      </c>
      <c r="J1356" s="19">
        <v>1</v>
      </c>
      <c r="K1356" s="19">
        <v>5</v>
      </c>
      <c r="L1356" s="19" t="s">
        <v>75</v>
      </c>
      <c r="M1356" s="21">
        <v>6.8</v>
      </c>
      <c r="N1356">
        <f t="shared" si="21"/>
        <v>1</v>
      </c>
    </row>
    <row r="1357" spans="1:14" x14ac:dyDescent="0.35">
      <c r="A1357" s="22" t="s">
        <v>1427</v>
      </c>
      <c r="B1357" s="23" t="s">
        <v>97</v>
      </c>
      <c r="C1357" s="23"/>
      <c r="D1357" s="24"/>
      <c r="E1357" s="23" t="s">
        <v>13</v>
      </c>
      <c r="F1357" s="23" t="s">
        <v>14</v>
      </c>
      <c r="G1357" s="23" t="s">
        <v>27</v>
      </c>
      <c r="H1357" s="23" t="s">
        <v>32</v>
      </c>
      <c r="I1357" s="23">
        <v>48</v>
      </c>
      <c r="J1357" s="23">
        <v>1</v>
      </c>
      <c r="K1357" s="23"/>
      <c r="L1357" s="23" t="s">
        <v>17</v>
      </c>
      <c r="M1357" s="25">
        <v>20.9</v>
      </c>
      <c r="N1357">
        <f t="shared" si="21"/>
        <v>1</v>
      </c>
    </row>
    <row r="1358" spans="1:14" x14ac:dyDescent="0.35">
      <c r="A1358" s="6" t="s">
        <v>1428</v>
      </c>
      <c r="B1358" s="19" t="s">
        <v>69</v>
      </c>
      <c r="C1358" s="19">
        <v>12</v>
      </c>
      <c r="D1358" s="20">
        <v>45999</v>
      </c>
      <c r="E1358" s="19" t="s">
        <v>13</v>
      </c>
      <c r="F1358" s="19" t="s">
        <v>14</v>
      </c>
      <c r="G1358" s="19" t="s">
        <v>21</v>
      </c>
      <c r="H1358" s="19" t="s">
        <v>32</v>
      </c>
      <c r="I1358" s="19">
        <v>48</v>
      </c>
      <c r="J1358" s="19">
        <v>3</v>
      </c>
      <c r="K1358" s="19">
        <v>5</v>
      </c>
      <c r="L1358" s="19" t="s">
        <v>62</v>
      </c>
      <c r="M1358" s="21">
        <v>16.3</v>
      </c>
      <c r="N1358">
        <f t="shared" si="21"/>
        <v>1</v>
      </c>
    </row>
    <row r="1359" spans="1:14" x14ac:dyDescent="0.35">
      <c r="A1359" s="22" t="s">
        <v>1429</v>
      </c>
      <c r="B1359" s="23" t="s">
        <v>146</v>
      </c>
      <c r="C1359" s="23">
        <v>10</v>
      </c>
      <c r="D1359" s="24">
        <v>45935</v>
      </c>
      <c r="E1359" s="23" t="s">
        <v>13</v>
      </c>
      <c r="F1359" s="23" t="s">
        <v>37</v>
      </c>
      <c r="G1359" s="23" t="s">
        <v>31</v>
      </c>
      <c r="H1359" s="23" t="s">
        <v>16</v>
      </c>
      <c r="I1359" s="23">
        <v>8</v>
      </c>
      <c r="J1359" s="23">
        <v>3</v>
      </c>
      <c r="K1359" s="23"/>
      <c r="L1359" s="23" t="s">
        <v>17</v>
      </c>
      <c r="M1359" s="25">
        <v>17.600000000000001</v>
      </c>
      <c r="N1359">
        <f t="shared" si="21"/>
        <v>0</v>
      </c>
    </row>
    <row r="1360" spans="1:14" x14ac:dyDescent="0.35">
      <c r="A1360" s="6" t="s">
        <v>1430</v>
      </c>
      <c r="B1360" s="19" t="s">
        <v>41</v>
      </c>
      <c r="C1360" s="19">
        <v>10</v>
      </c>
      <c r="D1360" s="20">
        <v>45956</v>
      </c>
      <c r="E1360" s="19" t="s">
        <v>25</v>
      </c>
      <c r="F1360" s="19" t="s">
        <v>59</v>
      </c>
      <c r="G1360" s="19" t="s">
        <v>27</v>
      </c>
      <c r="H1360" s="19" t="s">
        <v>22</v>
      </c>
      <c r="I1360" s="19">
        <v>8</v>
      </c>
      <c r="J1360" s="19">
        <v>0</v>
      </c>
      <c r="K1360" s="19">
        <v>5</v>
      </c>
      <c r="L1360" s="19" t="s">
        <v>38</v>
      </c>
      <c r="M1360" s="21">
        <v>37.200000000000003</v>
      </c>
      <c r="N1360">
        <f t="shared" si="21"/>
        <v>0</v>
      </c>
    </row>
    <row r="1361" spans="1:14" x14ac:dyDescent="0.35">
      <c r="A1361" s="22" t="s">
        <v>1431</v>
      </c>
      <c r="B1361" s="23" t="s">
        <v>104</v>
      </c>
      <c r="C1361" s="23">
        <v>8</v>
      </c>
      <c r="D1361" s="24">
        <v>45885</v>
      </c>
      <c r="E1361" s="23" t="s">
        <v>13</v>
      </c>
      <c r="F1361" s="23" t="s">
        <v>40</v>
      </c>
      <c r="G1361" s="23" t="s">
        <v>27</v>
      </c>
      <c r="H1361" s="23" t="s">
        <v>28</v>
      </c>
      <c r="I1361" s="23">
        <v>4</v>
      </c>
      <c r="J1361" s="23">
        <v>2</v>
      </c>
      <c r="K1361" s="23">
        <v>4</v>
      </c>
      <c r="L1361" s="23" t="s">
        <v>55</v>
      </c>
      <c r="M1361" s="25">
        <v>33.200000000000003</v>
      </c>
      <c r="N1361">
        <f t="shared" si="21"/>
        <v>0</v>
      </c>
    </row>
    <row r="1362" spans="1:14" x14ac:dyDescent="0.35">
      <c r="A1362" s="6" t="s">
        <v>1432</v>
      </c>
      <c r="B1362" s="19" t="s">
        <v>99</v>
      </c>
      <c r="C1362" s="19"/>
      <c r="D1362" s="20"/>
      <c r="E1362" s="19" t="s">
        <v>36</v>
      </c>
      <c r="F1362" s="19" t="s">
        <v>8364</v>
      </c>
      <c r="G1362" s="19" t="s">
        <v>15</v>
      </c>
      <c r="H1362" s="19" t="s">
        <v>8364</v>
      </c>
      <c r="I1362" s="19">
        <v>24</v>
      </c>
      <c r="J1362" s="19">
        <v>0</v>
      </c>
      <c r="K1362" s="19">
        <v>3</v>
      </c>
      <c r="L1362" s="19" t="s">
        <v>8363</v>
      </c>
      <c r="M1362" s="21">
        <v>11.7</v>
      </c>
      <c r="N1362">
        <f t="shared" si="21"/>
        <v>1</v>
      </c>
    </row>
    <row r="1363" spans="1:14" x14ac:dyDescent="0.35">
      <c r="A1363" s="22" t="s">
        <v>1433</v>
      </c>
      <c r="B1363" s="23" t="s">
        <v>101</v>
      </c>
      <c r="C1363" s="23">
        <v>5</v>
      </c>
      <c r="D1363" s="24">
        <v>45789</v>
      </c>
      <c r="E1363" s="23" t="s">
        <v>25</v>
      </c>
      <c r="F1363" s="23" t="s">
        <v>43</v>
      </c>
      <c r="G1363" s="23" t="s">
        <v>21</v>
      </c>
      <c r="H1363" s="23" t="s">
        <v>28</v>
      </c>
      <c r="I1363" s="23">
        <v>8</v>
      </c>
      <c r="J1363" s="23">
        <v>1</v>
      </c>
      <c r="K1363" s="23">
        <v>4</v>
      </c>
      <c r="L1363" s="23" t="s">
        <v>17</v>
      </c>
      <c r="M1363" s="25">
        <v>17.3</v>
      </c>
      <c r="N1363">
        <f t="shared" si="21"/>
        <v>0</v>
      </c>
    </row>
    <row r="1364" spans="1:14" x14ac:dyDescent="0.35">
      <c r="A1364" s="6" t="s">
        <v>1434</v>
      </c>
      <c r="B1364" s="19" t="s">
        <v>51</v>
      </c>
      <c r="C1364" s="19"/>
      <c r="D1364" s="20"/>
      <c r="E1364" s="19" t="s">
        <v>25</v>
      </c>
      <c r="F1364" s="19" t="s">
        <v>43</v>
      </c>
      <c r="G1364" s="19" t="s">
        <v>15</v>
      </c>
      <c r="H1364" s="19" t="s">
        <v>22</v>
      </c>
      <c r="I1364" s="19">
        <v>72</v>
      </c>
      <c r="J1364" s="19">
        <v>0</v>
      </c>
      <c r="K1364" s="19">
        <v>4</v>
      </c>
      <c r="L1364" s="19" t="s">
        <v>8363</v>
      </c>
      <c r="M1364" s="21">
        <v>84</v>
      </c>
      <c r="N1364">
        <f t="shared" si="21"/>
        <v>0</v>
      </c>
    </row>
    <row r="1365" spans="1:14" x14ac:dyDescent="0.35">
      <c r="A1365" s="22" t="s">
        <v>1435</v>
      </c>
      <c r="B1365" s="23" t="s">
        <v>45</v>
      </c>
      <c r="C1365" s="23">
        <v>11</v>
      </c>
      <c r="D1365" s="24">
        <v>45979</v>
      </c>
      <c r="E1365" s="23" t="s">
        <v>25</v>
      </c>
      <c r="F1365" s="23" t="s">
        <v>43</v>
      </c>
      <c r="G1365" s="23" t="s">
        <v>21</v>
      </c>
      <c r="H1365" s="23" t="s">
        <v>28</v>
      </c>
      <c r="I1365" s="23">
        <v>4</v>
      </c>
      <c r="J1365" s="23">
        <v>0</v>
      </c>
      <c r="K1365" s="23">
        <v>4</v>
      </c>
      <c r="L1365" s="23" t="s">
        <v>33</v>
      </c>
      <c r="M1365" s="25">
        <v>3.1</v>
      </c>
      <c r="N1365">
        <f t="shared" si="21"/>
        <v>1</v>
      </c>
    </row>
    <row r="1366" spans="1:14" x14ac:dyDescent="0.35">
      <c r="A1366" s="6" t="s">
        <v>1436</v>
      </c>
      <c r="B1366" s="19" t="s">
        <v>23</v>
      </c>
      <c r="C1366" s="19">
        <v>11</v>
      </c>
      <c r="D1366" s="20">
        <v>45968</v>
      </c>
      <c r="E1366" s="19" t="s">
        <v>13</v>
      </c>
      <c r="F1366" s="19" t="s">
        <v>43</v>
      </c>
      <c r="G1366" s="19" t="s">
        <v>31</v>
      </c>
      <c r="H1366" s="19" t="s">
        <v>28</v>
      </c>
      <c r="I1366" s="19">
        <v>24</v>
      </c>
      <c r="J1366" s="19">
        <v>0</v>
      </c>
      <c r="K1366" s="19">
        <v>4</v>
      </c>
      <c r="L1366" s="19" t="s">
        <v>55</v>
      </c>
      <c r="M1366" s="21">
        <v>7.4</v>
      </c>
      <c r="N1366">
        <f t="shared" si="21"/>
        <v>1</v>
      </c>
    </row>
    <row r="1367" spans="1:14" x14ac:dyDescent="0.35">
      <c r="A1367" s="22" t="s">
        <v>1437</v>
      </c>
      <c r="B1367" s="23" t="s">
        <v>158</v>
      </c>
      <c r="C1367" s="23">
        <v>5</v>
      </c>
      <c r="D1367" s="24">
        <v>45788</v>
      </c>
      <c r="E1367" s="23" t="s">
        <v>13</v>
      </c>
      <c r="F1367" s="23" t="s">
        <v>43</v>
      </c>
      <c r="G1367" s="23" t="s">
        <v>27</v>
      </c>
      <c r="H1367" s="23" t="s">
        <v>16</v>
      </c>
      <c r="I1367" s="23">
        <v>48</v>
      </c>
      <c r="J1367" s="23">
        <v>0</v>
      </c>
      <c r="K1367" s="23">
        <v>4</v>
      </c>
      <c r="L1367" s="23" t="s">
        <v>8363</v>
      </c>
      <c r="M1367" s="25">
        <v>5</v>
      </c>
      <c r="N1367">
        <f t="shared" si="21"/>
        <v>1</v>
      </c>
    </row>
    <row r="1368" spans="1:14" x14ac:dyDescent="0.35">
      <c r="A1368" s="6" t="s">
        <v>1438</v>
      </c>
      <c r="B1368" s="19" t="s">
        <v>47</v>
      </c>
      <c r="C1368" s="19">
        <v>1</v>
      </c>
      <c r="D1368" s="20">
        <v>45669</v>
      </c>
      <c r="E1368" s="19" t="s">
        <v>25</v>
      </c>
      <c r="F1368" s="19" t="s">
        <v>14</v>
      </c>
      <c r="G1368" s="19" t="s">
        <v>27</v>
      </c>
      <c r="H1368" s="19" t="s">
        <v>22</v>
      </c>
      <c r="I1368" s="19">
        <v>72</v>
      </c>
      <c r="J1368" s="19">
        <v>0</v>
      </c>
      <c r="K1368" s="19">
        <v>3</v>
      </c>
      <c r="L1368" s="19" t="s">
        <v>55</v>
      </c>
      <c r="M1368" s="21">
        <v>10.5</v>
      </c>
      <c r="N1368">
        <f t="shared" si="21"/>
        <v>1</v>
      </c>
    </row>
    <row r="1369" spans="1:14" x14ac:dyDescent="0.35">
      <c r="A1369" s="22" t="s">
        <v>1439</v>
      </c>
      <c r="B1369" s="23" t="s">
        <v>29</v>
      </c>
      <c r="C1369" s="23"/>
      <c r="D1369" s="24"/>
      <c r="E1369" s="23" t="s">
        <v>13</v>
      </c>
      <c r="F1369" s="23" t="s">
        <v>8364</v>
      </c>
      <c r="G1369" s="23" t="s">
        <v>27</v>
      </c>
      <c r="H1369" s="23" t="s">
        <v>16</v>
      </c>
      <c r="I1369" s="23">
        <v>8</v>
      </c>
      <c r="J1369" s="23">
        <v>0</v>
      </c>
      <c r="K1369" s="23">
        <v>2</v>
      </c>
      <c r="L1369" s="23" t="s">
        <v>75</v>
      </c>
      <c r="M1369" s="25">
        <v>11.3</v>
      </c>
      <c r="N1369">
        <f t="shared" si="21"/>
        <v>0</v>
      </c>
    </row>
    <row r="1370" spans="1:14" x14ac:dyDescent="0.35">
      <c r="A1370" s="6" t="s">
        <v>1440</v>
      </c>
      <c r="B1370" s="19" t="s">
        <v>65</v>
      </c>
      <c r="C1370" s="19">
        <v>9</v>
      </c>
      <c r="D1370" s="20">
        <v>45903</v>
      </c>
      <c r="E1370" s="19" t="s">
        <v>25</v>
      </c>
      <c r="F1370" s="19" t="s">
        <v>14</v>
      </c>
      <c r="G1370" s="19" t="s">
        <v>21</v>
      </c>
      <c r="H1370" s="19" t="s">
        <v>32</v>
      </c>
      <c r="I1370" s="19">
        <v>24</v>
      </c>
      <c r="J1370" s="19">
        <v>0</v>
      </c>
      <c r="K1370" s="19">
        <v>3</v>
      </c>
      <c r="L1370" s="19" t="s">
        <v>8363</v>
      </c>
      <c r="M1370" s="21">
        <v>6.1</v>
      </c>
      <c r="N1370">
        <f t="shared" si="21"/>
        <v>1</v>
      </c>
    </row>
    <row r="1371" spans="1:14" x14ac:dyDescent="0.35">
      <c r="A1371" s="22" t="s">
        <v>1441</v>
      </c>
      <c r="B1371" s="23" t="s">
        <v>101</v>
      </c>
      <c r="C1371" s="23">
        <v>9</v>
      </c>
      <c r="D1371" s="24">
        <v>45924</v>
      </c>
      <c r="E1371" s="23" t="s">
        <v>25</v>
      </c>
      <c r="F1371" s="23" t="s">
        <v>59</v>
      </c>
      <c r="G1371" s="23" t="s">
        <v>15</v>
      </c>
      <c r="H1371" s="23" t="s">
        <v>32</v>
      </c>
      <c r="I1371" s="23">
        <v>48</v>
      </c>
      <c r="J1371" s="23">
        <v>0</v>
      </c>
      <c r="K1371" s="23">
        <v>1</v>
      </c>
      <c r="L1371" s="23" t="s">
        <v>17</v>
      </c>
      <c r="M1371" s="25">
        <v>2.2999999999999998</v>
      </c>
      <c r="N1371">
        <f t="shared" si="21"/>
        <v>1</v>
      </c>
    </row>
    <row r="1372" spans="1:14" x14ac:dyDescent="0.35">
      <c r="A1372" s="6" t="s">
        <v>1442</v>
      </c>
      <c r="B1372" s="19" t="s">
        <v>104</v>
      </c>
      <c r="C1372" s="19">
        <v>10</v>
      </c>
      <c r="D1372" s="20">
        <v>45934</v>
      </c>
      <c r="E1372" s="19" t="s">
        <v>8364</v>
      </c>
      <c r="F1372" s="19" t="s">
        <v>37</v>
      </c>
      <c r="G1372" s="19" t="s">
        <v>31</v>
      </c>
      <c r="H1372" s="19" t="s">
        <v>22</v>
      </c>
      <c r="I1372" s="19">
        <v>4</v>
      </c>
      <c r="J1372" s="19">
        <v>3</v>
      </c>
      <c r="K1372" s="19"/>
      <c r="L1372" s="19" t="s">
        <v>75</v>
      </c>
      <c r="M1372" s="21">
        <v>4.5999999999999996</v>
      </c>
      <c r="N1372">
        <f t="shared" si="21"/>
        <v>0</v>
      </c>
    </row>
    <row r="1373" spans="1:14" x14ac:dyDescent="0.35">
      <c r="A1373" s="22" t="s">
        <v>1443</v>
      </c>
      <c r="B1373" s="23" t="s">
        <v>47</v>
      </c>
      <c r="C1373" s="23">
        <v>8</v>
      </c>
      <c r="D1373" s="24">
        <v>45881</v>
      </c>
      <c r="E1373" s="23" t="s">
        <v>68</v>
      </c>
      <c r="F1373" s="23" t="s">
        <v>8364</v>
      </c>
      <c r="G1373" s="23" t="s">
        <v>31</v>
      </c>
      <c r="H1373" s="23" t="s">
        <v>8364</v>
      </c>
      <c r="I1373" s="23">
        <v>24</v>
      </c>
      <c r="J1373" s="23">
        <v>0</v>
      </c>
      <c r="K1373" s="23">
        <v>5</v>
      </c>
      <c r="L1373" s="23" t="s">
        <v>33</v>
      </c>
      <c r="M1373" s="25">
        <v>6.8</v>
      </c>
      <c r="N1373">
        <f t="shared" si="21"/>
        <v>1</v>
      </c>
    </row>
    <row r="1374" spans="1:14" x14ac:dyDescent="0.35">
      <c r="A1374" s="6" t="s">
        <v>1444</v>
      </c>
      <c r="B1374" s="19" t="s">
        <v>81</v>
      </c>
      <c r="C1374" s="19">
        <v>12</v>
      </c>
      <c r="D1374" s="20">
        <v>45992</v>
      </c>
      <c r="E1374" s="19" t="s">
        <v>13</v>
      </c>
      <c r="F1374" s="19" t="s">
        <v>43</v>
      </c>
      <c r="G1374" s="19" t="s">
        <v>31</v>
      </c>
      <c r="H1374" s="19" t="s">
        <v>32</v>
      </c>
      <c r="I1374" s="19">
        <v>48</v>
      </c>
      <c r="J1374" s="19">
        <v>2</v>
      </c>
      <c r="K1374" s="19">
        <v>4</v>
      </c>
      <c r="L1374" s="19" t="s">
        <v>62</v>
      </c>
      <c r="M1374" s="21">
        <v>8.1</v>
      </c>
      <c r="N1374">
        <f t="shared" si="21"/>
        <v>1</v>
      </c>
    </row>
    <row r="1375" spans="1:14" x14ac:dyDescent="0.35">
      <c r="A1375" s="22" t="s">
        <v>1445</v>
      </c>
      <c r="B1375" s="23" t="s">
        <v>34</v>
      </c>
      <c r="C1375" s="23">
        <v>6</v>
      </c>
      <c r="D1375" s="24">
        <v>45822</v>
      </c>
      <c r="E1375" s="23" t="s">
        <v>25</v>
      </c>
      <c r="F1375" s="23" t="s">
        <v>40</v>
      </c>
      <c r="G1375" s="23" t="s">
        <v>15</v>
      </c>
      <c r="H1375" s="23" t="s">
        <v>22</v>
      </c>
      <c r="I1375" s="23">
        <v>24</v>
      </c>
      <c r="J1375" s="23">
        <v>1</v>
      </c>
      <c r="K1375" s="23">
        <v>5</v>
      </c>
      <c r="L1375" s="23" t="s">
        <v>8363</v>
      </c>
      <c r="M1375" s="25">
        <v>5.4</v>
      </c>
      <c r="N1375">
        <f t="shared" si="21"/>
        <v>1</v>
      </c>
    </row>
    <row r="1376" spans="1:14" x14ac:dyDescent="0.35">
      <c r="A1376" s="6" t="s">
        <v>1446</v>
      </c>
      <c r="B1376" s="19" t="s">
        <v>41</v>
      </c>
      <c r="C1376" s="19">
        <v>4</v>
      </c>
      <c r="D1376" s="20">
        <v>45759</v>
      </c>
      <c r="E1376" s="19" t="s">
        <v>8364</v>
      </c>
      <c r="F1376" s="19" t="s">
        <v>14</v>
      </c>
      <c r="G1376" s="19" t="s">
        <v>8364</v>
      </c>
      <c r="H1376" s="19" t="s">
        <v>22</v>
      </c>
      <c r="I1376" s="19">
        <v>8</v>
      </c>
      <c r="J1376" s="19">
        <v>2</v>
      </c>
      <c r="K1376" s="19">
        <v>4</v>
      </c>
      <c r="L1376" s="19" t="s">
        <v>55</v>
      </c>
      <c r="M1376" s="21">
        <v>10.199999999999999</v>
      </c>
      <c r="N1376">
        <f t="shared" si="21"/>
        <v>0</v>
      </c>
    </row>
    <row r="1377" spans="1:14" x14ac:dyDescent="0.35">
      <c r="A1377" s="22" t="s">
        <v>1447</v>
      </c>
      <c r="B1377" s="23" t="s">
        <v>126</v>
      </c>
      <c r="C1377" s="23">
        <v>4</v>
      </c>
      <c r="D1377" s="24">
        <v>45756</v>
      </c>
      <c r="E1377" s="23" t="s">
        <v>25</v>
      </c>
      <c r="F1377" s="23" t="s">
        <v>14</v>
      </c>
      <c r="G1377" s="23" t="s">
        <v>21</v>
      </c>
      <c r="H1377" s="23" t="s">
        <v>8364</v>
      </c>
      <c r="I1377" s="23">
        <v>72</v>
      </c>
      <c r="J1377" s="23">
        <v>0</v>
      </c>
      <c r="K1377" s="23"/>
      <c r="L1377" s="23" t="s">
        <v>44</v>
      </c>
      <c r="M1377" s="25">
        <v>5.2</v>
      </c>
      <c r="N1377">
        <f t="shared" si="21"/>
        <v>1</v>
      </c>
    </row>
    <row r="1378" spans="1:14" x14ac:dyDescent="0.35">
      <c r="A1378" s="6" t="s">
        <v>1448</v>
      </c>
      <c r="B1378" s="19" t="s">
        <v>65</v>
      </c>
      <c r="C1378" s="19"/>
      <c r="D1378" s="20"/>
      <c r="E1378" s="19" t="s">
        <v>36</v>
      </c>
      <c r="F1378" s="19" t="s">
        <v>14</v>
      </c>
      <c r="G1378" s="19" t="s">
        <v>31</v>
      </c>
      <c r="H1378" s="19" t="s">
        <v>32</v>
      </c>
      <c r="I1378" s="19">
        <v>8</v>
      </c>
      <c r="J1378" s="19">
        <v>2</v>
      </c>
      <c r="K1378" s="19">
        <v>4</v>
      </c>
      <c r="L1378" s="19" t="s">
        <v>33</v>
      </c>
      <c r="M1378" s="21">
        <v>6.6</v>
      </c>
      <c r="N1378">
        <f t="shared" si="21"/>
        <v>1</v>
      </c>
    </row>
    <row r="1379" spans="1:14" x14ac:dyDescent="0.35">
      <c r="A1379" s="22" t="s">
        <v>1449</v>
      </c>
      <c r="B1379" s="23" t="s">
        <v>146</v>
      </c>
      <c r="C1379" s="23">
        <v>11</v>
      </c>
      <c r="D1379" s="24">
        <v>45973</v>
      </c>
      <c r="E1379" s="23" t="s">
        <v>13</v>
      </c>
      <c r="F1379" s="23" t="s">
        <v>26</v>
      </c>
      <c r="G1379" s="23" t="s">
        <v>15</v>
      </c>
      <c r="H1379" s="23" t="s">
        <v>22</v>
      </c>
      <c r="I1379" s="23">
        <v>48</v>
      </c>
      <c r="J1379" s="23">
        <v>0</v>
      </c>
      <c r="K1379" s="23">
        <v>5</v>
      </c>
      <c r="L1379" s="23" t="s">
        <v>44</v>
      </c>
      <c r="M1379" s="25">
        <v>24</v>
      </c>
      <c r="N1379">
        <f t="shared" si="21"/>
        <v>1</v>
      </c>
    </row>
    <row r="1380" spans="1:14" x14ac:dyDescent="0.35">
      <c r="A1380" s="6" t="s">
        <v>1450</v>
      </c>
      <c r="B1380" s="19" t="s">
        <v>253</v>
      </c>
      <c r="C1380" s="19">
        <v>2</v>
      </c>
      <c r="D1380" s="20">
        <v>45712</v>
      </c>
      <c r="E1380" s="19" t="s">
        <v>25</v>
      </c>
      <c r="F1380" s="19" t="s">
        <v>59</v>
      </c>
      <c r="G1380" s="19" t="s">
        <v>31</v>
      </c>
      <c r="H1380" s="19" t="s">
        <v>32</v>
      </c>
      <c r="I1380" s="19">
        <v>8</v>
      </c>
      <c r="J1380" s="19">
        <v>0</v>
      </c>
      <c r="K1380" s="19">
        <v>3</v>
      </c>
      <c r="L1380" s="19" t="s">
        <v>17</v>
      </c>
      <c r="M1380" s="21"/>
      <c r="N1380">
        <f t="shared" si="21"/>
        <v>1</v>
      </c>
    </row>
    <row r="1381" spans="1:14" x14ac:dyDescent="0.35">
      <c r="A1381" s="22" t="s">
        <v>1451</v>
      </c>
      <c r="B1381" s="23" t="s">
        <v>47</v>
      </c>
      <c r="C1381" s="23">
        <v>1</v>
      </c>
      <c r="D1381" s="24">
        <v>45682</v>
      </c>
      <c r="E1381" s="23" t="s">
        <v>20</v>
      </c>
      <c r="F1381" s="23" t="s">
        <v>14</v>
      </c>
      <c r="G1381" s="23" t="s">
        <v>27</v>
      </c>
      <c r="H1381" s="23" t="s">
        <v>22</v>
      </c>
      <c r="I1381" s="23">
        <v>4</v>
      </c>
      <c r="J1381" s="23">
        <v>0</v>
      </c>
      <c r="K1381" s="23">
        <v>4</v>
      </c>
      <c r="L1381" s="23" t="s">
        <v>75</v>
      </c>
      <c r="M1381" s="25">
        <v>12.4</v>
      </c>
      <c r="N1381">
        <f t="shared" si="21"/>
        <v>0</v>
      </c>
    </row>
    <row r="1382" spans="1:14" x14ac:dyDescent="0.35">
      <c r="A1382" s="6" t="s">
        <v>1452</v>
      </c>
      <c r="B1382" s="19" t="s">
        <v>99</v>
      </c>
      <c r="C1382" s="19">
        <v>8</v>
      </c>
      <c r="D1382" s="20">
        <v>45873</v>
      </c>
      <c r="E1382" s="19" t="s">
        <v>36</v>
      </c>
      <c r="F1382" s="19" t="s">
        <v>43</v>
      </c>
      <c r="G1382" s="19" t="s">
        <v>27</v>
      </c>
      <c r="H1382" s="19" t="s">
        <v>28</v>
      </c>
      <c r="I1382" s="19">
        <v>48</v>
      </c>
      <c r="J1382" s="19">
        <v>1</v>
      </c>
      <c r="K1382" s="19">
        <v>5</v>
      </c>
      <c r="L1382" s="19" t="s">
        <v>55</v>
      </c>
      <c r="M1382" s="21"/>
      <c r="N1382">
        <f t="shared" si="21"/>
        <v>1</v>
      </c>
    </row>
    <row r="1383" spans="1:14" x14ac:dyDescent="0.35">
      <c r="A1383" s="22" t="s">
        <v>1453</v>
      </c>
      <c r="B1383" s="23" t="s">
        <v>85</v>
      </c>
      <c r="C1383" s="23">
        <v>5</v>
      </c>
      <c r="D1383" s="24">
        <v>45802</v>
      </c>
      <c r="E1383" s="23" t="s">
        <v>68</v>
      </c>
      <c r="F1383" s="23" t="s">
        <v>14</v>
      </c>
      <c r="G1383" s="23" t="s">
        <v>15</v>
      </c>
      <c r="H1383" s="23" t="s">
        <v>32</v>
      </c>
      <c r="I1383" s="23">
        <v>4</v>
      </c>
      <c r="J1383" s="23">
        <v>0</v>
      </c>
      <c r="K1383" s="23">
        <v>2</v>
      </c>
      <c r="L1383" s="23" t="s">
        <v>8363</v>
      </c>
      <c r="M1383" s="25">
        <v>1.5</v>
      </c>
      <c r="N1383">
        <f t="shared" si="21"/>
        <v>1</v>
      </c>
    </row>
    <row r="1384" spans="1:14" x14ac:dyDescent="0.35">
      <c r="A1384" s="6" t="s">
        <v>1454</v>
      </c>
      <c r="B1384" s="19" t="s">
        <v>65</v>
      </c>
      <c r="C1384" s="19">
        <v>7</v>
      </c>
      <c r="D1384" s="20">
        <v>45864</v>
      </c>
      <c r="E1384" s="19" t="s">
        <v>13</v>
      </c>
      <c r="F1384" s="19" t="s">
        <v>37</v>
      </c>
      <c r="G1384" s="19" t="s">
        <v>31</v>
      </c>
      <c r="H1384" s="19" t="s">
        <v>22</v>
      </c>
      <c r="I1384" s="19">
        <v>8</v>
      </c>
      <c r="J1384" s="19">
        <v>0</v>
      </c>
      <c r="K1384" s="19"/>
      <c r="L1384" s="19" t="s">
        <v>8363</v>
      </c>
      <c r="M1384" s="21">
        <v>15.2</v>
      </c>
      <c r="N1384">
        <f t="shared" si="21"/>
        <v>0</v>
      </c>
    </row>
    <row r="1385" spans="1:14" x14ac:dyDescent="0.35">
      <c r="A1385" s="22" t="s">
        <v>1455</v>
      </c>
      <c r="B1385" s="23" t="s">
        <v>51</v>
      </c>
      <c r="C1385" s="23">
        <v>6</v>
      </c>
      <c r="D1385" s="24">
        <v>45820</v>
      </c>
      <c r="E1385" s="23" t="s">
        <v>8364</v>
      </c>
      <c r="F1385" s="23" t="s">
        <v>26</v>
      </c>
      <c r="G1385" s="23" t="s">
        <v>15</v>
      </c>
      <c r="H1385" s="23" t="s">
        <v>16</v>
      </c>
      <c r="I1385" s="23">
        <v>8</v>
      </c>
      <c r="J1385" s="23">
        <v>3</v>
      </c>
      <c r="K1385" s="23">
        <v>3</v>
      </c>
      <c r="L1385" s="23" t="s">
        <v>38</v>
      </c>
      <c r="M1385" s="25">
        <v>8.4</v>
      </c>
      <c r="N1385">
        <f t="shared" si="21"/>
        <v>0</v>
      </c>
    </row>
    <row r="1386" spans="1:14" x14ac:dyDescent="0.35">
      <c r="A1386" s="6" t="s">
        <v>1456</v>
      </c>
      <c r="B1386" s="19" t="s">
        <v>65</v>
      </c>
      <c r="C1386" s="19">
        <v>4</v>
      </c>
      <c r="D1386" s="20">
        <v>45757</v>
      </c>
      <c r="E1386" s="19" t="s">
        <v>36</v>
      </c>
      <c r="F1386" s="19" t="s">
        <v>59</v>
      </c>
      <c r="G1386" s="19" t="s">
        <v>27</v>
      </c>
      <c r="H1386" s="19" t="s">
        <v>22</v>
      </c>
      <c r="I1386" s="19">
        <v>24</v>
      </c>
      <c r="J1386" s="19">
        <v>0</v>
      </c>
      <c r="K1386" s="19">
        <v>4</v>
      </c>
      <c r="L1386" s="19" t="s">
        <v>75</v>
      </c>
      <c r="M1386" s="21">
        <v>8.8000000000000007</v>
      </c>
      <c r="N1386">
        <f t="shared" si="21"/>
        <v>1</v>
      </c>
    </row>
    <row r="1387" spans="1:14" x14ac:dyDescent="0.35">
      <c r="A1387" s="22" t="s">
        <v>1457</v>
      </c>
      <c r="B1387" s="23" t="s">
        <v>89</v>
      </c>
      <c r="C1387" s="23">
        <v>7</v>
      </c>
      <c r="D1387" s="24">
        <v>45843</v>
      </c>
      <c r="E1387" s="23" t="s">
        <v>8364</v>
      </c>
      <c r="F1387" s="23" t="s">
        <v>40</v>
      </c>
      <c r="G1387" s="23" t="s">
        <v>15</v>
      </c>
      <c r="H1387" s="23" t="s">
        <v>22</v>
      </c>
      <c r="I1387" s="23">
        <v>8</v>
      </c>
      <c r="J1387" s="23">
        <v>0</v>
      </c>
      <c r="K1387" s="23">
        <v>4</v>
      </c>
      <c r="L1387" s="23" t="s">
        <v>62</v>
      </c>
      <c r="M1387" s="25">
        <v>19</v>
      </c>
      <c r="N1387">
        <f t="shared" si="21"/>
        <v>0</v>
      </c>
    </row>
    <row r="1388" spans="1:14" x14ac:dyDescent="0.35">
      <c r="A1388" s="6" t="s">
        <v>1458</v>
      </c>
      <c r="B1388" s="19" t="s">
        <v>85</v>
      </c>
      <c r="C1388" s="19">
        <v>3</v>
      </c>
      <c r="D1388" s="20">
        <v>45727</v>
      </c>
      <c r="E1388" s="19" t="s">
        <v>13</v>
      </c>
      <c r="F1388" s="19" t="s">
        <v>14</v>
      </c>
      <c r="G1388" s="19" t="s">
        <v>15</v>
      </c>
      <c r="H1388" s="19" t="s">
        <v>28</v>
      </c>
      <c r="I1388" s="19">
        <v>4</v>
      </c>
      <c r="J1388" s="19">
        <v>0</v>
      </c>
      <c r="K1388" s="19">
        <v>4</v>
      </c>
      <c r="L1388" s="19" t="s">
        <v>8363</v>
      </c>
      <c r="M1388" s="21">
        <v>7.7</v>
      </c>
      <c r="N1388">
        <f t="shared" si="21"/>
        <v>0</v>
      </c>
    </row>
    <row r="1389" spans="1:14" x14ac:dyDescent="0.35">
      <c r="A1389" s="22" t="s">
        <v>1459</v>
      </c>
      <c r="B1389" s="23" t="s">
        <v>39</v>
      </c>
      <c r="C1389" s="23">
        <v>5</v>
      </c>
      <c r="D1389" s="24">
        <v>45795</v>
      </c>
      <c r="E1389" s="23" t="s">
        <v>25</v>
      </c>
      <c r="F1389" s="23" t="s">
        <v>40</v>
      </c>
      <c r="G1389" s="23" t="s">
        <v>31</v>
      </c>
      <c r="H1389" s="23" t="s">
        <v>32</v>
      </c>
      <c r="I1389" s="23">
        <v>8</v>
      </c>
      <c r="J1389" s="23">
        <v>0</v>
      </c>
      <c r="K1389" s="23">
        <v>4</v>
      </c>
      <c r="L1389" s="23" t="s">
        <v>44</v>
      </c>
      <c r="M1389" s="25">
        <v>12.6</v>
      </c>
      <c r="N1389">
        <f t="shared" si="21"/>
        <v>0</v>
      </c>
    </row>
    <row r="1390" spans="1:14" x14ac:dyDescent="0.35">
      <c r="A1390" s="6" t="s">
        <v>1460</v>
      </c>
      <c r="B1390" s="19" t="s">
        <v>39</v>
      </c>
      <c r="C1390" s="19">
        <v>9</v>
      </c>
      <c r="D1390" s="20">
        <v>45921</v>
      </c>
      <c r="E1390" s="19" t="s">
        <v>8364</v>
      </c>
      <c r="F1390" s="19" t="s">
        <v>14</v>
      </c>
      <c r="G1390" s="19" t="s">
        <v>31</v>
      </c>
      <c r="H1390" s="19" t="s">
        <v>22</v>
      </c>
      <c r="I1390" s="19">
        <v>48</v>
      </c>
      <c r="J1390" s="19">
        <v>0</v>
      </c>
      <c r="K1390" s="19">
        <v>4</v>
      </c>
      <c r="L1390" s="19" t="s">
        <v>62</v>
      </c>
      <c r="M1390" s="21">
        <v>13.6</v>
      </c>
      <c r="N1390">
        <f t="shared" si="21"/>
        <v>1</v>
      </c>
    </row>
    <row r="1391" spans="1:14" x14ac:dyDescent="0.35">
      <c r="A1391" s="22" t="s">
        <v>1461</v>
      </c>
      <c r="B1391" s="23" t="s">
        <v>47</v>
      </c>
      <c r="C1391" s="23">
        <v>6</v>
      </c>
      <c r="D1391" s="24">
        <v>45830</v>
      </c>
      <c r="E1391" s="23" t="s">
        <v>13</v>
      </c>
      <c r="F1391" s="23" t="s">
        <v>59</v>
      </c>
      <c r="G1391" s="23" t="s">
        <v>31</v>
      </c>
      <c r="H1391" s="23" t="s">
        <v>32</v>
      </c>
      <c r="I1391" s="23">
        <v>24</v>
      </c>
      <c r="J1391" s="23">
        <v>1</v>
      </c>
      <c r="K1391" s="23">
        <v>5</v>
      </c>
      <c r="L1391" s="23" t="s">
        <v>8363</v>
      </c>
      <c r="M1391" s="25">
        <v>19.2</v>
      </c>
      <c r="N1391">
        <f t="shared" si="21"/>
        <v>1</v>
      </c>
    </row>
    <row r="1392" spans="1:14" x14ac:dyDescent="0.35">
      <c r="A1392" s="6" t="s">
        <v>1462</v>
      </c>
      <c r="B1392" s="19" t="s">
        <v>146</v>
      </c>
      <c r="C1392" s="19">
        <v>8</v>
      </c>
      <c r="D1392" s="20">
        <v>45894</v>
      </c>
      <c r="E1392" s="19" t="s">
        <v>13</v>
      </c>
      <c r="F1392" s="19" t="s">
        <v>37</v>
      </c>
      <c r="G1392" s="19" t="s">
        <v>27</v>
      </c>
      <c r="H1392" s="19" t="s">
        <v>16</v>
      </c>
      <c r="I1392" s="19">
        <v>4</v>
      </c>
      <c r="J1392" s="19">
        <v>0</v>
      </c>
      <c r="K1392" s="19">
        <v>5</v>
      </c>
      <c r="L1392" s="19" t="s">
        <v>44</v>
      </c>
      <c r="M1392" s="21"/>
      <c r="N1392">
        <f t="shared" si="21"/>
        <v>1</v>
      </c>
    </row>
    <row r="1393" spans="1:14" x14ac:dyDescent="0.35">
      <c r="A1393" s="22" t="s">
        <v>1463</v>
      </c>
      <c r="B1393" s="23" t="s">
        <v>49</v>
      </c>
      <c r="C1393" s="23">
        <v>6</v>
      </c>
      <c r="D1393" s="24">
        <v>45812</v>
      </c>
      <c r="E1393" s="23" t="s">
        <v>25</v>
      </c>
      <c r="F1393" s="23" t="s">
        <v>8364</v>
      </c>
      <c r="G1393" s="23" t="s">
        <v>15</v>
      </c>
      <c r="H1393" s="23" t="s">
        <v>22</v>
      </c>
      <c r="I1393" s="23">
        <v>72</v>
      </c>
      <c r="J1393" s="23">
        <v>1</v>
      </c>
      <c r="K1393" s="23">
        <v>5</v>
      </c>
      <c r="L1393" s="23" t="s">
        <v>55</v>
      </c>
      <c r="M1393" s="25">
        <v>3.6</v>
      </c>
      <c r="N1393">
        <f t="shared" si="21"/>
        <v>1</v>
      </c>
    </row>
    <row r="1394" spans="1:14" x14ac:dyDescent="0.35">
      <c r="A1394" s="6" t="s">
        <v>1464</v>
      </c>
      <c r="B1394" s="19" t="s">
        <v>49</v>
      </c>
      <c r="C1394" s="19">
        <v>3</v>
      </c>
      <c r="D1394" s="20">
        <v>45720</v>
      </c>
      <c r="E1394" s="19" t="s">
        <v>13</v>
      </c>
      <c r="F1394" s="19" t="s">
        <v>40</v>
      </c>
      <c r="G1394" s="19" t="s">
        <v>27</v>
      </c>
      <c r="H1394" s="19" t="s">
        <v>22</v>
      </c>
      <c r="I1394" s="19">
        <v>4</v>
      </c>
      <c r="J1394" s="19">
        <v>1</v>
      </c>
      <c r="K1394" s="19">
        <v>4</v>
      </c>
      <c r="L1394" s="19" t="s">
        <v>55</v>
      </c>
      <c r="M1394" s="21">
        <v>4.3</v>
      </c>
      <c r="N1394">
        <f t="shared" si="21"/>
        <v>0</v>
      </c>
    </row>
    <row r="1395" spans="1:14" x14ac:dyDescent="0.35">
      <c r="A1395" s="22" t="s">
        <v>1465</v>
      </c>
      <c r="B1395" s="23" t="s">
        <v>57</v>
      </c>
      <c r="C1395" s="23">
        <v>9</v>
      </c>
      <c r="D1395" s="24">
        <v>45902</v>
      </c>
      <c r="E1395" s="23" t="s">
        <v>68</v>
      </c>
      <c r="F1395" s="23" t="s">
        <v>14</v>
      </c>
      <c r="G1395" s="23" t="s">
        <v>27</v>
      </c>
      <c r="H1395" s="23" t="s">
        <v>28</v>
      </c>
      <c r="I1395" s="23">
        <v>8</v>
      </c>
      <c r="J1395" s="23">
        <v>0</v>
      </c>
      <c r="K1395" s="23">
        <v>4</v>
      </c>
      <c r="L1395" s="23" t="s">
        <v>75</v>
      </c>
      <c r="M1395" s="25">
        <v>27.7</v>
      </c>
      <c r="N1395">
        <f t="shared" si="21"/>
        <v>0</v>
      </c>
    </row>
    <row r="1396" spans="1:14" x14ac:dyDescent="0.35">
      <c r="A1396" s="6" t="s">
        <v>1466</v>
      </c>
      <c r="B1396" s="19" t="s">
        <v>69</v>
      </c>
      <c r="C1396" s="19">
        <v>4</v>
      </c>
      <c r="D1396" s="20">
        <v>45753</v>
      </c>
      <c r="E1396" s="19" t="s">
        <v>36</v>
      </c>
      <c r="F1396" s="19" t="s">
        <v>40</v>
      </c>
      <c r="G1396" s="19" t="s">
        <v>27</v>
      </c>
      <c r="H1396" s="19" t="s">
        <v>22</v>
      </c>
      <c r="I1396" s="19">
        <v>8</v>
      </c>
      <c r="J1396" s="19">
        <v>0</v>
      </c>
      <c r="K1396" s="19">
        <v>5</v>
      </c>
      <c r="L1396" s="19" t="s">
        <v>17</v>
      </c>
      <c r="M1396" s="21">
        <v>2</v>
      </c>
      <c r="N1396">
        <f t="shared" si="21"/>
        <v>1</v>
      </c>
    </row>
    <row r="1397" spans="1:14" x14ac:dyDescent="0.35">
      <c r="A1397" s="22" t="s">
        <v>1467</v>
      </c>
      <c r="B1397" s="23" t="s">
        <v>101</v>
      </c>
      <c r="C1397" s="23">
        <v>9</v>
      </c>
      <c r="D1397" s="24">
        <v>45910</v>
      </c>
      <c r="E1397" s="23" t="s">
        <v>8364</v>
      </c>
      <c r="F1397" s="23" t="s">
        <v>14</v>
      </c>
      <c r="G1397" s="23" t="s">
        <v>31</v>
      </c>
      <c r="H1397" s="23" t="s">
        <v>28</v>
      </c>
      <c r="I1397" s="23">
        <v>8</v>
      </c>
      <c r="J1397" s="23">
        <v>0</v>
      </c>
      <c r="K1397" s="23">
        <v>3</v>
      </c>
      <c r="L1397" s="23" t="s">
        <v>17</v>
      </c>
      <c r="M1397" s="25">
        <v>1.5</v>
      </c>
      <c r="N1397">
        <f t="shared" si="21"/>
        <v>1</v>
      </c>
    </row>
    <row r="1398" spans="1:14" x14ac:dyDescent="0.35">
      <c r="A1398" s="6" t="s">
        <v>1468</v>
      </c>
      <c r="B1398" s="19" t="s">
        <v>236</v>
      </c>
      <c r="C1398" s="19">
        <v>4</v>
      </c>
      <c r="D1398" s="20">
        <v>45767</v>
      </c>
      <c r="E1398" s="19" t="s">
        <v>13</v>
      </c>
      <c r="F1398" s="19" t="s">
        <v>43</v>
      </c>
      <c r="G1398" s="19" t="s">
        <v>21</v>
      </c>
      <c r="H1398" s="19" t="s">
        <v>28</v>
      </c>
      <c r="I1398" s="19">
        <v>8</v>
      </c>
      <c r="J1398" s="19">
        <v>0</v>
      </c>
      <c r="K1398" s="19">
        <v>2</v>
      </c>
      <c r="L1398" s="19" t="s">
        <v>55</v>
      </c>
      <c r="M1398" s="21">
        <v>7.6</v>
      </c>
      <c r="N1398">
        <f t="shared" si="21"/>
        <v>1</v>
      </c>
    </row>
    <row r="1399" spans="1:14" x14ac:dyDescent="0.35">
      <c r="A1399" s="22" t="s">
        <v>1469</v>
      </c>
      <c r="B1399" s="23" t="s">
        <v>51</v>
      </c>
      <c r="C1399" s="23">
        <v>1</v>
      </c>
      <c r="D1399" s="24">
        <v>45675</v>
      </c>
      <c r="E1399" s="23" t="s">
        <v>25</v>
      </c>
      <c r="F1399" s="23" t="s">
        <v>14</v>
      </c>
      <c r="G1399" s="23" t="s">
        <v>27</v>
      </c>
      <c r="H1399" s="23" t="s">
        <v>28</v>
      </c>
      <c r="I1399" s="23">
        <v>8</v>
      </c>
      <c r="J1399" s="23">
        <v>0</v>
      </c>
      <c r="K1399" s="23">
        <v>5</v>
      </c>
      <c r="L1399" s="23" t="s">
        <v>62</v>
      </c>
      <c r="M1399" s="25">
        <v>7.3</v>
      </c>
      <c r="N1399">
        <f t="shared" si="21"/>
        <v>1</v>
      </c>
    </row>
    <row r="1400" spans="1:14" x14ac:dyDescent="0.35">
      <c r="A1400" s="6" t="s">
        <v>1470</v>
      </c>
      <c r="B1400" s="19" t="s">
        <v>126</v>
      </c>
      <c r="C1400" s="19">
        <v>6</v>
      </c>
      <c r="D1400" s="20">
        <v>45828</v>
      </c>
      <c r="E1400" s="19" t="s">
        <v>36</v>
      </c>
      <c r="F1400" s="19" t="s">
        <v>14</v>
      </c>
      <c r="G1400" s="19" t="s">
        <v>27</v>
      </c>
      <c r="H1400" s="19" t="s">
        <v>22</v>
      </c>
      <c r="I1400" s="19">
        <v>4</v>
      </c>
      <c r="J1400" s="19">
        <v>3</v>
      </c>
      <c r="K1400" s="19">
        <v>4</v>
      </c>
      <c r="L1400" s="19" t="s">
        <v>62</v>
      </c>
      <c r="M1400" s="21">
        <v>21.4</v>
      </c>
      <c r="N1400">
        <f t="shared" si="21"/>
        <v>0</v>
      </c>
    </row>
    <row r="1401" spans="1:14" x14ac:dyDescent="0.35">
      <c r="A1401" s="22" t="s">
        <v>1471</v>
      </c>
      <c r="B1401" s="23" t="s">
        <v>39</v>
      </c>
      <c r="C1401" s="23">
        <v>2</v>
      </c>
      <c r="D1401" s="24">
        <v>45691</v>
      </c>
      <c r="E1401" s="23" t="s">
        <v>8364</v>
      </c>
      <c r="F1401" s="23" t="s">
        <v>14</v>
      </c>
      <c r="G1401" s="23" t="s">
        <v>31</v>
      </c>
      <c r="H1401" s="23" t="s">
        <v>22</v>
      </c>
      <c r="I1401" s="23">
        <v>72</v>
      </c>
      <c r="J1401" s="23">
        <v>0</v>
      </c>
      <c r="K1401" s="23">
        <v>5</v>
      </c>
      <c r="L1401" s="23" t="s">
        <v>44</v>
      </c>
      <c r="M1401" s="25">
        <v>13.5</v>
      </c>
      <c r="N1401">
        <f t="shared" si="21"/>
        <v>1</v>
      </c>
    </row>
    <row r="1402" spans="1:14" x14ac:dyDescent="0.35">
      <c r="A1402" s="6" t="s">
        <v>1472</v>
      </c>
      <c r="B1402" s="19" t="s">
        <v>51</v>
      </c>
      <c r="C1402" s="19">
        <v>9</v>
      </c>
      <c r="D1402" s="20">
        <v>45914</v>
      </c>
      <c r="E1402" s="19" t="s">
        <v>36</v>
      </c>
      <c r="F1402" s="19" t="s">
        <v>8364</v>
      </c>
      <c r="G1402" s="19" t="s">
        <v>21</v>
      </c>
      <c r="H1402" s="19" t="s">
        <v>32</v>
      </c>
      <c r="I1402" s="19">
        <v>8</v>
      </c>
      <c r="J1402" s="19">
        <v>2</v>
      </c>
      <c r="K1402" s="19">
        <v>5</v>
      </c>
      <c r="L1402" s="19" t="s">
        <v>8363</v>
      </c>
      <c r="M1402" s="21">
        <v>31.1</v>
      </c>
      <c r="N1402">
        <f t="shared" si="21"/>
        <v>0</v>
      </c>
    </row>
    <row r="1403" spans="1:14" x14ac:dyDescent="0.35">
      <c r="A1403" s="22" t="s">
        <v>1473</v>
      </c>
      <c r="B1403" s="23" t="s">
        <v>29</v>
      </c>
      <c r="C1403" s="23">
        <v>5</v>
      </c>
      <c r="D1403" s="24">
        <v>45803</v>
      </c>
      <c r="E1403" s="23" t="s">
        <v>20</v>
      </c>
      <c r="F1403" s="23" t="s">
        <v>59</v>
      </c>
      <c r="G1403" s="23" t="s">
        <v>21</v>
      </c>
      <c r="H1403" s="23" t="s">
        <v>28</v>
      </c>
      <c r="I1403" s="23">
        <v>8</v>
      </c>
      <c r="J1403" s="23">
        <v>0</v>
      </c>
      <c r="K1403" s="23">
        <v>5</v>
      </c>
      <c r="L1403" s="23" t="s">
        <v>75</v>
      </c>
      <c r="M1403" s="25">
        <v>3.6</v>
      </c>
      <c r="N1403">
        <f t="shared" si="21"/>
        <v>1</v>
      </c>
    </row>
    <row r="1404" spans="1:14" x14ac:dyDescent="0.35">
      <c r="A1404" s="6" t="s">
        <v>1474</v>
      </c>
      <c r="B1404" s="19" t="s">
        <v>57</v>
      </c>
      <c r="C1404" s="19">
        <v>10</v>
      </c>
      <c r="D1404" s="20">
        <v>45933</v>
      </c>
      <c r="E1404" s="19" t="s">
        <v>13</v>
      </c>
      <c r="F1404" s="19" t="s">
        <v>37</v>
      </c>
      <c r="G1404" s="19" t="s">
        <v>27</v>
      </c>
      <c r="H1404" s="19" t="s">
        <v>8364</v>
      </c>
      <c r="I1404" s="19">
        <v>48</v>
      </c>
      <c r="J1404" s="19">
        <v>0</v>
      </c>
      <c r="K1404" s="19">
        <v>5</v>
      </c>
      <c r="L1404" s="19" t="s">
        <v>17</v>
      </c>
      <c r="M1404" s="21">
        <v>84</v>
      </c>
      <c r="N1404">
        <f t="shared" si="21"/>
        <v>0</v>
      </c>
    </row>
    <row r="1405" spans="1:14" x14ac:dyDescent="0.35">
      <c r="A1405" s="22" t="s">
        <v>1475</v>
      </c>
      <c r="B1405" s="23" t="s">
        <v>39</v>
      </c>
      <c r="C1405" s="23">
        <v>3</v>
      </c>
      <c r="D1405" s="24">
        <v>45734</v>
      </c>
      <c r="E1405" s="23" t="s">
        <v>25</v>
      </c>
      <c r="F1405" s="23" t="s">
        <v>37</v>
      </c>
      <c r="G1405" s="23" t="s">
        <v>15</v>
      </c>
      <c r="H1405" s="23" t="s">
        <v>22</v>
      </c>
      <c r="I1405" s="23">
        <v>24</v>
      </c>
      <c r="J1405" s="23">
        <v>0</v>
      </c>
      <c r="K1405" s="23">
        <v>2</v>
      </c>
      <c r="L1405" s="23" t="s">
        <v>55</v>
      </c>
      <c r="M1405" s="25"/>
      <c r="N1405">
        <f t="shared" si="21"/>
        <v>1</v>
      </c>
    </row>
    <row r="1406" spans="1:14" x14ac:dyDescent="0.35">
      <c r="A1406" s="6" t="s">
        <v>1476</v>
      </c>
      <c r="B1406" s="19" t="s">
        <v>41</v>
      </c>
      <c r="C1406" s="19"/>
      <c r="D1406" s="20"/>
      <c r="E1406" s="19" t="s">
        <v>13</v>
      </c>
      <c r="F1406" s="19" t="s">
        <v>8364</v>
      </c>
      <c r="G1406" s="19" t="s">
        <v>27</v>
      </c>
      <c r="H1406" s="19" t="s">
        <v>32</v>
      </c>
      <c r="I1406" s="19">
        <v>48</v>
      </c>
      <c r="J1406" s="19">
        <v>0</v>
      </c>
      <c r="K1406" s="19">
        <v>3</v>
      </c>
      <c r="L1406" s="19" t="s">
        <v>38</v>
      </c>
      <c r="M1406" s="21">
        <v>5.0999999999999996</v>
      </c>
      <c r="N1406">
        <f t="shared" si="21"/>
        <v>1</v>
      </c>
    </row>
    <row r="1407" spans="1:14" x14ac:dyDescent="0.35">
      <c r="A1407" s="22" t="s">
        <v>1477</v>
      </c>
      <c r="B1407" s="23" t="s">
        <v>34</v>
      </c>
      <c r="C1407" s="23">
        <v>4</v>
      </c>
      <c r="D1407" s="24">
        <v>45770</v>
      </c>
      <c r="E1407" s="23" t="s">
        <v>25</v>
      </c>
      <c r="F1407" s="23" t="s">
        <v>59</v>
      </c>
      <c r="G1407" s="23" t="s">
        <v>15</v>
      </c>
      <c r="H1407" s="23" t="s">
        <v>22</v>
      </c>
      <c r="I1407" s="23">
        <v>4</v>
      </c>
      <c r="J1407" s="23">
        <v>0</v>
      </c>
      <c r="K1407" s="23">
        <v>5</v>
      </c>
      <c r="L1407" s="23" t="s">
        <v>17</v>
      </c>
      <c r="M1407" s="25"/>
      <c r="N1407">
        <f t="shared" si="21"/>
        <v>1</v>
      </c>
    </row>
    <row r="1408" spans="1:14" x14ac:dyDescent="0.35">
      <c r="A1408" s="6" t="s">
        <v>1478</v>
      </c>
      <c r="B1408" s="19" t="s">
        <v>23</v>
      </c>
      <c r="C1408" s="19">
        <v>12</v>
      </c>
      <c r="D1408" s="20">
        <v>45996</v>
      </c>
      <c r="E1408" s="19" t="s">
        <v>36</v>
      </c>
      <c r="F1408" s="19" t="s">
        <v>40</v>
      </c>
      <c r="G1408" s="19" t="s">
        <v>31</v>
      </c>
      <c r="H1408" s="19" t="s">
        <v>22</v>
      </c>
      <c r="I1408" s="19">
        <v>48</v>
      </c>
      <c r="J1408" s="19">
        <v>0</v>
      </c>
      <c r="K1408" s="19"/>
      <c r="L1408" s="19" t="s">
        <v>38</v>
      </c>
      <c r="M1408" s="21">
        <v>6.1</v>
      </c>
      <c r="N1408">
        <f t="shared" si="21"/>
        <v>1</v>
      </c>
    </row>
    <row r="1409" spans="1:14" x14ac:dyDescent="0.35">
      <c r="A1409" s="22" t="s">
        <v>1479</v>
      </c>
      <c r="B1409" s="23" t="s">
        <v>85</v>
      </c>
      <c r="C1409" s="23">
        <v>4</v>
      </c>
      <c r="D1409" s="24">
        <v>45756</v>
      </c>
      <c r="E1409" s="23" t="s">
        <v>36</v>
      </c>
      <c r="F1409" s="23" t="s">
        <v>14</v>
      </c>
      <c r="G1409" s="23" t="s">
        <v>15</v>
      </c>
      <c r="H1409" s="23" t="s">
        <v>8364</v>
      </c>
      <c r="I1409" s="23">
        <v>4</v>
      </c>
      <c r="J1409" s="23">
        <v>0</v>
      </c>
      <c r="K1409" s="23">
        <v>2</v>
      </c>
      <c r="L1409" s="23" t="s">
        <v>8363</v>
      </c>
      <c r="M1409" s="25">
        <v>5.7</v>
      </c>
      <c r="N1409">
        <f t="shared" si="21"/>
        <v>0</v>
      </c>
    </row>
    <row r="1410" spans="1:14" x14ac:dyDescent="0.35">
      <c r="A1410" s="6" t="s">
        <v>1480</v>
      </c>
      <c r="B1410" s="19" t="s">
        <v>49</v>
      </c>
      <c r="C1410" s="19">
        <v>4</v>
      </c>
      <c r="D1410" s="20">
        <v>45756</v>
      </c>
      <c r="E1410" s="19" t="s">
        <v>13</v>
      </c>
      <c r="F1410" s="19" t="s">
        <v>37</v>
      </c>
      <c r="G1410" s="19" t="s">
        <v>8364</v>
      </c>
      <c r="H1410" s="19" t="s">
        <v>16</v>
      </c>
      <c r="I1410" s="19">
        <v>24</v>
      </c>
      <c r="J1410" s="19">
        <v>0</v>
      </c>
      <c r="K1410" s="19">
        <v>5</v>
      </c>
      <c r="L1410" s="19" t="s">
        <v>8363</v>
      </c>
      <c r="M1410" s="21">
        <v>20.7</v>
      </c>
      <c r="N1410">
        <f t="shared" si="21"/>
        <v>1</v>
      </c>
    </row>
    <row r="1411" spans="1:14" x14ac:dyDescent="0.35">
      <c r="A1411" s="22" t="s">
        <v>1481</v>
      </c>
      <c r="B1411" s="23" t="s">
        <v>72</v>
      </c>
      <c r="C1411" s="23">
        <v>12</v>
      </c>
      <c r="D1411" s="24">
        <v>45994</v>
      </c>
      <c r="E1411" s="23" t="s">
        <v>8364</v>
      </c>
      <c r="F1411" s="23" t="s">
        <v>14</v>
      </c>
      <c r="G1411" s="23" t="s">
        <v>15</v>
      </c>
      <c r="H1411" s="23" t="s">
        <v>32</v>
      </c>
      <c r="I1411" s="23">
        <v>24</v>
      </c>
      <c r="J1411" s="23">
        <v>0</v>
      </c>
      <c r="K1411" s="23"/>
      <c r="L1411" s="23" t="s">
        <v>8363</v>
      </c>
      <c r="M1411" s="25">
        <v>9.6999999999999993</v>
      </c>
      <c r="N1411">
        <f t="shared" ref="N1411:N1474" si="22">IF(M1411 &lt;= I1411, 1, 0)</f>
        <v>1</v>
      </c>
    </row>
    <row r="1412" spans="1:14" x14ac:dyDescent="0.35">
      <c r="A1412" s="6" t="s">
        <v>1482</v>
      </c>
      <c r="B1412" s="19" t="s">
        <v>47</v>
      </c>
      <c r="C1412" s="19">
        <v>8</v>
      </c>
      <c r="D1412" s="20">
        <v>45879</v>
      </c>
      <c r="E1412" s="19" t="s">
        <v>8364</v>
      </c>
      <c r="F1412" s="19" t="s">
        <v>14</v>
      </c>
      <c r="G1412" s="19" t="s">
        <v>31</v>
      </c>
      <c r="H1412" s="19" t="s">
        <v>8364</v>
      </c>
      <c r="I1412" s="19">
        <v>48</v>
      </c>
      <c r="J1412" s="19"/>
      <c r="K1412" s="19">
        <v>5</v>
      </c>
      <c r="L1412" s="19" t="s">
        <v>33</v>
      </c>
      <c r="M1412" s="21">
        <v>2.2999999999999998</v>
      </c>
      <c r="N1412">
        <f t="shared" si="22"/>
        <v>1</v>
      </c>
    </row>
    <row r="1413" spans="1:14" x14ac:dyDescent="0.35">
      <c r="A1413" s="22" t="s">
        <v>1483</v>
      </c>
      <c r="B1413" s="23" t="s">
        <v>89</v>
      </c>
      <c r="C1413" s="23">
        <v>7</v>
      </c>
      <c r="D1413" s="24">
        <v>45849</v>
      </c>
      <c r="E1413" s="23" t="s">
        <v>36</v>
      </c>
      <c r="F1413" s="23" t="s">
        <v>8364</v>
      </c>
      <c r="G1413" s="23" t="s">
        <v>21</v>
      </c>
      <c r="H1413" s="23" t="s">
        <v>22</v>
      </c>
      <c r="I1413" s="23">
        <v>72</v>
      </c>
      <c r="J1413" s="23">
        <v>1</v>
      </c>
      <c r="K1413" s="23">
        <v>4</v>
      </c>
      <c r="L1413" s="23" t="s">
        <v>44</v>
      </c>
      <c r="M1413" s="25">
        <v>5.9</v>
      </c>
      <c r="N1413">
        <f t="shared" si="22"/>
        <v>1</v>
      </c>
    </row>
    <row r="1414" spans="1:14" x14ac:dyDescent="0.35">
      <c r="A1414" s="6" t="s">
        <v>1484</v>
      </c>
      <c r="B1414" s="19" t="s">
        <v>143</v>
      </c>
      <c r="C1414" s="19">
        <v>6</v>
      </c>
      <c r="D1414" s="20">
        <v>45826</v>
      </c>
      <c r="E1414" s="19" t="s">
        <v>13</v>
      </c>
      <c r="F1414" s="19" t="s">
        <v>37</v>
      </c>
      <c r="G1414" s="19" t="s">
        <v>15</v>
      </c>
      <c r="H1414" s="19" t="s">
        <v>32</v>
      </c>
      <c r="I1414" s="19">
        <v>72</v>
      </c>
      <c r="J1414" s="19">
        <v>2</v>
      </c>
      <c r="K1414" s="19">
        <v>4</v>
      </c>
      <c r="L1414" s="19" t="s">
        <v>55</v>
      </c>
      <c r="M1414" s="21">
        <v>33.5</v>
      </c>
      <c r="N1414">
        <f t="shared" si="22"/>
        <v>1</v>
      </c>
    </row>
    <row r="1415" spans="1:14" x14ac:dyDescent="0.35">
      <c r="A1415" s="22" t="s">
        <v>1485</v>
      </c>
      <c r="B1415" s="23" t="s">
        <v>34</v>
      </c>
      <c r="C1415" s="23">
        <v>12</v>
      </c>
      <c r="D1415" s="24">
        <v>46000</v>
      </c>
      <c r="E1415" s="23" t="s">
        <v>25</v>
      </c>
      <c r="F1415" s="23" t="s">
        <v>37</v>
      </c>
      <c r="G1415" s="23" t="s">
        <v>31</v>
      </c>
      <c r="H1415" s="23" t="s">
        <v>32</v>
      </c>
      <c r="I1415" s="23">
        <v>24</v>
      </c>
      <c r="J1415" s="23">
        <v>2</v>
      </c>
      <c r="K1415" s="23">
        <v>3</v>
      </c>
      <c r="L1415" s="23" t="s">
        <v>8363</v>
      </c>
      <c r="M1415" s="25">
        <v>3.5</v>
      </c>
      <c r="N1415">
        <f t="shared" si="22"/>
        <v>1</v>
      </c>
    </row>
    <row r="1416" spans="1:14" x14ac:dyDescent="0.35">
      <c r="A1416" s="6" t="s">
        <v>1486</v>
      </c>
      <c r="B1416" s="19" t="s">
        <v>99</v>
      </c>
      <c r="C1416" s="19">
        <v>9</v>
      </c>
      <c r="D1416" s="20">
        <v>45918</v>
      </c>
      <c r="E1416" s="19" t="s">
        <v>8364</v>
      </c>
      <c r="F1416" s="19" t="s">
        <v>14</v>
      </c>
      <c r="G1416" s="19" t="s">
        <v>27</v>
      </c>
      <c r="H1416" s="19" t="s">
        <v>16</v>
      </c>
      <c r="I1416" s="19">
        <v>8</v>
      </c>
      <c r="J1416" s="19">
        <v>0</v>
      </c>
      <c r="K1416" s="19">
        <v>2</v>
      </c>
      <c r="L1416" s="19" t="s">
        <v>62</v>
      </c>
      <c r="M1416" s="21">
        <v>8.6999999999999993</v>
      </c>
      <c r="N1416">
        <f t="shared" si="22"/>
        <v>0</v>
      </c>
    </row>
    <row r="1417" spans="1:14" x14ac:dyDescent="0.35">
      <c r="A1417" s="22" t="s">
        <v>1487</v>
      </c>
      <c r="B1417" s="23" t="s">
        <v>18</v>
      </c>
      <c r="C1417" s="23">
        <v>5</v>
      </c>
      <c r="D1417" s="24">
        <v>45782</v>
      </c>
      <c r="E1417" s="23" t="s">
        <v>36</v>
      </c>
      <c r="F1417" s="23" t="s">
        <v>8364</v>
      </c>
      <c r="G1417" s="23" t="s">
        <v>8364</v>
      </c>
      <c r="H1417" s="23" t="s">
        <v>28</v>
      </c>
      <c r="I1417" s="23">
        <v>24</v>
      </c>
      <c r="J1417" s="23">
        <v>0</v>
      </c>
      <c r="K1417" s="23">
        <v>2</v>
      </c>
      <c r="L1417" s="23" t="s">
        <v>8363</v>
      </c>
      <c r="M1417" s="25">
        <v>11.5</v>
      </c>
      <c r="N1417">
        <f t="shared" si="22"/>
        <v>1</v>
      </c>
    </row>
    <row r="1418" spans="1:14" x14ac:dyDescent="0.35">
      <c r="A1418" s="6" t="s">
        <v>1488</v>
      </c>
      <c r="B1418" s="19" t="s">
        <v>81</v>
      </c>
      <c r="C1418" s="19">
        <v>9</v>
      </c>
      <c r="D1418" s="20">
        <v>45915</v>
      </c>
      <c r="E1418" s="19" t="s">
        <v>8364</v>
      </c>
      <c r="F1418" s="19" t="s">
        <v>43</v>
      </c>
      <c r="G1418" s="19" t="s">
        <v>31</v>
      </c>
      <c r="H1418" s="19" t="s">
        <v>22</v>
      </c>
      <c r="I1418" s="19">
        <v>72</v>
      </c>
      <c r="J1418" s="19">
        <v>1</v>
      </c>
      <c r="K1418" s="19">
        <v>5</v>
      </c>
      <c r="L1418" s="19" t="s">
        <v>38</v>
      </c>
      <c r="M1418" s="21">
        <v>10.199999999999999</v>
      </c>
      <c r="N1418">
        <f t="shared" si="22"/>
        <v>1</v>
      </c>
    </row>
    <row r="1419" spans="1:14" x14ac:dyDescent="0.35">
      <c r="A1419" s="22" t="s">
        <v>1489</v>
      </c>
      <c r="B1419" s="23" t="s">
        <v>72</v>
      </c>
      <c r="C1419" s="23">
        <v>2</v>
      </c>
      <c r="D1419" s="24">
        <v>45699</v>
      </c>
      <c r="E1419" s="23" t="s">
        <v>20</v>
      </c>
      <c r="F1419" s="23" t="s">
        <v>8364</v>
      </c>
      <c r="G1419" s="23" t="s">
        <v>27</v>
      </c>
      <c r="H1419" s="23" t="s">
        <v>32</v>
      </c>
      <c r="I1419" s="23">
        <v>48</v>
      </c>
      <c r="J1419" s="23">
        <v>0</v>
      </c>
      <c r="K1419" s="23">
        <v>3</v>
      </c>
      <c r="L1419" s="23" t="s">
        <v>8363</v>
      </c>
      <c r="M1419" s="25">
        <v>56.3</v>
      </c>
      <c r="N1419">
        <f t="shared" si="22"/>
        <v>0</v>
      </c>
    </row>
    <row r="1420" spans="1:14" x14ac:dyDescent="0.35">
      <c r="A1420" s="6" t="s">
        <v>1490</v>
      </c>
      <c r="B1420" s="19" t="s">
        <v>65</v>
      </c>
      <c r="C1420" s="19">
        <v>7</v>
      </c>
      <c r="D1420" s="20">
        <v>45866</v>
      </c>
      <c r="E1420" s="19" t="s">
        <v>25</v>
      </c>
      <c r="F1420" s="19" t="s">
        <v>14</v>
      </c>
      <c r="G1420" s="19" t="s">
        <v>31</v>
      </c>
      <c r="H1420" s="19" t="s">
        <v>28</v>
      </c>
      <c r="I1420" s="19">
        <v>72</v>
      </c>
      <c r="J1420" s="19">
        <v>0</v>
      </c>
      <c r="K1420" s="19">
        <v>3</v>
      </c>
      <c r="L1420" s="19" t="s">
        <v>38</v>
      </c>
      <c r="M1420" s="21">
        <v>17.3</v>
      </c>
      <c r="N1420">
        <f t="shared" si="22"/>
        <v>1</v>
      </c>
    </row>
    <row r="1421" spans="1:14" x14ac:dyDescent="0.35">
      <c r="A1421" s="22" t="s">
        <v>1491</v>
      </c>
      <c r="B1421" s="23" t="s">
        <v>104</v>
      </c>
      <c r="C1421" s="23">
        <v>4</v>
      </c>
      <c r="D1421" s="24">
        <v>45770</v>
      </c>
      <c r="E1421" s="23" t="s">
        <v>68</v>
      </c>
      <c r="F1421" s="23" t="s">
        <v>59</v>
      </c>
      <c r="G1421" s="23" t="s">
        <v>21</v>
      </c>
      <c r="H1421" s="23" t="s">
        <v>28</v>
      </c>
      <c r="I1421" s="23">
        <v>8</v>
      </c>
      <c r="J1421" s="23">
        <v>0</v>
      </c>
      <c r="K1421" s="23">
        <v>3</v>
      </c>
      <c r="L1421" s="23" t="s">
        <v>38</v>
      </c>
      <c r="M1421" s="25">
        <v>11.5</v>
      </c>
      <c r="N1421">
        <f t="shared" si="22"/>
        <v>0</v>
      </c>
    </row>
    <row r="1422" spans="1:14" x14ac:dyDescent="0.35">
      <c r="A1422" s="6" t="s">
        <v>1492</v>
      </c>
      <c r="B1422" s="19" t="s">
        <v>69</v>
      </c>
      <c r="C1422" s="19">
        <v>10</v>
      </c>
      <c r="D1422" s="20">
        <v>45956</v>
      </c>
      <c r="E1422" s="19" t="s">
        <v>20</v>
      </c>
      <c r="F1422" s="19" t="s">
        <v>59</v>
      </c>
      <c r="G1422" s="19" t="s">
        <v>15</v>
      </c>
      <c r="H1422" s="19" t="s">
        <v>22</v>
      </c>
      <c r="I1422" s="19">
        <v>48</v>
      </c>
      <c r="J1422" s="19">
        <v>0</v>
      </c>
      <c r="K1422" s="19">
        <v>2</v>
      </c>
      <c r="L1422" s="19" t="s">
        <v>55</v>
      </c>
      <c r="M1422" s="21">
        <v>12.2</v>
      </c>
      <c r="N1422">
        <f t="shared" si="22"/>
        <v>1</v>
      </c>
    </row>
    <row r="1423" spans="1:14" x14ac:dyDescent="0.35">
      <c r="A1423" s="22" t="s">
        <v>1493</v>
      </c>
      <c r="B1423" s="23" t="s">
        <v>34</v>
      </c>
      <c r="C1423" s="23">
        <v>5</v>
      </c>
      <c r="D1423" s="24">
        <v>45794</v>
      </c>
      <c r="E1423" s="23" t="s">
        <v>68</v>
      </c>
      <c r="F1423" s="23" t="s">
        <v>14</v>
      </c>
      <c r="G1423" s="23" t="s">
        <v>21</v>
      </c>
      <c r="H1423" s="23" t="s">
        <v>22</v>
      </c>
      <c r="I1423" s="23">
        <v>24</v>
      </c>
      <c r="J1423" s="23">
        <v>1</v>
      </c>
      <c r="K1423" s="23">
        <v>5</v>
      </c>
      <c r="L1423" s="23" t="s">
        <v>8363</v>
      </c>
      <c r="M1423" s="25">
        <v>9.1999999999999993</v>
      </c>
      <c r="N1423">
        <f t="shared" si="22"/>
        <v>1</v>
      </c>
    </row>
    <row r="1424" spans="1:14" x14ac:dyDescent="0.35">
      <c r="A1424" s="6" t="s">
        <v>1494</v>
      </c>
      <c r="B1424" s="19" t="s">
        <v>236</v>
      </c>
      <c r="C1424" s="19"/>
      <c r="D1424" s="20"/>
      <c r="E1424" s="19" t="s">
        <v>25</v>
      </c>
      <c r="F1424" s="19" t="s">
        <v>43</v>
      </c>
      <c r="G1424" s="19" t="s">
        <v>15</v>
      </c>
      <c r="H1424" s="19" t="s">
        <v>22</v>
      </c>
      <c r="I1424" s="19">
        <v>24</v>
      </c>
      <c r="J1424" s="19">
        <v>1</v>
      </c>
      <c r="K1424" s="19">
        <v>5</v>
      </c>
      <c r="L1424" s="19" t="s">
        <v>8363</v>
      </c>
      <c r="M1424" s="21">
        <v>0.2</v>
      </c>
      <c r="N1424">
        <f t="shared" si="22"/>
        <v>1</v>
      </c>
    </row>
    <row r="1425" spans="1:14" x14ac:dyDescent="0.35">
      <c r="A1425" s="22" t="s">
        <v>1495</v>
      </c>
      <c r="B1425" s="23" t="s">
        <v>89</v>
      </c>
      <c r="C1425" s="23">
        <v>10</v>
      </c>
      <c r="D1425" s="24">
        <v>45937</v>
      </c>
      <c r="E1425" s="23" t="s">
        <v>68</v>
      </c>
      <c r="F1425" s="23" t="s">
        <v>59</v>
      </c>
      <c r="G1425" s="23" t="s">
        <v>15</v>
      </c>
      <c r="H1425" s="23" t="s">
        <v>22</v>
      </c>
      <c r="I1425" s="23">
        <v>4</v>
      </c>
      <c r="J1425" s="23">
        <v>0</v>
      </c>
      <c r="K1425" s="23">
        <v>4</v>
      </c>
      <c r="L1425" s="23" t="s">
        <v>17</v>
      </c>
      <c r="M1425" s="25">
        <v>11.9</v>
      </c>
      <c r="N1425">
        <f t="shared" si="22"/>
        <v>0</v>
      </c>
    </row>
    <row r="1426" spans="1:14" x14ac:dyDescent="0.35">
      <c r="A1426" s="6" t="s">
        <v>1496</v>
      </c>
      <c r="B1426" s="19" t="s">
        <v>72</v>
      </c>
      <c r="C1426" s="19">
        <v>1</v>
      </c>
      <c r="D1426" s="20">
        <v>45660</v>
      </c>
      <c r="E1426" s="19" t="s">
        <v>13</v>
      </c>
      <c r="F1426" s="19" t="s">
        <v>40</v>
      </c>
      <c r="G1426" s="19" t="s">
        <v>21</v>
      </c>
      <c r="H1426" s="19" t="s">
        <v>22</v>
      </c>
      <c r="I1426" s="19">
        <v>48</v>
      </c>
      <c r="J1426" s="19">
        <v>0</v>
      </c>
      <c r="K1426" s="19">
        <v>5</v>
      </c>
      <c r="L1426" s="19" t="s">
        <v>33</v>
      </c>
      <c r="M1426" s="21">
        <v>8.6</v>
      </c>
      <c r="N1426">
        <f t="shared" si="22"/>
        <v>1</v>
      </c>
    </row>
    <row r="1427" spans="1:14" x14ac:dyDescent="0.35">
      <c r="A1427" s="22" t="s">
        <v>1497</v>
      </c>
      <c r="B1427" s="23" t="s">
        <v>29</v>
      </c>
      <c r="C1427" s="23">
        <v>11</v>
      </c>
      <c r="D1427" s="24">
        <v>45969</v>
      </c>
      <c r="E1427" s="23" t="s">
        <v>13</v>
      </c>
      <c r="F1427" s="23" t="s">
        <v>8364</v>
      </c>
      <c r="G1427" s="23" t="s">
        <v>27</v>
      </c>
      <c r="H1427" s="23" t="s">
        <v>28</v>
      </c>
      <c r="I1427" s="23">
        <v>24</v>
      </c>
      <c r="J1427" s="23">
        <v>0</v>
      </c>
      <c r="K1427" s="23">
        <v>5</v>
      </c>
      <c r="L1427" s="23" t="s">
        <v>17</v>
      </c>
      <c r="M1427" s="25">
        <v>27.6</v>
      </c>
      <c r="N1427">
        <f t="shared" si="22"/>
        <v>0</v>
      </c>
    </row>
    <row r="1428" spans="1:14" x14ac:dyDescent="0.35">
      <c r="A1428" s="6" t="s">
        <v>1498</v>
      </c>
      <c r="B1428" s="19" t="s">
        <v>49</v>
      </c>
      <c r="C1428" s="19">
        <v>12</v>
      </c>
      <c r="D1428" s="20">
        <v>46013</v>
      </c>
      <c r="E1428" s="19" t="s">
        <v>20</v>
      </c>
      <c r="F1428" s="19" t="s">
        <v>43</v>
      </c>
      <c r="G1428" s="19" t="s">
        <v>21</v>
      </c>
      <c r="H1428" s="19" t="s">
        <v>28</v>
      </c>
      <c r="I1428" s="19">
        <v>72</v>
      </c>
      <c r="J1428" s="19">
        <v>0</v>
      </c>
      <c r="K1428" s="19">
        <v>4</v>
      </c>
      <c r="L1428" s="19" t="s">
        <v>75</v>
      </c>
      <c r="M1428" s="21">
        <v>1.1000000000000001</v>
      </c>
      <c r="N1428">
        <f t="shared" si="22"/>
        <v>1</v>
      </c>
    </row>
    <row r="1429" spans="1:14" x14ac:dyDescent="0.35">
      <c r="A1429" s="22" t="s">
        <v>1499</v>
      </c>
      <c r="B1429" s="23" t="s">
        <v>69</v>
      </c>
      <c r="C1429" s="23">
        <v>8</v>
      </c>
      <c r="D1429" s="24">
        <v>45882</v>
      </c>
      <c r="E1429" s="23" t="s">
        <v>68</v>
      </c>
      <c r="F1429" s="23" t="s">
        <v>43</v>
      </c>
      <c r="G1429" s="23" t="s">
        <v>15</v>
      </c>
      <c r="H1429" s="23" t="s">
        <v>22</v>
      </c>
      <c r="I1429" s="23">
        <v>4</v>
      </c>
      <c r="J1429" s="23">
        <v>0</v>
      </c>
      <c r="K1429" s="23">
        <v>5</v>
      </c>
      <c r="L1429" s="23" t="s">
        <v>8363</v>
      </c>
      <c r="M1429" s="25">
        <v>12</v>
      </c>
      <c r="N1429">
        <f t="shared" si="22"/>
        <v>0</v>
      </c>
    </row>
    <row r="1430" spans="1:14" x14ac:dyDescent="0.35">
      <c r="A1430" s="6" t="s">
        <v>1500</v>
      </c>
      <c r="B1430" s="19" t="s">
        <v>18</v>
      </c>
      <c r="C1430" s="19">
        <v>1</v>
      </c>
      <c r="D1430" s="20">
        <v>45671</v>
      </c>
      <c r="E1430" s="19" t="s">
        <v>68</v>
      </c>
      <c r="F1430" s="19" t="s">
        <v>59</v>
      </c>
      <c r="G1430" s="19" t="s">
        <v>31</v>
      </c>
      <c r="H1430" s="19" t="s">
        <v>8364</v>
      </c>
      <c r="I1430" s="19">
        <v>24</v>
      </c>
      <c r="J1430" s="19">
        <v>0</v>
      </c>
      <c r="K1430" s="19">
        <v>4</v>
      </c>
      <c r="L1430" s="19" t="s">
        <v>44</v>
      </c>
      <c r="M1430" s="21">
        <v>11.6</v>
      </c>
      <c r="N1430">
        <f t="shared" si="22"/>
        <v>1</v>
      </c>
    </row>
    <row r="1431" spans="1:14" x14ac:dyDescent="0.35">
      <c r="A1431" s="22" t="s">
        <v>1501</v>
      </c>
      <c r="B1431" s="23" t="s">
        <v>97</v>
      </c>
      <c r="C1431" s="23">
        <v>2</v>
      </c>
      <c r="D1431" s="24">
        <v>45705</v>
      </c>
      <c r="E1431" s="23" t="s">
        <v>20</v>
      </c>
      <c r="F1431" s="23" t="s">
        <v>8364</v>
      </c>
      <c r="G1431" s="23" t="s">
        <v>27</v>
      </c>
      <c r="H1431" s="23" t="s">
        <v>16</v>
      </c>
      <c r="I1431" s="23">
        <v>8</v>
      </c>
      <c r="J1431" s="23">
        <v>0</v>
      </c>
      <c r="K1431" s="23"/>
      <c r="L1431" s="23" t="s">
        <v>55</v>
      </c>
      <c r="M1431" s="25">
        <v>11.3</v>
      </c>
      <c r="N1431">
        <f t="shared" si="22"/>
        <v>0</v>
      </c>
    </row>
    <row r="1432" spans="1:14" x14ac:dyDescent="0.35">
      <c r="A1432" s="6" t="s">
        <v>1502</v>
      </c>
      <c r="B1432" s="19" t="s">
        <v>65</v>
      </c>
      <c r="C1432" s="19">
        <v>6</v>
      </c>
      <c r="D1432" s="20">
        <v>45821</v>
      </c>
      <c r="E1432" s="19" t="s">
        <v>13</v>
      </c>
      <c r="F1432" s="19" t="s">
        <v>37</v>
      </c>
      <c r="G1432" s="19" t="s">
        <v>21</v>
      </c>
      <c r="H1432" s="19" t="s">
        <v>22</v>
      </c>
      <c r="I1432" s="19">
        <v>4</v>
      </c>
      <c r="J1432" s="19">
        <v>1</v>
      </c>
      <c r="K1432" s="19">
        <v>4</v>
      </c>
      <c r="L1432" s="19" t="s">
        <v>8363</v>
      </c>
      <c r="M1432" s="21">
        <v>18.600000000000001</v>
      </c>
      <c r="N1432">
        <f t="shared" si="22"/>
        <v>0</v>
      </c>
    </row>
    <row r="1433" spans="1:14" x14ac:dyDescent="0.35">
      <c r="A1433" s="22" t="s">
        <v>1503</v>
      </c>
      <c r="B1433" s="23" t="s">
        <v>87</v>
      </c>
      <c r="C1433" s="23">
        <v>8</v>
      </c>
      <c r="D1433" s="24">
        <v>45872</v>
      </c>
      <c r="E1433" s="23" t="s">
        <v>13</v>
      </c>
      <c r="F1433" s="23" t="s">
        <v>14</v>
      </c>
      <c r="G1433" s="23" t="s">
        <v>15</v>
      </c>
      <c r="H1433" s="23" t="s">
        <v>8364</v>
      </c>
      <c r="I1433" s="23">
        <v>24</v>
      </c>
      <c r="J1433" s="23">
        <v>0</v>
      </c>
      <c r="K1433" s="23">
        <v>4</v>
      </c>
      <c r="L1433" s="23" t="s">
        <v>55</v>
      </c>
      <c r="M1433" s="25">
        <v>7.9</v>
      </c>
      <c r="N1433">
        <f t="shared" si="22"/>
        <v>1</v>
      </c>
    </row>
    <row r="1434" spans="1:14" x14ac:dyDescent="0.35">
      <c r="A1434" s="6" t="s">
        <v>1504</v>
      </c>
      <c r="B1434" s="19" t="s">
        <v>41</v>
      </c>
      <c r="C1434" s="19">
        <v>10</v>
      </c>
      <c r="D1434" s="20">
        <v>45952</v>
      </c>
      <c r="E1434" s="19" t="s">
        <v>25</v>
      </c>
      <c r="F1434" s="19" t="s">
        <v>43</v>
      </c>
      <c r="G1434" s="19" t="s">
        <v>8364</v>
      </c>
      <c r="H1434" s="19" t="s">
        <v>8364</v>
      </c>
      <c r="I1434" s="19">
        <v>72</v>
      </c>
      <c r="J1434" s="19">
        <v>0</v>
      </c>
      <c r="K1434" s="19">
        <v>3</v>
      </c>
      <c r="L1434" s="19" t="s">
        <v>75</v>
      </c>
      <c r="M1434" s="21">
        <v>5.7</v>
      </c>
      <c r="N1434">
        <f t="shared" si="22"/>
        <v>1</v>
      </c>
    </row>
    <row r="1435" spans="1:14" x14ac:dyDescent="0.35">
      <c r="A1435" s="22" t="s">
        <v>1505</v>
      </c>
      <c r="B1435" s="23" t="s">
        <v>51</v>
      </c>
      <c r="C1435" s="23">
        <v>9</v>
      </c>
      <c r="D1435" s="24">
        <v>45921</v>
      </c>
      <c r="E1435" s="23" t="s">
        <v>13</v>
      </c>
      <c r="F1435" s="23" t="s">
        <v>40</v>
      </c>
      <c r="G1435" s="23" t="s">
        <v>31</v>
      </c>
      <c r="H1435" s="23" t="s">
        <v>28</v>
      </c>
      <c r="I1435" s="23">
        <v>24</v>
      </c>
      <c r="J1435" s="23">
        <v>0</v>
      </c>
      <c r="K1435" s="23">
        <v>2</v>
      </c>
      <c r="L1435" s="23" t="s">
        <v>8363</v>
      </c>
      <c r="M1435" s="25">
        <v>3</v>
      </c>
      <c r="N1435">
        <f t="shared" si="22"/>
        <v>1</v>
      </c>
    </row>
    <row r="1436" spans="1:14" x14ac:dyDescent="0.35">
      <c r="A1436" s="6" t="s">
        <v>1506</v>
      </c>
      <c r="B1436" s="19" t="s">
        <v>181</v>
      </c>
      <c r="C1436" s="19"/>
      <c r="D1436" s="20"/>
      <c r="E1436" s="19" t="s">
        <v>25</v>
      </c>
      <c r="F1436" s="19" t="s">
        <v>14</v>
      </c>
      <c r="G1436" s="19" t="s">
        <v>21</v>
      </c>
      <c r="H1436" s="19" t="s">
        <v>32</v>
      </c>
      <c r="I1436" s="19">
        <v>8</v>
      </c>
      <c r="J1436" s="19">
        <v>3</v>
      </c>
      <c r="K1436" s="19">
        <v>5</v>
      </c>
      <c r="L1436" s="19" t="s">
        <v>55</v>
      </c>
      <c r="M1436" s="21">
        <v>11.5</v>
      </c>
      <c r="N1436">
        <f t="shared" si="22"/>
        <v>0</v>
      </c>
    </row>
    <row r="1437" spans="1:14" x14ac:dyDescent="0.35">
      <c r="A1437" s="22" t="s">
        <v>1507</v>
      </c>
      <c r="B1437" s="23" t="s">
        <v>65</v>
      </c>
      <c r="C1437" s="23">
        <v>2</v>
      </c>
      <c r="D1437" s="24">
        <v>45709</v>
      </c>
      <c r="E1437" s="23" t="s">
        <v>8364</v>
      </c>
      <c r="F1437" s="23" t="s">
        <v>59</v>
      </c>
      <c r="G1437" s="23" t="s">
        <v>15</v>
      </c>
      <c r="H1437" s="23" t="s">
        <v>22</v>
      </c>
      <c r="I1437" s="23">
        <v>4</v>
      </c>
      <c r="J1437" s="23">
        <v>0</v>
      </c>
      <c r="K1437" s="23">
        <v>5</v>
      </c>
      <c r="L1437" s="23" t="s">
        <v>55</v>
      </c>
      <c r="M1437" s="25">
        <v>15.1</v>
      </c>
      <c r="N1437">
        <f t="shared" si="22"/>
        <v>0</v>
      </c>
    </row>
    <row r="1438" spans="1:14" x14ac:dyDescent="0.35">
      <c r="A1438" s="6" t="s">
        <v>1508</v>
      </c>
      <c r="B1438" s="19" t="s">
        <v>97</v>
      </c>
      <c r="C1438" s="19">
        <v>3</v>
      </c>
      <c r="D1438" s="20">
        <v>45729</v>
      </c>
      <c r="E1438" s="19" t="s">
        <v>8364</v>
      </c>
      <c r="F1438" s="19" t="s">
        <v>14</v>
      </c>
      <c r="G1438" s="19" t="s">
        <v>15</v>
      </c>
      <c r="H1438" s="19" t="s">
        <v>8364</v>
      </c>
      <c r="I1438" s="19">
        <v>4</v>
      </c>
      <c r="J1438" s="19">
        <v>1</v>
      </c>
      <c r="K1438" s="19">
        <v>1</v>
      </c>
      <c r="L1438" s="19" t="s">
        <v>62</v>
      </c>
      <c r="M1438" s="21">
        <v>13.3</v>
      </c>
      <c r="N1438">
        <f t="shared" si="22"/>
        <v>0</v>
      </c>
    </row>
    <row r="1439" spans="1:14" x14ac:dyDescent="0.35">
      <c r="A1439" s="22" t="s">
        <v>1509</v>
      </c>
      <c r="B1439" s="23" t="s">
        <v>236</v>
      </c>
      <c r="C1439" s="23">
        <v>12</v>
      </c>
      <c r="D1439" s="24">
        <v>46021</v>
      </c>
      <c r="E1439" s="23" t="s">
        <v>13</v>
      </c>
      <c r="F1439" s="23" t="s">
        <v>43</v>
      </c>
      <c r="G1439" s="23" t="s">
        <v>27</v>
      </c>
      <c r="H1439" s="23" t="s">
        <v>22</v>
      </c>
      <c r="I1439" s="23">
        <v>4</v>
      </c>
      <c r="J1439" s="23">
        <v>0</v>
      </c>
      <c r="K1439" s="23">
        <v>2</v>
      </c>
      <c r="L1439" s="23" t="s">
        <v>62</v>
      </c>
      <c r="M1439" s="25">
        <v>19.899999999999999</v>
      </c>
      <c r="N1439">
        <f t="shared" si="22"/>
        <v>0</v>
      </c>
    </row>
    <row r="1440" spans="1:14" x14ac:dyDescent="0.35">
      <c r="A1440" s="6" t="s">
        <v>1510</v>
      </c>
      <c r="B1440" s="19" t="s">
        <v>101</v>
      </c>
      <c r="C1440" s="19"/>
      <c r="D1440" s="20"/>
      <c r="E1440" s="19" t="s">
        <v>25</v>
      </c>
      <c r="F1440" s="19" t="s">
        <v>14</v>
      </c>
      <c r="G1440" s="19" t="s">
        <v>21</v>
      </c>
      <c r="H1440" s="19" t="s">
        <v>16</v>
      </c>
      <c r="I1440" s="19">
        <v>48</v>
      </c>
      <c r="J1440" s="19">
        <v>1</v>
      </c>
      <c r="K1440" s="19">
        <v>4</v>
      </c>
      <c r="L1440" s="19" t="s">
        <v>62</v>
      </c>
      <c r="M1440" s="21">
        <v>15</v>
      </c>
      <c r="N1440">
        <f t="shared" si="22"/>
        <v>1</v>
      </c>
    </row>
    <row r="1441" spans="1:14" x14ac:dyDescent="0.35">
      <c r="A1441" s="22" t="s">
        <v>1511</v>
      </c>
      <c r="B1441" s="23" t="s">
        <v>53</v>
      </c>
      <c r="C1441" s="23">
        <v>3</v>
      </c>
      <c r="D1441" s="24">
        <v>45719</v>
      </c>
      <c r="E1441" s="23" t="s">
        <v>20</v>
      </c>
      <c r="F1441" s="23" t="s">
        <v>26</v>
      </c>
      <c r="G1441" s="23" t="s">
        <v>21</v>
      </c>
      <c r="H1441" s="23" t="s">
        <v>28</v>
      </c>
      <c r="I1441" s="23">
        <v>48</v>
      </c>
      <c r="J1441" s="23">
        <v>2</v>
      </c>
      <c r="K1441" s="23">
        <v>4</v>
      </c>
      <c r="L1441" s="23" t="s">
        <v>17</v>
      </c>
      <c r="M1441" s="25">
        <v>10.1</v>
      </c>
      <c r="N1441">
        <f t="shared" si="22"/>
        <v>1</v>
      </c>
    </row>
    <row r="1442" spans="1:14" x14ac:dyDescent="0.35">
      <c r="A1442" s="6" t="s">
        <v>1512</v>
      </c>
      <c r="B1442" s="19" t="s">
        <v>34</v>
      </c>
      <c r="C1442" s="19">
        <v>3</v>
      </c>
      <c r="D1442" s="20">
        <v>45742</v>
      </c>
      <c r="E1442" s="19" t="s">
        <v>68</v>
      </c>
      <c r="F1442" s="19" t="s">
        <v>43</v>
      </c>
      <c r="G1442" s="19" t="s">
        <v>8364</v>
      </c>
      <c r="H1442" s="19" t="s">
        <v>28</v>
      </c>
      <c r="I1442" s="19">
        <v>72</v>
      </c>
      <c r="J1442" s="19">
        <v>0</v>
      </c>
      <c r="K1442" s="19">
        <v>3</v>
      </c>
      <c r="L1442" s="19" t="s">
        <v>33</v>
      </c>
      <c r="M1442" s="21">
        <v>5.7</v>
      </c>
      <c r="N1442">
        <f t="shared" si="22"/>
        <v>1</v>
      </c>
    </row>
    <row r="1443" spans="1:14" x14ac:dyDescent="0.35">
      <c r="A1443" s="22" t="s">
        <v>1513</v>
      </c>
      <c r="B1443" s="23" t="s">
        <v>85</v>
      </c>
      <c r="C1443" s="23">
        <v>9</v>
      </c>
      <c r="D1443" s="24">
        <v>45918</v>
      </c>
      <c r="E1443" s="23" t="s">
        <v>36</v>
      </c>
      <c r="F1443" s="23" t="s">
        <v>59</v>
      </c>
      <c r="G1443" s="23" t="s">
        <v>31</v>
      </c>
      <c r="H1443" s="23" t="s">
        <v>32</v>
      </c>
      <c r="I1443" s="23">
        <v>72</v>
      </c>
      <c r="J1443" s="23">
        <v>1</v>
      </c>
      <c r="K1443" s="23"/>
      <c r="L1443" s="23" t="s">
        <v>44</v>
      </c>
      <c r="M1443" s="25">
        <v>14.8</v>
      </c>
      <c r="N1443">
        <f t="shared" si="22"/>
        <v>1</v>
      </c>
    </row>
    <row r="1444" spans="1:14" x14ac:dyDescent="0.35">
      <c r="A1444" s="6" t="s">
        <v>1514</v>
      </c>
      <c r="B1444" s="19" t="s">
        <v>181</v>
      </c>
      <c r="C1444" s="19">
        <v>11</v>
      </c>
      <c r="D1444" s="20">
        <v>45980</v>
      </c>
      <c r="E1444" s="19" t="s">
        <v>20</v>
      </c>
      <c r="F1444" s="19" t="s">
        <v>8364</v>
      </c>
      <c r="G1444" s="19" t="s">
        <v>31</v>
      </c>
      <c r="H1444" s="19" t="s">
        <v>32</v>
      </c>
      <c r="I1444" s="19">
        <v>8</v>
      </c>
      <c r="J1444" s="19">
        <v>0</v>
      </c>
      <c r="K1444" s="19">
        <v>5</v>
      </c>
      <c r="L1444" s="19" t="s">
        <v>8363</v>
      </c>
      <c r="M1444" s="21">
        <v>14.3</v>
      </c>
      <c r="N1444">
        <f t="shared" si="22"/>
        <v>0</v>
      </c>
    </row>
    <row r="1445" spans="1:14" x14ac:dyDescent="0.35">
      <c r="A1445" s="22" t="s">
        <v>1515</v>
      </c>
      <c r="B1445" s="23" t="s">
        <v>23</v>
      </c>
      <c r="C1445" s="23">
        <v>11</v>
      </c>
      <c r="D1445" s="24">
        <v>45966</v>
      </c>
      <c r="E1445" s="23" t="s">
        <v>20</v>
      </c>
      <c r="F1445" s="23" t="s">
        <v>43</v>
      </c>
      <c r="G1445" s="23" t="s">
        <v>31</v>
      </c>
      <c r="H1445" s="23" t="s">
        <v>32</v>
      </c>
      <c r="I1445" s="23">
        <v>48</v>
      </c>
      <c r="J1445" s="23">
        <v>1</v>
      </c>
      <c r="K1445" s="23">
        <v>5</v>
      </c>
      <c r="L1445" s="23" t="s">
        <v>38</v>
      </c>
      <c r="M1445" s="25">
        <v>6.8</v>
      </c>
      <c r="N1445">
        <f t="shared" si="22"/>
        <v>1</v>
      </c>
    </row>
    <row r="1446" spans="1:14" x14ac:dyDescent="0.35">
      <c r="A1446" s="6" t="s">
        <v>1516</v>
      </c>
      <c r="B1446" s="19" t="s">
        <v>47</v>
      </c>
      <c r="C1446" s="19">
        <v>9</v>
      </c>
      <c r="D1446" s="20">
        <v>45910</v>
      </c>
      <c r="E1446" s="19" t="s">
        <v>68</v>
      </c>
      <c r="F1446" s="19" t="s">
        <v>40</v>
      </c>
      <c r="G1446" s="19" t="s">
        <v>27</v>
      </c>
      <c r="H1446" s="19" t="s">
        <v>28</v>
      </c>
      <c r="I1446" s="19">
        <v>24</v>
      </c>
      <c r="J1446" s="19">
        <v>0</v>
      </c>
      <c r="K1446" s="19">
        <v>4</v>
      </c>
      <c r="L1446" s="19" t="s">
        <v>8363</v>
      </c>
      <c r="M1446" s="21">
        <v>7.1</v>
      </c>
      <c r="N1446">
        <f t="shared" si="22"/>
        <v>1</v>
      </c>
    </row>
    <row r="1447" spans="1:14" x14ac:dyDescent="0.35">
      <c r="A1447" s="22" t="s">
        <v>1517</v>
      </c>
      <c r="B1447" s="23" t="s">
        <v>57</v>
      </c>
      <c r="C1447" s="23">
        <v>8</v>
      </c>
      <c r="D1447" s="24">
        <v>45879</v>
      </c>
      <c r="E1447" s="23" t="s">
        <v>36</v>
      </c>
      <c r="F1447" s="23" t="s">
        <v>43</v>
      </c>
      <c r="G1447" s="23" t="s">
        <v>27</v>
      </c>
      <c r="H1447" s="23" t="s">
        <v>22</v>
      </c>
      <c r="I1447" s="23">
        <v>8</v>
      </c>
      <c r="J1447" s="23">
        <v>2</v>
      </c>
      <c r="K1447" s="23">
        <v>4</v>
      </c>
      <c r="L1447" s="23" t="s">
        <v>8363</v>
      </c>
      <c r="M1447" s="25">
        <v>13.4</v>
      </c>
      <c r="N1447">
        <f t="shared" si="22"/>
        <v>0</v>
      </c>
    </row>
    <row r="1448" spans="1:14" x14ac:dyDescent="0.35">
      <c r="A1448" s="6" t="s">
        <v>1518</v>
      </c>
      <c r="B1448" s="19" t="s">
        <v>104</v>
      </c>
      <c r="C1448" s="19">
        <v>10</v>
      </c>
      <c r="D1448" s="20">
        <v>45943</v>
      </c>
      <c r="E1448" s="19" t="s">
        <v>8364</v>
      </c>
      <c r="F1448" s="19" t="s">
        <v>14</v>
      </c>
      <c r="G1448" s="19" t="s">
        <v>8364</v>
      </c>
      <c r="H1448" s="19" t="s">
        <v>32</v>
      </c>
      <c r="I1448" s="19">
        <v>48</v>
      </c>
      <c r="J1448" s="19">
        <v>1</v>
      </c>
      <c r="K1448" s="19">
        <v>5</v>
      </c>
      <c r="L1448" s="19" t="s">
        <v>75</v>
      </c>
      <c r="M1448" s="21">
        <v>19</v>
      </c>
      <c r="N1448">
        <f t="shared" si="22"/>
        <v>1</v>
      </c>
    </row>
    <row r="1449" spans="1:14" x14ac:dyDescent="0.35">
      <c r="A1449" s="22" t="s">
        <v>1519</v>
      </c>
      <c r="B1449" s="23" t="s">
        <v>236</v>
      </c>
      <c r="C1449" s="23">
        <v>8</v>
      </c>
      <c r="D1449" s="24">
        <v>45872</v>
      </c>
      <c r="E1449" s="23" t="s">
        <v>20</v>
      </c>
      <c r="F1449" s="23" t="s">
        <v>43</v>
      </c>
      <c r="G1449" s="23" t="s">
        <v>21</v>
      </c>
      <c r="H1449" s="23" t="s">
        <v>28</v>
      </c>
      <c r="I1449" s="23">
        <v>72</v>
      </c>
      <c r="J1449" s="23">
        <v>0</v>
      </c>
      <c r="K1449" s="23">
        <v>4</v>
      </c>
      <c r="L1449" s="23" t="s">
        <v>38</v>
      </c>
      <c r="M1449" s="25">
        <v>29.3</v>
      </c>
      <c r="N1449">
        <f t="shared" si="22"/>
        <v>1</v>
      </c>
    </row>
    <row r="1450" spans="1:14" x14ac:dyDescent="0.35">
      <c r="A1450" s="6" t="s">
        <v>1520</v>
      </c>
      <c r="B1450" s="19" t="s">
        <v>81</v>
      </c>
      <c r="C1450" s="19">
        <v>11</v>
      </c>
      <c r="D1450" s="20">
        <v>45979</v>
      </c>
      <c r="E1450" s="19" t="s">
        <v>36</v>
      </c>
      <c r="F1450" s="19" t="s">
        <v>26</v>
      </c>
      <c r="G1450" s="19" t="s">
        <v>15</v>
      </c>
      <c r="H1450" s="19" t="s">
        <v>22</v>
      </c>
      <c r="I1450" s="19">
        <v>48</v>
      </c>
      <c r="J1450" s="19">
        <v>0</v>
      </c>
      <c r="K1450" s="19">
        <v>4</v>
      </c>
      <c r="L1450" s="19" t="s">
        <v>8363</v>
      </c>
      <c r="M1450" s="21">
        <v>15.7</v>
      </c>
      <c r="N1450">
        <f t="shared" si="22"/>
        <v>1</v>
      </c>
    </row>
    <row r="1451" spans="1:14" x14ac:dyDescent="0.35">
      <c r="A1451" s="22" t="s">
        <v>1521</v>
      </c>
      <c r="B1451" s="23" t="s">
        <v>89</v>
      </c>
      <c r="C1451" s="23"/>
      <c r="D1451" s="24"/>
      <c r="E1451" s="23" t="s">
        <v>20</v>
      </c>
      <c r="F1451" s="23" t="s">
        <v>40</v>
      </c>
      <c r="G1451" s="23" t="s">
        <v>15</v>
      </c>
      <c r="H1451" s="23" t="s">
        <v>28</v>
      </c>
      <c r="I1451" s="23">
        <v>48</v>
      </c>
      <c r="J1451" s="23">
        <v>1</v>
      </c>
      <c r="K1451" s="23"/>
      <c r="L1451" s="23" t="s">
        <v>38</v>
      </c>
      <c r="M1451" s="25">
        <v>14.3</v>
      </c>
      <c r="N1451">
        <f t="shared" si="22"/>
        <v>1</v>
      </c>
    </row>
    <row r="1452" spans="1:14" x14ac:dyDescent="0.35">
      <c r="A1452" s="6" t="s">
        <v>1522</v>
      </c>
      <c r="B1452" s="19" t="s">
        <v>92</v>
      </c>
      <c r="C1452" s="19">
        <v>3</v>
      </c>
      <c r="D1452" s="20">
        <v>45718</v>
      </c>
      <c r="E1452" s="19" t="s">
        <v>36</v>
      </c>
      <c r="F1452" s="19" t="s">
        <v>59</v>
      </c>
      <c r="G1452" s="19" t="s">
        <v>21</v>
      </c>
      <c r="H1452" s="19" t="s">
        <v>28</v>
      </c>
      <c r="I1452" s="19">
        <v>24</v>
      </c>
      <c r="J1452" s="19">
        <v>0</v>
      </c>
      <c r="K1452" s="19">
        <v>4</v>
      </c>
      <c r="L1452" s="19" t="s">
        <v>8363</v>
      </c>
      <c r="M1452" s="21"/>
      <c r="N1452">
        <f t="shared" si="22"/>
        <v>1</v>
      </c>
    </row>
    <row r="1453" spans="1:14" x14ac:dyDescent="0.35">
      <c r="A1453" s="22" t="s">
        <v>1523</v>
      </c>
      <c r="B1453" s="23" t="s">
        <v>51</v>
      </c>
      <c r="C1453" s="23">
        <v>12</v>
      </c>
      <c r="D1453" s="24">
        <v>45999</v>
      </c>
      <c r="E1453" s="23" t="s">
        <v>8364</v>
      </c>
      <c r="F1453" s="23" t="s">
        <v>8364</v>
      </c>
      <c r="G1453" s="23" t="s">
        <v>15</v>
      </c>
      <c r="H1453" s="23" t="s">
        <v>8364</v>
      </c>
      <c r="I1453" s="23">
        <v>72</v>
      </c>
      <c r="J1453" s="23">
        <v>0</v>
      </c>
      <c r="K1453" s="23">
        <v>5</v>
      </c>
      <c r="L1453" s="23" t="s">
        <v>33</v>
      </c>
      <c r="M1453" s="25">
        <v>25.9</v>
      </c>
      <c r="N1453">
        <f t="shared" si="22"/>
        <v>1</v>
      </c>
    </row>
    <row r="1454" spans="1:14" x14ac:dyDescent="0.35">
      <c r="A1454" s="6" t="s">
        <v>1524</v>
      </c>
      <c r="B1454" s="19" t="s">
        <v>51</v>
      </c>
      <c r="C1454" s="19">
        <v>9</v>
      </c>
      <c r="D1454" s="20">
        <v>45930</v>
      </c>
      <c r="E1454" s="19" t="s">
        <v>25</v>
      </c>
      <c r="F1454" s="19" t="s">
        <v>59</v>
      </c>
      <c r="G1454" s="19" t="s">
        <v>21</v>
      </c>
      <c r="H1454" s="19" t="s">
        <v>22</v>
      </c>
      <c r="I1454" s="19">
        <v>24</v>
      </c>
      <c r="J1454" s="19">
        <v>0</v>
      </c>
      <c r="K1454" s="19">
        <v>5</v>
      </c>
      <c r="L1454" s="19" t="s">
        <v>8363</v>
      </c>
      <c r="M1454" s="21">
        <v>7.2</v>
      </c>
      <c r="N1454">
        <f t="shared" si="22"/>
        <v>1</v>
      </c>
    </row>
    <row r="1455" spans="1:14" x14ac:dyDescent="0.35">
      <c r="A1455" s="22" t="s">
        <v>1525</v>
      </c>
      <c r="B1455" s="23" t="s">
        <v>41</v>
      </c>
      <c r="C1455" s="23">
        <v>9</v>
      </c>
      <c r="D1455" s="24">
        <v>45908</v>
      </c>
      <c r="E1455" s="23" t="s">
        <v>25</v>
      </c>
      <c r="F1455" s="23" t="s">
        <v>40</v>
      </c>
      <c r="G1455" s="23" t="s">
        <v>31</v>
      </c>
      <c r="H1455" s="23" t="s">
        <v>22</v>
      </c>
      <c r="I1455" s="23">
        <v>8</v>
      </c>
      <c r="J1455" s="23">
        <v>0</v>
      </c>
      <c r="K1455" s="23">
        <v>4</v>
      </c>
      <c r="L1455" s="23" t="s">
        <v>62</v>
      </c>
      <c r="M1455" s="25">
        <v>37.1</v>
      </c>
      <c r="N1455">
        <f t="shared" si="22"/>
        <v>0</v>
      </c>
    </row>
    <row r="1456" spans="1:14" x14ac:dyDescent="0.35">
      <c r="A1456" s="6" t="s">
        <v>1526</v>
      </c>
      <c r="B1456" s="19" t="s">
        <v>108</v>
      </c>
      <c r="C1456" s="19">
        <v>4</v>
      </c>
      <c r="D1456" s="20">
        <v>45767</v>
      </c>
      <c r="E1456" s="19" t="s">
        <v>20</v>
      </c>
      <c r="F1456" s="19" t="s">
        <v>37</v>
      </c>
      <c r="G1456" s="19" t="s">
        <v>31</v>
      </c>
      <c r="H1456" s="19" t="s">
        <v>8364</v>
      </c>
      <c r="I1456" s="19">
        <v>48</v>
      </c>
      <c r="J1456" s="19">
        <v>0</v>
      </c>
      <c r="K1456" s="19">
        <v>2</v>
      </c>
      <c r="L1456" s="19" t="s">
        <v>8363</v>
      </c>
      <c r="M1456" s="21">
        <v>20.5</v>
      </c>
      <c r="N1456">
        <f t="shared" si="22"/>
        <v>1</v>
      </c>
    </row>
    <row r="1457" spans="1:14" x14ac:dyDescent="0.35">
      <c r="A1457" s="22" t="s">
        <v>1527</v>
      </c>
      <c r="B1457" s="23" t="s">
        <v>29</v>
      </c>
      <c r="C1457" s="23">
        <v>10</v>
      </c>
      <c r="D1457" s="24">
        <v>45955</v>
      </c>
      <c r="E1457" s="23" t="s">
        <v>8364</v>
      </c>
      <c r="F1457" s="23" t="s">
        <v>37</v>
      </c>
      <c r="G1457" s="23" t="s">
        <v>15</v>
      </c>
      <c r="H1457" s="23" t="s">
        <v>22</v>
      </c>
      <c r="I1457" s="23">
        <v>72</v>
      </c>
      <c r="J1457" s="23">
        <v>0</v>
      </c>
      <c r="K1457" s="23">
        <v>5</v>
      </c>
      <c r="L1457" s="23" t="s">
        <v>8363</v>
      </c>
      <c r="M1457" s="25">
        <v>5.8</v>
      </c>
      <c r="N1457">
        <f t="shared" si="22"/>
        <v>1</v>
      </c>
    </row>
    <row r="1458" spans="1:14" x14ac:dyDescent="0.35">
      <c r="A1458" s="6" t="s">
        <v>1528</v>
      </c>
      <c r="B1458" s="19" t="s">
        <v>89</v>
      </c>
      <c r="C1458" s="19">
        <v>6</v>
      </c>
      <c r="D1458" s="20">
        <v>45825</v>
      </c>
      <c r="E1458" s="19" t="s">
        <v>68</v>
      </c>
      <c r="F1458" s="19" t="s">
        <v>14</v>
      </c>
      <c r="G1458" s="19" t="s">
        <v>27</v>
      </c>
      <c r="H1458" s="19" t="s">
        <v>22</v>
      </c>
      <c r="I1458" s="19">
        <v>72</v>
      </c>
      <c r="J1458" s="19">
        <v>3</v>
      </c>
      <c r="K1458" s="19">
        <v>4</v>
      </c>
      <c r="L1458" s="19" t="s">
        <v>33</v>
      </c>
      <c r="M1458" s="21">
        <v>13.2</v>
      </c>
      <c r="N1458">
        <f t="shared" si="22"/>
        <v>1</v>
      </c>
    </row>
    <row r="1459" spans="1:14" x14ac:dyDescent="0.35">
      <c r="A1459" s="22" t="s">
        <v>1529</v>
      </c>
      <c r="B1459" s="23" t="s">
        <v>69</v>
      </c>
      <c r="C1459" s="23">
        <v>11</v>
      </c>
      <c r="D1459" s="24">
        <v>45980</v>
      </c>
      <c r="E1459" s="23" t="s">
        <v>25</v>
      </c>
      <c r="F1459" s="23" t="s">
        <v>8364</v>
      </c>
      <c r="G1459" s="23" t="s">
        <v>27</v>
      </c>
      <c r="H1459" s="23" t="s">
        <v>32</v>
      </c>
      <c r="I1459" s="23">
        <v>48</v>
      </c>
      <c r="J1459" s="23">
        <v>0</v>
      </c>
      <c r="K1459" s="23"/>
      <c r="L1459" s="23" t="s">
        <v>75</v>
      </c>
      <c r="M1459" s="25">
        <v>17.8</v>
      </c>
      <c r="N1459">
        <f t="shared" si="22"/>
        <v>1</v>
      </c>
    </row>
    <row r="1460" spans="1:14" x14ac:dyDescent="0.35">
      <c r="A1460" s="6" t="s">
        <v>1530</v>
      </c>
      <c r="B1460" s="19" t="s">
        <v>99</v>
      </c>
      <c r="C1460" s="19">
        <v>10</v>
      </c>
      <c r="D1460" s="20">
        <v>45932</v>
      </c>
      <c r="E1460" s="19" t="s">
        <v>20</v>
      </c>
      <c r="F1460" s="19" t="s">
        <v>14</v>
      </c>
      <c r="G1460" s="19" t="s">
        <v>8364</v>
      </c>
      <c r="H1460" s="19" t="s">
        <v>22</v>
      </c>
      <c r="I1460" s="19">
        <v>4</v>
      </c>
      <c r="J1460" s="19">
        <v>2</v>
      </c>
      <c r="K1460" s="19">
        <v>4</v>
      </c>
      <c r="L1460" s="19" t="s">
        <v>75</v>
      </c>
      <c r="M1460" s="21">
        <v>11.1</v>
      </c>
      <c r="N1460">
        <f t="shared" si="22"/>
        <v>0</v>
      </c>
    </row>
    <row r="1461" spans="1:14" x14ac:dyDescent="0.35">
      <c r="A1461" s="22" t="s">
        <v>1531</v>
      </c>
      <c r="B1461" s="23" t="s">
        <v>139</v>
      </c>
      <c r="C1461" s="23"/>
      <c r="D1461" s="24"/>
      <c r="E1461" s="23" t="s">
        <v>25</v>
      </c>
      <c r="F1461" s="23" t="s">
        <v>59</v>
      </c>
      <c r="G1461" s="23" t="s">
        <v>31</v>
      </c>
      <c r="H1461" s="23" t="s">
        <v>32</v>
      </c>
      <c r="I1461" s="23">
        <v>72</v>
      </c>
      <c r="J1461" s="23">
        <v>2</v>
      </c>
      <c r="K1461" s="23">
        <v>5</v>
      </c>
      <c r="L1461" s="23" t="s">
        <v>38</v>
      </c>
      <c r="M1461" s="25">
        <v>5.2</v>
      </c>
      <c r="N1461">
        <f t="shared" si="22"/>
        <v>1</v>
      </c>
    </row>
    <row r="1462" spans="1:14" x14ac:dyDescent="0.35">
      <c r="A1462" s="6" t="s">
        <v>1532</v>
      </c>
      <c r="B1462" s="19" t="s">
        <v>181</v>
      </c>
      <c r="C1462" s="19">
        <v>7</v>
      </c>
      <c r="D1462" s="20">
        <v>45843</v>
      </c>
      <c r="E1462" s="19" t="s">
        <v>20</v>
      </c>
      <c r="F1462" s="19" t="s">
        <v>37</v>
      </c>
      <c r="G1462" s="19" t="s">
        <v>31</v>
      </c>
      <c r="H1462" s="19" t="s">
        <v>28</v>
      </c>
      <c r="I1462" s="19">
        <v>72</v>
      </c>
      <c r="J1462" s="19">
        <v>1</v>
      </c>
      <c r="K1462" s="19">
        <v>4</v>
      </c>
      <c r="L1462" s="19" t="s">
        <v>38</v>
      </c>
      <c r="M1462" s="21">
        <v>4.4000000000000004</v>
      </c>
      <c r="N1462">
        <f t="shared" si="22"/>
        <v>1</v>
      </c>
    </row>
    <row r="1463" spans="1:14" x14ac:dyDescent="0.35">
      <c r="A1463" s="22" t="s">
        <v>1533</v>
      </c>
      <c r="B1463" s="23" t="s">
        <v>45</v>
      </c>
      <c r="C1463" s="23">
        <v>4</v>
      </c>
      <c r="D1463" s="24">
        <v>45749</v>
      </c>
      <c r="E1463" s="23" t="s">
        <v>25</v>
      </c>
      <c r="F1463" s="23" t="s">
        <v>43</v>
      </c>
      <c r="G1463" s="23" t="s">
        <v>31</v>
      </c>
      <c r="H1463" s="23" t="s">
        <v>8364</v>
      </c>
      <c r="I1463" s="23">
        <v>4</v>
      </c>
      <c r="J1463" s="23">
        <v>2</v>
      </c>
      <c r="K1463" s="23">
        <v>4</v>
      </c>
      <c r="L1463" s="23" t="s">
        <v>33</v>
      </c>
      <c r="M1463" s="25">
        <v>20.5</v>
      </c>
      <c r="N1463">
        <f t="shared" si="22"/>
        <v>0</v>
      </c>
    </row>
    <row r="1464" spans="1:14" x14ac:dyDescent="0.35">
      <c r="A1464" s="6" t="s">
        <v>1534</v>
      </c>
      <c r="B1464" s="19" t="s">
        <v>34</v>
      </c>
      <c r="C1464" s="19">
        <v>7</v>
      </c>
      <c r="D1464" s="20">
        <v>45864</v>
      </c>
      <c r="E1464" s="19" t="s">
        <v>25</v>
      </c>
      <c r="F1464" s="19" t="s">
        <v>8364</v>
      </c>
      <c r="G1464" s="19" t="s">
        <v>31</v>
      </c>
      <c r="H1464" s="19" t="s">
        <v>32</v>
      </c>
      <c r="I1464" s="19">
        <v>48</v>
      </c>
      <c r="J1464" s="19">
        <v>0</v>
      </c>
      <c r="K1464" s="19">
        <v>4</v>
      </c>
      <c r="L1464" s="19" t="s">
        <v>8363</v>
      </c>
      <c r="M1464" s="21">
        <v>21.2</v>
      </c>
      <c r="N1464">
        <f t="shared" si="22"/>
        <v>1</v>
      </c>
    </row>
    <row r="1465" spans="1:14" x14ac:dyDescent="0.35">
      <c r="A1465" s="22" t="s">
        <v>1535</v>
      </c>
      <c r="B1465" s="23" t="s">
        <v>34</v>
      </c>
      <c r="C1465" s="23">
        <v>1</v>
      </c>
      <c r="D1465" s="24">
        <v>45658</v>
      </c>
      <c r="E1465" s="23" t="s">
        <v>25</v>
      </c>
      <c r="F1465" s="23" t="s">
        <v>43</v>
      </c>
      <c r="G1465" s="23" t="s">
        <v>27</v>
      </c>
      <c r="H1465" s="23" t="s">
        <v>22</v>
      </c>
      <c r="I1465" s="23">
        <v>4</v>
      </c>
      <c r="J1465" s="23">
        <v>0</v>
      </c>
      <c r="K1465" s="23">
        <v>3</v>
      </c>
      <c r="L1465" s="23" t="s">
        <v>8363</v>
      </c>
      <c r="M1465" s="25">
        <v>6.3</v>
      </c>
      <c r="N1465">
        <f t="shared" si="22"/>
        <v>0</v>
      </c>
    </row>
    <row r="1466" spans="1:14" x14ac:dyDescent="0.35">
      <c r="A1466" s="6" t="s">
        <v>1536</v>
      </c>
      <c r="B1466" s="19" t="s">
        <v>41</v>
      </c>
      <c r="C1466" s="19">
        <v>3</v>
      </c>
      <c r="D1466" s="20">
        <v>45729</v>
      </c>
      <c r="E1466" s="19" t="s">
        <v>13</v>
      </c>
      <c r="F1466" s="19" t="s">
        <v>37</v>
      </c>
      <c r="G1466" s="19" t="s">
        <v>27</v>
      </c>
      <c r="H1466" s="19" t="s">
        <v>22</v>
      </c>
      <c r="I1466" s="19">
        <v>4</v>
      </c>
      <c r="J1466" s="19">
        <v>0</v>
      </c>
      <c r="K1466" s="19">
        <v>4</v>
      </c>
      <c r="L1466" s="19" t="s">
        <v>44</v>
      </c>
      <c r="M1466" s="21">
        <v>26.1</v>
      </c>
      <c r="N1466">
        <f t="shared" si="22"/>
        <v>0</v>
      </c>
    </row>
    <row r="1467" spans="1:14" x14ac:dyDescent="0.35">
      <c r="A1467" s="22" t="s">
        <v>1537</v>
      </c>
      <c r="B1467" s="23" t="s">
        <v>85</v>
      </c>
      <c r="C1467" s="23"/>
      <c r="D1467" s="24"/>
      <c r="E1467" s="23" t="s">
        <v>13</v>
      </c>
      <c r="F1467" s="23" t="s">
        <v>14</v>
      </c>
      <c r="G1467" s="23" t="s">
        <v>21</v>
      </c>
      <c r="H1467" s="23" t="s">
        <v>8364</v>
      </c>
      <c r="I1467" s="23">
        <v>24</v>
      </c>
      <c r="J1467" s="23">
        <v>0</v>
      </c>
      <c r="K1467" s="23">
        <v>5</v>
      </c>
      <c r="L1467" s="23" t="s">
        <v>75</v>
      </c>
      <c r="M1467" s="25">
        <v>24</v>
      </c>
      <c r="N1467">
        <f t="shared" si="22"/>
        <v>1</v>
      </c>
    </row>
    <row r="1468" spans="1:14" x14ac:dyDescent="0.35">
      <c r="A1468" s="6" t="s">
        <v>1538</v>
      </c>
      <c r="B1468" s="19" t="s">
        <v>158</v>
      </c>
      <c r="C1468" s="19">
        <v>12</v>
      </c>
      <c r="D1468" s="20">
        <v>46020</v>
      </c>
      <c r="E1468" s="19" t="s">
        <v>25</v>
      </c>
      <c r="F1468" s="19" t="s">
        <v>14</v>
      </c>
      <c r="G1468" s="19" t="s">
        <v>31</v>
      </c>
      <c r="H1468" s="19" t="s">
        <v>22</v>
      </c>
      <c r="I1468" s="19">
        <v>8</v>
      </c>
      <c r="J1468" s="19">
        <v>2</v>
      </c>
      <c r="K1468" s="19">
        <v>4</v>
      </c>
      <c r="L1468" s="19" t="s">
        <v>33</v>
      </c>
      <c r="M1468" s="21">
        <v>4.0999999999999996</v>
      </c>
      <c r="N1468">
        <f t="shared" si="22"/>
        <v>1</v>
      </c>
    </row>
    <row r="1469" spans="1:14" x14ac:dyDescent="0.35">
      <c r="A1469" s="22" t="s">
        <v>1539</v>
      </c>
      <c r="B1469" s="23" t="s">
        <v>81</v>
      </c>
      <c r="C1469" s="23">
        <v>4</v>
      </c>
      <c r="D1469" s="24">
        <v>45755</v>
      </c>
      <c r="E1469" s="23" t="s">
        <v>20</v>
      </c>
      <c r="F1469" s="23" t="s">
        <v>43</v>
      </c>
      <c r="G1469" s="23" t="s">
        <v>31</v>
      </c>
      <c r="H1469" s="23" t="s">
        <v>28</v>
      </c>
      <c r="I1469" s="23">
        <v>48</v>
      </c>
      <c r="J1469" s="23">
        <v>0</v>
      </c>
      <c r="K1469" s="23">
        <v>3</v>
      </c>
      <c r="L1469" s="23" t="s">
        <v>38</v>
      </c>
      <c r="M1469" s="25"/>
      <c r="N1469">
        <f t="shared" si="22"/>
        <v>1</v>
      </c>
    </row>
    <row r="1470" spans="1:14" x14ac:dyDescent="0.35">
      <c r="A1470" s="6" t="s">
        <v>1540</v>
      </c>
      <c r="B1470" s="19" t="s">
        <v>51</v>
      </c>
      <c r="C1470" s="19"/>
      <c r="D1470" s="20"/>
      <c r="E1470" s="19" t="s">
        <v>13</v>
      </c>
      <c r="F1470" s="19" t="s">
        <v>14</v>
      </c>
      <c r="G1470" s="19" t="s">
        <v>15</v>
      </c>
      <c r="H1470" s="19" t="s">
        <v>32</v>
      </c>
      <c r="I1470" s="19">
        <v>72</v>
      </c>
      <c r="J1470" s="19">
        <v>1</v>
      </c>
      <c r="K1470" s="19">
        <v>4</v>
      </c>
      <c r="L1470" s="19" t="s">
        <v>8363</v>
      </c>
      <c r="M1470" s="21">
        <v>15.8</v>
      </c>
      <c r="N1470">
        <f t="shared" si="22"/>
        <v>1</v>
      </c>
    </row>
    <row r="1471" spans="1:14" x14ac:dyDescent="0.35">
      <c r="A1471" s="22" t="s">
        <v>1541</v>
      </c>
      <c r="B1471" s="23" t="s">
        <v>49</v>
      </c>
      <c r="C1471" s="23"/>
      <c r="D1471" s="24"/>
      <c r="E1471" s="23" t="s">
        <v>13</v>
      </c>
      <c r="F1471" s="23" t="s">
        <v>14</v>
      </c>
      <c r="G1471" s="23" t="s">
        <v>15</v>
      </c>
      <c r="H1471" s="23" t="s">
        <v>8364</v>
      </c>
      <c r="I1471" s="23">
        <v>72</v>
      </c>
      <c r="J1471" s="23">
        <v>1</v>
      </c>
      <c r="K1471" s="23">
        <v>2</v>
      </c>
      <c r="L1471" s="23" t="s">
        <v>38</v>
      </c>
      <c r="M1471" s="25">
        <v>9.1</v>
      </c>
      <c r="N1471">
        <f t="shared" si="22"/>
        <v>1</v>
      </c>
    </row>
    <row r="1472" spans="1:14" x14ac:dyDescent="0.35">
      <c r="A1472" s="6" t="s">
        <v>1542</v>
      </c>
      <c r="B1472" s="19" t="s">
        <v>69</v>
      </c>
      <c r="C1472" s="19">
        <v>6</v>
      </c>
      <c r="D1472" s="20">
        <v>45826</v>
      </c>
      <c r="E1472" s="19" t="s">
        <v>36</v>
      </c>
      <c r="F1472" s="19" t="s">
        <v>14</v>
      </c>
      <c r="G1472" s="19" t="s">
        <v>31</v>
      </c>
      <c r="H1472" s="19" t="s">
        <v>16</v>
      </c>
      <c r="I1472" s="19">
        <v>72</v>
      </c>
      <c r="J1472" s="19">
        <v>0</v>
      </c>
      <c r="K1472" s="19">
        <v>3</v>
      </c>
      <c r="L1472" s="19" t="s">
        <v>38</v>
      </c>
      <c r="M1472" s="21">
        <v>11.4</v>
      </c>
      <c r="N1472">
        <f t="shared" si="22"/>
        <v>1</v>
      </c>
    </row>
    <row r="1473" spans="1:14" x14ac:dyDescent="0.35">
      <c r="A1473" s="22" t="s">
        <v>1543</v>
      </c>
      <c r="B1473" s="23" t="s">
        <v>97</v>
      </c>
      <c r="C1473" s="23">
        <v>6</v>
      </c>
      <c r="D1473" s="24">
        <v>45822</v>
      </c>
      <c r="E1473" s="23" t="s">
        <v>13</v>
      </c>
      <c r="F1473" s="23" t="s">
        <v>43</v>
      </c>
      <c r="G1473" s="23" t="s">
        <v>27</v>
      </c>
      <c r="H1473" s="23" t="s">
        <v>8364</v>
      </c>
      <c r="I1473" s="23">
        <v>4</v>
      </c>
      <c r="J1473" s="23">
        <v>0</v>
      </c>
      <c r="K1473" s="23">
        <v>1</v>
      </c>
      <c r="L1473" s="23" t="s">
        <v>75</v>
      </c>
      <c r="M1473" s="25">
        <v>13.9</v>
      </c>
      <c r="N1473">
        <f t="shared" si="22"/>
        <v>0</v>
      </c>
    </row>
    <row r="1474" spans="1:14" x14ac:dyDescent="0.35">
      <c r="A1474" s="6" t="s">
        <v>1544</v>
      </c>
      <c r="B1474" s="19" t="s">
        <v>126</v>
      </c>
      <c r="C1474" s="19"/>
      <c r="D1474" s="20"/>
      <c r="E1474" s="19" t="s">
        <v>36</v>
      </c>
      <c r="F1474" s="19" t="s">
        <v>26</v>
      </c>
      <c r="G1474" s="19" t="s">
        <v>27</v>
      </c>
      <c r="H1474" s="19" t="s">
        <v>32</v>
      </c>
      <c r="I1474" s="19">
        <v>4</v>
      </c>
      <c r="J1474" s="19">
        <v>0</v>
      </c>
      <c r="K1474" s="19">
        <v>4</v>
      </c>
      <c r="L1474" s="19" t="s">
        <v>8363</v>
      </c>
      <c r="M1474" s="21">
        <v>3</v>
      </c>
      <c r="N1474">
        <f t="shared" si="22"/>
        <v>1</v>
      </c>
    </row>
    <row r="1475" spans="1:14" x14ac:dyDescent="0.35">
      <c r="A1475" s="22" t="s">
        <v>1545</v>
      </c>
      <c r="B1475" s="23" t="s">
        <v>18</v>
      </c>
      <c r="C1475" s="23">
        <v>4</v>
      </c>
      <c r="D1475" s="24">
        <v>45756</v>
      </c>
      <c r="E1475" s="23" t="s">
        <v>68</v>
      </c>
      <c r="F1475" s="23" t="s">
        <v>59</v>
      </c>
      <c r="G1475" s="23" t="s">
        <v>27</v>
      </c>
      <c r="H1475" s="23" t="s">
        <v>32</v>
      </c>
      <c r="I1475" s="23">
        <v>8</v>
      </c>
      <c r="J1475" s="23">
        <v>0</v>
      </c>
      <c r="K1475" s="23">
        <v>3</v>
      </c>
      <c r="L1475" s="23" t="s">
        <v>55</v>
      </c>
      <c r="M1475" s="25">
        <v>9.1</v>
      </c>
      <c r="N1475">
        <f t="shared" ref="N1475:N1538" si="23">IF(M1475 &lt;= I1475, 1, 0)</f>
        <v>0</v>
      </c>
    </row>
    <row r="1476" spans="1:14" x14ac:dyDescent="0.35">
      <c r="A1476" s="6" t="s">
        <v>1546</v>
      </c>
      <c r="B1476" s="19" t="s">
        <v>49</v>
      </c>
      <c r="C1476" s="19">
        <v>12</v>
      </c>
      <c r="D1476" s="20">
        <v>46007</v>
      </c>
      <c r="E1476" s="19" t="s">
        <v>20</v>
      </c>
      <c r="F1476" s="19" t="s">
        <v>14</v>
      </c>
      <c r="G1476" s="19" t="s">
        <v>31</v>
      </c>
      <c r="H1476" s="19" t="s">
        <v>28</v>
      </c>
      <c r="I1476" s="19">
        <v>48</v>
      </c>
      <c r="J1476" s="19">
        <v>0</v>
      </c>
      <c r="K1476" s="19">
        <v>4</v>
      </c>
      <c r="L1476" s="19" t="s">
        <v>62</v>
      </c>
      <c r="M1476" s="21">
        <v>14.9</v>
      </c>
      <c r="N1476">
        <f t="shared" si="23"/>
        <v>1</v>
      </c>
    </row>
    <row r="1477" spans="1:14" x14ac:dyDescent="0.35">
      <c r="A1477" s="22" t="s">
        <v>1547</v>
      </c>
      <c r="B1477" s="23" t="s">
        <v>23</v>
      </c>
      <c r="C1477" s="23">
        <v>9</v>
      </c>
      <c r="D1477" s="24">
        <v>45902</v>
      </c>
      <c r="E1477" s="23" t="s">
        <v>36</v>
      </c>
      <c r="F1477" s="23" t="s">
        <v>8364</v>
      </c>
      <c r="G1477" s="23" t="s">
        <v>21</v>
      </c>
      <c r="H1477" s="23" t="s">
        <v>8364</v>
      </c>
      <c r="I1477" s="23">
        <v>24</v>
      </c>
      <c r="J1477" s="23">
        <v>2</v>
      </c>
      <c r="K1477" s="23"/>
      <c r="L1477" s="23" t="s">
        <v>44</v>
      </c>
      <c r="M1477" s="25">
        <v>2.7</v>
      </c>
      <c r="N1477">
        <f t="shared" si="23"/>
        <v>1</v>
      </c>
    </row>
    <row r="1478" spans="1:14" x14ac:dyDescent="0.35">
      <c r="A1478" s="6" t="s">
        <v>1548</v>
      </c>
      <c r="B1478" s="19" t="s">
        <v>236</v>
      </c>
      <c r="C1478" s="19">
        <v>10</v>
      </c>
      <c r="D1478" s="20">
        <v>45957</v>
      </c>
      <c r="E1478" s="19" t="s">
        <v>25</v>
      </c>
      <c r="F1478" s="19" t="s">
        <v>59</v>
      </c>
      <c r="G1478" s="19" t="s">
        <v>27</v>
      </c>
      <c r="H1478" s="19" t="s">
        <v>22</v>
      </c>
      <c r="I1478" s="19">
        <v>4</v>
      </c>
      <c r="J1478" s="19">
        <v>0</v>
      </c>
      <c r="K1478" s="19">
        <v>2</v>
      </c>
      <c r="L1478" s="19" t="s">
        <v>38</v>
      </c>
      <c r="M1478" s="21">
        <v>19.100000000000001</v>
      </c>
      <c r="N1478">
        <f t="shared" si="23"/>
        <v>0</v>
      </c>
    </row>
    <row r="1479" spans="1:14" x14ac:dyDescent="0.35">
      <c r="A1479" s="22" t="s">
        <v>1549</v>
      </c>
      <c r="B1479" s="23" t="s">
        <v>130</v>
      </c>
      <c r="C1479" s="23">
        <v>1</v>
      </c>
      <c r="D1479" s="24">
        <v>45677</v>
      </c>
      <c r="E1479" s="23" t="s">
        <v>25</v>
      </c>
      <c r="F1479" s="23" t="s">
        <v>43</v>
      </c>
      <c r="G1479" s="23" t="s">
        <v>27</v>
      </c>
      <c r="H1479" s="23" t="s">
        <v>8364</v>
      </c>
      <c r="I1479" s="23">
        <v>24</v>
      </c>
      <c r="J1479" s="23">
        <v>0</v>
      </c>
      <c r="K1479" s="23">
        <v>5</v>
      </c>
      <c r="L1479" s="23" t="s">
        <v>62</v>
      </c>
      <c r="M1479" s="25">
        <v>1.6</v>
      </c>
      <c r="N1479">
        <f t="shared" si="23"/>
        <v>1</v>
      </c>
    </row>
    <row r="1480" spans="1:14" x14ac:dyDescent="0.35">
      <c r="A1480" s="6" t="s">
        <v>1550</v>
      </c>
      <c r="B1480" s="19" t="s">
        <v>51</v>
      </c>
      <c r="C1480" s="19">
        <v>10</v>
      </c>
      <c r="D1480" s="20">
        <v>45931</v>
      </c>
      <c r="E1480" s="19" t="s">
        <v>13</v>
      </c>
      <c r="F1480" s="19" t="s">
        <v>37</v>
      </c>
      <c r="G1480" s="19" t="s">
        <v>21</v>
      </c>
      <c r="H1480" s="19" t="s">
        <v>32</v>
      </c>
      <c r="I1480" s="19">
        <v>8</v>
      </c>
      <c r="J1480" s="19">
        <v>0</v>
      </c>
      <c r="K1480" s="19">
        <v>5</v>
      </c>
      <c r="L1480" s="19" t="s">
        <v>62</v>
      </c>
      <c r="M1480" s="21">
        <v>3</v>
      </c>
      <c r="N1480">
        <f t="shared" si="23"/>
        <v>1</v>
      </c>
    </row>
    <row r="1481" spans="1:14" x14ac:dyDescent="0.35">
      <c r="A1481" s="22" t="s">
        <v>1551</v>
      </c>
      <c r="B1481" s="23" t="s">
        <v>158</v>
      </c>
      <c r="C1481" s="23">
        <v>7</v>
      </c>
      <c r="D1481" s="24">
        <v>45846</v>
      </c>
      <c r="E1481" s="23" t="s">
        <v>25</v>
      </c>
      <c r="F1481" s="23" t="s">
        <v>43</v>
      </c>
      <c r="G1481" s="23" t="s">
        <v>31</v>
      </c>
      <c r="H1481" s="23" t="s">
        <v>28</v>
      </c>
      <c r="I1481" s="23">
        <v>4</v>
      </c>
      <c r="J1481" s="23">
        <v>0</v>
      </c>
      <c r="K1481" s="23">
        <v>5</v>
      </c>
      <c r="L1481" s="23" t="s">
        <v>8363</v>
      </c>
      <c r="M1481" s="25">
        <v>6.2</v>
      </c>
      <c r="N1481">
        <f t="shared" si="23"/>
        <v>0</v>
      </c>
    </row>
    <row r="1482" spans="1:14" x14ac:dyDescent="0.35">
      <c r="A1482" s="6" t="s">
        <v>1552</v>
      </c>
      <c r="B1482" s="19" t="s">
        <v>85</v>
      </c>
      <c r="C1482" s="19"/>
      <c r="D1482" s="20"/>
      <c r="E1482" s="19" t="s">
        <v>25</v>
      </c>
      <c r="F1482" s="19" t="s">
        <v>40</v>
      </c>
      <c r="G1482" s="19" t="s">
        <v>8364</v>
      </c>
      <c r="H1482" s="19" t="s">
        <v>8364</v>
      </c>
      <c r="I1482" s="19">
        <v>24</v>
      </c>
      <c r="J1482" s="19">
        <v>2</v>
      </c>
      <c r="K1482" s="19">
        <v>5</v>
      </c>
      <c r="L1482" s="19" t="s">
        <v>17</v>
      </c>
      <c r="M1482" s="21">
        <v>16.3</v>
      </c>
      <c r="N1482">
        <f t="shared" si="23"/>
        <v>1</v>
      </c>
    </row>
    <row r="1483" spans="1:14" x14ac:dyDescent="0.35">
      <c r="A1483" s="22" t="s">
        <v>1553</v>
      </c>
      <c r="B1483" s="23" t="s">
        <v>101</v>
      </c>
      <c r="C1483" s="23">
        <v>4</v>
      </c>
      <c r="D1483" s="24">
        <v>45763</v>
      </c>
      <c r="E1483" s="23" t="s">
        <v>8364</v>
      </c>
      <c r="F1483" s="23" t="s">
        <v>8364</v>
      </c>
      <c r="G1483" s="23" t="s">
        <v>27</v>
      </c>
      <c r="H1483" s="23" t="s">
        <v>32</v>
      </c>
      <c r="I1483" s="23">
        <v>4</v>
      </c>
      <c r="J1483" s="23">
        <v>0</v>
      </c>
      <c r="K1483" s="23">
        <v>1</v>
      </c>
      <c r="L1483" s="23" t="s">
        <v>8363</v>
      </c>
      <c r="M1483" s="25">
        <v>3.7</v>
      </c>
      <c r="N1483">
        <f t="shared" si="23"/>
        <v>1</v>
      </c>
    </row>
    <row r="1484" spans="1:14" x14ac:dyDescent="0.35">
      <c r="A1484" s="6" t="s">
        <v>1554</v>
      </c>
      <c r="B1484" s="19" t="s">
        <v>89</v>
      </c>
      <c r="C1484" s="19">
        <v>3</v>
      </c>
      <c r="D1484" s="20">
        <v>45740</v>
      </c>
      <c r="E1484" s="19" t="s">
        <v>36</v>
      </c>
      <c r="F1484" s="19" t="s">
        <v>14</v>
      </c>
      <c r="G1484" s="19" t="s">
        <v>27</v>
      </c>
      <c r="H1484" s="19" t="s">
        <v>32</v>
      </c>
      <c r="I1484" s="19">
        <v>8</v>
      </c>
      <c r="J1484" s="19">
        <v>0</v>
      </c>
      <c r="K1484" s="19">
        <v>2</v>
      </c>
      <c r="L1484" s="19" t="s">
        <v>38</v>
      </c>
      <c r="M1484" s="21"/>
      <c r="N1484">
        <f t="shared" si="23"/>
        <v>1</v>
      </c>
    </row>
    <row r="1485" spans="1:14" x14ac:dyDescent="0.35">
      <c r="A1485" s="22" t="s">
        <v>1555</v>
      </c>
      <c r="B1485" s="23" t="s">
        <v>89</v>
      </c>
      <c r="C1485" s="23">
        <v>8</v>
      </c>
      <c r="D1485" s="24">
        <v>45899</v>
      </c>
      <c r="E1485" s="23" t="s">
        <v>8364</v>
      </c>
      <c r="F1485" s="23" t="s">
        <v>26</v>
      </c>
      <c r="G1485" s="23" t="s">
        <v>31</v>
      </c>
      <c r="H1485" s="23" t="s">
        <v>32</v>
      </c>
      <c r="I1485" s="23">
        <v>72</v>
      </c>
      <c r="J1485" s="23">
        <v>0</v>
      </c>
      <c r="K1485" s="23">
        <v>2</v>
      </c>
      <c r="L1485" s="23" t="s">
        <v>44</v>
      </c>
      <c r="M1485" s="25">
        <v>10.8</v>
      </c>
      <c r="N1485">
        <f t="shared" si="23"/>
        <v>1</v>
      </c>
    </row>
    <row r="1486" spans="1:14" x14ac:dyDescent="0.35">
      <c r="A1486" s="6" t="s">
        <v>1556</v>
      </c>
      <c r="B1486" s="19" t="s">
        <v>23</v>
      </c>
      <c r="C1486" s="19"/>
      <c r="D1486" s="20"/>
      <c r="E1486" s="19" t="s">
        <v>25</v>
      </c>
      <c r="F1486" s="19" t="s">
        <v>14</v>
      </c>
      <c r="G1486" s="19" t="s">
        <v>31</v>
      </c>
      <c r="H1486" s="19" t="s">
        <v>22</v>
      </c>
      <c r="I1486" s="19">
        <v>48</v>
      </c>
      <c r="J1486" s="19">
        <v>0</v>
      </c>
      <c r="K1486" s="19">
        <v>3</v>
      </c>
      <c r="L1486" s="19" t="s">
        <v>75</v>
      </c>
      <c r="M1486" s="21">
        <v>4.3</v>
      </c>
      <c r="N1486">
        <f t="shared" si="23"/>
        <v>1</v>
      </c>
    </row>
    <row r="1487" spans="1:14" x14ac:dyDescent="0.35">
      <c r="A1487" s="22" t="s">
        <v>1557</v>
      </c>
      <c r="B1487" s="23" t="s">
        <v>53</v>
      </c>
      <c r="C1487" s="23">
        <v>8</v>
      </c>
      <c r="D1487" s="24">
        <v>45883</v>
      </c>
      <c r="E1487" s="23" t="s">
        <v>20</v>
      </c>
      <c r="F1487" s="23" t="s">
        <v>14</v>
      </c>
      <c r="G1487" s="23" t="s">
        <v>27</v>
      </c>
      <c r="H1487" s="23" t="s">
        <v>28</v>
      </c>
      <c r="I1487" s="23">
        <v>24</v>
      </c>
      <c r="J1487" s="23">
        <v>0</v>
      </c>
      <c r="K1487" s="23">
        <v>5</v>
      </c>
      <c r="L1487" s="23" t="s">
        <v>8363</v>
      </c>
      <c r="M1487" s="25">
        <v>0.7</v>
      </c>
      <c r="N1487">
        <f t="shared" si="23"/>
        <v>1</v>
      </c>
    </row>
    <row r="1488" spans="1:14" x14ac:dyDescent="0.35">
      <c r="A1488" s="6" t="s">
        <v>1558</v>
      </c>
      <c r="B1488" s="19" t="s">
        <v>18</v>
      </c>
      <c r="C1488" s="19">
        <v>11</v>
      </c>
      <c r="D1488" s="20">
        <v>45974</v>
      </c>
      <c r="E1488" s="19" t="s">
        <v>25</v>
      </c>
      <c r="F1488" s="19" t="s">
        <v>14</v>
      </c>
      <c r="G1488" s="19" t="s">
        <v>8364</v>
      </c>
      <c r="H1488" s="19" t="s">
        <v>22</v>
      </c>
      <c r="I1488" s="19">
        <v>8</v>
      </c>
      <c r="J1488" s="19">
        <v>0</v>
      </c>
      <c r="K1488" s="19">
        <v>4</v>
      </c>
      <c r="L1488" s="19" t="s">
        <v>75</v>
      </c>
      <c r="M1488" s="21">
        <v>7.6</v>
      </c>
      <c r="N1488">
        <f t="shared" si="23"/>
        <v>1</v>
      </c>
    </row>
    <row r="1489" spans="1:14" x14ac:dyDescent="0.35">
      <c r="A1489" s="22" t="s">
        <v>1559</v>
      </c>
      <c r="B1489" s="23" t="s">
        <v>39</v>
      </c>
      <c r="C1489" s="23"/>
      <c r="D1489" s="24"/>
      <c r="E1489" s="23" t="s">
        <v>68</v>
      </c>
      <c r="F1489" s="23" t="s">
        <v>40</v>
      </c>
      <c r="G1489" s="23" t="s">
        <v>31</v>
      </c>
      <c r="H1489" s="23" t="s">
        <v>28</v>
      </c>
      <c r="I1489" s="23">
        <v>72</v>
      </c>
      <c r="J1489" s="23">
        <v>0</v>
      </c>
      <c r="K1489" s="23">
        <v>4</v>
      </c>
      <c r="L1489" s="23" t="s">
        <v>33</v>
      </c>
      <c r="M1489" s="25">
        <v>14.4</v>
      </c>
      <c r="N1489">
        <f t="shared" si="23"/>
        <v>1</v>
      </c>
    </row>
    <row r="1490" spans="1:14" x14ac:dyDescent="0.35">
      <c r="A1490" s="6" t="s">
        <v>1560</v>
      </c>
      <c r="B1490" s="19" t="s">
        <v>85</v>
      </c>
      <c r="C1490" s="19">
        <v>1</v>
      </c>
      <c r="D1490" s="20">
        <v>45686</v>
      </c>
      <c r="E1490" s="19" t="s">
        <v>13</v>
      </c>
      <c r="F1490" s="19" t="s">
        <v>26</v>
      </c>
      <c r="G1490" s="19" t="s">
        <v>21</v>
      </c>
      <c r="H1490" s="19" t="s">
        <v>22</v>
      </c>
      <c r="I1490" s="19">
        <v>4</v>
      </c>
      <c r="J1490" s="19">
        <v>0</v>
      </c>
      <c r="K1490" s="19">
        <v>5</v>
      </c>
      <c r="L1490" s="19" t="s">
        <v>55</v>
      </c>
      <c r="M1490" s="21">
        <v>9.8000000000000007</v>
      </c>
      <c r="N1490">
        <f t="shared" si="23"/>
        <v>0</v>
      </c>
    </row>
    <row r="1491" spans="1:14" x14ac:dyDescent="0.35">
      <c r="A1491" s="22" t="s">
        <v>1561</v>
      </c>
      <c r="B1491" s="23" t="s">
        <v>146</v>
      </c>
      <c r="C1491" s="23"/>
      <c r="D1491" s="24"/>
      <c r="E1491" s="23" t="s">
        <v>8364</v>
      </c>
      <c r="F1491" s="23" t="s">
        <v>40</v>
      </c>
      <c r="G1491" s="23" t="s">
        <v>21</v>
      </c>
      <c r="H1491" s="23" t="s">
        <v>32</v>
      </c>
      <c r="I1491" s="23">
        <v>8</v>
      </c>
      <c r="J1491" s="23">
        <v>0</v>
      </c>
      <c r="K1491" s="23">
        <v>1</v>
      </c>
      <c r="L1491" s="23" t="s">
        <v>8363</v>
      </c>
      <c r="M1491" s="25">
        <v>6.8</v>
      </c>
      <c r="N1491">
        <f t="shared" si="23"/>
        <v>1</v>
      </c>
    </row>
    <row r="1492" spans="1:14" x14ac:dyDescent="0.35">
      <c r="A1492" s="6" t="s">
        <v>1562</v>
      </c>
      <c r="B1492" s="19" t="s">
        <v>53</v>
      </c>
      <c r="C1492" s="19">
        <v>11</v>
      </c>
      <c r="D1492" s="20">
        <v>45976</v>
      </c>
      <c r="E1492" s="19" t="s">
        <v>13</v>
      </c>
      <c r="F1492" s="19" t="s">
        <v>14</v>
      </c>
      <c r="G1492" s="19" t="s">
        <v>8364</v>
      </c>
      <c r="H1492" s="19" t="s">
        <v>32</v>
      </c>
      <c r="I1492" s="19">
        <v>4</v>
      </c>
      <c r="J1492" s="19">
        <v>0</v>
      </c>
      <c r="K1492" s="19">
        <v>2</v>
      </c>
      <c r="L1492" s="19" t="s">
        <v>33</v>
      </c>
      <c r="M1492" s="21">
        <v>3.5</v>
      </c>
      <c r="N1492">
        <f t="shared" si="23"/>
        <v>1</v>
      </c>
    </row>
    <row r="1493" spans="1:14" x14ac:dyDescent="0.35">
      <c r="A1493" s="22" t="s">
        <v>1563</v>
      </c>
      <c r="B1493" s="23" t="s">
        <v>53</v>
      </c>
      <c r="C1493" s="23">
        <v>11</v>
      </c>
      <c r="D1493" s="24">
        <v>45970</v>
      </c>
      <c r="E1493" s="23" t="s">
        <v>8364</v>
      </c>
      <c r="F1493" s="23" t="s">
        <v>59</v>
      </c>
      <c r="G1493" s="23" t="s">
        <v>21</v>
      </c>
      <c r="H1493" s="23" t="s">
        <v>8364</v>
      </c>
      <c r="I1493" s="23">
        <v>4</v>
      </c>
      <c r="J1493" s="23">
        <v>0</v>
      </c>
      <c r="K1493" s="23">
        <v>2</v>
      </c>
      <c r="L1493" s="23" t="s">
        <v>75</v>
      </c>
      <c r="M1493" s="25">
        <v>37.1</v>
      </c>
      <c r="N1493">
        <f t="shared" si="23"/>
        <v>0</v>
      </c>
    </row>
    <row r="1494" spans="1:14" x14ac:dyDescent="0.35">
      <c r="A1494" s="6" t="s">
        <v>1564</v>
      </c>
      <c r="B1494" s="19" t="s">
        <v>181</v>
      </c>
      <c r="C1494" s="19">
        <v>10</v>
      </c>
      <c r="D1494" s="20">
        <v>45944</v>
      </c>
      <c r="E1494" s="19" t="s">
        <v>25</v>
      </c>
      <c r="F1494" s="19" t="s">
        <v>43</v>
      </c>
      <c r="G1494" s="19" t="s">
        <v>15</v>
      </c>
      <c r="H1494" s="19" t="s">
        <v>22</v>
      </c>
      <c r="I1494" s="19">
        <v>72</v>
      </c>
      <c r="J1494" s="19"/>
      <c r="K1494" s="19"/>
      <c r="L1494" s="19" t="s">
        <v>33</v>
      </c>
      <c r="M1494" s="21">
        <v>19.2</v>
      </c>
      <c r="N1494">
        <f t="shared" si="23"/>
        <v>1</v>
      </c>
    </row>
    <row r="1495" spans="1:14" x14ac:dyDescent="0.35">
      <c r="A1495" s="22" t="s">
        <v>1565</v>
      </c>
      <c r="B1495" s="23" t="s">
        <v>23</v>
      </c>
      <c r="C1495" s="23">
        <v>7</v>
      </c>
      <c r="D1495" s="24">
        <v>45865</v>
      </c>
      <c r="E1495" s="23" t="s">
        <v>13</v>
      </c>
      <c r="F1495" s="23" t="s">
        <v>43</v>
      </c>
      <c r="G1495" s="23" t="s">
        <v>31</v>
      </c>
      <c r="H1495" s="23" t="s">
        <v>16</v>
      </c>
      <c r="I1495" s="23">
        <v>48</v>
      </c>
      <c r="J1495" s="23">
        <v>1</v>
      </c>
      <c r="K1495" s="23">
        <v>5</v>
      </c>
      <c r="L1495" s="23" t="s">
        <v>62</v>
      </c>
      <c r="M1495" s="25">
        <v>5.4</v>
      </c>
      <c r="N1495">
        <f t="shared" si="23"/>
        <v>1</v>
      </c>
    </row>
    <row r="1496" spans="1:14" x14ac:dyDescent="0.35">
      <c r="A1496" s="6" t="s">
        <v>1566</v>
      </c>
      <c r="B1496" s="19" t="s">
        <v>34</v>
      </c>
      <c r="C1496" s="19">
        <v>2</v>
      </c>
      <c r="D1496" s="20">
        <v>45711</v>
      </c>
      <c r="E1496" s="19" t="s">
        <v>20</v>
      </c>
      <c r="F1496" s="19" t="s">
        <v>14</v>
      </c>
      <c r="G1496" s="19" t="s">
        <v>15</v>
      </c>
      <c r="H1496" s="19" t="s">
        <v>22</v>
      </c>
      <c r="I1496" s="19">
        <v>4</v>
      </c>
      <c r="J1496" s="19">
        <v>0</v>
      </c>
      <c r="K1496" s="19">
        <v>3</v>
      </c>
      <c r="L1496" s="19" t="s">
        <v>38</v>
      </c>
      <c r="M1496" s="21">
        <v>12.4</v>
      </c>
      <c r="N1496">
        <f t="shared" si="23"/>
        <v>0</v>
      </c>
    </row>
    <row r="1497" spans="1:14" x14ac:dyDescent="0.35">
      <c r="A1497" s="22" t="s">
        <v>1567</v>
      </c>
      <c r="B1497" s="23" t="s">
        <v>87</v>
      </c>
      <c r="C1497" s="23">
        <v>6</v>
      </c>
      <c r="D1497" s="24">
        <v>45828</v>
      </c>
      <c r="E1497" s="23" t="s">
        <v>36</v>
      </c>
      <c r="F1497" s="23" t="s">
        <v>37</v>
      </c>
      <c r="G1497" s="23" t="s">
        <v>15</v>
      </c>
      <c r="H1497" s="23" t="s">
        <v>28</v>
      </c>
      <c r="I1497" s="23">
        <v>8</v>
      </c>
      <c r="J1497" s="23">
        <v>0</v>
      </c>
      <c r="K1497" s="23">
        <v>4</v>
      </c>
      <c r="L1497" s="23" t="s">
        <v>17</v>
      </c>
      <c r="M1497" s="25">
        <v>13.4</v>
      </c>
      <c r="N1497">
        <f t="shared" si="23"/>
        <v>0</v>
      </c>
    </row>
    <row r="1498" spans="1:14" x14ac:dyDescent="0.35">
      <c r="A1498" s="6" t="s">
        <v>1568</v>
      </c>
      <c r="B1498" s="19" t="s">
        <v>78</v>
      </c>
      <c r="C1498" s="19"/>
      <c r="D1498" s="20"/>
      <c r="E1498" s="19" t="s">
        <v>36</v>
      </c>
      <c r="F1498" s="19" t="s">
        <v>14</v>
      </c>
      <c r="G1498" s="19" t="s">
        <v>8364</v>
      </c>
      <c r="H1498" s="19" t="s">
        <v>8364</v>
      </c>
      <c r="I1498" s="19">
        <v>4</v>
      </c>
      <c r="J1498" s="19">
        <v>0</v>
      </c>
      <c r="K1498" s="19">
        <v>3</v>
      </c>
      <c r="L1498" s="19" t="s">
        <v>44</v>
      </c>
      <c r="M1498" s="21">
        <v>17.2</v>
      </c>
      <c r="N1498">
        <f t="shared" si="23"/>
        <v>0</v>
      </c>
    </row>
    <row r="1499" spans="1:14" x14ac:dyDescent="0.35">
      <c r="A1499" s="22" t="s">
        <v>1569</v>
      </c>
      <c r="B1499" s="23" t="s">
        <v>85</v>
      </c>
      <c r="C1499" s="23">
        <v>11</v>
      </c>
      <c r="D1499" s="24">
        <v>45976</v>
      </c>
      <c r="E1499" s="23" t="s">
        <v>36</v>
      </c>
      <c r="F1499" s="23" t="s">
        <v>43</v>
      </c>
      <c r="G1499" s="23" t="s">
        <v>21</v>
      </c>
      <c r="H1499" s="23" t="s">
        <v>8364</v>
      </c>
      <c r="I1499" s="23">
        <v>8</v>
      </c>
      <c r="J1499" s="23">
        <v>0</v>
      </c>
      <c r="K1499" s="23">
        <v>4</v>
      </c>
      <c r="L1499" s="23" t="s">
        <v>8363</v>
      </c>
      <c r="M1499" s="25">
        <v>13.2</v>
      </c>
      <c r="N1499">
        <f t="shared" si="23"/>
        <v>0</v>
      </c>
    </row>
    <row r="1500" spans="1:14" x14ac:dyDescent="0.35">
      <c r="A1500" s="6" t="s">
        <v>1570</v>
      </c>
      <c r="B1500" s="19" t="s">
        <v>18</v>
      </c>
      <c r="C1500" s="19"/>
      <c r="D1500" s="20"/>
      <c r="E1500" s="19" t="s">
        <v>68</v>
      </c>
      <c r="F1500" s="19" t="s">
        <v>37</v>
      </c>
      <c r="G1500" s="19" t="s">
        <v>27</v>
      </c>
      <c r="H1500" s="19" t="s">
        <v>8364</v>
      </c>
      <c r="I1500" s="19">
        <v>4</v>
      </c>
      <c r="J1500" s="19">
        <v>0</v>
      </c>
      <c r="K1500" s="19">
        <v>5</v>
      </c>
      <c r="L1500" s="19" t="s">
        <v>55</v>
      </c>
      <c r="M1500" s="21">
        <v>31.9</v>
      </c>
      <c r="N1500">
        <f t="shared" si="23"/>
        <v>0</v>
      </c>
    </row>
    <row r="1501" spans="1:14" x14ac:dyDescent="0.35">
      <c r="A1501" s="22" t="s">
        <v>1571</v>
      </c>
      <c r="B1501" s="23" t="s">
        <v>78</v>
      </c>
      <c r="C1501" s="23">
        <v>2</v>
      </c>
      <c r="D1501" s="24">
        <v>45697</v>
      </c>
      <c r="E1501" s="23" t="s">
        <v>25</v>
      </c>
      <c r="F1501" s="23" t="s">
        <v>26</v>
      </c>
      <c r="G1501" s="23" t="s">
        <v>31</v>
      </c>
      <c r="H1501" s="23" t="s">
        <v>22</v>
      </c>
      <c r="I1501" s="23">
        <v>8</v>
      </c>
      <c r="J1501" s="23">
        <v>0</v>
      </c>
      <c r="K1501" s="23">
        <v>1</v>
      </c>
      <c r="L1501" s="23" t="s">
        <v>17</v>
      </c>
      <c r="M1501" s="25">
        <v>6.6</v>
      </c>
      <c r="N1501">
        <f t="shared" si="23"/>
        <v>1</v>
      </c>
    </row>
    <row r="1502" spans="1:14" x14ac:dyDescent="0.35">
      <c r="A1502" s="6" t="s">
        <v>1572</v>
      </c>
      <c r="B1502" s="19" t="s">
        <v>69</v>
      </c>
      <c r="C1502" s="19">
        <v>3</v>
      </c>
      <c r="D1502" s="20">
        <v>45720</v>
      </c>
      <c r="E1502" s="19" t="s">
        <v>13</v>
      </c>
      <c r="F1502" s="19" t="s">
        <v>8364</v>
      </c>
      <c r="G1502" s="19" t="s">
        <v>31</v>
      </c>
      <c r="H1502" s="19" t="s">
        <v>32</v>
      </c>
      <c r="I1502" s="19">
        <v>8</v>
      </c>
      <c r="J1502" s="19">
        <v>0</v>
      </c>
      <c r="K1502" s="19">
        <v>4</v>
      </c>
      <c r="L1502" s="19" t="s">
        <v>33</v>
      </c>
      <c r="M1502" s="21">
        <v>16.7</v>
      </c>
      <c r="N1502">
        <f t="shared" si="23"/>
        <v>0</v>
      </c>
    </row>
    <row r="1503" spans="1:14" x14ac:dyDescent="0.35">
      <c r="A1503" s="22" t="s">
        <v>1573</v>
      </c>
      <c r="B1503" s="23" t="s">
        <v>18</v>
      </c>
      <c r="C1503" s="23">
        <v>2</v>
      </c>
      <c r="D1503" s="24">
        <v>45706</v>
      </c>
      <c r="E1503" s="23" t="s">
        <v>68</v>
      </c>
      <c r="F1503" s="23" t="s">
        <v>59</v>
      </c>
      <c r="G1503" s="23" t="s">
        <v>21</v>
      </c>
      <c r="H1503" s="23" t="s">
        <v>22</v>
      </c>
      <c r="I1503" s="23">
        <v>72</v>
      </c>
      <c r="J1503" s="23">
        <v>0</v>
      </c>
      <c r="K1503" s="23">
        <v>4</v>
      </c>
      <c r="L1503" s="23" t="s">
        <v>8363</v>
      </c>
      <c r="M1503" s="25">
        <v>15.8</v>
      </c>
      <c r="N1503">
        <f t="shared" si="23"/>
        <v>1</v>
      </c>
    </row>
    <row r="1504" spans="1:14" x14ac:dyDescent="0.35">
      <c r="A1504" s="6" t="s">
        <v>1574</v>
      </c>
      <c r="B1504" s="19" t="s">
        <v>47</v>
      </c>
      <c r="C1504" s="19">
        <v>5</v>
      </c>
      <c r="D1504" s="20">
        <v>45801</v>
      </c>
      <c r="E1504" s="19" t="s">
        <v>8364</v>
      </c>
      <c r="F1504" s="19" t="s">
        <v>40</v>
      </c>
      <c r="G1504" s="19" t="s">
        <v>27</v>
      </c>
      <c r="H1504" s="19" t="s">
        <v>8364</v>
      </c>
      <c r="I1504" s="19">
        <v>48</v>
      </c>
      <c r="J1504" s="19">
        <v>0</v>
      </c>
      <c r="K1504" s="19">
        <v>5</v>
      </c>
      <c r="L1504" s="19" t="s">
        <v>8363</v>
      </c>
      <c r="M1504" s="21">
        <v>5</v>
      </c>
      <c r="N1504">
        <f t="shared" si="23"/>
        <v>1</v>
      </c>
    </row>
    <row r="1505" spans="1:14" x14ac:dyDescent="0.35">
      <c r="A1505" s="22" t="s">
        <v>1575</v>
      </c>
      <c r="B1505" s="23" t="s">
        <v>85</v>
      </c>
      <c r="C1505" s="23">
        <v>8</v>
      </c>
      <c r="D1505" s="24">
        <v>45892</v>
      </c>
      <c r="E1505" s="23" t="s">
        <v>68</v>
      </c>
      <c r="F1505" s="23" t="s">
        <v>59</v>
      </c>
      <c r="G1505" s="23" t="s">
        <v>21</v>
      </c>
      <c r="H1505" s="23" t="s">
        <v>32</v>
      </c>
      <c r="I1505" s="23">
        <v>72</v>
      </c>
      <c r="J1505" s="23">
        <v>0</v>
      </c>
      <c r="K1505" s="23">
        <v>2</v>
      </c>
      <c r="L1505" s="23" t="s">
        <v>8363</v>
      </c>
      <c r="M1505" s="25">
        <v>5.0999999999999996</v>
      </c>
      <c r="N1505">
        <f t="shared" si="23"/>
        <v>1</v>
      </c>
    </row>
    <row r="1506" spans="1:14" x14ac:dyDescent="0.35">
      <c r="A1506" s="6" t="s">
        <v>1576</v>
      </c>
      <c r="B1506" s="19" t="s">
        <v>108</v>
      </c>
      <c r="C1506" s="19">
        <v>1</v>
      </c>
      <c r="D1506" s="20">
        <v>45664</v>
      </c>
      <c r="E1506" s="19" t="s">
        <v>36</v>
      </c>
      <c r="F1506" s="19" t="s">
        <v>26</v>
      </c>
      <c r="G1506" s="19" t="s">
        <v>21</v>
      </c>
      <c r="H1506" s="19" t="s">
        <v>22</v>
      </c>
      <c r="I1506" s="19">
        <v>48</v>
      </c>
      <c r="J1506" s="19">
        <v>0</v>
      </c>
      <c r="K1506" s="19">
        <v>5</v>
      </c>
      <c r="L1506" s="19" t="s">
        <v>75</v>
      </c>
      <c r="M1506" s="21">
        <v>7.3</v>
      </c>
      <c r="N1506">
        <f t="shared" si="23"/>
        <v>1</v>
      </c>
    </row>
    <row r="1507" spans="1:14" x14ac:dyDescent="0.35">
      <c r="A1507" s="22" t="s">
        <v>1577</v>
      </c>
      <c r="B1507" s="23" t="s">
        <v>69</v>
      </c>
      <c r="C1507" s="23">
        <v>2</v>
      </c>
      <c r="D1507" s="24">
        <v>45712</v>
      </c>
      <c r="E1507" s="23" t="s">
        <v>8364</v>
      </c>
      <c r="F1507" s="23" t="s">
        <v>14</v>
      </c>
      <c r="G1507" s="23" t="s">
        <v>8364</v>
      </c>
      <c r="H1507" s="23" t="s">
        <v>8364</v>
      </c>
      <c r="I1507" s="23">
        <v>24</v>
      </c>
      <c r="J1507" s="23">
        <v>0</v>
      </c>
      <c r="K1507" s="23">
        <v>4</v>
      </c>
      <c r="L1507" s="23" t="s">
        <v>55</v>
      </c>
      <c r="M1507" s="25">
        <v>8.3000000000000007</v>
      </c>
      <c r="N1507">
        <f t="shared" si="23"/>
        <v>1</v>
      </c>
    </row>
    <row r="1508" spans="1:14" x14ac:dyDescent="0.35">
      <c r="A1508" s="6" t="s">
        <v>1578</v>
      </c>
      <c r="B1508" s="19" t="s">
        <v>72</v>
      </c>
      <c r="C1508" s="19">
        <v>2</v>
      </c>
      <c r="D1508" s="20">
        <v>45694</v>
      </c>
      <c r="E1508" s="19" t="s">
        <v>20</v>
      </c>
      <c r="F1508" s="19" t="s">
        <v>14</v>
      </c>
      <c r="G1508" s="19" t="s">
        <v>21</v>
      </c>
      <c r="H1508" s="19" t="s">
        <v>28</v>
      </c>
      <c r="I1508" s="19">
        <v>4</v>
      </c>
      <c r="J1508" s="19">
        <v>0</v>
      </c>
      <c r="K1508" s="19">
        <v>3</v>
      </c>
      <c r="L1508" s="19" t="s">
        <v>17</v>
      </c>
      <c r="M1508" s="21">
        <v>24</v>
      </c>
      <c r="N1508">
        <f t="shared" si="23"/>
        <v>0</v>
      </c>
    </row>
    <row r="1509" spans="1:14" x14ac:dyDescent="0.35">
      <c r="A1509" s="22" t="s">
        <v>1579</v>
      </c>
      <c r="B1509" s="23" t="s">
        <v>181</v>
      </c>
      <c r="C1509" s="23">
        <v>9</v>
      </c>
      <c r="D1509" s="24">
        <v>45910</v>
      </c>
      <c r="E1509" s="23" t="s">
        <v>13</v>
      </c>
      <c r="F1509" s="23" t="s">
        <v>40</v>
      </c>
      <c r="G1509" s="23" t="s">
        <v>31</v>
      </c>
      <c r="H1509" s="23" t="s">
        <v>28</v>
      </c>
      <c r="I1509" s="23">
        <v>24</v>
      </c>
      <c r="J1509" s="23">
        <v>0</v>
      </c>
      <c r="K1509" s="23">
        <v>1</v>
      </c>
      <c r="L1509" s="23" t="s">
        <v>75</v>
      </c>
      <c r="M1509" s="25">
        <v>3.6</v>
      </c>
      <c r="N1509">
        <f t="shared" si="23"/>
        <v>1</v>
      </c>
    </row>
    <row r="1510" spans="1:14" x14ac:dyDescent="0.35">
      <c r="A1510" s="6" t="s">
        <v>1580</v>
      </c>
      <c r="B1510" s="19" t="s">
        <v>253</v>
      </c>
      <c r="C1510" s="19">
        <v>7</v>
      </c>
      <c r="D1510" s="20">
        <v>45851</v>
      </c>
      <c r="E1510" s="19" t="s">
        <v>36</v>
      </c>
      <c r="F1510" s="19" t="s">
        <v>14</v>
      </c>
      <c r="G1510" s="19" t="s">
        <v>31</v>
      </c>
      <c r="H1510" s="19" t="s">
        <v>32</v>
      </c>
      <c r="I1510" s="19">
        <v>24</v>
      </c>
      <c r="J1510" s="19">
        <v>0</v>
      </c>
      <c r="K1510" s="19">
        <v>3</v>
      </c>
      <c r="L1510" s="19" t="s">
        <v>17</v>
      </c>
      <c r="M1510" s="21">
        <v>12.9</v>
      </c>
      <c r="N1510">
        <f t="shared" si="23"/>
        <v>1</v>
      </c>
    </row>
    <row r="1511" spans="1:14" x14ac:dyDescent="0.35">
      <c r="A1511" s="22" t="s">
        <v>1581</v>
      </c>
      <c r="B1511" s="23" t="s">
        <v>51</v>
      </c>
      <c r="C1511" s="23">
        <v>8</v>
      </c>
      <c r="D1511" s="24">
        <v>45876</v>
      </c>
      <c r="E1511" s="23" t="s">
        <v>13</v>
      </c>
      <c r="F1511" s="23" t="s">
        <v>14</v>
      </c>
      <c r="G1511" s="23" t="s">
        <v>15</v>
      </c>
      <c r="H1511" s="23" t="s">
        <v>16</v>
      </c>
      <c r="I1511" s="23">
        <v>24</v>
      </c>
      <c r="J1511" s="23">
        <v>0</v>
      </c>
      <c r="K1511" s="23"/>
      <c r="L1511" s="23" t="s">
        <v>17</v>
      </c>
      <c r="M1511" s="25">
        <v>26.6</v>
      </c>
      <c r="N1511">
        <f t="shared" si="23"/>
        <v>0</v>
      </c>
    </row>
    <row r="1512" spans="1:14" x14ac:dyDescent="0.35">
      <c r="A1512" s="6" t="s">
        <v>1582</v>
      </c>
      <c r="B1512" s="19" t="s">
        <v>87</v>
      </c>
      <c r="C1512" s="19">
        <v>6</v>
      </c>
      <c r="D1512" s="20">
        <v>45823</v>
      </c>
      <c r="E1512" s="19" t="s">
        <v>8364</v>
      </c>
      <c r="F1512" s="19" t="s">
        <v>40</v>
      </c>
      <c r="G1512" s="19" t="s">
        <v>21</v>
      </c>
      <c r="H1512" s="19" t="s">
        <v>16</v>
      </c>
      <c r="I1512" s="19">
        <v>4</v>
      </c>
      <c r="J1512" s="19">
        <v>0</v>
      </c>
      <c r="K1512" s="19">
        <v>1</v>
      </c>
      <c r="L1512" s="19" t="s">
        <v>62</v>
      </c>
      <c r="M1512" s="21">
        <v>2.6</v>
      </c>
      <c r="N1512">
        <f t="shared" si="23"/>
        <v>1</v>
      </c>
    </row>
    <row r="1513" spans="1:14" x14ac:dyDescent="0.35">
      <c r="A1513" s="22" t="s">
        <v>1583</v>
      </c>
      <c r="B1513" s="23" t="s">
        <v>34</v>
      </c>
      <c r="C1513" s="23">
        <v>5</v>
      </c>
      <c r="D1513" s="24">
        <v>45778</v>
      </c>
      <c r="E1513" s="23" t="s">
        <v>13</v>
      </c>
      <c r="F1513" s="23" t="s">
        <v>14</v>
      </c>
      <c r="G1513" s="23" t="s">
        <v>27</v>
      </c>
      <c r="H1513" s="23" t="s">
        <v>16</v>
      </c>
      <c r="I1513" s="23">
        <v>48</v>
      </c>
      <c r="J1513" s="23">
        <v>0</v>
      </c>
      <c r="K1513" s="23">
        <v>2</v>
      </c>
      <c r="L1513" s="23" t="s">
        <v>38</v>
      </c>
      <c r="M1513" s="25">
        <v>18.8</v>
      </c>
      <c r="N1513">
        <f t="shared" si="23"/>
        <v>1</v>
      </c>
    </row>
    <row r="1514" spans="1:14" x14ac:dyDescent="0.35">
      <c r="A1514" s="6" t="s">
        <v>1584</v>
      </c>
      <c r="B1514" s="19" t="s">
        <v>108</v>
      </c>
      <c r="C1514" s="19">
        <v>4</v>
      </c>
      <c r="D1514" s="20">
        <v>45762</v>
      </c>
      <c r="E1514" s="19" t="s">
        <v>25</v>
      </c>
      <c r="F1514" s="19" t="s">
        <v>59</v>
      </c>
      <c r="G1514" s="19" t="s">
        <v>27</v>
      </c>
      <c r="H1514" s="19" t="s">
        <v>28</v>
      </c>
      <c r="I1514" s="19">
        <v>72</v>
      </c>
      <c r="J1514" s="19">
        <v>0</v>
      </c>
      <c r="K1514" s="19"/>
      <c r="L1514" s="19" t="s">
        <v>75</v>
      </c>
      <c r="M1514" s="21">
        <v>13.2</v>
      </c>
      <c r="N1514">
        <f t="shared" si="23"/>
        <v>1</v>
      </c>
    </row>
    <row r="1515" spans="1:14" x14ac:dyDescent="0.35">
      <c r="A1515" s="22" t="s">
        <v>1585</v>
      </c>
      <c r="B1515" s="23" t="s">
        <v>97</v>
      </c>
      <c r="C1515" s="23">
        <v>11</v>
      </c>
      <c r="D1515" s="24">
        <v>45979</v>
      </c>
      <c r="E1515" s="23" t="s">
        <v>20</v>
      </c>
      <c r="F1515" s="23" t="s">
        <v>26</v>
      </c>
      <c r="G1515" s="23" t="s">
        <v>21</v>
      </c>
      <c r="H1515" s="23" t="s">
        <v>28</v>
      </c>
      <c r="I1515" s="23">
        <v>48</v>
      </c>
      <c r="J1515" s="23">
        <v>0</v>
      </c>
      <c r="K1515" s="23">
        <v>4</v>
      </c>
      <c r="L1515" s="23" t="s">
        <v>75</v>
      </c>
      <c r="M1515" s="25">
        <v>17.2</v>
      </c>
      <c r="N1515">
        <f t="shared" si="23"/>
        <v>1</v>
      </c>
    </row>
    <row r="1516" spans="1:14" x14ac:dyDescent="0.35">
      <c r="A1516" s="6" t="s">
        <v>1586</v>
      </c>
      <c r="B1516" s="19" t="s">
        <v>81</v>
      </c>
      <c r="C1516" s="19">
        <v>3</v>
      </c>
      <c r="D1516" s="20">
        <v>45740</v>
      </c>
      <c r="E1516" s="19" t="s">
        <v>13</v>
      </c>
      <c r="F1516" s="19" t="s">
        <v>43</v>
      </c>
      <c r="G1516" s="19" t="s">
        <v>15</v>
      </c>
      <c r="H1516" s="19" t="s">
        <v>22</v>
      </c>
      <c r="I1516" s="19">
        <v>72</v>
      </c>
      <c r="J1516" s="19">
        <v>0</v>
      </c>
      <c r="K1516" s="19">
        <v>5</v>
      </c>
      <c r="L1516" s="19" t="s">
        <v>33</v>
      </c>
      <c r="M1516" s="21">
        <v>3.9</v>
      </c>
      <c r="N1516">
        <f t="shared" si="23"/>
        <v>1</v>
      </c>
    </row>
    <row r="1517" spans="1:14" x14ac:dyDescent="0.35">
      <c r="A1517" s="22" t="s">
        <v>1587</v>
      </c>
      <c r="B1517" s="23" t="s">
        <v>139</v>
      </c>
      <c r="C1517" s="23">
        <v>7</v>
      </c>
      <c r="D1517" s="24">
        <v>45867</v>
      </c>
      <c r="E1517" s="23" t="s">
        <v>36</v>
      </c>
      <c r="F1517" s="23" t="s">
        <v>14</v>
      </c>
      <c r="G1517" s="23" t="s">
        <v>8364</v>
      </c>
      <c r="H1517" s="23" t="s">
        <v>32</v>
      </c>
      <c r="I1517" s="23">
        <v>8</v>
      </c>
      <c r="J1517" s="23">
        <v>0</v>
      </c>
      <c r="K1517" s="23">
        <v>3</v>
      </c>
      <c r="L1517" s="23" t="s">
        <v>17</v>
      </c>
      <c r="M1517" s="25">
        <v>7.2</v>
      </c>
      <c r="N1517">
        <f t="shared" si="23"/>
        <v>1</v>
      </c>
    </row>
    <row r="1518" spans="1:14" x14ac:dyDescent="0.35">
      <c r="A1518" s="6" t="s">
        <v>1588</v>
      </c>
      <c r="B1518" s="19" t="s">
        <v>89</v>
      </c>
      <c r="C1518" s="19">
        <v>2</v>
      </c>
      <c r="D1518" s="20">
        <v>45715</v>
      </c>
      <c r="E1518" s="19" t="s">
        <v>68</v>
      </c>
      <c r="F1518" s="19" t="s">
        <v>26</v>
      </c>
      <c r="G1518" s="19" t="s">
        <v>31</v>
      </c>
      <c r="H1518" s="19" t="s">
        <v>22</v>
      </c>
      <c r="I1518" s="19">
        <v>8</v>
      </c>
      <c r="J1518" s="19">
        <v>0</v>
      </c>
      <c r="K1518" s="19"/>
      <c r="L1518" s="19" t="s">
        <v>17</v>
      </c>
      <c r="M1518" s="21">
        <v>15.8</v>
      </c>
      <c r="N1518">
        <f t="shared" si="23"/>
        <v>0</v>
      </c>
    </row>
    <row r="1519" spans="1:14" x14ac:dyDescent="0.35">
      <c r="A1519" s="22" t="s">
        <v>1589</v>
      </c>
      <c r="B1519" s="23" t="s">
        <v>53</v>
      </c>
      <c r="C1519" s="23">
        <v>1</v>
      </c>
      <c r="D1519" s="24">
        <v>45671</v>
      </c>
      <c r="E1519" s="23" t="s">
        <v>25</v>
      </c>
      <c r="F1519" s="23" t="s">
        <v>37</v>
      </c>
      <c r="G1519" s="23" t="s">
        <v>27</v>
      </c>
      <c r="H1519" s="23" t="s">
        <v>16</v>
      </c>
      <c r="I1519" s="23">
        <v>24</v>
      </c>
      <c r="J1519" s="23">
        <v>0</v>
      </c>
      <c r="K1519" s="23">
        <v>3</v>
      </c>
      <c r="L1519" s="23" t="s">
        <v>17</v>
      </c>
      <c r="M1519" s="25">
        <v>11.7</v>
      </c>
      <c r="N1519">
        <f t="shared" si="23"/>
        <v>1</v>
      </c>
    </row>
    <row r="1520" spans="1:14" x14ac:dyDescent="0.35">
      <c r="A1520" s="6" t="s">
        <v>1590</v>
      </c>
      <c r="B1520" s="19" t="s">
        <v>92</v>
      </c>
      <c r="C1520" s="19">
        <v>11</v>
      </c>
      <c r="D1520" s="20">
        <v>45991</v>
      </c>
      <c r="E1520" s="19" t="s">
        <v>8364</v>
      </c>
      <c r="F1520" s="19" t="s">
        <v>37</v>
      </c>
      <c r="G1520" s="19" t="s">
        <v>15</v>
      </c>
      <c r="H1520" s="19" t="s">
        <v>32</v>
      </c>
      <c r="I1520" s="19">
        <v>8</v>
      </c>
      <c r="J1520" s="19">
        <v>0</v>
      </c>
      <c r="K1520" s="19"/>
      <c r="L1520" s="19" t="s">
        <v>17</v>
      </c>
      <c r="M1520" s="21">
        <v>1.4</v>
      </c>
      <c r="N1520">
        <f t="shared" si="23"/>
        <v>1</v>
      </c>
    </row>
    <row r="1521" spans="1:14" x14ac:dyDescent="0.35">
      <c r="A1521" s="22" t="s">
        <v>1591</v>
      </c>
      <c r="B1521" s="23" t="s">
        <v>99</v>
      </c>
      <c r="C1521" s="23">
        <v>8</v>
      </c>
      <c r="D1521" s="24">
        <v>45899</v>
      </c>
      <c r="E1521" s="23" t="s">
        <v>13</v>
      </c>
      <c r="F1521" s="23" t="s">
        <v>8364</v>
      </c>
      <c r="G1521" s="23" t="s">
        <v>27</v>
      </c>
      <c r="H1521" s="23" t="s">
        <v>8364</v>
      </c>
      <c r="I1521" s="23">
        <v>8</v>
      </c>
      <c r="J1521" s="23"/>
      <c r="K1521" s="23">
        <v>4</v>
      </c>
      <c r="L1521" s="23" t="s">
        <v>38</v>
      </c>
      <c r="M1521" s="25">
        <v>14.2</v>
      </c>
      <c r="N1521">
        <f t="shared" si="23"/>
        <v>0</v>
      </c>
    </row>
    <row r="1522" spans="1:14" x14ac:dyDescent="0.35">
      <c r="A1522" s="6" t="s">
        <v>1592</v>
      </c>
      <c r="B1522" s="19" t="s">
        <v>34</v>
      </c>
      <c r="C1522" s="19">
        <v>5</v>
      </c>
      <c r="D1522" s="20">
        <v>45783</v>
      </c>
      <c r="E1522" s="19" t="s">
        <v>13</v>
      </c>
      <c r="F1522" s="19" t="s">
        <v>14</v>
      </c>
      <c r="G1522" s="19" t="s">
        <v>8364</v>
      </c>
      <c r="H1522" s="19" t="s">
        <v>32</v>
      </c>
      <c r="I1522" s="19">
        <v>4</v>
      </c>
      <c r="J1522" s="19">
        <v>1</v>
      </c>
      <c r="K1522" s="19">
        <v>5</v>
      </c>
      <c r="L1522" s="19" t="s">
        <v>44</v>
      </c>
      <c r="M1522" s="21">
        <v>20.9</v>
      </c>
      <c r="N1522">
        <f t="shared" si="23"/>
        <v>0</v>
      </c>
    </row>
    <row r="1523" spans="1:14" x14ac:dyDescent="0.35">
      <c r="A1523" s="22" t="s">
        <v>1593</v>
      </c>
      <c r="B1523" s="23" t="s">
        <v>130</v>
      </c>
      <c r="C1523" s="23">
        <v>4</v>
      </c>
      <c r="D1523" s="24">
        <v>45769</v>
      </c>
      <c r="E1523" s="23" t="s">
        <v>20</v>
      </c>
      <c r="F1523" s="23" t="s">
        <v>14</v>
      </c>
      <c r="G1523" s="23" t="s">
        <v>15</v>
      </c>
      <c r="H1523" s="23" t="s">
        <v>22</v>
      </c>
      <c r="I1523" s="23">
        <v>8</v>
      </c>
      <c r="J1523" s="23">
        <v>0</v>
      </c>
      <c r="K1523" s="23">
        <v>5</v>
      </c>
      <c r="L1523" s="23" t="s">
        <v>55</v>
      </c>
      <c r="M1523" s="25">
        <v>23.3</v>
      </c>
      <c r="N1523">
        <f t="shared" si="23"/>
        <v>0</v>
      </c>
    </row>
    <row r="1524" spans="1:14" x14ac:dyDescent="0.35">
      <c r="A1524" s="6" t="s">
        <v>1594</v>
      </c>
      <c r="B1524" s="19" t="s">
        <v>29</v>
      </c>
      <c r="C1524" s="19">
        <v>3</v>
      </c>
      <c r="D1524" s="20">
        <v>45718</v>
      </c>
      <c r="E1524" s="19" t="s">
        <v>25</v>
      </c>
      <c r="F1524" s="19" t="s">
        <v>43</v>
      </c>
      <c r="G1524" s="19" t="s">
        <v>31</v>
      </c>
      <c r="H1524" s="19" t="s">
        <v>28</v>
      </c>
      <c r="I1524" s="19">
        <v>24</v>
      </c>
      <c r="J1524" s="19">
        <v>0</v>
      </c>
      <c r="K1524" s="19">
        <v>4</v>
      </c>
      <c r="L1524" s="19" t="s">
        <v>17</v>
      </c>
      <c r="M1524" s="21">
        <v>24.9</v>
      </c>
      <c r="N1524">
        <f t="shared" si="23"/>
        <v>0</v>
      </c>
    </row>
    <row r="1525" spans="1:14" x14ac:dyDescent="0.35">
      <c r="A1525" s="22" t="s">
        <v>1595</v>
      </c>
      <c r="B1525" s="23" t="s">
        <v>253</v>
      </c>
      <c r="C1525" s="23">
        <v>4</v>
      </c>
      <c r="D1525" s="24">
        <v>45777</v>
      </c>
      <c r="E1525" s="23" t="s">
        <v>13</v>
      </c>
      <c r="F1525" s="23" t="s">
        <v>14</v>
      </c>
      <c r="G1525" s="23" t="s">
        <v>8364</v>
      </c>
      <c r="H1525" s="23" t="s">
        <v>16</v>
      </c>
      <c r="I1525" s="23">
        <v>4</v>
      </c>
      <c r="J1525" s="23">
        <v>0</v>
      </c>
      <c r="K1525" s="23">
        <v>4</v>
      </c>
      <c r="L1525" s="23" t="s">
        <v>44</v>
      </c>
      <c r="M1525" s="25">
        <v>20</v>
      </c>
      <c r="N1525">
        <f t="shared" si="23"/>
        <v>0</v>
      </c>
    </row>
    <row r="1526" spans="1:14" x14ac:dyDescent="0.35">
      <c r="A1526" s="6" t="s">
        <v>1596</v>
      </c>
      <c r="B1526" s="19" t="s">
        <v>49</v>
      </c>
      <c r="C1526" s="19">
        <v>1</v>
      </c>
      <c r="D1526" s="20">
        <v>45663</v>
      </c>
      <c r="E1526" s="19" t="s">
        <v>36</v>
      </c>
      <c r="F1526" s="19" t="s">
        <v>43</v>
      </c>
      <c r="G1526" s="19" t="s">
        <v>21</v>
      </c>
      <c r="H1526" s="19" t="s">
        <v>22</v>
      </c>
      <c r="I1526" s="19">
        <v>72</v>
      </c>
      <c r="J1526" s="19">
        <v>0</v>
      </c>
      <c r="K1526" s="19">
        <v>1</v>
      </c>
      <c r="L1526" s="19" t="s">
        <v>55</v>
      </c>
      <c r="M1526" s="21">
        <v>16.7</v>
      </c>
      <c r="N1526">
        <f t="shared" si="23"/>
        <v>1</v>
      </c>
    </row>
    <row r="1527" spans="1:14" x14ac:dyDescent="0.35">
      <c r="A1527" s="22" t="s">
        <v>1597</v>
      </c>
      <c r="B1527" s="23" t="s">
        <v>130</v>
      </c>
      <c r="C1527" s="23">
        <v>8</v>
      </c>
      <c r="D1527" s="24">
        <v>45888</v>
      </c>
      <c r="E1527" s="23" t="s">
        <v>20</v>
      </c>
      <c r="F1527" s="23" t="s">
        <v>40</v>
      </c>
      <c r="G1527" s="23" t="s">
        <v>27</v>
      </c>
      <c r="H1527" s="23" t="s">
        <v>32</v>
      </c>
      <c r="I1527" s="23">
        <v>8</v>
      </c>
      <c r="J1527" s="23">
        <v>0</v>
      </c>
      <c r="K1527" s="23">
        <v>3</v>
      </c>
      <c r="L1527" s="23" t="s">
        <v>75</v>
      </c>
      <c r="M1527" s="25">
        <v>13.3</v>
      </c>
      <c r="N1527">
        <f t="shared" si="23"/>
        <v>0</v>
      </c>
    </row>
    <row r="1528" spans="1:14" x14ac:dyDescent="0.35">
      <c r="A1528" s="6" t="s">
        <v>1598</v>
      </c>
      <c r="B1528" s="19" t="s">
        <v>72</v>
      </c>
      <c r="C1528" s="19">
        <v>1</v>
      </c>
      <c r="D1528" s="20">
        <v>45659</v>
      </c>
      <c r="E1528" s="19" t="s">
        <v>13</v>
      </c>
      <c r="F1528" s="19" t="s">
        <v>14</v>
      </c>
      <c r="G1528" s="19" t="s">
        <v>27</v>
      </c>
      <c r="H1528" s="19" t="s">
        <v>32</v>
      </c>
      <c r="I1528" s="19">
        <v>72</v>
      </c>
      <c r="J1528" s="19">
        <v>0</v>
      </c>
      <c r="K1528" s="19">
        <v>5</v>
      </c>
      <c r="L1528" s="19" t="s">
        <v>44</v>
      </c>
      <c r="M1528" s="21">
        <v>16.399999999999999</v>
      </c>
      <c r="N1528">
        <f t="shared" si="23"/>
        <v>1</v>
      </c>
    </row>
    <row r="1529" spans="1:14" x14ac:dyDescent="0.35">
      <c r="A1529" s="22" t="s">
        <v>1599</v>
      </c>
      <c r="B1529" s="23" t="s">
        <v>78</v>
      </c>
      <c r="C1529" s="23">
        <v>3</v>
      </c>
      <c r="D1529" s="24">
        <v>45730</v>
      </c>
      <c r="E1529" s="23" t="s">
        <v>68</v>
      </c>
      <c r="F1529" s="23" t="s">
        <v>43</v>
      </c>
      <c r="G1529" s="23" t="s">
        <v>21</v>
      </c>
      <c r="H1529" s="23" t="s">
        <v>8364</v>
      </c>
      <c r="I1529" s="23">
        <v>4</v>
      </c>
      <c r="J1529" s="23">
        <v>2</v>
      </c>
      <c r="K1529" s="23">
        <v>5</v>
      </c>
      <c r="L1529" s="23" t="s">
        <v>38</v>
      </c>
      <c r="M1529" s="25">
        <v>4.4000000000000004</v>
      </c>
      <c r="N1529">
        <f t="shared" si="23"/>
        <v>0</v>
      </c>
    </row>
    <row r="1530" spans="1:14" x14ac:dyDescent="0.35">
      <c r="A1530" s="6" t="s">
        <v>1600</v>
      </c>
      <c r="B1530" s="19" t="s">
        <v>101</v>
      </c>
      <c r="C1530" s="19">
        <v>8</v>
      </c>
      <c r="D1530" s="20">
        <v>45877</v>
      </c>
      <c r="E1530" s="19" t="s">
        <v>25</v>
      </c>
      <c r="F1530" s="19" t="s">
        <v>59</v>
      </c>
      <c r="G1530" s="19" t="s">
        <v>31</v>
      </c>
      <c r="H1530" s="19" t="s">
        <v>22</v>
      </c>
      <c r="I1530" s="19">
        <v>8</v>
      </c>
      <c r="J1530" s="19">
        <v>1</v>
      </c>
      <c r="K1530" s="19"/>
      <c r="L1530" s="19" t="s">
        <v>17</v>
      </c>
      <c r="M1530" s="21">
        <v>21.1</v>
      </c>
      <c r="N1530">
        <f t="shared" si="23"/>
        <v>0</v>
      </c>
    </row>
    <row r="1531" spans="1:14" x14ac:dyDescent="0.35">
      <c r="A1531" s="22" t="s">
        <v>1601</v>
      </c>
      <c r="B1531" s="23" t="s">
        <v>89</v>
      </c>
      <c r="C1531" s="23">
        <v>9</v>
      </c>
      <c r="D1531" s="24">
        <v>45906</v>
      </c>
      <c r="E1531" s="23" t="s">
        <v>68</v>
      </c>
      <c r="F1531" s="23" t="s">
        <v>37</v>
      </c>
      <c r="G1531" s="23" t="s">
        <v>31</v>
      </c>
      <c r="H1531" s="23" t="s">
        <v>32</v>
      </c>
      <c r="I1531" s="23">
        <v>72</v>
      </c>
      <c r="J1531" s="23">
        <v>1</v>
      </c>
      <c r="K1531" s="23">
        <v>5</v>
      </c>
      <c r="L1531" s="23" t="s">
        <v>44</v>
      </c>
      <c r="M1531" s="25">
        <v>19.7</v>
      </c>
      <c r="N1531">
        <f t="shared" si="23"/>
        <v>1</v>
      </c>
    </row>
    <row r="1532" spans="1:14" x14ac:dyDescent="0.35">
      <c r="A1532" s="6" t="s">
        <v>1602</v>
      </c>
      <c r="B1532" s="19" t="s">
        <v>23</v>
      </c>
      <c r="C1532" s="19"/>
      <c r="D1532" s="20"/>
      <c r="E1532" s="19" t="s">
        <v>25</v>
      </c>
      <c r="F1532" s="19" t="s">
        <v>43</v>
      </c>
      <c r="G1532" s="19" t="s">
        <v>31</v>
      </c>
      <c r="H1532" s="19" t="s">
        <v>22</v>
      </c>
      <c r="I1532" s="19">
        <v>72</v>
      </c>
      <c r="J1532" s="19">
        <v>0</v>
      </c>
      <c r="K1532" s="19">
        <v>5</v>
      </c>
      <c r="L1532" s="19" t="s">
        <v>8363</v>
      </c>
      <c r="M1532" s="21">
        <v>9.6999999999999993</v>
      </c>
      <c r="N1532">
        <f t="shared" si="23"/>
        <v>1</v>
      </c>
    </row>
    <row r="1533" spans="1:14" x14ac:dyDescent="0.35">
      <c r="A1533" s="22" t="s">
        <v>1603</v>
      </c>
      <c r="B1533" s="23" t="s">
        <v>108</v>
      </c>
      <c r="C1533" s="23">
        <v>4</v>
      </c>
      <c r="D1533" s="24">
        <v>45750</v>
      </c>
      <c r="E1533" s="23" t="s">
        <v>13</v>
      </c>
      <c r="F1533" s="23" t="s">
        <v>14</v>
      </c>
      <c r="G1533" s="23" t="s">
        <v>21</v>
      </c>
      <c r="H1533" s="23" t="s">
        <v>32</v>
      </c>
      <c r="I1533" s="23">
        <v>48</v>
      </c>
      <c r="J1533" s="23">
        <v>0</v>
      </c>
      <c r="K1533" s="23">
        <v>5</v>
      </c>
      <c r="L1533" s="23" t="s">
        <v>62</v>
      </c>
      <c r="M1533" s="25"/>
      <c r="N1533">
        <f t="shared" si="23"/>
        <v>1</v>
      </c>
    </row>
    <row r="1534" spans="1:14" x14ac:dyDescent="0.35">
      <c r="A1534" s="6" t="s">
        <v>1604</v>
      </c>
      <c r="B1534" s="19" t="s">
        <v>34</v>
      </c>
      <c r="C1534" s="19">
        <v>7</v>
      </c>
      <c r="D1534" s="20">
        <v>45848</v>
      </c>
      <c r="E1534" s="19" t="s">
        <v>8364</v>
      </c>
      <c r="F1534" s="19" t="s">
        <v>14</v>
      </c>
      <c r="G1534" s="19" t="s">
        <v>21</v>
      </c>
      <c r="H1534" s="19" t="s">
        <v>32</v>
      </c>
      <c r="I1534" s="19">
        <v>24</v>
      </c>
      <c r="J1534" s="19">
        <v>0</v>
      </c>
      <c r="K1534" s="19">
        <v>5</v>
      </c>
      <c r="L1534" s="19" t="s">
        <v>17</v>
      </c>
      <c r="M1534" s="21">
        <v>20.100000000000001</v>
      </c>
      <c r="N1534">
        <f t="shared" si="23"/>
        <v>1</v>
      </c>
    </row>
    <row r="1535" spans="1:14" x14ac:dyDescent="0.35">
      <c r="A1535" s="22" t="s">
        <v>1605</v>
      </c>
      <c r="B1535" s="23" t="s">
        <v>89</v>
      </c>
      <c r="C1535" s="23">
        <v>12</v>
      </c>
      <c r="D1535" s="24">
        <v>46017</v>
      </c>
      <c r="E1535" s="23" t="s">
        <v>13</v>
      </c>
      <c r="F1535" s="23" t="s">
        <v>40</v>
      </c>
      <c r="G1535" s="23" t="s">
        <v>21</v>
      </c>
      <c r="H1535" s="23" t="s">
        <v>22</v>
      </c>
      <c r="I1535" s="23">
        <v>48</v>
      </c>
      <c r="J1535" s="23">
        <v>2</v>
      </c>
      <c r="K1535" s="23">
        <v>3</v>
      </c>
      <c r="L1535" s="23" t="s">
        <v>75</v>
      </c>
      <c r="M1535" s="25">
        <v>4.2</v>
      </c>
      <c r="N1535">
        <f t="shared" si="23"/>
        <v>1</v>
      </c>
    </row>
    <row r="1536" spans="1:14" x14ac:dyDescent="0.35">
      <c r="A1536" s="6" t="s">
        <v>1606</v>
      </c>
      <c r="B1536" s="19" t="s">
        <v>89</v>
      </c>
      <c r="C1536" s="19">
        <v>10</v>
      </c>
      <c r="D1536" s="20">
        <v>45934</v>
      </c>
      <c r="E1536" s="19" t="s">
        <v>36</v>
      </c>
      <c r="F1536" s="19" t="s">
        <v>14</v>
      </c>
      <c r="G1536" s="19" t="s">
        <v>15</v>
      </c>
      <c r="H1536" s="19" t="s">
        <v>28</v>
      </c>
      <c r="I1536" s="19">
        <v>48</v>
      </c>
      <c r="J1536" s="19">
        <v>0</v>
      </c>
      <c r="K1536" s="19">
        <v>5</v>
      </c>
      <c r="L1536" s="19" t="s">
        <v>62</v>
      </c>
      <c r="M1536" s="21">
        <v>10.5</v>
      </c>
      <c r="N1536">
        <f t="shared" si="23"/>
        <v>1</v>
      </c>
    </row>
    <row r="1537" spans="1:14" x14ac:dyDescent="0.35">
      <c r="A1537" s="22" t="s">
        <v>1607</v>
      </c>
      <c r="B1537" s="23" t="s">
        <v>47</v>
      </c>
      <c r="C1537" s="23">
        <v>8</v>
      </c>
      <c r="D1537" s="24">
        <v>45891</v>
      </c>
      <c r="E1537" s="23" t="s">
        <v>25</v>
      </c>
      <c r="F1537" s="23" t="s">
        <v>14</v>
      </c>
      <c r="G1537" s="23" t="s">
        <v>15</v>
      </c>
      <c r="H1537" s="23" t="s">
        <v>22</v>
      </c>
      <c r="I1537" s="23">
        <v>48</v>
      </c>
      <c r="J1537" s="23">
        <v>0</v>
      </c>
      <c r="K1537" s="23">
        <v>4</v>
      </c>
      <c r="L1537" s="23" t="s">
        <v>17</v>
      </c>
      <c r="M1537" s="25">
        <v>6</v>
      </c>
      <c r="N1537">
        <f t="shared" si="23"/>
        <v>1</v>
      </c>
    </row>
    <row r="1538" spans="1:14" x14ac:dyDescent="0.35">
      <c r="A1538" s="6" t="s">
        <v>1608</v>
      </c>
      <c r="B1538" s="19" t="s">
        <v>87</v>
      </c>
      <c r="C1538" s="19">
        <v>11</v>
      </c>
      <c r="D1538" s="20">
        <v>45990</v>
      </c>
      <c r="E1538" s="19" t="s">
        <v>36</v>
      </c>
      <c r="F1538" s="19" t="s">
        <v>43</v>
      </c>
      <c r="G1538" s="19" t="s">
        <v>15</v>
      </c>
      <c r="H1538" s="19" t="s">
        <v>32</v>
      </c>
      <c r="I1538" s="19">
        <v>4</v>
      </c>
      <c r="J1538" s="19">
        <v>0</v>
      </c>
      <c r="K1538" s="19">
        <v>1</v>
      </c>
      <c r="L1538" s="19" t="s">
        <v>62</v>
      </c>
      <c r="M1538" s="21">
        <v>31.8</v>
      </c>
      <c r="N1538">
        <f t="shared" si="23"/>
        <v>0</v>
      </c>
    </row>
    <row r="1539" spans="1:14" x14ac:dyDescent="0.35">
      <c r="A1539" s="22" t="s">
        <v>1609</v>
      </c>
      <c r="B1539" s="23" t="s">
        <v>108</v>
      </c>
      <c r="C1539" s="23">
        <v>10</v>
      </c>
      <c r="D1539" s="24">
        <v>45947</v>
      </c>
      <c r="E1539" s="23" t="s">
        <v>25</v>
      </c>
      <c r="F1539" s="23" t="s">
        <v>14</v>
      </c>
      <c r="G1539" s="23" t="s">
        <v>21</v>
      </c>
      <c r="H1539" s="23" t="s">
        <v>22</v>
      </c>
      <c r="I1539" s="23">
        <v>72</v>
      </c>
      <c r="J1539" s="23">
        <v>0</v>
      </c>
      <c r="K1539" s="23">
        <v>5</v>
      </c>
      <c r="L1539" s="23" t="s">
        <v>55</v>
      </c>
      <c r="M1539" s="25">
        <v>11.6</v>
      </c>
      <c r="N1539">
        <f t="shared" ref="N1539:N1602" si="24">IF(M1539 &lt;= I1539, 1, 0)</f>
        <v>1</v>
      </c>
    </row>
    <row r="1540" spans="1:14" x14ac:dyDescent="0.35">
      <c r="A1540" s="6" t="s">
        <v>1610</v>
      </c>
      <c r="B1540" s="19" t="s">
        <v>34</v>
      </c>
      <c r="C1540" s="19">
        <v>11</v>
      </c>
      <c r="D1540" s="20">
        <v>45974</v>
      </c>
      <c r="E1540" s="19" t="s">
        <v>20</v>
      </c>
      <c r="F1540" s="19" t="s">
        <v>59</v>
      </c>
      <c r="G1540" s="19" t="s">
        <v>27</v>
      </c>
      <c r="H1540" s="19" t="s">
        <v>32</v>
      </c>
      <c r="I1540" s="19">
        <v>8</v>
      </c>
      <c r="J1540" s="19">
        <v>3</v>
      </c>
      <c r="K1540" s="19">
        <v>3</v>
      </c>
      <c r="L1540" s="19" t="s">
        <v>17</v>
      </c>
      <c r="M1540" s="21">
        <v>1.5</v>
      </c>
      <c r="N1540">
        <f t="shared" si="24"/>
        <v>1</v>
      </c>
    </row>
    <row r="1541" spans="1:14" x14ac:dyDescent="0.35">
      <c r="A1541" s="22" t="s">
        <v>1611</v>
      </c>
      <c r="B1541" s="23" t="s">
        <v>18</v>
      </c>
      <c r="C1541" s="23">
        <v>4</v>
      </c>
      <c r="D1541" s="24">
        <v>45762</v>
      </c>
      <c r="E1541" s="23" t="s">
        <v>25</v>
      </c>
      <c r="F1541" s="23" t="s">
        <v>14</v>
      </c>
      <c r="G1541" s="23" t="s">
        <v>31</v>
      </c>
      <c r="H1541" s="23" t="s">
        <v>22</v>
      </c>
      <c r="I1541" s="23">
        <v>24</v>
      </c>
      <c r="J1541" s="23">
        <v>0</v>
      </c>
      <c r="K1541" s="23">
        <v>5</v>
      </c>
      <c r="L1541" s="23" t="s">
        <v>62</v>
      </c>
      <c r="M1541" s="25"/>
      <c r="N1541">
        <f t="shared" si="24"/>
        <v>1</v>
      </c>
    </row>
    <row r="1542" spans="1:14" x14ac:dyDescent="0.35">
      <c r="A1542" s="6" t="s">
        <v>1612</v>
      </c>
      <c r="B1542" s="19" t="s">
        <v>47</v>
      </c>
      <c r="C1542" s="19">
        <v>1</v>
      </c>
      <c r="D1542" s="20">
        <v>45672</v>
      </c>
      <c r="E1542" s="19" t="s">
        <v>68</v>
      </c>
      <c r="F1542" s="19" t="s">
        <v>8364</v>
      </c>
      <c r="G1542" s="19" t="s">
        <v>15</v>
      </c>
      <c r="H1542" s="19" t="s">
        <v>22</v>
      </c>
      <c r="I1542" s="19">
        <v>8</v>
      </c>
      <c r="J1542" s="19">
        <v>1</v>
      </c>
      <c r="K1542" s="19">
        <v>4</v>
      </c>
      <c r="L1542" s="19" t="s">
        <v>44</v>
      </c>
      <c r="M1542" s="21">
        <v>14.6</v>
      </c>
      <c r="N1542">
        <f t="shared" si="24"/>
        <v>0</v>
      </c>
    </row>
    <row r="1543" spans="1:14" x14ac:dyDescent="0.35">
      <c r="A1543" s="22" t="s">
        <v>1613</v>
      </c>
      <c r="B1543" s="23" t="s">
        <v>41</v>
      </c>
      <c r="C1543" s="23">
        <v>5</v>
      </c>
      <c r="D1543" s="24">
        <v>45789</v>
      </c>
      <c r="E1543" s="23" t="s">
        <v>8364</v>
      </c>
      <c r="F1543" s="23" t="s">
        <v>14</v>
      </c>
      <c r="G1543" s="23" t="s">
        <v>27</v>
      </c>
      <c r="H1543" s="23" t="s">
        <v>22</v>
      </c>
      <c r="I1543" s="23">
        <v>4</v>
      </c>
      <c r="J1543" s="23">
        <v>0</v>
      </c>
      <c r="K1543" s="23">
        <v>5</v>
      </c>
      <c r="L1543" s="23" t="s">
        <v>55</v>
      </c>
      <c r="M1543" s="25">
        <v>5.6</v>
      </c>
      <c r="N1543">
        <f t="shared" si="24"/>
        <v>0</v>
      </c>
    </row>
    <row r="1544" spans="1:14" x14ac:dyDescent="0.35">
      <c r="A1544" s="6" t="s">
        <v>1614</v>
      </c>
      <c r="B1544" s="19" t="s">
        <v>92</v>
      </c>
      <c r="C1544" s="19">
        <v>10</v>
      </c>
      <c r="D1544" s="20">
        <v>45933</v>
      </c>
      <c r="E1544" s="19" t="s">
        <v>8364</v>
      </c>
      <c r="F1544" s="19" t="s">
        <v>26</v>
      </c>
      <c r="G1544" s="19" t="s">
        <v>15</v>
      </c>
      <c r="H1544" s="19" t="s">
        <v>16</v>
      </c>
      <c r="I1544" s="19">
        <v>48</v>
      </c>
      <c r="J1544" s="19">
        <v>0</v>
      </c>
      <c r="K1544" s="19">
        <v>5</v>
      </c>
      <c r="L1544" s="19" t="s">
        <v>8363</v>
      </c>
      <c r="M1544" s="21">
        <v>5.5</v>
      </c>
      <c r="N1544">
        <f t="shared" si="24"/>
        <v>1</v>
      </c>
    </row>
    <row r="1545" spans="1:14" x14ac:dyDescent="0.35">
      <c r="A1545" s="22" t="s">
        <v>1615</v>
      </c>
      <c r="B1545" s="23" t="s">
        <v>29</v>
      </c>
      <c r="C1545" s="23">
        <v>3</v>
      </c>
      <c r="D1545" s="24">
        <v>45729</v>
      </c>
      <c r="E1545" s="23" t="s">
        <v>25</v>
      </c>
      <c r="F1545" s="23" t="s">
        <v>37</v>
      </c>
      <c r="G1545" s="23" t="s">
        <v>21</v>
      </c>
      <c r="H1545" s="23" t="s">
        <v>8364</v>
      </c>
      <c r="I1545" s="23">
        <v>8</v>
      </c>
      <c r="J1545" s="23">
        <v>0</v>
      </c>
      <c r="K1545" s="23">
        <v>1</v>
      </c>
      <c r="L1545" s="23" t="s">
        <v>75</v>
      </c>
      <c r="M1545" s="25">
        <v>9</v>
      </c>
      <c r="N1545">
        <f t="shared" si="24"/>
        <v>0</v>
      </c>
    </row>
    <row r="1546" spans="1:14" x14ac:dyDescent="0.35">
      <c r="A1546" s="6" t="s">
        <v>1616</v>
      </c>
      <c r="B1546" s="19" t="s">
        <v>53</v>
      </c>
      <c r="C1546" s="19">
        <v>1</v>
      </c>
      <c r="D1546" s="20">
        <v>45673</v>
      </c>
      <c r="E1546" s="19" t="s">
        <v>13</v>
      </c>
      <c r="F1546" s="19" t="s">
        <v>14</v>
      </c>
      <c r="G1546" s="19" t="s">
        <v>27</v>
      </c>
      <c r="H1546" s="19" t="s">
        <v>32</v>
      </c>
      <c r="I1546" s="19">
        <v>24</v>
      </c>
      <c r="J1546" s="19">
        <v>0</v>
      </c>
      <c r="K1546" s="19">
        <v>4</v>
      </c>
      <c r="L1546" s="19" t="s">
        <v>8363</v>
      </c>
      <c r="M1546" s="21">
        <v>20</v>
      </c>
      <c r="N1546">
        <f t="shared" si="24"/>
        <v>1</v>
      </c>
    </row>
    <row r="1547" spans="1:14" x14ac:dyDescent="0.35">
      <c r="A1547" s="22" t="s">
        <v>1617</v>
      </c>
      <c r="B1547" s="23" t="s">
        <v>45</v>
      </c>
      <c r="C1547" s="23">
        <v>3</v>
      </c>
      <c r="D1547" s="24">
        <v>45719</v>
      </c>
      <c r="E1547" s="23" t="s">
        <v>36</v>
      </c>
      <c r="F1547" s="23" t="s">
        <v>14</v>
      </c>
      <c r="G1547" s="23" t="s">
        <v>27</v>
      </c>
      <c r="H1547" s="23" t="s">
        <v>22</v>
      </c>
      <c r="I1547" s="23">
        <v>8</v>
      </c>
      <c r="J1547" s="23">
        <v>2</v>
      </c>
      <c r="K1547" s="23">
        <v>5</v>
      </c>
      <c r="L1547" s="23" t="s">
        <v>44</v>
      </c>
      <c r="M1547" s="25">
        <v>18</v>
      </c>
      <c r="N1547">
        <f t="shared" si="24"/>
        <v>0</v>
      </c>
    </row>
    <row r="1548" spans="1:14" x14ac:dyDescent="0.35">
      <c r="A1548" s="6" t="s">
        <v>1618</v>
      </c>
      <c r="B1548" s="19" t="s">
        <v>51</v>
      </c>
      <c r="C1548" s="19"/>
      <c r="D1548" s="20"/>
      <c r="E1548" s="19" t="s">
        <v>25</v>
      </c>
      <c r="F1548" s="19" t="s">
        <v>14</v>
      </c>
      <c r="G1548" s="19" t="s">
        <v>31</v>
      </c>
      <c r="H1548" s="19" t="s">
        <v>22</v>
      </c>
      <c r="I1548" s="19">
        <v>4</v>
      </c>
      <c r="J1548" s="19">
        <v>1</v>
      </c>
      <c r="K1548" s="19">
        <v>3</v>
      </c>
      <c r="L1548" s="19" t="s">
        <v>75</v>
      </c>
      <c r="M1548" s="21">
        <v>7.1</v>
      </c>
      <c r="N1548">
        <f t="shared" si="24"/>
        <v>0</v>
      </c>
    </row>
    <row r="1549" spans="1:14" x14ac:dyDescent="0.35">
      <c r="A1549" s="22" t="s">
        <v>1619</v>
      </c>
      <c r="B1549" s="23" t="s">
        <v>49</v>
      </c>
      <c r="C1549" s="23">
        <v>11</v>
      </c>
      <c r="D1549" s="24">
        <v>45979</v>
      </c>
      <c r="E1549" s="23" t="s">
        <v>8364</v>
      </c>
      <c r="F1549" s="23" t="s">
        <v>8364</v>
      </c>
      <c r="G1549" s="23" t="s">
        <v>15</v>
      </c>
      <c r="H1549" s="23" t="s">
        <v>28</v>
      </c>
      <c r="I1549" s="23">
        <v>24</v>
      </c>
      <c r="J1549" s="23">
        <v>0</v>
      </c>
      <c r="K1549" s="23">
        <v>5</v>
      </c>
      <c r="L1549" s="23" t="s">
        <v>38</v>
      </c>
      <c r="M1549" s="25">
        <v>18.3</v>
      </c>
      <c r="N1549">
        <f t="shared" si="24"/>
        <v>1</v>
      </c>
    </row>
    <row r="1550" spans="1:14" x14ac:dyDescent="0.35">
      <c r="A1550" s="6" t="s">
        <v>1620</v>
      </c>
      <c r="B1550" s="19" t="s">
        <v>69</v>
      </c>
      <c r="C1550" s="19">
        <v>7</v>
      </c>
      <c r="D1550" s="20">
        <v>45845</v>
      </c>
      <c r="E1550" s="19" t="s">
        <v>68</v>
      </c>
      <c r="F1550" s="19" t="s">
        <v>43</v>
      </c>
      <c r="G1550" s="19" t="s">
        <v>31</v>
      </c>
      <c r="H1550" s="19" t="s">
        <v>32</v>
      </c>
      <c r="I1550" s="19">
        <v>4</v>
      </c>
      <c r="J1550" s="19">
        <v>2</v>
      </c>
      <c r="K1550" s="19">
        <v>5</v>
      </c>
      <c r="L1550" s="19" t="s">
        <v>75</v>
      </c>
      <c r="M1550" s="21">
        <v>15.2</v>
      </c>
      <c r="N1550">
        <f t="shared" si="24"/>
        <v>0</v>
      </c>
    </row>
    <row r="1551" spans="1:14" x14ac:dyDescent="0.35">
      <c r="A1551" s="22" t="s">
        <v>1621</v>
      </c>
      <c r="B1551" s="23" t="s">
        <v>65</v>
      </c>
      <c r="C1551" s="23">
        <v>4</v>
      </c>
      <c r="D1551" s="24">
        <v>45756</v>
      </c>
      <c r="E1551" s="23" t="s">
        <v>20</v>
      </c>
      <c r="F1551" s="23" t="s">
        <v>14</v>
      </c>
      <c r="G1551" s="23" t="s">
        <v>31</v>
      </c>
      <c r="H1551" s="23" t="s">
        <v>16</v>
      </c>
      <c r="I1551" s="23">
        <v>72</v>
      </c>
      <c r="J1551" s="23">
        <v>0</v>
      </c>
      <c r="K1551" s="23">
        <v>3</v>
      </c>
      <c r="L1551" s="23" t="s">
        <v>17</v>
      </c>
      <c r="M1551" s="25">
        <v>11.4</v>
      </c>
      <c r="N1551">
        <f t="shared" si="24"/>
        <v>1</v>
      </c>
    </row>
    <row r="1552" spans="1:14" x14ac:dyDescent="0.35">
      <c r="A1552" s="6" t="s">
        <v>1622</v>
      </c>
      <c r="B1552" s="19" t="s">
        <v>139</v>
      </c>
      <c r="C1552" s="19">
        <v>5</v>
      </c>
      <c r="D1552" s="20">
        <v>45806</v>
      </c>
      <c r="E1552" s="19" t="s">
        <v>8364</v>
      </c>
      <c r="F1552" s="19" t="s">
        <v>40</v>
      </c>
      <c r="G1552" s="19" t="s">
        <v>27</v>
      </c>
      <c r="H1552" s="19" t="s">
        <v>32</v>
      </c>
      <c r="I1552" s="19">
        <v>8</v>
      </c>
      <c r="J1552" s="19">
        <v>0</v>
      </c>
      <c r="K1552" s="19">
        <v>4</v>
      </c>
      <c r="L1552" s="19" t="s">
        <v>38</v>
      </c>
      <c r="M1552" s="21">
        <v>13</v>
      </c>
      <c r="N1552">
        <f t="shared" si="24"/>
        <v>0</v>
      </c>
    </row>
    <row r="1553" spans="1:14" x14ac:dyDescent="0.35">
      <c r="A1553" s="22" t="s">
        <v>1623</v>
      </c>
      <c r="B1553" s="23" t="s">
        <v>65</v>
      </c>
      <c r="C1553" s="23">
        <v>12</v>
      </c>
      <c r="D1553" s="24">
        <v>46012</v>
      </c>
      <c r="E1553" s="23" t="s">
        <v>68</v>
      </c>
      <c r="F1553" s="23" t="s">
        <v>43</v>
      </c>
      <c r="G1553" s="23" t="s">
        <v>21</v>
      </c>
      <c r="H1553" s="23" t="s">
        <v>22</v>
      </c>
      <c r="I1553" s="23">
        <v>4</v>
      </c>
      <c r="J1553" s="23">
        <v>0</v>
      </c>
      <c r="K1553" s="23">
        <v>5</v>
      </c>
      <c r="L1553" s="23" t="s">
        <v>38</v>
      </c>
      <c r="M1553" s="25">
        <v>34.700000000000003</v>
      </c>
      <c r="N1553">
        <f t="shared" si="24"/>
        <v>0</v>
      </c>
    </row>
    <row r="1554" spans="1:14" x14ac:dyDescent="0.35">
      <c r="A1554" s="6" t="s">
        <v>1624</v>
      </c>
      <c r="B1554" s="19" t="s">
        <v>181</v>
      </c>
      <c r="C1554" s="19">
        <v>3</v>
      </c>
      <c r="D1554" s="20">
        <v>45729</v>
      </c>
      <c r="E1554" s="19" t="s">
        <v>20</v>
      </c>
      <c r="F1554" s="19" t="s">
        <v>43</v>
      </c>
      <c r="G1554" s="19" t="s">
        <v>27</v>
      </c>
      <c r="H1554" s="19" t="s">
        <v>8364</v>
      </c>
      <c r="I1554" s="19">
        <v>48</v>
      </c>
      <c r="J1554" s="19">
        <v>0</v>
      </c>
      <c r="K1554" s="19">
        <v>4</v>
      </c>
      <c r="L1554" s="19" t="s">
        <v>38</v>
      </c>
      <c r="M1554" s="21">
        <v>9.3000000000000007</v>
      </c>
      <c r="N1554">
        <f t="shared" si="24"/>
        <v>1</v>
      </c>
    </row>
    <row r="1555" spans="1:14" x14ac:dyDescent="0.35">
      <c r="A1555" s="22" t="s">
        <v>1625</v>
      </c>
      <c r="B1555" s="23" t="s">
        <v>57</v>
      </c>
      <c r="C1555" s="23">
        <v>2</v>
      </c>
      <c r="D1555" s="24">
        <v>45700</v>
      </c>
      <c r="E1555" s="23" t="s">
        <v>36</v>
      </c>
      <c r="F1555" s="23" t="s">
        <v>43</v>
      </c>
      <c r="G1555" s="23" t="s">
        <v>8364</v>
      </c>
      <c r="H1555" s="23" t="s">
        <v>22</v>
      </c>
      <c r="I1555" s="23">
        <v>48</v>
      </c>
      <c r="J1555" s="23">
        <v>0</v>
      </c>
      <c r="K1555" s="23">
        <v>3</v>
      </c>
      <c r="L1555" s="23" t="s">
        <v>8363</v>
      </c>
      <c r="M1555" s="25">
        <v>19.899999999999999</v>
      </c>
      <c r="N1555">
        <f t="shared" si="24"/>
        <v>1</v>
      </c>
    </row>
    <row r="1556" spans="1:14" x14ac:dyDescent="0.35">
      <c r="A1556" s="6" t="s">
        <v>1626</v>
      </c>
      <c r="B1556" s="19" t="s">
        <v>101</v>
      </c>
      <c r="C1556" s="19"/>
      <c r="D1556" s="20"/>
      <c r="E1556" s="19" t="s">
        <v>25</v>
      </c>
      <c r="F1556" s="19" t="s">
        <v>14</v>
      </c>
      <c r="G1556" s="19" t="s">
        <v>27</v>
      </c>
      <c r="H1556" s="19" t="s">
        <v>28</v>
      </c>
      <c r="I1556" s="19">
        <v>72</v>
      </c>
      <c r="J1556" s="19">
        <v>1</v>
      </c>
      <c r="K1556" s="19">
        <v>5</v>
      </c>
      <c r="L1556" s="19" t="s">
        <v>38</v>
      </c>
      <c r="M1556" s="21">
        <v>6.2</v>
      </c>
      <c r="N1556">
        <f t="shared" si="24"/>
        <v>1</v>
      </c>
    </row>
    <row r="1557" spans="1:14" x14ac:dyDescent="0.35">
      <c r="A1557" s="22" t="s">
        <v>1627</v>
      </c>
      <c r="B1557" s="23" t="s">
        <v>97</v>
      </c>
      <c r="C1557" s="23">
        <v>9</v>
      </c>
      <c r="D1557" s="24">
        <v>45925</v>
      </c>
      <c r="E1557" s="23" t="s">
        <v>8364</v>
      </c>
      <c r="F1557" s="23" t="s">
        <v>8364</v>
      </c>
      <c r="G1557" s="23" t="s">
        <v>8364</v>
      </c>
      <c r="H1557" s="23" t="s">
        <v>32</v>
      </c>
      <c r="I1557" s="23">
        <v>8</v>
      </c>
      <c r="J1557" s="23">
        <v>2</v>
      </c>
      <c r="K1557" s="23"/>
      <c r="L1557" s="23" t="s">
        <v>17</v>
      </c>
      <c r="M1557" s="25">
        <v>19.899999999999999</v>
      </c>
      <c r="N1557">
        <f t="shared" si="24"/>
        <v>0</v>
      </c>
    </row>
    <row r="1558" spans="1:14" x14ac:dyDescent="0.35">
      <c r="A1558" s="6" t="s">
        <v>1628</v>
      </c>
      <c r="B1558" s="19" t="s">
        <v>99</v>
      </c>
      <c r="C1558" s="19"/>
      <c r="D1558" s="20"/>
      <c r="E1558" s="19" t="s">
        <v>25</v>
      </c>
      <c r="F1558" s="19" t="s">
        <v>37</v>
      </c>
      <c r="G1558" s="19" t="s">
        <v>31</v>
      </c>
      <c r="H1558" s="19" t="s">
        <v>32</v>
      </c>
      <c r="I1558" s="19">
        <v>24</v>
      </c>
      <c r="J1558" s="19">
        <v>0</v>
      </c>
      <c r="K1558" s="19">
        <v>5</v>
      </c>
      <c r="L1558" s="19" t="s">
        <v>55</v>
      </c>
      <c r="M1558" s="21">
        <v>5.8</v>
      </c>
      <c r="N1558">
        <f t="shared" si="24"/>
        <v>1</v>
      </c>
    </row>
    <row r="1559" spans="1:14" x14ac:dyDescent="0.35">
      <c r="A1559" s="22" t="s">
        <v>1629</v>
      </c>
      <c r="B1559" s="23" t="s">
        <v>99</v>
      </c>
      <c r="C1559" s="23">
        <v>1</v>
      </c>
      <c r="D1559" s="24">
        <v>45675</v>
      </c>
      <c r="E1559" s="23" t="s">
        <v>68</v>
      </c>
      <c r="F1559" s="23" t="s">
        <v>59</v>
      </c>
      <c r="G1559" s="23" t="s">
        <v>21</v>
      </c>
      <c r="H1559" s="23" t="s">
        <v>32</v>
      </c>
      <c r="I1559" s="23">
        <v>4</v>
      </c>
      <c r="J1559" s="23"/>
      <c r="K1559" s="23">
        <v>4</v>
      </c>
      <c r="L1559" s="23" t="s">
        <v>8363</v>
      </c>
      <c r="M1559" s="25">
        <v>13.7</v>
      </c>
      <c r="N1559">
        <f t="shared" si="24"/>
        <v>0</v>
      </c>
    </row>
    <row r="1560" spans="1:14" x14ac:dyDescent="0.35">
      <c r="A1560" s="6" t="s">
        <v>1630</v>
      </c>
      <c r="B1560" s="19" t="s">
        <v>130</v>
      </c>
      <c r="C1560" s="19">
        <v>2</v>
      </c>
      <c r="D1560" s="20">
        <v>45713</v>
      </c>
      <c r="E1560" s="19" t="s">
        <v>8364</v>
      </c>
      <c r="F1560" s="19" t="s">
        <v>14</v>
      </c>
      <c r="G1560" s="19" t="s">
        <v>31</v>
      </c>
      <c r="H1560" s="19" t="s">
        <v>22</v>
      </c>
      <c r="I1560" s="19">
        <v>24</v>
      </c>
      <c r="J1560" s="19">
        <v>0</v>
      </c>
      <c r="K1560" s="19">
        <v>5</v>
      </c>
      <c r="L1560" s="19" t="s">
        <v>17</v>
      </c>
      <c r="M1560" s="21">
        <v>7.2</v>
      </c>
      <c r="N1560">
        <f t="shared" si="24"/>
        <v>1</v>
      </c>
    </row>
    <row r="1561" spans="1:14" x14ac:dyDescent="0.35">
      <c r="A1561" s="22" t="s">
        <v>1631</v>
      </c>
      <c r="B1561" s="23" t="s">
        <v>69</v>
      </c>
      <c r="C1561" s="23">
        <v>8</v>
      </c>
      <c r="D1561" s="24">
        <v>45892</v>
      </c>
      <c r="E1561" s="23" t="s">
        <v>20</v>
      </c>
      <c r="F1561" s="23" t="s">
        <v>59</v>
      </c>
      <c r="G1561" s="23" t="s">
        <v>15</v>
      </c>
      <c r="H1561" s="23" t="s">
        <v>16</v>
      </c>
      <c r="I1561" s="23">
        <v>48</v>
      </c>
      <c r="J1561" s="23">
        <v>0</v>
      </c>
      <c r="K1561" s="23">
        <v>3</v>
      </c>
      <c r="L1561" s="23" t="s">
        <v>62</v>
      </c>
      <c r="M1561" s="25">
        <v>4.5999999999999996</v>
      </c>
      <c r="N1561">
        <f t="shared" si="24"/>
        <v>1</v>
      </c>
    </row>
    <row r="1562" spans="1:14" x14ac:dyDescent="0.35">
      <c r="A1562" s="6" t="s">
        <v>1632</v>
      </c>
      <c r="B1562" s="19" t="s">
        <v>57</v>
      </c>
      <c r="C1562" s="19">
        <v>6</v>
      </c>
      <c r="D1562" s="20">
        <v>45818</v>
      </c>
      <c r="E1562" s="19" t="s">
        <v>25</v>
      </c>
      <c r="F1562" s="19" t="s">
        <v>43</v>
      </c>
      <c r="G1562" s="19" t="s">
        <v>31</v>
      </c>
      <c r="H1562" s="19" t="s">
        <v>28</v>
      </c>
      <c r="I1562" s="19">
        <v>48</v>
      </c>
      <c r="J1562" s="19">
        <v>0</v>
      </c>
      <c r="K1562" s="19">
        <v>3</v>
      </c>
      <c r="L1562" s="19" t="s">
        <v>33</v>
      </c>
      <c r="M1562" s="21">
        <v>7.3</v>
      </c>
      <c r="N1562">
        <f t="shared" si="24"/>
        <v>1</v>
      </c>
    </row>
    <row r="1563" spans="1:14" x14ac:dyDescent="0.35">
      <c r="A1563" s="22" t="s">
        <v>1633</v>
      </c>
      <c r="B1563" s="23" t="s">
        <v>78</v>
      </c>
      <c r="C1563" s="23">
        <v>3</v>
      </c>
      <c r="D1563" s="24">
        <v>45724</v>
      </c>
      <c r="E1563" s="23" t="s">
        <v>36</v>
      </c>
      <c r="F1563" s="23" t="s">
        <v>14</v>
      </c>
      <c r="G1563" s="23" t="s">
        <v>27</v>
      </c>
      <c r="H1563" s="23" t="s">
        <v>16</v>
      </c>
      <c r="I1563" s="23">
        <v>8</v>
      </c>
      <c r="J1563" s="23">
        <v>0</v>
      </c>
      <c r="K1563" s="23">
        <v>1</v>
      </c>
      <c r="L1563" s="23" t="s">
        <v>8363</v>
      </c>
      <c r="M1563" s="25">
        <v>12.9</v>
      </c>
      <c r="N1563">
        <f t="shared" si="24"/>
        <v>0</v>
      </c>
    </row>
    <row r="1564" spans="1:14" x14ac:dyDescent="0.35">
      <c r="A1564" s="6" t="s">
        <v>1634</v>
      </c>
      <c r="B1564" s="19" t="s">
        <v>130</v>
      </c>
      <c r="C1564" s="19">
        <v>7</v>
      </c>
      <c r="D1564" s="20">
        <v>45850</v>
      </c>
      <c r="E1564" s="19" t="s">
        <v>8364</v>
      </c>
      <c r="F1564" s="19" t="s">
        <v>43</v>
      </c>
      <c r="G1564" s="19" t="s">
        <v>15</v>
      </c>
      <c r="H1564" s="19" t="s">
        <v>22</v>
      </c>
      <c r="I1564" s="19">
        <v>8</v>
      </c>
      <c r="J1564" s="19">
        <v>1</v>
      </c>
      <c r="K1564" s="19">
        <v>4</v>
      </c>
      <c r="L1564" s="19" t="s">
        <v>38</v>
      </c>
      <c r="M1564" s="21">
        <v>5</v>
      </c>
      <c r="N1564">
        <f t="shared" si="24"/>
        <v>1</v>
      </c>
    </row>
    <row r="1565" spans="1:14" x14ac:dyDescent="0.35">
      <c r="A1565" s="22" t="s">
        <v>1635</v>
      </c>
      <c r="B1565" s="23" t="s">
        <v>158</v>
      </c>
      <c r="C1565" s="23">
        <v>5</v>
      </c>
      <c r="D1565" s="24">
        <v>45787</v>
      </c>
      <c r="E1565" s="23" t="s">
        <v>25</v>
      </c>
      <c r="F1565" s="23" t="s">
        <v>14</v>
      </c>
      <c r="G1565" s="23" t="s">
        <v>21</v>
      </c>
      <c r="H1565" s="23" t="s">
        <v>32</v>
      </c>
      <c r="I1565" s="23">
        <v>8</v>
      </c>
      <c r="J1565" s="23">
        <v>1</v>
      </c>
      <c r="K1565" s="23">
        <v>4</v>
      </c>
      <c r="L1565" s="23" t="s">
        <v>44</v>
      </c>
      <c r="M1565" s="25">
        <v>14.7</v>
      </c>
      <c r="N1565">
        <f t="shared" si="24"/>
        <v>0</v>
      </c>
    </row>
    <row r="1566" spans="1:14" x14ac:dyDescent="0.35">
      <c r="A1566" s="6" t="s">
        <v>1636</v>
      </c>
      <c r="B1566" s="19" t="s">
        <v>34</v>
      </c>
      <c r="C1566" s="19"/>
      <c r="D1566" s="20"/>
      <c r="E1566" s="19" t="s">
        <v>25</v>
      </c>
      <c r="F1566" s="19" t="s">
        <v>40</v>
      </c>
      <c r="G1566" s="19" t="s">
        <v>31</v>
      </c>
      <c r="H1566" s="19" t="s">
        <v>22</v>
      </c>
      <c r="I1566" s="19">
        <v>48</v>
      </c>
      <c r="J1566" s="19">
        <v>0</v>
      </c>
      <c r="K1566" s="19">
        <v>3</v>
      </c>
      <c r="L1566" s="19" t="s">
        <v>33</v>
      </c>
      <c r="M1566" s="21">
        <v>12.3</v>
      </c>
      <c r="N1566">
        <f t="shared" si="24"/>
        <v>1</v>
      </c>
    </row>
    <row r="1567" spans="1:14" x14ac:dyDescent="0.35">
      <c r="A1567" s="22" t="s">
        <v>1637</v>
      </c>
      <c r="B1567" s="23" t="s">
        <v>104</v>
      </c>
      <c r="C1567" s="23">
        <v>7</v>
      </c>
      <c r="D1567" s="24">
        <v>45869</v>
      </c>
      <c r="E1567" s="23" t="s">
        <v>68</v>
      </c>
      <c r="F1567" s="23" t="s">
        <v>14</v>
      </c>
      <c r="G1567" s="23" t="s">
        <v>27</v>
      </c>
      <c r="H1567" s="23" t="s">
        <v>32</v>
      </c>
      <c r="I1567" s="23">
        <v>4</v>
      </c>
      <c r="J1567" s="23">
        <v>0</v>
      </c>
      <c r="K1567" s="23">
        <v>1</v>
      </c>
      <c r="L1567" s="23" t="s">
        <v>62</v>
      </c>
      <c r="M1567" s="25"/>
      <c r="N1567">
        <f t="shared" si="24"/>
        <v>1</v>
      </c>
    </row>
    <row r="1568" spans="1:14" x14ac:dyDescent="0.35">
      <c r="A1568" s="6" t="s">
        <v>1638</v>
      </c>
      <c r="B1568" s="19" t="s">
        <v>18</v>
      </c>
      <c r="C1568" s="19">
        <v>10</v>
      </c>
      <c r="D1568" s="20">
        <v>45939</v>
      </c>
      <c r="E1568" s="19" t="s">
        <v>8364</v>
      </c>
      <c r="F1568" s="19" t="s">
        <v>14</v>
      </c>
      <c r="G1568" s="19" t="s">
        <v>31</v>
      </c>
      <c r="H1568" s="19" t="s">
        <v>28</v>
      </c>
      <c r="I1568" s="19">
        <v>8</v>
      </c>
      <c r="J1568" s="19">
        <v>0</v>
      </c>
      <c r="K1568" s="19"/>
      <c r="L1568" s="19" t="s">
        <v>8363</v>
      </c>
      <c r="M1568" s="21">
        <v>5.8</v>
      </c>
      <c r="N1568">
        <f t="shared" si="24"/>
        <v>1</v>
      </c>
    </row>
    <row r="1569" spans="1:14" x14ac:dyDescent="0.35">
      <c r="A1569" s="22" t="s">
        <v>1639</v>
      </c>
      <c r="B1569" s="23" t="s">
        <v>99</v>
      </c>
      <c r="C1569" s="23"/>
      <c r="D1569" s="24"/>
      <c r="E1569" s="23" t="s">
        <v>13</v>
      </c>
      <c r="F1569" s="23" t="s">
        <v>37</v>
      </c>
      <c r="G1569" s="23" t="s">
        <v>31</v>
      </c>
      <c r="H1569" s="23" t="s">
        <v>28</v>
      </c>
      <c r="I1569" s="23">
        <v>8</v>
      </c>
      <c r="J1569" s="23">
        <v>1</v>
      </c>
      <c r="K1569" s="23">
        <v>3</v>
      </c>
      <c r="L1569" s="23" t="s">
        <v>62</v>
      </c>
      <c r="M1569" s="25">
        <v>14.6</v>
      </c>
      <c r="N1569">
        <f t="shared" si="24"/>
        <v>0</v>
      </c>
    </row>
    <row r="1570" spans="1:14" x14ac:dyDescent="0.35">
      <c r="A1570" s="6" t="s">
        <v>1640</v>
      </c>
      <c r="B1570" s="19" t="s">
        <v>69</v>
      </c>
      <c r="C1570" s="19">
        <v>4</v>
      </c>
      <c r="D1570" s="20">
        <v>45759</v>
      </c>
      <c r="E1570" s="19" t="s">
        <v>68</v>
      </c>
      <c r="F1570" s="19" t="s">
        <v>14</v>
      </c>
      <c r="G1570" s="19" t="s">
        <v>21</v>
      </c>
      <c r="H1570" s="19" t="s">
        <v>22</v>
      </c>
      <c r="I1570" s="19">
        <v>4</v>
      </c>
      <c r="J1570" s="19">
        <v>0</v>
      </c>
      <c r="K1570" s="19">
        <v>3</v>
      </c>
      <c r="L1570" s="19" t="s">
        <v>8363</v>
      </c>
      <c r="M1570" s="21">
        <v>34</v>
      </c>
      <c r="N1570">
        <f t="shared" si="24"/>
        <v>0</v>
      </c>
    </row>
    <row r="1571" spans="1:14" x14ac:dyDescent="0.35">
      <c r="A1571" s="22" t="s">
        <v>1641</v>
      </c>
      <c r="B1571" s="23" t="s">
        <v>99</v>
      </c>
      <c r="C1571" s="23">
        <v>5</v>
      </c>
      <c r="D1571" s="24">
        <v>45790</v>
      </c>
      <c r="E1571" s="23" t="s">
        <v>20</v>
      </c>
      <c r="F1571" s="23" t="s">
        <v>14</v>
      </c>
      <c r="G1571" s="23" t="s">
        <v>21</v>
      </c>
      <c r="H1571" s="23" t="s">
        <v>22</v>
      </c>
      <c r="I1571" s="23">
        <v>4</v>
      </c>
      <c r="J1571" s="23">
        <v>0</v>
      </c>
      <c r="K1571" s="23">
        <v>4</v>
      </c>
      <c r="L1571" s="23" t="s">
        <v>75</v>
      </c>
      <c r="M1571" s="25">
        <v>6.6</v>
      </c>
      <c r="N1571">
        <f t="shared" si="24"/>
        <v>0</v>
      </c>
    </row>
    <row r="1572" spans="1:14" x14ac:dyDescent="0.35">
      <c r="A1572" s="6" t="s">
        <v>1642</v>
      </c>
      <c r="B1572" s="19" t="s">
        <v>29</v>
      </c>
      <c r="C1572" s="19">
        <v>4</v>
      </c>
      <c r="D1572" s="20">
        <v>45755</v>
      </c>
      <c r="E1572" s="19" t="s">
        <v>36</v>
      </c>
      <c r="F1572" s="19" t="s">
        <v>8364</v>
      </c>
      <c r="G1572" s="19" t="s">
        <v>27</v>
      </c>
      <c r="H1572" s="19" t="s">
        <v>22</v>
      </c>
      <c r="I1572" s="19">
        <v>24</v>
      </c>
      <c r="J1572" s="19">
        <v>1</v>
      </c>
      <c r="K1572" s="19">
        <v>4</v>
      </c>
      <c r="L1572" s="19" t="s">
        <v>17</v>
      </c>
      <c r="M1572" s="21">
        <v>2.2000000000000002</v>
      </c>
      <c r="N1572">
        <f t="shared" si="24"/>
        <v>1</v>
      </c>
    </row>
    <row r="1573" spans="1:14" x14ac:dyDescent="0.35">
      <c r="A1573" s="22" t="s">
        <v>1643</v>
      </c>
      <c r="B1573" s="23" t="s">
        <v>89</v>
      </c>
      <c r="C1573" s="23">
        <v>3</v>
      </c>
      <c r="D1573" s="24">
        <v>45718</v>
      </c>
      <c r="E1573" s="23" t="s">
        <v>36</v>
      </c>
      <c r="F1573" s="23" t="s">
        <v>8364</v>
      </c>
      <c r="G1573" s="23" t="s">
        <v>15</v>
      </c>
      <c r="H1573" s="23" t="s">
        <v>22</v>
      </c>
      <c r="I1573" s="23">
        <v>24</v>
      </c>
      <c r="J1573" s="23">
        <v>0</v>
      </c>
      <c r="K1573" s="23">
        <v>2</v>
      </c>
      <c r="L1573" s="23" t="s">
        <v>44</v>
      </c>
      <c r="M1573" s="25">
        <v>36.700000000000003</v>
      </c>
      <c r="N1573">
        <f t="shared" si="24"/>
        <v>0</v>
      </c>
    </row>
    <row r="1574" spans="1:14" x14ac:dyDescent="0.35">
      <c r="A1574" s="6" t="s">
        <v>1644</v>
      </c>
      <c r="B1574" s="19" t="s">
        <v>65</v>
      </c>
      <c r="C1574" s="19">
        <v>10</v>
      </c>
      <c r="D1574" s="20">
        <v>45944</v>
      </c>
      <c r="E1574" s="19" t="s">
        <v>68</v>
      </c>
      <c r="F1574" s="19" t="s">
        <v>26</v>
      </c>
      <c r="G1574" s="19" t="s">
        <v>21</v>
      </c>
      <c r="H1574" s="19" t="s">
        <v>28</v>
      </c>
      <c r="I1574" s="19">
        <v>48</v>
      </c>
      <c r="J1574" s="19">
        <v>0</v>
      </c>
      <c r="K1574" s="19">
        <v>2</v>
      </c>
      <c r="L1574" s="19" t="s">
        <v>75</v>
      </c>
      <c r="M1574" s="21">
        <v>9.6</v>
      </c>
      <c r="N1574">
        <f t="shared" si="24"/>
        <v>1</v>
      </c>
    </row>
    <row r="1575" spans="1:14" x14ac:dyDescent="0.35">
      <c r="A1575" s="22" t="s">
        <v>1645</v>
      </c>
      <c r="B1575" s="23" t="s">
        <v>89</v>
      </c>
      <c r="C1575" s="23">
        <v>9</v>
      </c>
      <c r="D1575" s="24">
        <v>45918</v>
      </c>
      <c r="E1575" s="23" t="s">
        <v>25</v>
      </c>
      <c r="F1575" s="23" t="s">
        <v>14</v>
      </c>
      <c r="G1575" s="23" t="s">
        <v>8364</v>
      </c>
      <c r="H1575" s="23" t="s">
        <v>22</v>
      </c>
      <c r="I1575" s="23">
        <v>4</v>
      </c>
      <c r="J1575" s="23">
        <v>0</v>
      </c>
      <c r="K1575" s="23">
        <v>2</v>
      </c>
      <c r="L1575" s="23" t="s">
        <v>33</v>
      </c>
      <c r="M1575" s="25">
        <v>8.8000000000000007</v>
      </c>
      <c r="N1575">
        <f t="shared" si="24"/>
        <v>0</v>
      </c>
    </row>
    <row r="1576" spans="1:14" x14ac:dyDescent="0.35">
      <c r="A1576" s="6" t="s">
        <v>1646</v>
      </c>
      <c r="B1576" s="19" t="s">
        <v>39</v>
      </c>
      <c r="C1576" s="19">
        <v>10</v>
      </c>
      <c r="D1576" s="20">
        <v>45942</v>
      </c>
      <c r="E1576" s="19" t="s">
        <v>25</v>
      </c>
      <c r="F1576" s="19" t="s">
        <v>14</v>
      </c>
      <c r="G1576" s="19" t="s">
        <v>27</v>
      </c>
      <c r="H1576" s="19" t="s">
        <v>22</v>
      </c>
      <c r="I1576" s="19">
        <v>48</v>
      </c>
      <c r="J1576" s="19">
        <v>0</v>
      </c>
      <c r="K1576" s="19">
        <v>4</v>
      </c>
      <c r="L1576" s="19" t="s">
        <v>33</v>
      </c>
      <c r="M1576" s="21">
        <v>12.9</v>
      </c>
      <c r="N1576">
        <f t="shared" si="24"/>
        <v>1</v>
      </c>
    </row>
    <row r="1577" spans="1:14" x14ac:dyDescent="0.35">
      <c r="A1577" s="22" t="s">
        <v>1647</v>
      </c>
      <c r="B1577" s="23" t="s">
        <v>45</v>
      </c>
      <c r="C1577" s="23">
        <v>3</v>
      </c>
      <c r="D1577" s="24">
        <v>45736</v>
      </c>
      <c r="E1577" s="23" t="s">
        <v>20</v>
      </c>
      <c r="F1577" s="23" t="s">
        <v>26</v>
      </c>
      <c r="G1577" s="23" t="s">
        <v>31</v>
      </c>
      <c r="H1577" s="23" t="s">
        <v>32</v>
      </c>
      <c r="I1577" s="23">
        <v>24</v>
      </c>
      <c r="J1577" s="23">
        <v>0</v>
      </c>
      <c r="K1577" s="23">
        <v>5</v>
      </c>
      <c r="L1577" s="23" t="s">
        <v>55</v>
      </c>
      <c r="M1577" s="25">
        <v>15.9</v>
      </c>
      <c r="N1577">
        <f t="shared" si="24"/>
        <v>1</v>
      </c>
    </row>
    <row r="1578" spans="1:14" x14ac:dyDescent="0.35">
      <c r="A1578" s="6" t="s">
        <v>1648</v>
      </c>
      <c r="B1578" s="19" t="s">
        <v>97</v>
      </c>
      <c r="C1578" s="19">
        <v>1</v>
      </c>
      <c r="D1578" s="20">
        <v>45664</v>
      </c>
      <c r="E1578" s="19" t="s">
        <v>36</v>
      </c>
      <c r="F1578" s="19" t="s">
        <v>37</v>
      </c>
      <c r="G1578" s="19" t="s">
        <v>31</v>
      </c>
      <c r="H1578" s="19" t="s">
        <v>22</v>
      </c>
      <c r="I1578" s="19">
        <v>8</v>
      </c>
      <c r="J1578" s="19">
        <v>0</v>
      </c>
      <c r="K1578" s="19">
        <v>5</v>
      </c>
      <c r="L1578" s="19" t="s">
        <v>55</v>
      </c>
      <c r="M1578" s="21">
        <v>33.9</v>
      </c>
      <c r="N1578">
        <f t="shared" si="24"/>
        <v>0</v>
      </c>
    </row>
    <row r="1579" spans="1:14" x14ac:dyDescent="0.35">
      <c r="A1579" s="22" t="s">
        <v>1649</v>
      </c>
      <c r="B1579" s="23" t="s">
        <v>53</v>
      </c>
      <c r="C1579" s="23"/>
      <c r="D1579" s="24"/>
      <c r="E1579" s="23" t="s">
        <v>13</v>
      </c>
      <c r="F1579" s="23" t="s">
        <v>14</v>
      </c>
      <c r="G1579" s="23" t="s">
        <v>31</v>
      </c>
      <c r="H1579" s="23" t="s">
        <v>16</v>
      </c>
      <c r="I1579" s="23">
        <v>24</v>
      </c>
      <c r="J1579" s="23">
        <v>2</v>
      </c>
      <c r="K1579" s="23">
        <v>4</v>
      </c>
      <c r="L1579" s="23" t="s">
        <v>8363</v>
      </c>
      <c r="M1579" s="25">
        <v>1.2</v>
      </c>
      <c r="N1579">
        <f t="shared" si="24"/>
        <v>1</v>
      </c>
    </row>
    <row r="1580" spans="1:14" x14ac:dyDescent="0.35">
      <c r="A1580" s="6" t="s">
        <v>1650</v>
      </c>
      <c r="B1580" s="19" t="s">
        <v>47</v>
      </c>
      <c r="C1580" s="19">
        <v>10</v>
      </c>
      <c r="D1580" s="20">
        <v>45961</v>
      </c>
      <c r="E1580" s="19" t="s">
        <v>36</v>
      </c>
      <c r="F1580" s="19" t="s">
        <v>8364</v>
      </c>
      <c r="G1580" s="19" t="s">
        <v>27</v>
      </c>
      <c r="H1580" s="19" t="s">
        <v>32</v>
      </c>
      <c r="I1580" s="19">
        <v>8</v>
      </c>
      <c r="J1580" s="19">
        <v>0</v>
      </c>
      <c r="K1580" s="19">
        <v>5</v>
      </c>
      <c r="L1580" s="19" t="s">
        <v>33</v>
      </c>
      <c r="M1580" s="21">
        <v>2.6</v>
      </c>
      <c r="N1580">
        <f t="shared" si="24"/>
        <v>1</v>
      </c>
    </row>
    <row r="1581" spans="1:14" x14ac:dyDescent="0.35">
      <c r="A1581" s="22" t="s">
        <v>1651</v>
      </c>
      <c r="B1581" s="23" t="s">
        <v>236</v>
      </c>
      <c r="C1581" s="23">
        <v>11</v>
      </c>
      <c r="D1581" s="24">
        <v>45978</v>
      </c>
      <c r="E1581" s="23" t="s">
        <v>36</v>
      </c>
      <c r="F1581" s="23" t="s">
        <v>14</v>
      </c>
      <c r="G1581" s="23" t="s">
        <v>21</v>
      </c>
      <c r="H1581" s="23" t="s">
        <v>22</v>
      </c>
      <c r="I1581" s="23">
        <v>24</v>
      </c>
      <c r="J1581" s="23">
        <v>0</v>
      </c>
      <c r="K1581" s="23">
        <v>1</v>
      </c>
      <c r="L1581" s="23" t="s">
        <v>17</v>
      </c>
      <c r="M1581" s="25">
        <v>10.8</v>
      </c>
      <c r="N1581">
        <f t="shared" si="24"/>
        <v>1</v>
      </c>
    </row>
    <row r="1582" spans="1:14" x14ac:dyDescent="0.35">
      <c r="A1582" s="6" t="s">
        <v>1652</v>
      </c>
      <c r="B1582" s="19" t="s">
        <v>236</v>
      </c>
      <c r="C1582" s="19">
        <v>5</v>
      </c>
      <c r="D1582" s="20">
        <v>45795</v>
      </c>
      <c r="E1582" s="19" t="s">
        <v>36</v>
      </c>
      <c r="F1582" s="19" t="s">
        <v>8364</v>
      </c>
      <c r="G1582" s="19" t="s">
        <v>31</v>
      </c>
      <c r="H1582" s="19" t="s">
        <v>28</v>
      </c>
      <c r="I1582" s="19">
        <v>24</v>
      </c>
      <c r="J1582" s="19">
        <v>0</v>
      </c>
      <c r="K1582" s="19">
        <v>4</v>
      </c>
      <c r="L1582" s="19" t="s">
        <v>8363</v>
      </c>
      <c r="M1582" s="21">
        <v>8.8000000000000007</v>
      </c>
      <c r="N1582">
        <f t="shared" si="24"/>
        <v>1</v>
      </c>
    </row>
    <row r="1583" spans="1:14" x14ac:dyDescent="0.35">
      <c r="A1583" s="22" t="s">
        <v>1653</v>
      </c>
      <c r="B1583" s="23" t="s">
        <v>47</v>
      </c>
      <c r="C1583" s="23">
        <v>8</v>
      </c>
      <c r="D1583" s="24">
        <v>45878</v>
      </c>
      <c r="E1583" s="23" t="s">
        <v>25</v>
      </c>
      <c r="F1583" s="23" t="s">
        <v>14</v>
      </c>
      <c r="G1583" s="23" t="s">
        <v>21</v>
      </c>
      <c r="H1583" s="23" t="s">
        <v>22</v>
      </c>
      <c r="I1583" s="23">
        <v>8</v>
      </c>
      <c r="J1583" s="23">
        <v>1</v>
      </c>
      <c r="K1583" s="23">
        <v>5</v>
      </c>
      <c r="L1583" s="23" t="s">
        <v>38</v>
      </c>
      <c r="M1583" s="25">
        <v>11</v>
      </c>
      <c r="N1583">
        <f t="shared" si="24"/>
        <v>0</v>
      </c>
    </row>
    <row r="1584" spans="1:14" x14ac:dyDescent="0.35">
      <c r="A1584" s="6" t="s">
        <v>1654</v>
      </c>
      <c r="B1584" s="19" t="s">
        <v>158</v>
      </c>
      <c r="C1584" s="19">
        <v>1</v>
      </c>
      <c r="D1584" s="20">
        <v>45658</v>
      </c>
      <c r="E1584" s="19" t="s">
        <v>36</v>
      </c>
      <c r="F1584" s="19" t="s">
        <v>14</v>
      </c>
      <c r="G1584" s="19" t="s">
        <v>21</v>
      </c>
      <c r="H1584" s="19" t="s">
        <v>22</v>
      </c>
      <c r="I1584" s="19">
        <v>8</v>
      </c>
      <c r="J1584" s="19">
        <v>0</v>
      </c>
      <c r="K1584" s="19">
        <v>5</v>
      </c>
      <c r="L1584" s="19" t="s">
        <v>33</v>
      </c>
      <c r="M1584" s="21">
        <v>7.7</v>
      </c>
      <c r="N1584">
        <f t="shared" si="24"/>
        <v>1</v>
      </c>
    </row>
    <row r="1585" spans="1:14" x14ac:dyDescent="0.35">
      <c r="A1585" s="22" t="s">
        <v>1655</v>
      </c>
      <c r="B1585" s="23" t="s">
        <v>89</v>
      </c>
      <c r="C1585" s="23">
        <v>1</v>
      </c>
      <c r="D1585" s="24">
        <v>45668</v>
      </c>
      <c r="E1585" s="23" t="s">
        <v>68</v>
      </c>
      <c r="F1585" s="23" t="s">
        <v>14</v>
      </c>
      <c r="G1585" s="23" t="s">
        <v>21</v>
      </c>
      <c r="H1585" s="23" t="s">
        <v>28</v>
      </c>
      <c r="I1585" s="23">
        <v>72</v>
      </c>
      <c r="J1585" s="23">
        <v>0</v>
      </c>
      <c r="K1585" s="23">
        <v>4</v>
      </c>
      <c r="L1585" s="23" t="s">
        <v>8363</v>
      </c>
      <c r="M1585" s="25">
        <v>18.399999999999999</v>
      </c>
      <c r="N1585">
        <f t="shared" si="24"/>
        <v>1</v>
      </c>
    </row>
    <row r="1586" spans="1:14" x14ac:dyDescent="0.35">
      <c r="A1586" s="6" t="s">
        <v>1656</v>
      </c>
      <c r="B1586" s="19" t="s">
        <v>34</v>
      </c>
      <c r="C1586" s="19"/>
      <c r="D1586" s="20"/>
      <c r="E1586" s="19" t="s">
        <v>13</v>
      </c>
      <c r="F1586" s="19" t="s">
        <v>14</v>
      </c>
      <c r="G1586" s="19" t="s">
        <v>15</v>
      </c>
      <c r="H1586" s="19" t="s">
        <v>22</v>
      </c>
      <c r="I1586" s="19">
        <v>48</v>
      </c>
      <c r="J1586" s="19">
        <v>0</v>
      </c>
      <c r="K1586" s="19">
        <v>1</v>
      </c>
      <c r="L1586" s="19" t="s">
        <v>38</v>
      </c>
      <c r="M1586" s="21">
        <v>18.2</v>
      </c>
      <c r="N1586">
        <f t="shared" si="24"/>
        <v>1</v>
      </c>
    </row>
    <row r="1587" spans="1:14" x14ac:dyDescent="0.35">
      <c r="A1587" s="22" t="s">
        <v>1657</v>
      </c>
      <c r="B1587" s="23" t="s">
        <v>57</v>
      </c>
      <c r="C1587" s="23">
        <v>3</v>
      </c>
      <c r="D1587" s="24">
        <v>45730</v>
      </c>
      <c r="E1587" s="23" t="s">
        <v>8364</v>
      </c>
      <c r="F1587" s="23" t="s">
        <v>59</v>
      </c>
      <c r="G1587" s="23" t="s">
        <v>21</v>
      </c>
      <c r="H1587" s="23" t="s">
        <v>8364</v>
      </c>
      <c r="I1587" s="23">
        <v>4</v>
      </c>
      <c r="J1587" s="23">
        <v>0</v>
      </c>
      <c r="K1587" s="23">
        <v>2</v>
      </c>
      <c r="L1587" s="23" t="s">
        <v>75</v>
      </c>
      <c r="M1587" s="25">
        <v>21.1</v>
      </c>
      <c r="N1587">
        <f t="shared" si="24"/>
        <v>0</v>
      </c>
    </row>
    <row r="1588" spans="1:14" x14ac:dyDescent="0.35">
      <c r="A1588" s="6" t="s">
        <v>1658</v>
      </c>
      <c r="B1588" s="19" t="s">
        <v>34</v>
      </c>
      <c r="C1588" s="19">
        <v>8</v>
      </c>
      <c r="D1588" s="20">
        <v>45873</v>
      </c>
      <c r="E1588" s="19" t="s">
        <v>25</v>
      </c>
      <c r="F1588" s="19" t="s">
        <v>14</v>
      </c>
      <c r="G1588" s="19" t="s">
        <v>15</v>
      </c>
      <c r="H1588" s="19" t="s">
        <v>32</v>
      </c>
      <c r="I1588" s="19">
        <v>4</v>
      </c>
      <c r="J1588" s="19">
        <v>1</v>
      </c>
      <c r="K1588" s="19">
        <v>4</v>
      </c>
      <c r="L1588" s="19" t="s">
        <v>38</v>
      </c>
      <c r="M1588" s="21"/>
      <c r="N1588">
        <f t="shared" si="24"/>
        <v>1</v>
      </c>
    </row>
    <row r="1589" spans="1:14" x14ac:dyDescent="0.35">
      <c r="A1589" s="22" t="s">
        <v>1659</v>
      </c>
      <c r="B1589" s="23" t="s">
        <v>181</v>
      </c>
      <c r="C1589" s="23">
        <v>9</v>
      </c>
      <c r="D1589" s="24">
        <v>45930</v>
      </c>
      <c r="E1589" s="23" t="s">
        <v>13</v>
      </c>
      <c r="F1589" s="23" t="s">
        <v>43</v>
      </c>
      <c r="G1589" s="23" t="s">
        <v>8364</v>
      </c>
      <c r="H1589" s="23" t="s">
        <v>16</v>
      </c>
      <c r="I1589" s="23">
        <v>24</v>
      </c>
      <c r="J1589" s="23">
        <v>0</v>
      </c>
      <c r="K1589" s="23">
        <v>1</v>
      </c>
      <c r="L1589" s="23" t="s">
        <v>8363</v>
      </c>
      <c r="M1589" s="25">
        <v>14.2</v>
      </c>
      <c r="N1589">
        <f t="shared" si="24"/>
        <v>1</v>
      </c>
    </row>
    <row r="1590" spans="1:14" x14ac:dyDescent="0.35">
      <c r="A1590" s="6" t="s">
        <v>1660</v>
      </c>
      <c r="B1590" s="19" t="s">
        <v>158</v>
      </c>
      <c r="C1590" s="19">
        <v>9</v>
      </c>
      <c r="D1590" s="20">
        <v>45930</v>
      </c>
      <c r="E1590" s="19" t="s">
        <v>25</v>
      </c>
      <c r="F1590" s="19" t="s">
        <v>14</v>
      </c>
      <c r="G1590" s="19" t="s">
        <v>15</v>
      </c>
      <c r="H1590" s="19" t="s">
        <v>22</v>
      </c>
      <c r="I1590" s="19">
        <v>24</v>
      </c>
      <c r="J1590" s="19">
        <v>0</v>
      </c>
      <c r="K1590" s="19">
        <v>2</v>
      </c>
      <c r="L1590" s="19" t="s">
        <v>75</v>
      </c>
      <c r="M1590" s="21">
        <v>14.7</v>
      </c>
      <c r="N1590">
        <f t="shared" si="24"/>
        <v>1</v>
      </c>
    </row>
    <row r="1591" spans="1:14" x14ac:dyDescent="0.35">
      <c r="A1591" s="22" t="s">
        <v>1661</v>
      </c>
      <c r="B1591" s="23" t="s">
        <v>81</v>
      </c>
      <c r="C1591" s="23">
        <v>6</v>
      </c>
      <c r="D1591" s="24">
        <v>45816</v>
      </c>
      <c r="E1591" s="23" t="s">
        <v>20</v>
      </c>
      <c r="F1591" s="23" t="s">
        <v>43</v>
      </c>
      <c r="G1591" s="23" t="s">
        <v>15</v>
      </c>
      <c r="H1591" s="23" t="s">
        <v>32</v>
      </c>
      <c r="I1591" s="23">
        <v>8</v>
      </c>
      <c r="J1591" s="23">
        <v>0</v>
      </c>
      <c r="K1591" s="23">
        <v>4</v>
      </c>
      <c r="L1591" s="23" t="s">
        <v>33</v>
      </c>
      <c r="M1591" s="25">
        <v>34.6</v>
      </c>
      <c r="N1591">
        <f t="shared" si="24"/>
        <v>0</v>
      </c>
    </row>
    <row r="1592" spans="1:14" x14ac:dyDescent="0.35">
      <c r="A1592" s="6" t="s">
        <v>1662</v>
      </c>
      <c r="B1592" s="19" t="s">
        <v>69</v>
      </c>
      <c r="C1592" s="19"/>
      <c r="D1592" s="20"/>
      <c r="E1592" s="19" t="s">
        <v>8364</v>
      </c>
      <c r="F1592" s="19" t="s">
        <v>8364</v>
      </c>
      <c r="G1592" s="19" t="s">
        <v>15</v>
      </c>
      <c r="H1592" s="19" t="s">
        <v>28</v>
      </c>
      <c r="I1592" s="19">
        <v>48</v>
      </c>
      <c r="J1592" s="19">
        <v>0</v>
      </c>
      <c r="K1592" s="19">
        <v>4</v>
      </c>
      <c r="L1592" s="19" t="s">
        <v>33</v>
      </c>
      <c r="M1592" s="21">
        <v>2</v>
      </c>
      <c r="N1592">
        <f t="shared" si="24"/>
        <v>1</v>
      </c>
    </row>
    <row r="1593" spans="1:14" x14ac:dyDescent="0.35">
      <c r="A1593" s="22" t="s">
        <v>1663</v>
      </c>
      <c r="B1593" s="23" t="s">
        <v>72</v>
      </c>
      <c r="C1593" s="23">
        <v>11</v>
      </c>
      <c r="D1593" s="24">
        <v>45985</v>
      </c>
      <c r="E1593" s="23" t="s">
        <v>68</v>
      </c>
      <c r="F1593" s="23" t="s">
        <v>40</v>
      </c>
      <c r="G1593" s="23" t="s">
        <v>15</v>
      </c>
      <c r="H1593" s="23" t="s">
        <v>8364</v>
      </c>
      <c r="I1593" s="23">
        <v>4</v>
      </c>
      <c r="J1593" s="23">
        <v>0</v>
      </c>
      <c r="K1593" s="23">
        <v>2</v>
      </c>
      <c r="L1593" s="23" t="s">
        <v>38</v>
      </c>
      <c r="M1593" s="25">
        <v>5.6</v>
      </c>
      <c r="N1593">
        <f t="shared" si="24"/>
        <v>0</v>
      </c>
    </row>
    <row r="1594" spans="1:14" x14ac:dyDescent="0.35">
      <c r="A1594" s="6" t="s">
        <v>1664</v>
      </c>
      <c r="B1594" s="19" t="s">
        <v>57</v>
      </c>
      <c r="C1594" s="19">
        <v>3</v>
      </c>
      <c r="D1594" s="20">
        <v>45743</v>
      </c>
      <c r="E1594" s="19" t="s">
        <v>36</v>
      </c>
      <c r="F1594" s="19" t="s">
        <v>8364</v>
      </c>
      <c r="G1594" s="19" t="s">
        <v>8364</v>
      </c>
      <c r="H1594" s="19" t="s">
        <v>22</v>
      </c>
      <c r="I1594" s="19">
        <v>48</v>
      </c>
      <c r="J1594" s="19">
        <v>3</v>
      </c>
      <c r="K1594" s="19">
        <v>5</v>
      </c>
      <c r="L1594" s="19" t="s">
        <v>8363</v>
      </c>
      <c r="M1594" s="21">
        <v>1.8</v>
      </c>
      <c r="N1594">
        <f t="shared" si="24"/>
        <v>1</v>
      </c>
    </row>
    <row r="1595" spans="1:14" x14ac:dyDescent="0.35">
      <c r="A1595" s="22" t="s">
        <v>1665</v>
      </c>
      <c r="B1595" s="23" t="s">
        <v>49</v>
      </c>
      <c r="C1595" s="23">
        <v>5</v>
      </c>
      <c r="D1595" s="24">
        <v>45808</v>
      </c>
      <c r="E1595" s="23" t="s">
        <v>13</v>
      </c>
      <c r="F1595" s="23" t="s">
        <v>26</v>
      </c>
      <c r="G1595" s="23" t="s">
        <v>27</v>
      </c>
      <c r="H1595" s="23" t="s">
        <v>22</v>
      </c>
      <c r="I1595" s="23">
        <v>24</v>
      </c>
      <c r="J1595" s="23">
        <v>0</v>
      </c>
      <c r="K1595" s="23">
        <v>4</v>
      </c>
      <c r="L1595" s="23" t="s">
        <v>8363</v>
      </c>
      <c r="M1595" s="25">
        <v>17.899999999999999</v>
      </c>
      <c r="N1595">
        <f t="shared" si="24"/>
        <v>1</v>
      </c>
    </row>
    <row r="1596" spans="1:14" x14ac:dyDescent="0.35">
      <c r="A1596" s="6" t="s">
        <v>1666</v>
      </c>
      <c r="B1596" s="19" t="s">
        <v>69</v>
      </c>
      <c r="C1596" s="19">
        <v>12</v>
      </c>
      <c r="D1596" s="20">
        <v>46016</v>
      </c>
      <c r="E1596" s="19" t="s">
        <v>36</v>
      </c>
      <c r="F1596" s="19" t="s">
        <v>59</v>
      </c>
      <c r="G1596" s="19" t="s">
        <v>27</v>
      </c>
      <c r="H1596" s="19" t="s">
        <v>8364</v>
      </c>
      <c r="I1596" s="19">
        <v>24</v>
      </c>
      <c r="J1596" s="19">
        <v>0</v>
      </c>
      <c r="K1596" s="19">
        <v>1</v>
      </c>
      <c r="L1596" s="19" t="s">
        <v>75</v>
      </c>
      <c r="M1596" s="21">
        <v>7.6</v>
      </c>
      <c r="N1596">
        <f t="shared" si="24"/>
        <v>1</v>
      </c>
    </row>
    <row r="1597" spans="1:14" x14ac:dyDescent="0.35">
      <c r="A1597" s="22" t="s">
        <v>1667</v>
      </c>
      <c r="B1597" s="23" t="s">
        <v>146</v>
      </c>
      <c r="C1597" s="23">
        <v>6</v>
      </c>
      <c r="D1597" s="24">
        <v>45832</v>
      </c>
      <c r="E1597" s="23" t="s">
        <v>20</v>
      </c>
      <c r="F1597" s="23" t="s">
        <v>43</v>
      </c>
      <c r="G1597" s="23" t="s">
        <v>27</v>
      </c>
      <c r="H1597" s="23" t="s">
        <v>22</v>
      </c>
      <c r="I1597" s="23">
        <v>72</v>
      </c>
      <c r="J1597" s="23">
        <v>0</v>
      </c>
      <c r="K1597" s="23">
        <v>2</v>
      </c>
      <c r="L1597" s="23" t="s">
        <v>38</v>
      </c>
      <c r="M1597" s="25">
        <v>11.9</v>
      </c>
      <c r="N1597">
        <f t="shared" si="24"/>
        <v>1</v>
      </c>
    </row>
    <row r="1598" spans="1:14" x14ac:dyDescent="0.35">
      <c r="A1598" s="6" t="s">
        <v>1668</v>
      </c>
      <c r="B1598" s="19" t="s">
        <v>34</v>
      </c>
      <c r="C1598" s="19"/>
      <c r="D1598" s="20"/>
      <c r="E1598" s="19" t="s">
        <v>36</v>
      </c>
      <c r="F1598" s="19" t="s">
        <v>37</v>
      </c>
      <c r="G1598" s="19" t="s">
        <v>21</v>
      </c>
      <c r="H1598" s="19" t="s">
        <v>28</v>
      </c>
      <c r="I1598" s="19">
        <v>72</v>
      </c>
      <c r="J1598" s="19">
        <v>0</v>
      </c>
      <c r="K1598" s="19">
        <v>4</v>
      </c>
      <c r="L1598" s="19" t="s">
        <v>62</v>
      </c>
      <c r="M1598" s="21">
        <v>13.9</v>
      </c>
      <c r="N1598">
        <f t="shared" si="24"/>
        <v>1</v>
      </c>
    </row>
    <row r="1599" spans="1:14" x14ac:dyDescent="0.35">
      <c r="A1599" s="22" t="s">
        <v>1669</v>
      </c>
      <c r="B1599" s="23" t="s">
        <v>104</v>
      </c>
      <c r="C1599" s="23">
        <v>9</v>
      </c>
      <c r="D1599" s="24">
        <v>45929</v>
      </c>
      <c r="E1599" s="23" t="s">
        <v>68</v>
      </c>
      <c r="F1599" s="23" t="s">
        <v>59</v>
      </c>
      <c r="G1599" s="23" t="s">
        <v>21</v>
      </c>
      <c r="H1599" s="23" t="s">
        <v>22</v>
      </c>
      <c r="I1599" s="23">
        <v>4</v>
      </c>
      <c r="J1599" s="23">
        <v>0</v>
      </c>
      <c r="K1599" s="23">
        <v>4</v>
      </c>
      <c r="L1599" s="23" t="s">
        <v>8363</v>
      </c>
      <c r="M1599" s="25">
        <v>12.6</v>
      </c>
      <c r="N1599">
        <f t="shared" si="24"/>
        <v>0</v>
      </c>
    </row>
    <row r="1600" spans="1:14" x14ac:dyDescent="0.35">
      <c r="A1600" s="6" t="s">
        <v>1670</v>
      </c>
      <c r="B1600" s="19" t="s">
        <v>69</v>
      </c>
      <c r="C1600" s="19">
        <v>5</v>
      </c>
      <c r="D1600" s="20">
        <v>45796</v>
      </c>
      <c r="E1600" s="19" t="s">
        <v>8364</v>
      </c>
      <c r="F1600" s="19" t="s">
        <v>43</v>
      </c>
      <c r="G1600" s="19" t="s">
        <v>15</v>
      </c>
      <c r="H1600" s="19" t="s">
        <v>8364</v>
      </c>
      <c r="I1600" s="19">
        <v>48</v>
      </c>
      <c r="J1600" s="19">
        <v>0</v>
      </c>
      <c r="K1600" s="19">
        <v>5</v>
      </c>
      <c r="L1600" s="19" t="s">
        <v>33</v>
      </c>
      <c r="M1600" s="21">
        <v>6</v>
      </c>
      <c r="N1600">
        <f t="shared" si="24"/>
        <v>1</v>
      </c>
    </row>
    <row r="1601" spans="1:14" x14ac:dyDescent="0.35">
      <c r="A1601" s="22" t="s">
        <v>1671</v>
      </c>
      <c r="B1601" s="23" t="s">
        <v>18</v>
      </c>
      <c r="C1601" s="23">
        <v>5</v>
      </c>
      <c r="D1601" s="24">
        <v>45789</v>
      </c>
      <c r="E1601" s="23" t="s">
        <v>25</v>
      </c>
      <c r="F1601" s="23" t="s">
        <v>26</v>
      </c>
      <c r="G1601" s="23" t="s">
        <v>27</v>
      </c>
      <c r="H1601" s="23" t="s">
        <v>28</v>
      </c>
      <c r="I1601" s="23">
        <v>4</v>
      </c>
      <c r="J1601" s="23">
        <v>2</v>
      </c>
      <c r="K1601" s="23">
        <v>3</v>
      </c>
      <c r="L1601" s="23" t="s">
        <v>33</v>
      </c>
      <c r="M1601" s="25"/>
      <c r="N1601">
        <f t="shared" si="24"/>
        <v>1</v>
      </c>
    </row>
    <row r="1602" spans="1:14" x14ac:dyDescent="0.35">
      <c r="A1602" s="6" t="s">
        <v>1672</v>
      </c>
      <c r="B1602" s="19" t="s">
        <v>146</v>
      </c>
      <c r="C1602" s="19">
        <v>2</v>
      </c>
      <c r="D1602" s="20">
        <v>45690</v>
      </c>
      <c r="E1602" s="19" t="s">
        <v>25</v>
      </c>
      <c r="F1602" s="19" t="s">
        <v>14</v>
      </c>
      <c r="G1602" s="19" t="s">
        <v>27</v>
      </c>
      <c r="H1602" s="19" t="s">
        <v>16</v>
      </c>
      <c r="I1602" s="19">
        <v>48</v>
      </c>
      <c r="J1602" s="19">
        <v>0</v>
      </c>
      <c r="K1602" s="19">
        <v>4</v>
      </c>
      <c r="L1602" s="19" t="s">
        <v>8363</v>
      </c>
      <c r="M1602" s="21">
        <v>14.4</v>
      </c>
      <c r="N1602">
        <f t="shared" si="24"/>
        <v>1</v>
      </c>
    </row>
    <row r="1603" spans="1:14" x14ac:dyDescent="0.35">
      <c r="A1603" s="22" t="s">
        <v>1673</v>
      </c>
      <c r="B1603" s="23" t="s">
        <v>41</v>
      </c>
      <c r="C1603" s="23">
        <v>11</v>
      </c>
      <c r="D1603" s="24">
        <v>45986</v>
      </c>
      <c r="E1603" s="23" t="s">
        <v>13</v>
      </c>
      <c r="F1603" s="23" t="s">
        <v>37</v>
      </c>
      <c r="G1603" s="23" t="s">
        <v>31</v>
      </c>
      <c r="H1603" s="23" t="s">
        <v>32</v>
      </c>
      <c r="I1603" s="23">
        <v>72</v>
      </c>
      <c r="J1603" s="23">
        <v>1</v>
      </c>
      <c r="K1603" s="23">
        <v>3</v>
      </c>
      <c r="L1603" s="23" t="s">
        <v>33</v>
      </c>
      <c r="M1603" s="25">
        <v>11.2</v>
      </c>
      <c r="N1603">
        <f t="shared" ref="N1603:N1666" si="25">IF(M1603 &lt;= I1603, 1, 0)</f>
        <v>1</v>
      </c>
    </row>
    <row r="1604" spans="1:14" x14ac:dyDescent="0.35">
      <c r="A1604" s="6" t="s">
        <v>1674</v>
      </c>
      <c r="B1604" s="19" t="s">
        <v>253</v>
      </c>
      <c r="C1604" s="19">
        <v>3</v>
      </c>
      <c r="D1604" s="20">
        <v>45743</v>
      </c>
      <c r="E1604" s="19" t="s">
        <v>13</v>
      </c>
      <c r="F1604" s="19" t="s">
        <v>40</v>
      </c>
      <c r="G1604" s="19" t="s">
        <v>31</v>
      </c>
      <c r="H1604" s="19" t="s">
        <v>22</v>
      </c>
      <c r="I1604" s="19">
        <v>72</v>
      </c>
      <c r="J1604" s="19">
        <v>0</v>
      </c>
      <c r="K1604" s="19">
        <v>4</v>
      </c>
      <c r="L1604" s="19" t="s">
        <v>33</v>
      </c>
      <c r="M1604" s="21">
        <v>9.5</v>
      </c>
      <c r="N1604">
        <f t="shared" si="25"/>
        <v>1</v>
      </c>
    </row>
    <row r="1605" spans="1:14" x14ac:dyDescent="0.35">
      <c r="A1605" s="22" t="s">
        <v>1675</v>
      </c>
      <c r="B1605" s="23" t="s">
        <v>39</v>
      </c>
      <c r="C1605" s="23">
        <v>7</v>
      </c>
      <c r="D1605" s="24">
        <v>45845</v>
      </c>
      <c r="E1605" s="23" t="s">
        <v>25</v>
      </c>
      <c r="F1605" s="23" t="s">
        <v>40</v>
      </c>
      <c r="G1605" s="23" t="s">
        <v>31</v>
      </c>
      <c r="H1605" s="23" t="s">
        <v>22</v>
      </c>
      <c r="I1605" s="23">
        <v>48</v>
      </c>
      <c r="J1605" s="23">
        <v>0</v>
      </c>
      <c r="K1605" s="23">
        <v>4</v>
      </c>
      <c r="L1605" s="23" t="s">
        <v>75</v>
      </c>
      <c r="M1605" s="25">
        <v>2.6</v>
      </c>
      <c r="N1605">
        <f t="shared" si="25"/>
        <v>1</v>
      </c>
    </row>
    <row r="1606" spans="1:14" x14ac:dyDescent="0.35">
      <c r="A1606" s="6" t="s">
        <v>1676</v>
      </c>
      <c r="B1606" s="19" t="s">
        <v>65</v>
      </c>
      <c r="C1606" s="19"/>
      <c r="D1606" s="20"/>
      <c r="E1606" s="19" t="s">
        <v>13</v>
      </c>
      <c r="F1606" s="19" t="s">
        <v>8364</v>
      </c>
      <c r="G1606" s="19" t="s">
        <v>31</v>
      </c>
      <c r="H1606" s="19" t="s">
        <v>22</v>
      </c>
      <c r="I1606" s="19">
        <v>8</v>
      </c>
      <c r="J1606" s="19">
        <v>2</v>
      </c>
      <c r="K1606" s="19">
        <v>3</v>
      </c>
      <c r="L1606" s="19" t="s">
        <v>17</v>
      </c>
      <c r="M1606" s="21">
        <v>20.3</v>
      </c>
      <c r="N1606">
        <f t="shared" si="25"/>
        <v>0</v>
      </c>
    </row>
    <row r="1607" spans="1:14" x14ac:dyDescent="0.35">
      <c r="A1607" s="22" t="s">
        <v>1677</v>
      </c>
      <c r="B1607" s="23" t="s">
        <v>87</v>
      </c>
      <c r="C1607" s="23">
        <v>11</v>
      </c>
      <c r="D1607" s="24">
        <v>45978</v>
      </c>
      <c r="E1607" s="23" t="s">
        <v>25</v>
      </c>
      <c r="F1607" s="23" t="s">
        <v>26</v>
      </c>
      <c r="G1607" s="23" t="s">
        <v>31</v>
      </c>
      <c r="H1607" s="23" t="s">
        <v>22</v>
      </c>
      <c r="I1607" s="23">
        <v>8</v>
      </c>
      <c r="J1607" s="23">
        <v>0</v>
      </c>
      <c r="K1607" s="23">
        <v>5</v>
      </c>
      <c r="L1607" s="23" t="s">
        <v>17</v>
      </c>
      <c r="M1607" s="25">
        <v>5.4</v>
      </c>
      <c r="N1607">
        <f t="shared" si="25"/>
        <v>1</v>
      </c>
    </row>
    <row r="1608" spans="1:14" x14ac:dyDescent="0.35">
      <c r="A1608" s="6" t="s">
        <v>1678</v>
      </c>
      <c r="B1608" s="19" t="s">
        <v>23</v>
      </c>
      <c r="C1608" s="19">
        <v>9</v>
      </c>
      <c r="D1608" s="20">
        <v>45916</v>
      </c>
      <c r="E1608" s="19" t="s">
        <v>25</v>
      </c>
      <c r="F1608" s="19" t="s">
        <v>26</v>
      </c>
      <c r="G1608" s="19" t="s">
        <v>31</v>
      </c>
      <c r="H1608" s="19" t="s">
        <v>22</v>
      </c>
      <c r="I1608" s="19">
        <v>4</v>
      </c>
      <c r="J1608" s="19">
        <v>1</v>
      </c>
      <c r="K1608" s="19">
        <v>4</v>
      </c>
      <c r="L1608" s="19" t="s">
        <v>17</v>
      </c>
      <c r="M1608" s="21">
        <v>16.5</v>
      </c>
      <c r="N1608">
        <f t="shared" si="25"/>
        <v>0</v>
      </c>
    </row>
    <row r="1609" spans="1:14" x14ac:dyDescent="0.35">
      <c r="A1609" s="22" t="s">
        <v>1679</v>
      </c>
      <c r="B1609" s="23" t="s">
        <v>65</v>
      </c>
      <c r="C1609" s="23">
        <v>9</v>
      </c>
      <c r="D1609" s="24">
        <v>45901</v>
      </c>
      <c r="E1609" s="23" t="s">
        <v>13</v>
      </c>
      <c r="F1609" s="23" t="s">
        <v>14</v>
      </c>
      <c r="G1609" s="23" t="s">
        <v>27</v>
      </c>
      <c r="H1609" s="23" t="s">
        <v>8364</v>
      </c>
      <c r="I1609" s="23">
        <v>8</v>
      </c>
      <c r="J1609" s="23">
        <v>0</v>
      </c>
      <c r="K1609" s="23">
        <v>5</v>
      </c>
      <c r="L1609" s="23" t="s">
        <v>62</v>
      </c>
      <c r="M1609" s="25">
        <v>10.199999999999999</v>
      </c>
      <c r="N1609">
        <f t="shared" si="25"/>
        <v>0</v>
      </c>
    </row>
    <row r="1610" spans="1:14" x14ac:dyDescent="0.35">
      <c r="A1610" s="6" t="s">
        <v>1680</v>
      </c>
      <c r="B1610" s="19" t="s">
        <v>65</v>
      </c>
      <c r="C1610" s="19">
        <v>9</v>
      </c>
      <c r="D1610" s="20">
        <v>45911</v>
      </c>
      <c r="E1610" s="19" t="s">
        <v>20</v>
      </c>
      <c r="F1610" s="19" t="s">
        <v>37</v>
      </c>
      <c r="G1610" s="19" t="s">
        <v>8364</v>
      </c>
      <c r="H1610" s="19" t="s">
        <v>22</v>
      </c>
      <c r="I1610" s="19">
        <v>8</v>
      </c>
      <c r="J1610" s="19">
        <v>0</v>
      </c>
      <c r="K1610" s="19">
        <v>4</v>
      </c>
      <c r="L1610" s="19" t="s">
        <v>8363</v>
      </c>
      <c r="M1610" s="21">
        <v>6.7</v>
      </c>
      <c r="N1610">
        <f t="shared" si="25"/>
        <v>1</v>
      </c>
    </row>
    <row r="1611" spans="1:14" x14ac:dyDescent="0.35">
      <c r="A1611" s="22" t="s">
        <v>1681</v>
      </c>
      <c r="B1611" s="23" t="s">
        <v>34</v>
      </c>
      <c r="C1611" s="23">
        <v>11</v>
      </c>
      <c r="D1611" s="24">
        <v>45980</v>
      </c>
      <c r="E1611" s="23" t="s">
        <v>36</v>
      </c>
      <c r="F1611" s="23" t="s">
        <v>14</v>
      </c>
      <c r="G1611" s="23" t="s">
        <v>8364</v>
      </c>
      <c r="H1611" s="23" t="s">
        <v>32</v>
      </c>
      <c r="I1611" s="23">
        <v>8</v>
      </c>
      <c r="J1611" s="23">
        <v>0</v>
      </c>
      <c r="K1611" s="23">
        <v>3</v>
      </c>
      <c r="L1611" s="23" t="s">
        <v>8363</v>
      </c>
      <c r="M1611" s="25">
        <v>10.1</v>
      </c>
      <c r="N1611">
        <f t="shared" si="25"/>
        <v>0</v>
      </c>
    </row>
    <row r="1612" spans="1:14" x14ac:dyDescent="0.35">
      <c r="A1612" s="6" t="s">
        <v>1682</v>
      </c>
      <c r="B1612" s="19" t="s">
        <v>69</v>
      </c>
      <c r="C1612" s="19">
        <v>5</v>
      </c>
      <c r="D1612" s="20">
        <v>45804</v>
      </c>
      <c r="E1612" s="19" t="s">
        <v>36</v>
      </c>
      <c r="F1612" s="19" t="s">
        <v>14</v>
      </c>
      <c r="G1612" s="19" t="s">
        <v>31</v>
      </c>
      <c r="H1612" s="19" t="s">
        <v>22</v>
      </c>
      <c r="I1612" s="19">
        <v>4</v>
      </c>
      <c r="J1612" s="19">
        <v>2</v>
      </c>
      <c r="K1612" s="19">
        <v>3</v>
      </c>
      <c r="L1612" s="19" t="s">
        <v>38</v>
      </c>
      <c r="M1612" s="21">
        <v>5.7</v>
      </c>
      <c r="N1612">
        <f t="shared" si="25"/>
        <v>0</v>
      </c>
    </row>
    <row r="1613" spans="1:14" x14ac:dyDescent="0.35">
      <c r="A1613" s="22" t="s">
        <v>1683</v>
      </c>
      <c r="B1613" s="23" t="s">
        <v>45</v>
      </c>
      <c r="C1613" s="23">
        <v>3</v>
      </c>
      <c r="D1613" s="24">
        <v>45720</v>
      </c>
      <c r="E1613" s="23" t="s">
        <v>13</v>
      </c>
      <c r="F1613" s="23" t="s">
        <v>14</v>
      </c>
      <c r="G1613" s="23" t="s">
        <v>21</v>
      </c>
      <c r="H1613" s="23" t="s">
        <v>22</v>
      </c>
      <c r="I1613" s="23">
        <v>72</v>
      </c>
      <c r="J1613" s="23">
        <v>0</v>
      </c>
      <c r="K1613" s="23">
        <v>4</v>
      </c>
      <c r="L1613" s="23" t="s">
        <v>8363</v>
      </c>
      <c r="M1613" s="25">
        <v>24.4</v>
      </c>
      <c r="N1613">
        <f t="shared" si="25"/>
        <v>1</v>
      </c>
    </row>
    <row r="1614" spans="1:14" x14ac:dyDescent="0.35">
      <c r="A1614" s="6" t="s">
        <v>1684</v>
      </c>
      <c r="B1614" s="19" t="s">
        <v>65</v>
      </c>
      <c r="C1614" s="19">
        <v>10</v>
      </c>
      <c r="D1614" s="20">
        <v>45949</v>
      </c>
      <c r="E1614" s="19" t="s">
        <v>25</v>
      </c>
      <c r="F1614" s="19" t="s">
        <v>14</v>
      </c>
      <c r="G1614" s="19" t="s">
        <v>15</v>
      </c>
      <c r="H1614" s="19" t="s">
        <v>16</v>
      </c>
      <c r="I1614" s="19">
        <v>72</v>
      </c>
      <c r="J1614" s="19">
        <v>0</v>
      </c>
      <c r="K1614" s="19">
        <v>5</v>
      </c>
      <c r="L1614" s="19" t="s">
        <v>75</v>
      </c>
      <c r="M1614" s="21">
        <v>6</v>
      </c>
      <c r="N1614">
        <f t="shared" si="25"/>
        <v>1</v>
      </c>
    </row>
    <row r="1615" spans="1:14" x14ac:dyDescent="0.35">
      <c r="A1615" s="22" t="s">
        <v>1685</v>
      </c>
      <c r="B1615" s="23" t="s">
        <v>81</v>
      </c>
      <c r="C1615" s="23">
        <v>4</v>
      </c>
      <c r="D1615" s="24">
        <v>45760</v>
      </c>
      <c r="E1615" s="23" t="s">
        <v>13</v>
      </c>
      <c r="F1615" s="23" t="s">
        <v>59</v>
      </c>
      <c r="G1615" s="23" t="s">
        <v>21</v>
      </c>
      <c r="H1615" s="23" t="s">
        <v>22</v>
      </c>
      <c r="I1615" s="23">
        <v>4</v>
      </c>
      <c r="J1615" s="23">
        <v>0</v>
      </c>
      <c r="K1615" s="23">
        <v>5</v>
      </c>
      <c r="L1615" s="23" t="s">
        <v>62</v>
      </c>
      <c r="M1615" s="25">
        <v>7.9</v>
      </c>
      <c r="N1615">
        <f t="shared" si="25"/>
        <v>0</v>
      </c>
    </row>
    <row r="1616" spans="1:14" x14ac:dyDescent="0.35">
      <c r="A1616" s="6" t="s">
        <v>1686</v>
      </c>
      <c r="B1616" s="19" t="s">
        <v>23</v>
      </c>
      <c r="C1616" s="19">
        <v>11</v>
      </c>
      <c r="D1616" s="20">
        <v>45978</v>
      </c>
      <c r="E1616" s="19" t="s">
        <v>13</v>
      </c>
      <c r="F1616" s="19" t="s">
        <v>40</v>
      </c>
      <c r="G1616" s="19" t="s">
        <v>21</v>
      </c>
      <c r="H1616" s="19" t="s">
        <v>32</v>
      </c>
      <c r="I1616" s="19">
        <v>24</v>
      </c>
      <c r="J1616" s="19">
        <v>0</v>
      </c>
      <c r="K1616" s="19">
        <v>5</v>
      </c>
      <c r="L1616" s="19" t="s">
        <v>17</v>
      </c>
      <c r="M1616" s="21">
        <v>4</v>
      </c>
      <c r="N1616">
        <f t="shared" si="25"/>
        <v>1</v>
      </c>
    </row>
    <row r="1617" spans="1:14" x14ac:dyDescent="0.35">
      <c r="A1617" s="22" t="s">
        <v>1687</v>
      </c>
      <c r="B1617" s="23" t="s">
        <v>99</v>
      </c>
      <c r="C1617" s="23">
        <v>12</v>
      </c>
      <c r="D1617" s="24">
        <v>46019</v>
      </c>
      <c r="E1617" s="23" t="s">
        <v>36</v>
      </c>
      <c r="F1617" s="23" t="s">
        <v>37</v>
      </c>
      <c r="G1617" s="23" t="s">
        <v>31</v>
      </c>
      <c r="H1617" s="23" t="s">
        <v>22</v>
      </c>
      <c r="I1617" s="23">
        <v>48</v>
      </c>
      <c r="J1617" s="23">
        <v>0</v>
      </c>
      <c r="K1617" s="23">
        <v>5</v>
      </c>
      <c r="L1617" s="23" t="s">
        <v>55</v>
      </c>
      <c r="M1617" s="25">
        <v>14.3</v>
      </c>
      <c r="N1617">
        <f t="shared" si="25"/>
        <v>1</v>
      </c>
    </row>
    <row r="1618" spans="1:14" x14ac:dyDescent="0.35">
      <c r="A1618" s="6" t="s">
        <v>1688</v>
      </c>
      <c r="B1618" s="19" t="s">
        <v>81</v>
      </c>
      <c r="C1618" s="19">
        <v>5</v>
      </c>
      <c r="D1618" s="20">
        <v>45778</v>
      </c>
      <c r="E1618" s="19" t="s">
        <v>8364</v>
      </c>
      <c r="F1618" s="19" t="s">
        <v>8364</v>
      </c>
      <c r="G1618" s="19" t="s">
        <v>15</v>
      </c>
      <c r="H1618" s="19" t="s">
        <v>28</v>
      </c>
      <c r="I1618" s="19">
        <v>48</v>
      </c>
      <c r="J1618" s="19">
        <v>1</v>
      </c>
      <c r="K1618" s="19">
        <v>2</v>
      </c>
      <c r="L1618" s="19" t="s">
        <v>33</v>
      </c>
      <c r="M1618" s="21">
        <v>3.5</v>
      </c>
      <c r="N1618">
        <f t="shared" si="25"/>
        <v>1</v>
      </c>
    </row>
    <row r="1619" spans="1:14" x14ac:dyDescent="0.35">
      <c r="A1619" s="22" t="s">
        <v>1689</v>
      </c>
      <c r="B1619" s="23" t="s">
        <v>23</v>
      </c>
      <c r="C1619" s="23">
        <v>3</v>
      </c>
      <c r="D1619" s="24">
        <v>45730</v>
      </c>
      <c r="E1619" s="23" t="s">
        <v>13</v>
      </c>
      <c r="F1619" s="23" t="s">
        <v>59</v>
      </c>
      <c r="G1619" s="23" t="s">
        <v>27</v>
      </c>
      <c r="H1619" s="23" t="s">
        <v>22</v>
      </c>
      <c r="I1619" s="23">
        <v>4</v>
      </c>
      <c r="J1619" s="23">
        <v>2</v>
      </c>
      <c r="K1619" s="23">
        <v>5</v>
      </c>
      <c r="L1619" s="23" t="s">
        <v>33</v>
      </c>
      <c r="M1619" s="25">
        <v>4.7</v>
      </c>
      <c r="N1619">
        <f t="shared" si="25"/>
        <v>0</v>
      </c>
    </row>
    <row r="1620" spans="1:14" x14ac:dyDescent="0.35">
      <c r="A1620" s="6" t="s">
        <v>1690</v>
      </c>
      <c r="B1620" s="19" t="s">
        <v>65</v>
      </c>
      <c r="C1620" s="19">
        <v>6</v>
      </c>
      <c r="D1620" s="20">
        <v>45834</v>
      </c>
      <c r="E1620" s="19" t="s">
        <v>13</v>
      </c>
      <c r="F1620" s="19" t="s">
        <v>14</v>
      </c>
      <c r="G1620" s="19" t="s">
        <v>15</v>
      </c>
      <c r="H1620" s="19" t="s">
        <v>28</v>
      </c>
      <c r="I1620" s="19">
        <v>48</v>
      </c>
      <c r="J1620" s="19">
        <v>0</v>
      </c>
      <c r="K1620" s="19">
        <v>4</v>
      </c>
      <c r="L1620" s="19" t="s">
        <v>8363</v>
      </c>
      <c r="M1620" s="21">
        <v>31.8</v>
      </c>
      <c r="N1620">
        <f t="shared" si="25"/>
        <v>1</v>
      </c>
    </row>
    <row r="1621" spans="1:14" x14ac:dyDescent="0.35">
      <c r="A1621" s="22" t="s">
        <v>1691</v>
      </c>
      <c r="B1621" s="23" t="s">
        <v>34</v>
      </c>
      <c r="C1621" s="23">
        <v>8</v>
      </c>
      <c r="D1621" s="24">
        <v>45876</v>
      </c>
      <c r="E1621" s="23" t="s">
        <v>25</v>
      </c>
      <c r="F1621" s="23" t="s">
        <v>14</v>
      </c>
      <c r="G1621" s="23" t="s">
        <v>27</v>
      </c>
      <c r="H1621" s="23" t="s">
        <v>32</v>
      </c>
      <c r="I1621" s="23">
        <v>24</v>
      </c>
      <c r="J1621" s="23">
        <v>0</v>
      </c>
      <c r="K1621" s="23">
        <v>3</v>
      </c>
      <c r="L1621" s="23" t="s">
        <v>8363</v>
      </c>
      <c r="M1621" s="25">
        <v>9.1</v>
      </c>
      <c r="N1621">
        <f t="shared" si="25"/>
        <v>1</v>
      </c>
    </row>
    <row r="1622" spans="1:14" x14ac:dyDescent="0.35">
      <c r="A1622" s="6" t="s">
        <v>1692</v>
      </c>
      <c r="B1622" s="19" t="s">
        <v>41</v>
      </c>
      <c r="C1622" s="19">
        <v>11</v>
      </c>
      <c r="D1622" s="20">
        <v>45970</v>
      </c>
      <c r="E1622" s="19" t="s">
        <v>36</v>
      </c>
      <c r="F1622" s="19" t="s">
        <v>14</v>
      </c>
      <c r="G1622" s="19" t="s">
        <v>27</v>
      </c>
      <c r="H1622" s="19" t="s">
        <v>8364</v>
      </c>
      <c r="I1622" s="19">
        <v>72</v>
      </c>
      <c r="J1622" s="19">
        <v>0</v>
      </c>
      <c r="K1622" s="19">
        <v>3</v>
      </c>
      <c r="L1622" s="19" t="s">
        <v>62</v>
      </c>
      <c r="M1622" s="21">
        <v>8.9</v>
      </c>
      <c r="N1622">
        <f t="shared" si="25"/>
        <v>1</v>
      </c>
    </row>
    <row r="1623" spans="1:14" x14ac:dyDescent="0.35">
      <c r="A1623" s="22" t="s">
        <v>1693</v>
      </c>
      <c r="B1623" s="23" t="s">
        <v>126</v>
      </c>
      <c r="C1623" s="23">
        <v>4</v>
      </c>
      <c r="D1623" s="24">
        <v>45752</v>
      </c>
      <c r="E1623" s="23" t="s">
        <v>36</v>
      </c>
      <c r="F1623" s="23" t="s">
        <v>59</v>
      </c>
      <c r="G1623" s="23" t="s">
        <v>21</v>
      </c>
      <c r="H1623" s="23" t="s">
        <v>16</v>
      </c>
      <c r="I1623" s="23">
        <v>72</v>
      </c>
      <c r="J1623" s="23">
        <v>0</v>
      </c>
      <c r="K1623" s="23">
        <v>5</v>
      </c>
      <c r="L1623" s="23" t="s">
        <v>38</v>
      </c>
      <c r="M1623" s="25">
        <v>9.6</v>
      </c>
      <c r="N1623">
        <f t="shared" si="25"/>
        <v>1</v>
      </c>
    </row>
    <row r="1624" spans="1:14" x14ac:dyDescent="0.35">
      <c r="A1624" s="6" t="s">
        <v>1694</v>
      </c>
      <c r="B1624" s="19" t="s">
        <v>97</v>
      </c>
      <c r="C1624" s="19">
        <v>3</v>
      </c>
      <c r="D1624" s="20">
        <v>45731</v>
      </c>
      <c r="E1624" s="19" t="s">
        <v>13</v>
      </c>
      <c r="F1624" s="19" t="s">
        <v>14</v>
      </c>
      <c r="G1624" s="19" t="s">
        <v>15</v>
      </c>
      <c r="H1624" s="19" t="s">
        <v>32</v>
      </c>
      <c r="I1624" s="19">
        <v>8</v>
      </c>
      <c r="J1624" s="19">
        <v>0</v>
      </c>
      <c r="K1624" s="19">
        <v>4</v>
      </c>
      <c r="L1624" s="19" t="s">
        <v>55</v>
      </c>
      <c r="M1624" s="21">
        <v>28.7</v>
      </c>
      <c r="N1624">
        <f t="shared" si="25"/>
        <v>0</v>
      </c>
    </row>
    <row r="1625" spans="1:14" x14ac:dyDescent="0.35">
      <c r="A1625" s="22" t="s">
        <v>1695</v>
      </c>
      <c r="B1625" s="23" t="s">
        <v>72</v>
      </c>
      <c r="C1625" s="23">
        <v>8</v>
      </c>
      <c r="D1625" s="24">
        <v>45870</v>
      </c>
      <c r="E1625" s="23" t="s">
        <v>8364</v>
      </c>
      <c r="F1625" s="23" t="s">
        <v>59</v>
      </c>
      <c r="G1625" s="23" t="s">
        <v>21</v>
      </c>
      <c r="H1625" s="23" t="s">
        <v>32</v>
      </c>
      <c r="I1625" s="23">
        <v>8</v>
      </c>
      <c r="J1625" s="23">
        <v>0</v>
      </c>
      <c r="K1625" s="23">
        <v>3</v>
      </c>
      <c r="L1625" s="23" t="s">
        <v>8363</v>
      </c>
      <c r="M1625" s="25">
        <v>6.8</v>
      </c>
      <c r="N1625">
        <f t="shared" si="25"/>
        <v>1</v>
      </c>
    </row>
    <row r="1626" spans="1:14" x14ac:dyDescent="0.35">
      <c r="A1626" s="6" t="s">
        <v>1696</v>
      </c>
      <c r="B1626" s="19" t="s">
        <v>69</v>
      </c>
      <c r="C1626" s="19">
        <v>5</v>
      </c>
      <c r="D1626" s="20">
        <v>45801</v>
      </c>
      <c r="E1626" s="19" t="s">
        <v>8364</v>
      </c>
      <c r="F1626" s="19" t="s">
        <v>8364</v>
      </c>
      <c r="G1626" s="19" t="s">
        <v>27</v>
      </c>
      <c r="H1626" s="19" t="s">
        <v>32</v>
      </c>
      <c r="I1626" s="19">
        <v>4</v>
      </c>
      <c r="J1626" s="19">
        <v>0</v>
      </c>
      <c r="K1626" s="19">
        <v>4</v>
      </c>
      <c r="L1626" s="19" t="s">
        <v>17</v>
      </c>
      <c r="M1626" s="21">
        <v>18.899999999999999</v>
      </c>
      <c r="N1626">
        <f t="shared" si="25"/>
        <v>0</v>
      </c>
    </row>
    <row r="1627" spans="1:14" x14ac:dyDescent="0.35">
      <c r="A1627" s="22" t="s">
        <v>1697</v>
      </c>
      <c r="B1627" s="23" t="s">
        <v>146</v>
      </c>
      <c r="C1627" s="23">
        <v>11</v>
      </c>
      <c r="D1627" s="24">
        <v>45974</v>
      </c>
      <c r="E1627" s="23" t="s">
        <v>25</v>
      </c>
      <c r="F1627" s="23" t="s">
        <v>43</v>
      </c>
      <c r="G1627" s="23" t="s">
        <v>27</v>
      </c>
      <c r="H1627" s="23" t="s">
        <v>22</v>
      </c>
      <c r="I1627" s="23">
        <v>72</v>
      </c>
      <c r="J1627" s="23">
        <v>0</v>
      </c>
      <c r="K1627" s="23">
        <v>4</v>
      </c>
      <c r="L1627" s="23" t="s">
        <v>8363</v>
      </c>
      <c r="M1627" s="25">
        <v>19.8</v>
      </c>
      <c r="N1627">
        <f t="shared" si="25"/>
        <v>1</v>
      </c>
    </row>
    <row r="1628" spans="1:14" x14ac:dyDescent="0.35">
      <c r="A1628" s="6" t="s">
        <v>1698</v>
      </c>
      <c r="B1628" s="19" t="s">
        <v>81</v>
      </c>
      <c r="C1628" s="19">
        <v>3</v>
      </c>
      <c r="D1628" s="20">
        <v>45720</v>
      </c>
      <c r="E1628" s="19" t="s">
        <v>13</v>
      </c>
      <c r="F1628" s="19" t="s">
        <v>40</v>
      </c>
      <c r="G1628" s="19" t="s">
        <v>15</v>
      </c>
      <c r="H1628" s="19" t="s">
        <v>28</v>
      </c>
      <c r="I1628" s="19">
        <v>4</v>
      </c>
      <c r="J1628" s="19">
        <v>3</v>
      </c>
      <c r="K1628" s="19">
        <v>5</v>
      </c>
      <c r="L1628" s="19" t="s">
        <v>38</v>
      </c>
      <c r="M1628" s="21"/>
      <c r="N1628">
        <f t="shared" si="25"/>
        <v>1</v>
      </c>
    </row>
    <row r="1629" spans="1:14" x14ac:dyDescent="0.35">
      <c r="A1629" s="22" t="s">
        <v>1699</v>
      </c>
      <c r="B1629" s="23" t="s">
        <v>146</v>
      </c>
      <c r="C1629" s="23">
        <v>4</v>
      </c>
      <c r="D1629" s="24">
        <v>45759</v>
      </c>
      <c r="E1629" s="23" t="s">
        <v>36</v>
      </c>
      <c r="F1629" s="23" t="s">
        <v>14</v>
      </c>
      <c r="G1629" s="23" t="s">
        <v>27</v>
      </c>
      <c r="H1629" s="23" t="s">
        <v>22</v>
      </c>
      <c r="I1629" s="23">
        <v>8</v>
      </c>
      <c r="J1629" s="23">
        <v>1</v>
      </c>
      <c r="K1629" s="23">
        <v>2</v>
      </c>
      <c r="L1629" s="23" t="s">
        <v>8363</v>
      </c>
      <c r="M1629" s="25">
        <v>15.4</v>
      </c>
      <c r="N1629">
        <f t="shared" si="25"/>
        <v>0</v>
      </c>
    </row>
    <row r="1630" spans="1:14" x14ac:dyDescent="0.35">
      <c r="A1630" s="6" t="s">
        <v>1700</v>
      </c>
      <c r="B1630" s="19" t="s">
        <v>65</v>
      </c>
      <c r="C1630" s="19">
        <v>1</v>
      </c>
      <c r="D1630" s="20">
        <v>45663</v>
      </c>
      <c r="E1630" s="19" t="s">
        <v>25</v>
      </c>
      <c r="F1630" s="19" t="s">
        <v>14</v>
      </c>
      <c r="G1630" s="19" t="s">
        <v>15</v>
      </c>
      <c r="H1630" s="19" t="s">
        <v>8364</v>
      </c>
      <c r="I1630" s="19">
        <v>72</v>
      </c>
      <c r="J1630" s="19">
        <v>0</v>
      </c>
      <c r="K1630" s="19">
        <v>4</v>
      </c>
      <c r="L1630" s="19" t="s">
        <v>38</v>
      </c>
      <c r="M1630" s="21">
        <v>31.8</v>
      </c>
      <c r="N1630">
        <f t="shared" si="25"/>
        <v>1</v>
      </c>
    </row>
    <row r="1631" spans="1:14" x14ac:dyDescent="0.35">
      <c r="A1631" s="22" t="s">
        <v>1701</v>
      </c>
      <c r="B1631" s="23" t="s">
        <v>57</v>
      </c>
      <c r="C1631" s="23"/>
      <c r="D1631" s="24"/>
      <c r="E1631" s="23" t="s">
        <v>68</v>
      </c>
      <c r="F1631" s="23" t="s">
        <v>14</v>
      </c>
      <c r="G1631" s="23" t="s">
        <v>21</v>
      </c>
      <c r="H1631" s="23" t="s">
        <v>22</v>
      </c>
      <c r="I1631" s="23">
        <v>72</v>
      </c>
      <c r="J1631" s="23">
        <v>0</v>
      </c>
      <c r="K1631" s="23">
        <v>5</v>
      </c>
      <c r="L1631" s="23" t="s">
        <v>17</v>
      </c>
      <c r="M1631" s="25">
        <v>1</v>
      </c>
      <c r="N1631">
        <f t="shared" si="25"/>
        <v>1</v>
      </c>
    </row>
    <row r="1632" spans="1:14" x14ac:dyDescent="0.35">
      <c r="A1632" s="6" t="s">
        <v>1702</v>
      </c>
      <c r="B1632" s="19" t="s">
        <v>87</v>
      </c>
      <c r="C1632" s="19"/>
      <c r="D1632" s="20"/>
      <c r="E1632" s="19" t="s">
        <v>68</v>
      </c>
      <c r="F1632" s="19" t="s">
        <v>14</v>
      </c>
      <c r="G1632" s="19" t="s">
        <v>31</v>
      </c>
      <c r="H1632" s="19" t="s">
        <v>32</v>
      </c>
      <c r="I1632" s="19">
        <v>8</v>
      </c>
      <c r="J1632" s="19">
        <v>0</v>
      </c>
      <c r="K1632" s="19">
        <v>5</v>
      </c>
      <c r="L1632" s="19" t="s">
        <v>33</v>
      </c>
      <c r="M1632" s="21">
        <v>13</v>
      </c>
      <c r="N1632">
        <f t="shared" si="25"/>
        <v>0</v>
      </c>
    </row>
    <row r="1633" spans="1:14" x14ac:dyDescent="0.35">
      <c r="A1633" s="22" t="s">
        <v>1703</v>
      </c>
      <c r="B1633" s="23" t="s">
        <v>69</v>
      </c>
      <c r="C1633" s="23">
        <v>5</v>
      </c>
      <c r="D1633" s="24">
        <v>45804</v>
      </c>
      <c r="E1633" s="23" t="s">
        <v>25</v>
      </c>
      <c r="F1633" s="23" t="s">
        <v>43</v>
      </c>
      <c r="G1633" s="23" t="s">
        <v>27</v>
      </c>
      <c r="H1633" s="23" t="s">
        <v>28</v>
      </c>
      <c r="I1633" s="23">
        <v>48</v>
      </c>
      <c r="J1633" s="23">
        <v>0</v>
      </c>
      <c r="K1633" s="23">
        <v>3</v>
      </c>
      <c r="L1633" s="23" t="s">
        <v>62</v>
      </c>
      <c r="M1633" s="25">
        <v>9.4</v>
      </c>
      <c r="N1633">
        <f t="shared" si="25"/>
        <v>1</v>
      </c>
    </row>
    <row r="1634" spans="1:14" x14ac:dyDescent="0.35">
      <c r="A1634" s="6" t="s">
        <v>1704</v>
      </c>
      <c r="B1634" s="19" t="s">
        <v>23</v>
      </c>
      <c r="C1634" s="19">
        <v>4</v>
      </c>
      <c r="D1634" s="20">
        <v>45748</v>
      </c>
      <c r="E1634" s="19" t="s">
        <v>36</v>
      </c>
      <c r="F1634" s="19" t="s">
        <v>43</v>
      </c>
      <c r="G1634" s="19" t="s">
        <v>31</v>
      </c>
      <c r="H1634" s="19" t="s">
        <v>28</v>
      </c>
      <c r="I1634" s="19">
        <v>72</v>
      </c>
      <c r="J1634" s="19">
        <v>0</v>
      </c>
      <c r="K1634" s="19">
        <v>3</v>
      </c>
      <c r="L1634" s="19" t="s">
        <v>44</v>
      </c>
      <c r="M1634" s="21">
        <v>4.5999999999999996</v>
      </c>
      <c r="N1634">
        <f t="shared" si="25"/>
        <v>1</v>
      </c>
    </row>
    <row r="1635" spans="1:14" x14ac:dyDescent="0.35">
      <c r="A1635" s="22" t="s">
        <v>1705</v>
      </c>
      <c r="B1635" s="23" t="s">
        <v>89</v>
      </c>
      <c r="C1635" s="23">
        <v>7</v>
      </c>
      <c r="D1635" s="24">
        <v>45863</v>
      </c>
      <c r="E1635" s="23" t="s">
        <v>20</v>
      </c>
      <c r="F1635" s="23" t="s">
        <v>40</v>
      </c>
      <c r="G1635" s="23" t="s">
        <v>21</v>
      </c>
      <c r="H1635" s="23" t="s">
        <v>28</v>
      </c>
      <c r="I1635" s="23">
        <v>4</v>
      </c>
      <c r="J1635" s="23">
        <v>3</v>
      </c>
      <c r="K1635" s="23">
        <v>3</v>
      </c>
      <c r="L1635" s="23" t="s">
        <v>44</v>
      </c>
      <c r="M1635" s="25">
        <v>7.5</v>
      </c>
      <c r="N1635">
        <f t="shared" si="25"/>
        <v>0</v>
      </c>
    </row>
    <row r="1636" spans="1:14" x14ac:dyDescent="0.35">
      <c r="A1636" s="6" t="s">
        <v>1706</v>
      </c>
      <c r="B1636" s="19" t="s">
        <v>65</v>
      </c>
      <c r="C1636" s="19">
        <v>10</v>
      </c>
      <c r="D1636" s="20">
        <v>45957</v>
      </c>
      <c r="E1636" s="19" t="s">
        <v>13</v>
      </c>
      <c r="F1636" s="19" t="s">
        <v>14</v>
      </c>
      <c r="G1636" s="19" t="s">
        <v>31</v>
      </c>
      <c r="H1636" s="19" t="s">
        <v>28</v>
      </c>
      <c r="I1636" s="19">
        <v>8</v>
      </c>
      <c r="J1636" s="19">
        <v>0</v>
      </c>
      <c r="K1636" s="19">
        <v>4</v>
      </c>
      <c r="L1636" s="19" t="s">
        <v>44</v>
      </c>
      <c r="M1636" s="21">
        <v>8</v>
      </c>
      <c r="N1636">
        <f t="shared" si="25"/>
        <v>1</v>
      </c>
    </row>
    <row r="1637" spans="1:14" x14ac:dyDescent="0.35">
      <c r="A1637" s="22" t="s">
        <v>1707</v>
      </c>
      <c r="B1637" s="23" t="s">
        <v>69</v>
      </c>
      <c r="C1637" s="23">
        <v>4</v>
      </c>
      <c r="D1637" s="24">
        <v>45761</v>
      </c>
      <c r="E1637" s="23" t="s">
        <v>68</v>
      </c>
      <c r="F1637" s="23" t="s">
        <v>8364</v>
      </c>
      <c r="G1637" s="23" t="s">
        <v>27</v>
      </c>
      <c r="H1637" s="23" t="s">
        <v>22</v>
      </c>
      <c r="I1637" s="23">
        <v>24</v>
      </c>
      <c r="J1637" s="23">
        <v>0</v>
      </c>
      <c r="K1637" s="23"/>
      <c r="L1637" s="23" t="s">
        <v>75</v>
      </c>
      <c r="M1637" s="25">
        <v>2.5</v>
      </c>
      <c r="N1637">
        <f t="shared" si="25"/>
        <v>1</v>
      </c>
    </row>
    <row r="1638" spans="1:14" x14ac:dyDescent="0.35">
      <c r="A1638" s="6" t="s">
        <v>1708</v>
      </c>
      <c r="B1638" s="19" t="s">
        <v>89</v>
      </c>
      <c r="C1638" s="19">
        <v>5</v>
      </c>
      <c r="D1638" s="20">
        <v>45790</v>
      </c>
      <c r="E1638" s="19" t="s">
        <v>20</v>
      </c>
      <c r="F1638" s="19" t="s">
        <v>40</v>
      </c>
      <c r="G1638" s="19" t="s">
        <v>27</v>
      </c>
      <c r="H1638" s="19" t="s">
        <v>22</v>
      </c>
      <c r="I1638" s="19">
        <v>4</v>
      </c>
      <c r="J1638" s="19">
        <v>0</v>
      </c>
      <c r="K1638" s="19">
        <v>2</v>
      </c>
      <c r="L1638" s="19" t="s">
        <v>62</v>
      </c>
      <c r="M1638" s="21">
        <v>14</v>
      </c>
      <c r="N1638">
        <f t="shared" si="25"/>
        <v>0</v>
      </c>
    </row>
    <row r="1639" spans="1:14" x14ac:dyDescent="0.35">
      <c r="A1639" s="22" t="s">
        <v>1709</v>
      </c>
      <c r="B1639" s="23" t="s">
        <v>104</v>
      </c>
      <c r="C1639" s="23"/>
      <c r="D1639" s="24"/>
      <c r="E1639" s="23" t="s">
        <v>13</v>
      </c>
      <c r="F1639" s="23" t="s">
        <v>37</v>
      </c>
      <c r="G1639" s="23" t="s">
        <v>31</v>
      </c>
      <c r="H1639" s="23" t="s">
        <v>22</v>
      </c>
      <c r="I1639" s="23">
        <v>48</v>
      </c>
      <c r="J1639" s="23">
        <v>1</v>
      </c>
      <c r="K1639" s="23">
        <v>5</v>
      </c>
      <c r="L1639" s="23" t="s">
        <v>8363</v>
      </c>
      <c r="M1639" s="25">
        <v>17.100000000000001</v>
      </c>
      <c r="N1639">
        <f t="shared" si="25"/>
        <v>1</v>
      </c>
    </row>
    <row r="1640" spans="1:14" x14ac:dyDescent="0.35">
      <c r="A1640" s="6" t="s">
        <v>1710</v>
      </c>
      <c r="B1640" s="19" t="s">
        <v>85</v>
      </c>
      <c r="C1640" s="19">
        <v>11</v>
      </c>
      <c r="D1640" s="20">
        <v>45969</v>
      </c>
      <c r="E1640" s="19" t="s">
        <v>36</v>
      </c>
      <c r="F1640" s="19" t="s">
        <v>14</v>
      </c>
      <c r="G1640" s="19" t="s">
        <v>31</v>
      </c>
      <c r="H1640" s="19" t="s">
        <v>32</v>
      </c>
      <c r="I1640" s="19">
        <v>8</v>
      </c>
      <c r="J1640" s="19">
        <v>0</v>
      </c>
      <c r="K1640" s="19">
        <v>5</v>
      </c>
      <c r="L1640" s="19" t="s">
        <v>38</v>
      </c>
      <c r="M1640" s="21">
        <v>23</v>
      </c>
      <c r="N1640">
        <f t="shared" si="25"/>
        <v>0</v>
      </c>
    </row>
    <row r="1641" spans="1:14" x14ac:dyDescent="0.35">
      <c r="A1641" s="22" t="s">
        <v>1711</v>
      </c>
      <c r="B1641" s="23" t="s">
        <v>253</v>
      </c>
      <c r="C1641" s="23">
        <v>3</v>
      </c>
      <c r="D1641" s="24">
        <v>45737</v>
      </c>
      <c r="E1641" s="23" t="s">
        <v>25</v>
      </c>
      <c r="F1641" s="23" t="s">
        <v>37</v>
      </c>
      <c r="G1641" s="23" t="s">
        <v>21</v>
      </c>
      <c r="H1641" s="23" t="s">
        <v>22</v>
      </c>
      <c r="I1641" s="23">
        <v>24</v>
      </c>
      <c r="J1641" s="23">
        <v>0</v>
      </c>
      <c r="K1641" s="23">
        <v>3</v>
      </c>
      <c r="L1641" s="23" t="s">
        <v>17</v>
      </c>
      <c r="M1641" s="25">
        <v>1.5</v>
      </c>
      <c r="N1641">
        <f t="shared" si="25"/>
        <v>1</v>
      </c>
    </row>
    <row r="1642" spans="1:14" x14ac:dyDescent="0.35">
      <c r="A1642" s="6" t="s">
        <v>1712</v>
      </c>
      <c r="B1642" s="19" t="s">
        <v>158</v>
      </c>
      <c r="C1642" s="19">
        <v>2</v>
      </c>
      <c r="D1642" s="20">
        <v>45716</v>
      </c>
      <c r="E1642" s="19" t="s">
        <v>8364</v>
      </c>
      <c r="F1642" s="19" t="s">
        <v>43</v>
      </c>
      <c r="G1642" s="19" t="s">
        <v>27</v>
      </c>
      <c r="H1642" s="19" t="s">
        <v>16</v>
      </c>
      <c r="I1642" s="19">
        <v>48</v>
      </c>
      <c r="J1642" s="19">
        <v>0</v>
      </c>
      <c r="K1642" s="19">
        <v>4</v>
      </c>
      <c r="L1642" s="19" t="s">
        <v>17</v>
      </c>
      <c r="M1642" s="21">
        <v>1.8</v>
      </c>
      <c r="N1642">
        <f t="shared" si="25"/>
        <v>1</v>
      </c>
    </row>
    <row r="1643" spans="1:14" x14ac:dyDescent="0.35">
      <c r="A1643" s="22" t="s">
        <v>1713</v>
      </c>
      <c r="B1643" s="23" t="s">
        <v>143</v>
      </c>
      <c r="C1643" s="23">
        <v>9</v>
      </c>
      <c r="D1643" s="24">
        <v>45907</v>
      </c>
      <c r="E1643" s="23" t="s">
        <v>25</v>
      </c>
      <c r="F1643" s="23" t="s">
        <v>37</v>
      </c>
      <c r="G1643" s="23" t="s">
        <v>27</v>
      </c>
      <c r="H1643" s="23" t="s">
        <v>16</v>
      </c>
      <c r="I1643" s="23">
        <v>8</v>
      </c>
      <c r="J1643" s="23">
        <v>1</v>
      </c>
      <c r="K1643" s="23">
        <v>5</v>
      </c>
      <c r="L1643" s="23" t="s">
        <v>33</v>
      </c>
      <c r="M1643" s="25"/>
      <c r="N1643">
        <f t="shared" si="25"/>
        <v>1</v>
      </c>
    </row>
    <row r="1644" spans="1:14" x14ac:dyDescent="0.35">
      <c r="A1644" s="6" t="s">
        <v>1714</v>
      </c>
      <c r="B1644" s="19" t="s">
        <v>87</v>
      </c>
      <c r="C1644" s="19">
        <v>11</v>
      </c>
      <c r="D1644" s="20">
        <v>45963</v>
      </c>
      <c r="E1644" s="19" t="s">
        <v>13</v>
      </c>
      <c r="F1644" s="19" t="s">
        <v>37</v>
      </c>
      <c r="G1644" s="19" t="s">
        <v>27</v>
      </c>
      <c r="H1644" s="19" t="s">
        <v>8364</v>
      </c>
      <c r="I1644" s="19">
        <v>8</v>
      </c>
      <c r="J1644" s="19">
        <v>0</v>
      </c>
      <c r="K1644" s="19"/>
      <c r="L1644" s="19" t="s">
        <v>33</v>
      </c>
      <c r="M1644" s="21">
        <v>5.4</v>
      </c>
      <c r="N1644">
        <f t="shared" si="25"/>
        <v>1</v>
      </c>
    </row>
    <row r="1645" spans="1:14" x14ac:dyDescent="0.35">
      <c r="A1645" s="22" t="s">
        <v>1715</v>
      </c>
      <c r="B1645" s="23" t="s">
        <v>69</v>
      </c>
      <c r="C1645" s="23">
        <v>7</v>
      </c>
      <c r="D1645" s="24">
        <v>45851</v>
      </c>
      <c r="E1645" s="23" t="s">
        <v>13</v>
      </c>
      <c r="F1645" s="23" t="s">
        <v>14</v>
      </c>
      <c r="G1645" s="23" t="s">
        <v>15</v>
      </c>
      <c r="H1645" s="23" t="s">
        <v>8364</v>
      </c>
      <c r="I1645" s="23">
        <v>4</v>
      </c>
      <c r="J1645" s="23">
        <v>1</v>
      </c>
      <c r="K1645" s="23">
        <v>4</v>
      </c>
      <c r="L1645" s="23" t="s">
        <v>62</v>
      </c>
      <c r="M1645" s="25">
        <v>14.7</v>
      </c>
      <c r="N1645">
        <f t="shared" si="25"/>
        <v>0</v>
      </c>
    </row>
    <row r="1646" spans="1:14" x14ac:dyDescent="0.35">
      <c r="A1646" s="6" t="s">
        <v>1716</v>
      </c>
      <c r="B1646" s="19" t="s">
        <v>47</v>
      </c>
      <c r="C1646" s="19">
        <v>5</v>
      </c>
      <c r="D1646" s="20">
        <v>45785</v>
      </c>
      <c r="E1646" s="19" t="s">
        <v>20</v>
      </c>
      <c r="F1646" s="19" t="s">
        <v>59</v>
      </c>
      <c r="G1646" s="19" t="s">
        <v>31</v>
      </c>
      <c r="H1646" s="19" t="s">
        <v>22</v>
      </c>
      <c r="I1646" s="19">
        <v>4</v>
      </c>
      <c r="J1646" s="19">
        <v>0</v>
      </c>
      <c r="K1646" s="19">
        <v>3</v>
      </c>
      <c r="L1646" s="19" t="s">
        <v>38</v>
      </c>
      <c r="M1646" s="21"/>
      <c r="N1646">
        <f t="shared" si="25"/>
        <v>1</v>
      </c>
    </row>
    <row r="1647" spans="1:14" x14ac:dyDescent="0.35">
      <c r="A1647" s="22" t="s">
        <v>1717</v>
      </c>
      <c r="B1647" s="23" t="s">
        <v>158</v>
      </c>
      <c r="C1647" s="23">
        <v>8</v>
      </c>
      <c r="D1647" s="24">
        <v>45900</v>
      </c>
      <c r="E1647" s="23" t="s">
        <v>13</v>
      </c>
      <c r="F1647" s="23" t="s">
        <v>43</v>
      </c>
      <c r="G1647" s="23" t="s">
        <v>21</v>
      </c>
      <c r="H1647" s="23" t="s">
        <v>8364</v>
      </c>
      <c r="I1647" s="23">
        <v>24</v>
      </c>
      <c r="J1647" s="23">
        <v>0</v>
      </c>
      <c r="K1647" s="23">
        <v>5</v>
      </c>
      <c r="L1647" s="23" t="s">
        <v>44</v>
      </c>
      <c r="M1647" s="25">
        <v>18.8</v>
      </c>
      <c r="N1647">
        <f t="shared" si="25"/>
        <v>1</v>
      </c>
    </row>
    <row r="1648" spans="1:14" x14ac:dyDescent="0.35">
      <c r="A1648" s="6" t="s">
        <v>1718</v>
      </c>
      <c r="B1648" s="19" t="s">
        <v>99</v>
      </c>
      <c r="C1648" s="19">
        <v>10</v>
      </c>
      <c r="D1648" s="20">
        <v>45935</v>
      </c>
      <c r="E1648" s="19" t="s">
        <v>13</v>
      </c>
      <c r="F1648" s="19" t="s">
        <v>8364</v>
      </c>
      <c r="G1648" s="19" t="s">
        <v>21</v>
      </c>
      <c r="H1648" s="19" t="s">
        <v>22</v>
      </c>
      <c r="I1648" s="19">
        <v>72</v>
      </c>
      <c r="J1648" s="19">
        <v>0</v>
      </c>
      <c r="K1648" s="19">
        <v>3</v>
      </c>
      <c r="L1648" s="19" t="s">
        <v>55</v>
      </c>
      <c r="M1648" s="21">
        <v>3.9</v>
      </c>
      <c r="N1648">
        <f t="shared" si="25"/>
        <v>1</v>
      </c>
    </row>
    <row r="1649" spans="1:14" x14ac:dyDescent="0.35">
      <c r="A1649" s="22" t="s">
        <v>1719</v>
      </c>
      <c r="B1649" s="23" t="s">
        <v>85</v>
      </c>
      <c r="C1649" s="23">
        <v>11</v>
      </c>
      <c r="D1649" s="24">
        <v>45977</v>
      </c>
      <c r="E1649" s="23" t="s">
        <v>13</v>
      </c>
      <c r="F1649" s="23" t="s">
        <v>26</v>
      </c>
      <c r="G1649" s="23" t="s">
        <v>21</v>
      </c>
      <c r="H1649" s="23" t="s">
        <v>28</v>
      </c>
      <c r="I1649" s="23">
        <v>8</v>
      </c>
      <c r="J1649" s="23">
        <v>0</v>
      </c>
      <c r="K1649" s="23">
        <v>4</v>
      </c>
      <c r="L1649" s="23" t="s">
        <v>8363</v>
      </c>
      <c r="M1649" s="25">
        <v>9.5</v>
      </c>
      <c r="N1649">
        <f t="shared" si="25"/>
        <v>0</v>
      </c>
    </row>
    <row r="1650" spans="1:14" x14ac:dyDescent="0.35">
      <c r="A1650" s="6" t="s">
        <v>1720</v>
      </c>
      <c r="B1650" s="19" t="s">
        <v>181</v>
      </c>
      <c r="C1650" s="19">
        <v>7</v>
      </c>
      <c r="D1650" s="20">
        <v>45861</v>
      </c>
      <c r="E1650" s="19" t="s">
        <v>25</v>
      </c>
      <c r="F1650" s="19" t="s">
        <v>40</v>
      </c>
      <c r="G1650" s="19" t="s">
        <v>15</v>
      </c>
      <c r="H1650" s="19" t="s">
        <v>22</v>
      </c>
      <c r="I1650" s="19">
        <v>4</v>
      </c>
      <c r="J1650" s="19">
        <v>0</v>
      </c>
      <c r="K1650" s="19">
        <v>4</v>
      </c>
      <c r="L1650" s="19" t="s">
        <v>8363</v>
      </c>
      <c r="M1650" s="21">
        <v>11.9</v>
      </c>
      <c r="N1650">
        <f t="shared" si="25"/>
        <v>0</v>
      </c>
    </row>
    <row r="1651" spans="1:14" x14ac:dyDescent="0.35">
      <c r="A1651" s="22" t="s">
        <v>1721</v>
      </c>
      <c r="B1651" s="23" t="s">
        <v>51</v>
      </c>
      <c r="C1651" s="23">
        <v>10</v>
      </c>
      <c r="D1651" s="24">
        <v>45944</v>
      </c>
      <c r="E1651" s="23" t="s">
        <v>20</v>
      </c>
      <c r="F1651" s="23" t="s">
        <v>59</v>
      </c>
      <c r="G1651" s="23" t="s">
        <v>15</v>
      </c>
      <c r="H1651" s="23" t="s">
        <v>28</v>
      </c>
      <c r="I1651" s="23">
        <v>48</v>
      </c>
      <c r="J1651" s="23">
        <v>0</v>
      </c>
      <c r="K1651" s="23">
        <v>5</v>
      </c>
      <c r="L1651" s="23" t="s">
        <v>62</v>
      </c>
      <c r="M1651" s="25">
        <v>20.9</v>
      </c>
      <c r="N1651">
        <f t="shared" si="25"/>
        <v>1</v>
      </c>
    </row>
    <row r="1652" spans="1:14" x14ac:dyDescent="0.35">
      <c r="A1652" s="6" t="s">
        <v>1722</v>
      </c>
      <c r="B1652" s="19" t="s">
        <v>146</v>
      </c>
      <c r="C1652" s="19">
        <v>9</v>
      </c>
      <c r="D1652" s="20">
        <v>45920</v>
      </c>
      <c r="E1652" s="19" t="s">
        <v>8364</v>
      </c>
      <c r="F1652" s="19" t="s">
        <v>59</v>
      </c>
      <c r="G1652" s="19" t="s">
        <v>27</v>
      </c>
      <c r="H1652" s="19" t="s">
        <v>8364</v>
      </c>
      <c r="I1652" s="19">
        <v>72</v>
      </c>
      <c r="J1652" s="19">
        <v>0</v>
      </c>
      <c r="K1652" s="19">
        <v>5</v>
      </c>
      <c r="L1652" s="19" t="s">
        <v>44</v>
      </c>
      <c r="M1652" s="21">
        <v>9</v>
      </c>
      <c r="N1652">
        <f t="shared" si="25"/>
        <v>1</v>
      </c>
    </row>
    <row r="1653" spans="1:14" x14ac:dyDescent="0.35">
      <c r="A1653" s="22" t="s">
        <v>1723</v>
      </c>
      <c r="B1653" s="23" t="s">
        <v>143</v>
      </c>
      <c r="C1653" s="23">
        <v>3</v>
      </c>
      <c r="D1653" s="24">
        <v>45722</v>
      </c>
      <c r="E1653" s="23" t="s">
        <v>13</v>
      </c>
      <c r="F1653" s="23" t="s">
        <v>43</v>
      </c>
      <c r="G1653" s="23" t="s">
        <v>21</v>
      </c>
      <c r="H1653" s="23" t="s">
        <v>16</v>
      </c>
      <c r="I1653" s="23">
        <v>24</v>
      </c>
      <c r="J1653" s="23">
        <v>0</v>
      </c>
      <c r="K1653" s="23">
        <v>5</v>
      </c>
      <c r="L1653" s="23" t="s">
        <v>33</v>
      </c>
      <c r="M1653" s="25">
        <v>24.2</v>
      </c>
      <c r="N1653">
        <f t="shared" si="25"/>
        <v>0</v>
      </c>
    </row>
    <row r="1654" spans="1:14" x14ac:dyDescent="0.35">
      <c r="A1654" s="6" t="s">
        <v>1724</v>
      </c>
      <c r="B1654" s="19" t="s">
        <v>39</v>
      </c>
      <c r="C1654" s="19">
        <v>10</v>
      </c>
      <c r="D1654" s="20">
        <v>45953</v>
      </c>
      <c r="E1654" s="19" t="s">
        <v>8364</v>
      </c>
      <c r="F1654" s="19" t="s">
        <v>14</v>
      </c>
      <c r="G1654" s="19" t="s">
        <v>21</v>
      </c>
      <c r="H1654" s="19" t="s">
        <v>8364</v>
      </c>
      <c r="I1654" s="19">
        <v>24</v>
      </c>
      <c r="J1654" s="19">
        <v>1</v>
      </c>
      <c r="K1654" s="19">
        <v>3</v>
      </c>
      <c r="L1654" s="19" t="s">
        <v>55</v>
      </c>
      <c r="M1654" s="21">
        <v>9.6</v>
      </c>
      <c r="N1654">
        <f t="shared" si="25"/>
        <v>1</v>
      </c>
    </row>
    <row r="1655" spans="1:14" x14ac:dyDescent="0.35">
      <c r="A1655" s="22" t="s">
        <v>1725</v>
      </c>
      <c r="B1655" s="23" t="s">
        <v>29</v>
      </c>
      <c r="C1655" s="23">
        <v>7</v>
      </c>
      <c r="D1655" s="24">
        <v>45843</v>
      </c>
      <c r="E1655" s="23" t="s">
        <v>68</v>
      </c>
      <c r="F1655" s="23" t="s">
        <v>8364</v>
      </c>
      <c r="G1655" s="23" t="s">
        <v>21</v>
      </c>
      <c r="H1655" s="23" t="s">
        <v>28</v>
      </c>
      <c r="I1655" s="23">
        <v>48</v>
      </c>
      <c r="J1655" s="23">
        <v>0</v>
      </c>
      <c r="K1655" s="23">
        <v>5</v>
      </c>
      <c r="L1655" s="23" t="s">
        <v>75</v>
      </c>
      <c r="M1655" s="25">
        <v>3</v>
      </c>
      <c r="N1655">
        <f t="shared" si="25"/>
        <v>1</v>
      </c>
    </row>
    <row r="1656" spans="1:14" x14ac:dyDescent="0.35">
      <c r="A1656" s="6" t="s">
        <v>1726</v>
      </c>
      <c r="B1656" s="19" t="s">
        <v>108</v>
      </c>
      <c r="C1656" s="19">
        <v>2</v>
      </c>
      <c r="D1656" s="20">
        <v>45712</v>
      </c>
      <c r="E1656" s="19" t="s">
        <v>13</v>
      </c>
      <c r="F1656" s="19" t="s">
        <v>37</v>
      </c>
      <c r="G1656" s="19" t="s">
        <v>31</v>
      </c>
      <c r="H1656" s="19" t="s">
        <v>8364</v>
      </c>
      <c r="I1656" s="19">
        <v>24</v>
      </c>
      <c r="J1656" s="19">
        <v>1</v>
      </c>
      <c r="K1656" s="19">
        <v>3</v>
      </c>
      <c r="L1656" s="19" t="s">
        <v>8363</v>
      </c>
      <c r="M1656" s="21">
        <v>7.2</v>
      </c>
      <c r="N1656">
        <f t="shared" si="25"/>
        <v>1</v>
      </c>
    </row>
    <row r="1657" spans="1:14" x14ac:dyDescent="0.35">
      <c r="A1657" s="22" t="s">
        <v>1727</v>
      </c>
      <c r="B1657" s="23" t="s">
        <v>47</v>
      </c>
      <c r="C1657" s="23">
        <v>1</v>
      </c>
      <c r="D1657" s="24">
        <v>45683</v>
      </c>
      <c r="E1657" s="23" t="s">
        <v>25</v>
      </c>
      <c r="F1657" s="23" t="s">
        <v>26</v>
      </c>
      <c r="G1657" s="23" t="s">
        <v>15</v>
      </c>
      <c r="H1657" s="23" t="s">
        <v>8364</v>
      </c>
      <c r="I1657" s="23">
        <v>4</v>
      </c>
      <c r="J1657" s="23">
        <v>0</v>
      </c>
      <c r="K1657" s="23">
        <v>3</v>
      </c>
      <c r="L1657" s="23" t="s">
        <v>62</v>
      </c>
      <c r="M1657" s="25">
        <v>9.3000000000000007</v>
      </c>
      <c r="N1657">
        <f t="shared" si="25"/>
        <v>0</v>
      </c>
    </row>
    <row r="1658" spans="1:14" x14ac:dyDescent="0.35">
      <c r="A1658" s="6" t="s">
        <v>1728</v>
      </c>
      <c r="B1658" s="19" t="s">
        <v>47</v>
      </c>
      <c r="C1658" s="19">
        <v>4</v>
      </c>
      <c r="D1658" s="20">
        <v>45777</v>
      </c>
      <c r="E1658" s="19" t="s">
        <v>68</v>
      </c>
      <c r="F1658" s="19" t="s">
        <v>14</v>
      </c>
      <c r="G1658" s="19" t="s">
        <v>31</v>
      </c>
      <c r="H1658" s="19" t="s">
        <v>28</v>
      </c>
      <c r="I1658" s="19">
        <v>4</v>
      </c>
      <c r="J1658" s="19">
        <v>0</v>
      </c>
      <c r="K1658" s="19">
        <v>4</v>
      </c>
      <c r="L1658" s="19" t="s">
        <v>8363</v>
      </c>
      <c r="M1658" s="21">
        <v>10.9</v>
      </c>
      <c r="N1658">
        <f t="shared" si="25"/>
        <v>0</v>
      </c>
    </row>
    <row r="1659" spans="1:14" x14ac:dyDescent="0.35">
      <c r="A1659" s="22" t="s">
        <v>1729</v>
      </c>
      <c r="B1659" s="23" t="s">
        <v>236</v>
      </c>
      <c r="C1659" s="23">
        <v>2</v>
      </c>
      <c r="D1659" s="24">
        <v>45695</v>
      </c>
      <c r="E1659" s="23" t="s">
        <v>68</v>
      </c>
      <c r="F1659" s="23" t="s">
        <v>8364</v>
      </c>
      <c r="G1659" s="23" t="s">
        <v>21</v>
      </c>
      <c r="H1659" s="23" t="s">
        <v>22</v>
      </c>
      <c r="I1659" s="23">
        <v>72</v>
      </c>
      <c r="J1659" s="23">
        <v>0</v>
      </c>
      <c r="K1659" s="23">
        <v>3</v>
      </c>
      <c r="L1659" s="23" t="s">
        <v>33</v>
      </c>
      <c r="M1659" s="25"/>
      <c r="N1659">
        <f t="shared" si="25"/>
        <v>1</v>
      </c>
    </row>
    <row r="1660" spans="1:14" x14ac:dyDescent="0.35">
      <c r="A1660" s="6" t="s">
        <v>1730</v>
      </c>
      <c r="B1660" s="19" t="s">
        <v>104</v>
      </c>
      <c r="C1660" s="19">
        <v>3</v>
      </c>
      <c r="D1660" s="20">
        <v>45718</v>
      </c>
      <c r="E1660" s="19" t="s">
        <v>13</v>
      </c>
      <c r="F1660" s="19" t="s">
        <v>26</v>
      </c>
      <c r="G1660" s="19" t="s">
        <v>15</v>
      </c>
      <c r="H1660" s="19" t="s">
        <v>8364</v>
      </c>
      <c r="I1660" s="19">
        <v>48</v>
      </c>
      <c r="J1660" s="19">
        <v>0</v>
      </c>
      <c r="K1660" s="19">
        <v>5</v>
      </c>
      <c r="L1660" s="19" t="s">
        <v>75</v>
      </c>
      <c r="M1660" s="21">
        <v>15</v>
      </c>
      <c r="N1660">
        <f t="shared" si="25"/>
        <v>1</v>
      </c>
    </row>
    <row r="1661" spans="1:14" x14ac:dyDescent="0.35">
      <c r="A1661" s="22" t="s">
        <v>1731</v>
      </c>
      <c r="B1661" s="23" t="s">
        <v>34</v>
      </c>
      <c r="C1661" s="23">
        <v>8</v>
      </c>
      <c r="D1661" s="24">
        <v>45891</v>
      </c>
      <c r="E1661" s="23" t="s">
        <v>36</v>
      </c>
      <c r="F1661" s="23" t="s">
        <v>43</v>
      </c>
      <c r="G1661" s="23" t="s">
        <v>31</v>
      </c>
      <c r="H1661" s="23" t="s">
        <v>8364</v>
      </c>
      <c r="I1661" s="23">
        <v>72</v>
      </c>
      <c r="J1661" s="23">
        <v>0</v>
      </c>
      <c r="K1661" s="23">
        <v>5</v>
      </c>
      <c r="L1661" s="23" t="s">
        <v>44</v>
      </c>
      <c r="M1661" s="25">
        <v>14.2</v>
      </c>
      <c r="N1661">
        <f t="shared" si="25"/>
        <v>1</v>
      </c>
    </row>
    <row r="1662" spans="1:14" x14ac:dyDescent="0.35">
      <c r="A1662" s="6" t="s">
        <v>1732</v>
      </c>
      <c r="B1662" s="19" t="s">
        <v>23</v>
      </c>
      <c r="C1662" s="19">
        <v>1</v>
      </c>
      <c r="D1662" s="20">
        <v>45668</v>
      </c>
      <c r="E1662" s="19" t="s">
        <v>20</v>
      </c>
      <c r="F1662" s="19" t="s">
        <v>43</v>
      </c>
      <c r="G1662" s="19" t="s">
        <v>27</v>
      </c>
      <c r="H1662" s="19" t="s">
        <v>8364</v>
      </c>
      <c r="I1662" s="19">
        <v>24</v>
      </c>
      <c r="J1662" s="19">
        <v>0</v>
      </c>
      <c r="K1662" s="19">
        <v>5</v>
      </c>
      <c r="L1662" s="19" t="s">
        <v>62</v>
      </c>
      <c r="M1662" s="21">
        <v>15.3</v>
      </c>
      <c r="N1662">
        <f t="shared" si="25"/>
        <v>1</v>
      </c>
    </row>
    <row r="1663" spans="1:14" x14ac:dyDescent="0.35">
      <c r="A1663" s="22" t="s">
        <v>1733</v>
      </c>
      <c r="B1663" s="23" t="s">
        <v>85</v>
      </c>
      <c r="C1663" s="23">
        <v>10</v>
      </c>
      <c r="D1663" s="24">
        <v>45946</v>
      </c>
      <c r="E1663" s="23" t="s">
        <v>68</v>
      </c>
      <c r="F1663" s="23" t="s">
        <v>14</v>
      </c>
      <c r="G1663" s="23" t="s">
        <v>15</v>
      </c>
      <c r="H1663" s="23" t="s">
        <v>22</v>
      </c>
      <c r="I1663" s="23">
        <v>24</v>
      </c>
      <c r="J1663" s="23">
        <v>2</v>
      </c>
      <c r="K1663" s="23">
        <v>3</v>
      </c>
      <c r="L1663" s="23" t="s">
        <v>44</v>
      </c>
      <c r="M1663" s="25">
        <v>11.7</v>
      </c>
      <c r="N1663">
        <f t="shared" si="25"/>
        <v>1</v>
      </c>
    </row>
    <row r="1664" spans="1:14" x14ac:dyDescent="0.35">
      <c r="A1664" s="6" t="s">
        <v>1734</v>
      </c>
      <c r="B1664" s="19" t="s">
        <v>29</v>
      </c>
      <c r="C1664" s="19">
        <v>7</v>
      </c>
      <c r="D1664" s="20">
        <v>45846</v>
      </c>
      <c r="E1664" s="19" t="s">
        <v>13</v>
      </c>
      <c r="F1664" s="19" t="s">
        <v>14</v>
      </c>
      <c r="G1664" s="19" t="s">
        <v>31</v>
      </c>
      <c r="H1664" s="19" t="s">
        <v>8364</v>
      </c>
      <c r="I1664" s="19">
        <v>72</v>
      </c>
      <c r="J1664" s="19">
        <v>0</v>
      </c>
      <c r="K1664" s="19">
        <v>2</v>
      </c>
      <c r="L1664" s="19" t="s">
        <v>17</v>
      </c>
      <c r="M1664" s="21">
        <v>11.1</v>
      </c>
      <c r="N1664">
        <f t="shared" si="25"/>
        <v>1</v>
      </c>
    </row>
    <row r="1665" spans="1:14" x14ac:dyDescent="0.35">
      <c r="A1665" s="22" t="s">
        <v>1735</v>
      </c>
      <c r="B1665" s="23" t="s">
        <v>139</v>
      </c>
      <c r="C1665" s="23">
        <v>1</v>
      </c>
      <c r="D1665" s="24">
        <v>45658</v>
      </c>
      <c r="E1665" s="23" t="s">
        <v>8364</v>
      </c>
      <c r="F1665" s="23" t="s">
        <v>40</v>
      </c>
      <c r="G1665" s="23" t="s">
        <v>15</v>
      </c>
      <c r="H1665" s="23" t="s">
        <v>22</v>
      </c>
      <c r="I1665" s="23">
        <v>8</v>
      </c>
      <c r="J1665" s="23">
        <v>0</v>
      </c>
      <c r="K1665" s="23">
        <v>1</v>
      </c>
      <c r="L1665" s="23" t="s">
        <v>17</v>
      </c>
      <c r="M1665" s="25">
        <v>16.8</v>
      </c>
      <c r="N1665">
        <f t="shared" si="25"/>
        <v>0</v>
      </c>
    </row>
    <row r="1666" spans="1:14" x14ac:dyDescent="0.35">
      <c r="A1666" s="6" t="s">
        <v>1736</v>
      </c>
      <c r="B1666" s="19" t="s">
        <v>97</v>
      </c>
      <c r="C1666" s="19">
        <v>6</v>
      </c>
      <c r="D1666" s="20">
        <v>45823</v>
      </c>
      <c r="E1666" s="19" t="s">
        <v>25</v>
      </c>
      <c r="F1666" s="19" t="s">
        <v>40</v>
      </c>
      <c r="G1666" s="19" t="s">
        <v>27</v>
      </c>
      <c r="H1666" s="19" t="s">
        <v>32</v>
      </c>
      <c r="I1666" s="19">
        <v>4</v>
      </c>
      <c r="J1666" s="19">
        <v>0</v>
      </c>
      <c r="K1666" s="19">
        <v>5</v>
      </c>
      <c r="L1666" s="19" t="s">
        <v>55</v>
      </c>
      <c r="M1666" s="21">
        <v>4.9000000000000004</v>
      </c>
      <c r="N1666">
        <f t="shared" si="25"/>
        <v>0</v>
      </c>
    </row>
    <row r="1667" spans="1:14" x14ac:dyDescent="0.35">
      <c r="A1667" s="22" t="s">
        <v>1737</v>
      </c>
      <c r="B1667" s="23" t="s">
        <v>181</v>
      </c>
      <c r="C1667" s="23">
        <v>7</v>
      </c>
      <c r="D1667" s="24">
        <v>45868</v>
      </c>
      <c r="E1667" s="23" t="s">
        <v>13</v>
      </c>
      <c r="F1667" s="23" t="s">
        <v>14</v>
      </c>
      <c r="G1667" s="23" t="s">
        <v>31</v>
      </c>
      <c r="H1667" s="23" t="s">
        <v>28</v>
      </c>
      <c r="I1667" s="23">
        <v>8</v>
      </c>
      <c r="J1667" s="23">
        <v>0</v>
      </c>
      <c r="K1667" s="23">
        <v>3</v>
      </c>
      <c r="L1667" s="23" t="s">
        <v>8363</v>
      </c>
      <c r="M1667" s="25"/>
      <c r="N1667">
        <f t="shared" ref="N1667:N1730" si="26">IF(M1667 &lt;= I1667, 1, 0)</f>
        <v>1</v>
      </c>
    </row>
    <row r="1668" spans="1:14" x14ac:dyDescent="0.35">
      <c r="A1668" s="6" t="s">
        <v>1738</v>
      </c>
      <c r="B1668" s="19" t="s">
        <v>139</v>
      </c>
      <c r="C1668" s="19">
        <v>5</v>
      </c>
      <c r="D1668" s="20">
        <v>45801</v>
      </c>
      <c r="E1668" s="19" t="s">
        <v>68</v>
      </c>
      <c r="F1668" s="19" t="s">
        <v>37</v>
      </c>
      <c r="G1668" s="19" t="s">
        <v>21</v>
      </c>
      <c r="H1668" s="19" t="s">
        <v>16</v>
      </c>
      <c r="I1668" s="19">
        <v>4</v>
      </c>
      <c r="J1668" s="19">
        <v>0</v>
      </c>
      <c r="K1668" s="19">
        <v>4</v>
      </c>
      <c r="L1668" s="19" t="s">
        <v>38</v>
      </c>
      <c r="M1668" s="21">
        <v>17.2</v>
      </c>
      <c r="N1668">
        <f t="shared" si="26"/>
        <v>0</v>
      </c>
    </row>
    <row r="1669" spans="1:14" x14ac:dyDescent="0.35">
      <c r="A1669" s="22" t="s">
        <v>1739</v>
      </c>
      <c r="B1669" s="23" t="s">
        <v>89</v>
      </c>
      <c r="C1669" s="23">
        <v>6</v>
      </c>
      <c r="D1669" s="24">
        <v>45834</v>
      </c>
      <c r="E1669" s="23" t="s">
        <v>13</v>
      </c>
      <c r="F1669" s="23" t="s">
        <v>8364</v>
      </c>
      <c r="G1669" s="23" t="s">
        <v>31</v>
      </c>
      <c r="H1669" s="23" t="s">
        <v>28</v>
      </c>
      <c r="I1669" s="23">
        <v>48</v>
      </c>
      <c r="J1669" s="23">
        <v>0</v>
      </c>
      <c r="K1669" s="23">
        <v>4</v>
      </c>
      <c r="L1669" s="23" t="s">
        <v>38</v>
      </c>
      <c r="M1669" s="25">
        <v>19.3</v>
      </c>
      <c r="N1669">
        <f t="shared" si="26"/>
        <v>1</v>
      </c>
    </row>
    <row r="1670" spans="1:14" x14ac:dyDescent="0.35">
      <c r="A1670" s="6" t="s">
        <v>1740</v>
      </c>
      <c r="B1670" s="19" t="s">
        <v>87</v>
      </c>
      <c r="C1670" s="19">
        <v>2</v>
      </c>
      <c r="D1670" s="20">
        <v>45703</v>
      </c>
      <c r="E1670" s="19" t="s">
        <v>13</v>
      </c>
      <c r="F1670" s="19" t="s">
        <v>43</v>
      </c>
      <c r="G1670" s="19" t="s">
        <v>27</v>
      </c>
      <c r="H1670" s="19" t="s">
        <v>16</v>
      </c>
      <c r="I1670" s="19">
        <v>8</v>
      </c>
      <c r="J1670" s="19">
        <v>2</v>
      </c>
      <c r="K1670" s="19"/>
      <c r="L1670" s="19" t="s">
        <v>17</v>
      </c>
      <c r="M1670" s="21">
        <v>4.3</v>
      </c>
      <c r="N1670">
        <f t="shared" si="26"/>
        <v>1</v>
      </c>
    </row>
    <row r="1671" spans="1:14" x14ac:dyDescent="0.35">
      <c r="A1671" s="22" t="s">
        <v>1741</v>
      </c>
      <c r="B1671" s="23" t="s">
        <v>69</v>
      </c>
      <c r="C1671" s="23">
        <v>2</v>
      </c>
      <c r="D1671" s="24">
        <v>45706</v>
      </c>
      <c r="E1671" s="23" t="s">
        <v>36</v>
      </c>
      <c r="F1671" s="23" t="s">
        <v>14</v>
      </c>
      <c r="G1671" s="23" t="s">
        <v>21</v>
      </c>
      <c r="H1671" s="23" t="s">
        <v>32</v>
      </c>
      <c r="I1671" s="23">
        <v>24</v>
      </c>
      <c r="J1671" s="23">
        <v>1</v>
      </c>
      <c r="K1671" s="23">
        <v>3</v>
      </c>
      <c r="L1671" s="23" t="s">
        <v>75</v>
      </c>
      <c r="M1671" s="25">
        <v>6.8</v>
      </c>
      <c r="N1671">
        <f t="shared" si="26"/>
        <v>1</v>
      </c>
    </row>
    <row r="1672" spans="1:14" x14ac:dyDescent="0.35">
      <c r="A1672" s="6" t="s">
        <v>1742</v>
      </c>
      <c r="B1672" s="19" t="s">
        <v>99</v>
      </c>
      <c r="C1672" s="19">
        <v>1</v>
      </c>
      <c r="D1672" s="20">
        <v>45670</v>
      </c>
      <c r="E1672" s="19" t="s">
        <v>20</v>
      </c>
      <c r="F1672" s="19" t="s">
        <v>14</v>
      </c>
      <c r="G1672" s="19" t="s">
        <v>31</v>
      </c>
      <c r="H1672" s="19" t="s">
        <v>22</v>
      </c>
      <c r="I1672" s="19">
        <v>24</v>
      </c>
      <c r="J1672" s="19">
        <v>1</v>
      </c>
      <c r="K1672" s="19">
        <v>3</v>
      </c>
      <c r="L1672" s="19" t="s">
        <v>62</v>
      </c>
      <c r="M1672" s="21">
        <v>31.8</v>
      </c>
      <c r="N1672">
        <f t="shared" si="26"/>
        <v>0</v>
      </c>
    </row>
    <row r="1673" spans="1:14" x14ac:dyDescent="0.35">
      <c r="A1673" s="22" t="s">
        <v>1743</v>
      </c>
      <c r="B1673" s="23" t="s">
        <v>99</v>
      </c>
      <c r="C1673" s="23">
        <v>2</v>
      </c>
      <c r="D1673" s="24">
        <v>45702</v>
      </c>
      <c r="E1673" s="23" t="s">
        <v>25</v>
      </c>
      <c r="F1673" s="23" t="s">
        <v>37</v>
      </c>
      <c r="G1673" s="23" t="s">
        <v>15</v>
      </c>
      <c r="H1673" s="23" t="s">
        <v>32</v>
      </c>
      <c r="I1673" s="23">
        <v>72</v>
      </c>
      <c r="J1673" s="23">
        <v>0</v>
      </c>
      <c r="K1673" s="23">
        <v>2</v>
      </c>
      <c r="L1673" s="23" t="s">
        <v>38</v>
      </c>
      <c r="M1673" s="25">
        <v>26.8</v>
      </c>
      <c r="N1673">
        <f t="shared" si="26"/>
        <v>1</v>
      </c>
    </row>
    <row r="1674" spans="1:14" x14ac:dyDescent="0.35">
      <c r="A1674" s="6" t="s">
        <v>1744</v>
      </c>
      <c r="B1674" s="19" t="s">
        <v>39</v>
      </c>
      <c r="C1674" s="19">
        <v>12</v>
      </c>
      <c r="D1674" s="20">
        <v>46017</v>
      </c>
      <c r="E1674" s="19" t="s">
        <v>68</v>
      </c>
      <c r="F1674" s="19" t="s">
        <v>59</v>
      </c>
      <c r="G1674" s="19" t="s">
        <v>15</v>
      </c>
      <c r="H1674" s="19" t="s">
        <v>32</v>
      </c>
      <c r="I1674" s="19">
        <v>4</v>
      </c>
      <c r="J1674" s="19">
        <v>1</v>
      </c>
      <c r="K1674" s="19">
        <v>4</v>
      </c>
      <c r="L1674" s="19" t="s">
        <v>62</v>
      </c>
      <c r="M1674" s="21">
        <v>10.6</v>
      </c>
      <c r="N1674">
        <f t="shared" si="26"/>
        <v>0</v>
      </c>
    </row>
    <row r="1675" spans="1:14" x14ac:dyDescent="0.35">
      <c r="A1675" s="22" t="s">
        <v>1745</v>
      </c>
      <c r="B1675" s="23" t="s">
        <v>126</v>
      </c>
      <c r="C1675" s="23">
        <v>8</v>
      </c>
      <c r="D1675" s="24">
        <v>45871</v>
      </c>
      <c r="E1675" s="23" t="s">
        <v>13</v>
      </c>
      <c r="F1675" s="23" t="s">
        <v>37</v>
      </c>
      <c r="G1675" s="23" t="s">
        <v>27</v>
      </c>
      <c r="H1675" s="23" t="s">
        <v>28</v>
      </c>
      <c r="I1675" s="23">
        <v>4</v>
      </c>
      <c r="J1675" s="23">
        <v>2</v>
      </c>
      <c r="K1675" s="23">
        <v>4</v>
      </c>
      <c r="L1675" s="23" t="s">
        <v>75</v>
      </c>
      <c r="M1675" s="25">
        <v>12.3</v>
      </c>
      <c r="N1675">
        <f t="shared" si="26"/>
        <v>0</v>
      </c>
    </row>
    <row r="1676" spans="1:14" x14ac:dyDescent="0.35">
      <c r="A1676" s="6" t="s">
        <v>1746</v>
      </c>
      <c r="B1676" s="19" t="s">
        <v>53</v>
      </c>
      <c r="C1676" s="19"/>
      <c r="D1676" s="20"/>
      <c r="E1676" s="19" t="s">
        <v>13</v>
      </c>
      <c r="F1676" s="19" t="s">
        <v>14</v>
      </c>
      <c r="G1676" s="19" t="s">
        <v>31</v>
      </c>
      <c r="H1676" s="19" t="s">
        <v>22</v>
      </c>
      <c r="I1676" s="19">
        <v>8</v>
      </c>
      <c r="J1676" s="19">
        <v>0</v>
      </c>
      <c r="K1676" s="19">
        <v>5</v>
      </c>
      <c r="L1676" s="19" t="s">
        <v>75</v>
      </c>
      <c r="M1676" s="21">
        <v>11.5</v>
      </c>
      <c r="N1676">
        <f t="shared" si="26"/>
        <v>0</v>
      </c>
    </row>
    <row r="1677" spans="1:14" x14ac:dyDescent="0.35">
      <c r="A1677" s="22" t="s">
        <v>1747</v>
      </c>
      <c r="B1677" s="23" t="s">
        <v>130</v>
      </c>
      <c r="C1677" s="23"/>
      <c r="D1677" s="24"/>
      <c r="E1677" s="23" t="s">
        <v>13</v>
      </c>
      <c r="F1677" s="23" t="s">
        <v>40</v>
      </c>
      <c r="G1677" s="23" t="s">
        <v>21</v>
      </c>
      <c r="H1677" s="23" t="s">
        <v>22</v>
      </c>
      <c r="I1677" s="23">
        <v>24</v>
      </c>
      <c r="J1677" s="23">
        <v>2</v>
      </c>
      <c r="K1677" s="23">
        <v>2</v>
      </c>
      <c r="L1677" s="23" t="s">
        <v>8363</v>
      </c>
      <c r="M1677" s="25">
        <v>18.3</v>
      </c>
      <c r="N1677">
        <f t="shared" si="26"/>
        <v>1</v>
      </c>
    </row>
    <row r="1678" spans="1:14" x14ac:dyDescent="0.35">
      <c r="A1678" s="6" t="s">
        <v>1748</v>
      </c>
      <c r="B1678" s="19" t="s">
        <v>78</v>
      </c>
      <c r="C1678" s="19">
        <v>8</v>
      </c>
      <c r="D1678" s="20">
        <v>45890</v>
      </c>
      <c r="E1678" s="19" t="s">
        <v>13</v>
      </c>
      <c r="F1678" s="19" t="s">
        <v>40</v>
      </c>
      <c r="G1678" s="19" t="s">
        <v>8364</v>
      </c>
      <c r="H1678" s="19" t="s">
        <v>32</v>
      </c>
      <c r="I1678" s="19">
        <v>48</v>
      </c>
      <c r="J1678" s="19">
        <v>0</v>
      </c>
      <c r="K1678" s="19">
        <v>3</v>
      </c>
      <c r="L1678" s="19" t="s">
        <v>62</v>
      </c>
      <c r="M1678" s="21">
        <v>10</v>
      </c>
      <c r="N1678">
        <f t="shared" si="26"/>
        <v>1</v>
      </c>
    </row>
    <row r="1679" spans="1:14" x14ac:dyDescent="0.35">
      <c r="A1679" s="22" t="s">
        <v>1749</v>
      </c>
      <c r="B1679" s="23" t="s">
        <v>34</v>
      </c>
      <c r="C1679" s="23">
        <v>6</v>
      </c>
      <c r="D1679" s="24">
        <v>45833</v>
      </c>
      <c r="E1679" s="23" t="s">
        <v>68</v>
      </c>
      <c r="F1679" s="23" t="s">
        <v>14</v>
      </c>
      <c r="G1679" s="23" t="s">
        <v>31</v>
      </c>
      <c r="H1679" s="23" t="s">
        <v>8364</v>
      </c>
      <c r="I1679" s="23">
        <v>24</v>
      </c>
      <c r="J1679" s="23">
        <v>0</v>
      </c>
      <c r="K1679" s="23">
        <v>4</v>
      </c>
      <c r="L1679" s="23" t="s">
        <v>62</v>
      </c>
      <c r="M1679" s="25">
        <v>3.2</v>
      </c>
      <c r="N1679">
        <f t="shared" si="26"/>
        <v>1</v>
      </c>
    </row>
    <row r="1680" spans="1:14" x14ac:dyDescent="0.35">
      <c r="A1680" s="6" t="s">
        <v>1750</v>
      </c>
      <c r="B1680" s="19" t="s">
        <v>146</v>
      </c>
      <c r="C1680" s="19"/>
      <c r="D1680" s="20"/>
      <c r="E1680" s="19" t="s">
        <v>68</v>
      </c>
      <c r="F1680" s="19" t="s">
        <v>14</v>
      </c>
      <c r="G1680" s="19" t="s">
        <v>8364</v>
      </c>
      <c r="H1680" s="19" t="s">
        <v>28</v>
      </c>
      <c r="I1680" s="19">
        <v>48</v>
      </c>
      <c r="J1680" s="19">
        <v>1</v>
      </c>
      <c r="K1680" s="19">
        <v>3</v>
      </c>
      <c r="L1680" s="19" t="s">
        <v>55</v>
      </c>
      <c r="M1680" s="21">
        <v>8.9</v>
      </c>
      <c r="N1680">
        <f t="shared" si="26"/>
        <v>1</v>
      </c>
    </row>
    <row r="1681" spans="1:14" x14ac:dyDescent="0.35">
      <c r="A1681" s="22" t="s">
        <v>1751</v>
      </c>
      <c r="B1681" s="23" t="s">
        <v>139</v>
      </c>
      <c r="C1681" s="23">
        <v>8</v>
      </c>
      <c r="D1681" s="24">
        <v>45876</v>
      </c>
      <c r="E1681" s="23" t="s">
        <v>25</v>
      </c>
      <c r="F1681" s="23" t="s">
        <v>59</v>
      </c>
      <c r="G1681" s="23" t="s">
        <v>27</v>
      </c>
      <c r="H1681" s="23" t="s">
        <v>28</v>
      </c>
      <c r="I1681" s="23">
        <v>48</v>
      </c>
      <c r="J1681" s="23">
        <v>0</v>
      </c>
      <c r="K1681" s="23">
        <v>5</v>
      </c>
      <c r="L1681" s="23" t="s">
        <v>55</v>
      </c>
      <c r="M1681" s="25">
        <v>38.200000000000003</v>
      </c>
      <c r="N1681">
        <f t="shared" si="26"/>
        <v>1</v>
      </c>
    </row>
    <row r="1682" spans="1:14" x14ac:dyDescent="0.35">
      <c r="A1682" s="6" t="s">
        <v>1752</v>
      </c>
      <c r="B1682" s="19" t="s">
        <v>89</v>
      </c>
      <c r="C1682" s="19">
        <v>2</v>
      </c>
      <c r="D1682" s="20">
        <v>45691</v>
      </c>
      <c r="E1682" s="19" t="s">
        <v>8364</v>
      </c>
      <c r="F1682" s="19" t="s">
        <v>14</v>
      </c>
      <c r="G1682" s="19" t="s">
        <v>31</v>
      </c>
      <c r="H1682" s="19" t="s">
        <v>32</v>
      </c>
      <c r="I1682" s="19">
        <v>48</v>
      </c>
      <c r="J1682" s="19">
        <v>0</v>
      </c>
      <c r="K1682" s="19">
        <v>4</v>
      </c>
      <c r="L1682" s="19" t="s">
        <v>75</v>
      </c>
      <c r="M1682" s="21">
        <v>50.7</v>
      </c>
      <c r="N1682">
        <f t="shared" si="26"/>
        <v>0</v>
      </c>
    </row>
    <row r="1683" spans="1:14" x14ac:dyDescent="0.35">
      <c r="A1683" s="22" t="s">
        <v>1753</v>
      </c>
      <c r="B1683" s="23" t="s">
        <v>146</v>
      </c>
      <c r="C1683" s="23">
        <v>11</v>
      </c>
      <c r="D1683" s="24">
        <v>45977</v>
      </c>
      <c r="E1683" s="23" t="s">
        <v>68</v>
      </c>
      <c r="F1683" s="23" t="s">
        <v>37</v>
      </c>
      <c r="G1683" s="23" t="s">
        <v>31</v>
      </c>
      <c r="H1683" s="23" t="s">
        <v>28</v>
      </c>
      <c r="I1683" s="23">
        <v>24</v>
      </c>
      <c r="J1683" s="23">
        <v>0</v>
      </c>
      <c r="K1683" s="23">
        <v>4</v>
      </c>
      <c r="L1683" s="23" t="s">
        <v>33</v>
      </c>
      <c r="M1683" s="25">
        <v>14.3</v>
      </c>
      <c r="N1683">
        <f t="shared" si="26"/>
        <v>1</v>
      </c>
    </row>
    <row r="1684" spans="1:14" x14ac:dyDescent="0.35">
      <c r="A1684" s="6" t="s">
        <v>1754</v>
      </c>
      <c r="B1684" s="19" t="s">
        <v>143</v>
      </c>
      <c r="C1684" s="19">
        <v>2</v>
      </c>
      <c r="D1684" s="20">
        <v>45697</v>
      </c>
      <c r="E1684" s="19" t="s">
        <v>36</v>
      </c>
      <c r="F1684" s="19" t="s">
        <v>40</v>
      </c>
      <c r="G1684" s="19" t="s">
        <v>31</v>
      </c>
      <c r="H1684" s="19" t="s">
        <v>32</v>
      </c>
      <c r="I1684" s="19">
        <v>72</v>
      </c>
      <c r="J1684" s="19">
        <v>0</v>
      </c>
      <c r="K1684" s="19">
        <v>3</v>
      </c>
      <c r="L1684" s="19" t="s">
        <v>75</v>
      </c>
      <c r="M1684" s="21">
        <v>4.0999999999999996</v>
      </c>
      <c r="N1684">
        <f t="shared" si="26"/>
        <v>1</v>
      </c>
    </row>
    <row r="1685" spans="1:14" x14ac:dyDescent="0.35">
      <c r="A1685" s="22" t="s">
        <v>1755</v>
      </c>
      <c r="B1685" s="23" t="s">
        <v>146</v>
      </c>
      <c r="C1685" s="23"/>
      <c r="D1685" s="24"/>
      <c r="E1685" s="23" t="s">
        <v>13</v>
      </c>
      <c r="F1685" s="23" t="s">
        <v>14</v>
      </c>
      <c r="G1685" s="23" t="s">
        <v>27</v>
      </c>
      <c r="H1685" s="23" t="s">
        <v>32</v>
      </c>
      <c r="I1685" s="23">
        <v>8</v>
      </c>
      <c r="J1685" s="23">
        <v>0</v>
      </c>
      <c r="K1685" s="23">
        <v>3</v>
      </c>
      <c r="L1685" s="23" t="s">
        <v>55</v>
      </c>
      <c r="M1685" s="25">
        <v>14.1</v>
      </c>
      <c r="N1685">
        <f t="shared" si="26"/>
        <v>0</v>
      </c>
    </row>
    <row r="1686" spans="1:14" x14ac:dyDescent="0.35">
      <c r="A1686" s="6" t="s">
        <v>1756</v>
      </c>
      <c r="B1686" s="19" t="s">
        <v>87</v>
      </c>
      <c r="C1686" s="19">
        <v>8</v>
      </c>
      <c r="D1686" s="20">
        <v>45875</v>
      </c>
      <c r="E1686" s="19" t="s">
        <v>25</v>
      </c>
      <c r="F1686" s="19" t="s">
        <v>43</v>
      </c>
      <c r="G1686" s="19" t="s">
        <v>15</v>
      </c>
      <c r="H1686" s="19" t="s">
        <v>16</v>
      </c>
      <c r="I1686" s="19">
        <v>72</v>
      </c>
      <c r="J1686" s="19">
        <v>0</v>
      </c>
      <c r="K1686" s="19">
        <v>4</v>
      </c>
      <c r="L1686" s="19" t="s">
        <v>62</v>
      </c>
      <c r="M1686" s="21">
        <v>8.8000000000000007</v>
      </c>
      <c r="N1686">
        <f t="shared" si="26"/>
        <v>1</v>
      </c>
    </row>
    <row r="1687" spans="1:14" x14ac:dyDescent="0.35">
      <c r="A1687" s="22" t="s">
        <v>1757</v>
      </c>
      <c r="B1687" s="23" t="s">
        <v>126</v>
      </c>
      <c r="C1687" s="23">
        <v>5</v>
      </c>
      <c r="D1687" s="24">
        <v>45807</v>
      </c>
      <c r="E1687" s="23" t="s">
        <v>13</v>
      </c>
      <c r="F1687" s="23" t="s">
        <v>14</v>
      </c>
      <c r="G1687" s="23" t="s">
        <v>27</v>
      </c>
      <c r="H1687" s="23" t="s">
        <v>22</v>
      </c>
      <c r="I1687" s="23">
        <v>72</v>
      </c>
      <c r="J1687" s="23">
        <v>0</v>
      </c>
      <c r="K1687" s="23">
        <v>4</v>
      </c>
      <c r="L1687" s="23" t="s">
        <v>8363</v>
      </c>
      <c r="M1687" s="25">
        <v>4.5</v>
      </c>
      <c r="N1687">
        <f t="shared" si="26"/>
        <v>1</v>
      </c>
    </row>
    <row r="1688" spans="1:14" x14ac:dyDescent="0.35">
      <c r="A1688" s="6" t="s">
        <v>1758</v>
      </c>
      <c r="B1688" s="19" t="s">
        <v>126</v>
      </c>
      <c r="C1688" s="19">
        <v>6</v>
      </c>
      <c r="D1688" s="20">
        <v>45817</v>
      </c>
      <c r="E1688" s="19" t="s">
        <v>8364</v>
      </c>
      <c r="F1688" s="19" t="s">
        <v>40</v>
      </c>
      <c r="G1688" s="19" t="s">
        <v>31</v>
      </c>
      <c r="H1688" s="19" t="s">
        <v>28</v>
      </c>
      <c r="I1688" s="19">
        <v>48</v>
      </c>
      <c r="J1688" s="19">
        <v>0</v>
      </c>
      <c r="K1688" s="19">
        <v>5</v>
      </c>
      <c r="L1688" s="19" t="s">
        <v>44</v>
      </c>
      <c r="M1688" s="21">
        <v>7.9</v>
      </c>
      <c r="N1688">
        <f t="shared" si="26"/>
        <v>1</v>
      </c>
    </row>
    <row r="1689" spans="1:14" x14ac:dyDescent="0.35">
      <c r="A1689" s="22" t="s">
        <v>1759</v>
      </c>
      <c r="B1689" s="23" t="s">
        <v>253</v>
      </c>
      <c r="C1689" s="23"/>
      <c r="D1689" s="24"/>
      <c r="E1689" s="23" t="s">
        <v>20</v>
      </c>
      <c r="F1689" s="23" t="s">
        <v>14</v>
      </c>
      <c r="G1689" s="23" t="s">
        <v>8364</v>
      </c>
      <c r="H1689" s="23" t="s">
        <v>28</v>
      </c>
      <c r="I1689" s="23">
        <v>4</v>
      </c>
      <c r="J1689" s="23">
        <v>0</v>
      </c>
      <c r="K1689" s="23">
        <v>5</v>
      </c>
      <c r="L1689" s="23" t="s">
        <v>62</v>
      </c>
      <c r="M1689" s="25">
        <v>14.3</v>
      </c>
      <c r="N1689">
        <f t="shared" si="26"/>
        <v>0</v>
      </c>
    </row>
    <row r="1690" spans="1:14" x14ac:dyDescent="0.35">
      <c r="A1690" s="6" t="s">
        <v>1760</v>
      </c>
      <c r="B1690" s="19" t="s">
        <v>143</v>
      </c>
      <c r="C1690" s="19">
        <v>7</v>
      </c>
      <c r="D1690" s="20">
        <v>45845</v>
      </c>
      <c r="E1690" s="19" t="s">
        <v>13</v>
      </c>
      <c r="F1690" s="19" t="s">
        <v>26</v>
      </c>
      <c r="G1690" s="19" t="s">
        <v>21</v>
      </c>
      <c r="H1690" s="19" t="s">
        <v>22</v>
      </c>
      <c r="I1690" s="19">
        <v>4</v>
      </c>
      <c r="J1690" s="19">
        <v>0</v>
      </c>
      <c r="K1690" s="19">
        <v>4</v>
      </c>
      <c r="L1690" s="19" t="s">
        <v>33</v>
      </c>
      <c r="M1690" s="21">
        <v>3.8</v>
      </c>
      <c r="N1690">
        <f t="shared" si="26"/>
        <v>1</v>
      </c>
    </row>
    <row r="1691" spans="1:14" x14ac:dyDescent="0.35">
      <c r="A1691" s="22" t="s">
        <v>1761</v>
      </c>
      <c r="B1691" s="23" t="s">
        <v>130</v>
      </c>
      <c r="C1691" s="23">
        <v>3</v>
      </c>
      <c r="D1691" s="24">
        <v>45736</v>
      </c>
      <c r="E1691" s="23" t="s">
        <v>13</v>
      </c>
      <c r="F1691" s="23" t="s">
        <v>43</v>
      </c>
      <c r="G1691" s="23" t="s">
        <v>31</v>
      </c>
      <c r="H1691" s="23" t="s">
        <v>8364</v>
      </c>
      <c r="I1691" s="23">
        <v>8</v>
      </c>
      <c r="J1691" s="23">
        <v>0</v>
      </c>
      <c r="K1691" s="23">
        <v>3</v>
      </c>
      <c r="L1691" s="23" t="s">
        <v>75</v>
      </c>
      <c r="M1691" s="25">
        <v>3.6</v>
      </c>
      <c r="N1691">
        <f t="shared" si="26"/>
        <v>1</v>
      </c>
    </row>
    <row r="1692" spans="1:14" x14ac:dyDescent="0.35">
      <c r="A1692" s="6" t="s">
        <v>1762</v>
      </c>
      <c r="B1692" s="19" t="s">
        <v>53</v>
      </c>
      <c r="C1692" s="19">
        <v>11</v>
      </c>
      <c r="D1692" s="20">
        <v>45986</v>
      </c>
      <c r="E1692" s="19" t="s">
        <v>8364</v>
      </c>
      <c r="F1692" s="19" t="s">
        <v>14</v>
      </c>
      <c r="G1692" s="19" t="s">
        <v>15</v>
      </c>
      <c r="H1692" s="19" t="s">
        <v>16</v>
      </c>
      <c r="I1692" s="19">
        <v>24</v>
      </c>
      <c r="J1692" s="19"/>
      <c r="K1692" s="19">
        <v>4</v>
      </c>
      <c r="L1692" s="19" t="s">
        <v>38</v>
      </c>
      <c r="M1692" s="21">
        <v>7.7</v>
      </c>
      <c r="N1692">
        <f t="shared" si="26"/>
        <v>1</v>
      </c>
    </row>
    <row r="1693" spans="1:14" x14ac:dyDescent="0.35">
      <c r="A1693" s="22" t="s">
        <v>1763</v>
      </c>
      <c r="B1693" s="23" t="s">
        <v>85</v>
      </c>
      <c r="C1693" s="23">
        <v>6</v>
      </c>
      <c r="D1693" s="24">
        <v>45809</v>
      </c>
      <c r="E1693" s="23" t="s">
        <v>8364</v>
      </c>
      <c r="F1693" s="23" t="s">
        <v>26</v>
      </c>
      <c r="G1693" s="23" t="s">
        <v>31</v>
      </c>
      <c r="H1693" s="23" t="s">
        <v>8364</v>
      </c>
      <c r="I1693" s="23">
        <v>24</v>
      </c>
      <c r="J1693" s="23">
        <v>0</v>
      </c>
      <c r="K1693" s="23">
        <v>2</v>
      </c>
      <c r="L1693" s="23" t="s">
        <v>8363</v>
      </c>
      <c r="M1693" s="25">
        <v>5.6</v>
      </c>
      <c r="N1693">
        <f t="shared" si="26"/>
        <v>1</v>
      </c>
    </row>
    <row r="1694" spans="1:14" x14ac:dyDescent="0.35">
      <c r="A1694" s="6" t="s">
        <v>1764</v>
      </c>
      <c r="B1694" s="19" t="s">
        <v>81</v>
      </c>
      <c r="C1694" s="19"/>
      <c r="D1694" s="20"/>
      <c r="E1694" s="19" t="s">
        <v>20</v>
      </c>
      <c r="F1694" s="19" t="s">
        <v>26</v>
      </c>
      <c r="G1694" s="19" t="s">
        <v>15</v>
      </c>
      <c r="H1694" s="19" t="s">
        <v>8364</v>
      </c>
      <c r="I1694" s="19">
        <v>4</v>
      </c>
      <c r="J1694" s="19">
        <v>0</v>
      </c>
      <c r="K1694" s="19">
        <v>4</v>
      </c>
      <c r="L1694" s="19" t="s">
        <v>75</v>
      </c>
      <c r="M1694" s="21">
        <v>6</v>
      </c>
      <c r="N1694">
        <f t="shared" si="26"/>
        <v>0</v>
      </c>
    </row>
    <row r="1695" spans="1:14" x14ac:dyDescent="0.35">
      <c r="A1695" s="22" t="s">
        <v>1765</v>
      </c>
      <c r="B1695" s="23" t="s">
        <v>51</v>
      </c>
      <c r="C1695" s="23">
        <v>7</v>
      </c>
      <c r="D1695" s="24">
        <v>45847</v>
      </c>
      <c r="E1695" s="23" t="s">
        <v>68</v>
      </c>
      <c r="F1695" s="23" t="s">
        <v>26</v>
      </c>
      <c r="G1695" s="23" t="s">
        <v>27</v>
      </c>
      <c r="H1695" s="23" t="s">
        <v>32</v>
      </c>
      <c r="I1695" s="23">
        <v>4</v>
      </c>
      <c r="J1695" s="23">
        <v>1</v>
      </c>
      <c r="K1695" s="23">
        <v>5</v>
      </c>
      <c r="L1695" s="23" t="s">
        <v>8363</v>
      </c>
      <c r="M1695" s="25">
        <v>31.5</v>
      </c>
      <c r="N1695">
        <f t="shared" si="26"/>
        <v>0</v>
      </c>
    </row>
    <row r="1696" spans="1:14" x14ac:dyDescent="0.35">
      <c r="A1696" s="6" t="s">
        <v>1766</v>
      </c>
      <c r="B1696" s="19" t="s">
        <v>49</v>
      </c>
      <c r="C1696" s="19">
        <v>5</v>
      </c>
      <c r="D1696" s="20">
        <v>45782</v>
      </c>
      <c r="E1696" s="19" t="s">
        <v>13</v>
      </c>
      <c r="F1696" s="19" t="s">
        <v>40</v>
      </c>
      <c r="G1696" s="19" t="s">
        <v>8364</v>
      </c>
      <c r="H1696" s="19" t="s">
        <v>28</v>
      </c>
      <c r="I1696" s="19">
        <v>24</v>
      </c>
      <c r="J1696" s="19">
        <v>0</v>
      </c>
      <c r="K1696" s="19">
        <v>4</v>
      </c>
      <c r="L1696" s="19" t="s">
        <v>38</v>
      </c>
      <c r="M1696" s="21">
        <v>22.2</v>
      </c>
      <c r="N1696">
        <f t="shared" si="26"/>
        <v>1</v>
      </c>
    </row>
    <row r="1697" spans="1:14" x14ac:dyDescent="0.35">
      <c r="A1697" s="22" t="s">
        <v>1767</v>
      </c>
      <c r="B1697" s="23" t="s">
        <v>18</v>
      </c>
      <c r="C1697" s="23">
        <v>12</v>
      </c>
      <c r="D1697" s="24">
        <v>46021</v>
      </c>
      <c r="E1697" s="23" t="s">
        <v>68</v>
      </c>
      <c r="F1697" s="23" t="s">
        <v>26</v>
      </c>
      <c r="G1697" s="23" t="s">
        <v>15</v>
      </c>
      <c r="H1697" s="23" t="s">
        <v>8364</v>
      </c>
      <c r="I1697" s="23">
        <v>72</v>
      </c>
      <c r="J1697" s="23">
        <v>0</v>
      </c>
      <c r="K1697" s="23">
        <v>3</v>
      </c>
      <c r="L1697" s="23" t="s">
        <v>33</v>
      </c>
      <c r="M1697" s="25">
        <v>1.3</v>
      </c>
      <c r="N1697">
        <f t="shared" si="26"/>
        <v>1</v>
      </c>
    </row>
    <row r="1698" spans="1:14" x14ac:dyDescent="0.35">
      <c r="A1698" s="6" t="s">
        <v>1768</v>
      </c>
      <c r="B1698" s="19" t="s">
        <v>108</v>
      </c>
      <c r="C1698" s="19">
        <v>9</v>
      </c>
      <c r="D1698" s="20">
        <v>45925</v>
      </c>
      <c r="E1698" s="19" t="s">
        <v>36</v>
      </c>
      <c r="F1698" s="19" t="s">
        <v>14</v>
      </c>
      <c r="G1698" s="19" t="s">
        <v>31</v>
      </c>
      <c r="H1698" s="19" t="s">
        <v>22</v>
      </c>
      <c r="I1698" s="19">
        <v>72</v>
      </c>
      <c r="J1698" s="19">
        <v>0</v>
      </c>
      <c r="K1698" s="19">
        <v>2</v>
      </c>
      <c r="L1698" s="19" t="s">
        <v>55</v>
      </c>
      <c r="M1698" s="21">
        <v>21.4</v>
      </c>
      <c r="N1698">
        <f t="shared" si="26"/>
        <v>1</v>
      </c>
    </row>
    <row r="1699" spans="1:14" x14ac:dyDescent="0.35">
      <c r="A1699" s="22" t="s">
        <v>1769</v>
      </c>
      <c r="B1699" s="23" t="s">
        <v>51</v>
      </c>
      <c r="C1699" s="23">
        <v>7</v>
      </c>
      <c r="D1699" s="24">
        <v>45869</v>
      </c>
      <c r="E1699" s="23" t="s">
        <v>20</v>
      </c>
      <c r="F1699" s="23" t="s">
        <v>43</v>
      </c>
      <c r="G1699" s="23" t="s">
        <v>15</v>
      </c>
      <c r="H1699" s="23" t="s">
        <v>22</v>
      </c>
      <c r="I1699" s="23">
        <v>24</v>
      </c>
      <c r="J1699" s="23">
        <v>3</v>
      </c>
      <c r="K1699" s="23">
        <v>5</v>
      </c>
      <c r="L1699" s="23" t="s">
        <v>38</v>
      </c>
      <c r="M1699" s="25">
        <v>2.5</v>
      </c>
      <c r="N1699">
        <f t="shared" si="26"/>
        <v>1</v>
      </c>
    </row>
    <row r="1700" spans="1:14" x14ac:dyDescent="0.35">
      <c r="A1700" s="6" t="s">
        <v>1770</v>
      </c>
      <c r="B1700" s="19" t="s">
        <v>146</v>
      </c>
      <c r="C1700" s="19">
        <v>12</v>
      </c>
      <c r="D1700" s="20">
        <v>46009</v>
      </c>
      <c r="E1700" s="19" t="s">
        <v>13</v>
      </c>
      <c r="F1700" s="19" t="s">
        <v>14</v>
      </c>
      <c r="G1700" s="19" t="s">
        <v>21</v>
      </c>
      <c r="H1700" s="19" t="s">
        <v>16</v>
      </c>
      <c r="I1700" s="19">
        <v>48</v>
      </c>
      <c r="J1700" s="19">
        <v>0</v>
      </c>
      <c r="K1700" s="19">
        <v>4</v>
      </c>
      <c r="L1700" s="19" t="s">
        <v>17</v>
      </c>
      <c r="M1700" s="21">
        <v>5.9</v>
      </c>
      <c r="N1700">
        <f t="shared" si="26"/>
        <v>1</v>
      </c>
    </row>
    <row r="1701" spans="1:14" x14ac:dyDescent="0.35">
      <c r="A1701" s="22" t="s">
        <v>1771</v>
      </c>
      <c r="B1701" s="23" t="s">
        <v>143</v>
      </c>
      <c r="C1701" s="23">
        <v>12</v>
      </c>
      <c r="D1701" s="24">
        <v>46004</v>
      </c>
      <c r="E1701" s="23" t="s">
        <v>13</v>
      </c>
      <c r="F1701" s="23" t="s">
        <v>8364</v>
      </c>
      <c r="G1701" s="23" t="s">
        <v>15</v>
      </c>
      <c r="H1701" s="23" t="s">
        <v>22</v>
      </c>
      <c r="I1701" s="23">
        <v>48</v>
      </c>
      <c r="J1701" s="23">
        <v>2</v>
      </c>
      <c r="K1701" s="23">
        <v>3</v>
      </c>
      <c r="L1701" s="23" t="s">
        <v>44</v>
      </c>
      <c r="M1701" s="25">
        <v>5.0999999999999996</v>
      </c>
      <c r="N1701">
        <f t="shared" si="26"/>
        <v>1</v>
      </c>
    </row>
    <row r="1702" spans="1:14" x14ac:dyDescent="0.35">
      <c r="A1702" s="6" t="s">
        <v>1772</v>
      </c>
      <c r="B1702" s="19" t="s">
        <v>23</v>
      </c>
      <c r="C1702" s="19">
        <v>1</v>
      </c>
      <c r="D1702" s="20">
        <v>45661</v>
      </c>
      <c r="E1702" s="19" t="s">
        <v>68</v>
      </c>
      <c r="F1702" s="19" t="s">
        <v>8364</v>
      </c>
      <c r="G1702" s="19" t="s">
        <v>27</v>
      </c>
      <c r="H1702" s="19" t="s">
        <v>28</v>
      </c>
      <c r="I1702" s="19">
        <v>4</v>
      </c>
      <c r="J1702" s="19">
        <v>2</v>
      </c>
      <c r="K1702" s="19">
        <v>4</v>
      </c>
      <c r="L1702" s="19" t="s">
        <v>44</v>
      </c>
      <c r="M1702" s="21">
        <v>20.3</v>
      </c>
      <c r="N1702">
        <f t="shared" si="26"/>
        <v>0</v>
      </c>
    </row>
    <row r="1703" spans="1:14" x14ac:dyDescent="0.35">
      <c r="A1703" s="22" t="s">
        <v>1773</v>
      </c>
      <c r="B1703" s="23" t="s">
        <v>146</v>
      </c>
      <c r="C1703" s="23">
        <v>3</v>
      </c>
      <c r="D1703" s="24">
        <v>45724</v>
      </c>
      <c r="E1703" s="23" t="s">
        <v>8364</v>
      </c>
      <c r="F1703" s="23" t="s">
        <v>14</v>
      </c>
      <c r="G1703" s="23" t="s">
        <v>31</v>
      </c>
      <c r="H1703" s="23" t="s">
        <v>16</v>
      </c>
      <c r="I1703" s="23">
        <v>8</v>
      </c>
      <c r="J1703" s="23">
        <v>0</v>
      </c>
      <c r="K1703" s="23">
        <v>4</v>
      </c>
      <c r="L1703" s="23" t="s">
        <v>33</v>
      </c>
      <c r="M1703" s="25">
        <v>7.8</v>
      </c>
      <c r="N1703">
        <f t="shared" si="26"/>
        <v>1</v>
      </c>
    </row>
    <row r="1704" spans="1:14" x14ac:dyDescent="0.35">
      <c r="A1704" s="6" t="s">
        <v>1774</v>
      </c>
      <c r="B1704" s="19" t="s">
        <v>146</v>
      </c>
      <c r="C1704" s="19">
        <v>2</v>
      </c>
      <c r="D1704" s="20">
        <v>45715</v>
      </c>
      <c r="E1704" s="19" t="s">
        <v>13</v>
      </c>
      <c r="F1704" s="19" t="s">
        <v>14</v>
      </c>
      <c r="G1704" s="19" t="s">
        <v>31</v>
      </c>
      <c r="H1704" s="19" t="s">
        <v>28</v>
      </c>
      <c r="I1704" s="19">
        <v>4</v>
      </c>
      <c r="J1704" s="19">
        <v>1</v>
      </c>
      <c r="K1704" s="19">
        <v>4</v>
      </c>
      <c r="L1704" s="19" t="s">
        <v>8363</v>
      </c>
      <c r="M1704" s="21">
        <v>1.1000000000000001</v>
      </c>
      <c r="N1704">
        <f t="shared" si="26"/>
        <v>1</v>
      </c>
    </row>
    <row r="1705" spans="1:14" x14ac:dyDescent="0.35">
      <c r="A1705" s="22" t="s">
        <v>1775</v>
      </c>
      <c r="B1705" s="23" t="s">
        <v>87</v>
      </c>
      <c r="C1705" s="23">
        <v>4</v>
      </c>
      <c r="D1705" s="24">
        <v>45753</v>
      </c>
      <c r="E1705" s="23" t="s">
        <v>36</v>
      </c>
      <c r="F1705" s="23" t="s">
        <v>26</v>
      </c>
      <c r="G1705" s="23" t="s">
        <v>15</v>
      </c>
      <c r="H1705" s="23" t="s">
        <v>16</v>
      </c>
      <c r="I1705" s="23">
        <v>8</v>
      </c>
      <c r="J1705" s="23">
        <v>0</v>
      </c>
      <c r="K1705" s="23">
        <v>5</v>
      </c>
      <c r="L1705" s="23" t="s">
        <v>8363</v>
      </c>
      <c r="M1705" s="25">
        <v>18.600000000000001</v>
      </c>
      <c r="N1705">
        <f t="shared" si="26"/>
        <v>0</v>
      </c>
    </row>
    <row r="1706" spans="1:14" x14ac:dyDescent="0.35">
      <c r="A1706" s="6" t="s">
        <v>1776</v>
      </c>
      <c r="B1706" s="19" t="s">
        <v>85</v>
      </c>
      <c r="C1706" s="19">
        <v>3</v>
      </c>
      <c r="D1706" s="20">
        <v>45736</v>
      </c>
      <c r="E1706" s="19" t="s">
        <v>13</v>
      </c>
      <c r="F1706" s="19" t="s">
        <v>14</v>
      </c>
      <c r="G1706" s="19" t="s">
        <v>31</v>
      </c>
      <c r="H1706" s="19" t="s">
        <v>8364</v>
      </c>
      <c r="I1706" s="19">
        <v>24</v>
      </c>
      <c r="J1706" s="19">
        <v>0</v>
      </c>
      <c r="K1706" s="19">
        <v>5</v>
      </c>
      <c r="L1706" s="19" t="s">
        <v>8363</v>
      </c>
      <c r="M1706" s="21">
        <v>1.9</v>
      </c>
      <c r="N1706">
        <f t="shared" si="26"/>
        <v>1</v>
      </c>
    </row>
    <row r="1707" spans="1:14" x14ac:dyDescent="0.35">
      <c r="A1707" s="22" t="s">
        <v>1777</v>
      </c>
      <c r="B1707" s="23" t="s">
        <v>104</v>
      </c>
      <c r="C1707" s="23">
        <v>12</v>
      </c>
      <c r="D1707" s="24">
        <v>45998</v>
      </c>
      <c r="E1707" s="23" t="s">
        <v>68</v>
      </c>
      <c r="F1707" s="23" t="s">
        <v>8364</v>
      </c>
      <c r="G1707" s="23" t="s">
        <v>31</v>
      </c>
      <c r="H1707" s="23" t="s">
        <v>8364</v>
      </c>
      <c r="I1707" s="23">
        <v>24</v>
      </c>
      <c r="J1707" s="23">
        <v>0</v>
      </c>
      <c r="K1707" s="23">
        <v>4</v>
      </c>
      <c r="L1707" s="23" t="s">
        <v>8363</v>
      </c>
      <c r="M1707" s="25">
        <v>7.4</v>
      </c>
      <c r="N1707">
        <f t="shared" si="26"/>
        <v>1</v>
      </c>
    </row>
    <row r="1708" spans="1:14" x14ac:dyDescent="0.35">
      <c r="A1708" s="6" t="s">
        <v>1778</v>
      </c>
      <c r="B1708" s="19" t="s">
        <v>45</v>
      </c>
      <c r="C1708" s="19">
        <v>6</v>
      </c>
      <c r="D1708" s="20">
        <v>45823</v>
      </c>
      <c r="E1708" s="19" t="s">
        <v>13</v>
      </c>
      <c r="F1708" s="19" t="s">
        <v>59</v>
      </c>
      <c r="G1708" s="19" t="s">
        <v>27</v>
      </c>
      <c r="H1708" s="19" t="s">
        <v>22</v>
      </c>
      <c r="I1708" s="19">
        <v>4</v>
      </c>
      <c r="J1708" s="19">
        <v>0</v>
      </c>
      <c r="K1708" s="19">
        <v>3</v>
      </c>
      <c r="L1708" s="19" t="s">
        <v>8363</v>
      </c>
      <c r="M1708" s="21">
        <v>14.4</v>
      </c>
      <c r="N1708">
        <f t="shared" si="26"/>
        <v>0</v>
      </c>
    </row>
    <row r="1709" spans="1:14" x14ac:dyDescent="0.35">
      <c r="A1709" s="22" t="s">
        <v>1779</v>
      </c>
      <c r="B1709" s="23" t="s">
        <v>236</v>
      </c>
      <c r="C1709" s="23">
        <v>1</v>
      </c>
      <c r="D1709" s="24">
        <v>45666</v>
      </c>
      <c r="E1709" s="23" t="s">
        <v>13</v>
      </c>
      <c r="F1709" s="23" t="s">
        <v>14</v>
      </c>
      <c r="G1709" s="23" t="s">
        <v>21</v>
      </c>
      <c r="H1709" s="23" t="s">
        <v>22</v>
      </c>
      <c r="I1709" s="23">
        <v>4</v>
      </c>
      <c r="J1709" s="23">
        <v>0</v>
      </c>
      <c r="K1709" s="23">
        <v>5</v>
      </c>
      <c r="L1709" s="23" t="s">
        <v>33</v>
      </c>
      <c r="M1709" s="25">
        <v>11.6</v>
      </c>
      <c r="N1709">
        <f t="shared" si="26"/>
        <v>0</v>
      </c>
    </row>
    <row r="1710" spans="1:14" x14ac:dyDescent="0.35">
      <c r="A1710" s="6" t="s">
        <v>1780</v>
      </c>
      <c r="B1710" s="19" t="s">
        <v>49</v>
      </c>
      <c r="C1710" s="19">
        <v>5</v>
      </c>
      <c r="D1710" s="20">
        <v>45804</v>
      </c>
      <c r="E1710" s="19" t="s">
        <v>20</v>
      </c>
      <c r="F1710" s="19" t="s">
        <v>43</v>
      </c>
      <c r="G1710" s="19" t="s">
        <v>27</v>
      </c>
      <c r="H1710" s="19" t="s">
        <v>16</v>
      </c>
      <c r="I1710" s="19">
        <v>8</v>
      </c>
      <c r="J1710" s="19">
        <v>0</v>
      </c>
      <c r="K1710" s="19">
        <v>2</v>
      </c>
      <c r="L1710" s="19" t="s">
        <v>17</v>
      </c>
      <c r="M1710" s="21"/>
      <c r="N1710">
        <f t="shared" si="26"/>
        <v>1</v>
      </c>
    </row>
    <row r="1711" spans="1:14" x14ac:dyDescent="0.35">
      <c r="A1711" s="22" t="s">
        <v>1781</v>
      </c>
      <c r="B1711" s="23" t="s">
        <v>47</v>
      </c>
      <c r="C1711" s="23">
        <v>1</v>
      </c>
      <c r="D1711" s="24">
        <v>45679</v>
      </c>
      <c r="E1711" s="23" t="s">
        <v>8364</v>
      </c>
      <c r="F1711" s="23" t="s">
        <v>43</v>
      </c>
      <c r="G1711" s="23" t="s">
        <v>31</v>
      </c>
      <c r="H1711" s="23" t="s">
        <v>22</v>
      </c>
      <c r="I1711" s="23">
        <v>8</v>
      </c>
      <c r="J1711" s="23">
        <v>0</v>
      </c>
      <c r="K1711" s="23">
        <v>5</v>
      </c>
      <c r="L1711" s="23" t="s">
        <v>8363</v>
      </c>
      <c r="M1711" s="25">
        <v>19.600000000000001</v>
      </c>
      <c r="N1711">
        <f t="shared" si="26"/>
        <v>0</v>
      </c>
    </row>
    <row r="1712" spans="1:14" x14ac:dyDescent="0.35">
      <c r="A1712" s="6" t="s">
        <v>1782</v>
      </c>
      <c r="B1712" s="19" t="s">
        <v>89</v>
      </c>
      <c r="C1712" s="19">
        <v>3</v>
      </c>
      <c r="D1712" s="20">
        <v>45722</v>
      </c>
      <c r="E1712" s="19" t="s">
        <v>68</v>
      </c>
      <c r="F1712" s="19" t="s">
        <v>26</v>
      </c>
      <c r="G1712" s="19" t="s">
        <v>31</v>
      </c>
      <c r="H1712" s="19" t="s">
        <v>16</v>
      </c>
      <c r="I1712" s="19">
        <v>72</v>
      </c>
      <c r="J1712" s="19">
        <v>0</v>
      </c>
      <c r="K1712" s="19">
        <v>5</v>
      </c>
      <c r="L1712" s="19" t="s">
        <v>33</v>
      </c>
      <c r="M1712" s="21">
        <v>7.3</v>
      </c>
      <c r="N1712">
        <f t="shared" si="26"/>
        <v>1</v>
      </c>
    </row>
    <row r="1713" spans="1:14" x14ac:dyDescent="0.35">
      <c r="A1713" s="22" t="s">
        <v>1783</v>
      </c>
      <c r="B1713" s="23" t="s">
        <v>101</v>
      </c>
      <c r="C1713" s="23">
        <v>3</v>
      </c>
      <c r="D1713" s="24">
        <v>45727</v>
      </c>
      <c r="E1713" s="23" t="s">
        <v>13</v>
      </c>
      <c r="F1713" s="23" t="s">
        <v>8364</v>
      </c>
      <c r="G1713" s="23" t="s">
        <v>31</v>
      </c>
      <c r="H1713" s="23" t="s">
        <v>28</v>
      </c>
      <c r="I1713" s="23">
        <v>72</v>
      </c>
      <c r="J1713" s="23">
        <v>1</v>
      </c>
      <c r="K1713" s="23">
        <v>5</v>
      </c>
      <c r="L1713" s="23" t="s">
        <v>55</v>
      </c>
      <c r="M1713" s="25">
        <v>5.8</v>
      </c>
      <c r="N1713">
        <f t="shared" si="26"/>
        <v>1</v>
      </c>
    </row>
    <row r="1714" spans="1:14" x14ac:dyDescent="0.35">
      <c r="A1714" s="6" t="s">
        <v>1784</v>
      </c>
      <c r="B1714" s="19" t="s">
        <v>47</v>
      </c>
      <c r="C1714" s="19"/>
      <c r="D1714" s="20"/>
      <c r="E1714" s="19" t="s">
        <v>36</v>
      </c>
      <c r="F1714" s="19" t="s">
        <v>8364</v>
      </c>
      <c r="G1714" s="19" t="s">
        <v>15</v>
      </c>
      <c r="H1714" s="19" t="s">
        <v>22</v>
      </c>
      <c r="I1714" s="19">
        <v>4</v>
      </c>
      <c r="J1714" s="19">
        <v>3</v>
      </c>
      <c r="K1714" s="19">
        <v>3</v>
      </c>
      <c r="L1714" s="19" t="s">
        <v>8363</v>
      </c>
      <c r="M1714" s="21">
        <v>2.2000000000000002</v>
      </c>
      <c r="N1714">
        <f t="shared" si="26"/>
        <v>1</v>
      </c>
    </row>
    <row r="1715" spans="1:14" x14ac:dyDescent="0.35">
      <c r="A1715" s="22" t="s">
        <v>1785</v>
      </c>
      <c r="B1715" s="23" t="s">
        <v>87</v>
      </c>
      <c r="C1715" s="23">
        <v>3</v>
      </c>
      <c r="D1715" s="24">
        <v>45729</v>
      </c>
      <c r="E1715" s="23" t="s">
        <v>8364</v>
      </c>
      <c r="F1715" s="23" t="s">
        <v>8364</v>
      </c>
      <c r="G1715" s="23" t="s">
        <v>27</v>
      </c>
      <c r="H1715" s="23" t="s">
        <v>32</v>
      </c>
      <c r="I1715" s="23">
        <v>48</v>
      </c>
      <c r="J1715" s="23">
        <v>0</v>
      </c>
      <c r="K1715" s="23">
        <v>4</v>
      </c>
      <c r="L1715" s="23" t="s">
        <v>75</v>
      </c>
      <c r="M1715" s="25"/>
      <c r="N1715">
        <f t="shared" si="26"/>
        <v>1</v>
      </c>
    </row>
    <row r="1716" spans="1:14" x14ac:dyDescent="0.35">
      <c r="A1716" s="6" t="s">
        <v>1786</v>
      </c>
      <c r="B1716" s="19" t="s">
        <v>18</v>
      </c>
      <c r="C1716" s="19">
        <v>5</v>
      </c>
      <c r="D1716" s="20">
        <v>45790</v>
      </c>
      <c r="E1716" s="19" t="s">
        <v>36</v>
      </c>
      <c r="F1716" s="19" t="s">
        <v>43</v>
      </c>
      <c r="G1716" s="19" t="s">
        <v>15</v>
      </c>
      <c r="H1716" s="19" t="s">
        <v>22</v>
      </c>
      <c r="I1716" s="19">
        <v>48</v>
      </c>
      <c r="J1716" s="19">
        <v>0</v>
      </c>
      <c r="K1716" s="19">
        <v>5</v>
      </c>
      <c r="L1716" s="19" t="s">
        <v>33</v>
      </c>
      <c r="M1716" s="21">
        <v>14.7</v>
      </c>
      <c r="N1716">
        <f t="shared" si="26"/>
        <v>1</v>
      </c>
    </row>
    <row r="1717" spans="1:14" x14ac:dyDescent="0.35">
      <c r="A1717" s="22" t="s">
        <v>1787</v>
      </c>
      <c r="B1717" s="23" t="s">
        <v>65</v>
      </c>
      <c r="C1717" s="23">
        <v>1</v>
      </c>
      <c r="D1717" s="24">
        <v>45676</v>
      </c>
      <c r="E1717" s="23" t="s">
        <v>25</v>
      </c>
      <c r="F1717" s="23" t="s">
        <v>43</v>
      </c>
      <c r="G1717" s="23" t="s">
        <v>27</v>
      </c>
      <c r="H1717" s="23" t="s">
        <v>22</v>
      </c>
      <c r="I1717" s="23">
        <v>8</v>
      </c>
      <c r="J1717" s="23">
        <v>0</v>
      </c>
      <c r="K1717" s="23">
        <v>5</v>
      </c>
      <c r="L1717" s="23" t="s">
        <v>75</v>
      </c>
      <c r="M1717" s="25">
        <v>3.7</v>
      </c>
      <c r="N1717">
        <f t="shared" si="26"/>
        <v>1</v>
      </c>
    </row>
    <row r="1718" spans="1:14" x14ac:dyDescent="0.35">
      <c r="A1718" s="6" t="s">
        <v>1788</v>
      </c>
      <c r="B1718" s="19" t="s">
        <v>53</v>
      </c>
      <c r="C1718" s="19">
        <v>4</v>
      </c>
      <c r="D1718" s="20">
        <v>45754</v>
      </c>
      <c r="E1718" s="19" t="s">
        <v>36</v>
      </c>
      <c r="F1718" s="19" t="s">
        <v>43</v>
      </c>
      <c r="G1718" s="19" t="s">
        <v>21</v>
      </c>
      <c r="H1718" s="19" t="s">
        <v>22</v>
      </c>
      <c r="I1718" s="19">
        <v>48</v>
      </c>
      <c r="J1718" s="19">
        <v>0</v>
      </c>
      <c r="K1718" s="19">
        <v>4</v>
      </c>
      <c r="L1718" s="19" t="s">
        <v>44</v>
      </c>
      <c r="M1718" s="21">
        <v>9.8000000000000007</v>
      </c>
      <c r="N1718">
        <f t="shared" si="26"/>
        <v>1</v>
      </c>
    </row>
    <row r="1719" spans="1:14" x14ac:dyDescent="0.35">
      <c r="A1719" s="22" t="s">
        <v>1789</v>
      </c>
      <c r="B1719" s="23" t="s">
        <v>41</v>
      </c>
      <c r="C1719" s="23">
        <v>1</v>
      </c>
      <c r="D1719" s="24">
        <v>45662</v>
      </c>
      <c r="E1719" s="23" t="s">
        <v>36</v>
      </c>
      <c r="F1719" s="23" t="s">
        <v>43</v>
      </c>
      <c r="G1719" s="23" t="s">
        <v>21</v>
      </c>
      <c r="H1719" s="23" t="s">
        <v>28</v>
      </c>
      <c r="I1719" s="23">
        <v>8</v>
      </c>
      <c r="J1719" s="23">
        <v>1</v>
      </c>
      <c r="K1719" s="23">
        <v>4</v>
      </c>
      <c r="L1719" s="23" t="s">
        <v>44</v>
      </c>
      <c r="M1719" s="25">
        <v>10.6</v>
      </c>
      <c r="N1719">
        <f t="shared" si="26"/>
        <v>0</v>
      </c>
    </row>
    <row r="1720" spans="1:14" x14ac:dyDescent="0.35">
      <c r="A1720" s="6" t="s">
        <v>1790</v>
      </c>
      <c r="B1720" s="19" t="s">
        <v>47</v>
      </c>
      <c r="C1720" s="19">
        <v>9</v>
      </c>
      <c r="D1720" s="20">
        <v>45912</v>
      </c>
      <c r="E1720" s="19" t="s">
        <v>25</v>
      </c>
      <c r="F1720" s="19" t="s">
        <v>37</v>
      </c>
      <c r="G1720" s="19" t="s">
        <v>15</v>
      </c>
      <c r="H1720" s="19" t="s">
        <v>16</v>
      </c>
      <c r="I1720" s="19">
        <v>8</v>
      </c>
      <c r="J1720" s="19">
        <v>0</v>
      </c>
      <c r="K1720" s="19">
        <v>1</v>
      </c>
      <c r="L1720" s="19" t="s">
        <v>8363</v>
      </c>
      <c r="M1720" s="21">
        <v>5.5</v>
      </c>
      <c r="N1720">
        <f t="shared" si="26"/>
        <v>1</v>
      </c>
    </row>
    <row r="1721" spans="1:14" x14ac:dyDescent="0.35">
      <c r="A1721" s="22" t="s">
        <v>1791</v>
      </c>
      <c r="B1721" s="23" t="s">
        <v>181</v>
      </c>
      <c r="C1721" s="23">
        <v>6</v>
      </c>
      <c r="D1721" s="24">
        <v>45838</v>
      </c>
      <c r="E1721" s="23" t="s">
        <v>36</v>
      </c>
      <c r="F1721" s="23" t="s">
        <v>8364</v>
      </c>
      <c r="G1721" s="23" t="s">
        <v>31</v>
      </c>
      <c r="H1721" s="23" t="s">
        <v>28</v>
      </c>
      <c r="I1721" s="23">
        <v>24</v>
      </c>
      <c r="J1721" s="23">
        <v>0</v>
      </c>
      <c r="K1721" s="23">
        <v>5</v>
      </c>
      <c r="L1721" s="23" t="s">
        <v>44</v>
      </c>
      <c r="M1721" s="25">
        <v>14.6</v>
      </c>
      <c r="N1721">
        <f t="shared" si="26"/>
        <v>1</v>
      </c>
    </row>
    <row r="1722" spans="1:14" x14ac:dyDescent="0.35">
      <c r="A1722" s="6" t="s">
        <v>1792</v>
      </c>
      <c r="B1722" s="19" t="s">
        <v>49</v>
      </c>
      <c r="C1722" s="19">
        <v>10</v>
      </c>
      <c r="D1722" s="20">
        <v>45942</v>
      </c>
      <c r="E1722" s="19" t="s">
        <v>8364</v>
      </c>
      <c r="F1722" s="19" t="s">
        <v>14</v>
      </c>
      <c r="G1722" s="19" t="s">
        <v>31</v>
      </c>
      <c r="H1722" s="19" t="s">
        <v>8364</v>
      </c>
      <c r="I1722" s="19">
        <v>72</v>
      </c>
      <c r="J1722" s="19">
        <v>0</v>
      </c>
      <c r="K1722" s="19">
        <v>4</v>
      </c>
      <c r="L1722" s="19" t="s">
        <v>55</v>
      </c>
      <c r="M1722" s="21">
        <v>8.8000000000000007</v>
      </c>
      <c r="N1722">
        <f t="shared" si="26"/>
        <v>1</v>
      </c>
    </row>
    <row r="1723" spans="1:14" x14ac:dyDescent="0.35">
      <c r="A1723" s="22" t="s">
        <v>1793</v>
      </c>
      <c r="B1723" s="23" t="s">
        <v>65</v>
      </c>
      <c r="C1723" s="23">
        <v>11</v>
      </c>
      <c r="D1723" s="24">
        <v>45962</v>
      </c>
      <c r="E1723" s="23" t="s">
        <v>68</v>
      </c>
      <c r="F1723" s="23" t="s">
        <v>14</v>
      </c>
      <c r="G1723" s="23" t="s">
        <v>27</v>
      </c>
      <c r="H1723" s="23" t="s">
        <v>22</v>
      </c>
      <c r="I1723" s="23">
        <v>48</v>
      </c>
      <c r="J1723" s="23">
        <v>0</v>
      </c>
      <c r="K1723" s="23">
        <v>5</v>
      </c>
      <c r="L1723" s="23" t="s">
        <v>38</v>
      </c>
      <c r="M1723" s="25">
        <v>4.5999999999999996</v>
      </c>
      <c r="N1723">
        <f t="shared" si="26"/>
        <v>1</v>
      </c>
    </row>
    <row r="1724" spans="1:14" x14ac:dyDescent="0.35">
      <c r="A1724" s="6" t="s">
        <v>1794</v>
      </c>
      <c r="B1724" s="19" t="s">
        <v>69</v>
      </c>
      <c r="C1724" s="19">
        <v>4</v>
      </c>
      <c r="D1724" s="20">
        <v>45772</v>
      </c>
      <c r="E1724" s="19" t="s">
        <v>8364</v>
      </c>
      <c r="F1724" s="19" t="s">
        <v>37</v>
      </c>
      <c r="G1724" s="19" t="s">
        <v>27</v>
      </c>
      <c r="H1724" s="19" t="s">
        <v>22</v>
      </c>
      <c r="I1724" s="19">
        <v>48</v>
      </c>
      <c r="J1724" s="19">
        <v>0</v>
      </c>
      <c r="K1724" s="19">
        <v>5</v>
      </c>
      <c r="L1724" s="19" t="s">
        <v>33</v>
      </c>
      <c r="M1724" s="21">
        <v>4.7</v>
      </c>
      <c r="N1724">
        <f t="shared" si="26"/>
        <v>1</v>
      </c>
    </row>
    <row r="1725" spans="1:14" x14ac:dyDescent="0.35">
      <c r="A1725" s="22" t="s">
        <v>1795</v>
      </c>
      <c r="B1725" s="23" t="s">
        <v>65</v>
      </c>
      <c r="C1725" s="23">
        <v>2</v>
      </c>
      <c r="D1725" s="24">
        <v>45701</v>
      </c>
      <c r="E1725" s="23" t="s">
        <v>13</v>
      </c>
      <c r="F1725" s="23" t="s">
        <v>14</v>
      </c>
      <c r="G1725" s="23" t="s">
        <v>21</v>
      </c>
      <c r="H1725" s="23" t="s">
        <v>22</v>
      </c>
      <c r="I1725" s="23">
        <v>24</v>
      </c>
      <c r="J1725" s="23">
        <v>0</v>
      </c>
      <c r="K1725" s="23">
        <v>4</v>
      </c>
      <c r="L1725" s="23" t="s">
        <v>38</v>
      </c>
      <c r="M1725" s="25">
        <v>8.8000000000000007</v>
      </c>
      <c r="N1725">
        <f t="shared" si="26"/>
        <v>1</v>
      </c>
    </row>
    <row r="1726" spans="1:14" x14ac:dyDescent="0.35">
      <c r="A1726" s="6" t="s">
        <v>1796</v>
      </c>
      <c r="B1726" s="19" t="s">
        <v>34</v>
      </c>
      <c r="C1726" s="19">
        <v>1</v>
      </c>
      <c r="D1726" s="20">
        <v>45665</v>
      </c>
      <c r="E1726" s="19" t="s">
        <v>13</v>
      </c>
      <c r="F1726" s="19" t="s">
        <v>40</v>
      </c>
      <c r="G1726" s="19" t="s">
        <v>15</v>
      </c>
      <c r="H1726" s="19" t="s">
        <v>32</v>
      </c>
      <c r="I1726" s="19">
        <v>48</v>
      </c>
      <c r="J1726" s="19">
        <v>0</v>
      </c>
      <c r="K1726" s="19">
        <v>4</v>
      </c>
      <c r="L1726" s="19" t="s">
        <v>75</v>
      </c>
      <c r="M1726" s="21">
        <v>4.4000000000000004</v>
      </c>
      <c r="N1726">
        <f t="shared" si="26"/>
        <v>1</v>
      </c>
    </row>
    <row r="1727" spans="1:14" x14ac:dyDescent="0.35">
      <c r="A1727" s="22" t="s">
        <v>1797</v>
      </c>
      <c r="B1727" s="23" t="s">
        <v>29</v>
      </c>
      <c r="C1727" s="23">
        <v>9</v>
      </c>
      <c r="D1727" s="24">
        <v>45901</v>
      </c>
      <c r="E1727" s="23" t="s">
        <v>13</v>
      </c>
      <c r="F1727" s="23" t="s">
        <v>59</v>
      </c>
      <c r="G1727" s="23" t="s">
        <v>31</v>
      </c>
      <c r="H1727" s="23" t="s">
        <v>8364</v>
      </c>
      <c r="I1727" s="23">
        <v>48</v>
      </c>
      <c r="J1727" s="23">
        <v>0</v>
      </c>
      <c r="K1727" s="23">
        <v>3</v>
      </c>
      <c r="L1727" s="23" t="s">
        <v>62</v>
      </c>
      <c r="M1727" s="25">
        <v>0.7</v>
      </c>
      <c r="N1727">
        <f t="shared" si="26"/>
        <v>1</v>
      </c>
    </row>
    <row r="1728" spans="1:14" x14ac:dyDescent="0.35">
      <c r="A1728" s="6" t="s">
        <v>1798</v>
      </c>
      <c r="B1728" s="19" t="s">
        <v>81</v>
      </c>
      <c r="C1728" s="19">
        <v>5</v>
      </c>
      <c r="D1728" s="20">
        <v>45807</v>
      </c>
      <c r="E1728" s="19" t="s">
        <v>13</v>
      </c>
      <c r="F1728" s="19" t="s">
        <v>43</v>
      </c>
      <c r="G1728" s="19" t="s">
        <v>21</v>
      </c>
      <c r="H1728" s="19" t="s">
        <v>28</v>
      </c>
      <c r="I1728" s="19">
        <v>72</v>
      </c>
      <c r="J1728" s="19">
        <v>0</v>
      </c>
      <c r="K1728" s="19">
        <v>4</v>
      </c>
      <c r="L1728" s="19" t="s">
        <v>62</v>
      </c>
      <c r="M1728" s="21">
        <v>11.8</v>
      </c>
      <c r="N1728">
        <f t="shared" si="26"/>
        <v>1</v>
      </c>
    </row>
    <row r="1729" spans="1:14" x14ac:dyDescent="0.35">
      <c r="A1729" s="22" t="s">
        <v>1799</v>
      </c>
      <c r="B1729" s="23" t="s">
        <v>89</v>
      </c>
      <c r="C1729" s="23">
        <v>11</v>
      </c>
      <c r="D1729" s="24">
        <v>45973</v>
      </c>
      <c r="E1729" s="23" t="s">
        <v>25</v>
      </c>
      <c r="F1729" s="23" t="s">
        <v>43</v>
      </c>
      <c r="G1729" s="23" t="s">
        <v>15</v>
      </c>
      <c r="H1729" s="23" t="s">
        <v>22</v>
      </c>
      <c r="I1729" s="23">
        <v>4</v>
      </c>
      <c r="J1729" s="23">
        <v>0</v>
      </c>
      <c r="K1729" s="23">
        <v>2</v>
      </c>
      <c r="L1729" s="23" t="s">
        <v>55</v>
      </c>
      <c r="M1729" s="25">
        <v>24.9</v>
      </c>
      <c r="N1729">
        <f t="shared" si="26"/>
        <v>0</v>
      </c>
    </row>
    <row r="1730" spans="1:14" x14ac:dyDescent="0.35">
      <c r="A1730" s="6" t="s">
        <v>1800</v>
      </c>
      <c r="B1730" s="19" t="s">
        <v>253</v>
      </c>
      <c r="C1730" s="19">
        <v>3</v>
      </c>
      <c r="D1730" s="20">
        <v>45743</v>
      </c>
      <c r="E1730" s="19" t="s">
        <v>13</v>
      </c>
      <c r="F1730" s="19" t="s">
        <v>14</v>
      </c>
      <c r="G1730" s="19" t="s">
        <v>8364</v>
      </c>
      <c r="H1730" s="19" t="s">
        <v>22</v>
      </c>
      <c r="I1730" s="19">
        <v>4</v>
      </c>
      <c r="J1730" s="19">
        <v>0</v>
      </c>
      <c r="K1730" s="19">
        <v>3</v>
      </c>
      <c r="L1730" s="19" t="s">
        <v>8363</v>
      </c>
      <c r="M1730" s="21">
        <v>12.1</v>
      </c>
      <c r="N1730">
        <f t="shared" si="26"/>
        <v>0</v>
      </c>
    </row>
    <row r="1731" spans="1:14" x14ac:dyDescent="0.35">
      <c r="A1731" s="22" t="s">
        <v>1801</v>
      </c>
      <c r="B1731" s="23" t="s">
        <v>253</v>
      </c>
      <c r="C1731" s="23">
        <v>12</v>
      </c>
      <c r="D1731" s="24">
        <v>45997</v>
      </c>
      <c r="E1731" s="23" t="s">
        <v>25</v>
      </c>
      <c r="F1731" s="23" t="s">
        <v>14</v>
      </c>
      <c r="G1731" s="23" t="s">
        <v>31</v>
      </c>
      <c r="H1731" s="23" t="s">
        <v>22</v>
      </c>
      <c r="I1731" s="23">
        <v>24</v>
      </c>
      <c r="J1731" s="23">
        <v>1</v>
      </c>
      <c r="K1731" s="23">
        <v>4</v>
      </c>
      <c r="L1731" s="23" t="s">
        <v>8363</v>
      </c>
      <c r="M1731" s="25">
        <v>1.8</v>
      </c>
      <c r="N1731">
        <f t="shared" ref="N1731:N1794" si="27">IF(M1731 &lt;= I1731, 1, 0)</f>
        <v>1</v>
      </c>
    </row>
    <row r="1732" spans="1:14" x14ac:dyDescent="0.35">
      <c r="A1732" s="6" t="s">
        <v>1802</v>
      </c>
      <c r="B1732" s="19" t="s">
        <v>87</v>
      </c>
      <c r="C1732" s="19">
        <v>8</v>
      </c>
      <c r="D1732" s="20">
        <v>45873</v>
      </c>
      <c r="E1732" s="19" t="s">
        <v>25</v>
      </c>
      <c r="F1732" s="19" t="s">
        <v>37</v>
      </c>
      <c r="G1732" s="19" t="s">
        <v>31</v>
      </c>
      <c r="H1732" s="19" t="s">
        <v>28</v>
      </c>
      <c r="I1732" s="19">
        <v>24</v>
      </c>
      <c r="J1732" s="19">
        <v>2</v>
      </c>
      <c r="K1732" s="19"/>
      <c r="L1732" s="19" t="s">
        <v>55</v>
      </c>
      <c r="M1732" s="21">
        <v>8.3000000000000007</v>
      </c>
      <c r="N1732">
        <f t="shared" si="27"/>
        <v>1</v>
      </c>
    </row>
    <row r="1733" spans="1:14" x14ac:dyDescent="0.35">
      <c r="A1733" s="22" t="s">
        <v>1803</v>
      </c>
      <c r="B1733" s="23" t="s">
        <v>181</v>
      </c>
      <c r="C1733" s="23">
        <v>12</v>
      </c>
      <c r="D1733" s="24">
        <v>46015</v>
      </c>
      <c r="E1733" s="23" t="s">
        <v>20</v>
      </c>
      <c r="F1733" s="23" t="s">
        <v>43</v>
      </c>
      <c r="G1733" s="23" t="s">
        <v>21</v>
      </c>
      <c r="H1733" s="23" t="s">
        <v>8364</v>
      </c>
      <c r="I1733" s="23">
        <v>8</v>
      </c>
      <c r="J1733" s="23">
        <v>3</v>
      </c>
      <c r="K1733" s="23">
        <v>4</v>
      </c>
      <c r="L1733" s="23" t="s">
        <v>38</v>
      </c>
      <c r="M1733" s="25">
        <v>13.8</v>
      </c>
      <c r="N1733">
        <f t="shared" si="27"/>
        <v>0</v>
      </c>
    </row>
    <row r="1734" spans="1:14" x14ac:dyDescent="0.35">
      <c r="A1734" s="6" t="s">
        <v>1804</v>
      </c>
      <c r="B1734" s="19" t="s">
        <v>65</v>
      </c>
      <c r="C1734" s="19">
        <v>11</v>
      </c>
      <c r="D1734" s="20">
        <v>45967</v>
      </c>
      <c r="E1734" s="19" t="s">
        <v>25</v>
      </c>
      <c r="F1734" s="19" t="s">
        <v>14</v>
      </c>
      <c r="G1734" s="19" t="s">
        <v>31</v>
      </c>
      <c r="H1734" s="19" t="s">
        <v>22</v>
      </c>
      <c r="I1734" s="19">
        <v>24</v>
      </c>
      <c r="J1734" s="19">
        <v>0</v>
      </c>
      <c r="K1734" s="19">
        <v>5</v>
      </c>
      <c r="L1734" s="19" t="s">
        <v>55</v>
      </c>
      <c r="M1734" s="21">
        <v>3.8</v>
      </c>
      <c r="N1734">
        <f t="shared" si="27"/>
        <v>1</v>
      </c>
    </row>
    <row r="1735" spans="1:14" x14ac:dyDescent="0.35">
      <c r="A1735" s="22" t="s">
        <v>1805</v>
      </c>
      <c r="B1735" s="23" t="s">
        <v>41</v>
      </c>
      <c r="C1735" s="23">
        <v>2</v>
      </c>
      <c r="D1735" s="24">
        <v>45716</v>
      </c>
      <c r="E1735" s="23" t="s">
        <v>8364</v>
      </c>
      <c r="F1735" s="23" t="s">
        <v>59</v>
      </c>
      <c r="G1735" s="23" t="s">
        <v>27</v>
      </c>
      <c r="H1735" s="23" t="s">
        <v>32</v>
      </c>
      <c r="I1735" s="23">
        <v>24</v>
      </c>
      <c r="J1735" s="23">
        <v>0</v>
      </c>
      <c r="K1735" s="23">
        <v>5</v>
      </c>
      <c r="L1735" s="23" t="s">
        <v>8363</v>
      </c>
      <c r="M1735" s="25">
        <v>12.9</v>
      </c>
      <c r="N1735">
        <f t="shared" si="27"/>
        <v>1</v>
      </c>
    </row>
    <row r="1736" spans="1:14" x14ac:dyDescent="0.35">
      <c r="A1736" s="6" t="s">
        <v>1806</v>
      </c>
      <c r="B1736" s="19" t="s">
        <v>69</v>
      </c>
      <c r="C1736" s="19">
        <v>3</v>
      </c>
      <c r="D1736" s="20">
        <v>45729</v>
      </c>
      <c r="E1736" s="19" t="s">
        <v>36</v>
      </c>
      <c r="F1736" s="19" t="s">
        <v>26</v>
      </c>
      <c r="G1736" s="19" t="s">
        <v>31</v>
      </c>
      <c r="H1736" s="19" t="s">
        <v>28</v>
      </c>
      <c r="I1736" s="19">
        <v>24</v>
      </c>
      <c r="J1736" s="19">
        <v>0</v>
      </c>
      <c r="K1736" s="19">
        <v>5</v>
      </c>
      <c r="L1736" s="19" t="s">
        <v>17</v>
      </c>
      <c r="M1736" s="21">
        <v>14.3</v>
      </c>
      <c r="N1736">
        <f t="shared" si="27"/>
        <v>1</v>
      </c>
    </row>
    <row r="1737" spans="1:14" x14ac:dyDescent="0.35">
      <c r="A1737" s="22" t="s">
        <v>1807</v>
      </c>
      <c r="B1737" s="23" t="s">
        <v>108</v>
      </c>
      <c r="C1737" s="23">
        <v>2</v>
      </c>
      <c r="D1737" s="24">
        <v>45710</v>
      </c>
      <c r="E1737" s="23" t="s">
        <v>8364</v>
      </c>
      <c r="F1737" s="23" t="s">
        <v>43</v>
      </c>
      <c r="G1737" s="23" t="s">
        <v>27</v>
      </c>
      <c r="H1737" s="23" t="s">
        <v>32</v>
      </c>
      <c r="I1737" s="23">
        <v>4</v>
      </c>
      <c r="J1737" s="23">
        <v>0</v>
      </c>
      <c r="K1737" s="23"/>
      <c r="L1737" s="23" t="s">
        <v>33</v>
      </c>
      <c r="M1737" s="25">
        <v>11.3</v>
      </c>
      <c r="N1737">
        <f t="shared" si="27"/>
        <v>0</v>
      </c>
    </row>
    <row r="1738" spans="1:14" x14ac:dyDescent="0.35">
      <c r="A1738" s="6" t="s">
        <v>1808</v>
      </c>
      <c r="B1738" s="19" t="s">
        <v>29</v>
      </c>
      <c r="C1738" s="19">
        <v>9</v>
      </c>
      <c r="D1738" s="20">
        <v>45920</v>
      </c>
      <c r="E1738" s="19" t="s">
        <v>20</v>
      </c>
      <c r="F1738" s="19" t="s">
        <v>40</v>
      </c>
      <c r="G1738" s="19" t="s">
        <v>8364</v>
      </c>
      <c r="H1738" s="19" t="s">
        <v>16</v>
      </c>
      <c r="I1738" s="19">
        <v>24</v>
      </c>
      <c r="J1738" s="19">
        <v>1</v>
      </c>
      <c r="K1738" s="19">
        <v>4</v>
      </c>
      <c r="L1738" s="19" t="s">
        <v>8363</v>
      </c>
      <c r="M1738" s="21">
        <v>10.9</v>
      </c>
      <c r="N1738">
        <f t="shared" si="27"/>
        <v>1</v>
      </c>
    </row>
    <row r="1739" spans="1:14" x14ac:dyDescent="0.35">
      <c r="A1739" s="22" t="s">
        <v>1809</v>
      </c>
      <c r="B1739" s="23" t="s">
        <v>34</v>
      </c>
      <c r="C1739" s="23">
        <v>8</v>
      </c>
      <c r="D1739" s="24">
        <v>45870</v>
      </c>
      <c r="E1739" s="23" t="s">
        <v>20</v>
      </c>
      <c r="F1739" s="23" t="s">
        <v>59</v>
      </c>
      <c r="G1739" s="23" t="s">
        <v>31</v>
      </c>
      <c r="H1739" s="23" t="s">
        <v>8364</v>
      </c>
      <c r="I1739" s="23">
        <v>72</v>
      </c>
      <c r="J1739" s="23">
        <v>0</v>
      </c>
      <c r="K1739" s="23">
        <v>3</v>
      </c>
      <c r="L1739" s="23" t="s">
        <v>62</v>
      </c>
      <c r="M1739" s="25">
        <v>4.2</v>
      </c>
      <c r="N1739">
        <f t="shared" si="27"/>
        <v>1</v>
      </c>
    </row>
    <row r="1740" spans="1:14" x14ac:dyDescent="0.35">
      <c r="A1740" s="6" t="s">
        <v>1810</v>
      </c>
      <c r="B1740" s="19" t="s">
        <v>99</v>
      </c>
      <c r="C1740" s="19">
        <v>8</v>
      </c>
      <c r="D1740" s="20">
        <v>45883</v>
      </c>
      <c r="E1740" s="19" t="s">
        <v>20</v>
      </c>
      <c r="F1740" s="19" t="s">
        <v>8364</v>
      </c>
      <c r="G1740" s="19" t="s">
        <v>31</v>
      </c>
      <c r="H1740" s="19" t="s">
        <v>22</v>
      </c>
      <c r="I1740" s="19">
        <v>24</v>
      </c>
      <c r="J1740" s="19">
        <v>0</v>
      </c>
      <c r="K1740" s="19">
        <v>5</v>
      </c>
      <c r="L1740" s="19" t="s">
        <v>8363</v>
      </c>
      <c r="M1740" s="21">
        <v>18.5</v>
      </c>
      <c r="N1740">
        <f t="shared" si="27"/>
        <v>1</v>
      </c>
    </row>
    <row r="1741" spans="1:14" x14ac:dyDescent="0.35">
      <c r="A1741" s="22" t="s">
        <v>1811</v>
      </c>
      <c r="B1741" s="23" t="s">
        <v>126</v>
      </c>
      <c r="C1741" s="23">
        <v>5</v>
      </c>
      <c r="D1741" s="24">
        <v>45795</v>
      </c>
      <c r="E1741" s="23" t="s">
        <v>36</v>
      </c>
      <c r="F1741" s="23" t="s">
        <v>8364</v>
      </c>
      <c r="G1741" s="23" t="s">
        <v>15</v>
      </c>
      <c r="H1741" s="23" t="s">
        <v>32</v>
      </c>
      <c r="I1741" s="23">
        <v>4</v>
      </c>
      <c r="J1741" s="23">
        <v>0</v>
      </c>
      <c r="K1741" s="23">
        <v>4</v>
      </c>
      <c r="L1741" s="23" t="s">
        <v>44</v>
      </c>
      <c r="M1741" s="25">
        <v>1.3</v>
      </c>
      <c r="N1741">
        <f t="shared" si="27"/>
        <v>1</v>
      </c>
    </row>
    <row r="1742" spans="1:14" x14ac:dyDescent="0.35">
      <c r="A1742" s="6" t="s">
        <v>1812</v>
      </c>
      <c r="B1742" s="19" t="s">
        <v>126</v>
      </c>
      <c r="C1742" s="19">
        <v>7</v>
      </c>
      <c r="D1742" s="20">
        <v>45864</v>
      </c>
      <c r="E1742" s="19" t="s">
        <v>20</v>
      </c>
      <c r="F1742" s="19" t="s">
        <v>14</v>
      </c>
      <c r="G1742" s="19" t="s">
        <v>27</v>
      </c>
      <c r="H1742" s="19" t="s">
        <v>22</v>
      </c>
      <c r="I1742" s="19">
        <v>8</v>
      </c>
      <c r="J1742" s="19">
        <v>0</v>
      </c>
      <c r="K1742" s="19">
        <v>5</v>
      </c>
      <c r="L1742" s="19" t="s">
        <v>8363</v>
      </c>
      <c r="M1742" s="21">
        <v>5.9</v>
      </c>
      <c r="N1742">
        <f t="shared" si="27"/>
        <v>1</v>
      </c>
    </row>
    <row r="1743" spans="1:14" x14ac:dyDescent="0.35">
      <c r="A1743" s="22" t="s">
        <v>1813</v>
      </c>
      <c r="B1743" s="23" t="s">
        <v>78</v>
      </c>
      <c r="C1743" s="23">
        <v>3</v>
      </c>
      <c r="D1743" s="24">
        <v>45733</v>
      </c>
      <c r="E1743" s="23" t="s">
        <v>25</v>
      </c>
      <c r="F1743" s="23" t="s">
        <v>43</v>
      </c>
      <c r="G1743" s="23" t="s">
        <v>21</v>
      </c>
      <c r="H1743" s="23" t="s">
        <v>8364</v>
      </c>
      <c r="I1743" s="23">
        <v>8</v>
      </c>
      <c r="J1743" s="23">
        <v>3</v>
      </c>
      <c r="K1743" s="23">
        <v>4</v>
      </c>
      <c r="L1743" s="23" t="s">
        <v>38</v>
      </c>
      <c r="M1743" s="25">
        <v>22.3</v>
      </c>
      <c r="N1743">
        <f t="shared" si="27"/>
        <v>0</v>
      </c>
    </row>
    <row r="1744" spans="1:14" x14ac:dyDescent="0.35">
      <c r="A1744" s="6" t="s">
        <v>1814</v>
      </c>
      <c r="B1744" s="19" t="s">
        <v>34</v>
      </c>
      <c r="C1744" s="19">
        <v>4</v>
      </c>
      <c r="D1744" s="20">
        <v>45755</v>
      </c>
      <c r="E1744" s="19" t="s">
        <v>36</v>
      </c>
      <c r="F1744" s="19" t="s">
        <v>8364</v>
      </c>
      <c r="G1744" s="19" t="s">
        <v>27</v>
      </c>
      <c r="H1744" s="19" t="s">
        <v>22</v>
      </c>
      <c r="I1744" s="19">
        <v>24</v>
      </c>
      <c r="J1744" s="19">
        <v>0</v>
      </c>
      <c r="K1744" s="19">
        <v>5</v>
      </c>
      <c r="L1744" s="19" t="s">
        <v>55</v>
      </c>
      <c r="M1744" s="21">
        <v>13.1</v>
      </c>
      <c r="N1744">
        <f t="shared" si="27"/>
        <v>1</v>
      </c>
    </row>
    <row r="1745" spans="1:14" x14ac:dyDescent="0.35">
      <c r="A1745" s="22" t="s">
        <v>1815</v>
      </c>
      <c r="B1745" s="23" t="s">
        <v>23</v>
      </c>
      <c r="C1745" s="23">
        <v>11</v>
      </c>
      <c r="D1745" s="24">
        <v>45967</v>
      </c>
      <c r="E1745" s="23" t="s">
        <v>36</v>
      </c>
      <c r="F1745" s="23" t="s">
        <v>40</v>
      </c>
      <c r="G1745" s="23" t="s">
        <v>15</v>
      </c>
      <c r="H1745" s="23" t="s">
        <v>28</v>
      </c>
      <c r="I1745" s="23">
        <v>24</v>
      </c>
      <c r="J1745" s="23">
        <v>2</v>
      </c>
      <c r="K1745" s="23">
        <v>3</v>
      </c>
      <c r="L1745" s="23" t="s">
        <v>38</v>
      </c>
      <c r="M1745" s="25">
        <v>7.1</v>
      </c>
      <c r="N1745">
        <f t="shared" si="27"/>
        <v>1</v>
      </c>
    </row>
    <row r="1746" spans="1:14" x14ac:dyDescent="0.35">
      <c r="A1746" s="6" t="s">
        <v>1816</v>
      </c>
      <c r="B1746" s="19" t="s">
        <v>51</v>
      </c>
      <c r="C1746" s="19">
        <v>1</v>
      </c>
      <c r="D1746" s="20">
        <v>45685</v>
      </c>
      <c r="E1746" s="19" t="s">
        <v>36</v>
      </c>
      <c r="F1746" s="19" t="s">
        <v>14</v>
      </c>
      <c r="G1746" s="19" t="s">
        <v>15</v>
      </c>
      <c r="H1746" s="19" t="s">
        <v>22</v>
      </c>
      <c r="I1746" s="19">
        <v>4</v>
      </c>
      <c r="J1746" s="19">
        <v>1</v>
      </c>
      <c r="K1746" s="19">
        <v>5</v>
      </c>
      <c r="L1746" s="19" t="s">
        <v>75</v>
      </c>
      <c r="M1746" s="21">
        <v>2.1</v>
      </c>
      <c r="N1746">
        <f t="shared" si="27"/>
        <v>1</v>
      </c>
    </row>
    <row r="1747" spans="1:14" x14ac:dyDescent="0.35">
      <c r="A1747" s="22" t="s">
        <v>1817</v>
      </c>
      <c r="B1747" s="23" t="s">
        <v>146</v>
      </c>
      <c r="C1747" s="23">
        <v>2</v>
      </c>
      <c r="D1747" s="24">
        <v>45714</v>
      </c>
      <c r="E1747" s="23" t="s">
        <v>68</v>
      </c>
      <c r="F1747" s="23" t="s">
        <v>14</v>
      </c>
      <c r="G1747" s="23" t="s">
        <v>31</v>
      </c>
      <c r="H1747" s="23" t="s">
        <v>32</v>
      </c>
      <c r="I1747" s="23">
        <v>8</v>
      </c>
      <c r="J1747" s="23">
        <v>0</v>
      </c>
      <c r="K1747" s="23">
        <v>3</v>
      </c>
      <c r="L1747" s="23" t="s">
        <v>17</v>
      </c>
      <c r="M1747" s="25">
        <v>11.9</v>
      </c>
      <c r="N1747">
        <f t="shared" si="27"/>
        <v>0</v>
      </c>
    </row>
    <row r="1748" spans="1:14" x14ac:dyDescent="0.35">
      <c r="A1748" s="6" t="s">
        <v>1818</v>
      </c>
      <c r="B1748" s="19" t="s">
        <v>99</v>
      </c>
      <c r="C1748" s="19">
        <v>7</v>
      </c>
      <c r="D1748" s="20">
        <v>45861</v>
      </c>
      <c r="E1748" s="19" t="s">
        <v>13</v>
      </c>
      <c r="F1748" s="19" t="s">
        <v>43</v>
      </c>
      <c r="G1748" s="19" t="s">
        <v>21</v>
      </c>
      <c r="H1748" s="19" t="s">
        <v>8364</v>
      </c>
      <c r="I1748" s="19">
        <v>48</v>
      </c>
      <c r="J1748" s="19">
        <v>0</v>
      </c>
      <c r="K1748" s="19"/>
      <c r="L1748" s="19" t="s">
        <v>33</v>
      </c>
      <c r="M1748" s="21">
        <v>3.2</v>
      </c>
      <c r="N1748">
        <f t="shared" si="27"/>
        <v>1</v>
      </c>
    </row>
    <row r="1749" spans="1:14" x14ac:dyDescent="0.35">
      <c r="A1749" s="22" t="s">
        <v>1819</v>
      </c>
      <c r="B1749" s="23" t="s">
        <v>65</v>
      </c>
      <c r="C1749" s="23">
        <v>2</v>
      </c>
      <c r="D1749" s="24">
        <v>45693</v>
      </c>
      <c r="E1749" s="23" t="s">
        <v>25</v>
      </c>
      <c r="F1749" s="23" t="s">
        <v>14</v>
      </c>
      <c r="G1749" s="23" t="s">
        <v>15</v>
      </c>
      <c r="H1749" s="23" t="s">
        <v>32</v>
      </c>
      <c r="I1749" s="23">
        <v>24</v>
      </c>
      <c r="J1749" s="23">
        <v>0</v>
      </c>
      <c r="K1749" s="23"/>
      <c r="L1749" s="23" t="s">
        <v>8363</v>
      </c>
      <c r="M1749" s="25">
        <v>5.5</v>
      </c>
      <c r="N1749">
        <f t="shared" si="27"/>
        <v>1</v>
      </c>
    </row>
    <row r="1750" spans="1:14" x14ac:dyDescent="0.35">
      <c r="A1750" s="6" t="s">
        <v>1820</v>
      </c>
      <c r="B1750" s="19" t="s">
        <v>34</v>
      </c>
      <c r="C1750" s="19">
        <v>4</v>
      </c>
      <c r="D1750" s="20">
        <v>45764</v>
      </c>
      <c r="E1750" s="19" t="s">
        <v>25</v>
      </c>
      <c r="F1750" s="19" t="s">
        <v>59</v>
      </c>
      <c r="G1750" s="19" t="s">
        <v>21</v>
      </c>
      <c r="H1750" s="19" t="s">
        <v>8364</v>
      </c>
      <c r="I1750" s="19">
        <v>72</v>
      </c>
      <c r="J1750" s="19">
        <v>0</v>
      </c>
      <c r="K1750" s="19">
        <v>5</v>
      </c>
      <c r="L1750" s="19" t="s">
        <v>44</v>
      </c>
      <c r="M1750" s="21">
        <v>2.4</v>
      </c>
      <c r="N1750">
        <f t="shared" si="27"/>
        <v>1</v>
      </c>
    </row>
    <row r="1751" spans="1:14" x14ac:dyDescent="0.35">
      <c r="A1751" s="22" t="s">
        <v>1821</v>
      </c>
      <c r="B1751" s="23" t="s">
        <v>34</v>
      </c>
      <c r="C1751" s="23">
        <v>7</v>
      </c>
      <c r="D1751" s="24">
        <v>45851</v>
      </c>
      <c r="E1751" s="23" t="s">
        <v>20</v>
      </c>
      <c r="F1751" s="23" t="s">
        <v>14</v>
      </c>
      <c r="G1751" s="23" t="s">
        <v>15</v>
      </c>
      <c r="H1751" s="23" t="s">
        <v>16</v>
      </c>
      <c r="I1751" s="23">
        <v>8</v>
      </c>
      <c r="J1751" s="23">
        <v>0</v>
      </c>
      <c r="K1751" s="23">
        <v>5</v>
      </c>
      <c r="L1751" s="23" t="s">
        <v>33</v>
      </c>
      <c r="M1751" s="25">
        <v>17.3</v>
      </c>
      <c r="N1751">
        <f t="shared" si="27"/>
        <v>0</v>
      </c>
    </row>
    <row r="1752" spans="1:14" x14ac:dyDescent="0.35">
      <c r="A1752" s="6" t="s">
        <v>1822</v>
      </c>
      <c r="B1752" s="19" t="s">
        <v>78</v>
      </c>
      <c r="C1752" s="19">
        <v>8</v>
      </c>
      <c r="D1752" s="20">
        <v>45900</v>
      </c>
      <c r="E1752" s="19" t="s">
        <v>25</v>
      </c>
      <c r="F1752" s="19" t="s">
        <v>14</v>
      </c>
      <c r="G1752" s="19" t="s">
        <v>31</v>
      </c>
      <c r="H1752" s="19" t="s">
        <v>8364</v>
      </c>
      <c r="I1752" s="19">
        <v>24</v>
      </c>
      <c r="J1752" s="19">
        <v>0</v>
      </c>
      <c r="K1752" s="19">
        <v>5</v>
      </c>
      <c r="L1752" s="19" t="s">
        <v>8363</v>
      </c>
      <c r="M1752" s="21">
        <v>1.4</v>
      </c>
      <c r="N1752">
        <f t="shared" si="27"/>
        <v>1</v>
      </c>
    </row>
    <row r="1753" spans="1:14" x14ac:dyDescent="0.35">
      <c r="A1753" s="22" t="s">
        <v>1823</v>
      </c>
      <c r="B1753" s="23" t="s">
        <v>236</v>
      </c>
      <c r="C1753" s="23">
        <v>10</v>
      </c>
      <c r="D1753" s="24">
        <v>45931</v>
      </c>
      <c r="E1753" s="23" t="s">
        <v>25</v>
      </c>
      <c r="F1753" s="23" t="s">
        <v>43</v>
      </c>
      <c r="G1753" s="23" t="s">
        <v>15</v>
      </c>
      <c r="H1753" s="23" t="s">
        <v>16</v>
      </c>
      <c r="I1753" s="23">
        <v>8</v>
      </c>
      <c r="J1753" s="23">
        <v>0</v>
      </c>
      <c r="K1753" s="23">
        <v>5</v>
      </c>
      <c r="L1753" s="23" t="s">
        <v>8363</v>
      </c>
      <c r="M1753" s="25">
        <v>6.4</v>
      </c>
      <c r="N1753">
        <f t="shared" si="27"/>
        <v>1</v>
      </c>
    </row>
    <row r="1754" spans="1:14" x14ac:dyDescent="0.35">
      <c r="A1754" s="6" t="s">
        <v>1824</v>
      </c>
      <c r="B1754" s="19" t="s">
        <v>158</v>
      </c>
      <c r="C1754" s="19">
        <v>8</v>
      </c>
      <c r="D1754" s="20">
        <v>45895</v>
      </c>
      <c r="E1754" s="19" t="s">
        <v>13</v>
      </c>
      <c r="F1754" s="19" t="s">
        <v>8364</v>
      </c>
      <c r="G1754" s="19" t="s">
        <v>31</v>
      </c>
      <c r="H1754" s="19" t="s">
        <v>22</v>
      </c>
      <c r="I1754" s="19">
        <v>48</v>
      </c>
      <c r="J1754" s="19">
        <v>0</v>
      </c>
      <c r="K1754" s="19">
        <v>4</v>
      </c>
      <c r="L1754" s="19" t="s">
        <v>17</v>
      </c>
      <c r="M1754" s="21">
        <v>18</v>
      </c>
      <c r="N1754">
        <f t="shared" si="27"/>
        <v>1</v>
      </c>
    </row>
    <row r="1755" spans="1:14" x14ac:dyDescent="0.35">
      <c r="A1755" s="22" t="s">
        <v>1825</v>
      </c>
      <c r="B1755" s="23" t="s">
        <v>97</v>
      </c>
      <c r="C1755" s="23">
        <v>10</v>
      </c>
      <c r="D1755" s="24">
        <v>45931</v>
      </c>
      <c r="E1755" s="23" t="s">
        <v>13</v>
      </c>
      <c r="F1755" s="23" t="s">
        <v>14</v>
      </c>
      <c r="G1755" s="23" t="s">
        <v>15</v>
      </c>
      <c r="H1755" s="23" t="s">
        <v>32</v>
      </c>
      <c r="I1755" s="23">
        <v>24</v>
      </c>
      <c r="J1755" s="23">
        <v>2</v>
      </c>
      <c r="K1755" s="23">
        <v>4</v>
      </c>
      <c r="L1755" s="23" t="s">
        <v>33</v>
      </c>
      <c r="M1755" s="25">
        <v>6.6</v>
      </c>
      <c r="N1755">
        <f t="shared" si="27"/>
        <v>1</v>
      </c>
    </row>
    <row r="1756" spans="1:14" x14ac:dyDescent="0.35">
      <c r="A1756" s="6" t="s">
        <v>1826</v>
      </c>
      <c r="B1756" s="19" t="s">
        <v>49</v>
      </c>
      <c r="C1756" s="19">
        <v>7</v>
      </c>
      <c r="D1756" s="20">
        <v>45853</v>
      </c>
      <c r="E1756" s="19" t="s">
        <v>36</v>
      </c>
      <c r="F1756" s="19" t="s">
        <v>59</v>
      </c>
      <c r="G1756" s="19" t="s">
        <v>15</v>
      </c>
      <c r="H1756" s="19" t="s">
        <v>16</v>
      </c>
      <c r="I1756" s="19">
        <v>24</v>
      </c>
      <c r="J1756" s="19">
        <v>0</v>
      </c>
      <c r="K1756" s="19">
        <v>4</v>
      </c>
      <c r="L1756" s="19" t="s">
        <v>8363</v>
      </c>
      <c r="M1756" s="21">
        <v>19.399999999999999</v>
      </c>
      <c r="N1756">
        <f t="shared" si="27"/>
        <v>1</v>
      </c>
    </row>
    <row r="1757" spans="1:14" x14ac:dyDescent="0.35">
      <c r="A1757" s="22" t="s">
        <v>1827</v>
      </c>
      <c r="B1757" s="23" t="s">
        <v>130</v>
      </c>
      <c r="C1757" s="23"/>
      <c r="D1757" s="24"/>
      <c r="E1757" s="23" t="s">
        <v>25</v>
      </c>
      <c r="F1757" s="23" t="s">
        <v>14</v>
      </c>
      <c r="G1757" s="23" t="s">
        <v>31</v>
      </c>
      <c r="H1757" s="23" t="s">
        <v>22</v>
      </c>
      <c r="I1757" s="23">
        <v>72</v>
      </c>
      <c r="J1757" s="23">
        <v>1</v>
      </c>
      <c r="K1757" s="23">
        <v>4</v>
      </c>
      <c r="L1757" s="23" t="s">
        <v>33</v>
      </c>
      <c r="M1757" s="25">
        <v>32.6</v>
      </c>
      <c r="N1757">
        <f t="shared" si="27"/>
        <v>1</v>
      </c>
    </row>
    <row r="1758" spans="1:14" x14ac:dyDescent="0.35">
      <c r="A1758" s="6" t="s">
        <v>1828</v>
      </c>
      <c r="B1758" s="19" t="s">
        <v>253</v>
      </c>
      <c r="C1758" s="19">
        <v>2</v>
      </c>
      <c r="D1758" s="20">
        <v>45695</v>
      </c>
      <c r="E1758" s="19" t="s">
        <v>13</v>
      </c>
      <c r="F1758" s="19" t="s">
        <v>14</v>
      </c>
      <c r="G1758" s="19" t="s">
        <v>27</v>
      </c>
      <c r="H1758" s="19" t="s">
        <v>22</v>
      </c>
      <c r="I1758" s="19">
        <v>72</v>
      </c>
      <c r="J1758" s="19">
        <v>0</v>
      </c>
      <c r="K1758" s="19">
        <v>4</v>
      </c>
      <c r="L1758" s="19" t="s">
        <v>38</v>
      </c>
      <c r="M1758" s="21">
        <v>5.0999999999999996</v>
      </c>
      <c r="N1758">
        <f t="shared" si="27"/>
        <v>1</v>
      </c>
    </row>
    <row r="1759" spans="1:14" x14ac:dyDescent="0.35">
      <c r="A1759" s="22" t="s">
        <v>1829</v>
      </c>
      <c r="B1759" s="23" t="s">
        <v>253</v>
      </c>
      <c r="C1759" s="23">
        <v>5</v>
      </c>
      <c r="D1759" s="24">
        <v>45808</v>
      </c>
      <c r="E1759" s="23" t="s">
        <v>8364</v>
      </c>
      <c r="F1759" s="23" t="s">
        <v>40</v>
      </c>
      <c r="G1759" s="23" t="s">
        <v>27</v>
      </c>
      <c r="H1759" s="23" t="s">
        <v>28</v>
      </c>
      <c r="I1759" s="23">
        <v>4</v>
      </c>
      <c r="J1759" s="23">
        <v>1</v>
      </c>
      <c r="K1759" s="23">
        <v>4</v>
      </c>
      <c r="L1759" s="23" t="s">
        <v>33</v>
      </c>
      <c r="M1759" s="25">
        <v>7.7</v>
      </c>
      <c r="N1759">
        <f t="shared" si="27"/>
        <v>0</v>
      </c>
    </row>
    <row r="1760" spans="1:14" x14ac:dyDescent="0.35">
      <c r="A1760" s="6" t="s">
        <v>1830</v>
      </c>
      <c r="B1760" s="19" t="s">
        <v>39</v>
      </c>
      <c r="C1760" s="19">
        <v>4</v>
      </c>
      <c r="D1760" s="20">
        <v>45750</v>
      </c>
      <c r="E1760" s="19" t="s">
        <v>13</v>
      </c>
      <c r="F1760" s="19" t="s">
        <v>37</v>
      </c>
      <c r="G1760" s="19" t="s">
        <v>8364</v>
      </c>
      <c r="H1760" s="19" t="s">
        <v>22</v>
      </c>
      <c r="I1760" s="19">
        <v>24</v>
      </c>
      <c r="J1760" s="19">
        <v>0</v>
      </c>
      <c r="K1760" s="19">
        <v>4</v>
      </c>
      <c r="L1760" s="19" t="s">
        <v>8363</v>
      </c>
      <c r="M1760" s="21">
        <v>3.8</v>
      </c>
      <c r="N1760">
        <f t="shared" si="27"/>
        <v>1</v>
      </c>
    </row>
    <row r="1761" spans="1:14" x14ac:dyDescent="0.35">
      <c r="A1761" s="22" t="s">
        <v>1831</v>
      </c>
      <c r="B1761" s="23" t="s">
        <v>34</v>
      </c>
      <c r="C1761" s="23">
        <v>6</v>
      </c>
      <c r="D1761" s="24">
        <v>45818</v>
      </c>
      <c r="E1761" s="23" t="s">
        <v>13</v>
      </c>
      <c r="F1761" s="23" t="s">
        <v>14</v>
      </c>
      <c r="G1761" s="23" t="s">
        <v>31</v>
      </c>
      <c r="H1761" s="23" t="s">
        <v>32</v>
      </c>
      <c r="I1761" s="23">
        <v>8</v>
      </c>
      <c r="J1761" s="23">
        <v>0</v>
      </c>
      <c r="K1761" s="23">
        <v>4</v>
      </c>
      <c r="L1761" s="23" t="s">
        <v>33</v>
      </c>
      <c r="M1761" s="25">
        <v>17.899999999999999</v>
      </c>
      <c r="N1761">
        <f t="shared" si="27"/>
        <v>0</v>
      </c>
    </row>
    <row r="1762" spans="1:14" x14ac:dyDescent="0.35">
      <c r="A1762" s="6" t="s">
        <v>1832</v>
      </c>
      <c r="B1762" s="19" t="s">
        <v>23</v>
      </c>
      <c r="C1762" s="19">
        <v>10</v>
      </c>
      <c r="D1762" s="20">
        <v>45957</v>
      </c>
      <c r="E1762" s="19" t="s">
        <v>36</v>
      </c>
      <c r="F1762" s="19" t="s">
        <v>14</v>
      </c>
      <c r="G1762" s="19" t="s">
        <v>27</v>
      </c>
      <c r="H1762" s="19" t="s">
        <v>22</v>
      </c>
      <c r="I1762" s="19">
        <v>24</v>
      </c>
      <c r="J1762" s="19">
        <v>0</v>
      </c>
      <c r="K1762" s="19">
        <v>4</v>
      </c>
      <c r="L1762" s="19" t="s">
        <v>17</v>
      </c>
      <c r="M1762" s="21">
        <v>17.899999999999999</v>
      </c>
      <c r="N1762">
        <f t="shared" si="27"/>
        <v>1</v>
      </c>
    </row>
    <row r="1763" spans="1:14" x14ac:dyDescent="0.35">
      <c r="A1763" s="22" t="s">
        <v>1833</v>
      </c>
      <c r="B1763" s="23" t="s">
        <v>41</v>
      </c>
      <c r="C1763" s="23"/>
      <c r="D1763" s="24"/>
      <c r="E1763" s="23" t="s">
        <v>25</v>
      </c>
      <c r="F1763" s="23" t="s">
        <v>8364</v>
      </c>
      <c r="G1763" s="23" t="s">
        <v>27</v>
      </c>
      <c r="H1763" s="23" t="s">
        <v>22</v>
      </c>
      <c r="I1763" s="23">
        <v>8</v>
      </c>
      <c r="J1763" s="23">
        <v>0</v>
      </c>
      <c r="K1763" s="23">
        <v>4</v>
      </c>
      <c r="L1763" s="23" t="s">
        <v>75</v>
      </c>
      <c r="M1763" s="25">
        <v>4.3</v>
      </c>
      <c r="N1763">
        <f t="shared" si="27"/>
        <v>1</v>
      </c>
    </row>
    <row r="1764" spans="1:14" x14ac:dyDescent="0.35">
      <c r="A1764" s="6" t="s">
        <v>1834</v>
      </c>
      <c r="B1764" s="19" t="s">
        <v>236</v>
      </c>
      <c r="C1764" s="19">
        <v>12</v>
      </c>
      <c r="D1764" s="20">
        <v>46003</v>
      </c>
      <c r="E1764" s="19" t="s">
        <v>13</v>
      </c>
      <c r="F1764" s="19" t="s">
        <v>37</v>
      </c>
      <c r="G1764" s="19" t="s">
        <v>27</v>
      </c>
      <c r="H1764" s="19" t="s">
        <v>8364</v>
      </c>
      <c r="I1764" s="19">
        <v>8</v>
      </c>
      <c r="J1764" s="19">
        <v>0</v>
      </c>
      <c r="K1764" s="19">
        <v>3</v>
      </c>
      <c r="L1764" s="19" t="s">
        <v>8363</v>
      </c>
      <c r="M1764" s="21">
        <v>27.1</v>
      </c>
      <c r="N1764">
        <f t="shared" si="27"/>
        <v>0</v>
      </c>
    </row>
    <row r="1765" spans="1:14" x14ac:dyDescent="0.35">
      <c r="A1765" s="22" t="s">
        <v>1835</v>
      </c>
      <c r="B1765" s="23" t="s">
        <v>97</v>
      </c>
      <c r="C1765" s="23">
        <v>11</v>
      </c>
      <c r="D1765" s="24">
        <v>45969</v>
      </c>
      <c r="E1765" s="23" t="s">
        <v>25</v>
      </c>
      <c r="F1765" s="23" t="s">
        <v>43</v>
      </c>
      <c r="G1765" s="23" t="s">
        <v>21</v>
      </c>
      <c r="H1765" s="23" t="s">
        <v>28</v>
      </c>
      <c r="I1765" s="23">
        <v>4</v>
      </c>
      <c r="J1765" s="23">
        <v>1</v>
      </c>
      <c r="K1765" s="23">
        <v>5</v>
      </c>
      <c r="L1765" s="23" t="s">
        <v>8363</v>
      </c>
      <c r="M1765" s="25">
        <v>9.3000000000000007</v>
      </c>
      <c r="N1765">
        <f t="shared" si="27"/>
        <v>0</v>
      </c>
    </row>
    <row r="1766" spans="1:14" x14ac:dyDescent="0.35">
      <c r="A1766" s="6" t="s">
        <v>1836</v>
      </c>
      <c r="B1766" s="19" t="s">
        <v>41</v>
      </c>
      <c r="C1766" s="19">
        <v>9</v>
      </c>
      <c r="D1766" s="20">
        <v>45924</v>
      </c>
      <c r="E1766" s="19" t="s">
        <v>25</v>
      </c>
      <c r="F1766" s="19" t="s">
        <v>26</v>
      </c>
      <c r="G1766" s="19" t="s">
        <v>27</v>
      </c>
      <c r="H1766" s="19" t="s">
        <v>8364</v>
      </c>
      <c r="I1766" s="19">
        <v>24</v>
      </c>
      <c r="J1766" s="19">
        <v>0</v>
      </c>
      <c r="K1766" s="19">
        <v>4</v>
      </c>
      <c r="L1766" s="19" t="s">
        <v>38</v>
      </c>
      <c r="M1766" s="21">
        <v>10.9</v>
      </c>
      <c r="N1766">
        <f t="shared" si="27"/>
        <v>1</v>
      </c>
    </row>
    <row r="1767" spans="1:14" x14ac:dyDescent="0.35">
      <c r="A1767" s="22" t="s">
        <v>1837</v>
      </c>
      <c r="B1767" s="23" t="s">
        <v>101</v>
      </c>
      <c r="C1767" s="23">
        <v>3</v>
      </c>
      <c r="D1767" s="24">
        <v>45718</v>
      </c>
      <c r="E1767" s="23" t="s">
        <v>25</v>
      </c>
      <c r="F1767" s="23" t="s">
        <v>14</v>
      </c>
      <c r="G1767" s="23" t="s">
        <v>31</v>
      </c>
      <c r="H1767" s="23" t="s">
        <v>28</v>
      </c>
      <c r="I1767" s="23">
        <v>4</v>
      </c>
      <c r="J1767" s="23">
        <v>2</v>
      </c>
      <c r="K1767" s="23">
        <v>5</v>
      </c>
      <c r="L1767" s="23" t="s">
        <v>44</v>
      </c>
      <c r="M1767" s="25">
        <v>8.3000000000000007</v>
      </c>
      <c r="N1767">
        <f t="shared" si="27"/>
        <v>0</v>
      </c>
    </row>
    <row r="1768" spans="1:14" x14ac:dyDescent="0.35">
      <c r="A1768" s="6" t="s">
        <v>1838</v>
      </c>
      <c r="B1768" s="19" t="s">
        <v>78</v>
      </c>
      <c r="C1768" s="19">
        <v>4</v>
      </c>
      <c r="D1768" s="20">
        <v>45751</v>
      </c>
      <c r="E1768" s="19" t="s">
        <v>25</v>
      </c>
      <c r="F1768" s="19" t="s">
        <v>14</v>
      </c>
      <c r="G1768" s="19" t="s">
        <v>21</v>
      </c>
      <c r="H1768" s="19" t="s">
        <v>22</v>
      </c>
      <c r="I1768" s="19">
        <v>8</v>
      </c>
      <c r="J1768" s="19">
        <v>0</v>
      </c>
      <c r="K1768" s="19">
        <v>4</v>
      </c>
      <c r="L1768" s="19" t="s">
        <v>75</v>
      </c>
      <c r="M1768" s="21">
        <v>17</v>
      </c>
      <c r="N1768">
        <f t="shared" si="27"/>
        <v>0</v>
      </c>
    </row>
    <row r="1769" spans="1:14" x14ac:dyDescent="0.35">
      <c r="A1769" s="22" t="s">
        <v>1839</v>
      </c>
      <c r="B1769" s="23" t="s">
        <v>41</v>
      </c>
      <c r="C1769" s="23"/>
      <c r="D1769" s="24"/>
      <c r="E1769" s="23" t="s">
        <v>13</v>
      </c>
      <c r="F1769" s="23" t="s">
        <v>40</v>
      </c>
      <c r="G1769" s="23" t="s">
        <v>31</v>
      </c>
      <c r="H1769" s="23" t="s">
        <v>8364</v>
      </c>
      <c r="I1769" s="23">
        <v>24</v>
      </c>
      <c r="J1769" s="23">
        <v>0</v>
      </c>
      <c r="K1769" s="23">
        <v>4</v>
      </c>
      <c r="L1769" s="23" t="s">
        <v>75</v>
      </c>
      <c r="M1769" s="25">
        <v>8.3000000000000007</v>
      </c>
      <c r="N1769">
        <f t="shared" si="27"/>
        <v>1</v>
      </c>
    </row>
    <row r="1770" spans="1:14" x14ac:dyDescent="0.35">
      <c r="A1770" s="6" t="s">
        <v>1840</v>
      </c>
      <c r="B1770" s="19" t="s">
        <v>69</v>
      </c>
      <c r="C1770" s="19">
        <v>1</v>
      </c>
      <c r="D1770" s="20">
        <v>45676</v>
      </c>
      <c r="E1770" s="19" t="s">
        <v>36</v>
      </c>
      <c r="F1770" s="19" t="s">
        <v>37</v>
      </c>
      <c r="G1770" s="19" t="s">
        <v>27</v>
      </c>
      <c r="H1770" s="19" t="s">
        <v>32</v>
      </c>
      <c r="I1770" s="19">
        <v>4</v>
      </c>
      <c r="J1770" s="19">
        <v>0</v>
      </c>
      <c r="K1770" s="19">
        <v>4</v>
      </c>
      <c r="L1770" s="19" t="s">
        <v>55</v>
      </c>
      <c r="M1770" s="21">
        <v>8.1999999999999993</v>
      </c>
      <c r="N1770">
        <f t="shared" si="27"/>
        <v>0</v>
      </c>
    </row>
    <row r="1771" spans="1:14" x14ac:dyDescent="0.35">
      <c r="A1771" s="22" t="s">
        <v>1841</v>
      </c>
      <c r="B1771" s="23" t="s">
        <v>108</v>
      </c>
      <c r="C1771" s="23"/>
      <c r="D1771" s="24"/>
      <c r="E1771" s="23" t="s">
        <v>25</v>
      </c>
      <c r="F1771" s="23" t="s">
        <v>37</v>
      </c>
      <c r="G1771" s="23" t="s">
        <v>21</v>
      </c>
      <c r="H1771" s="23" t="s">
        <v>8364</v>
      </c>
      <c r="I1771" s="23">
        <v>48</v>
      </c>
      <c r="J1771" s="23">
        <v>0</v>
      </c>
      <c r="K1771" s="23">
        <v>3</v>
      </c>
      <c r="L1771" s="23" t="s">
        <v>75</v>
      </c>
      <c r="M1771" s="25">
        <v>18.8</v>
      </c>
      <c r="N1771">
        <f t="shared" si="27"/>
        <v>1</v>
      </c>
    </row>
    <row r="1772" spans="1:14" x14ac:dyDescent="0.35">
      <c r="A1772" s="6" t="s">
        <v>1842</v>
      </c>
      <c r="B1772" s="19" t="s">
        <v>89</v>
      </c>
      <c r="C1772" s="19">
        <v>8</v>
      </c>
      <c r="D1772" s="20">
        <v>45876</v>
      </c>
      <c r="E1772" s="19" t="s">
        <v>25</v>
      </c>
      <c r="F1772" s="19" t="s">
        <v>40</v>
      </c>
      <c r="G1772" s="19" t="s">
        <v>21</v>
      </c>
      <c r="H1772" s="19" t="s">
        <v>22</v>
      </c>
      <c r="I1772" s="19">
        <v>48</v>
      </c>
      <c r="J1772" s="19">
        <v>0</v>
      </c>
      <c r="K1772" s="19">
        <v>5</v>
      </c>
      <c r="L1772" s="19" t="s">
        <v>44</v>
      </c>
      <c r="M1772" s="21">
        <v>5.2</v>
      </c>
      <c r="N1772">
        <f t="shared" si="27"/>
        <v>1</v>
      </c>
    </row>
    <row r="1773" spans="1:14" x14ac:dyDescent="0.35">
      <c r="A1773" s="22" t="s">
        <v>1843</v>
      </c>
      <c r="B1773" s="23" t="s">
        <v>23</v>
      </c>
      <c r="C1773" s="23">
        <v>4</v>
      </c>
      <c r="D1773" s="24">
        <v>45757</v>
      </c>
      <c r="E1773" s="23" t="s">
        <v>25</v>
      </c>
      <c r="F1773" s="23" t="s">
        <v>8364</v>
      </c>
      <c r="G1773" s="23" t="s">
        <v>31</v>
      </c>
      <c r="H1773" s="23" t="s">
        <v>22</v>
      </c>
      <c r="I1773" s="23">
        <v>48</v>
      </c>
      <c r="J1773" s="23">
        <v>2</v>
      </c>
      <c r="K1773" s="23">
        <v>1</v>
      </c>
      <c r="L1773" s="23" t="s">
        <v>8363</v>
      </c>
      <c r="M1773" s="25">
        <v>12.4</v>
      </c>
      <c r="N1773">
        <f t="shared" si="27"/>
        <v>1</v>
      </c>
    </row>
    <row r="1774" spans="1:14" x14ac:dyDescent="0.35">
      <c r="A1774" s="6" t="s">
        <v>1844</v>
      </c>
      <c r="B1774" s="19" t="s">
        <v>97</v>
      </c>
      <c r="C1774" s="19"/>
      <c r="D1774" s="20"/>
      <c r="E1774" s="19" t="s">
        <v>25</v>
      </c>
      <c r="F1774" s="19" t="s">
        <v>43</v>
      </c>
      <c r="G1774" s="19" t="s">
        <v>31</v>
      </c>
      <c r="H1774" s="19" t="s">
        <v>22</v>
      </c>
      <c r="I1774" s="19">
        <v>4</v>
      </c>
      <c r="J1774" s="19">
        <v>0</v>
      </c>
      <c r="K1774" s="19">
        <v>4</v>
      </c>
      <c r="L1774" s="19" t="s">
        <v>38</v>
      </c>
      <c r="M1774" s="21">
        <v>11.2</v>
      </c>
      <c r="N1774">
        <f t="shared" si="27"/>
        <v>0</v>
      </c>
    </row>
    <row r="1775" spans="1:14" x14ac:dyDescent="0.35">
      <c r="A1775" s="22" t="s">
        <v>1845</v>
      </c>
      <c r="B1775" s="23" t="s">
        <v>51</v>
      </c>
      <c r="C1775" s="23">
        <v>8</v>
      </c>
      <c r="D1775" s="24">
        <v>45872</v>
      </c>
      <c r="E1775" s="23" t="s">
        <v>13</v>
      </c>
      <c r="F1775" s="23" t="s">
        <v>59</v>
      </c>
      <c r="G1775" s="23" t="s">
        <v>15</v>
      </c>
      <c r="H1775" s="23" t="s">
        <v>28</v>
      </c>
      <c r="I1775" s="23">
        <v>72</v>
      </c>
      <c r="J1775" s="23">
        <v>1</v>
      </c>
      <c r="K1775" s="23">
        <v>3</v>
      </c>
      <c r="L1775" s="23" t="s">
        <v>17</v>
      </c>
      <c r="M1775" s="25">
        <v>10.3</v>
      </c>
      <c r="N1775">
        <f t="shared" si="27"/>
        <v>1</v>
      </c>
    </row>
    <row r="1776" spans="1:14" x14ac:dyDescent="0.35">
      <c r="A1776" s="6" t="s">
        <v>1846</v>
      </c>
      <c r="B1776" s="19" t="s">
        <v>236</v>
      </c>
      <c r="C1776" s="19">
        <v>7</v>
      </c>
      <c r="D1776" s="20">
        <v>45846</v>
      </c>
      <c r="E1776" s="19" t="s">
        <v>13</v>
      </c>
      <c r="F1776" s="19" t="s">
        <v>37</v>
      </c>
      <c r="G1776" s="19" t="s">
        <v>21</v>
      </c>
      <c r="H1776" s="19" t="s">
        <v>16</v>
      </c>
      <c r="I1776" s="19">
        <v>48</v>
      </c>
      <c r="J1776" s="19">
        <v>0</v>
      </c>
      <c r="K1776" s="19">
        <v>4</v>
      </c>
      <c r="L1776" s="19" t="s">
        <v>44</v>
      </c>
      <c r="M1776" s="21">
        <v>4.8</v>
      </c>
      <c r="N1776">
        <f t="shared" si="27"/>
        <v>1</v>
      </c>
    </row>
    <row r="1777" spans="1:14" x14ac:dyDescent="0.35">
      <c r="A1777" s="22" t="s">
        <v>1847</v>
      </c>
      <c r="B1777" s="23" t="s">
        <v>104</v>
      </c>
      <c r="C1777" s="23">
        <v>5</v>
      </c>
      <c r="D1777" s="24">
        <v>45781</v>
      </c>
      <c r="E1777" s="23" t="s">
        <v>25</v>
      </c>
      <c r="F1777" s="23" t="s">
        <v>37</v>
      </c>
      <c r="G1777" s="23" t="s">
        <v>27</v>
      </c>
      <c r="H1777" s="23" t="s">
        <v>22</v>
      </c>
      <c r="I1777" s="23">
        <v>72</v>
      </c>
      <c r="J1777" s="23">
        <v>0</v>
      </c>
      <c r="K1777" s="23">
        <v>4</v>
      </c>
      <c r="L1777" s="23" t="s">
        <v>33</v>
      </c>
      <c r="M1777" s="25">
        <v>0.8</v>
      </c>
      <c r="N1777">
        <f t="shared" si="27"/>
        <v>1</v>
      </c>
    </row>
    <row r="1778" spans="1:14" x14ac:dyDescent="0.35">
      <c r="A1778" s="6" t="s">
        <v>1848</v>
      </c>
      <c r="B1778" s="19" t="s">
        <v>143</v>
      </c>
      <c r="C1778" s="19">
        <v>7</v>
      </c>
      <c r="D1778" s="20">
        <v>45847</v>
      </c>
      <c r="E1778" s="19" t="s">
        <v>25</v>
      </c>
      <c r="F1778" s="19" t="s">
        <v>14</v>
      </c>
      <c r="G1778" s="19" t="s">
        <v>31</v>
      </c>
      <c r="H1778" s="19" t="s">
        <v>28</v>
      </c>
      <c r="I1778" s="19">
        <v>48</v>
      </c>
      <c r="J1778" s="19">
        <v>0</v>
      </c>
      <c r="K1778" s="19">
        <v>4</v>
      </c>
      <c r="L1778" s="19" t="s">
        <v>17</v>
      </c>
      <c r="M1778" s="21">
        <v>10.9</v>
      </c>
      <c r="N1778">
        <f t="shared" si="27"/>
        <v>1</v>
      </c>
    </row>
    <row r="1779" spans="1:14" x14ac:dyDescent="0.35">
      <c r="A1779" s="22" t="s">
        <v>1849</v>
      </c>
      <c r="B1779" s="23" t="s">
        <v>51</v>
      </c>
      <c r="C1779" s="23">
        <v>10</v>
      </c>
      <c r="D1779" s="24">
        <v>45931</v>
      </c>
      <c r="E1779" s="23" t="s">
        <v>68</v>
      </c>
      <c r="F1779" s="23" t="s">
        <v>8364</v>
      </c>
      <c r="G1779" s="23" t="s">
        <v>15</v>
      </c>
      <c r="H1779" s="23" t="s">
        <v>22</v>
      </c>
      <c r="I1779" s="23">
        <v>48</v>
      </c>
      <c r="J1779" s="23">
        <v>0</v>
      </c>
      <c r="K1779" s="23">
        <v>4</v>
      </c>
      <c r="L1779" s="23" t="s">
        <v>44</v>
      </c>
      <c r="M1779" s="25"/>
      <c r="N1779">
        <f t="shared" si="27"/>
        <v>1</v>
      </c>
    </row>
    <row r="1780" spans="1:14" x14ac:dyDescent="0.35">
      <c r="A1780" s="6" t="s">
        <v>1850</v>
      </c>
      <c r="B1780" s="19" t="s">
        <v>108</v>
      </c>
      <c r="C1780" s="19">
        <v>11</v>
      </c>
      <c r="D1780" s="20">
        <v>45969</v>
      </c>
      <c r="E1780" s="19" t="s">
        <v>13</v>
      </c>
      <c r="F1780" s="19" t="s">
        <v>37</v>
      </c>
      <c r="G1780" s="19" t="s">
        <v>27</v>
      </c>
      <c r="H1780" s="19" t="s">
        <v>22</v>
      </c>
      <c r="I1780" s="19">
        <v>24</v>
      </c>
      <c r="J1780" s="19">
        <v>0</v>
      </c>
      <c r="K1780" s="19">
        <v>4</v>
      </c>
      <c r="L1780" s="19" t="s">
        <v>44</v>
      </c>
      <c r="M1780" s="21">
        <v>12.5</v>
      </c>
      <c r="N1780">
        <f t="shared" si="27"/>
        <v>1</v>
      </c>
    </row>
    <row r="1781" spans="1:14" x14ac:dyDescent="0.35">
      <c r="A1781" s="22" t="s">
        <v>1851</v>
      </c>
      <c r="B1781" s="23" t="s">
        <v>101</v>
      </c>
      <c r="C1781" s="23">
        <v>4</v>
      </c>
      <c r="D1781" s="24">
        <v>45750</v>
      </c>
      <c r="E1781" s="23" t="s">
        <v>20</v>
      </c>
      <c r="F1781" s="23" t="s">
        <v>40</v>
      </c>
      <c r="G1781" s="23" t="s">
        <v>31</v>
      </c>
      <c r="H1781" s="23" t="s">
        <v>28</v>
      </c>
      <c r="I1781" s="23">
        <v>72</v>
      </c>
      <c r="J1781" s="23">
        <v>0</v>
      </c>
      <c r="K1781" s="23"/>
      <c r="L1781" s="23" t="s">
        <v>38</v>
      </c>
      <c r="M1781" s="25"/>
      <c r="N1781">
        <f t="shared" si="27"/>
        <v>1</v>
      </c>
    </row>
    <row r="1782" spans="1:14" x14ac:dyDescent="0.35">
      <c r="A1782" s="6" t="s">
        <v>1852</v>
      </c>
      <c r="B1782" s="19" t="s">
        <v>65</v>
      </c>
      <c r="C1782" s="19">
        <v>3</v>
      </c>
      <c r="D1782" s="20">
        <v>45731</v>
      </c>
      <c r="E1782" s="19" t="s">
        <v>36</v>
      </c>
      <c r="F1782" s="19" t="s">
        <v>40</v>
      </c>
      <c r="G1782" s="19" t="s">
        <v>27</v>
      </c>
      <c r="H1782" s="19" t="s">
        <v>22</v>
      </c>
      <c r="I1782" s="19">
        <v>8</v>
      </c>
      <c r="J1782" s="19">
        <v>0</v>
      </c>
      <c r="K1782" s="19">
        <v>5</v>
      </c>
      <c r="L1782" s="19" t="s">
        <v>38</v>
      </c>
      <c r="M1782" s="21">
        <v>19.100000000000001</v>
      </c>
      <c r="N1782">
        <f t="shared" si="27"/>
        <v>0</v>
      </c>
    </row>
    <row r="1783" spans="1:14" x14ac:dyDescent="0.35">
      <c r="A1783" s="22" t="s">
        <v>1853</v>
      </c>
      <c r="B1783" s="23" t="s">
        <v>139</v>
      </c>
      <c r="C1783" s="23">
        <v>3</v>
      </c>
      <c r="D1783" s="24">
        <v>45724</v>
      </c>
      <c r="E1783" s="23" t="s">
        <v>20</v>
      </c>
      <c r="F1783" s="23" t="s">
        <v>14</v>
      </c>
      <c r="G1783" s="23" t="s">
        <v>21</v>
      </c>
      <c r="H1783" s="23" t="s">
        <v>8364</v>
      </c>
      <c r="I1783" s="23">
        <v>4</v>
      </c>
      <c r="J1783" s="23">
        <v>3</v>
      </c>
      <c r="K1783" s="23">
        <v>5</v>
      </c>
      <c r="L1783" s="23" t="s">
        <v>8363</v>
      </c>
      <c r="M1783" s="25">
        <v>5.6</v>
      </c>
      <c r="N1783">
        <f t="shared" si="27"/>
        <v>0</v>
      </c>
    </row>
    <row r="1784" spans="1:14" x14ac:dyDescent="0.35">
      <c r="A1784" s="6" t="s">
        <v>1854</v>
      </c>
      <c r="B1784" s="19" t="s">
        <v>87</v>
      </c>
      <c r="C1784" s="19">
        <v>6</v>
      </c>
      <c r="D1784" s="20">
        <v>45818</v>
      </c>
      <c r="E1784" s="19" t="s">
        <v>20</v>
      </c>
      <c r="F1784" s="19" t="s">
        <v>43</v>
      </c>
      <c r="G1784" s="19" t="s">
        <v>31</v>
      </c>
      <c r="H1784" s="19" t="s">
        <v>32</v>
      </c>
      <c r="I1784" s="19">
        <v>24</v>
      </c>
      <c r="J1784" s="19">
        <v>0</v>
      </c>
      <c r="K1784" s="19">
        <v>4</v>
      </c>
      <c r="L1784" s="19" t="s">
        <v>17</v>
      </c>
      <c r="M1784" s="21">
        <v>6.1</v>
      </c>
      <c r="N1784">
        <f t="shared" si="27"/>
        <v>1</v>
      </c>
    </row>
    <row r="1785" spans="1:14" x14ac:dyDescent="0.35">
      <c r="A1785" s="22" t="s">
        <v>1855</v>
      </c>
      <c r="B1785" s="23" t="s">
        <v>41</v>
      </c>
      <c r="C1785" s="23">
        <v>1</v>
      </c>
      <c r="D1785" s="24">
        <v>45661</v>
      </c>
      <c r="E1785" s="23" t="s">
        <v>25</v>
      </c>
      <c r="F1785" s="23" t="s">
        <v>14</v>
      </c>
      <c r="G1785" s="23" t="s">
        <v>8364</v>
      </c>
      <c r="H1785" s="23" t="s">
        <v>28</v>
      </c>
      <c r="I1785" s="23">
        <v>72</v>
      </c>
      <c r="J1785" s="23">
        <v>0</v>
      </c>
      <c r="K1785" s="23">
        <v>3</v>
      </c>
      <c r="L1785" s="23" t="s">
        <v>8363</v>
      </c>
      <c r="M1785" s="25">
        <v>14</v>
      </c>
      <c r="N1785">
        <f t="shared" si="27"/>
        <v>1</v>
      </c>
    </row>
    <row r="1786" spans="1:14" x14ac:dyDescent="0.35">
      <c r="A1786" s="6" t="s">
        <v>1856</v>
      </c>
      <c r="B1786" s="19" t="s">
        <v>34</v>
      </c>
      <c r="C1786" s="19">
        <v>11</v>
      </c>
      <c r="D1786" s="20">
        <v>45985</v>
      </c>
      <c r="E1786" s="19" t="s">
        <v>68</v>
      </c>
      <c r="F1786" s="19" t="s">
        <v>40</v>
      </c>
      <c r="G1786" s="19" t="s">
        <v>21</v>
      </c>
      <c r="H1786" s="19" t="s">
        <v>22</v>
      </c>
      <c r="I1786" s="19">
        <v>24</v>
      </c>
      <c r="J1786" s="19">
        <v>0</v>
      </c>
      <c r="K1786" s="19">
        <v>5</v>
      </c>
      <c r="L1786" s="19" t="s">
        <v>8363</v>
      </c>
      <c r="M1786" s="21">
        <v>12.1</v>
      </c>
      <c r="N1786">
        <f t="shared" si="27"/>
        <v>1</v>
      </c>
    </row>
    <row r="1787" spans="1:14" x14ac:dyDescent="0.35">
      <c r="A1787" s="22" t="s">
        <v>1857</v>
      </c>
      <c r="B1787" s="23" t="s">
        <v>47</v>
      </c>
      <c r="C1787" s="23">
        <v>4</v>
      </c>
      <c r="D1787" s="24">
        <v>45771</v>
      </c>
      <c r="E1787" s="23" t="s">
        <v>13</v>
      </c>
      <c r="F1787" s="23" t="s">
        <v>14</v>
      </c>
      <c r="G1787" s="23" t="s">
        <v>31</v>
      </c>
      <c r="H1787" s="23" t="s">
        <v>22</v>
      </c>
      <c r="I1787" s="23">
        <v>4</v>
      </c>
      <c r="J1787" s="23">
        <v>0</v>
      </c>
      <c r="K1787" s="23">
        <v>3</v>
      </c>
      <c r="L1787" s="23" t="s">
        <v>8363</v>
      </c>
      <c r="M1787" s="25">
        <v>7.3</v>
      </c>
      <c r="N1787">
        <f t="shared" si="27"/>
        <v>0</v>
      </c>
    </row>
    <row r="1788" spans="1:14" x14ac:dyDescent="0.35">
      <c r="A1788" s="6" t="s">
        <v>1858</v>
      </c>
      <c r="B1788" s="19" t="s">
        <v>53</v>
      </c>
      <c r="C1788" s="19">
        <v>9</v>
      </c>
      <c r="D1788" s="20">
        <v>45912</v>
      </c>
      <c r="E1788" s="19" t="s">
        <v>68</v>
      </c>
      <c r="F1788" s="19" t="s">
        <v>8364</v>
      </c>
      <c r="G1788" s="19" t="s">
        <v>27</v>
      </c>
      <c r="H1788" s="19" t="s">
        <v>22</v>
      </c>
      <c r="I1788" s="19">
        <v>4</v>
      </c>
      <c r="J1788" s="19">
        <v>1</v>
      </c>
      <c r="K1788" s="19">
        <v>5</v>
      </c>
      <c r="L1788" s="19" t="s">
        <v>62</v>
      </c>
      <c r="M1788" s="21">
        <v>13.1</v>
      </c>
      <c r="N1788">
        <f t="shared" si="27"/>
        <v>0</v>
      </c>
    </row>
    <row r="1789" spans="1:14" x14ac:dyDescent="0.35">
      <c r="A1789" s="22" t="s">
        <v>1859</v>
      </c>
      <c r="B1789" s="23" t="s">
        <v>89</v>
      </c>
      <c r="C1789" s="23">
        <v>2</v>
      </c>
      <c r="D1789" s="24">
        <v>45706</v>
      </c>
      <c r="E1789" s="23" t="s">
        <v>25</v>
      </c>
      <c r="F1789" s="23" t="s">
        <v>14</v>
      </c>
      <c r="G1789" s="23" t="s">
        <v>31</v>
      </c>
      <c r="H1789" s="23" t="s">
        <v>8364</v>
      </c>
      <c r="I1789" s="23">
        <v>4</v>
      </c>
      <c r="J1789" s="23">
        <v>0</v>
      </c>
      <c r="K1789" s="23">
        <v>5</v>
      </c>
      <c r="L1789" s="23" t="s">
        <v>75</v>
      </c>
      <c r="M1789" s="25">
        <v>2.6</v>
      </c>
      <c r="N1789">
        <f t="shared" si="27"/>
        <v>1</v>
      </c>
    </row>
    <row r="1790" spans="1:14" x14ac:dyDescent="0.35">
      <c r="A1790" s="6" t="s">
        <v>1860</v>
      </c>
      <c r="B1790" s="19" t="s">
        <v>108</v>
      </c>
      <c r="C1790" s="19">
        <v>7</v>
      </c>
      <c r="D1790" s="20">
        <v>45868</v>
      </c>
      <c r="E1790" s="19" t="s">
        <v>8364</v>
      </c>
      <c r="F1790" s="19" t="s">
        <v>40</v>
      </c>
      <c r="G1790" s="19" t="s">
        <v>27</v>
      </c>
      <c r="H1790" s="19" t="s">
        <v>32</v>
      </c>
      <c r="I1790" s="19">
        <v>72</v>
      </c>
      <c r="J1790" s="19">
        <v>0</v>
      </c>
      <c r="K1790" s="19">
        <v>2</v>
      </c>
      <c r="L1790" s="19" t="s">
        <v>8363</v>
      </c>
      <c r="M1790" s="21">
        <v>4.9000000000000004</v>
      </c>
      <c r="N1790">
        <f t="shared" si="27"/>
        <v>1</v>
      </c>
    </row>
    <row r="1791" spans="1:14" x14ac:dyDescent="0.35">
      <c r="A1791" s="22" t="s">
        <v>1861</v>
      </c>
      <c r="B1791" s="23" t="s">
        <v>81</v>
      </c>
      <c r="C1791" s="23">
        <v>10</v>
      </c>
      <c r="D1791" s="24">
        <v>45948</v>
      </c>
      <c r="E1791" s="23" t="s">
        <v>36</v>
      </c>
      <c r="F1791" s="23" t="s">
        <v>37</v>
      </c>
      <c r="G1791" s="23" t="s">
        <v>21</v>
      </c>
      <c r="H1791" s="23" t="s">
        <v>8364</v>
      </c>
      <c r="I1791" s="23">
        <v>72</v>
      </c>
      <c r="J1791" s="23">
        <v>0</v>
      </c>
      <c r="K1791" s="23">
        <v>5</v>
      </c>
      <c r="L1791" s="23" t="s">
        <v>75</v>
      </c>
      <c r="M1791" s="25">
        <v>36</v>
      </c>
      <c r="N1791">
        <f t="shared" si="27"/>
        <v>1</v>
      </c>
    </row>
    <row r="1792" spans="1:14" x14ac:dyDescent="0.35">
      <c r="A1792" s="6" t="s">
        <v>1862</v>
      </c>
      <c r="B1792" s="19" t="s">
        <v>41</v>
      </c>
      <c r="C1792" s="19">
        <v>9</v>
      </c>
      <c r="D1792" s="20">
        <v>45903</v>
      </c>
      <c r="E1792" s="19" t="s">
        <v>36</v>
      </c>
      <c r="F1792" s="19" t="s">
        <v>26</v>
      </c>
      <c r="G1792" s="19" t="s">
        <v>8364</v>
      </c>
      <c r="H1792" s="19" t="s">
        <v>8364</v>
      </c>
      <c r="I1792" s="19">
        <v>8</v>
      </c>
      <c r="J1792" s="19">
        <v>0</v>
      </c>
      <c r="K1792" s="19">
        <v>4</v>
      </c>
      <c r="L1792" s="19" t="s">
        <v>55</v>
      </c>
      <c r="M1792" s="21">
        <v>26.9</v>
      </c>
      <c r="N1792">
        <f t="shared" si="27"/>
        <v>0</v>
      </c>
    </row>
    <row r="1793" spans="1:14" x14ac:dyDescent="0.35">
      <c r="A1793" s="22" t="s">
        <v>1863</v>
      </c>
      <c r="B1793" s="23" t="s">
        <v>89</v>
      </c>
      <c r="C1793" s="23">
        <v>4</v>
      </c>
      <c r="D1793" s="24">
        <v>45752</v>
      </c>
      <c r="E1793" s="23" t="s">
        <v>8364</v>
      </c>
      <c r="F1793" s="23" t="s">
        <v>43</v>
      </c>
      <c r="G1793" s="23" t="s">
        <v>15</v>
      </c>
      <c r="H1793" s="23" t="s">
        <v>22</v>
      </c>
      <c r="I1793" s="23">
        <v>24</v>
      </c>
      <c r="J1793" s="23">
        <v>0</v>
      </c>
      <c r="K1793" s="23"/>
      <c r="L1793" s="23" t="s">
        <v>17</v>
      </c>
      <c r="M1793" s="25">
        <v>13.4</v>
      </c>
      <c r="N1793">
        <f t="shared" si="27"/>
        <v>1</v>
      </c>
    </row>
    <row r="1794" spans="1:14" x14ac:dyDescent="0.35">
      <c r="A1794" s="6" t="s">
        <v>1864</v>
      </c>
      <c r="B1794" s="19" t="s">
        <v>47</v>
      </c>
      <c r="C1794" s="19">
        <v>3</v>
      </c>
      <c r="D1794" s="20">
        <v>45731</v>
      </c>
      <c r="E1794" s="19" t="s">
        <v>36</v>
      </c>
      <c r="F1794" s="19" t="s">
        <v>43</v>
      </c>
      <c r="G1794" s="19" t="s">
        <v>31</v>
      </c>
      <c r="H1794" s="19" t="s">
        <v>8364</v>
      </c>
      <c r="I1794" s="19">
        <v>48</v>
      </c>
      <c r="J1794" s="19">
        <v>1</v>
      </c>
      <c r="K1794" s="19">
        <v>4</v>
      </c>
      <c r="L1794" s="19" t="s">
        <v>44</v>
      </c>
      <c r="M1794" s="21">
        <v>18.5</v>
      </c>
      <c r="N1794">
        <f t="shared" si="27"/>
        <v>1</v>
      </c>
    </row>
    <row r="1795" spans="1:14" x14ac:dyDescent="0.35">
      <c r="A1795" s="22" t="s">
        <v>1865</v>
      </c>
      <c r="B1795" s="23" t="s">
        <v>108</v>
      </c>
      <c r="C1795" s="23">
        <v>1</v>
      </c>
      <c r="D1795" s="24">
        <v>45667</v>
      </c>
      <c r="E1795" s="23" t="s">
        <v>8364</v>
      </c>
      <c r="F1795" s="23" t="s">
        <v>8364</v>
      </c>
      <c r="G1795" s="23" t="s">
        <v>27</v>
      </c>
      <c r="H1795" s="23" t="s">
        <v>22</v>
      </c>
      <c r="I1795" s="23">
        <v>72</v>
      </c>
      <c r="J1795" s="23">
        <v>1</v>
      </c>
      <c r="K1795" s="23">
        <v>4</v>
      </c>
      <c r="L1795" s="23" t="s">
        <v>33</v>
      </c>
      <c r="M1795" s="25">
        <v>10.3</v>
      </c>
      <c r="N1795">
        <f t="shared" ref="N1795:N1858" si="28">IF(M1795 &lt;= I1795, 1, 0)</f>
        <v>1</v>
      </c>
    </row>
    <row r="1796" spans="1:14" x14ac:dyDescent="0.35">
      <c r="A1796" s="6" t="s">
        <v>1866</v>
      </c>
      <c r="B1796" s="19" t="s">
        <v>139</v>
      </c>
      <c r="C1796" s="19"/>
      <c r="D1796" s="20"/>
      <c r="E1796" s="19" t="s">
        <v>36</v>
      </c>
      <c r="F1796" s="19" t="s">
        <v>26</v>
      </c>
      <c r="G1796" s="19" t="s">
        <v>31</v>
      </c>
      <c r="H1796" s="19" t="s">
        <v>16</v>
      </c>
      <c r="I1796" s="19">
        <v>8</v>
      </c>
      <c r="J1796" s="19">
        <v>0</v>
      </c>
      <c r="K1796" s="19">
        <v>3</v>
      </c>
      <c r="L1796" s="19" t="s">
        <v>38</v>
      </c>
      <c r="M1796" s="21">
        <v>6.1</v>
      </c>
      <c r="N1796">
        <f t="shared" si="28"/>
        <v>1</v>
      </c>
    </row>
    <row r="1797" spans="1:14" x14ac:dyDescent="0.35">
      <c r="A1797" s="22" t="s">
        <v>1867</v>
      </c>
      <c r="B1797" s="23" t="s">
        <v>57</v>
      </c>
      <c r="C1797" s="23">
        <v>12</v>
      </c>
      <c r="D1797" s="24">
        <v>46014</v>
      </c>
      <c r="E1797" s="23" t="s">
        <v>25</v>
      </c>
      <c r="F1797" s="23" t="s">
        <v>14</v>
      </c>
      <c r="G1797" s="23" t="s">
        <v>27</v>
      </c>
      <c r="H1797" s="23" t="s">
        <v>8364</v>
      </c>
      <c r="I1797" s="23">
        <v>72</v>
      </c>
      <c r="J1797" s="23">
        <v>0</v>
      </c>
      <c r="K1797" s="23">
        <v>5</v>
      </c>
      <c r="L1797" s="23" t="s">
        <v>33</v>
      </c>
      <c r="M1797" s="25">
        <v>4.3</v>
      </c>
      <c r="N1797">
        <f t="shared" si="28"/>
        <v>1</v>
      </c>
    </row>
    <row r="1798" spans="1:14" x14ac:dyDescent="0.35">
      <c r="A1798" s="6" t="s">
        <v>1868</v>
      </c>
      <c r="B1798" s="19" t="s">
        <v>72</v>
      </c>
      <c r="C1798" s="19">
        <v>6</v>
      </c>
      <c r="D1798" s="20">
        <v>45818</v>
      </c>
      <c r="E1798" s="19" t="s">
        <v>25</v>
      </c>
      <c r="F1798" s="19" t="s">
        <v>14</v>
      </c>
      <c r="G1798" s="19" t="s">
        <v>15</v>
      </c>
      <c r="H1798" s="19" t="s">
        <v>16</v>
      </c>
      <c r="I1798" s="19">
        <v>24</v>
      </c>
      <c r="J1798" s="19">
        <v>1</v>
      </c>
      <c r="K1798" s="19">
        <v>3</v>
      </c>
      <c r="L1798" s="19" t="s">
        <v>55</v>
      </c>
      <c r="M1798" s="21">
        <v>4.5999999999999996</v>
      </c>
      <c r="N1798">
        <f t="shared" si="28"/>
        <v>1</v>
      </c>
    </row>
    <row r="1799" spans="1:14" x14ac:dyDescent="0.35">
      <c r="A1799" s="22" t="s">
        <v>1869</v>
      </c>
      <c r="B1799" s="23" t="s">
        <v>236</v>
      </c>
      <c r="C1799" s="23">
        <v>2</v>
      </c>
      <c r="D1799" s="24">
        <v>45714</v>
      </c>
      <c r="E1799" s="23" t="s">
        <v>25</v>
      </c>
      <c r="F1799" s="23" t="s">
        <v>59</v>
      </c>
      <c r="G1799" s="23" t="s">
        <v>31</v>
      </c>
      <c r="H1799" s="23" t="s">
        <v>8364</v>
      </c>
      <c r="I1799" s="23">
        <v>24</v>
      </c>
      <c r="J1799" s="23">
        <v>0</v>
      </c>
      <c r="K1799" s="23">
        <v>4</v>
      </c>
      <c r="L1799" s="23" t="s">
        <v>38</v>
      </c>
      <c r="M1799" s="25">
        <v>10.4</v>
      </c>
      <c r="N1799">
        <f t="shared" si="28"/>
        <v>1</v>
      </c>
    </row>
    <row r="1800" spans="1:14" x14ac:dyDescent="0.35">
      <c r="A1800" s="6" t="s">
        <v>1870</v>
      </c>
      <c r="B1800" s="19" t="s">
        <v>39</v>
      </c>
      <c r="C1800" s="19">
        <v>5</v>
      </c>
      <c r="D1800" s="20">
        <v>45803</v>
      </c>
      <c r="E1800" s="19" t="s">
        <v>13</v>
      </c>
      <c r="F1800" s="19" t="s">
        <v>43</v>
      </c>
      <c r="G1800" s="19" t="s">
        <v>27</v>
      </c>
      <c r="H1800" s="19" t="s">
        <v>32</v>
      </c>
      <c r="I1800" s="19">
        <v>24</v>
      </c>
      <c r="J1800" s="19">
        <v>1</v>
      </c>
      <c r="K1800" s="19">
        <v>4</v>
      </c>
      <c r="L1800" s="19" t="s">
        <v>8363</v>
      </c>
      <c r="M1800" s="21">
        <v>6.4</v>
      </c>
      <c r="N1800">
        <f t="shared" si="28"/>
        <v>1</v>
      </c>
    </row>
    <row r="1801" spans="1:14" x14ac:dyDescent="0.35">
      <c r="A1801" s="22" t="s">
        <v>1871</v>
      </c>
      <c r="B1801" s="23" t="s">
        <v>158</v>
      </c>
      <c r="C1801" s="23">
        <v>1</v>
      </c>
      <c r="D1801" s="24">
        <v>45682</v>
      </c>
      <c r="E1801" s="23" t="s">
        <v>13</v>
      </c>
      <c r="F1801" s="23" t="s">
        <v>14</v>
      </c>
      <c r="G1801" s="23" t="s">
        <v>15</v>
      </c>
      <c r="H1801" s="23" t="s">
        <v>22</v>
      </c>
      <c r="I1801" s="23">
        <v>72</v>
      </c>
      <c r="J1801" s="23">
        <v>0</v>
      </c>
      <c r="K1801" s="23">
        <v>4</v>
      </c>
      <c r="L1801" s="23" t="s">
        <v>44</v>
      </c>
      <c r="M1801" s="25">
        <v>3.2</v>
      </c>
      <c r="N1801">
        <f t="shared" si="28"/>
        <v>1</v>
      </c>
    </row>
    <row r="1802" spans="1:14" x14ac:dyDescent="0.35">
      <c r="A1802" s="6" t="s">
        <v>1872</v>
      </c>
      <c r="B1802" s="19" t="s">
        <v>47</v>
      </c>
      <c r="C1802" s="19">
        <v>1</v>
      </c>
      <c r="D1802" s="20">
        <v>45683</v>
      </c>
      <c r="E1802" s="19" t="s">
        <v>20</v>
      </c>
      <c r="F1802" s="19" t="s">
        <v>14</v>
      </c>
      <c r="G1802" s="19" t="s">
        <v>21</v>
      </c>
      <c r="H1802" s="19" t="s">
        <v>16</v>
      </c>
      <c r="I1802" s="19">
        <v>4</v>
      </c>
      <c r="J1802" s="19">
        <v>0</v>
      </c>
      <c r="K1802" s="19">
        <v>5</v>
      </c>
      <c r="L1802" s="19" t="s">
        <v>75</v>
      </c>
      <c r="M1802" s="21">
        <v>15.5</v>
      </c>
      <c r="N1802">
        <f t="shared" si="28"/>
        <v>0</v>
      </c>
    </row>
    <row r="1803" spans="1:14" x14ac:dyDescent="0.35">
      <c r="A1803" s="22" t="s">
        <v>1873</v>
      </c>
      <c r="B1803" s="23" t="s">
        <v>69</v>
      </c>
      <c r="C1803" s="23">
        <v>10</v>
      </c>
      <c r="D1803" s="24">
        <v>45946</v>
      </c>
      <c r="E1803" s="23" t="s">
        <v>20</v>
      </c>
      <c r="F1803" s="23" t="s">
        <v>43</v>
      </c>
      <c r="G1803" s="23" t="s">
        <v>31</v>
      </c>
      <c r="H1803" s="23" t="s">
        <v>22</v>
      </c>
      <c r="I1803" s="23">
        <v>72</v>
      </c>
      <c r="J1803" s="23">
        <v>0</v>
      </c>
      <c r="K1803" s="23">
        <v>5</v>
      </c>
      <c r="L1803" s="23" t="s">
        <v>33</v>
      </c>
      <c r="M1803" s="25">
        <v>2.1</v>
      </c>
      <c r="N1803">
        <f t="shared" si="28"/>
        <v>1</v>
      </c>
    </row>
    <row r="1804" spans="1:14" x14ac:dyDescent="0.35">
      <c r="A1804" s="6" t="s">
        <v>1874</v>
      </c>
      <c r="B1804" s="19" t="s">
        <v>34</v>
      </c>
      <c r="C1804" s="19"/>
      <c r="D1804" s="20"/>
      <c r="E1804" s="19" t="s">
        <v>13</v>
      </c>
      <c r="F1804" s="19" t="s">
        <v>59</v>
      </c>
      <c r="G1804" s="19" t="s">
        <v>27</v>
      </c>
      <c r="H1804" s="19" t="s">
        <v>16</v>
      </c>
      <c r="I1804" s="19">
        <v>24</v>
      </c>
      <c r="J1804" s="19">
        <v>0</v>
      </c>
      <c r="K1804" s="19">
        <v>4</v>
      </c>
      <c r="L1804" s="19" t="s">
        <v>8363</v>
      </c>
      <c r="M1804" s="21">
        <v>7.4</v>
      </c>
      <c r="N1804">
        <f t="shared" si="28"/>
        <v>1</v>
      </c>
    </row>
    <row r="1805" spans="1:14" x14ac:dyDescent="0.35">
      <c r="A1805" s="22" t="s">
        <v>1875</v>
      </c>
      <c r="B1805" s="23" t="s">
        <v>104</v>
      </c>
      <c r="C1805" s="23">
        <v>2</v>
      </c>
      <c r="D1805" s="24">
        <v>45707</v>
      </c>
      <c r="E1805" s="23" t="s">
        <v>25</v>
      </c>
      <c r="F1805" s="23" t="s">
        <v>43</v>
      </c>
      <c r="G1805" s="23" t="s">
        <v>31</v>
      </c>
      <c r="H1805" s="23" t="s">
        <v>16</v>
      </c>
      <c r="I1805" s="23">
        <v>24</v>
      </c>
      <c r="J1805" s="23">
        <v>0</v>
      </c>
      <c r="K1805" s="23">
        <v>5</v>
      </c>
      <c r="L1805" s="23" t="s">
        <v>62</v>
      </c>
      <c r="M1805" s="25">
        <v>28.2</v>
      </c>
      <c r="N1805">
        <f t="shared" si="28"/>
        <v>0</v>
      </c>
    </row>
    <row r="1806" spans="1:14" x14ac:dyDescent="0.35">
      <c r="A1806" s="6" t="s">
        <v>1876</v>
      </c>
      <c r="B1806" s="19" t="s">
        <v>92</v>
      </c>
      <c r="C1806" s="19">
        <v>5</v>
      </c>
      <c r="D1806" s="20">
        <v>45784</v>
      </c>
      <c r="E1806" s="19" t="s">
        <v>13</v>
      </c>
      <c r="F1806" s="19" t="s">
        <v>43</v>
      </c>
      <c r="G1806" s="19" t="s">
        <v>15</v>
      </c>
      <c r="H1806" s="19" t="s">
        <v>8364</v>
      </c>
      <c r="I1806" s="19">
        <v>48</v>
      </c>
      <c r="J1806" s="19">
        <v>0</v>
      </c>
      <c r="K1806" s="19">
        <v>5</v>
      </c>
      <c r="L1806" s="19" t="s">
        <v>75</v>
      </c>
      <c r="M1806" s="21">
        <v>8.6</v>
      </c>
      <c r="N1806">
        <f t="shared" si="28"/>
        <v>1</v>
      </c>
    </row>
    <row r="1807" spans="1:14" x14ac:dyDescent="0.35">
      <c r="A1807" s="22" t="s">
        <v>1877</v>
      </c>
      <c r="B1807" s="23" t="s">
        <v>45</v>
      </c>
      <c r="C1807" s="23">
        <v>8</v>
      </c>
      <c r="D1807" s="24">
        <v>45880</v>
      </c>
      <c r="E1807" s="23" t="s">
        <v>13</v>
      </c>
      <c r="F1807" s="23" t="s">
        <v>43</v>
      </c>
      <c r="G1807" s="23" t="s">
        <v>21</v>
      </c>
      <c r="H1807" s="23" t="s">
        <v>8364</v>
      </c>
      <c r="I1807" s="23">
        <v>48</v>
      </c>
      <c r="J1807" s="23">
        <v>0</v>
      </c>
      <c r="K1807" s="23">
        <v>5</v>
      </c>
      <c r="L1807" s="23" t="s">
        <v>17</v>
      </c>
      <c r="M1807" s="25"/>
      <c r="N1807">
        <f t="shared" si="28"/>
        <v>1</v>
      </c>
    </row>
    <row r="1808" spans="1:14" x14ac:dyDescent="0.35">
      <c r="A1808" s="6" t="s">
        <v>1878</v>
      </c>
      <c r="B1808" s="19" t="s">
        <v>65</v>
      </c>
      <c r="C1808" s="19">
        <v>9</v>
      </c>
      <c r="D1808" s="20">
        <v>45902</v>
      </c>
      <c r="E1808" s="19" t="s">
        <v>13</v>
      </c>
      <c r="F1808" s="19" t="s">
        <v>43</v>
      </c>
      <c r="G1808" s="19" t="s">
        <v>31</v>
      </c>
      <c r="H1808" s="19" t="s">
        <v>22</v>
      </c>
      <c r="I1808" s="19">
        <v>72</v>
      </c>
      <c r="J1808" s="19">
        <v>0</v>
      </c>
      <c r="K1808" s="19">
        <v>4</v>
      </c>
      <c r="L1808" s="19" t="s">
        <v>44</v>
      </c>
      <c r="M1808" s="21">
        <v>3.9</v>
      </c>
      <c r="N1808">
        <f t="shared" si="28"/>
        <v>1</v>
      </c>
    </row>
    <row r="1809" spans="1:14" x14ac:dyDescent="0.35">
      <c r="A1809" s="22" t="s">
        <v>1879</v>
      </c>
      <c r="B1809" s="23" t="s">
        <v>181</v>
      </c>
      <c r="C1809" s="23">
        <v>12</v>
      </c>
      <c r="D1809" s="24">
        <v>45997</v>
      </c>
      <c r="E1809" s="23" t="s">
        <v>13</v>
      </c>
      <c r="F1809" s="23" t="s">
        <v>43</v>
      </c>
      <c r="G1809" s="23" t="s">
        <v>31</v>
      </c>
      <c r="H1809" s="23" t="s">
        <v>32</v>
      </c>
      <c r="I1809" s="23">
        <v>4</v>
      </c>
      <c r="J1809" s="23"/>
      <c r="K1809" s="23"/>
      <c r="L1809" s="23" t="s">
        <v>55</v>
      </c>
      <c r="M1809" s="25">
        <v>10.1</v>
      </c>
      <c r="N1809">
        <f t="shared" si="28"/>
        <v>0</v>
      </c>
    </row>
    <row r="1810" spans="1:14" x14ac:dyDescent="0.35">
      <c r="A1810" s="6" t="s">
        <v>1880</v>
      </c>
      <c r="B1810" s="19" t="s">
        <v>57</v>
      </c>
      <c r="C1810" s="19">
        <v>3</v>
      </c>
      <c r="D1810" s="20">
        <v>45723</v>
      </c>
      <c r="E1810" s="19" t="s">
        <v>36</v>
      </c>
      <c r="F1810" s="19" t="s">
        <v>40</v>
      </c>
      <c r="G1810" s="19" t="s">
        <v>21</v>
      </c>
      <c r="H1810" s="19" t="s">
        <v>22</v>
      </c>
      <c r="I1810" s="19">
        <v>24</v>
      </c>
      <c r="J1810" s="19">
        <v>0</v>
      </c>
      <c r="K1810" s="19">
        <v>1</v>
      </c>
      <c r="L1810" s="19" t="s">
        <v>75</v>
      </c>
      <c r="M1810" s="21">
        <v>12.2</v>
      </c>
      <c r="N1810">
        <f t="shared" si="28"/>
        <v>1</v>
      </c>
    </row>
    <row r="1811" spans="1:14" x14ac:dyDescent="0.35">
      <c r="A1811" s="22" t="s">
        <v>1881</v>
      </c>
      <c r="B1811" s="23" t="s">
        <v>34</v>
      </c>
      <c r="C1811" s="23">
        <v>7</v>
      </c>
      <c r="D1811" s="24">
        <v>45868</v>
      </c>
      <c r="E1811" s="23" t="s">
        <v>36</v>
      </c>
      <c r="F1811" s="23" t="s">
        <v>14</v>
      </c>
      <c r="G1811" s="23" t="s">
        <v>31</v>
      </c>
      <c r="H1811" s="23" t="s">
        <v>22</v>
      </c>
      <c r="I1811" s="23">
        <v>24</v>
      </c>
      <c r="J1811" s="23">
        <v>0</v>
      </c>
      <c r="K1811" s="23">
        <v>4</v>
      </c>
      <c r="L1811" s="23" t="s">
        <v>38</v>
      </c>
      <c r="M1811" s="25">
        <v>24.3</v>
      </c>
      <c r="N1811">
        <f t="shared" si="28"/>
        <v>0</v>
      </c>
    </row>
    <row r="1812" spans="1:14" x14ac:dyDescent="0.35">
      <c r="A1812" s="6" t="s">
        <v>1882</v>
      </c>
      <c r="B1812" s="19" t="s">
        <v>23</v>
      </c>
      <c r="C1812" s="19">
        <v>11</v>
      </c>
      <c r="D1812" s="20">
        <v>45970</v>
      </c>
      <c r="E1812" s="19" t="s">
        <v>36</v>
      </c>
      <c r="F1812" s="19" t="s">
        <v>8364</v>
      </c>
      <c r="G1812" s="19" t="s">
        <v>27</v>
      </c>
      <c r="H1812" s="19" t="s">
        <v>22</v>
      </c>
      <c r="I1812" s="19">
        <v>48</v>
      </c>
      <c r="J1812" s="19">
        <v>0</v>
      </c>
      <c r="K1812" s="19">
        <v>4</v>
      </c>
      <c r="L1812" s="19" t="s">
        <v>44</v>
      </c>
      <c r="M1812" s="21">
        <v>1.7</v>
      </c>
      <c r="N1812">
        <f t="shared" si="28"/>
        <v>1</v>
      </c>
    </row>
    <row r="1813" spans="1:14" x14ac:dyDescent="0.35">
      <c r="A1813" s="22" t="s">
        <v>1883</v>
      </c>
      <c r="B1813" s="23" t="s">
        <v>47</v>
      </c>
      <c r="C1813" s="23">
        <v>3</v>
      </c>
      <c r="D1813" s="24">
        <v>45741</v>
      </c>
      <c r="E1813" s="23" t="s">
        <v>8364</v>
      </c>
      <c r="F1813" s="23" t="s">
        <v>14</v>
      </c>
      <c r="G1813" s="23" t="s">
        <v>15</v>
      </c>
      <c r="H1813" s="23" t="s">
        <v>32</v>
      </c>
      <c r="I1813" s="23">
        <v>4</v>
      </c>
      <c r="J1813" s="23">
        <v>1</v>
      </c>
      <c r="K1813" s="23"/>
      <c r="L1813" s="23" t="s">
        <v>17</v>
      </c>
      <c r="M1813" s="25">
        <v>4.9000000000000004</v>
      </c>
      <c r="N1813">
        <f t="shared" si="28"/>
        <v>0</v>
      </c>
    </row>
    <row r="1814" spans="1:14" x14ac:dyDescent="0.35">
      <c r="A1814" s="6" t="s">
        <v>1884</v>
      </c>
      <c r="B1814" s="19" t="s">
        <v>57</v>
      </c>
      <c r="C1814" s="19">
        <v>1</v>
      </c>
      <c r="D1814" s="20">
        <v>45678</v>
      </c>
      <c r="E1814" s="19" t="s">
        <v>68</v>
      </c>
      <c r="F1814" s="19" t="s">
        <v>59</v>
      </c>
      <c r="G1814" s="19" t="s">
        <v>15</v>
      </c>
      <c r="H1814" s="19" t="s">
        <v>8364</v>
      </c>
      <c r="I1814" s="19">
        <v>8</v>
      </c>
      <c r="J1814" s="19">
        <v>1</v>
      </c>
      <c r="K1814" s="19">
        <v>5</v>
      </c>
      <c r="L1814" s="19" t="s">
        <v>33</v>
      </c>
      <c r="M1814" s="21"/>
      <c r="N1814">
        <f t="shared" si="28"/>
        <v>1</v>
      </c>
    </row>
    <row r="1815" spans="1:14" x14ac:dyDescent="0.35">
      <c r="A1815" s="22" t="s">
        <v>1885</v>
      </c>
      <c r="B1815" s="23" t="s">
        <v>18</v>
      </c>
      <c r="C1815" s="23">
        <v>1</v>
      </c>
      <c r="D1815" s="24">
        <v>45661</v>
      </c>
      <c r="E1815" s="23" t="s">
        <v>20</v>
      </c>
      <c r="F1815" s="23" t="s">
        <v>8364</v>
      </c>
      <c r="G1815" s="23" t="s">
        <v>27</v>
      </c>
      <c r="H1815" s="23" t="s">
        <v>28</v>
      </c>
      <c r="I1815" s="23">
        <v>72</v>
      </c>
      <c r="J1815" s="23">
        <v>0</v>
      </c>
      <c r="K1815" s="23"/>
      <c r="L1815" s="23" t="s">
        <v>38</v>
      </c>
      <c r="M1815" s="25">
        <v>5.5</v>
      </c>
      <c r="N1815">
        <f t="shared" si="28"/>
        <v>1</v>
      </c>
    </row>
    <row r="1816" spans="1:14" x14ac:dyDescent="0.35">
      <c r="A1816" s="6" t="s">
        <v>1886</v>
      </c>
      <c r="B1816" s="19" t="s">
        <v>143</v>
      </c>
      <c r="C1816" s="19">
        <v>5</v>
      </c>
      <c r="D1816" s="20">
        <v>45799</v>
      </c>
      <c r="E1816" s="19" t="s">
        <v>20</v>
      </c>
      <c r="F1816" s="19" t="s">
        <v>14</v>
      </c>
      <c r="G1816" s="19" t="s">
        <v>21</v>
      </c>
      <c r="H1816" s="19" t="s">
        <v>22</v>
      </c>
      <c r="I1816" s="19">
        <v>24</v>
      </c>
      <c r="J1816" s="19">
        <v>2</v>
      </c>
      <c r="K1816" s="19">
        <v>5</v>
      </c>
      <c r="L1816" s="19" t="s">
        <v>38</v>
      </c>
      <c r="M1816" s="21">
        <v>21.7</v>
      </c>
      <c r="N1816">
        <f t="shared" si="28"/>
        <v>1</v>
      </c>
    </row>
    <row r="1817" spans="1:14" x14ac:dyDescent="0.35">
      <c r="A1817" s="22" t="s">
        <v>1887</v>
      </c>
      <c r="B1817" s="23" t="s">
        <v>158</v>
      </c>
      <c r="C1817" s="23">
        <v>8</v>
      </c>
      <c r="D1817" s="24">
        <v>45881</v>
      </c>
      <c r="E1817" s="23" t="s">
        <v>13</v>
      </c>
      <c r="F1817" s="23" t="s">
        <v>26</v>
      </c>
      <c r="G1817" s="23" t="s">
        <v>27</v>
      </c>
      <c r="H1817" s="23" t="s">
        <v>32</v>
      </c>
      <c r="I1817" s="23">
        <v>8</v>
      </c>
      <c r="J1817" s="23">
        <v>0</v>
      </c>
      <c r="K1817" s="23"/>
      <c r="L1817" s="23" t="s">
        <v>38</v>
      </c>
      <c r="M1817" s="25"/>
      <c r="N1817">
        <f t="shared" si="28"/>
        <v>1</v>
      </c>
    </row>
    <row r="1818" spans="1:14" x14ac:dyDescent="0.35">
      <c r="A1818" s="6" t="s">
        <v>1888</v>
      </c>
      <c r="B1818" s="19" t="s">
        <v>23</v>
      </c>
      <c r="C1818" s="19">
        <v>8</v>
      </c>
      <c r="D1818" s="20">
        <v>45870</v>
      </c>
      <c r="E1818" s="19" t="s">
        <v>13</v>
      </c>
      <c r="F1818" s="19" t="s">
        <v>40</v>
      </c>
      <c r="G1818" s="19" t="s">
        <v>27</v>
      </c>
      <c r="H1818" s="19" t="s">
        <v>32</v>
      </c>
      <c r="I1818" s="19">
        <v>72</v>
      </c>
      <c r="J1818" s="19">
        <v>0</v>
      </c>
      <c r="K1818" s="19">
        <v>4</v>
      </c>
      <c r="L1818" s="19" t="s">
        <v>44</v>
      </c>
      <c r="M1818" s="21">
        <v>6.6</v>
      </c>
      <c r="N1818">
        <f t="shared" si="28"/>
        <v>1</v>
      </c>
    </row>
    <row r="1819" spans="1:14" x14ac:dyDescent="0.35">
      <c r="A1819" s="22" t="s">
        <v>1889</v>
      </c>
      <c r="B1819" s="23" t="s">
        <v>97</v>
      </c>
      <c r="C1819" s="23">
        <v>4</v>
      </c>
      <c r="D1819" s="24">
        <v>45776</v>
      </c>
      <c r="E1819" s="23" t="s">
        <v>25</v>
      </c>
      <c r="F1819" s="23" t="s">
        <v>59</v>
      </c>
      <c r="G1819" s="23" t="s">
        <v>27</v>
      </c>
      <c r="H1819" s="23" t="s">
        <v>32</v>
      </c>
      <c r="I1819" s="23">
        <v>4</v>
      </c>
      <c r="J1819" s="23">
        <v>1</v>
      </c>
      <c r="K1819" s="23">
        <v>5</v>
      </c>
      <c r="L1819" s="23" t="s">
        <v>38</v>
      </c>
      <c r="M1819" s="25">
        <v>6.6</v>
      </c>
      <c r="N1819">
        <f t="shared" si="28"/>
        <v>0</v>
      </c>
    </row>
    <row r="1820" spans="1:14" x14ac:dyDescent="0.35">
      <c r="A1820" s="6" t="s">
        <v>1890</v>
      </c>
      <c r="B1820" s="19" t="s">
        <v>101</v>
      </c>
      <c r="C1820" s="19">
        <v>6</v>
      </c>
      <c r="D1820" s="20">
        <v>45829</v>
      </c>
      <c r="E1820" s="19" t="s">
        <v>8364</v>
      </c>
      <c r="F1820" s="19" t="s">
        <v>43</v>
      </c>
      <c r="G1820" s="19" t="s">
        <v>15</v>
      </c>
      <c r="H1820" s="19" t="s">
        <v>22</v>
      </c>
      <c r="I1820" s="19">
        <v>24</v>
      </c>
      <c r="J1820" s="19">
        <v>1</v>
      </c>
      <c r="K1820" s="19">
        <v>5</v>
      </c>
      <c r="L1820" s="19" t="s">
        <v>62</v>
      </c>
      <c r="M1820" s="21">
        <v>2.2000000000000002</v>
      </c>
      <c r="N1820">
        <f t="shared" si="28"/>
        <v>1</v>
      </c>
    </row>
    <row r="1821" spans="1:14" x14ac:dyDescent="0.35">
      <c r="A1821" s="22" t="s">
        <v>1891</v>
      </c>
      <c r="B1821" s="23" t="s">
        <v>39</v>
      </c>
      <c r="C1821" s="23">
        <v>1</v>
      </c>
      <c r="D1821" s="24">
        <v>45687</v>
      </c>
      <c r="E1821" s="23" t="s">
        <v>36</v>
      </c>
      <c r="F1821" s="23" t="s">
        <v>43</v>
      </c>
      <c r="G1821" s="23" t="s">
        <v>8364</v>
      </c>
      <c r="H1821" s="23" t="s">
        <v>32</v>
      </c>
      <c r="I1821" s="23">
        <v>4</v>
      </c>
      <c r="J1821" s="23">
        <v>0</v>
      </c>
      <c r="K1821" s="23">
        <v>2</v>
      </c>
      <c r="L1821" s="23" t="s">
        <v>62</v>
      </c>
      <c r="M1821" s="25">
        <v>18.399999999999999</v>
      </c>
      <c r="N1821">
        <f t="shared" si="28"/>
        <v>0</v>
      </c>
    </row>
    <row r="1822" spans="1:14" x14ac:dyDescent="0.35">
      <c r="A1822" s="6" t="s">
        <v>1892</v>
      </c>
      <c r="B1822" s="19" t="s">
        <v>89</v>
      </c>
      <c r="C1822" s="19">
        <v>4</v>
      </c>
      <c r="D1822" s="20">
        <v>45773</v>
      </c>
      <c r="E1822" s="19" t="s">
        <v>20</v>
      </c>
      <c r="F1822" s="19" t="s">
        <v>14</v>
      </c>
      <c r="G1822" s="19" t="s">
        <v>15</v>
      </c>
      <c r="H1822" s="19" t="s">
        <v>8364</v>
      </c>
      <c r="I1822" s="19">
        <v>4</v>
      </c>
      <c r="J1822" s="19">
        <v>0</v>
      </c>
      <c r="K1822" s="19">
        <v>4</v>
      </c>
      <c r="L1822" s="19" t="s">
        <v>75</v>
      </c>
      <c r="M1822" s="21">
        <v>7.6</v>
      </c>
      <c r="N1822">
        <f t="shared" si="28"/>
        <v>0</v>
      </c>
    </row>
    <row r="1823" spans="1:14" x14ac:dyDescent="0.35">
      <c r="A1823" s="22" t="s">
        <v>1893</v>
      </c>
      <c r="B1823" s="23" t="s">
        <v>130</v>
      </c>
      <c r="C1823" s="23">
        <v>3</v>
      </c>
      <c r="D1823" s="24">
        <v>45741</v>
      </c>
      <c r="E1823" s="23" t="s">
        <v>13</v>
      </c>
      <c r="F1823" s="23" t="s">
        <v>43</v>
      </c>
      <c r="G1823" s="23" t="s">
        <v>15</v>
      </c>
      <c r="H1823" s="23" t="s">
        <v>32</v>
      </c>
      <c r="I1823" s="23">
        <v>24</v>
      </c>
      <c r="J1823" s="23">
        <v>0</v>
      </c>
      <c r="K1823" s="23">
        <v>4</v>
      </c>
      <c r="L1823" s="23" t="s">
        <v>55</v>
      </c>
      <c r="M1823" s="25">
        <v>17.899999999999999</v>
      </c>
      <c r="N1823">
        <f t="shared" si="28"/>
        <v>1</v>
      </c>
    </row>
    <row r="1824" spans="1:14" x14ac:dyDescent="0.35">
      <c r="A1824" s="6" t="s">
        <v>1894</v>
      </c>
      <c r="B1824" s="19" t="s">
        <v>143</v>
      </c>
      <c r="C1824" s="19">
        <v>3</v>
      </c>
      <c r="D1824" s="20">
        <v>45742</v>
      </c>
      <c r="E1824" s="19" t="s">
        <v>68</v>
      </c>
      <c r="F1824" s="19" t="s">
        <v>43</v>
      </c>
      <c r="G1824" s="19" t="s">
        <v>15</v>
      </c>
      <c r="H1824" s="19" t="s">
        <v>28</v>
      </c>
      <c r="I1824" s="19">
        <v>4</v>
      </c>
      <c r="J1824" s="19">
        <v>0</v>
      </c>
      <c r="K1824" s="19">
        <v>2</v>
      </c>
      <c r="L1824" s="19" t="s">
        <v>33</v>
      </c>
      <c r="M1824" s="21">
        <v>19.100000000000001</v>
      </c>
      <c r="N1824">
        <f t="shared" si="28"/>
        <v>0</v>
      </c>
    </row>
    <row r="1825" spans="1:14" x14ac:dyDescent="0.35">
      <c r="A1825" s="22" t="s">
        <v>1895</v>
      </c>
      <c r="B1825" s="23" t="s">
        <v>97</v>
      </c>
      <c r="C1825" s="23">
        <v>1</v>
      </c>
      <c r="D1825" s="24">
        <v>45676</v>
      </c>
      <c r="E1825" s="23" t="s">
        <v>36</v>
      </c>
      <c r="F1825" s="23" t="s">
        <v>43</v>
      </c>
      <c r="G1825" s="23" t="s">
        <v>15</v>
      </c>
      <c r="H1825" s="23" t="s">
        <v>22</v>
      </c>
      <c r="I1825" s="23">
        <v>24</v>
      </c>
      <c r="J1825" s="23">
        <v>0</v>
      </c>
      <c r="K1825" s="23"/>
      <c r="L1825" s="23" t="s">
        <v>33</v>
      </c>
      <c r="M1825" s="25">
        <v>12.9</v>
      </c>
      <c r="N1825">
        <f t="shared" si="28"/>
        <v>1</v>
      </c>
    </row>
    <row r="1826" spans="1:14" x14ac:dyDescent="0.35">
      <c r="A1826" s="6" t="s">
        <v>1896</v>
      </c>
      <c r="B1826" s="19" t="s">
        <v>69</v>
      </c>
      <c r="C1826" s="19">
        <v>1</v>
      </c>
      <c r="D1826" s="20">
        <v>45671</v>
      </c>
      <c r="E1826" s="19" t="s">
        <v>13</v>
      </c>
      <c r="F1826" s="19" t="s">
        <v>14</v>
      </c>
      <c r="G1826" s="19" t="s">
        <v>31</v>
      </c>
      <c r="H1826" s="19" t="s">
        <v>16</v>
      </c>
      <c r="I1826" s="19">
        <v>4</v>
      </c>
      <c r="J1826" s="19">
        <v>0</v>
      </c>
      <c r="K1826" s="19">
        <v>4</v>
      </c>
      <c r="L1826" s="19" t="s">
        <v>62</v>
      </c>
      <c r="M1826" s="21">
        <v>18</v>
      </c>
      <c r="N1826">
        <f t="shared" si="28"/>
        <v>0</v>
      </c>
    </row>
    <row r="1827" spans="1:14" x14ac:dyDescent="0.35">
      <c r="A1827" s="22" t="s">
        <v>1897</v>
      </c>
      <c r="B1827" s="23" t="s">
        <v>99</v>
      </c>
      <c r="C1827" s="23">
        <v>2</v>
      </c>
      <c r="D1827" s="24">
        <v>45708</v>
      </c>
      <c r="E1827" s="23" t="s">
        <v>13</v>
      </c>
      <c r="F1827" s="23" t="s">
        <v>43</v>
      </c>
      <c r="G1827" s="23" t="s">
        <v>21</v>
      </c>
      <c r="H1827" s="23" t="s">
        <v>32</v>
      </c>
      <c r="I1827" s="23">
        <v>4</v>
      </c>
      <c r="J1827" s="23">
        <v>2</v>
      </c>
      <c r="K1827" s="23">
        <v>5</v>
      </c>
      <c r="L1827" s="23" t="s">
        <v>75</v>
      </c>
      <c r="M1827" s="25">
        <v>10.1</v>
      </c>
      <c r="N1827">
        <f t="shared" si="28"/>
        <v>0</v>
      </c>
    </row>
    <row r="1828" spans="1:14" x14ac:dyDescent="0.35">
      <c r="A1828" s="6" t="s">
        <v>1898</v>
      </c>
      <c r="B1828" s="19" t="s">
        <v>53</v>
      </c>
      <c r="C1828" s="19">
        <v>8</v>
      </c>
      <c r="D1828" s="20">
        <v>45898</v>
      </c>
      <c r="E1828" s="19" t="s">
        <v>8364</v>
      </c>
      <c r="F1828" s="19" t="s">
        <v>37</v>
      </c>
      <c r="G1828" s="19" t="s">
        <v>21</v>
      </c>
      <c r="H1828" s="19" t="s">
        <v>8364</v>
      </c>
      <c r="I1828" s="19">
        <v>24</v>
      </c>
      <c r="J1828" s="19">
        <v>0</v>
      </c>
      <c r="K1828" s="19">
        <v>4</v>
      </c>
      <c r="L1828" s="19" t="s">
        <v>33</v>
      </c>
      <c r="M1828" s="21">
        <v>23.3</v>
      </c>
      <c r="N1828">
        <f t="shared" si="28"/>
        <v>1</v>
      </c>
    </row>
    <row r="1829" spans="1:14" x14ac:dyDescent="0.35">
      <c r="A1829" s="22" t="s">
        <v>1899</v>
      </c>
      <c r="B1829" s="23" t="s">
        <v>104</v>
      </c>
      <c r="C1829" s="23">
        <v>2</v>
      </c>
      <c r="D1829" s="24">
        <v>45702</v>
      </c>
      <c r="E1829" s="23" t="s">
        <v>25</v>
      </c>
      <c r="F1829" s="23" t="s">
        <v>8364</v>
      </c>
      <c r="G1829" s="23" t="s">
        <v>31</v>
      </c>
      <c r="H1829" s="23" t="s">
        <v>22</v>
      </c>
      <c r="I1829" s="23">
        <v>72</v>
      </c>
      <c r="J1829" s="23">
        <v>1</v>
      </c>
      <c r="K1829" s="23"/>
      <c r="L1829" s="23" t="s">
        <v>17</v>
      </c>
      <c r="M1829" s="25"/>
      <c r="N1829">
        <f t="shared" si="28"/>
        <v>1</v>
      </c>
    </row>
    <row r="1830" spans="1:14" x14ac:dyDescent="0.35">
      <c r="A1830" s="6" t="s">
        <v>1900</v>
      </c>
      <c r="B1830" s="19" t="s">
        <v>51</v>
      </c>
      <c r="C1830" s="19"/>
      <c r="D1830" s="20"/>
      <c r="E1830" s="19" t="s">
        <v>13</v>
      </c>
      <c r="F1830" s="19" t="s">
        <v>43</v>
      </c>
      <c r="G1830" s="19" t="s">
        <v>31</v>
      </c>
      <c r="H1830" s="19" t="s">
        <v>32</v>
      </c>
      <c r="I1830" s="19">
        <v>72</v>
      </c>
      <c r="J1830" s="19">
        <v>0</v>
      </c>
      <c r="K1830" s="19">
        <v>2</v>
      </c>
      <c r="L1830" s="19" t="s">
        <v>33</v>
      </c>
      <c r="M1830" s="21">
        <v>7.4</v>
      </c>
      <c r="N1830">
        <f t="shared" si="28"/>
        <v>1</v>
      </c>
    </row>
    <row r="1831" spans="1:14" x14ac:dyDescent="0.35">
      <c r="A1831" s="22" t="s">
        <v>1901</v>
      </c>
      <c r="B1831" s="23" t="s">
        <v>87</v>
      </c>
      <c r="C1831" s="23">
        <v>1</v>
      </c>
      <c r="D1831" s="24">
        <v>45671</v>
      </c>
      <c r="E1831" s="23" t="s">
        <v>8364</v>
      </c>
      <c r="F1831" s="23" t="s">
        <v>8364</v>
      </c>
      <c r="G1831" s="23" t="s">
        <v>21</v>
      </c>
      <c r="H1831" s="23" t="s">
        <v>22</v>
      </c>
      <c r="I1831" s="23">
        <v>24</v>
      </c>
      <c r="J1831" s="23">
        <v>0</v>
      </c>
      <c r="K1831" s="23">
        <v>1</v>
      </c>
      <c r="L1831" s="23" t="s">
        <v>44</v>
      </c>
      <c r="M1831" s="25">
        <v>3.2</v>
      </c>
      <c r="N1831">
        <f t="shared" si="28"/>
        <v>1</v>
      </c>
    </row>
    <row r="1832" spans="1:14" x14ac:dyDescent="0.35">
      <c r="A1832" s="6" t="s">
        <v>1902</v>
      </c>
      <c r="B1832" s="19" t="s">
        <v>18</v>
      </c>
      <c r="C1832" s="19">
        <v>7</v>
      </c>
      <c r="D1832" s="20">
        <v>45860</v>
      </c>
      <c r="E1832" s="19" t="s">
        <v>36</v>
      </c>
      <c r="F1832" s="19" t="s">
        <v>43</v>
      </c>
      <c r="G1832" s="19" t="s">
        <v>27</v>
      </c>
      <c r="H1832" s="19" t="s">
        <v>32</v>
      </c>
      <c r="I1832" s="19">
        <v>24</v>
      </c>
      <c r="J1832" s="19">
        <v>0</v>
      </c>
      <c r="K1832" s="19">
        <v>5</v>
      </c>
      <c r="L1832" s="19" t="s">
        <v>8363</v>
      </c>
      <c r="M1832" s="21">
        <v>23.6</v>
      </c>
      <c r="N1832">
        <f t="shared" si="28"/>
        <v>1</v>
      </c>
    </row>
    <row r="1833" spans="1:14" x14ac:dyDescent="0.35">
      <c r="A1833" s="22" t="s">
        <v>1903</v>
      </c>
      <c r="B1833" s="23" t="s">
        <v>65</v>
      </c>
      <c r="C1833" s="23">
        <v>5</v>
      </c>
      <c r="D1833" s="24">
        <v>45793</v>
      </c>
      <c r="E1833" s="23" t="s">
        <v>13</v>
      </c>
      <c r="F1833" s="23" t="s">
        <v>14</v>
      </c>
      <c r="G1833" s="23" t="s">
        <v>27</v>
      </c>
      <c r="H1833" s="23" t="s">
        <v>22</v>
      </c>
      <c r="I1833" s="23">
        <v>4</v>
      </c>
      <c r="J1833" s="23">
        <v>0</v>
      </c>
      <c r="K1833" s="23">
        <v>5</v>
      </c>
      <c r="L1833" s="23" t="s">
        <v>8363</v>
      </c>
      <c r="M1833" s="25">
        <v>6.5</v>
      </c>
      <c r="N1833">
        <f t="shared" si="28"/>
        <v>0</v>
      </c>
    </row>
    <row r="1834" spans="1:14" x14ac:dyDescent="0.35">
      <c r="A1834" s="6" t="s">
        <v>1904</v>
      </c>
      <c r="B1834" s="19" t="s">
        <v>146</v>
      </c>
      <c r="C1834" s="19">
        <v>8</v>
      </c>
      <c r="D1834" s="20">
        <v>45894</v>
      </c>
      <c r="E1834" s="19" t="s">
        <v>25</v>
      </c>
      <c r="F1834" s="19" t="s">
        <v>43</v>
      </c>
      <c r="G1834" s="19" t="s">
        <v>31</v>
      </c>
      <c r="H1834" s="19" t="s">
        <v>8364</v>
      </c>
      <c r="I1834" s="19">
        <v>4</v>
      </c>
      <c r="J1834" s="19"/>
      <c r="K1834" s="19"/>
      <c r="L1834" s="19" t="s">
        <v>62</v>
      </c>
      <c r="M1834" s="21">
        <v>10.8</v>
      </c>
      <c r="N1834">
        <f t="shared" si="28"/>
        <v>0</v>
      </c>
    </row>
    <row r="1835" spans="1:14" x14ac:dyDescent="0.35">
      <c r="A1835" s="22" t="s">
        <v>1905</v>
      </c>
      <c r="B1835" s="23" t="s">
        <v>51</v>
      </c>
      <c r="C1835" s="23">
        <v>7</v>
      </c>
      <c r="D1835" s="24">
        <v>45843</v>
      </c>
      <c r="E1835" s="23" t="s">
        <v>36</v>
      </c>
      <c r="F1835" s="23" t="s">
        <v>8364</v>
      </c>
      <c r="G1835" s="23" t="s">
        <v>15</v>
      </c>
      <c r="H1835" s="23" t="s">
        <v>28</v>
      </c>
      <c r="I1835" s="23">
        <v>48</v>
      </c>
      <c r="J1835" s="23">
        <v>2</v>
      </c>
      <c r="K1835" s="23">
        <v>5</v>
      </c>
      <c r="L1835" s="23" t="s">
        <v>38</v>
      </c>
      <c r="M1835" s="25">
        <v>9.3000000000000007</v>
      </c>
      <c r="N1835">
        <f t="shared" si="28"/>
        <v>1</v>
      </c>
    </row>
    <row r="1836" spans="1:14" x14ac:dyDescent="0.35">
      <c r="A1836" s="6" t="s">
        <v>1906</v>
      </c>
      <c r="B1836" s="19" t="s">
        <v>78</v>
      </c>
      <c r="C1836" s="19"/>
      <c r="D1836" s="20"/>
      <c r="E1836" s="19" t="s">
        <v>36</v>
      </c>
      <c r="F1836" s="19" t="s">
        <v>59</v>
      </c>
      <c r="G1836" s="19" t="s">
        <v>15</v>
      </c>
      <c r="H1836" s="19" t="s">
        <v>22</v>
      </c>
      <c r="I1836" s="19">
        <v>4</v>
      </c>
      <c r="J1836" s="19">
        <v>0</v>
      </c>
      <c r="K1836" s="19">
        <v>3</v>
      </c>
      <c r="L1836" s="19" t="s">
        <v>75</v>
      </c>
      <c r="M1836" s="21">
        <v>11.3</v>
      </c>
      <c r="N1836">
        <f t="shared" si="28"/>
        <v>0</v>
      </c>
    </row>
    <row r="1837" spans="1:14" x14ac:dyDescent="0.35">
      <c r="A1837" s="22" t="s">
        <v>1907</v>
      </c>
      <c r="B1837" s="23" t="s">
        <v>65</v>
      </c>
      <c r="C1837" s="23"/>
      <c r="D1837" s="24"/>
      <c r="E1837" s="23" t="s">
        <v>25</v>
      </c>
      <c r="F1837" s="23" t="s">
        <v>14</v>
      </c>
      <c r="G1837" s="23" t="s">
        <v>27</v>
      </c>
      <c r="H1837" s="23" t="s">
        <v>22</v>
      </c>
      <c r="I1837" s="23">
        <v>8</v>
      </c>
      <c r="J1837" s="23">
        <v>0</v>
      </c>
      <c r="K1837" s="23">
        <v>4</v>
      </c>
      <c r="L1837" s="23" t="s">
        <v>8363</v>
      </c>
      <c r="M1837" s="25">
        <v>3.3</v>
      </c>
      <c r="N1837">
        <f t="shared" si="28"/>
        <v>1</v>
      </c>
    </row>
    <row r="1838" spans="1:14" x14ac:dyDescent="0.35">
      <c r="A1838" s="6" t="s">
        <v>1908</v>
      </c>
      <c r="B1838" s="19" t="s">
        <v>29</v>
      </c>
      <c r="C1838" s="19"/>
      <c r="D1838" s="20"/>
      <c r="E1838" s="19" t="s">
        <v>8364</v>
      </c>
      <c r="F1838" s="19" t="s">
        <v>14</v>
      </c>
      <c r="G1838" s="19" t="s">
        <v>31</v>
      </c>
      <c r="H1838" s="19" t="s">
        <v>28</v>
      </c>
      <c r="I1838" s="19">
        <v>8</v>
      </c>
      <c r="J1838" s="19">
        <v>0</v>
      </c>
      <c r="K1838" s="19">
        <v>2</v>
      </c>
      <c r="L1838" s="19" t="s">
        <v>44</v>
      </c>
      <c r="M1838" s="21">
        <v>6.7</v>
      </c>
      <c r="N1838">
        <f t="shared" si="28"/>
        <v>1</v>
      </c>
    </row>
    <row r="1839" spans="1:14" x14ac:dyDescent="0.35">
      <c r="A1839" s="22" t="s">
        <v>1909</v>
      </c>
      <c r="B1839" s="23" t="s">
        <v>78</v>
      </c>
      <c r="C1839" s="23">
        <v>5</v>
      </c>
      <c r="D1839" s="24">
        <v>45781</v>
      </c>
      <c r="E1839" s="23" t="s">
        <v>25</v>
      </c>
      <c r="F1839" s="23" t="s">
        <v>14</v>
      </c>
      <c r="G1839" s="23" t="s">
        <v>21</v>
      </c>
      <c r="H1839" s="23" t="s">
        <v>22</v>
      </c>
      <c r="I1839" s="23">
        <v>8</v>
      </c>
      <c r="J1839" s="23">
        <v>0</v>
      </c>
      <c r="K1839" s="23">
        <v>4</v>
      </c>
      <c r="L1839" s="23" t="s">
        <v>33</v>
      </c>
      <c r="M1839" s="25">
        <v>6.4</v>
      </c>
      <c r="N1839">
        <f t="shared" si="28"/>
        <v>1</v>
      </c>
    </row>
    <row r="1840" spans="1:14" x14ac:dyDescent="0.35">
      <c r="A1840" s="6" t="s">
        <v>1910</v>
      </c>
      <c r="B1840" s="19" t="s">
        <v>23</v>
      </c>
      <c r="C1840" s="19">
        <v>6</v>
      </c>
      <c r="D1840" s="20">
        <v>45809</v>
      </c>
      <c r="E1840" s="19" t="s">
        <v>20</v>
      </c>
      <c r="F1840" s="19" t="s">
        <v>59</v>
      </c>
      <c r="G1840" s="19" t="s">
        <v>31</v>
      </c>
      <c r="H1840" s="19" t="s">
        <v>8364</v>
      </c>
      <c r="I1840" s="19">
        <v>8</v>
      </c>
      <c r="J1840" s="19">
        <v>0</v>
      </c>
      <c r="K1840" s="19">
        <v>5</v>
      </c>
      <c r="L1840" s="19" t="s">
        <v>75</v>
      </c>
      <c r="M1840" s="21">
        <v>1.6</v>
      </c>
      <c r="N1840">
        <f t="shared" si="28"/>
        <v>1</v>
      </c>
    </row>
    <row r="1841" spans="1:14" x14ac:dyDescent="0.35">
      <c r="A1841" s="22" t="s">
        <v>1911</v>
      </c>
      <c r="B1841" s="23" t="s">
        <v>104</v>
      </c>
      <c r="C1841" s="23">
        <v>1</v>
      </c>
      <c r="D1841" s="24">
        <v>45680</v>
      </c>
      <c r="E1841" s="23" t="s">
        <v>8364</v>
      </c>
      <c r="F1841" s="23" t="s">
        <v>43</v>
      </c>
      <c r="G1841" s="23" t="s">
        <v>27</v>
      </c>
      <c r="H1841" s="23" t="s">
        <v>22</v>
      </c>
      <c r="I1841" s="23">
        <v>4</v>
      </c>
      <c r="J1841" s="23">
        <v>0</v>
      </c>
      <c r="K1841" s="23">
        <v>4</v>
      </c>
      <c r="L1841" s="23" t="s">
        <v>17</v>
      </c>
      <c r="M1841" s="25">
        <v>3</v>
      </c>
      <c r="N1841">
        <f t="shared" si="28"/>
        <v>1</v>
      </c>
    </row>
    <row r="1842" spans="1:14" x14ac:dyDescent="0.35">
      <c r="A1842" s="6" t="s">
        <v>1912</v>
      </c>
      <c r="B1842" s="19" t="s">
        <v>92</v>
      </c>
      <c r="C1842" s="19">
        <v>4</v>
      </c>
      <c r="D1842" s="20">
        <v>45772</v>
      </c>
      <c r="E1842" s="19" t="s">
        <v>25</v>
      </c>
      <c r="F1842" s="19" t="s">
        <v>43</v>
      </c>
      <c r="G1842" s="19" t="s">
        <v>31</v>
      </c>
      <c r="H1842" s="19" t="s">
        <v>22</v>
      </c>
      <c r="I1842" s="19">
        <v>4</v>
      </c>
      <c r="J1842" s="19">
        <v>1</v>
      </c>
      <c r="K1842" s="19">
        <v>3</v>
      </c>
      <c r="L1842" s="19" t="s">
        <v>38</v>
      </c>
      <c r="M1842" s="21">
        <v>18.5</v>
      </c>
      <c r="N1842">
        <f t="shared" si="28"/>
        <v>0</v>
      </c>
    </row>
    <row r="1843" spans="1:14" x14ac:dyDescent="0.35">
      <c r="A1843" s="22" t="s">
        <v>1913</v>
      </c>
      <c r="B1843" s="23" t="s">
        <v>146</v>
      </c>
      <c r="C1843" s="23">
        <v>11</v>
      </c>
      <c r="D1843" s="24">
        <v>45967</v>
      </c>
      <c r="E1843" s="23" t="s">
        <v>8364</v>
      </c>
      <c r="F1843" s="23" t="s">
        <v>40</v>
      </c>
      <c r="G1843" s="23" t="s">
        <v>27</v>
      </c>
      <c r="H1843" s="23" t="s">
        <v>16</v>
      </c>
      <c r="I1843" s="23">
        <v>24</v>
      </c>
      <c r="J1843" s="23">
        <v>0</v>
      </c>
      <c r="K1843" s="23">
        <v>2</v>
      </c>
      <c r="L1843" s="23" t="s">
        <v>62</v>
      </c>
      <c r="M1843" s="25">
        <v>10.4</v>
      </c>
      <c r="N1843">
        <f t="shared" si="28"/>
        <v>1</v>
      </c>
    </row>
    <row r="1844" spans="1:14" x14ac:dyDescent="0.35">
      <c r="A1844" s="6" t="s">
        <v>1914</v>
      </c>
      <c r="B1844" s="19" t="s">
        <v>29</v>
      </c>
      <c r="C1844" s="19">
        <v>3</v>
      </c>
      <c r="D1844" s="20">
        <v>45717</v>
      </c>
      <c r="E1844" s="19" t="s">
        <v>13</v>
      </c>
      <c r="F1844" s="19" t="s">
        <v>59</v>
      </c>
      <c r="G1844" s="19" t="s">
        <v>15</v>
      </c>
      <c r="H1844" s="19" t="s">
        <v>22</v>
      </c>
      <c r="I1844" s="19">
        <v>4</v>
      </c>
      <c r="J1844" s="19"/>
      <c r="K1844" s="19">
        <v>4</v>
      </c>
      <c r="L1844" s="19" t="s">
        <v>8363</v>
      </c>
      <c r="M1844" s="21">
        <v>6.1</v>
      </c>
      <c r="N1844">
        <f t="shared" si="28"/>
        <v>0</v>
      </c>
    </row>
    <row r="1845" spans="1:14" x14ac:dyDescent="0.35">
      <c r="A1845" s="22" t="s">
        <v>1915</v>
      </c>
      <c r="B1845" s="23" t="s">
        <v>53</v>
      </c>
      <c r="C1845" s="23">
        <v>9</v>
      </c>
      <c r="D1845" s="24">
        <v>45921</v>
      </c>
      <c r="E1845" s="23" t="s">
        <v>13</v>
      </c>
      <c r="F1845" s="23" t="s">
        <v>59</v>
      </c>
      <c r="G1845" s="23" t="s">
        <v>21</v>
      </c>
      <c r="H1845" s="23" t="s">
        <v>28</v>
      </c>
      <c r="I1845" s="23">
        <v>72</v>
      </c>
      <c r="J1845" s="23">
        <v>0</v>
      </c>
      <c r="K1845" s="23">
        <v>5</v>
      </c>
      <c r="L1845" s="23" t="s">
        <v>44</v>
      </c>
      <c r="M1845" s="25">
        <v>11.4</v>
      </c>
      <c r="N1845">
        <f t="shared" si="28"/>
        <v>1</v>
      </c>
    </row>
    <row r="1846" spans="1:14" x14ac:dyDescent="0.35">
      <c r="A1846" s="6" t="s">
        <v>1916</v>
      </c>
      <c r="B1846" s="19" t="s">
        <v>81</v>
      </c>
      <c r="C1846" s="19">
        <v>10</v>
      </c>
      <c r="D1846" s="20">
        <v>45948</v>
      </c>
      <c r="E1846" s="19" t="s">
        <v>8364</v>
      </c>
      <c r="F1846" s="19" t="s">
        <v>14</v>
      </c>
      <c r="G1846" s="19" t="s">
        <v>31</v>
      </c>
      <c r="H1846" s="19" t="s">
        <v>28</v>
      </c>
      <c r="I1846" s="19">
        <v>8</v>
      </c>
      <c r="J1846" s="19">
        <v>3</v>
      </c>
      <c r="K1846" s="19">
        <v>5</v>
      </c>
      <c r="L1846" s="19" t="s">
        <v>75</v>
      </c>
      <c r="M1846" s="21">
        <v>11.8</v>
      </c>
      <c r="N1846">
        <f t="shared" si="28"/>
        <v>0</v>
      </c>
    </row>
    <row r="1847" spans="1:14" x14ac:dyDescent="0.35">
      <c r="A1847" s="22" t="s">
        <v>1917</v>
      </c>
      <c r="B1847" s="23" t="s">
        <v>81</v>
      </c>
      <c r="C1847" s="23">
        <v>3</v>
      </c>
      <c r="D1847" s="24">
        <v>45722</v>
      </c>
      <c r="E1847" s="23" t="s">
        <v>13</v>
      </c>
      <c r="F1847" s="23" t="s">
        <v>14</v>
      </c>
      <c r="G1847" s="23" t="s">
        <v>21</v>
      </c>
      <c r="H1847" s="23" t="s">
        <v>32</v>
      </c>
      <c r="I1847" s="23">
        <v>72</v>
      </c>
      <c r="J1847" s="23">
        <v>1</v>
      </c>
      <c r="K1847" s="23">
        <v>4</v>
      </c>
      <c r="L1847" s="23" t="s">
        <v>17</v>
      </c>
      <c r="M1847" s="25">
        <v>4</v>
      </c>
      <c r="N1847">
        <f t="shared" si="28"/>
        <v>1</v>
      </c>
    </row>
    <row r="1848" spans="1:14" x14ac:dyDescent="0.35">
      <c r="A1848" s="6" t="s">
        <v>1918</v>
      </c>
      <c r="B1848" s="19" t="s">
        <v>18</v>
      </c>
      <c r="C1848" s="19">
        <v>11</v>
      </c>
      <c r="D1848" s="20">
        <v>45962</v>
      </c>
      <c r="E1848" s="19" t="s">
        <v>13</v>
      </c>
      <c r="F1848" s="19" t="s">
        <v>8364</v>
      </c>
      <c r="G1848" s="19" t="s">
        <v>21</v>
      </c>
      <c r="H1848" s="19" t="s">
        <v>32</v>
      </c>
      <c r="I1848" s="19">
        <v>48</v>
      </c>
      <c r="J1848" s="19">
        <v>0</v>
      </c>
      <c r="K1848" s="19"/>
      <c r="L1848" s="19" t="s">
        <v>62</v>
      </c>
      <c r="M1848" s="21">
        <v>11</v>
      </c>
      <c r="N1848">
        <f t="shared" si="28"/>
        <v>1</v>
      </c>
    </row>
    <row r="1849" spans="1:14" x14ac:dyDescent="0.35">
      <c r="A1849" s="22" t="s">
        <v>1919</v>
      </c>
      <c r="B1849" s="23" t="s">
        <v>47</v>
      </c>
      <c r="C1849" s="23">
        <v>3</v>
      </c>
      <c r="D1849" s="24">
        <v>45747</v>
      </c>
      <c r="E1849" s="23" t="s">
        <v>20</v>
      </c>
      <c r="F1849" s="23" t="s">
        <v>14</v>
      </c>
      <c r="G1849" s="23" t="s">
        <v>31</v>
      </c>
      <c r="H1849" s="23" t="s">
        <v>8364</v>
      </c>
      <c r="I1849" s="23">
        <v>24</v>
      </c>
      <c r="J1849" s="23">
        <v>0</v>
      </c>
      <c r="K1849" s="23">
        <v>3</v>
      </c>
      <c r="L1849" s="23" t="s">
        <v>38</v>
      </c>
      <c r="M1849" s="25">
        <v>12.2</v>
      </c>
      <c r="N1849">
        <f t="shared" si="28"/>
        <v>1</v>
      </c>
    </row>
    <row r="1850" spans="1:14" x14ac:dyDescent="0.35">
      <c r="A1850" s="6" t="s">
        <v>1920</v>
      </c>
      <c r="B1850" s="19" t="s">
        <v>51</v>
      </c>
      <c r="C1850" s="19">
        <v>2</v>
      </c>
      <c r="D1850" s="20">
        <v>45690</v>
      </c>
      <c r="E1850" s="19" t="s">
        <v>25</v>
      </c>
      <c r="F1850" s="19" t="s">
        <v>14</v>
      </c>
      <c r="G1850" s="19" t="s">
        <v>21</v>
      </c>
      <c r="H1850" s="19" t="s">
        <v>22</v>
      </c>
      <c r="I1850" s="19">
        <v>72</v>
      </c>
      <c r="J1850" s="19">
        <v>0</v>
      </c>
      <c r="K1850" s="19">
        <v>5</v>
      </c>
      <c r="L1850" s="19" t="s">
        <v>55</v>
      </c>
      <c r="M1850" s="21">
        <v>30.4</v>
      </c>
      <c r="N1850">
        <f t="shared" si="28"/>
        <v>1</v>
      </c>
    </row>
    <row r="1851" spans="1:14" x14ac:dyDescent="0.35">
      <c r="A1851" s="22" t="s">
        <v>1921</v>
      </c>
      <c r="B1851" s="23" t="s">
        <v>104</v>
      </c>
      <c r="C1851" s="23">
        <v>4</v>
      </c>
      <c r="D1851" s="24">
        <v>45764</v>
      </c>
      <c r="E1851" s="23" t="s">
        <v>68</v>
      </c>
      <c r="F1851" s="23" t="s">
        <v>14</v>
      </c>
      <c r="G1851" s="23" t="s">
        <v>31</v>
      </c>
      <c r="H1851" s="23" t="s">
        <v>32</v>
      </c>
      <c r="I1851" s="23">
        <v>48</v>
      </c>
      <c r="J1851" s="23">
        <v>0</v>
      </c>
      <c r="K1851" s="23">
        <v>5</v>
      </c>
      <c r="L1851" s="23" t="s">
        <v>8363</v>
      </c>
      <c r="M1851" s="25">
        <v>1.9</v>
      </c>
      <c r="N1851">
        <f t="shared" si="28"/>
        <v>1</v>
      </c>
    </row>
    <row r="1852" spans="1:14" x14ac:dyDescent="0.35">
      <c r="A1852" s="6" t="s">
        <v>1922</v>
      </c>
      <c r="B1852" s="19" t="s">
        <v>236</v>
      </c>
      <c r="C1852" s="19">
        <v>5</v>
      </c>
      <c r="D1852" s="20">
        <v>45782</v>
      </c>
      <c r="E1852" s="19" t="s">
        <v>68</v>
      </c>
      <c r="F1852" s="19" t="s">
        <v>8364</v>
      </c>
      <c r="G1852" s="19" t="s">
        <v>31</v>
      </c>
      <c r="H1852" s="19" t="s">
        <v>22</v>
      </c>
      <c r="I1852" s="19">
        <v>72</v>
      </c>
      <c r="J1852" s="19">
        <v>0</v>
      </c>
      <c r="K1852" s="19">
        <v>5</v>
      </c>
      <c r="L1852" s="19" t="s">
        <v>8363</v>
      </c>
      <c r="M1852" s="21">
        <v>17</v>
      </c>
      <c r="N1852">
        <f t="shared" si="28"/>
        <v>1</v>
      </c>
    </row>
    <row r="1853" spans="1:14" x14ac:dyDescent="0.35">
      <c r="A1853" s="22" t="s">
        <v>1923</v>
      </c>
      <c r="B1853" s="23" t="s">
        <v>146</v>
      </c>
      <c r="C1853" s="23">
        <v>11</v>
      </c>
      <c r="D1853" s="24">
        <v>45965</v>
      </c>
      <c r="E1853" s="23" t="s">
        <v>13</v>
      </c>
      <c r="F1853" s="23" t="s">
        <v>43</v>
      </c>
      <c r="G1853" s="23" t="s">
        <v>21</v>
      </c>
      <c r="H1853" s="23" t="s">
        <v>8364</v>
      </c>
      <c r="I1853" s="23">
        <v>24</v>
      </c>
      <c r="J1853" s="23">
        <v>0</v>
      </c>
      <c r="K1853" s="23">
        <v>4</v>
      </c>
      <c r="L1853" s="23" t="s">
        <v>44</v>
      </c>
      <c r="M1853" s="25">
        <v>18.399999999999999</v>
      </c>
      <c r="N1853">
        <f t="shared" si="28"/>
        <v>1</v>
      </c>
    </row>
    <row r="1854" spans="1:14" x14ac:dyDescent="0.35">
      <c r="A1854" s="6" t="s">
        <v>1924</v>
      </c>
      <c r="B1854" s="19" t="s">
        <v>18</v>
      </c>
      <c r="C1854" s="19">
        <v>8</v>
      </c>
      <c r="D1854" s="20">
        <v>45882</v>
      </c>
      <c r="E1854" s="19" t="s">
        <v>36</v>
      </c>
      <c r="F1854" s="19" t="s">
        <v>14</v>
      </c>
      <c r="G1854" s="19" t="s">
        <v>8364</v>
      </c>
      <c r="H1854" s="19" t="s">
        <v>32</v>
      </c>
      <c r="I1854" s="19">
        <v>4</v>
      </c>
      <c r="J1854" s="19">
        <v>1</v>
      </c>
      <c r="K1854" s="19">
        <v>1</v>
      </c>
      <c r="L1854" s="19" t="s">
        <v>8363</v>
      </c>
      <c r="M1854" s="21">
        <v>17.399999999999999</v>
      </c>
      <c r="N1854">
        <f t="shared" si="28"/>
        <v>0</v>
      </c>
    </row>
    <row r="1855" spans="1:14" x14ac:dyDescent="0.35">
      <c r="A1855" s="22" t="s">
        <v>1925</v>
      </c>
      <c r="B1855" s="23" t="s">
        <v>69</v>
      </c>
      <c r="C1855" s="23"/>
      <c r="D1855" s="24"/>
      <c r="E1855" s="23" t="s">
        <v>8364</v>
      </c>
      <c r="F1855" s="23" t="s">
        <v>14</v>
      </c>
      <c r="G1855" s="23" t="s">
        <v>8364</v>
      </c>
      <c r="H1855" s="23" t="s">
        <v>28</v>
      </c>
      <c r="I1855" s="23">
        <v>8</v>
      </c>
      <c r="J1855" s="23">
        <v>0</v>
      </c>
      <c r="K1855" s="23">
        <v>1</v>
      </c>
      <c r="L1855" s="23" t="s">
        <v>8363</v>
      </c>
      <c r="M1855" s="25">
        <v>11.7</v>
      </c>
      <c r="N1855">
        <f t="shared" si="28"/>
        <v>0</v>
      </c>
    </row>
    <row r="1856" spans="1:14" x14ac:dyDescent="0.35">
      <c r="A1856" s="6" t="s">
        <v>1926</v>
      </c>
      <c r="B1856" s="19" t="s">
        <v>236</v>
      </c>
      <c r="C1856" s="19">
        <v>7</v>
      </c>
      <c r="D1856" s="20">
        <v>45857</v>
      </c>
      <c r="E1856" s="19" t="s">
        <v>25</v>
      </c>
      <c r="F1856" s="19" t="s">
        <v>14</v>
      </c>
      <c r="G1856" s="19" t="s">
        <v>31</v>
      </c>
      <c r="H1856" s="19" t="s">
        <v>22</v>
      </c>
      <c r="I1856" s="19">
        <v>24</v>
      </c>
      <c r="J1856" s="19">
        <v>0</v>
      </c>
      <c r="K1856" s="19">
        <v>5</v>
      </c>
      <c r="L1856" s="19" t="s">
        <v>62</v>
      </c>
      <c r="M1856" s="21"/>
      <c r="N1856">
        <f t="shared" si="28"/>
        <v>1</v>
      </c>
    </row>
    <row r="1857" spans="1:14" x14ac:dyDescent="0.35">
      <c r="A1857" s="22" t="s">
        <v>1927</v>
      </c>
      <c r="B1857" s="23" t="s">
        <v>41</v>
      </c>
      <c r="C1857" s="23">
        <v>10</v>
      </c>
      <c r="D1857" s="24">
        <v>45931</v>
      </c>
      <c r="E1857" s="23" t="s">
        <v>68</v>
      </c>
      <c r="F1857" s="23" t="s">
        <v>14</v>
      </c>
      <c r="G1857" s="23" t="s">
        <v>8364</v>
      </c>
      <c r="H1857" s="23" t="s">
        <v>22</v>
      </c>
      <c r="I1857" s="23">
        <v>48</v>
      </c>
      <c r="J1857" s="23">
        <v>1</v>
      </c>
      <c r="K1857" s="23">
        <v>1</v>
      </c>
      <c r="L1857" s="23" t="s">
        <v>62</v>
      </c>
      <c r="M1857" s="25">
        <v>8.6</v>
      </c>
      <c r="N1857">
        <f t="shared" si="28"/>
        <v>1</v>
      </c>
    </row>
    <row r="1858" spans="1:14" x14ac:dyDescent="0.35">
      <c r="A1858" s="6" t="s">
        <v>1928</v>
      </c>
      <c r="B1858" s="19" t="s">
        <v>69</v>
      </c>
      <c r="C1858" s="19">
        <v>10</v>
      </c>
      <c r="D1858" s="20">
        <v>45961</v>
      </c>
      <c r="E1858" s="19" t="s">
        <v>36</v>
      </c>
      <c r="F1858" s="19" t="s">
        <v>37</v>
      </c>
      <c r="G1858" s="19" t="s">
        <v>31</v>
      </c>
      <c r="H1858" s="19" t="s">
        <v>8364</v>
      </c>
      <c r="I1858" s="19">
        <v>8</v>
      </c>
      <c r="J1858" s="19">
        <v>0</v>
      </c>
      <c r="K1858" s="19">
        <v>5</v>
      </c>
      <c r="L1858" s="19" t="s">
        <v>38</v>
      </c>
      <c r="M1858" s="21">
        <v>14.9</v>
      </c>
      <c r="N1858">
        <f t="shared" si="28"/>
        <v>0</v>
      </c>
    </row>
    <row r="1859" spans="1:14" x14ac:dyDescent="0.35">
      <c r="A1859" s="22" t="s">
        <v>1929</v>
      </c>
      <c r="B1859" s="23" t="s">
        <v>18</v>
      </c>
      <c r="C1859" s="23">
        <v>8</v>
      </c>
      <c r="D1859" s="24">
        <v>45882</v>
      </c>
      <c r="E1859" s="23" t="s">
        <v>20</v>
      </c>
      <c r="F1859" s="23" t="s">
        <v>14</v>
      </c>
      <c r="G1859" s="23" t="s">
        <v>31</v>
      </c>
      <c r="H1859" s="23" t="s">
        <v>16</v>
      </c>
      <c r="I1859" s="23">
        <v>72</v>
      </c>
      <c r="J1859" s="23">
        <v>0</v>
      </c>
      <c r="K1859" s="23">
        <v>4</v>
      </c>
      <c r="L1859" s="23" t="s">
        <v>17</v>
      </c>
      <c r="M1859" s="25">
        <v>6.4</v>
      </c>
      <c r="N1859">
        <f t="shared" ref="N1859:N1922" si="29">IF(M1859 &lt;= I1859, 1, 0)</f>
        <v>1</v>
      </c>
    </row>
    <row r="1860" spans="1:14" x14ac:dyDescent="0.35">
      <c r="A1860" s="6" t="s">
        <v>1930</v>
      </c>
      <c r="B1860" s="19" t="s">
        <v>89</v>
      </c>
      <c r="C1860" s="19">
        <v>1</v>
      </c>
      <c r="D1860" s="20">
        <v>45684</v>
      </c>
      <c r="E1860" s="19" t="s">
        <v>25</v>
      </c>
      <c r="F1860" s="19" t="s">
        <v>14</v>
      </c>
      <c r="G1860" s="19" t="s">
        <v>27</v>
      </c>
      <c r="H1860" s="19" t="s">
        <v>8364</v>
      </c>
      <c r="I1860" s="19">
        <v>24</v>
      </c>
      <c r="J1860" s="19">
        <v>0</v>
      </c>
      <c r="K1860" s="19">
        <v>4</v>
      </c>
      <c r="L1860" s="19" t="s">
        <v>17</v>
      </c>
      <c r="M1860" s="21">
        <v>3.4</v>
      </c>
      <c r="N1860">
        <f t="shared" si="29"/>
        <v>1</v>
      </c>
    </row>
    <row r="1861" spans="1:14" x14ac:dyDescent="0.35">
      <c r="A1861" s="22" t="s">
        <v>1931</v>
      </c>
      <c r="B1861" s="23" t="s">
        <v>253</v>
      </c>
      <c r="C1861" s="23">
        <v>10</v>
      </c>
      <c r="D1861" s="24">
        <v>45951</v>
      </c>
      <c r="E1861" s="23" t="s">
        <v>20</v>
      </c>
      <c r="F1861" s="23" t="s">
        <v>43</v>
      </c>
      <c r="G1861" s="23" t="s">
        <v>21</v>
      </c>
      <c r="H1861" s="23" t="s">
        <v>32</v>
      </c>
      <c r="I1861" s="23">
        <v>48</v>
      </c>
      <c r="J1861" s="23">
        <v>0</v>
      </c>
      <c r="K1861" s="23">
        <v>3</v>
      </c>
      <c r="L1861" s="23" t="s">
        <v>8363</v>
      </c>
      <c r="M1861" s="25">
        <v>1.9</v>
      </c>
      <c r="N1861">
        <f t="shared" si="29"/>
        <v>1</v>
      </c>
    </row>
    <row r="1862" spans="1:14" x14ac:dyDescent="0.35">
      <c r="A1862" s="6" t="s">
        <v>1932</v>
      </c>
      <c r="B1862" s="19" t="s">
        <v>87</v>
      </c>
      <c r="C1862" s="19">
        <v>6</v>
      </c>
      <c r="D1862" s="20">
        <v>45810</v>
      </c>
      <c r="E1862" s="19" t="s">
        <v>25</v>
      </c>
      <c r="F1862" s="19" t="s">
        <v>37</v>
      </c>
      <c r="G1862" s="19" t="s">
        <v>31</v>
      </c>
      <c r="H1862" s="19" t="s">
        <v>22</v>
      </c>
      <c r="I1862" s="19">
        <v>8</v>
      </c>
      <c r="J1862" s="19">
        <v>0</v>
      </c>
      <c r="K1862" s="19">
        <v>3</v>
      </c>
      <c r="L1862" s="19" t="s">
        <v>17</v>
      </c>
      <c r="M1862" s="21">
        <v>13</v>
      </c>
      <c r="N1862">
        <f t="shared" si="29"/>
        <v>0</v>
      </c>
    </row>
    <row r="1863" spans="1:14" x14ac:dyDescent="0.35">
      <c r="A1863" s="22" t="s">
        <v>1933</v>
      </c>
      <c r="B1863" s="23" t="s">
        <v>143</v>
      </c>
      <c r="C1863" s="23">
        <v>11</v>
      </c>
      <c r="D1863" s="24">
        <v>45966</v>
      </c>
      <c r="E1863" s="23" t="s">
        <v>8364</v>
      </c>
      <c r="F1863" s="23" t="s">
        <v>40</v>
      </c>
      <c r="G1863" s="23" t="s">
        <v>15</v>
      </c>
      <c r="H1863" s="23" t="s">
        <v>22</v>
      </c>
      <c r="I1863" s="23">
        <v>8</v>
      </c>
      <c r="J1863" s="23">
        <v>0</v>
      </c>
      <c r="K1863" s="23">
        <v>5</v>
      </c>
      <c r="L1863" s="23" t="s">
        <v>8363</v>
      </c>
      <c r="M1863" s="25">
        <v>35.299999999999997</v>
      </c>
      <c r="N1863">
        <f t="shared" si="29"/>
        <v>0</v>
      </c>
    </row>
    <row r="1864" spans="1:14" x14ac:dyDescent="0.35">
      <c r="A1864" s="6" t="s">
        <v>1934</v>
      </c>
      <c r="B1864" s="19" t="s">
        <v>34</v>
      </c>
      <c r="C1864" s="19">
        <v>4</v>
      </c>
      <c r="D1864" s="20">
        <v>45761</v>
      </c>
      <c r="E1864" s="19" t="s">
        <v>68</v>
      </c>
      <c r="F1864" s="19" t="s">
        <v>14</v>
      </c>
      <c r="G1864" s="19" t="s">
        <v>15</v>
      </c>
      <c r="H1864" s="19" t="s">
        <v>22</v>
      </c>
      <c r="I1864" s="19">
        <v>72</v>
      </c>
      <c r="J1864" s="19">
        <v>3</v>
      </c>
      <c r="K1864" s="19">
        <v>5</v>
      </c>
      <c r="L1864" s="19" t="s">
        <v>62</v>
      </c>
      <c r="M1864" s="21">
        <v>20.9</v>
      </c>
      <c r="N1864">
        <f t="shared" si="29"/>
        <v>1</v>
      </c>
    </row>
    <row r="1865" spans="1:14" x14ac:dyDescent="0.35">
      <c r="A1865" s="22" t="s">
        <v>1935</v>
      </c>
      <c r="B1865" s="23" t="s">
        <v>34</v>
      </c>
      <c r="C1865" s="23">
        <v>12</v>
      </c>
      <c r="D1865" s="24">
        <v>45999</v>
      </c>
      <c r="E1865" s="23" t="s">
        <v>13</v>
      </c>
      <c r="F1865" s="23" t="s">
        <v>14</v>
      </c>
      <c r="G1865" s="23" t="s">
        <v>31</v>
      </c>
      <c r="H1865" s="23" t="s">
        <v>8364</v>
      </c>
      <c r="I1865" s="23">
        <v>24</v>
      </c>
      <c r="J1865" s="23">
        <v>0</v>
      </c>
      <c r="K1865" s="23">
        <v>3</v>
      </c>
      <c r="L1865" s="23" t="s">
        <v>17</v>
      </c>
      <c r="M1865" s="25">
        <v>0.9</v>
      </c>
      <c r="N1865">
        <f t="shared" si="29"/>
        <v>1</v>
      </c>
    </row>
    <row r="1866" spans="1:14" x14ac:dyDescent="0.35">
      <c r="A1866" s="6" t="s">
        <v>1936</v>
      </c>
      <c r="B1866" s="19" t="s">
        <v>72</v>
      </c>
      <c r="C1866" s="19">
        <v>8</v>
      </c>
      <c r="D1866" s="20">
        <v>45872</v>
      </c>
      <c r="E1866" s="19" t="s">
        <v>20</v>
      </c>
      <c r="F1866" s="19" t="s">
        <v>43</v>
      </c>
      <c r="G1866" s="19" t="s">
        <v>15</v>
      </c>
      <c r="H1866" s="19" t="s">
        <v>32</v>
      </c>
      <c r="I1866" s="19">
        <v>24</v>
      </c>
      <c r="J1866" s="19">
        <v>0</v>
      </c>
      <c r="K1866" s="19">
        <v>5</v>
      </c>
      <c r="L1866" s="19" t="s">
        <v>44</v>
      </c>
      <c r="M1866" s="21">
        <v>22.4</v>
      </c>
      <c r="N1866">
        <f t="shared" si="29"/>
        <v>1</v>
      </c>
    </row>
    <row r="1867" spans="1:14" x14ac:dyDescent="0.35">
      <c r="A1867" s="22" t="s">
        <v>1937</v>
      </c>
      <c r="B1867" s="23" t="s">
        <v>34</v>
      </c>
      <c r="C1867" s="23"/>
      <c r="D1867" s="24"/>
      <c r="E1867" s="23" t="s">
        <v>25</v>
      </c>
      <c r="F1867" s="23" t="s">
        <v>14</v>
      </c>
      <c r="G1867" s="23" t="s">
        <v>31</v>
      </c>
      <c r="H1867" s="23" t="s">
        <v>16</v>
      </c>
      <c r="I1867" s="23">
        <v>72</v>
      </c>
      <c r="J1867" s="23">
        <v>0</v>
      </c>
      <c r="K1867" s="23">
        <v>5</v>
      </c>
      <c r="L1867" s="23" t="s">
        <v>38</v>
      </c>
      <c r="M1867" s="25">
        <v>7.6</v>
      </c>
      <c r="N1867">
        <f t="shared" si="29"/>
        <v>1</v>
      </c>
    </row>
    <row r="1868" spans="1:14" x14ac:dyDescent="0.35">
      <c r="A1868" s="6" t="s">
        <v>1938</v>
      </c>
      <c r="B1868" s="19" t="s">
        <v>108</v>
      </c>
      <c r="C1868" s="19">
        <v>6</v>
      </c>
      <c r="D1868" s="20">
        <v>45835</v>
      </c>
      <c r="E1868" s="19" t="s">
        <v>25</v>
      </c>
      <c r="F1868" s="19" t="s">
        <v>59</v>
      </c>
      <c r="G1868" s="19" t="s">
        <v>21</v>
      </c>
      <c r="H1868" s="19" t="s">
        <v>32</v>
      </c>
      <c r="I1868" s="19">
        <v>72</v>
      </c>
      <c r="J1868" s="19">
        <v>3</v>
      </c>
      <c r="K1868" s="19">
        <v>3</v>
      </c>
      <c r="L1868" s="19" t="s">
        <v>8363</v>
      </c>
      <c r="M1868" s="21">
        <v>10.4</v>
      </c>
      <c r="N1868">
        <f t="shared" si="29"/>
        <v>1</v>
      </c>
    </row>
    <row r="1869" spans="1:14" x14ac:dyDescent="0.35">
      <c r="A1869" s="22" t="s">
        <v>1939</v>
      </c>
      <c r="B1869" s="23" t="s">
        <v>85</v>
      </c>
      <c r="C1869" s="23"/>
      <c r="D1869" s="24"/>
      <c r="E1869" s="23" t="s">
        <v>13</v>
      </c>
      <c r="F1869" s="23" t="s">
        <v>26</v>
      </c>
      <c r="G1869" s="23" t="s">
        <v>21</v>
      </c>
      <c r="H1869" s="23" t="s">
        <v>22</v>
      </c>
      <c r="I1869" s="23">
        <v>24</v>
      </c>
      <c r="J1869" s="23">
        <v>0</v>
      </c>
      <c r="K1869" s="23">
        <v>5</v>
      </c>
      <c r="L1869" s="23" t="s">
        <v>62</v>
      </c>
      <c r="M1869" s="25">
        <v>12.4</v>
      </c>
      <c r="N1869">
        <f t="shared" si="29"/>
        <v>1</v>
      </c>
    </row>
    <row r="1870" spans="1:14" x14ac:dyDescent="0.35">
      <c r="A1870" s="6" t="s">
        <v>1940</v>
      </c>
      <c r="B1870" s="19" t="s">
        <v>51</v>
      </c>
      <c r="C1870" s="19">
        <v>3</v>
      </c>
      <c r="D1870" s="20">
        <v>45732</v>
      </c>
      <c r="E1870" s="19" t="s">
        <v>68</v>
      </c>
      <c r="F1870" s="19" t="s">
        <v>14</v>
      </c>
      <c r="G1870" s="19" t="s">
        <v>31</v>
      </c>
      <c r="H1870" s="19" t="s">
        <v>28</v>
      </c>
      <c r="I1870" s="19">
        <v>72</v>
      </c>
      <c r="J1870" s="19">
        <v>0</v>
      </c>
      <c r="K1870" s="19">
        <v>4</v>
      </c>
      <c r="L1870" s="19" t="s">
        <v>8363</v>
      </c>
      <c r="M1870" s="21">
        <v>3.9</v>
      </c>
      <c r="N1870">
        <f t="shared" si="29"/>
        <v>1</v>
      </c>
    </row>
    <row r="1871" spans="1:14" x14ac:dyDescent="0.35">
      <c r="A1871" s="22" t="s">
        <v>1941</v>
      </c>
      <c r="B1871" s="23" t="s">
        <v>85</v>
      </c>
      <c r="C1871" s="23">
        <v>1</v>
      </c>
      <c r="D1871" s="24">
        <v>45673</v>
      </c>
      <c r="E1871" s="23" t="s">
        <v>13</v>
      </c>
      <c r="F1871" s="23" t="s">
        <v>59</v>
      </c>
      <c r="G1871" s="23" t="s">
        <v>21</v>
      </c>
      <c r="H1871" s="23" t="s">
        <v>22</v>
      </c>
      <c r="I1871" s="23">
        <v>8</v>
      </c>
      <c r="J1871" s="23">
        <v>0</v>
      </c>
      <c r="K1871" s="23">
        <v>5</v>
      </c>
      <c r="L1871" s="23" t="s">
        <v>33</v>
      </c>
      <c r="M1871" s="25">
        <v>11.2</v>
      </c>
      <c r="N1871">
        <f t="shared" si="29"/>
        <v>0</v>
      </c>
    </row>
    <row r="1872" spans="1:14" x14ac:dyDescent="0.35">
      <c r="A1872" s="6" t="s">
        <v>1942</v>
      </c>
      <c r="B1872" s="19" t="s">
        <v>47</v>
      </c>
      <c r="C1872" s="19">
        <v>7</v>
      </c>
      <c r="D1872" s="20">
        <v>45867</v>
      </c>
      <c r="E1872" s="19" t="s">
        <v>25</v>
      </c>
      <c r="F1872" s="19" t="s">
        <v>43</v>
      </c>
      <c r="G1872" s="19" t="s">
        <v>21</v>
      </c>
      <c r="H1872" s="19" t="s">
        <v>16</v>
      </c>
      <c r="I1872" s="19">
        <v>48</v>
      </c>
      <c r="J1872" s="19">
        <v>0</v>
      </c>
      <c r="K1872" s="19">
        <v>4</v>
      </c>
      <c r="L1872" s="19" t="s">
        <v>8363</v>
      </c>
      <c r="M1872" s="21">
        <v>9.1</v>
      </c>
      <c r="N1872">
        <f t="shared" si="29"/>
        <v>1</v>
      </c>
    </row>
    <row r="1873" spans="1:14" x14ac:dyDescent="0.35">
      <c r="A1873" s="22" t="s">
        <v>1943</v>
      </c>
      <c r="B1873" s="23" t="s">
        <v>65</v>
      </c>
      <c r="C1873" s="23"/>
      <c r="D1873" s="24"/>
      <c r="E1873" s="23" t="s">
        <v>25</v>
      </c>
      <c r="F1873" s="23" t="s">
        <v>14</v>
      </c>
      <c r="G1873" s="23" t="s">
        <v>31</v>
      </c>
      <c r="H1873" s="23" t="s">
        <v>22</v>
      </c>
      <c r="I1873" s="23">
        <v>72</v>
      </c>
      <c r="J1873" s="23">
        <v>0</v>
      </c>
      <c r="K1873" s="23">
        <v>4</v>
      </c>
      <c r="L1873" s="23" t="s">
        <v>8363</v>
      </c>
      <c r="M1873" s="25">
        <v>10.3</v>
      </c>
      <c r="N1873">
        <f t="shared" si="29"/>
        <v>1</v>
      </c>
    </row>
    <row r="1874" spans="1:14" x14ac:dyDescent="0.35">
      <c r="A1874" s="6" t="s">
        <v>1944</v>
      </c>
      <c r="B1874" s="19" t="s">
        <v>18</v>
      </c>
      <c r="C1874" s="19">
        <v>4</v>
      </c>
      <c r="D1874" s="20">
        <v>45770</v>
      </c>
      <c r="E1874" s="19" t="s">
        <v>68</v>
      </c>
      <c r="F1874" s="19" t="s">
        <v>8364</v>
      </c>
      <c r="G1874" s="19" t="s">
        <v>27</v>
      </c>
      <c r="H1874" s="19" t="s">
        <v>22</v>
      </c>
      <c r="I1874" s="19">
        <v>8</v>
      </c>
      <c r="J1874" s="19">
        <v>0</v>
      </c>
      <c r="K1874" s="19">
        <v>5</v>
      </c>
      <c r="L1874" s="19" t="s">
        <v>55</v>
      </c>
      <c r="M1874" s="21">
        <v>16</v>
      </c>
      <c r="N1874">
        <f t="shared" si="29"/>
        <v>0</v>
      </c>
    </row>
    <row r="1875" spans="1:14" x14ac:dyDescent="0.35">
      <c r="A1875" s="22" t="s">
        <v>1945</v>
      </c>
      <c r="B1875" s="23" t="s">
        <v>97</v>
      </c>
      <c r="C1875" s="23">
        <v>11</v>
      </c>
      <c r="D1875" s="24">
        <v>45984</v>
      </c>
      <c r="E1875" s="23" t="s">
        <v>20</v>
      </c>
      <c r="F1875" s="23" t="s">
        <v>43</v>
      </c>
      <c r="G1875" s="23" t="s">
        <v>27</v>
      </c>
      <c r="H1875" s="23" t="s">
        <v>28</v>
      </c>
      <c r="I1875" s="23">
        <v>48</v>
      </c>
      <c r="J1875" s="23">
        <v>0</v>
      </c>
      <c r="K1875" s="23">
        <v>4</v>
      </c>
      <c r="L1875" s="23" t="s">
        <v>75</v>
      </c>
      <c r="M1875" s="25">
        <v>6.1</v>
      </c>
      <c r="N1875">
        <f t="shared" si="29"/>
        <v>1</v>
      </c>
    </row>
    <row r="1876" spans="1:14" x14ac:dyDescent="0.35">
      <c r="A1876" s="6" t="s">
        <v>1946</v>
      </c>
      <c r="B1876" s="19" t="s">
        <v>236</v>
      </c>
      <c r="C1876" s="19">
        <v>1</v>
      </c>
      <c r="D1876" s="20">
        <v>45673</v>
      </c>
      <c r="E1876" s="19" t="s">
        <v>8364</v>
      </c>
      <c r="F1876" s="19" t="s">
        <v>37</v>
      </c>
      <c r="G1876" s="19" t="s">
        <v>31</v>
      </c>
      <c r="H1876" s="19" t="s">
        <v>28</v>
      </c>
      <c r="I1876" s="19">
        <v>72</v>
      </c>
      <c r="J1876" s="19">
        <v>0</v>
      </c>
      <c r="K1876" s="19">
        <v>4</v>
      </c>
      <c r="L1876" s="19" t="s">
        <v>44</v>
      </c>
      <c r="M1876" s="21">
        <v>2</v>
      </c>
      <c r="N1876">
        <f t="shared" si="29"/>
        <v>1</v>
      </c>
    </row>
    <row r="1877" spans="1:14" x14ac:dyDescent="0.35">
      <c r="A1877" s="22" t="s">
        <v>1947</v>
      </c>
      <c r="B1877" s="23" t="s">
        <v>101</v>
      </c>
      <c r="C1877" s="23">
        <v>5</v>
      </c>
      <c r="D1877" s="24">
        <v>45808</v>
      </c>
      <c r="E1877" s="23" t="s">
        <v>13</v>
      </c>
      <c r="F1877" s="23" t="s">
        <v>14</v>
      </c>
      <c r="G1877" s="23" t="s">
        <v>21</v>
      </c>
      <c r="H1877" s="23" t="s">
        <v>16</v>
      </c>
      <c r="I1877" s="23">
        <v>24</v>
      </c>
      <c r="J1877" s="23">
        <v>3</v>
      </c>
      <c r="K1877" s="23">
        <v>5</v>
      </c>
      <c r="L1877" s="23" t="s">
        <v>55</v>
      </c>
      <c r="M1877" s="25">
        <v>9.4</v>
      </c>
      <c r="N1877">
        <f t="shared" si="29"/>
        <v>1</v>
      </c>
    </row>
    <row r="1878" spans="1:14" x14ac:dyDescent="0.35">
      <c r="A1878" s="6" t="s">
        <v>1948</v>
      </c>
      <c r="B1878" s="19" t="s">
        <v>104</v>
      </c>
      <c r="C1878" s="19">
        <v>11</v>
      </c>
      <c r="D1878" s="20">
        <v>45969</v>
      </c>
      <c r="E1878" s="19" t="s">
        <v>13</v>
      </c>
      <c r="F1878" s="19" t="s">
        <v>14</v>
      </c>
      <c r="G1878" s="19" t="s">
        <v>21</v>
      </c>
      <c r="H1878" s="19" t="s">
        <v>32</v>
      </c>
      <c r="I1878" s="19">
        <v>48</v>
      </c>
      <c r="J1878" s="19">
        <v>1</v>
      </c>
      <c r="K1878" s="19">
        <v>5</v>
      </c>
      <c r="L1878" s="19" t="s">
        <v>75</v>
      </c>
      <c r="M1878" s="21">
        <v>19.8</v>
      </c>
      <c r="N1878">
        <f t="shared" si="29"/>
        <v>1</v>
      </c>
    </row>
    <row r="1879" spans="1:14" x14ac:dyDescent="0.35">
      <c r="A1879" s="22" t="s">
        <v>1949</v>
      </c>
      <c r="B1879" s="23" t="s">
        <v>81</v>
      </c>
      <c r="C1879" s="23">
        <v>7</v>
      </c>
      <c r="D1879" s="24">
        <v>45867</v>
      </c>
      <c r="E1879" s="23" t="s">
        <v>8364</v>
      </c>
      <c r="F1879" s="23" t="s">
        <v>14</v>
      </c>
      <c r="G1879" s="23" t="s">
        <v>31</v>
      </c>
      <c r="H1879" s="23" t="s">
        <v>8364</v>
      </c>
      <c r="I1879" s="23">
        <v>48</v>
      </c>
      <c r="J1879" s="23">
        <v>0</v>
      </c>
      <c r="K1879" s="23">
        <v>4</v>
      </c>
      <c r="L1879" s="23" t="s">
        <v>8363</v>
      </c>
      <c r="M1879" s="25">
        <v>5.9</v>
      </c>
      <c r="N1879">
        <f t="shared" si="29"/>
        <v>1</v>
      </c>
    </row>
    <row r="1880" spans="1:14" x14ac:dyDescent="0.35">
      <c r="A1880" s="6" t="s">
        <v>1950</v>
      </c>
      <c r="B1880" s="19" t="s">
        <v>126</v>
      </c>
      <c r="C1880" s="19">
        <v>7</v>
      </c>
      <c r="D1880" s="20">
        <v>45845</v>
      </c>
      <c r="E1880" s="19" t="s">
        <v>13</v>
      </c>
      <c r="F1880" s="19" t="s">
        <v>37</v>
      </c>
      <c r="G1880" s="19" t="s">
        <v>31</v>
      </c>
      <c r="H1880" s="19" t="s">
        <v>8364</v>
      </c>
      <c r="I1880" s="19">
        <v>4</v>
      </c>
      <c r="J1880" s="19">
        <v>0</v>
      </c>
      <c r="K1880" s="19">
        <v>4</v>
      </c>
      <c r="L1880" s="19" t="s">
        <v>44</v>
      </c>
      <c r="M1880" s="21">
        <v>10.199999999999999</v>
      </c>
      <c r="N1880">
        <f t="shared" si="29"/>
        <v>0</v>
      </c>
    </row>
    <row r="1881" spans="1:14" x14ac:dyDescent="0.35">
      <c r="A1881" s="22" t="s">
        <v>1951</v>
      </c>
      <c r="B1881" s="23" t="s">
        <v>65</v>
      </c>
      <c r="C1881" s="23">
        <v>5</v>
      </c>
      <c r="D1881" s="24">
        <v>45791</v>
      </c>
      <c r="E1881" s="23" t="s">
        <v>68</v>
      </c>
      <c r="F1881" s="23" t="s">
        <v>26</v>
      </c>
      <c r="G1881" s="23" t="s">
        <v>27</v>
      </c>
      <c r="H1881" s="23" t="s">
        <v>22</v>
      </c>
      <c r="I1881" s="23">
        <v>8</v>
      </c>
      <c r="J1881" s="23">
        <v>0</v>
      </c>
      <c r="K1881" s="23">
        <v>5</v>
      </c>
      <c r="L1881" s="23" t="s">
        <v>44</v>
      </c>
      <c r="M1881" s="25">
        <v>10.8</v>
      </c>
      <c r="N1881">
        <f t="shared" si="29"/>
        <v>0</v>
      </c>
    </row>
    <row r="1882" spans="1:14" x14ac:dyDescent="0.35">
      <c r="A1882" s="6" t="s">
        <v>1952</v>
      </c>
      <c r="B1882" s="19" t="s">
        <v>34</v>
      </c>
      <c r="C1882" s="19">
        <v>2</v>
      </c>
      <c r="D1882" s="20">
        <v>45712</v>
      </c>
      <c r="E1882" s="19" t="s">
        <v>68</v>
      </c>
      <c r="F1882" s="19" t="s">
        <v>59</v>
      </c>
      <c r="G1882" s="19" t="s">
        <v>31</v>
      </c>
      <c r="H1882" s="19" t="s">
        <v>32</v>
      </c>
      <c r="I1882" s="19">
        <v>24</v>
      </c>
      <c r="J1882" s="19">
        <v>0</v>
      </c>
      <c r="K1882" s="19"/>
      <c r="L1882" s="19" t="s">
        <v>17</v>
      </c>
      <c r="M1882" s="21">
        <v>6.4</v>
      </c>
      <c r="N1882">
        <f t="shared" si="29"/>
        <v>1</v>
      </c>
    </row>
    <row r="1883" spans="1:14" x14ac:dyDescent="0.35">
      <c r="A1883" s="22" t="s">
        <v>1953</v>
      </c>
      <c r="B1883" s="23" t="s">
        <v>69</v>
      </c>
      <c r="C1883" s="23">
        <v>8</v>
      </c>
      <c r="D1883" s="24">
        <v>45895</v>
      </c>
      <c r="E1883" s="23" t="s">
        <v>8364</v>
      </c>
      <c r="F1883" s="23" t="s">
        <v>37</v>
      </c>
      <c r="G1883" s="23" t="s">
        <v>31</v>
      </c>
      <c r="H1883" s="23" t="s">
        <v>28</v>
      </c>
      <c r="I1883" s="23">
        <v>4</v>
      </c>
      <c r="J1883" s="23">
        <v>0</v>
      </c>
      <c r="K1883" s="23">
        <v>4</v>
      </c>
      <c r="L1883" s="23" t="s">
        <v>8363</v>
      </c>
      <c r="M1883" s="25">
        <v>3.2</v>
      </c>
      <c r="N1883">
        <f t="shared" si="29"/>
        <v>1</v>
      </c>
    </row>
    <row r="1884" spans="1:14" x14ac:dyDescent="0.35">
      <c r="A1884" s="6" t="s">
        <v>1954</v>
      </c>
      <c r="B1884" s="19" t="s">
        <v>51</v>
      </c>
      <c r="C1884" s="19">
        <v>3</v>
      </c>
      <c r="D1884" s="20">
        <v>45731</v>
      </c>
      <c r="E1884" s="19" t="s">
        <v>8364</v>
      </c>
      <c r="F1884" s="19" t="s">
        <v>37</v>
      </c>
      <c r="G1884" s="19" t="s">
        <v>21</v>
      </c>
      <c r="H1884" s="19" t="s">
        <v>32</v>
      </c>
      <c r="I1884" s="19">
        <v>48</v>
      </c>
      <c r="J1884" s="19">
        <v>0</v>
      </c>
      <c r="K1884" s="19">
        <v>1</v>
      </c>
      <c r="L1884" s="19" t="s">
        <v>75</v>
      </c>
      <c r="M1884" s="21">
        <v>1.3</v>
      </c>
      <c r="N1884">
        <f t="shared" si="29"/>
        <v>1</v>
      </c>
    </row>
    <row r="1885" spans="1:14" x14ac:dyDescent="0.35">
      <c r="A1885" s="22" t="s">
        <v>1955</v>
      </c>
      <c r="B1885" s="23" t="s">
        <v>101</v>
      </c>
      <c r="C1885" s="23">
        <v>4</v>
      </c>
      <c r="D1885" s="24">
        <v>45771</v>
      </c>
      <c r="E1885" s="23" t="s">
        <v>13</v>
      </c>
      <c r="F1885" s="23" t="s">
        <v>14</v>
      </c>
      <c r="G1885" s="23" t="s">
        <v>21</v>
      </c>
      <c r="H1885" s="23" t="s">
        <v>8364</v>
      </c>
      <c r="I1885" s="23">
        <v>72</v>
      </c>
      <c r="J1885" s="23">
        <v>0</v>
      </c>
      <c r="K1885" s="23">
        <v>5</v>
      </c>
      <c r="L1885" s="23" t="s">
        <v>8363</v>
      </c>
      <c r="M1885" s="25">
        <v>8.9</v>
      </c>
      <c r="N1885">
        <f t="shared" si="29"/>
        <v>1</v>
      </c>
    </row>
    <row r="1886" spans="1:14" x14ac:dyDescent="0.35">
      <c r="A1886" s="6" t="s">
        <v>1956</v>
      </c>
      <c r="B1886" s="19" t="s">
        <v>101</v>
      </c>
      <c r="C1886" s="19">
        <v>10</v>
      </c>
      <c r="D1886" s="20">
        <v>45948</v>
      </c>
      <c r="E1886" s="19" t="s">
        <v>25</v>
      </c>
      <c r="F1886" s="19" t="s">
        <v>26</v>
      </c>
      <c r="G1886" s="19" t="s">
        <v>21</v>
      </c>
      <c r="H1886" s="19" t="s">
        <v>8364</v>
      </c>
      <c r="I1886" s="19">
        <v>72</v>
      </c>
      <c r="J1886" s="19">
        <v>0</v>
      </c>
      <c r="K1886" s="19">
        <v>4</v>
      </c>
      <c r="L1886" s="19" t="s">
        <v>17</v>
      </c>
      <c r="M1886" s="21">
        <v>11.7</v>
      </c>
      <c r="N1886">
        <f t="shared" si="29"/>
        <v>1</v>
      </c>
    </row>
    <row r="1887" spans="1:14" x14ac:dyDescent="0.35">
      <c r="A1887" s="22" t="s">
        <v>1957</v>
      </c>
      <c r="B1887" s="23" t="s">
        <v>101</v>
      </c>
      <c r="C1887" s="23">
        <v>9</v>
      </c>
      <c r="D1887" s="24">
        <v>45910</v>
      </c>
      <c r="E1887" s="23" t="s">
        <v>13</v>
      </c>
      <c r="F1887" s="23" t="s">
        <v>8364</v>
      </c>
      <c r="G1887" s="23" t="s">
        <v>21</v>
      </c>
      <c r="H1887" s="23" t="s">
        <v>8364</v>
      </c>
      <c r="I1887" s="23">
        <v>48</v>
      </c>
      <c r="J1887" s="23">
        <v>0</v>
      </c>
      <c r="K1887" s="23">
        <v>5</v>
      </c>
      <c r="L1887" s="23" t="s">
        <v>8363</v>
      </c>
      <c r="M1887" s="25">
        <v>11.5</v>
      </c>
      <c r="N1887">
        <f t="shared" si="29"/>
        <v>1</v>
      </c>
    </row>
    <row r="1888" spans="1:14" x14ac:dyDescent="0.35">
      <c r="A1888" s="6" t="s">
        <v>1958</v>
      </c>
      <c r="B1888" s="19" t="s">
        <v>146</v>
      </c>
      <c r="C1888" s="19">
        <v>1</v>
      </c>
      <c r="D1888" s="20">
        <v>45677</v>
      </c>
      <c r="E1888" s="19" t="s">
        <v>25</v>
      </c>
      <c r="F1888" s="19" t="s">
        <v>59</v>
      </c>
      <c r="G1888" s="19" t="s">
        <v>8364</v>
      </c>
      <c r="H1888" s="19" t="s">
        <v>8364</v>
      </c>
      <c r="I1888" s="19">
        <v>4</v>
      </c>
      <c r="J1888" s="19">
        <v>0</v>
      </c>
      <c r="K1888" s="19">
        <v>5</v>
      </c>
      <c r="L1888" s="19" t="s">
        <v>44</v>
      </c>
      <c r="M1888" s="21">
        <v>7.1</v>
      </c>
      <c r="N1888">
        <f t="shared" si="29"/>
        <v>0</v>
      </c>
    </row>
    <row r="1889" spans="1:14" x14ac:dyDescent="0.35">
      <c r="A1889" s="22" t="s">
        <v>1959</v>
      </c>
      <c r="B1889" s="23" t="s">
        <v>18</v>
      </c>
      <c r="C1889" s="23">
        <v>1</v>
      </c>
      <c r="D1889" s="24">
        <v>45683</v>
      </c>
      <c r="E1889" s="23" t="s">
        <v>20</v>
      </c>
      <c r="F1889" s="23" t="s">
        <v>59</v>
      </c>
      <c r="G1889" s="23" t="s">
        <v>31</v>
      </c>
      <c r="H1889" s="23" t="s">
        <v>22</v>
      </c>
      <c r="I1889" s="23">
        <v>24</v>
      </c>
      <c r="J1889" s="23">
        <v>1</v>
      </c>
      <c r="K1889" s="23"/>
      <c r="L1889" s="23" t="s">
        <v>8363</v>
      </c>
      <c r="M1889" s="25">
        <v>3.9</v>
      </c>
      <c r="N1889">
        <f t="shared" si="29"/>
        <v>1</v>
      </c>
    </row>
    <row r="1890" spans="1:14" x14ac:dyDescent="0.35">
      <c r="A1890" s="6" t="s">
        <v>1960</v>
      </c>
      <c r="B1890" s="19" t="s">
        <v>126</v>
      </c>
      <c r="C1890" s="19">
        <v>12</v>
      </c>
      <c r="D1890" s="20">
        <v>46022</v>
      </c>
      <c r="E1890" s="19" t="s">
        <v>36</v>
      </c>
      <c r="F1890" s="19" t="s">
        <v>14</v>
      </c>
      <c r="G1890" s="19" t="s">
        <v>27</v>
      </c>
      <c r="H1890" s="19" t="s">
        <v>16</v>
      </c>
      <c r="I1890" s="19">
        <v>24</v>
      </c>
      <c r="J1890" s="19">
        <v>2</v>
      </c>
      <c r="K1890" s="19">
        <v>4</v>
      </c>
      <c r="L1890" s="19" t="s">
        <v>75</v>
      </c>
      <c r="M1890" s="21">
        <v>4.3</v>
      </c>
      <c r="N1890">
        <f t="shared" si="29"/>
        <v>1</v>
      </c>
    </row>
    <row r="1891" spans="1:14" x14ac:dyDescent="0.35">
      <c r="A1891" s="22" t="s">
        <v>1961</v>
      </c>
      <c r="B1891" s="23" t="s">
        <v>29</v>
      </c>
      <c r="C1891" s="23">
        <v>10</v>
      </c>
      <c r="D1891" s="24">
        <v>45958</v>
      </c>
      <c r="E1891" s="23" t="s">
        <v>25</v>
      </c>
      <c r="F1891" s="23" t="s">
        <v>43</v>
      </c>
      <c r="G1891" s="23" t="s">
        <v>21</v>
      </c>
      <c r="H1891" s="23" t="s">
        <v>28</v>
      </c>
      <c r="I1891" s="23">
        <v>8</v>
      </c>
      <c r="J1891" s="23">
        <v>0</v>
      </c>
      <c r="K1891" s="23">
        <v>5</v>
      </c>
      <c r="L1891" s="23" t="s">
        <v>38</v>
      </c>
      <c r="M1891" s="25">
        <v>5</v>
      </c>
      <c r="N1891">
        <f t="shared" si="29"/>
        <v>1</v>
      </c>
    </row>
    <row r="1892" spans="1:14" x14ac:dyDescent="0.35">
      <c r="A1892" s="6" t="s">
        <v>1962</v>
      </c>
      <c r="B1892" s="19" t="s">
        <v>236</v>
      </c>
      <c r="C1892" s="19">
        <v>7</v>
      </c>
      <c r="D1892" s="20">
        <v>45849</v>
      </c>
      <c r="E1892" s="19" t="s">
        <v>20</v>
      </c>
      <c r="F1892" s="19" t="s">
        <v>59</v>
      </c>
      <c r="G1892" s="19" t="s">
        <v>21</v>
      </c>
      <c r="H1892" s="19" t="s">
        <v>8364</v>
      </c>
      <c r="I1892" s="19">
        <v>72</v>
      </c>
      <c r="J1892" s="19">
        <v>0</v>
      </c>
      <c r="K1892" s="19">
        <v>4</v>
      </c>
      <c r="L1892" s="19" t="s">
        <v>75</v>
      </c>
      <c r="M1892" s="21">
        <v>7.9</v>
      </c>
      <c r="N1892">
        <f t="shared" si="29"/>
        <v>1</v>
      </c>
    </row>
    <row r="1893" spans="1:14" x14ac:dyDescent="0.35">
      <c r="A1893" s="22" t="s">
        <v>1963</v>
      </c>
      <c r="B1893" s="23" t="s">
        <v>139</v>
      </c>
      <c r="C1893" s="23">
        <v>2</v>
      </c>
      <c r="D1893" s="24">
        <v>45704</v>
      </c>
      <c r="E1893" s="23" t="s">
        <v>20</v>
      </c>
      <c r="F1893" s="23" t="s">
        <v>26</v>
      </c>
      <c r="G1893" s="23" t="s">
        <v>27</v>
      </c>
      <c r="H1893" s="23" t="s">
        <v>8364</v>
      </c>
      <c r="I1893" s="23">
        <v>48</v>
      </c>
      <c r="J1893" s="23">
        <v>0</v>
      </c>
      <c r="K1893" s="23">
        <v>5</v>
      </c>
      <c r="L1893" s="23" t="s">
        <v>44</v>
      </c>
      <c r="M1893" s="25">
        <v>5.0999999999999996</v>
      </c>
      <c r="N1893">
        <f t="shared" si="29"/>
        <v>1</v>
      </c>
    </row>
    <row r="1894" spans="1:14" x14ac:dyDescent="0.35">
      <c r="A1894" s="6" t="s">
        <v>1964</v>
      </c>
      <c r="B1894" s="19" t="s">
        <v>57</v>
      </c>
      <c r="C1894" s="19">
        <v>6</v>
      </c>
      <c r="D1894" s="20">
        <v>45825</v>
      </c>
      <c r="E1894" s="19" t="s">
        <v>25</v>
      </c>
      <c r="F1894" s="19" t="s">
        <v>26</v>
      </c>
      <c r="G1894" s="19" t="s">
        <v>15</v>
      </c>
      <c r="H1894" s="19" t="s">
        <v>22</v>
      </c>
      <c r="I1894" s="19">
        <v>8</v>
      </c>
      <c r="J1894" s="19">
        <v>1</v>
      </c>
      <c r="K1894" s="19">
        <v>4</v>
      </c>
      <c r="L1894" s="19" t="s">
        <v>8363</v>
      </c>
      <c r="M1894" s="21">
        <v>11.1</v>
      </c>
      <c r="N1894">
        <f t="shared" si="29"/>
        <v>0</v>
      </c>
    </row>
    <row r="1895" spans="1:14" x14ac:dyDescent="0.35">
      <c r="A1895" s="22" t="s">
        <v>1965</v>
      </c>
      <c r="B1895" s="23" t="s">
        <v>89</v>
      </c>
      <c r="C1895" s="23">
        <v>4</v>
      </c>
      <c r="D1895" s="24">
        <v>45761</v>
      </c>
      <c r="E1895" s="23" t="s">
        <v>25</v>
      </c>
      <c r="F1895" s="23" t="s">
        <v>14</v>
      </c>
      <c r="G1895" s="23" t="s">
        <v>21</v>
      </c>
      <c r="H1895" s="23" t="s">
        <v>8364</v>
      </c>
      <c r="I1895" s="23">
        <v>4</v>
      </c>
      <c r="J1895" s="23">
        <v>0</v>
      </c>
      <c r="K1895" s="23">
        <v>3</v>
      </c>
      <c r="L1895" s="23" t="s">
        <v>38</v>
      </c>
      <c r="M1895" s="25">
        <v>4.7</v>
      </c>
      <c r="N1895">
        <f t="shared" si="29"/>
        <v>0</v>
      </c>
    </row>
    <row r="1896" spans="1:14" x14ac:dyDescent="0.35">
      <c r="A1896" s="6" t="s">
        <v>1966</v>
      </c>
      <c r="B1896" s="19" t="s">
        <v>34</v>
      </c>
      <c r="C1896" s="19">
        <v>7</v>
      </c>
      <c r="D1896" s="20">
        <v>45847</v>
      </c>
      <c r="E1896" s="19" t="s">
        <v>13</v>
      </c>
      <c r="F1896" s="19" t="s">
        <v>14</v>
      </c>
      <c r="G1896" s="19" t="s">
        <v>21</v>
      </c>
      <c r="H1896" s="19" t="s">
        <v>32</v>
      </c>
      <c r="I1896" s="19">
        <v>24</v>
      </c>
      <c r="J1896" s="19">
        <v>0</v>
      </c>
      <c r="K1896" s="19"/>
      <c r="L1896" s="19" t="s">
        <v>44</v>
      </c>
      <c r="M1896" s="21">
        <v>9.3000000000000007</v>
      </c>
      <c r="N1896">
        <f t="shared" si="29"/>
        <v>1</v>
      </c>
    </row>
    <row r="1897" spans="1:14" x14ac:dyDescent="0.35">
      <c r="A1897" s="22" t="s">
        <v>1967</v>
      </c>
      <c r="B1897" s="23" t="s">
        <v>92</v>
      </c>
      <c r="C1897" s="23">
        <v>10</v>
      </c>
      <c r="D1897" s="24">
        <v>45952</v>
      </c>
      <c r="E1897" s="23" t="s">
        <v>25</v>
      </c>
      <c r="F1897" s="23" t="s">
        <v>43</v>
      </c>
      <c r="G1897" s="23" t="s">
        <v>21</v>
      </c>
      <c r="H1897" s="23" t="s">
        <v>28</v>
      </c>
      <c r="I1897" s="23">
        <v>8</v>
      </c>
      <c r="J1897" s="23">
        <v>0</v>
      </c>
      <c r="K1897" s="23"/>
      <c r="L1897" s="23" t="s">
        <v>75</v>
      </c>
      <c r="M1897" s="25">
        <v>5.8</v>
      </c>
      <c r="N1897">
        <f t="shared" si="29"/>
        <v>1</v>
      </c>
    </row>
    <row r="1898" spans="1:14" x14ac:dyDescent="0.35">
      <c r="A1898" s="6" t="s">
        <v>1968</v>
      </c>
      <c r="B1898" s="19" t="s">
        <v>65</v>
      </c>
      <c r="C1898" s="19"/>
      <c r="D1898" s="20"/>
      <c r="E1898" s="19" t="s">
        <v>8364</v>
      </c>
      <c r="F1898" s="19" t="s">
        <v>43</v>
      </c>
      <c r="G1898" s="19" t="s">
        <v>15</v>
      </c>
      <c r="H1898" s="19" t="s">
        <v>8364</v>
      </c>
      <c r="I1898" s="19">
        <v>72</v>
      </c>
      <c r="J1898" s="19">
        <v>0</v>
      </c>
      <c r="K1898" s="19">
        <v>5</v>
      </c>
      <c r="L1898" s="19" t="s">
        <v>62</v>
      </c>
      <c r="M1898" s="21">
        <v>3.8</v>
      </c>
      <c r="N1898">
        <f t="shared" si="29"/>
        <v>1</v>
      </c>
    </row>
    <row r="1899" spans="1:14" x14ac:dyDescent="0.35">
      <c r="A1899" s="22" t="s">
        <v>1969</v>
      </c>
      <c r="B1899" s="23" t="s">
        <v>65</v>
      </c>
      <c r="C1899" s="23">
        <v>8</v>
      </c>
      <c r="D1899" s="24">
        <v>45883</v>
      </c>
      <c r="E1899" s="23" t="s">
        <v>13</v>
      </c>
      <c r="F1899" s="23" t="s">
        <v>59</v>
      </c>
      <c r="G1899" s="23" t="s">
        <v>31</v>
      </c>
      <c r="H1899" s="23" t="s">
        <v>22</v>
      </c>
      <c r="I1899" s="23">
        <v>24</v>
      </c>
      <c r="J1899" s="23">
        <v>0</v>
      </c>
      <c r="K1899" s="23">
        <v>5</v>
      </c>
      <c r="L1899" s="23" t="s">
        <v>62</v>
      </c>
      <c r="M1899" s="25">
        <v>8.8000000000000007</v>
      </c>
      <c r="N1899">
        <f t="shared" si="29"/>
        <v>1</v>
      </c>
    </row>
    <row r="1900" spans="1:14" x14ac:dyDescent="0.35">
      <c r="A1900" s="6" t="s">
        <v>1970</v>
      </c>
      <c r="B1900" s="19" t="s">
        <v>130</v>
      </c>
      <c r="C1900" s="19">
        <v>2</v>
      </c>
      <c r="D1900" s="20">
        <v>45691</v>
      </c>
      <c r="E1900" s="19" t="s">
        <v>13</v>
      </c>
      <c r="F1900" s="19" t="s">
        <v>43</v>
      </c>
      <c r="G1900" s="19" t="s">
        <v>31</v>
      </c>
      <c r="H1900" s="19" t="s">
        <v>32</v>
      </c>
      <c r="I1900" s="19">
        <v>72</v>
      </c>
      <c r="J1900" s="19">
        <v>0</v>
      </c>
      <c r="K1900" s="19">
        <v>4</v>
      </c>
      <c r="L1900" s="19" t="s">
        <v>75</v>
      </c>
      <c r="M1900" s="21">
        <v>24.5</v>
      </c>
      <c r="N1900">
        <f t="shared" si="29"/>
        <v>1</v>
      </c>
    </row>
    <row r="1901" spans="1:14" x14ac:dyDescent="0.35">
      <c r="A1901" s="22" t="s">
        <v>1971</v>
      </c>
      <c r="B1901" s="23" t="s">
        <v>158</v>
      </c>
      <c r="C1901" s="23">
        <v>8</v>
      </c>
      <c r="D1901" s="24">
        <v>45896</v>
      </c>
      <c r="E1901" s="23" t="s">
        <v>25</v>
      </c>
      <c r="F1901" s="23" t="s">
        <v>26</v>
      </c>
      <c r="G1901" s="23" t="s">
        <v>31</v>
      </c>
      <c r="H1901" s="23" t="s">
        <v>8364</v>
      </c>
      <c r="I1901" s="23">
        <v>4</v>
      </c>
      <c r="J1901" s="23">
        <v>0</v>
      </c>
      <c r="K1901" s="23">
        <v>1</v>
      </c>
      <c r="L1901" s="23" t="s">
        <v>62</v>
      </c>
      <c r="M1901" s="25">
        <v>6.5</v>
      </c>
      <c r="N1901">
        <f t="shared" si="29"/>
        <v>0</v>
      </c>
    </row>
    <row r="1902" spans="1:14" x14ac:dyDescent="0.35">
      <c r="A1902" s="6" t="s">
        <v>1972</v>
      </c>
      <c r="B1902" s="19" t="s">
        <v>69</v>
      </c>
      <c r="C1902" s="19">
        <v>7</v>
      </c>
      <c r="D1902" s="20">
        <v>45864</v>
      </c>
      <c r="E1902" s="19" t="s">
        <v>13</v>
      </c>
      <c r="F1902" s="19" t="s">
        <v>14</v>
      </c>
      <c r="G1902" s="19" t="s">
        <v>27</v>
      </c>
      <c r="H1902" s="19" t="s">
        <v>32</v>
      </c>
      <c r="I1902" s="19">
        <v>4</v>
      </c>
      <c r="J1902" s="19">
        <v>0</v>
      </c>
      <c r="K1902" s="19">
        <v>4</v>
      </c>
      <c r="L1902" s="19" t="s">
        <v>62</v>
      </c>
      <c r="M1902" s="21">
        <v>13.2</v>
      </c>
      <c r="N1902">
        <f t="shared" si="29"/>
        <v>0</v>
      </c>
    </row>
    <row r="1903" spans="1:14" x14ac:dyDescent="0.35">
      <c r="A1903" s="22" t="s">
        <v>1973</v>
      </c>
      <c r="B1903" s="23" t="s">
        <v>45</v>
      </c>
      <c r="C1903" s="23">
        <v>4</v>
      </c>
      <c r="D1903" s="24">
        <v>45750</v>
      </c>
      <c r="E1903" s="23" t="s">
        <v>8364</v>
      </c>
      <c r="F1903" s="23" t="s">
        <v>26</v>
      </c>
      <c r="G1903" s="23" t="s">
        <v>21</v>
      </c>
      <c r="H1903" s="23" t="s">
        <v>22</v>
      </c>
      <c r="I1903" s="23">
        <v>24</v>
      </c>
      <c r="J1903" s="23">
        <v>1</v>
      </c>
      <c r="K1903" s="23">
        <v>5</v>
      </c>
      <c r="L1903" s="23" t="s">
        <v>33</v>
      </c>
      <c r="M1903" s="25">
        <v>18.600000000000001</v>
      </c>
      <c r="N1903">
        <f t="shared" si="29"/>
        <v>1</v>
      </c>
    </row>
    <row r="1904" spans="1:14" x14ac:dyDescent="0.35">
      <c r="A1904" s="6" t="s">
        <v>1974</v>
      </c>
      <c r="B1904" s="19" t="s">
        <v>51</v>
      </c>
      <c r="C1904" s="19">
        <v>1</v>
      </c>
      <c r="D1904" s="20">
        <v>45676</v>
      </c>
      <c r="E1904" s="19" t="s">
        <v>25</v>
      </c>
      <c r="F1904" s="19" t="s">
        <v>37</v>
      </c>
      <c r="G1904" s="19" t="s">
        <v>31</v>
      </c>
      <c r="H1904" s="19" t="s">
        <v>22</v>
      </c>
      <c r="I1904" s="19">
        <v>8</v>
      </c>
      <c r="J1904" s="19">
        <v>0</v>
      </c>
      <c r="K1904" s="19">
        <v>5</v>
      </c>
      <c r="L1904" s="19" t="s">
        <v>62</v>
      </c>
      <c r="M1904" s="21">
        <v>13</v>
      </c>
      <c r="N1904">
        <f t="shared" si="29"/>
        <v>0</v>
      </c>
    </row>
    <row r="1905" spans="1:14" x14ac:dyDescent="0.35">
      <c r="A1905" s="22" t="s">
        <v>1975</v>
      </c>
      <c r="B1905" s="23" t="s">
        <v>181</v>
      </c>
      <c r="C1905" s="23">
        <v>9</v>
      </c>
      <c r="D1905" s="24">
        <v>45908</v>
      </c>
      <c r="E1905" s="23" t="s">
        <v>13</v>
      </c>
      <c r="F1905" s="23" t="s">
        <v>40</v>
      </c>
      <c r="G1905" s="23" t="s">
        <v>27</v>
      </c>
      <c r="H1905" s="23" t="s">
        <v>8364</v>
      </c>
      <c r="I1905" s="23">
        <v>48</v>
      </c>
      <c r="J1905" s="23">
        <v>0</v>
      </c>
      <c r="K1905" s="23">
        <v>5</v>
      </c>
      <c r="L1905" s="23" t="s">
        <v>38</v>
      </c>
      <c r="M1905" s="25">
        <v>12</v>
      </c>
      <c r="N1905">
        <f t="shared" si="29"/>
        <v>1</v>
      </c>
    </row>
    <row r="1906" spans="1:14" x14ac:dyDescent="0.35">
      <c r="A1906" s="6" t="s">
        <v>1976</v>
      </c>
      <c r="B1906" s="19" t="s">
        <v>23</v>
      </c>
      <c r="C1906" s="19">
        <v>6</v>
      </c>
      <c r="D1906" s="20">
        <v>45821</v>
      </c>
      <c r="E1906" s="19" t="s">
        <v>8364</v>
      </c>
      <c r="F1906" s="19" t="s">
        <v>14</v>
      </c>
      <c r="G1906" s="19" t="s">
        <v>27</v>
      </c>
      <c r="H1906" s="19" t="s">
        <v>22</v>
      </c>
      <c r="I1906" s="19">
        <v>4</v>
      </c>
      <c r="J1906" s="19">
        <v>1</v>
      </c>
      <c r="K1906" s="19">
        <v>1</v>
      </c>
      <c r="L1906" s="19" t="s">
        <v>44</v>
      </c>
      <c r="M1906" s="21">
        <v>6.5</v>
      </c>
      <c r="N1906">
        <f t="shared" si="29"/>
        <v>0</v>
      </c>
    </row>
    <row r="1907" spans="1:14" x14ac:dyDescent="0.35">
      <c r="A1907" s="22" t="s">
        <v>1977</v>
      </c>
      <c r="B1907" s="23" t="s">
        <v>69</v>
      </c>
      <c r="C1907" s="23">
        <v>2</v>
      </c>
      <c r="D1907" s="24">
        <v>45714</v>
      </c>
      <c r="E1907" s="23" t="s">
        <v>20</v>
      </c>
      <c r="F1907" s="23" t="s">
        <v>37</v>
      </c>
      <c r="G1907" s="23" t="s">
        <v>21</v>
      </c>
      <c r="H1907" s="23" t="s">
        <v>22</v>
      </c>
      <c r="I1907" s="23">
        <v>48</v>
      </c>
      <c r="J1907" s="23">
        <v>0</v>
      </c>
      <c r="K1907" s="23">
        <v>5</v>
      </c>
      <c r="L1907" s="23" t="s">
        <v>8363</v>
      </c>
      <c r="M1907" s="25">
        <v>36.299999999999997</v>
      </c>
      <c r="N1907">
        <f t="shared" si="29"/>
        <v>1</v>
      </c>
    </row>
    <row r="1908" spans="1:14" x14ac:dyDescent="0.35">
      <c r="A1908" s="6" t="s">
        <v>1978</v>
      </c>
      <c r="B1908" s="19" t="s">
        <v>108</v>
      </c>
      <c r="C1908" s="19">
        <v>3</v>
      </c>
      <c r="D1908" s="20">
        <v>45742</v>
      </c>
      <c r="E1908" s="19" t="s">
        <v>36</v>
      </c>
      <c r="F1908" s="19" t="s">
        <v>43</v>
      </c>
      <c r="G1908" s="19" t="s">
        <v>15</v>
      </c>
      <c r="H1908" s="19" t="s">
        <v>32</v>
      </c>
      <c r="I1908" s="19">
        <v>4</v>
      </c>
      <c r="J1908" s="19">
        <v>0</v>
      </c>
      <c r="K1908" s="19">
        <v>1</v>
      </c>
      <c r="L1908" s="19" t="s">
        <v>44</v>
      </c>
      <c r="M1908" s="21">
        <v>10.6</v>
      </c>
      <c r="N1908">
        <f t="shared" si="29"/>
        <v>0</v>
      </c>
    </row>
    <row r="1909" spans="1:14" x14ac:dyDescent="0.35">
      <c r="A1909" s="22" t="s">
        <v>1979</v>
      </c>
      <c r="B1909" s="23" t="s">
        <v>49</v>
      </c>
      <c r="C1909" s="23">
        <v>3</v>
      </c>
      <c r="D1909" s="24">
        <v>45731</v>
      </c>
      <c r="E1909" s="23" t="s">
        <v>8364</v>
      </c>
      <c r="F1909" s="23" t="s">
        <v>59</v>
      </c>
      <c r="G1909" s="23" t="s">
        <v>15</v>
      </c>
      <c r="H1909" s="23" t="s">
        <v>28</v>
      </c>
      <c r="I1909" s="23">
        <v>24</v>
      </c>
      <c r="J1909" s="23">
        <v>0</v>
      </c>
      <c r="K1909" s="23">
        <v>5</v>
      </c>
      <c r="L1909" s="23" t="s">
        <v>55</v>
      </c>
      <c r="M1909" s="25">
        <v>6</v>
      </c>
      <c r="N1909">
        <f t="shared" si="29"/>
        <v>1</v>
      </c>
    </row>
    <row r="1910" spans="1:14" x14ac:dyDescent="0.35">
      <c r="A1910" s="6" t="s">
        <v>1980</v>
      </c>
      <c r="B1910" s="19" t="s">
        <v>89</v>
      </c>
      <c r="C1910" s="19">
        <v>1</v>
      </c>
      <c r="D1910" s="20">
        <v>45667</v>
      </c>
      <c r="E1910" s="19" t="s">
        <v>20</v>
      </c>
      <c r="F1910" s="19" t="s">
        <v>40</v>
      </c>
      <c r="G1910" s="19" t="s">
        <v>8364</v>
      </c>
      <c r="H1910" s="19" t="s">
        <v>32</v>
      </c>
      <c r="I1910" s="19">
        <v>72</v>
      </c>
      <c r="J1910" s="19">
        <v>2</v>
      </c>
      <c r="K1910" s="19">
        <v>5</v>
      </c>
      <c r="L1910" s="19" t="s">
        <v>44</v>
      </c>
      <c r="M1910" s="21">
        <v>20.7</v>
      </c>
      <c r="N1910">
        <f t="shared" si="29"/>
        <v>1</v>
      </c>
    </row>
    <row r="1911" spans="1:14" x14ac:dyDescent="0.35">
      <c r="A1911" s="22" t="s">
        <v>1981</v>
      </c>
      <c r="B1911" s="23" t="s">
        <v>65</v>
      </c>
      <c r="C1911" s="23">
        <v>3</v>
      </c>
      <c r="D1911" s="24">
        <v>45718</v>
      </c>
      <c r="E1911" s="23" t="s">
        <v>36</v>
      </c>
      <c r="F1911" s="23" t="s">
        <v>14</v>
      </c>
      <c r="G1911" s="23" t="s">
        <v>27</v>
      </c>
      <c r="H1911" s="23" t="s">
        <v>28</v>
      </c>
      <c r="I1911" s="23">
        <v>8</v>
      </c>
      <c r="J1911" s="23">
        <v>0</v>
      </c>
      <c r="K1911" s="23">
        <v>5</v>
      </c>
      <c r="L1911" s="23" t="s">
        <v>55</v>
      </c>
      <c r="M1911" s="25">
        <v>27.5</v>
      </c>
      <c r="N1911">
        <f t="shared" si="29"/>
        <v>0</v>
      </c>
    </row>
    <row r="1912" spans="1:14" x14ac:dyDescent="0.35">
      <c r="A1912" s="6" t="s">
        <v>1982</v>
      </c>
      <c r="B1912" s="19" t="s">
        <v>53</v>
      </c>
      <c r="C1912" s="19">
        <v>3</v>
      </c>
      <c r="D1912" s="20">
        <v>45730</v>
      </c>
      <c r="E1912" s="19" t="s">
        <v>25</v>
      </c>
      <c r="F1912" s="19" t="s">
        <v>14</v>
      </c>
      <c r="G1912" s="19" t="s">
        <v>15</v>
      </c>
      <c r="H1912" s="19" t="s">
        <v>22</v>
      </c>
      <c r="I1912" s="19">
        <v>4</v>
      </c>
      <c r="J1912" s="19">
        <v>1</v>
      </c>
      <c r="K1912" s="19">
        <v>1</v>
      </c>
      <c r="L1912" s="19" t="s">
        <v>75</v>
      </c>
      <c r="M1912" s="21">
        <v>6.1</v>
      </c>
      <c r="N1912">
        <f t="shared" si="29"/>
        <v>0</v>
      </c>
    </row>
    <row r="1913" spans="1:14" x14ac:dyDescent="0.35">
      <c r="A1913" s="22" t="s">
        <v>1983</v>
      </c>
      <c r="B1913" s="23" t="s">
        <v>97</v>
      </c>
      <c r="C1913" s="23">
        <v>6</v>
      </c>
      <c r="D1913" s="24">
        <v>45818</v>
      </c>
      <c r="E1913" s="23" t="s">
        <v>20</v>
      </c>
      <c r="F1913" s="23" t="s">
        <v>14</v>
      </c>
      <c r="G1913" s="23" t="s">
        <v>27</v>
      </c>
      <c r="H1913" s="23" t="s">
        <v>32</v>
      </c>
      <c r="I1913" s="23">
        <v>48</v>
      </c>
      <c r="J1913" s="23">
        <v>1</v>
      </c>
      <c r="K1913" s="23">
        <v>4</v>
      </c>
      <c r="L1913" s="23" t="s">
        <v>44</v>
      </c>
      <c r="M1913" s="25">
        <v>11.2</v>
      </c>
      <c r="N1913">
        <f t="shared" si="29"/>
        <v>1</v>
      </c>
    </row>
    <row r="1914" spans="1:14" x14ac:dyDescent="0.35">
      <c r="A1914" s="6" t="s">
        <v>1984</v>
      </c>
      <c r="B1914" s="19" t="s">
        <v>108</v>
      </c>
      <c r="C1914" s="19">
        <v>8</v>
      </c>
      <c r="D1914" s="20">
        <v>45888</v>
      </c>
      <c r="E1914" s="19" t="s">
        <v>20</v>
      </c>
      <c r="F1914" s="19" t="s">
        <v>37</v>
      </c>
      <c r="G1914" s="19" t="s">
        <v>27</v>
      </c>
      <c r="H1914" s="19" t="s">
        <v>28</v>
      </c>
      <c r="I1914" s="19">
        <v>24</v>
      </c>
      <c r="J1914" s="19">
        <v>0</v>
      </c>
      <c r="K1914" s="19">
        <v>5</v>
      </c>
      <c r="L1914" s="19" t="s">
        <v>8363</v>
      </c>
      <c r="M1914" s="21">
        <v>20.2</v>
      </c>
      <c r="N1914">
        <f t="shared" si="29"/>
        <v>1</v>
      </c>
    </row>
    <row r="1915" spans="1:14" x14ac:dyDescent="0.35">
      <c r="A1915" s="22" t="s">
        <v>1985</v>
      </c>
      <c r="B1915" s="23" t="s">
        <v>49</v>
      </c>
      <c r="C1915" s="23"/>
      <c r="D1915" s="24"/>
      <c r="E1915" s="23" t="s">
        <v>36</v>
      </c>
      <c r="F1915" s="23" t="s">
        <v>26</v>
      </c>
      <c r="G1915" s="23" t="s">
        <v>27</v>
      </c>
      <c r="H1915" s="23" t="s">
        <v>32</v>
      </c>
      <c r="I1915" s="23">
        <v>8</v>
      </c>
      <c r="J1915" s="23">
        <v>1</v>
      </c>
      <c r="K1915" s="23"/>
      <c r="L1915" s="23" t="s">
        <v>62</v>
      </c>
      <c r="M1915" s="25">
        <v>13.8</v>
      </c>
      <c r="N1915">
        <f t="shared" si="29"/>
        <v>0</v>
      </c>
    </row>
    <row r="1916" spans="1:14" x14ac:dyDescent="0.35">
      <c r="A1916" s="6" t="s">
        <v>1986</v>
      </c>
      <c r="B1916" s="19" t="s">
        <v>47</v>
      </c>
      <c r="C1916" s="19"/>
      <c r="D1916" s="20"/>
      <c r="E1916" s="19" t="s">
        <v>25</v>
      </c>
      <c r="F1916" s="19" t="s">
        <v>37</v>
      </c>
      <c r="G1916" s="19" t="s">
        <v>21</v>
      </c>
      <c r="H1916" s="19" t="s">
        <v>22</v>
      </c>
      <c r="I1916" s="19">
        <v>48</v>
      </c>
      <c r="J1916" s="19">
        <v>0</v>
      </c>
      <c r="K1916" s="19">
        <v>5</v>
      </c>
      <c r="L1916" s="19" t="s">
        <v>8363</v>
      </c>
      <c r="M1916" s="21">
        <v>3.6</v>
      </c>
      <c r="N1916">
        <f t="shared" si="29"/>
        <v>1</v>
      </c>
    </row>
    <row r="1917" spans="1:14" x14ac:dyDescent="0.35">
      <c r="A1917" s="22" t="s">
        <v>1987</v>
      </c>
      <c r="B1917" s="23" t="s">
        <v>53</v>
      </c>
      <c r="C1917" s="23">
        <v>10</v>
      </c>
      <c r="D1917" s="24">
        <v>45945</v>
      </c>
      <c r="E1917" s="23" t="s">
        <v>20</v>
      </c>
      <c r="F1917" s="23" t="s">
        <v>43</v>
      </c>
      <c r="G1917" s="23" t="s">
        <v>15</v>
      </c>
      <c r="H1917" s="23" t="s">
        <v>32</v>
      </c>
      <c r="I1917" s="23">
        <v>24</v>
      </c>
      <c r="J1917" s="23">
        <v>0</v>
      </c>
      <c r="K1917" s="23">
        <v>1</v>
      </c>
      <c r="L1917" s="23" t="s">
        <v>8363</v>
      </c>
      <c r="M1917" s="25">
        <v>6</v>
      </c>
      <c r="N1917">
        <f t="shared" si="29"/>
        <v>1</v>
      </c>
    </row>
    <row r="1918" spans="1:14" x14ac:dyDescent="0.35">
      <c r="A1918" s="6" t="s">
        <v>1988</v>
      </c>
      <c r="B1918" s="19" t="s">
        <v>99</v>
      </c>
      <c r="C1918" s="19">
        <v>8</v>
      </c>
      <c r="D1918" s="20">
        <v>45899</v>
      </c>
      <c r="E1918" s="19" t="s">
        <v>25</v>
      </c>
      <c r="F1918" s="19" t="s">
        <v>40</v>
      </c>
      <c r="G1918" s="19" t="s">
        <v>31</v>
      </c>
      <c r="H1918" s="19" t="s">
        <v>22</v>
      </c>
      <c r="I1918" s="19">
        <v>24</v>
      </c>
      <c r="J1918" s="19">
        <v>0</v>
      </c>
      <c r="K1918" s="19">
        <v>1</v>
      </c>
      <c r="L1918" s="19" t="s">
        <v>38</v>
      </c>
      <c r="M1918" s="21">
        <v>13.5</v>
      </c>
      <c r="N1918">
        <f t="shared" si="29"/>
        <v>1</v>
      </c>
    </row>
    <row r="1919" spans="1:14" x14ac:dyDescent="0.35">
      <c r="A1919" s="22" t="s">
        <v>1989</v>
      </c>
      <c r="B1919" s="23" t="s">
        <v>99</v>
      </c>
      <c r="C1919" s="23">
        <v>9</v>
      </c>
      <c r="D1919" s="24">
        <v>45928</v>
      </c>
      <c r="E1919" s="23" t="s">
        <v>13</v>
      </c>
      <c r="F1919" s="23" t="s">
        <v>14</v>
      </c>
      <c r="G1919" s="23" t="s">
        <v>27</v>
      </c>
      <c r="H1919" s="23" t="s">
        <v>28</v>
      </c>
      <c r="I1919" s="23">
        <v>72</v>
      </c>
      <c r="J1919" s="23">
        <v>0</v>
      </c>
      <c r="K1919" s="23">
        <v>2</v>
      </c>
      <c r="L1919" s="23" t="s">
        <v>75</v>
      </c>
      <c r="M1919" s="25">
        <v>4.4000000000000004</v>
      </c>
      <c r="N1919">
        <f t="shared" si="29"/>
        <v>1</v>
      </c>
    </row>
    <row r="1920" spans="1:14" x14ac:dyDescent="0.35">
      <c r="A1920" s="6" t="s">
        <v>1990</v>
      </c>
      <c r="B1920" s="19" t="s">
        <v>139</v>
      </c>
      <c r="C1920" s="19">
        <v>11</v>
      </c>
      <c r="D1920" s="20">
        <v>45970</v>
      </c>
      <c r="E1920" s="19" t="s">
        <v>25</v>
      </c>
      <c r="F1920" s="19" t="s">
        <v>43</v>
      </c>
      <c r="G1920" s="19" t="s">
        <v>21</v>
      </c>
      <c r="H1920" s="19" t="s">
        <v>28</v>
      </c>
      <c r="I1920" s="19">
        <v>8</v>
      </c>
      <c r="J1920" s="19">
        <v>0</v>
      </c>
      <c r="K1920" s="19">
        <v>3</v>
      </c>
      <c r="L1920" s="19" t="s">
        <v>38</v>
      </c>
      <c r="M1920" s="21">
        <v>25.9</v>
      </c>
      <c r="N1920">
        <f t="shared" si="29"/>
        <v>0</v>
      </c>
    </row>
    <row r="1921" spans="1:14" x14ac:dyDescent="0.35">
      <c r="A1921" s="22" t="s">
        <v>1991</v>
      </c>
      <c r="B1921" s="23" t="s">
        <v>49</v>
      </c>
      <c r="C1921" s="23">
        <v>11</v>
      </c>
      <c r="D1921" s="24">
        <v>45962</v>
      </c>
      <c r="E1921" s="23" t="s">
        <v>8364</v>
      </c>
      <c r="F1921" s="23" t="s">
        <v>14</v>
      </c>
      <c r="G1921" s="23" t="s">
        <v>31</v>
      </c>
      <c r="H1921" s="23" t="s">
        <v>22</v>
      </c>
      <c r="I1921" s="23">
        <v>72</v>
      </c>
      <c r="J1921" s="23">
        <v>0</v>
      </c>
      <c r="K1921" s="23">
        <v>5</v>
      </c>
      <c r="L1921" s="23" t="s">
        <v>75</v>
      </c>
      <c r="M1921" s="25">
        <v>9.6999999999999993</v>
      </c>
      <c r="N1921">
        <f t="shared" si="29"/>
        <v>1</v>
      </c>
    </row>
    <row r="1922" spans="1:14" x14ac:dyDescent="0.35">
      <c r="A1922" s="6" t="s">
        <v>1992</v>
      </c>
      <c r="B1922" s="19" t="s">
        <v>34</v>
      </c>
      <c r="C1922" s="19">
        <v>5</v>
      </c>
      <c r="D1922" s="20">
        <v>45783</v>
      </c>
      <c r="E1922" s="19" t="s">
        <v>8364</v>
      </c>
      <c r="F1922" s="19" t="s">
        <v>14</v>
      </c>
      <c r="G1922" s="19" t="s">
        <v>27</v>
      </c>
      <c r="H1922" s="19" t="s">
        <v>28</v>
      </c>
      <c r="I1922" s="19">
        <v>4</v>
      </c>
      <c r="J1922" s="19">
        <v>0</v>
      </c>
      <c r="K1922" s="19">
        <v>5</v>
      </c>
      <c r="L1922" s="19" t="s">
        <v>33</v>
      </c>
      <c r="M1922" s="21">
        <v>10.199999999999999</v>
      </c>
      <c r="N1922">
        <f t="shared" si="29"/>
        <v>0</v>
      </c>
    </row>
    <row r="1923" spans="1:14" x14ac:dyDescent="0.35">
      <c r="A1923" s="22" t="s">
        <v>1993</v>
      </c>
      <c r="B1923" s="23" t="s">
        <v>92</v>
      </c>
      <c r="C1923" s="23">
        <v>2</v>
      </c>
      <c r="D1923" s="24">
        <v>45693</v>
      </c>
      <c r="E1923" s="23" t="s">
        <v>36</v>
      </c>
      <c r="F1923" s="23" t="s">
        <v>14</v>
      </c>
      <c r="G1923" s="23" t="s">
        <v>8364</v>
      </c>
      <c r="H1923" s="23" t="s">
        <v>22</v>
      </c>
      <c r="I1923" s="23">
        <v>72</v>
      </c>
      <c r="J1923" s="23">
        <v>2</v>
      </c>
      <c r="K1923" s="23">
        <v>3</v>
      </c>
      <c r="L1923" s="23" t="s">
        <v>55</v>
      </c>
      <c r="M1923" s="25">
        <v>7.8</v>
      </c>
      <c r="N1923">
        <f t="shared" ref="N1923:N1986" si="30">IF(M1923 &lt;= I1923, 1, 0)</f>
        <v>1</v>
      </c>
    </row>
    <row r="1924" spans="1:14" x14ac:dyDescent="0.35">
      <c r="A1924" s="6" t="s">
        <v>1994</v>
      </c>
      <c r="B1924" s="19" t="s">
        <v>139</v>
      </c>
      <c r="C1924" s="19">
        <v>11</v>
      </c>
      <c r="D1924" s="20">
        <v>45971</v>
      </c>
      <c r="E1924" s="19" t="s">
        <v>25</v>
      </c>
      <c r="F1924" s="19" t="s">
        <v>26</v>
      </c>
      <c r="G1924" s="19" t="s">
        <v>15</v>
      </c>
      <c r="H1924" s="19" t="s">
        <v>32</v>
      </c>
      <c r="I1924" s="19">
        <v>72</v>
      </c>
      <c r="J1924" s="19">
        <v>0</v>
      </c>
      <c r="K1924" s="19">
        <v>4</v>
      </c>
      <c r="L1924" s="19" t="s">
        <v>8363</v>
      </c>
      <c r="M1924" s="21">
        <v>12.8</v>
      </c>
      <c r="N1924">
        <f t="shared" si="30"/>
        <v>1</v>
      </c>
    </row>
    <row r="1925" spans="1:14" x14ac:dyDescent="0.35">
      <c r="A1925" s="22" t="s">
        <v>1995</v>
      </c>
      <c r="B1925" s="23" t="s">
        <v>139</v>
      </c>
      <c r="C1925" s="23">
        <v>8</v>
      </c>
      <c r="D1925" s="24">
        <v>45878</v>
      </c>
      <c r="E1925" s="23" t="s">
        <v>20</v>
      </c>
      <c r="F1925" s="23" t="s">
        <v>14</v>
      </c>
      <c r="G1925" s="23" t="s">
        <v>31</v>
      </c>
      <c r="H1925" s="23" t="s">
        <v>22</v>
      </c>
      <c r="I1925" s="23">
        <v>72</v>
      </c>
      <c r="J1925" s="23">
        <v>2</v>
      </c>
      <c r="K1925" s="23">
        <v>5</v>
      </c>
      <c r="L1925" s="23" t="s">
        <v>75</v>
      </c>
      <c r="M1925" s="25">
        <v>0.8</v>
      </c>
      <c r="N1925">
        <f t="shared" si="30"/>
        <v>1</v>
      </c>
    </row>
    <row r="1926" spans="1:14" x14ac:dyDescent="0.35">
      <c r="A1926" s="6" t="s">
        <v>1996</v>
      </c>
      <c r="B1926" s="19" t="s">
        <v>126</v>
      </c>
      <c r="C1926" s="19">
        <v>3</v>
      </c>
      <c r="D1926" s="20">
        <v>45739</v>
      </c>
      <c r="E1926" s="19" t="s">
        <v>13</v>
      </c>
      <c r="F1926" s="19" t="s">
        <v>43</v>
      </c>
      <c r="G1926" s="19" t="s">
        <v>27</v>
      </c>
      <c r="H1926" s="19" t="s">
        <v>22</v>
      </c>
      <c r="I1926" s="19">
        <v>4</v>
      </c>
      <c r="J1926" s="19">
        <v>0</v>
      </c>
      <c r="K1926" s="19">
        <v>5</v>
      </c>
      <c r="L1926" s="19" t="s">
        <v>44</v>
      </c>
      <c r="M1926" s="21">
        <v>12.8</v>
      </c>
      <c r="N1926">
        <f t="shared" si="30"/>
        <v>0</v>
      </c>
    </row>
    <row r="1927" spans="1:14" x14ac:dyDescent="0.35">
      <c r="A1927" s="22" t="s">
        <v>1997</v>
      </c>
      <c r="B1927" s="23" t="s">
        <v>104</v>
      </c>
      <c r="C1927" s="23"/>
      <c r="D1927" s="24"/>
      <c r="E1927" s="23" t="s">
        <v>13</v>
      </c>
      <c r="F1927" s="23" t="s">
        <v>37</v>
      </c>
      <c r="G1927" s="23" t="s">
        <v>31</v>
      </c>
      <c r="H1927" s="23" t="s">
        <v>32</v>
      </c>
      <c r="I1927" s="23">
        <v>4</v>
      </c>
      <c r="J1927" s="23">
        <v>0</v>
      </c>
      <c r="K1927" s="23">
        <v>4</v>
      </c>
      <c r="L1927" s="23" t="s">
        <v>75</v>
      </c>
      <c r="M1927" s="25">
        <v>16.3</v>
      </c>
      <c r="N1927">
        <f t="shared" si="30"/>
        <v>0</v>
      </c>
    </row>
    <row r="1928" spans="1:14" x14ac:dyDescent="0.35">
      <c r="A1928" s="6" t="s">
        <v>1998</v>
      </c>
      <c r="B1928" s="19" t="s">
        <v>253</v>
      </c>
      <c r="C1928" s="19">
        <v>2</v>
      </c>
      <c r="D1928" s="20">
        <v>45707</v>
      </c>
      <c r="E1928" s="19" t="s">
        <v>8364</v>
      </c>
      <c r="F1928" s="19" t="s">
        <v>59</v>
      </c>
      <c r="G1928" s="19" t="s">
        <v>31</v>
      </c>
      <c r="H1928" s="19" t="s">
        <v>22</v>
      </c>
      <c r="I1928" s="19">
        <v>4</v>
      </c>
      <c r="J1928" s="19">
        <v>2</v>
      </c>
      <c r="K1928" s="19">
        <v>4</v>
      </c>
      <c r="L1928" s="19" t="s">
        <v>75</v>
      </c>
      <c r="M1928" s="21">
        <v>5.5</v>
      </c>
      <c r="N1928">
        <f t="shared" si="30"/>
        <v>0</v>
      </c>
    </row>
    <row r="1929" spans="1:14" x14ac:dyDescent="0.35">
      <c r="A1929" s="22" t="s">
        <v>1999</v>
      </c>
      <c r="B1929" s="23" t="s">
        <v>158</v>
      </c>
      <c r="C1929" s="23">
        <v>10</v>
      </c>
      <c r="D1929" s="24">
        <v>45943</v>
      </c>
      <c r="E1929" s="23" t="s">
        <v>8364</v>
      </c>
      <c r="F1929" s="23" t="s">
        <v>59</v>
      </c>
      <c r="G1929" s="23" t="s">
        <v>15</v>
      </c>
      <c r="H1929" s="23" t="s">
        <v>22</v>
      </c>
      <c r="I1929" s="23">
        <v>4</v>
      </c>
      <c r="J1929" s="23">
        <v>0</v>
      </c>
      <c r="K1929" s="23">
        <v>4</v>
      </c>
      <c r="L1929" s="23" t="s">
        <v>55</v>
      </c>
      <c r="M1929" s="25">
        <v>10.7</v>
      </c>
      <c r="N1929">
        <f t="shared" si="30"/>
        <v>0</v>
      </c>
    </row>
    <row r="1930" spans="1:14" x14ac:dyDescent="0.35">
      <c r="A1930" s="6" t="s">
        <v>2000</v>
      </c>
      <c r="B1930" s="19" t="s">
        <v>78</v>
      </c>
      <c r="C1930" s="19">
        <v>4</v>
      </c>
      <c r="D1930" s="20">
        <v>45776</v>
      </c>
      <c r="E1930" s="19" t="s">
        <v>36</v>
      </c>
      <c r="F1930" s="19" t="s">
        <v>37</v>
      </c>
      <c r="G1930" s="19" t="s">
        <v>8364</v>
      </c>
      <c r="H1930" s="19" t="s">
        <v>22</v>
      </c>
      <c r="I1930" s="19">
        <v>72</v>
      </c>
      <c r="J1930" s="19">
        <v>0</v>
      </c>
      <c r="K1930" s="19">
        <v>5</v>
      </c>
      <c r="L1930" s="19" t="s">
        <v>75</v>
      </c>
      <c r="M1930" s="21">
        <v>22.4</v>
      </c>
      <c r="N1930">
        <f t="shared" si="30"/>
        <v>1</v>
      </c>
    </row>
    <row r="1931" spans="1:14" x14ac:dyDescent="0.35">
      <c r="A1931" s="22" t="s">
        <v>2001</v>
      </c>
      <c r="B1931" s="23" t="s">
        <v>57</v>
      </c>
      <c r="C1931" s="23">
        <v>1</v>
      </c>
      <c r="D1931" s="24">
        <v>45662</v>
      </c>
      <c r="E1931" s="23" t="s">
        <v>13</v>
      </c>
      <c r="F1931" s="23" t="s">
        <v>43</v>
      </c>
      <c r="G1931" s="23" t="s">
        <v>15</v>
      </c>
      <c r="H1931" s="23" t="s">
        <v>22</v>
      </c>
      <c r="I1931" s="23">
        <v>72</v>
      </c>
      <c r="J1931" s="23">
        <v>0</v>
      </c>
      <c r="K1931" s="23">
        <v>4</v>
      </c>
      <c r="L1931" s="23" t="s">
        <v>75</v>
      </c>
      <c r="M1931" s="25">
        <v>8.5</v>
      </c>
      <c r="N1931">
        <f t="shared" si="30"/>
        <v>1</v>
      </c>
    </row>
    <row r="1932" spans="1:14" x14ac:dyDescent="0.35">
      <c r="A1932" s="6" t="s">
        <v>2002</v>
      </c>
      <c r="B1932" s="19" t="s">
        <v>41</v>
      </c>
      <c r="C1932" s="19">
        <v>2</v>
      </c>
      <c r="D1932" s="20">
        <v>45714</v>
      </c>
      <c r="E1932" s="19" t="s">
        <v>25</v>
      </c>
      <c r="F1932" s="19" t="s">
        <v>14</v>
      </c>
      <c r="G1932" s="19" t="s">
        <v>31</v>
      </c>
      <c r="H1932" s="19" t="s">
        <v>22</v>
      </c>
      <c r="I1932" s="19">
        <v>24</v>
      </c>
      <c r="J1932" s="19">
        <v>1</v>
      </c>
      <c r="K1932" s="19">
        <v>5</v>
      </c>
      <c r="L1932" s="19" t="s">
        <v>8363</v>
      </c>
      <c r="M1932" s="21">
        <v>25.2</v>
      </c>
      <c r="N1932">
        <f t="shared" si="30"/>
        <v>0</v>
      </c>
    </row>
    <row r="1933" spans="1:14" x14ac:dyDescent="0.35">
      <c r="A1933" s="22" t="s">
        <v>2003</v>
      </c>
      <c r="B1933" s="23" t="s">
        <v>236</v>
      </c>
      <c r="C1933" s="23">
        <v>6</v>
      </c>
      <c r="D1933" s="24">
        <v>45825</v>
      </c>
      <c r="E1933" s="23" t="s">
        <v>13</v>
      </c>
      <c r="F1933" s="23" t="s">
        <v>43</v>
      </c>
      <c r="G1933" s="23" t="s">
        <v>27</v>
      </c>
      <c r="H1933" s="23" t="s">
        <v>16</v>
      </c>
      <c r="I1933" s="23">
        <v>72</v>
      </c>
      <c r="J1933" s="23">
        <v>0</v>
      </c>
      <c r="K1933" s="23">
        <v>1</v>
      </c>
      <c r="L1933" s="23" t="s">
        <v>8363</v>
      </c>
      <c r="M1933" s="25">
        <v>8.3000000000000007</v>
      </c>
      <c r="N1933">
        <f t="shared" si="30"/>
        <v>1</v>
      </c>
    </row>
    <row r="1934" spans="1:14" x14ac:dyDescent="0.35">
      <c r="A1934" s="6" t="s">
        <v>2004</v>
      </c>
      <c r="B1934" s="19" t="s">
        <v>23</v>
      </c>
      <c r="C1934" s="19">
        <v>4</v>
      </c>
      <c r="D1934" s="20">
        <v>45755</v>
      </c>
      <c r="E1934" s="19" t="s">
        <v>25</v>
      </c>
      <c r="F1934" s="19" t="s">
        <v>14</v>
      </c>
      <c r="G1934" s="19" t="s">
        <v>27</v>
      </c>
      <c r="H1934" s="19" t="s">
        <v>28</v>
      </c>
      <c r="I1934" s="19">
        <v>48</v>
      </c>
      <c r="J1934" s="19">
        <v>2</v>
      </c>
      <c r="K1934" s="19">
        <v>2</v>
      </c>
      <c r="L1934" s="19" t="s">
        <v>38</v>
      </c>
      <c r="M1934" s="21">
        <v>13.5</v>
      </c>
      <c r="N1934">
        <f t="shared" si="30"/>
        <v>1</v>
      </c>
    </row>
    <row r="1935" spans="1:14" x14ac:dyDescent="0.35">
      <c r="A1935" s="22" t="s">
        <v>2005</v>
      </c>
      <c r="B1935" s="23" t="s">
        <v>130</v>
      </c>
      <c r="C1935" s="23">
        <v>1</v>
      </c>
      <c r="D1935" s="24">
        <v>45678</v>
      </c>
      <c r="E1935" s="23" t="s">
        <v>25</v>
      </c>
      <c r="F1935" s="23" t="s">
        <v>8364</v>
      </c>
      <c r="G1935" s="23" t="s">
        <v>15</v>
      </c>
      <c r="H1935" s="23" t="s">
        <v>28</v>
      </c>
      <c r="I1935" s="23">
        <v>24</v>
      </c>
      <c r="J1935" s="23">
        <v>0</v>
      </c>
      <c r="K1935" s="23">
        <v>4</v>
      </c>
      <c r="L1935" s="23" t="s">
        <v>33</v>
      </c>
      <c r="M1935" s="25">
        <v>20</v>
      </c>
      <c r="N1935">
        <f t="shared" si="30"/>
        <v>1</v>
      </c>
    </row>
    <row r="1936" spans="1:14" x14ac:dyDescent="0.35">
      <c r="A1936" s="6" t="s">
        <v>2006</v>
      </c>
      <c r="B1936" s="19" t="s">
        <v>39</v>
      </c>
      <c r="C1936" s="19">
        <v>7</v>
      </c>
      <c r="D1936" s="20">
        <v>45869</v>
      </c>
      <c r="E1936" s="19" t="s">
        <v>13</v>
      </c>
      <c r="F1936" s="19" t="s">
        <v>14</v>
      </c>
      <c r="G1936" s="19" t="s">
        <v>27</v>
      </c>
      <c r="H1936" s="19" t="s">
        <v>22</v>
      </c>
      <c r="I1936" s="19">
        <v>4</v>
      </c>
      <c r="J1936" s="19">
        <v>0</v>
      </c>
      <c r="K1936" s="19">
        <v>5</v>
      </c>
      <c r="L1936" s="19" t="s">
        <v>62</v>
      </c>
      <c r="M1936" s="21">
        <v>11.8</v>
      </c>
      <c r="N1936">
        <f t="shared" si="30"/>
        <v>0</v>
      </c>
    </row>
    <row r="1937" spans="1:14" x14ac:dyDescent="0.35">
      <c r="A1937" s="22" t="s">
        <v>2007</v>
      </c>
      <c r="B1937" s="23" t="s">
        <v>72</v>
      </c>
      <c r="C1937" s="23">
        <v>9</v>
      </c>
      <c r="D1937" s="24">
        <v>45909</v>
      </c>
      <c r="E1937" s="23" t="s">
        <v>68</v>
      </c>
      <c r="F1937" s="23" t="s">
        <v>37</v>
      </c>
      <c r="G1937" s="23" t="s">
        <v>21</v>
      </c>
      <c r="H1937" s="23" t="s">
        <v>22</v>
      </c>
      <c r="I1937" s="23">
        <v>4</v>
      </c>
      <c r="J1937" s="23">
        <v>0</v>
      </c>
      <c r="K1937" s="23">
        <v>5</v>
      </c>
      <c r="L1937" s="23" t="s">
        <v>33</v>
      </c>
      <c r="M1937" s="25">
        <v>29.1</v>
      </c>
      <c r="N1937">
        <f t="shared" si="30"/>
        <v>0</v>
      </c>
    </row>
    <row r="1938" spans="1:14" x14ac:dyDescent="0.35">
      <c r="A1938" s="6" t="s">
        <v>2008</v>
      </c>
      <c r="B1938" s="19" t="s">
        <v>89</v>
      </c>
      <c r="C1938" s="19">
        <v>6</v>
      </c>
      <c r="D1938" s="20">
        <v>45828</v>
      </c>
      <c r="E1938" s="19" t="s">
        <v>13</v>
      </c>
      <c r="F1938" s="19" t="s">
        <v>14</v>
      </c>
      <c r="G1938" s="19" t="s">
        <v>8364</v>
      </c>
      <c r="H1938" s="19" t="s">
        <v>32</v>
      </c>
      <c r="I1938" s="19">
        <v>24</v>
      </c>
      <c r="J1938" s="19">
        <v>0</v>
      </c>
      <c r="K1938" s="19">
        <v>4</v>
      </c>
      <c r="L1938" s="19" t="s">
        <v>8363</v>
      </c>
      <c r="M1938" s="21">
        <v>6.6</v>
      </c>
      <c r="N1938">
        <f t="shared" si="30"/>
        <v>1</v>
      </c>
    </row>
    <row r="1939" spans="1:14" x14ac:dyDescent="0.35">
      <c r="A1939" s="22" t="s">
        <v>2009</v>
      </c>
      <c r="B1939" s="23" t="s">
        <v>130</v>
      </c>
      <c r="C1939" s="23">
        <v>1</v>
      </c>
      <c r="D1939" s="24">
        <v>45661</v>
      </c>
      <c r="E1939" s="23" t="s">
        <v>13</v>
      </c>
      <c r="F1939" s="23" t="s">
        <v>14</v>
      </c>
      <c r="G1939" s="23" t="s">
        <v>27</v>
      </c>
      <c r="H1939" s="23" t="s">
        <v>32</v>
      </c>
      <c r="I1939" s="23">
        <v>8</v>
      </c>
      <c r="J1939" s="23">
        <v>1</v>
      </c>
      <c r="K1939" s="23">
        <v>4</v>
      </c>
      <c r="L1939" s="23" t="s">
        <v>38</v>
      </c>
      <c r="M1939" s="25">
        <v>4.3</v>
      </c>
      <c r="N1939">
        <f t="shared" si="30"/>
        <v>1</v>
      </c>
    </row>
    <row r="1940" spans="1:14" x14ac:dyDescent="0.35">
      <c r="A1940" s="6" t="s">
        <v>2010</v>
      </c>
      <c r="B1940" s="19" t="s">
        <v>49</v>
      </c>
      <c r="C1940" s="19">
        <v>2</v>
      </c>
      <c r="D1940" s="20">
        <v>45716</v>
      </c>
      <c r="E1940" s="19" t="s">
        <v>20</v>
      </c>
      <c r="F1940" s="19" t="s">
        <v>26</v>
      </c>
      <c r="G1940" s="19" t="s">
        <v>21</v>
      </c>
      <c r="H1940" s="19" t="s">
        <v>28</v>
      </c>
      <c r="I1940" s="19">
        <v>48</v>
      </c>
      <c r="J1940" s="19">
        <v>0</v>
      </c>
      <c r="K1940" s="19">
        <v>4</v>
      </c>
      <c r="L1940" s="19" t="s">
        <v>8363</v>
      </c>
      <c r="M1940" s="21">
        <v>12.8</v>
      </c>
      <c r="N1940">
        <f t="shared" si="30"/>
        <v>1</v>
      </c>
    </row>
    <row r="1941" spans="1:14" x14ac:dyDescent="0.35">
      <c r="A1941" s="22" t="s">
        <v>2011</v>
      </c>
      <c r="B1941" s="23" t="s">
        <v>18</v>
      </c>
      <c r="C1941" s="23">
        <v>3</v>
      </c>
      <c r="D1941" s="24">
        <v>45726</v>
      </c>
      <c r="E1941" s="23" t="s">
        <v>13</v>
      </c>
      <c r="F1941" s="23" t="s">
        <v>14</v>
      </c>
      <c r="G1941" s="23" t="s">
        <v>15</v>
      </c>
      <c r="H1941" s="23" t="s">
        <v>32</v>
      </c>
      <c r="I1941" s="23">
        <v>72</v>
      </c>
      <c r="J1941" s="23">
        <v>0</v>
      </c>
      <c r="K1941" s="23">
        <v>3</v>
      </c>
      <c r="L1941" s="23" t="s">
        <v>62</v>
      </c>
      <c r="M1941" s="25">
        <v>3</v>
      </c>
      <c r="N1941">
        <f t="shared" si="30"/>
        <v>1</v>
      </c>
    </row>
    <row r="1942" spans="1:14" x14ac:dyDescent="0.35">
      <c r="A1942" s="6" t="s">
        <v>2012</v>
      </c>
      <c r="B1942" s="19" t="s">
        <v>23</v>
      </c>
      <c r="C1942" s="19">
        <v>8</v>
      </c>
      <c r="D1942" s="20">
        <v>45890</v>
      </c>
      <c r="E1942" s="19" t="s">
        <v>13</v>
      </c>
      <c r="F1942" s="19" t="s">
        <v>43</v>
      </c>
      <c r="G1942" s="19" t="s">
        <v>21</v>
      </c>
      <c r="H1942" s="19" t="s">
        <v>22</v>
      </c>
      <c r="I1942" s="19">
        <v>48</v>
      </c>
      <c r="J1942" s="19">
        <v>2</v>
      </c>
      <c r="K1942" s="19">
        <v>1</v>
      </c>
      <c r="L1942" s="19" t="s">
        <v>75</v>
      </c>
      <c r="M1942" s="21">
        <v>2.8</v>
      </c>
      <c r="N1942">
        <f t="shared" si="30"/>
        <v>1</v>
      </c>
    </row>
    <row r="1943" spans="1:14" x14ac:dyDescent="0.35">
      <c r="A1943" s="22" t="s">
        <v>2013</v>
      </c>
      <c r="B1943" s="23" t="s">
        <v>85</v>
      </c>
      <c r="C1943" s="23">
        <v>7</v>
      </c>
      <c r="D1943" s="24">
        <v>45858</v>
      </c>
      <c r="E1943" s="23" t="s">
        <v>20</v>
      </c>
      <c r="F1943" s="23" t="s">
        <v>14</v>
      </c>
      <c r="G1943" s="23" t="s">
        <v>21</v>
      </c>
      <c r="H1943" s="23" t="s">
        <v>28</v>
      </c>
      <c r="I1943" s="23">
        <v>8</v>
      </c>
      <c r="J1943" s="23">
        <v>0</v>
      </c>
      <c r="K1943" s="23">
        <v>4</v>
      </c>
      <c r="L1943" s="23" t="s">
        <v>17</v>
      </c>
      <c r="M1943" s="25">
        <v>5.3</v>
      </c>
      <c r="N1943">
        <f t="shared" si="30"/>
        <v>1</v>
      </c>
    </row>
    <row r="1944" spans="1:14" x14ac:dyDescent="0.35">
      <c r="A1944" s="6" t="s">
        <v>2014</v>
      </c>
      <c r="B1944" s="19" t="s">
        <v>236</v>
      </c>
      <c r="C1944" s="19">
        <v>9</v>
      </c>
      <c r="D1944" s="20">
        <v>45919</v>
      </c>
      <c r="E1944" s="19" t="s">
        <v>20</v>
      </c>
      <c r="F1944" s="19" t="s">
        <v>8364</v>
      </c>
      <c r="G1944" s="19" t="s">
        <v>21</v>
      </c>
      <c r="H1944" s="19" t="s">
        <v>8364</v>
      </c>
      <c r="I1944" s="19">
        <v>48</v>
      </c>
      <c r="J1944" s="19">
        <v>2</v>
      </c>
      <c r="K1944" s="19">
        <v>4</v>
      </c>
      <c r="L1944" s="19" t="s">
        <v>75</v>
      </c>
      <c r="M1944" s="21">
        <v>19.899999999999999</v>
      </c>
      <c r="N1944">
        <f t="shared" si="30"/>
        <v>1</v>
      </c>
    </row>
    <row r="1945" spans="1:14" x14ac:dyDescent="0.35">
      <c r="A1945" s="22" t="s">
        <v>2015</v>
      </c>
      <c r="B1945" s="23" t="s">
        <v>89</v>
      </c>
      <c r="C1945" s="23">
        <v>5</v>
      </c>
      <c r="D1945" s="24">
        <v>45789</v>
      </c>
      <c r="E1945" s="23" t="s">
        <v>8364</v>
      </c>
      <c r="F1945" s="23" t="s">
        <v>43</v>
      </c>
      <c r="G1945" s="23" t="s">
        <v>27</v>
      </c>
      <c r="H1945" s="23" t="s">
        <v>8364</v>
      </c>
      <c r="I1945" s="23">
        <v>4</v>
      </c>
      <c r="J1945" s="23">
        <v>0</v>
      </c>
      <c r="K1945" s="23">
        <v>4</v>
      </c>
      <c r="L1945" s="23" t="s">
        <v>33</v>
      </c>
      <c r="M1945" s="25">
        <v>17.399999999999999</v>
      </c>
      <c r="N1945">
        <f t="shared" si="30"/>
        <v>0</v>
      </c>
    </row>
    <row r="1946" spans="1:14" x14ac:dyDescent="0.35">
      <c r="A1946" s="6" t="s">
        <v>2016</v>
      </c>
      <c r="B1946" s="19" t="s">
        <v>49</v>
      </c>
      <c r="C1946" s="19">
        <v>7</v>
      </c>
      <c r="D1946" s="20">
        <v>45858</v>
      </c>
      <c r="E1946" s="19" t="s">
        <v>20</v>
      </c>
      <c r="F1946" s="19" t="s">
        <v>43</v>
      </c>
      <c r="G1946" s="19" t="s">
        <v>15</v>
      </c>
      <c r="H1946" s="19" t="s">
        <v>28</v>
      </c>
      <c r="I1946" s="19">
        <v>8</v>
      </c>
      <c r="J1946" s="19">
        <v>0</v>
      </c>
      <c r="K1946" s="19">
        <v>5</v>
      </c>
      <c r="L1946" s="19" t="s">
        <v>8363</v>
      </c>
      <c r="M1946" s="21">
        <v>22.9</v>
      </c>
      <c r="N1946">
        <f t="shared" si="30"/>
        <v>0</v>
      </c>
    </row>
    <row r="1947" spans="1:14" x14ac:dyDescent="0.35">
      <c r="A1947" s="22" t="s">
        <v>2017</v>
      </c>
      <c r="B1947" s="23" t="s">
        <v>41</v>
      </c>
      <c r="C1947" s="23">
        <v>11</v>
      </c>
      <c r="D1947" s="24">
        <v>45985</v>
      </c>
      <c r="E1947" s="23" t="s">
        <v>13</v>
      </c>
      <c r="F1947" s="23" t="s">
        <v>43</v>
      </c>
      <c r="G1947" s="23" t="s">
        <v>15</v>
      </c>
      <c r="H1947" s="23" t="s">
        <v>16</v>
      </c>
      <c r="I1947" s="23">
        <v>24</v>
      </c>
      <c r="J1947" s="23">
        <v>0</v>
      </c>
      <c r="K1947" s="23">
        <v>1</v>
      </c>
      <c r="L1947" s="23" t="s">
        <v>8363</v>
      </c>
      <c r="M1947" s="25">
        <v>10.6</v>
      </c>
      <c r="N1947">
        <f t="shared" si="30"/>
        <v>1</v>
      </c>
    </row>
    <row r="1948" spans="1:14" x14ac:dyDescent="0.35">
      <c r="A1948" s="6" t="s">
        <v>2018</v>
      </c>
      <c r="B1948" s="19" t="s">
        <v>23</v>
      </c>
      <c r="C1948" s="19">
        <v>8</v>
      </c>
      <c r="D1948" s="20">
        <v>45881</v>
      </c>
      <c r="E1948" s="19" t="s">
        <v>68</v>
      </c>
      <c r="F1948" s="19" t="s">
        <v>59</v>
      </c>
      <c r="G1948" s="19" t="s">
        <v>8364</v>
      </c>
      <c r="H1948" s="19" t="s">
        <v>28</v>
      </c>
      <c r="I1948" s="19">
        <v>4</v>
      </c>
      <c r="J1948" s="19">
        <v>1</v>
      </c>
      <c r="K1948" s="19">
        <v>4</v>
      </c>
      <c r="L1948" s="19" t="s">
        <v>17</v>
      </c>
      <c r="M1948" s="21">
        <v>6.9</v>
      </c>
      <c r="N1948">
        <f t="shared" si="30"/>
        <v>0</v>
      </c>
    </row>
    <row r="1949" spans="1:14" x14ac:dyDescent="0.35">
      <c r="A1949" s="22" t="s">
        <v>2019</v>
      </c>
      <c r="B1949" s="23" t="s">
        <v>69</v>
      </c>
      <c r="C1949" s="23">
        <v>10</v>
      </c>
      <c r="D1949" s="24">
        <v>45933</v>
      </c>
      <c r="E1949" s="23" t="s">
        <v>8364</v>
      </c>
      <c r="F1949" s="23" t="s">
        <v>40</v>
      </c>
      <c r="G1949" s="23" t="s">
        <v>31</v>
      </c>
      <c r="H1949" s="23" t="s">
        <v>22</v>
      </c>
      <c r="I1949" s="23">
        <v>72</v>
      </c>
      <c r="J1949" s="23">
        <v>0</v>
      </c>
      <c r="K1949" s="23">
        <v>2</v>
      </c>
      <c r="L1949" s="23" t="s">
        <v>38</v>
      </c>
      <c r="M1949" s="25">
        <v>28.5</v>
      </c>
      <c r="N1949">
        <f t="shared" si="30"/>
        <v>1</v>
      </c>
    </row>
    <row r="1950" spans="1:14" x14ac:dyDescent="0.35">
      <c r="A1950" s="6" t="s">
        <v>2020</v>
      </c>
      <c r="B1950" s="19" t="s">
        <v>158</v>
      </c>
      <c r="C1950" s="19">
        <v>4</v>
      </c>
      <c r="D1950" s="20">
        <v>45773</v>
      </c>
      <c r="E1950" s="19" t="s">
        <v>25</v>
      </c>
      <c r="F1950" s="19" t="s">
        <v>59</v>
      </c>
      <c r="G1950" s="19" t="s">
        <v>15</v>
      </c>
      <c r="H1950" s="19" t="s">
        <v>22</v>
      </c>
      <c r="I1950" s="19">
        <v>24</v>
      </c>
      <c r="J1950" s="19">
        <v>0</v>
      </c>
      <c r="K1950" s="19">
        <v>3</v>
      </c>
      <c r="L1950" s="19" t="s">
        <v>44</v>
      </c>
      <c r="M1950" s="21">
        <v>21.3</v>
      </c>
      <c r="N1950">
        <f t="shared" si="30"/>
        <v>1</v>
      </c>
    </row>
    <row r="1951" spans="1:14" x14ac:dyDescent="0.35">
      <c r="A1951" s="22" t="s">
        <v>2021</v>
      </c>
      <c r="B1951" s="23" t="s">
        <v>49</v>
      </c>
      <c r="C1951" s="23">
        <v>6</v>
      </c>
      <c r="D1951" s="24">
        <v>45818</v>
      </c>
      <c r="E1951" s="23" t="s">
        <v>25</v>
      </c>
      <c r="F1951" s="23" t="s">
        <v>43</v>
      </c>
      <c r="G1951" s="23" t="s">
        <v>21</v>
      </c>
      <c r="H1951" s="23" t="s">
        <v>16</v>
      </c>
      <c r="I1951" s="23">
        <v>48</v>
      </c>
      <c r="J1951" s="23">
        <v>0</v>
      </c>
      <c r="K1951" s="23">
        <v>5</v>
      </c>
      <c r="L1951" s="23" t="s">
        <v>55</v>
      </c>
      <c r="M1951" s="25">
        <v>10.4</v>
      </c>
      <c r="N1951">
        <f t="shared" si="30"/>
        <v>1</v>
      </c>
    </row>
    <row r="1952" spans="1:14" x14ac:dyDescent="0.35">
      <c r="A1952" s="6" t="s">
        <v>2022</v>
      </c>
      <c r="B1952" s="19" t="s">
        <v>47</v>
      </c>
      <c r="C1952" s="19">
        <v>7</v>
      </c>
      <c r="D1952" s="20">
        <v>45853</v>
      </c>
      <c r="E1952" s="19" t="s">
        <v>68</v>
      </c>
      <c r="F1952" s="19" t="s">
        <v>14</v>
      </c>
      <c r="G1952" s="19" t="s">
        <v>31</v>
      </c>
      <c r="H1952" s="19" t="s">
        <v>22</v>
      </c>
      <c r="I1952" s="19">
        <v>24</v>
      </c>
      <c r="J1952" s="19">
        <v>0</v>
      </c>
      <c r="K1952" s="19">
        <v>5</v>
      </c>
      <c r="L1952" s="19" t="s">
        <v>17</v>
      </c>
      <c r="M1952" s="21">
        <v>16.5</v>
      </c>
      <c r="N1952">
        <f t="shared" si="30"/>
        <v>1</v>
      </c>
    </row>
    <row r="1953" spans="1:14" x14ac:dyDescent="0.35">
      <c r="A1953" s="22" t="s">
        <v>2023</v>
      </c>
      <c r="B1953" s="23" t="s">
        <v>92</v>
      </c>
      <c r="C1953" s="23">
        <v>10</v>
      </c>
      <c r="D1953" s="24">
        <v>45949</v>
      </c>
      <c r="E1953" s="23" t="s">
        <v>20</v>
      </c>
      <c r="F1953" s="23" t="s">
        <v>14</v>
      </c>
      <c r="G1953" s="23" t="s">
        <v>27</v>
      </c>
      <c r="H1953" s="23" t="s">
        <v>22</v>
      </c>
      <c r="I1953" s="23">
        <v>8</v>
      </c>
      <c r="J1953" s="23">
        <v>0</v>
      </c>
      <c r="K1953" s="23">
        <v>4</v>
      </c>
      <c r="L1953" s="23" t="s">
        <v>8363</v>
      </c>
      <c r="M1953" s="25">
        <v>13.5</v>
      </c>
      <c r="N1953">
        <f t="shared" si="30"/>
        <v>0</v>
      </c>
    </row>
    <row r="1954" spans="1:14" x14ac:dyDescent="0.35">
      <c r="A1954" s="6" t="s">
        <v>2024</v>
      </c>
      <c r="B1954" s="19" t="s">
        <v>29</v>
      </c>
      <c r="C1954" s="19">
        <v>3</v>
      </c>
      <c r="D1954" s="20">
        <v>45737</v>
      </c>
      <c r="E1954" s="19" t="s">
        <v>68</v>
      </c>
      <c r="F1954" s="19" t="s">
        <v>37</v>
      </c>
      <c r="G1954" s="19" t="s">
        <v>27</v>
      </c>
      <c r="H1954" s="19" t="s">
        <v>32</v>
      </c>
      <c r="I1954" s="19">
        <v>72</v>
      </c>
      <c r="J1954" s="19">
        <v>0</v>
      </c>
      <c r="K1954" s="19">
        <v>4</v>
      </c>
      <c r="L1954" s="19" t="s">
        <v>33</v>
      </c>
      <c r="M1954" s="21">
        <v>15.5</v>
      </c>
      <c r="N1954">
        <f t="shared" si="30"/>
        <v>1</v>
      </c>
    </row>
    <row r="1955" spans="1:14" x14ac:dyDescent="0.35">
      <c r="A1955" s="22" t="s">
        <v>2025</v>
      </c>
      <c r="B1955" s="23" t="s">
        <v>130</v>
      </c>
      <c r="C1955" s="23">
        <v>2</v>
      </c>
      <c r="D1955" s="24">
        <v>45704</v>
      </c>
      <c r="E1955" s="23" t="s">
        <v>25</v>
      </c>
      <c r="F1955" s="23" t="s">
        <v>14</v>
      </c>
      <c r="G1955" s="23" t="s">
        <v>27</v>
      </c>
      <c r="H1955" s="23" t="s">
        <v>22</v>
      </c>
      <c r="I1955" s="23">
        <v>72</v>
      </c>
      <c r="J1955" s="23">
        <v>0</v>
      </c>
      <c r="K1955" s="23">
        <v>3</v>
      </c>
      <c r="L1955" s="23" t="s">
        <v>17</v>
      </c>
      <c r="M1955" s="25">
        <v>7.8</v>
      </c>
      <c r="N1955">
        <f t="shared" si="30"/>
        <v>1</v>
      </c>
    </row>
    <row r="1956" spans="1:14" x14ac:dyDescent="0.35">
      <c r="A1956" s="6" t="s">
        <v>2026</v>
      </c>
      <c r="B1956" s="19" t="s">
        <v>85</v>
      </c>
      <c r="C1956" s="19">
        <v>9</v>
      </c>
      <c r="D1956" s="20">
        <v>45913</v>
      </c>
      <c r="E1956" s="19" t="s">
        <v>36</v>
      </c>
      <c r="F1956" s="19" t="s">
        <v>8364</v>
      </c>
      <c r="G1956" s="19" t="s">
        <v>21</v>
      </c>
      <c r="H1956" s="19" t="s">
        <v>8364</v>
      </c>
      <c r="I1956" s="19">
        <v>4</v>
      </c>
      <c r="J1956" s="19">
        <v>0</v>
      </c>
      <c r="K1956" s="19">
        <v>3</v>
      </c>
      <c r="L1956" s="19" t="s">
        <v>44</v>
      </c>
      <c r="M1956" s="21">
        <v>20.399999999999999</v>
      </c>
      <c r="N1956">
        <f t="shared" si="30"/>
        <v>0</v>
      </c>
    </row>
    <row r="1957" spans="1:14" x14ac:dyDescent="0.35">
      <c r="A1957" s="22" t="s">
        <v>2027</v>
      </c>
      <c r="B1957" s="23" t="s">
        <v>57</v>
      </c>
      <c r="C1957" s="23">
        <v>3</v>
      </c>
      <c r="D1957" s="24">
        <v>45737</v>
      </c>
      <c r="E1957" s="23" t="s">
        <v>13</v>
      </c>
      <c r="F1957" s="23" t="s">
        <v>14</v>
      </c>
      <c r="G1957" s="23" t="s">
        <v>31</v>
      </c>
      <c r="H1957" s="23" t="s">
        <v>8364</v>
      </c>
      <c r="I1957" s="23">
        <v>4</v>
      </c>
      <c r="J1957" s="23">
        <v>0</v>
      </c>
      <c r="K1957" s="23">
        <v>5</v>
      </c>
      <c r="L1957" s="23" t="s">
        <v>17</v>
      </c>
      <c r="M1957" s="25">
        <v>15.7</v>
      </c>
      <c r="N1957">
        <f t="shared" si="30"/>
        <v>0</v>
      </c>
    </row>
    <row r="1958" spans="1:14" x14ac:dyDescent="0.35">
      <c r="A1958" s="6" t="s">
        <v>2028</v>
      </c>
      <c r="B1958" s="19" t="s">
        <v>18</v>
      </c>
      <c r="C1958" s="19">
        <v>8</v>
      </c>
      <c r="D1958" s="20">
        <v>45889</v>
      </c>
      <c r="E1958" s="19" t="s">
        <v>20</v>
      </c>
      <c r="F1958" s="19" t="s">
        <v>43</v>
      </c>
      <c r="G1958" s="19" t="s">
        <v>31</v>
      </c>
      <c r="H1958" s="19" t="s">
        <v>22</v>
      </c>
      <c r="I1958" s="19">
        <v>72</v>
      </c>
      <c r="J1958" s="19">
        <v>0</v>
      </c>
      <c r="K1958" s="19">
        <v>5</v>
      </c>
      <c r="L1958" s="19" t="s">
        <v>55</v>
      </c>
      <c r="M1958" s="21">
        <v>7.2</v>
      </c>
      <c r="N1958">
        <f t="shared" si="30"/>
        <v>1</v>
      </c>
    </row>
    <row r="1959" spans="1:14" x14ac:dyDescent="0.35">
      <c r="A1959" s="22" t="s">
        <v>2029</v>
      </c>
      <c r="B1959" s="23" t="s">
        <v>236</v>
      </c>
      <c r="C1959" s="23">
        <v>10</v>
      </c>
      <c r="D1959" s="24">
        <v>45954</v>
      </c>
      <c r="E1959" s="23" t="s">
        <v>36</v>
      </c>
      <c r="F1959" s="23" t="s">
        <v>43</v>
      </c>
      <c r="G1959" s="23" t="s">
        <v>8364</v>
      </c>
      <c r="H1959" s="23" t="s">
        <v>22</v>
      </c>
      <c r="I1959" s="23">
        <v>8</v>
      </c>
      <c r="J1959" s="23">
        <v>1</v>
      </c>
      <c r="K1959" s="23">
        <v>5</v>
      </c>
      <c r="L1959" s="23" t="s">
        <v>8363</v>
      </c>
      <c r="M1959" s="25">
        <v>18.399999999999999</v>
      </c>
      <c r="N1959">
        <f t="shared" si="30"/>
        <v>0</v>
      </c>
    </row>
    <row r="1960" spans="1:14" x14ac:dyDescent="0.35">
      <c r="A1960" s="6" t="s">
        <v>2030</v>
      </c>
      <c r="B1960" s="19" t="s">
        <v>53</v>
      </c>
      <c r="C1960" s="19"/>
      <c r="D1960" s="20"/>
      <c r="E1960" s="19" t="s">
        <v>13</v>
      </c>
      <c r="F1960" s="19" t="s">
        <v>43</v>
      </c>
      <c r="G1960" s="19" t="s">
        <v>27</v>
      </c>
      <c r="H1960" s="19" t="s">
        <v>22</v>
      </c>
      <c r="I1960" s="19">
        <v>4</v>
      </c>
      <c r="J1960" s="19">
        <v>0</v>
      </c>
      <c r="K1960" s="19">
        <v>5</v>
      </c>
      <c r="L1960" s="19" t="s">
        <v>44</v>
      </c>
      <c r="M1960" s="21">
        <v>27</v>
      </c>
      <c r="N1960">
        <f t="shared" si="30"/>
        <v>0</v>
      </c>
    </row>
    <row r="1961" spans="1:14" x14ac:dyDescent="0.35">
      <c r="A1961" s="22" t="s">
        <v>2031</v>
      </c>
      <c r="B1961" s="23" t="s">
        <v>65</v>
      </c>
      <c r="C1961" s="23">
        <v>2</v>
      </c>
      <c r="D1961" s="24">
        <v>45713</v>
      </c>
      <c r="E1961" s="23" t="s">
        <v>68</v>
      </c>
      <c r="F1961" s="23" t="s">
        <v>14</v>
      </c>
      <c r="G1961" s="23" t="s">
        <v>27</v>
      </c>
      <c r="H1961" s="23" t="s">
        <v>22</v>
      </c>
      <c r="I1961" s="23">
        <v>8</v>
      </c>
      <c r="J1961" s="23">
        <v>0</v>
      </c>
      <c r="K1961" s="23">
        <v>1</v>
      </c>
      <c r="L1961" s="23" t="s">
        <v>55</v>
      </c>
      <c r="M1961" s="25">
        <v>51.5</v>
      </c>
      <c r="N1961">
        <f t="shared" si="30"/>
        <v>0</v>
      </c>
    </row>
    <row r="1962" spans="1:14" x14ac:dyDescent="0.35">
      <c r="A1962" s="6" t="s">
        <v>2032</v>
      </c>
      <c r="B1962" s="19" t="s">
        <v>39</v>
      </c>
      <c r="C1962" s="19">
        <v>10</v>
      </c>
      <c r="D1962" s="20">
        <v>45959</v>
      </c>
      <c r="E1962" s="19" t="s">
        <v>68</v>
      </c>
      <c r="F1962" s="19" t="s">
        <v>26</v>
      </c>
      <c r="G1962" s="19" t="s">
        <v>31</v>
      </c>
      <c r="H1962" s="19" t="s">
        <v>8364</v>
      </c>
      <c r="I1962" s="19">
        <v>48</v>
      </c>
      <c r="J1962" s="19">
        <v>0</v>
      </c>
      <c r="K1962" s="19">
        <v>5</v>
      </c>
      <c r="L1962" s="19" t="s">
        <v>8363</v>
      </c>
      <c r="M1962" s="21">
        <v>9.6</v>
      </c>
      <c r="N1962">
        <f t="shared" si="30"/>
        <v>1</v>
      </c>
    </row>
    <row r="1963" spans="1:14" x14ac:dyDescent="0.35">
      <c r="A1963" s="22" t="s">
        <v>2033</v>
      </c>
      <c r="B1963" s="23" t="s">
        <v>236</v>
      </c>
      <c r="C1963" s="23">
        <v>3</v>
      </c>
      <c r="D1963" s="24">
        <v>45733</v>
      </c>
      <c r="E1963" s="23" t="s">
        <v>20</v>
      </c>
      <c r="F1963" s="23" t="s">
        <v>14</v>
      </c>
      <c r="G1963" s="23" t="s">
        <v>31</v>
      </c>
      <c r="H1963" s="23" t="s">
        <v>8364</v>
      </c>
      <c r="I1963" s="23">
        <v>48</v>
      </c>
      <c r="J1963" s="23">
        <v>0</v>
      </c>
      <c r="K1963" s="23">
        <v>4</v>
      </c>
      <c r="L1963" s="23" t="s">
        <v>17</v>
      </c>
      <c r="M1963" s="25">
        <v>17.7</v>
      </c>
      <c r="N1963">
        <f t="shared" si="30"/>
        <v>1</v>
      </c>
    </row>
    <row r="1964" spans="1:14" x14ac:dyDescent="0.35">
      <c r="A1964" s="6" t="s">
        <v>2034</v>
      </c>
      <c r="B1964" s="19" t="s">
        <v>29</v>
      </c>
      <c r="C1964" s="19">
        <v>8</v>
      </c>
      <c r="D1964" s="20">
        <v>45874</v>
      </c>
      <c r="E1964" s="19" t="s">
        <v>68</v>
      </c>
      <c r="F1964" s="19" t="s">
        <v>26</v>
      </c>
      <c r="G1964" s="19" t="s">
        <v>8364</v>
      </c>
      <c r="H1964" s="19" t="s">
        <v>32</v>
      </c>
      <c r="I1964" s="19">
        <v>72</v>
      </c>
      <c r="J1964" s="19">
        <v>1</v>
      </c>
      <c r="K1964" s="19">
        <v>4</v>
      </c>
      <c r="L1964" s="19" t="s">
        <v>8363</v>
      </c>
      <c r="M1964" s="21">
        <v>6.5</v>
      </c>
      <c r="N1964">
        <f t="shared" si="30"/>
        <v>1</v>
      </c>
    </row>
    <row r="1965" spans="1:14" x14ac:dyDescent="0.35">
      <c r="A1965" s="22" t="s">
        <v>2035</v>
      </c>
      <c r="B1965" s="23" t="s">
        <v>41</v>
      </c>
      <c r="C1965" s="23">
        <v>7</v>
      </c>
      <c r="D1965" s="24">
        <v>45843</v>
      </c>
      <c r="E1965" s="23" t="s">
        <v>68</v>
      </c>
      <c r="F1965" s="23" t="s">
        <v>37</v>
      </c>
      <c r="G1965" s="23" t="s">
        <v>27</v>
      </c>
      <c r="H1965" s="23" t="s">
        <v>32</v>
      </c>
      <c r="I1965" s="23">
        <v>24</v>
      </c>
      <c r="J1965" s="23">
        <v>0</v>
      </c>
      <c r="K1965" s="23">
        <v>5</v>
      </c>
      <c r="L1965" s="23" t="s">
        <v>17</v>
      </c>
      <c r="M1965" s="25">
        <v>42.8</v>
      </c>
      <c r="N1965">
        <f t="shared" si="30"/>
        <v>0</v>
      </c>
    </row>
    <row r="1966" spans="1:14" x14ac:dyDescent="0.35">
      <c r="A1966" s="6" t="s">
        <v>2036</v>
      </c>
      <c r="B1966" s="19" t="s">
        <v>126</v>
      </c>
      <c r="C1966" s="19">
        <v>8</v>
      </c>
      <c r="D1966" s="20">
        <v>45892</v>
      </c>
      <c r="E1966" s="19" t="s">
        <v>25</v>
      </c>
      <c r="F1966" s="19" t="s">
        <v>14</v>
      </c>
      <c r="G1966" s="19" t="s">
        <v>21</v>
      </c>
      <c r="H1966" s="19" t="s">
        <v>22</v>
      </c>
      <c r="I1966" s="19">
        <v>8</v>
      </c>
      <c r="J1966" s="19">
        <v>1</v>
      </c>
      <c r="K1966" s="19"/>
      <c r="L1966" s="19" t="s">
        <v>17</v>
      </c>
      <c r="M1966" s="21">
        <v>28.5</v>
      </c>
      <c r="N1966">
        <f t="shared" si="30"/>
        <v>0</v>
      </c>
    </row>
    <row r="1967" spans="1:14" x14ac:dyDescent="0.35">
      <c r="A1967" s="22" t="s">
        <v>2037</v>
      </c>
      <c r="B1967" s="23" t="s">
        <v>99</v>
      </c>
      <c r="C1967" s="23">
        <v>12</v>
      </c>
      <c r="D1967" s="24">
        <v>46018</v>
      </c>
      <c r="E1967" s="23" t="s">
        <v>25</v>
      </c>
      <c r="F1967" s="23" t="s">
        <v>14</v>
      </c>
      <c r="G1967" s="23" t="s">
        <v>31</v>
      </c>
      <c r="H1967" s="23" t="s">
        <v>8364</v>
      </c>
      <c r="I1967" s="23">
        <v>4</v>
      </c>
      <c r="J1967" s="23">
        <v>0</v>
      </c>
      <c r="K1967" s="23">
        <v>1</v>
      </c>
      <c r="L1967" s="23" t="s">
        <v>17</v>
      </c>
      <c r="M1967" s="25">
        <v>1.6</v>
      </c>
      <c r="N1967">
        <f t="shared" si="30"/>
        <v>1</v>
      </c>
    </row>
    <row r="1968" spans="1:14" x14ac:dyDescent="0.35">
      <c r="A1968" s="6" t="s">
        <v>2038</v>
      </c>
      <c r="B1968" s="19" t="s">
        <v>65</v>
      </c>
      <c r="C1968" s="19"/>
      <c r="D1968" s="20"/>
      <c r="E1968" s="19" t="s">
        <v>25</v>
      </c>
      <c r="F1968" s="19" t="s">
        <v>43</v>
      </c>
      <c r="G1968" s="19" t="s">
        <v>15</v>
      </c>
      <c r="H1968" s="19" t="s">
        <v>32</v>
      </c>
      <c r="I1968" s="19">
        <v>72</v>
      </c>
      <c r="J1968" s="19"/>
      <c r="K1968" s="19">
        <v>4</v>
      </c>
      <c r="L1968" s="19" t="s">
        <v>8363</v>
      </c>
      <c r="M1968" s="21">
        <v>6.4</v>
      </c>
      <c r="N1968">
        <f t="shared" si="30"/>
        <v>1</v>
      </c>
    </row>
    <row r="1969" spans="1:14" x14ac:dyDescent="0.35">
      <c r="A1969" s="22" t="s">
        <v>2039</v>
      </c>
      <c r="B1969" s="23" t="s">
        <v>143</v>
      </c>
      <c r="C1969" s="23">
        <v>7</v>
      </c>
      <c r="D1969" s="24">
        <v>45846</v>
      </c>
      <c r="E1969" s="23" t="s">
        <v>36</v>
      </c>
      <c r="F1969" s="23" t="s">
        <v>8364</v>
      </c>
      <c r="G1969" s="23" t="s">
        <v>31</v>
      </c>
      <c r="H1969" s="23" t="s">
        <v>32</v>
      </c>
      <c r="I1969" s="23">
        <v>48</v>
      </c>
      <c r="J1969" s="23">
        <v>3</v>
      </c>
      <c r="K1969" s="23">
        <v>5</v>
      </c>
      <c r="L1969" s="23" t="s">
        <v>8363</v>
      </c>
      <c r="M1969" s="25"/>
      <c r="N1969">
        <f t="shared" si="30"/>
        <v>1</v>
      </c>
    </row>
    <row r="1970" spans="1:14" x14ac:dyDescent="0.35">
      <c r="A1970" s="6" t="s">
        <v>2040</v>
      </c>
      <c r="B1970" s="19" t="s">
        <v>89</v>
      </c>
      <c r="C1970" s="19">
        <v>2</v>
      </c>
      <c r="D1970" s="20">
        <v>45711</v>
      </c>
      <c r="E1970" s="19" t="s">
        <v>25</v>
      </c>
      <c r="F1970" s="19" t="s">
        <v>43</v>
      </c>
      <c r="G1970" s="19" t="s">
        <v>21</v>
      </c>
      <c r="H1970" s="19" t="s">
        <v>22</v>
      </c>
      <c r="I1970" s="19">
        <v>48</v>
      </c>
      <c r="J1970" s="19">
        <v>0</v>
      </c>
      <c r="K1970" s="19">
        <v>5</v>
      </c>
      <c r="L1970" s="19" t="s">
        <v>38</v>
      </c>
      <c r="M1970" s="21">
        <v>5.4</v>
      </c>
      <c r="N1970">
        <f t="shared" si="30"/>
        <v>1</v>
      </c>
    </row>
    <row r="1971" spans="1:14" x14ac:dyDescent="0.35">
      <c r="A1971" s="22" t="s">
        <v>2041</v>
      </c>
      <c r="B1971" s="23" t="s">
        <v>236</v>
      </c>
      <c r="C1971" s="23"/>
      <c r="D1971" s="24"/>
      <c r="E1971" s="23" t="s">
        <v>13</v>
      </c>
      <c r="F1971" s="23" t="s">
        <v>43</v>
      </c>
      <c r="G1971" s="23" t="s">
        <v>21</v>
      </c>
      <c r="H1971" s="23" t="s">
        <v>28</v>
      </c>
      <c r="I1971" s="23">
        <v>72</v>
      </c>
      <c r="J1971" s="23">
        <v>0</v>
      </c>
      <c r="K1971" s="23">
        <v>5</v>
      </c>
      <c r="L1971" s="23" t="s">
        <v>38</v>
      </c>
      <c r="M1971" s="25">
        <v>2.2000000000000002</v>
      </c>
      <c r="N1971">
        <f t="shared" si="30"/>
        <v>1</v>
      </c>
    </row>
    <row r="1972" spans="1:14" x14ac:dyDescent="0.35">
      <c r="A1972" s="6" t="s">
        <v>2042</v>
      </c>
      <c r="B1972" s="19" t="s">
        <v>51</v>
      </c>
      <c r="C1972" s="19">
        <v>2</v>
      </c>
      <c r="D1972" s="20">
        <v>45712</v>
      </c>
      <c r="E1972" s="19" t="s">
        <v>8364</v>
      </c>
      <c r="F1972" s="19" t="s">
        <v>59</v>
      </c>
      <c r="G1972" s="19" t="s">
        <v>15</v>
      </c>
      <c r="H1972" s="19" t="s">
        <v>32</v>
      </c>
      <c r="I1972" s="19">
        <v>8</v>
      </c>
      <c r="J1972" s="19">
        <v>3</v>
      </c>
      <c r="K1972" s="19"/>
      <c r="L1972" s="19" t="s">
        <v>55</v>
      </c>
      <c r="M1972" s="21">
        <v>8.4</v>
      </c>
      <c r="N1972">
        <f t="shared" si="30"/>
        <v>0</v>
      </c>
    </row>
    <row r="1973" spans="1:14" x14ac:dyDescent="0.35">
      <c r="A1973" s="22" t="s">
        <v>2043</v>
      </c>
      <c r="B1973" s="23" t="s">
        <v>130</v>
      </c>
      <c r="C1973" s="23">
        <v>7</v>
      </c>
      <c r="D1973" s="24">
        <v>45839</v>
      </c>
      <c r="E1973" s="23" t="s">
        <v>20</v>
      </c>
      <c r="F1973" s="23" t="s">
        <v>43</v>
      </c>
      <c r="G1973" s="23" t="s">
        <v>27</v>
      </c>
      <c r="H1973" s="23" t="s">
        <v>22</v>
      </c>
      <c r="I1973" s="23">
        <v>8</v>
      </c>
      <c r="J1973" s="23">
        <v>0</v>
      </c>
      <c r="K1973" s="23">
        <v>3</v>
      </c>
      <c r="L1973" s="23" t="s">
        <v>38</v>
      </c>
      <c r="M1973" s="25">
        <v>1.2</v>
      </c>
      <c r="N1973">
        <f t="shared" si="30"/>
        <v>1</v>
      </c>
    </row>
    <row r="1974" spans="1:14" x14ac:dyDescent="0.35">
      <c r="A1974" s="6" t="s">
        <v>2044</v>
      </c>
      <c r="B1974" s="19" t="s">
        <v>130</v>
      </c>
      <c r="C1974" s="19">
        <v>1</v>
      </c>
      <c r="D1974" s="20">
        <v>45670</v>
      </c>
      <c r="E1974" s="19" t="s">
        <v>13</v>
      </c>
      <c r="F1974" s="19" t="s">
        <v>14</v>
      </c>
      <c r="G1974" s="19" t="s">
        <v>8364</v>
      </c>
      <c r="H1974" s="19" t="s">
        <v>22</v>
      </c>
      <c r="I1974" s="19">
        <v>8</v>
      </c>
      <c r="J1974" s="19">
        <v>0</v>
      </c>
      <c r="K1974" s="19">
        <v>3</v>
      </c>
      <c r="L1974" s="19" t="s">
        <v>38</v>
      </c>
      <c r="M1974" s="21">
        <v>2.2999999999999998</v>
      </c>
      <c r="N1974">
        <f t="shared" si="30"/>
        <v>1</v>
      </c>
    </row>
    <row r="1975" spans="1:14" x14ac:dyDescent="0.35">
      <c r="A1975" s="22" t="s">
        <v>2045</v>
      </c>
      <c r="B1975" s="23" t="s">
        <v>65</v>
      </c>
      <c r="C1975" s="23">
        <v>9</v>
      </c>
      <c r="D1975" s="24">
        <v>45926</v>
      </c>
      <c r="E1975" s="23" t="s">
        <v>13</v>
      </c>
      <c r="F1975" s="23" t="s">
        <v>8364</v>
      </c>
      <c r="G1975" s="23" t="s">
        <v>15</v>
      </c>
      <c r="H1975" s="23" t="s">
        <v>22</v>
      </c>
      <c r="I1975" s="23">
        <v>48</v>
      </c>
      <c r="J1975" s="23">
        <v>0</v>
      </c>
      <c r="K1975" s="23">
        <v>4</v>
      </c>
      <c r="L1975" s="23" t="s">
        <v>38</v>
      </c>
      <c r="M1975" s="25">
        <v>11.4</v>
      </c>
      <c r="N1975">
        <f t="shared" si="30"/>
        <v>1</v>
      </c>
    </row>
    <row r="1976" spans="1:14" x14ac:dyDescent="0.35">
      <c r="A1976" s="6" t="s">
        <v>2046</v>
      </c>
      <c r="B1976" s="19" t="s">
        <v>108</v>
      </c>
      <c r="C1976" s="19">
        <v>10</v>
      </c>
      <c r="D1976" s="20">
        <v>45933</v>
      </c>
      <c r="E1976" s="19" t="s">
        <v>20</v>
      </c>
      <c r="F1976" s="19" t="s">
        <v>8364</v>
      </c>
      <c r="G1976" s="19" t="s">
        <v>8364</v>
      </c>
      <c r="H1976" s="19" t="s">
        <v>22</v>
      </c>
      <c r="I1976" s="19">
        <v>24</v>
      </c>
      <c r="J1976" s="19">
        <v>0</v>
      </c>
      <c r="K1976" s="19">
        <v>4</v>
      </c>
      <c r="L1976" s="19" t="s">
        <v>33</v>
      </c>
      <c r="M1976" s="21">
        <v>3</v>
      </c>
      <c r="N1976">
        <f t="shared" si="30"/>
        <v>1</v>
      </c>
    </row>
    <row r="1977" spans="1:14" x14ac:dyDescent="0.35">
      <c r="A1977" s="22" t="s">
        <v>2047</v>
      </c>
      <c r="B1977" s="23" t="s">
        <v>69</v>
      </c>
      <c r="C1977" s="23">
        <v>1</v>
      </c>
      <c r="D1977" s="24">
        <v>45686</v>
      </c>
      <c r="E1977" s="23" t="s">
        <v>13</v>
      </c>
      <c r="F1977" s="23" t="s">
        <v>14</v>
      </c>
      <c r="G1977" s="23" t="s">
        <v>27</v>
      </c>
      <c r="H1977" s="23" t="s">
        <v>22</v>
      </c>
      <c r="I1977" s="23">
        <v>4</v>
      </c>
      <c r="J1977" s="23">
        <v>0</v>
      </c>
      <c r="K1977" s="23">
        <v>5</v>
      </c>
      <c r="L1977" s="23" t="s">
        <v>62</v>
      </c>
      <c r="M1977" s="25">
        <v>21.2</v>
      </c>
      <c r="N1977">
        <f t="shared" si="30"/>
        <v>0</v>
      </c>
    </row>
    <row r="1978" spans="1:14" x14ac:dyDescent="0.35">
      <c r="A1978" s="6" t="s">
        <v>2048</v>
      </c>
      <c r="B1978" s="19" t="s">
        <v>89</v>
      </c>
      <c r="C1978" s="19">
        <v>9</v>
      </c>
      <c r="D1978" s="20">
        <v>45921</v>
      </c>
      <c r="E1978" s="19" t="s">
        <v>68</v>
      </c>
      <c r="F1978" s="19" t="s">
        <v>43</v>
      </c>
      <c r="G1978" s="19" t="s">
        <v>31</v>
      </c>
      <c r="H1978" s="19" t="s">
        <v>16</v>
      </c>
      <c r="I1978" s="19">
        <v>24</v>
      </c>
      <c r="J1978" s="19">
        <v>0</v>
      </c>
      <c r="K1978" s="19">
        <v>2</v>
      </c>
      <c r="L1978" s="19" t="s">
        <v>55</v>
      </c>
      <c r="M1978" s="21">
        <v>8.1</v>
      </c>
      <c r="N1978">
        <f t="shared" si="30"/>
        <v>1</v>
      </c>
    </row>
    <row r="1979" spans="1:14" x14ac:dyDescent="0.35">
      <c r="A1979" s="22" t="s">
        <v>2049</v>
      </c>
      <c r="B1979" s="23" t="s">
        <v>57</v>
      </c>
      <c r="C1979" s="23">
        <v>11</v>
      </c>
      <c r="D1979" s="24">
        <v>45980</v>
      </c>
      <c r="E1979" s="23" t="s">
        <v>13</v>
      </c>
      <c r="F1979" s="23" t="s">
        <v>26</v>
      </c>
      <c r="G1979" s="23" t="s">
        <v>21</v>
      </c>
      <c r="H1979" s="23" t="s">
        <v>22</v>
      </c>
      <c r="I1979" s="23">
        <v>24</v>
      </c>
      <c r="J1979" s="23">
        <v>0</v>
      </c>
      <c r="K1979" s="23">
        <v>1</v>
      </c>
      <c r="L1979" s="23" t="s">
        <v>75</v>
      </c>
      <c r="M1979" s="25">
        <v>29.1</v>
      </c>
      <c r="N1979">
        <f t="shared" si="30"/>
        <v>0</v>
      </c>
    </row>
    <row r="1980" spans="1:14" x14ac:dyDescent="0.35">
      <c r="A1980" s="6" t="s">
        <v>2050</v>
      </c>
      <c r="B1980" s="19" t="s">
        <v>47</v>
      </c>
      <c r="C1980" s="19">
        <v>4</v>
      </c>
      <c r="D1980" s="20">
        <v>45755</v>
      </c>
      <c r="E1980" s="19" t="s">
        <v>68</v>
      </c>
      <c r="F1980" s="19" t="s">
        <v>43</v>
      </c>
      <c r="G1980" s="19" t="s">
        <v>15</v>
      </c>
      <c r="H1980" s="19" t="s">
        <v>8364</v>
      </c>
      <c r="I1980" s="19">
        <v>24</v>
      </c>
      <c r="J1980" s="19">
        <v>0</v>
      </c>
      <c r="K1980" s="19">
        <v>2</v>
      </c>
      <c r="L1980" s="19" t="s">
        <v>62</v>
      </c>
      <c r="M1980" s="21">
        <v>2.5</v>
      </c>
      <c r="N1980">
        <f t="shared" si="30"/>
        <v>1</v>
      </c>
    </row>
    <row r="1981" spans="1:14" x14ac:dyDescent="0.35">
      <c r="A1981" s="22" t="s">
        <v>2051</v>
      </c>
      <c r="B1981" s="23" t="s">
        <v>85</v>
      </c>
      <c r="C1981" s="23">
        <v>11</v>
      </c>
      <c r="D1981" s="24">
        <v>45975</v>
      </c>
      <c r="E1981" s="23" t="s">
        <v>25</v>
      </c>
      <c r="F1981" s="23" t="s">
        <v>14</v>
      </c>
      <c r="G1981" s="23" t="s">
        <v>31</v>
      </c>
      <c r="H1981" s="23" t="s">
        <v>32</v>
      </c>
      <c r="I1981" s="23">
        <v>48</v>
      </c>
      <c r="J1981" s="23">
        <v>0</v>
      </c>
      <c r="K1981" s="23">
        <v>5</v>
      </c>
      <c r="L1981" s="23" t="s">
        <v>55</v>
      </c>
      <c r="M1981" s="25">
        <v>10.8</v>
      </c>
      <c r="N1981">
        <f t="shared" si="30"/>
        <v>1</v>
      </c>
    </row>
    <row r="1982" spans="1:14" x14ac:dyDescent="0.35">
      <c r="A1982" s="6" t="s">
        <v>2052</v>
      </c>
      <c r="B1982" s="19" t="s">
        <v>146</v>
      </c>
      <c r="C1982" s="19"/>
      <c r="D1982" s="20"/>
      <c r="E1982" s="19" t="s">
        <v>13</v>
      </c>
      <c r="F1982" s="19" t="s">
        <v>43</v>
      </c>
      <c r="G1982" s="19" t="s">
        <v>15</v>
      </c>
      <c r="H1982" s="19" t="s">
        <v>22</v>
      </c>
      <c r="I1982" s="19">
        <v>4</v>
      </c>
      <c r="J1982" s="19">
        <v>1</v>
      </c>
      <c r="K1982" s="19">
        <v>4</v>
      </c>
      <c r="L1982" s="19" t="s">
        <v>17</v>
      </c>
      <c r="M1982" s="21">
        <v>11.2</v>
      </c>
      <c r="N1982">
        <f t="shared" si="30"/>
        <v>0</v>
      </c>
    </row>
    <row r="1983" spans="1:14" x14ac:dyDescent="0.35">
      <c r="A1983" s="22" t="s">
        <v>2053</v>
      </c>
      <c r="B1983" s="23" t="s">
        <v>65</v>
      </c>
      <c r="C1983" s="23">
        <v>2</v>
      </c>
      <c r="D1983" s="24">
        <v>45699</v>
      </c>
      <c r="E1983" s="23" t="s">
        <v>25</v>
      </c>
      <c r="F1983" s="23" t="s">
        <v>43</v>
      </c>
      <c r="G1983" s="23" t="s">
        <v>21</v>
      </c>
      <c r="H1983" s="23" t="s">
        <v>32</v>
      </c>
      <c r="I1983" s="23">
        <v>48</v>
      </c>
      <c r="J1983" s="23">
        <v>0</v>
      </c>
      <c r="K1983" s="23">
        <v>5</v>
      </c>
      <c r="L1983" s="23" t="s">
        <v>17</v>
      </c>
      <c r="M1983" s="25">
        <v>4.7</v>
      </c>
      <c r="N1983">
        <f t="shared" si="30"/>
        <v>1</v>
      </c>
    </row>
    <row r="1984" spans="1:14" x14ac:dyDescent="0.35">
      <c r="A1984" s="6" t="s">
        <v>2054</v>
      </c>
      <c r="B1984" s="19" t="s">
        <v>41</v>
      </c>
      <c r="C1984" s="19">
        <v>11</v>
      </c>
      <c r="D1984" s="20">
        <v>45988</v>
      </c>
      <c r="E1984" s="19" t="s">
        <v>36</v>
      </c>
      <c r="F1984" s="19" t="s">
        <v>59</v>
      </c>
      <c r="G1984" s="19" t="s">
        <v>21</v>
      </c>
      <c r="H1984" s="19" t="s">
        <v>32</v>
      </c>
      <c r="I1984" s="19">
        <v>4</v>
      </c>
      <c r="J1984" s="19">
        <v>0</v>
      </c>
      <c r="K1984" s="19">
        <v>5</v>
      </c>
      <c r="L1984" s="19" t="s">
        <v>8363</v>
      </c>
      <c r="M1984" s="21">
        <v>11.9</v>
      </c>
      <c r="N1984">
        <f t="shared" si="30"/>
        <v>0</v>
      </c>
    </row>
    <row r="1985" spans="1:14" x14ac:dyDescent="0.35">
      <c r="A1985" s="22" t="s">
        <v>2055</v>
      </c>
      <c r="B1985" s="23" t="s">
        <v>89</v>
      </c>
      <c r="C1985" s="23">
        <v>10</v>
      </c>
      <c r="D1985" s="24">
        <v>45931</v>
      </c>
      <c r="E1985" s="23" t="s">
        <v>13</v>
      </c>
      <c r="F1985" s="23" t="s">
        <v>37</v>
      </c>
      <c r="G1985" s="23" t="s">
        <v>8364</v>
      </c>
      <c r="H1985" s="23" t="s">
        <v>22</v>
      </c>
      <c r="I1985" s="23">
        <v>8</v>
      </c>
      <c r="J1985" s="23">
        <v>2</v>
      </c>
      <c r="K1985" s="23">
        <v>4</v>
      </c>
      <c r="L1985" s="23" t="s">
        <v>75</v>
      </c>
      <c r="M1985" s="25">
        <v>7.7</v>
      </c>
      <c r="N1985">
        <f t="shared" si="30"/>
        <v>1</v>
      </c>
    </row>
    <row r="1986" spans="1:14" x14ac:dyDescent="0.35">
      <c r="A1986" s="6" t="s">
        <v>2056</v>
      </c>
      <c r="B1986" s="19" t="s">
        <v>23</v>
      </c>
      <c r="C1986" s="19">
        <v>8</v>
      </c>
      <c r="D1986" s="20">
        <v>45897</v>
      </c>
      <c r="E1986" s="19" t="s">
        <v>25</v>
      </c>
      <c r="F1986" s="19" t="s">
        <v>43</v>
      </c>
      <c r="G1986" s="19" t="s">
        <v>31</v>
      </c>
      <c r="H1986" s="19" t="s">
        <v>28</v>
      </c>
      <c r="I1986" s="19">
        <v>4</v>
      </c>
      <c r="J1986" s="19">
        <v>0</v>
      </c>
      <c r="K1986" s="19">
        <v>4</v>
      </c>
      <c r="L1986" s="19" t="s">
        <v>75</v>
      </c>
      <c r="M1986" s="21">
        <v>3.3</v>
      </c>
      <c r="N1986">
        <f t="shared" si="30"/>
        <v>1</v>
      </c>
    </row>
    <row r="1987" spans="1:14" x14ac:dyDescent="0.35">
      <c r="A1987" s="22" t="s">
        <v>2057</v>
      </c>
      <c r="B1987" s="23" t="s">
        <v>49</v>
      </c>
      <c r="C1987" s="23">
        <v>5</v>
      </c>
      <c r="D1987" s="24">
        <v>45778</v>
      </c>
      <c r="E1987" s="23" t="s">
        <v>8364</v>
      </c>
      <c r="F1987" s="23" t="s">
        <v>37</v>
      </c>
      <c r="G1987" s="23" t="s">
        <v>27</v>
      </c>
      <c r="H1987" s="23" t="s">
        <v>28</v>
      </c>
      <c r="I1987" s="23">
        <v>8</v>
      </c>
      <c r="J1987" s="23">
        <v>0</v>
      </c>
      <c r="K1987" s="23">
        <v>2</v>
      </c>
      <c r="L1987" s="23" t="s">
        <v>33</v>
      </c>
      <c r="M1987" s="25">
        <v>8.1999999999999993</v>
      </c>
      <c r="N1987">
        <f t="shared" ref="N1987:N2050" si="31">IF(M1987 &lt;= I1987, 1, 0)</f>
        <v>0</v>
      </c>
    </row>
    <row r="1988" spans="1:14" x14ac:dyDescent="0.35">
      <c r="A1988" s="6" t="s">
        <v>2058</v>
      </c>
      <c r="B1988" s="19" t="s">
        <v>253</v>
      </c>
      <c r="C1988" s="19">
        <v>3</v>
      </c>
      <c r="D1988" s="20">
        <v>45721</v>
      </c>
      <c r="E1988" s="19" t="s">
        <v>25</v>
      </c>
      <c r="F1988" s="19" t="s">
        <v>43</v>
      </c>
      <c r="G1988" s="19" t="s">
        <v>27</v>
      </c>
      <c r="H1988" s="19" t="s">
        <v>32</v>
      </c>
      <c r="I1988" s="19">
        <v>48</v>
      </c>
      <c r="J1988" s="19">
        <v>0</v>
      </c>
      <c r="K1988" s="19"/>
      <c r="L1988" s="19" t="s">
        <v>55</v>
      </c>
      <c r="M1988" s="21">
        <v>6.8</v>
      </c>
      <c r="N1988">
        <f t="shared" si="31"/>
        <v>1</v>
      </c>
    </row>
    <row r="1989" spans="1:14" x14ac:dyDescent="0.35">
      <c r="A1989" s="22" t="s">
        <v>2059</v>
      </c>
      <c r="B1989" s="23" t="s">
        <v>130</v>
      </c>
      <c r="C1989" s="23"/>
      <c r="D1989" s="24"/>
      <c r="E1989" s="23" t="s">
        <v>13</v>
      </c>
      <c r="F1989" s="23" t="s">
        <v>43</v>
      </c>
      <c r="G1989" s="23" t="s">
        <v>15</v>
      </c>
      <c r="H1989" s="23" t="s">
        <v>22</v>
      </c>
      <c r="I1989" s="23">
        <v>72</v>
      </c>
      <c r="J1989" s="23">
        <v>0</v>
      </c>
      <c r="K1989" s="23">
        <v>4</v>
      </c>
      <c r="L1989" s="23" t="s">
        <v>17</v>
      </c>
      <c r="M1989" s="25">
        <v>7.4</v>
      </c>
      <c r="N1989">
        <f t="shared" si="31"/>
        <v>1</v>
      </c>
    </row>
    <row r="1990" spans="1:14" x14ac:dyDescent="0.35">
      <c r="A1990" s="6" t="s">
        <v>2060</v>
      </c>
      <c r="B1990" s="19" t="s">
        <v>108</v>
      </c>
      <c r="C1990" s="19">
        <v>3</v>
      </c>
      <c r="D1990" s="20">
        <v>45745</v>
      </c>
      <c r="E1990" s="19" t="s">
        <v>8364</v>
      </c>
      <c r="F1990" s="19" t="s">
        <v>26</v>
      </c>
      <c r="G1990" s="19" t="s">
        <v>15</v>
      </c>
      <c r="H1990" s="19" t="s">
        <v>22</v>
      </c>
      <c r="I1990" s="19">
        <v>4</v>
      </c>
      <c r="J1990" s="19">
        <v>2</v>
      </c>
      <c r="K1990" s="19">
        <v>3</v>
      </c>
      <c r="L1990" s="19" t="s">
        <v>33</v>
      </c>
      <c r="M1990" s="21"/>
      <c r="N1990">
        <f t="shared" si="31"/>
        <v>1</v>
      </c>
    </row>
    <row r="1991" spans="1:14" x14ac:dyDescent="0.35">
      <c r="A1991" s="22" t="s">
        <v>2061</v>
      </c>
      <c r="B1991" s="23" t="s">
        <v>45</v>
      </c>
      <c r="C1991" s="23">
        <v>4</v>
      </c>
      <c r="D1991" s="24">
        <v>45762</v>
      </c>
      <c r="E1991" s="23" t="s">
        <v>25</v>
      </c>
      <c r="F1991" s="23" t="s">
        <v>14</v>
      </c>
      <c r="G1991" s="23" t="s">
        <v>27</v>
      </c>
      <c r="H1991" s="23" t="s">
        <v>8364</v>
      </c>
      <c r="I1991" s="23">
        <v>24</v>
      </c>
      <c r="J1991" s="23">
        <v>0</v>
      </c>
      <c r="K1991" s="23">
        <v>5</v>
      </c>
      <c r="L1991" s="23" t="s">
        <v>17</v>
      </c>
      <c r="M1991" s="25">
        <v>4.5</v>
      </c>
      <c r="N1991">
        <f t="shared" si="31"/>
        <v>1</v>
      </c>
    </row>
    <row r="1992" spans="1:14" x14ac:dyDescent="0.35">
      <c r="A1992" s="6" t="s">
        <v>2062</v>
      </c>
      <c r="B1992" s="19" t="s">
        <v>18</v>
      </c>
      <c r="C1992" s="19">
        <v>5</v>
      </c>
      <c r="D1992" s="20">
        <v>45788</v>
      </c>
      <c r="E1992" s="19" t="s">
        <v>25</v>
      </c>
      <c r="F1992" s="19" t="s">
        <v>14</v>
      </c>
      <c r="G1992" s="19" t="s">
        <v>27</v>
      </c>
      <c r="H1992" s="19" t="s">
        <v>28</v>
      </c>
      <c r="I1992" s="19">
        <v>24</v>
      </c>
      <c r="J1992" s="19">
        <v>0</v>
      </c>
      <c r="K1992" s="19">
        <v>5</v>
      </c>
      <c r="L1992" s="19" t="s">
        <v>8363</v>
      </c>
      <c r="M1992" s="21">
        <v>9.8000000000000007</v>
      </c>
      <c r="N1992">
        <f t="shared" si="31"/>
        <v>1</v>
      </c>
    </row>
    <row r="1993" spans="1:14" x14ac:dyDescent="0.35">
      <c r="A1993" s="22" t="s">
        <v>2063</v>
      </c>
      <c r="B1993" s="23" t="s">
        <v>101</v>
      </c>
      <c r="C1993" s="23">
        <v>5</v>
      </c>
      <c r="D1993" s="24">
        <v>45783</v>
      </c>
      <c r="E1993" s="23" t="s">
        <v>20</v>
      </c>
      <c r="F1993" s="23" t="s">
        <v>14</v>
      </c>
      <c r="G1993" s="23" t="s">
        <v>21</v>
      </c>
      <c r="H1993" s="23" t="s">
        <v>22</v>
      </c>
      <c r="I1993" s="23">
        <v>24</v>
      </c>
      <c r="J1993" s="23">
        <v>0</v>
      </c>
      <c r="K1993" s="23">
        <v>5</v>
      </c>
      <c r="L1993" s="23" t="s">
        <v>17</v>
      </c>
      <c r="M1993" s="25">
        <v>9.3000000000000007</v>
      </c>
      <c r="N1993">
        <f t="shared" si="31"/>
        <v>1</v>
      </c>
    </row>
    <row r="1994" spans="1:14" x14ac:dyDescent="0.35">
      <c r="A1994" s="6" t="s">
        <v>2064</v>
      </c>
      <c r="B1994" s="19" t="s">
        <v>34</v>
      </c>
      <c r="C1994" s="19">
        <v>3</v>
      </c>
      <c r="D1994" s="20">
        <v>45718</v>
      </c>
      <c r="E1994" s="19" t="s">
        <v>68</v>
      </c>
      <c r="F1994" s="19" t="s">
        <v>37</v>
      </c>
      <c r="G1994" s="19" t="s">
        <v>21</v>
      </c>
      <c r="H1994" s="19" t="s">
        <v>22</v>
      </c>
      <c r="I1994" s="19">
        <v>72</v>
      </c>
      <c r="J1994" s="19">
        <v>1</v>
      </c>
      <c r="K1994" s="19">
        <v>4</v>
      </c>
      <c r="L1994" s="19" t="s">
        <v>55</v>
      </c>
      <c r="M1994" s="21">
        <v>15.2</v>
      </c>
      <c r="N1994">
        <f t="shared" si="31"/>
        <v>1</v>
      </c>
    </row>
    <row r="1995" spans="1:14" x14ac:dyDescent="0.35">
      <c r="A1995" s="22" t="s">
        <v>2065</v>
      </c>
      <c r="B1995" s="23" t="s">
        <v>92</v>
      </c>
      <c r="C1995" s="23">
        <v>1</v>
      </c>
      <c r="D1995" s="24">
        <v>45675</v>
      </c>
      <c r="E1995" s="23" t="s">
        <v>68</v>
      </c>
      <c r="F1995" s="23" t="s">
        <v>37</v>
      </c>
      <c r="G1995" s="23" t="s">
        <v>21</v>
      </c>
      <c r="H1995" s="23" t="s">
        <v>22</v>
      </c>
      <c r="I1995" s="23">
        <v>8</v>
      </c>
      <c r="J1995" s="23">
        <v>1</v>
      </c>
      <c r="K1995" s="23">
        <v>4</v>
      </c>
      <c r="L1995" s="23" t="s">
        <v>55</v>
      </c>
      <c r="M1995" s="25">
        <v>15.3</v>
      </c>
      <c r="N1995">
        <f t="shared" si="31"/>
        <v>0</v>
      </c>
    </row>
    <row r="1996" spans="1:14" x14ac:dyDescent="0.35">
      <c r="A1996" s="6" t="s">
        <v>2066</v>
      </c>
      <c r="B1996" s="19" t="s">
        <v>126</v>
      </c>
      <c r="C1996" s="19">
        <v>3</v>
      </c>
      <c r="D1996" s="20">
        <v>45739</v>
      </c>
      <c r="E1996" s="19" t="s">
        <v>8364</v>
      </c>
      <c r="F1996" s="19" t="s">
        <v>26</v>
      </c>
      <c r="G1996" s="19" t="s">
        <v>31</v>
      </c>
      <c r="H1996" s="19" t="s">
        <v>16</v>
      </c>
      <c r="I1996" s="19">
        <v>4</v>
      </c>
      <c r="J1996" s="19">
        <v>0</v>
      </c>
      <c r="K1996" s="19">
        <v>4</v>
      </c>
      <c r="L1996" s="19" t="s">
        <v>17</v>
      </c>
      <c r="M1996" s="21">
        <v>7.2</v>
      </c>
      <c r="N1996">
        <f t="shared" si="31"/>
        <v>0</v>
      </c>
    </row>
    <row r="1997" spans="1:14" x14ac:dyDescent="0.35">
      <c r="A1997" s="22" t="s">
        <v>2067</v>
      </c>
      <c r="B1997" s="23" t="s">
        <v>92</v>
      </c>
      <c r="C1997" s="23">
        <v>5</v>
      </c>
      <c r="D1997" s="24">
        <v>45799</v>
      </c>
      <c r="E1997" s="23" t="s">
        <v>68</v>
      </c>
      <c r="F1997" s="23" t="s">
        <v>8364</v>
      </c>
      <c r="G1997" s="23" t="s">
        <v>15</v>
      </c>
      <c r="H1997" s="23" t="s">
        <v>28</v>
      </c>
      <c r="I1997" s="23">
        <v>8</v>
      </c>
      <c r="J1997" s="23">
        <v>0</v>
      </c>
      <c r="K1997" s="23">
        <v>2</v>
      </c>
      <c r="L1997" s="23" t="s">
        <v>55</v>
      </c>
      <c r="M1997" s="25">
        <v>3.7</v>
      </c>
      <c r="N1997">
        <f t="shared" si="31"/>
        <v>1</v>
      </c>
    </row>
    <row r="1998" spans="1:14" x14ac:dyDescent="0.35">
      <c r="A1998" s="6" t="s">
        <v>2068</v>
      </c>
      <c r="B1998" s="19" t="s">
        <v>126</v>
      </c>
      <c r="C1998" s="19">
        <v>9</v>
      </c>
      <c r="D1998" s="20">
        <v>45912</v>
      </c>
      <c r="E1998" s="19" t="s">
        <v>36</v>
      </c>
      <c r="F1998" s="19" t="s">
        <v>8364</v>
      </c>
      <c r="G1998" s="19" t="s">
        <v>31</v>
      </c>
      <c r="H1998" s="19" t="s">
        <v>28</v>
      </c>
      <c r="I1998" s="19">
        <v>24</v>
      </c>
      <c r="J1998" s="19">
        <v>3</v>
      </c>
      <c r="K1998" s="19">
        <v>2</v>
      </c>
      <c r="L1998" s="19" t="s">
        <v>75</v>
      </c>
      <c r="M1998" s="21">
        <v>8.4</v>
      </c>
      <c r="N1998">
        <f t="shared" si="31"/>
        <v>1</v>
      </c>
    </row>
    <row r="1999" spans="1:14" x14ac:dyDescent="0.35">
      <c r="A1999" s="22" t="s">
        <v>2069</v>
      </c>
      <c r="B1999" s="23" t="s">
        <v>87</v>
      </c>
      <c r="C1999" s="23">
        <v>11</v>
      </c>
      <c r="D1999" s="24">
        <v>45983</v>
      </c>
      <c r="E1999" s="23" t="s">
        <v>68</v>
      </c>
      <c r="F1999" s="23" t="s">
        <v>40</v>
      </c>
      <c r="G1999" s="23" t="s">
        <v>8364</v>
      </c>
      <c r="H1999" s="23" t="s">
        <v>28</v>
      </c>
      <c r="I1999" s="23">
        <v>8</v>
      </c>
      <c r="J1999" s="23">
        <v>0</v>
      </c>
      <c r="K1999" s="23">
        <v>1</v>
      </c>
      <c r="L1999" s="23" t="s">
        <v>33</v>
      </c>
      <c r="M1999" s="25">
        <v>8.3000000000000007</v>
      </c>
      <c r="N1999">
        <f t="shared" si="31"/>
        <v>0</v>
      </c>
    </row>
    <row r="2000" spans="1:14" x14ac:dyDescent="0.35">
      <c r="A2000" s="6" t="s">
        <v>2070</v>
      </c>
      <c r="B2000" s="19" t="s">
        <v>85</v>
      </c>
      <c r="C2000" s="19">
        <v>8</v>
      </c>
      <c r="D2000" s="20">
        <v>45870</v>
      </c>
      <c r="E2000" s="19" t="s">
        <v>8364</v>
      </c>
      <c r="F2000" s="19" t="s">
        <v>43</v>
      </c>
      <c r="G2000" s="19" t="s">
        <v>27</v>
      </c>
      <c r="H2000" s="19" t="s">
        <v>8364</v>
      </c>
      <c r="I2000" s="19">
        <v>4</v>
      </c>
      <c r="J2000" s="19">
        <v>0</v>
      </c>
      <c r="K2000" s="19">
        <v>5</v>
      </c>
      <c r="L2000" s="19" t="s">
        <v>33</v>
      </c>
      <c r="M2000" s="21">
        <v>21.4</v>
      </c>
      <c r="N2000">
        <f t="shared" si="31"/>
        <v>0</v>
      </c>
    </row>
    <row r="2001" spans="1:14" x14ac:dyDescent="0.35">
      <c r="A2001" s="22" t="s">
        <v>2071</v>
      </c>
      <c r="B2001" s="23" t="s">
        <v>57</v>
      </c>
      <c r="C2001" s="23">
        <v>9</v>
      </c>
      <c r="D2001" s="24">
        <v>45914</v>
      </c>
      <c r="E2001" s="23" t="s">
        <v>20</v>
      </c>
      <c r="F2001" s="23" t="s">
        <v>43</v>
      </c>
      <c r="G2001" s="23" t="s">
        <v>27</v>
      </c>
      <c r="H2001" s="23" t="s">
        <v>16</v>
      </c>
      <c r="I2001" s="23">
        <v>4</v>
      </c>
      <c r="J2001" s="23">
        <v>0</v>
      </c>
      <c r="K2001" s="23">
        <v>3</v>
      </c>
      <c r="L2001" s="23" t="s">
        <v>17</v>
      </c>
      <c r="M2001" s="25">
        <v>19.600000000000001</v>
      </c>
      <c r="N2001">
        <f t="shared" si="31"/>
        <v>0</v>
      </c>
    </row>
    <row r="2002" spans="1:14" x14ac:dyDescent="0.35">
      <c r="A2002" s="6" t="s">
        <v>2072</v>
      </c>
      <c r="B2002" s="19" t="s">
        <v>34</v>
      </c>
      <c r="C2002" s="19">
        <v>5</v>
      </c>
      <c r="D2002" s="20">
        <v>45785</v>
      </c>
      <c r="E2002" s="19" t="s">
        <v>36</v>
      </c>
      <c r="F2002" s="19" t="s">
        <v>40</v>
      </c>
      <c r="G2002" s="19" t="s">
        <v>15</v>
      </c>
      <c r="H2002" s="19" t="s">
        <v>32</v>
      </c>
      <c r="I2002" s="19">
        <v>8</v>
      </c>
      <c r="J2002" s="19">
        <v>0</v>
      </c>
      <c r="K2002" s="19">
        <v>3</v>
      </c>
      <c r="L2002" s="19" t="s">
        <v>44</v>
      </c>
      <c r="M2002" s="21">
        <v>12.9</v>
      </c>
      <c r="N2002">
        <f t="shared" si="31"/>
        <v>0</v>
      </c>
    </row>
    <row r="2003" spans="1:14" x14ac:dyDescent="0.35">
      <c r="A2003" s="22" t="s">
        <v>2073</v>
      </c>
      <c r="B2003" s="23" t="s">
        <v>236</v>
      </c>
      <c r="C2003" s="23">
        <v>5</v>
      </c>
      <c r="D2003" s="24">
        <v>45792</v>
      </c>
      <c r="E2003" s="23" t="s">
        <v>8364</v>
      </c>
      <c r="F2003" s="23" t="s">
        <v>14</v>
      </c>
      <c r="G2003" s="23" t="s">
        <v>27</v>
      </c>
      <c r="H2003" s="23" t="s">
        <v>16</v>
      </c>
      <c r="I2003" s="23">
        <v>48</v>
      </c>
      <c r="J2003" s="23">
        <v>0</v>
      </c>
      <c r="K2003" s="23">
        <v>4</v>
      </c>
      <c r="L2003" s="23" t="s">
        <v>55</v>
      </c>
      <c r="M2003" s="25">
        <v>10.8</v>
      </c>
      <c r="N2003">
        <f t="shared" si="31"/>
        <v>1</v>
      </c>
    </row>
    <row r="2004" spans="1:14" x14ac:dyDescent="0.35">
      <c r="A2004" s="6" t="s">
        <v>2074</v>
      </c>
      <c r="B2004" s="19" t="s">
        <v>65</v>
      </c>
      <c r="C2004" s="19">
        <v>10</v>
      </c>
      <c r="D2004" s="20">
        <v>45942</v>
      </c>
      <c r="E2004" s="19" t="s">
        <v>13</v>
      </c>
      <c r="F2004" s="19" t="s">
        <v>59</v>
      </c>
      <c r="G2004" s="19" t="s">
        <v>27</v>
      </c>
      <c r="H2004" s="19" t="s">
        <v>8364</v>
      </c>
      <c r="I2004" s="19">
        <v>72</v>
      </c>
      <c r="J2004" s="19">
        <v>0</v>
      </c>
      <c r="K2004" s="19">
        <v>4</v>
      </c>
      <c r="L2004" s="19" t="s">
        <v>8363</v>
      </c>
      <c r="M2004" s="21">
        <v>20.100000000000001</v>
      </c>
      <c r="N2004">
        <f t="shared" si="31"/>
        <v>1</v>
      </c>
    </row>
    <row r="2005" spans="1:14" x14ac:dyDescent="0.35">
      <c r="A2005" s="22" t="s">
        <v>2075</v>
      </c>
      <c r="B2005" s="23" t="s">
        <v>89</v>
      </c>
      <c r="C2005" s="23">
        <v>11</v>
      </c>
      <c r="D2005" s="24">
        <v>45962</v>
      </c>
      <c r="E2005" s="23" t="s">
        <v>8364</v>
      </c>
      <c r="F2005" s="23" t="s">
        <v>40</v>
      </c>
      <c r="G2005" s="23" t="s">
        <v>27</v>
      </c>
      <c r="H2005" s="23" t="s">
        <v>22</v>
      </c>
      <c r="I2005" s="23">
        <v>8</v>
      </c>
      <c r="J2005" s="23">
        <v>0</v>
      </c>
      <c r="K2005" s="23">
        <v>4</v>
      </c>
      <c r="L2005" s="23" t="s">
        <v>8363</v>
      </c>
      <c r="M2005" s="25">
        <v>8.4</v>
      </c>
      <c r="N2005">
        <f t="shared" si="31"/>
        <v>0</v>
      </c>
    </row>
    <row r="2006" spans="1:14" x14ac:dyDescent="0.35">
      <c r="A2006" s="6" t="s">
        <v>2076</v>
      </c>
      <c r="B2006" s="19" t="s">
        <v>78</v>
      </c>
      <c r="C2006" s="19">
        <v>10</v>
      </c>
      <c r="D2006" s="20">
        <v>45934</v>
      </c>
      <c r="E2006" s="19" t="s">
        <v>13</v>
      </c>
      <c r="F2006" s="19" t="s">
        <v>8364</v>
      </c>
      <c r="G2006" s="19" t="s">
        <v>31</v>
      </c>
      <c r="H2006" s="19" t="s">
        <v>28</v>
      </c>
      <c r="I2006" s="19">
        <v>24</v>
      </c>
      <c r="J2006" s="19">
        <v>2</v>
      </c>
      <c r="K2006" s="19">
        <v>5</v>
      </c>
      <c r="L2006" s="19" t="s">
        <v>33</v>
      </c>
      <c r="M2006" s="21">
        <v>10.5</v>
      </c>
      <c r="N2006">
        <f t="shared" si="31"/>
        <v>1</v>
      </c>
    </row>
    <row r="2007" spans="1:14" x14ac:dyDescent="0.35">
      <c r="A2007" s="22" t="s">
        <v>2077</v>
      </c>
      <c r="B2007" s="23" t="s">
        <v>39</v>
      </c>
      <c r="C2007" s="23">
        <v>12</v>
      </c>
      <c r="D2007" s="24">
        <v>46019</v>
      </c>
      <c r="E2007" s="23" t="s">
        <v>8364</v>
      </c>
      <c r="F2007" s="23" t="s">
        <v>43</v>
      </c>
      <c r="G2007" s="23" t="s">
        <v>8364</v>
      </c>
      <c r="H2007" s="23" t="s">
        <v>16</v>
      </c>
      <c r="I2007" s="23">
        <v>8</v>
      </c>
      <c r="J2007" s="23">
        <v>0</v>
      </c>
      <c r="K2007" s="23">
        <v>5</v>
      </c>
      <c r="L2007" s="23" t="s">
        <v>75</v>
      </c>
      <c r="M2007" s="25">
        <v>5.2</v>
      </c>
      <c r="N2007">
        <f t="shared" si="31"/>
        <v>1</v>
      </c>
    </row>
    <row r="2008" spans="1:14" x14ac:dyDescent="0.35">
      <c r="A2008" s="6" t="s">
        <v>2078</v>
      </c>
      <c r="B2008" s="19" t="s">
        <v>23</v>
      </c>
      <c r="C2008" s="19">
        <v>9</v>
      </c>
      <c r="D2008" s="20">
        <v>45903</v>
      </c>
      <c r="E2008" s="19" t="s">
        <v>8364</v>
      </c>
      <c r="F2008" s="19" t="s">
        <v>8364</v>
      </c>
      <c r="G2008" s="19" t="s">
        <v>8364</v>
      </c>
      <c r="H2008" s="19" t="s">
        <v>22</v>
      </c>
      <c r="I2008" s="19">
        <v>72</v>
      </c>
      <c r="J2008" s="19">
        <v>0</v>
      </c>
      <c r="K2008" s="19">
        <v>5</v>
      </c>
      <c r="L2008" s="19" t="s">
        <v>55</v>
      </c>
      <c r="M2008" s="21">
        <v>8.8000000000000007</v>
      </c>
      <c r="N2008">
        <f t="shared" si="31"/>
        <v>1</v>
      </c>
    </row>
    <row r="2009" spans="1:14" x14ac:dyDescent="0.35">
      <c r="A2009" s="22" t="s">
        <v>2079</v>
      </c>
      <c r="B2009" s="23" t="s">
        <v>39</v>
      </c>
      <c r="C2009" s="23">
        <v>10</v>
      </c>
      <c r="D2009" s="24">
        <v>45947</v>
      </c>
      <c r="E2009" s="23" t="s">
        <v>13</v>
      </c>
      <c r="F2009" s="23" t="s">
        <v>40</v>
      </c>
      <c r="G2009" s="23" t="s">
        <v>21</v>
      </c>
      <c r="H2009" s="23" t="s">
        <v>22</v>
      </c>
      <c r="I2009" s="23">
        <v>24</v>
      </c>
      <c r="J2009" s="23">
        <v>1</v>
      </c>
      <c r="K2009" s="23">
        <v>4</v>
      </c>
      <c r="L2009" s="23" t="s">
        <v>33</v>
      </c>
      <c r="M2009" s="25">
        <v>7.9</v>
      </c>
      <c r="N2009">
        <f t="shared" si="31"/>
        <v>1</v>
      </c>
    </row>
    <row r="2010" spans="1:14" x14ac:dyDescent="0.35">
      <c r="A2010" s="6" t="s">
        <v>2080</v>
      </c>
      <c r="B2010" s="19" t="s">
        <v>143</v>
      </c>
      <c r="C2010" s="19">
        <v>5</v>
      </c>
      <c r="D2010" s="20">
        <v>45785</v>
      </c>
      <c r="E2010" s="19" t="s">
        <v>25</v>
      </c>
      <c r="F2010" s="19" t="s">
        <v>14</v>
      </c>
      <c r="G2010" s="19" t="s">
        <v>27</v>
      </c>
      <c r="H2010" s="19" t="s">
        <v>32</v>
      </c>
      <c r="I2010" s="19">
        <v>72</v>
      </c>
      <c r="J2010" s="19">
        <v>0</v>
      </c>
      <c r="K2010" s="19">
        <v>3</v>
      </c>
      <c r="L2010" s="19" t="s">
        <v>38</v>
      </c>
      <c r="M2010" s="21">
        <v>3.7</v>
      </c>
      <c r="N2010">
        <f t="shared" si="31"/>
        <v>1</v>
      </c>
    </row>
    <row r="2011" spans="1:14" x14ac:dyDescent="0.35">
      <c r="A2011" s="22" t="s">
        <v>2081</v>
      </c>
      <c r="B2011" s="23" t="s">
        <v>146</v>
      </c>
      <c r="C2011" s="23"/>
      <c r="D2011" s="24"/>
      <c r="E2011" s="23" t="s">
        <v>25</v>
      </c>
      <c r="F2011" s="23" t="s">
        <v>26</v>
      </c>
      <c r="G2011" s="23" t="s">
        <v>27</v>
      </c>
      <c r="H2011" s="23" t="s">
        <v>22</v>
      </c>
      <c r="I2011" s="23">
        <v>8</v>
      </c>
      <c r="J2011" s="23">
        <v>0</v>
      </c>
      <c r="K2011" s="23"/>
      <c r="L2011" s="23" t="s">
        <v>38</v>
      </c>
      <c r="M2011" s="25">
        <v>6.9</v>
      </c>
      <c r="N2011">
        <f t="shared" si="31"/>
        <v>1</v>
      </c>
    </row>
    <row r="2012" spans="1:14" x14ac:dyDescent="0.35">
      <c r="A2012" s="6" t="s">
        <v>2082</v>
      </c>
      <c r="B2012" s="19" t="s">
        <v>89</v>
      </c>
      <c r="C2012" s="19">
        <v>11</v>
      </c>
      <c r="D2012" s="20">
        <v>45975</v>
      </c>
      <c r="E2012" s="19" t="s">
        <v>68</v>
      </c>
      <c r="F2012" s="19" t="s">
        <v>43</v>
      </c>
      <c r="G2012" s="19" t="s">
        <v>15</v>
      </c>
      <c r="H2012" s="19" t="s">
        <v>22</v>
      </c>
      <c r="I2012" s="19">
        <v>24</v>
      </c>
      <c r="J2012" s="19">
        <v>0</v>
      </c>
      <c r="K2012" s="19">
        <v>4</v>
      </c>
      <c r="L2012" s="19" t="s">
        <v>44</v>
      </c>
      <c r="M2012" s="21">
        <v>7.9</v>
      </c>
      <c r="N2012">
        <f t="shared" si="31"/>
        <v>1</v>
      </c>
    </row>
    <row r="2013" spans="1:14" x14ac:dyDescent="0.35">
      <c r="A2013" s="22" t="s">
        <v>2083</v>
      </c>
      <c r="B2013" s="23" t="s">
        <v>51</v>
      </c>
      <c r="C2013" s="23"/>
      <c r="D2013" s="24"/>
      <c r="E2013" s="23" t="s">
        <v>68</v>
      </c>
      <c r="F2013" s="23" t="s">
        <v>14</v>
      </c>
      <c r="G2013" s="23" t="s">
        <v>31</v>
      </c>
      <c r="H2013" s="23" t="s">
        <v>22</v>
      </c>
      <c r="I2013" s="23">
        <v>4</v>
      </c>
      <c r="J2013" s="23">
        <v>1</v>
      </c>
      <c r="K2013" s="23">
        <v>5</v>
      </c>
      <c r="L2013" s="23" t="s">
        <v>33</v>
      </c>
      <c r="M2013" s="25">
        <v>10</v>
      </c>
      <c r="N2013">
        <f t="shared" si="31"/>
        <v>0</v>
      </c>
    </row>
    <row r="2014" spans="1:14" x14ac:dyDescent="0.35">
      <c r="A2014" s="6" t="s">
        <v>2084</v>
      </c>
      <c r="B2014" s="19" t="s">
        <v>69</v>
      </c>
      <c r="C2014" s="19">
        <v>3</v>
      </c>
      <c r="D2014" s="20">
        <v>45727</v>
      </c>
      <c r="E2014" s="19" t="s">
        <v>13</v>
      </c>
      <c r="F2014" s="19" t="s">
        <v>14</v>
      </c>
      <c r="G2014" s="19" t="s">
        <v>21</v>
      </c>
      <c r="H2014" s="19" t="s">
        <v>22</v>
      </c>
      <c r="I2014" s="19">
        <v>4</v>
      </c>
      <c r="J2014" s="19">
        <v>1</v>
      </c>
      <c r="K2014" s="19">
        <v>4</v>
      </c>
      <c r="L2014" s="19" t="s">
        <v>33</v>
      </c>
      <c r="M2014" s="21">
        <v>7.3</v>
      </c>
      <c r="N2014">
        <f t="shared" si="31"/>
        <v>0</v>
      </c>
    </row>
    <row r="2015" spans="1:14" x14ac:dyDescent="0.35">
      <c r="A2015" s="22" t="s">
        <v>2085</v>
      </c>
      <c r="B2015" s="23" t="s">
        <v>23</v>
      </c>
      <c r="C2015" s="23">
        <v>7</v>
      </c>
      <c r="D2015" s="24">
        <v>45850</v>
      </c>
      <c r="E2015" s="23" t="s">
        <v>36</v>
      </c>
      <c r="F2015" s="23" t="s">
        <v>37</v>
      </c>
      <c r="G2015" s="23" t="s">
        <v>8364</v>
      </c>
      <c r="H2015" s="23" t="s">
        <v>8364</v>
      </c>
      <c r="I2015" s="23">
        <v>48</v>
      </c>
      <c r="J2015" s="23">
        <v>0</v>
      </c>
      <c r="K2015" s="23"/>
      <c r="L2015" s="23" t="s">
        <v>8363</v>
      </c>
      <c r="M2015" s="25">
        <v>4.4000000000000004</v>
      </c>
      <c r="N2015">
        <f t="shared" si="31"/>
        <v>1</v>
      </c>
    </row>
    <row r="2016" spans="1:14" x14ac:dyDescent="0.35">
      <c r="A2016" s="6" t="s">
        <v>2086</v>
      </c>
      <c r="B2016" s="19" t="s">
        <v>51</v>
      </c>
      <c r="C2016" s="19">
        <v>10</v>
      </c>
      <c r="D2016" s="20">
        <v>45945</v>
      </c>
      <c r="E2016" s="19" t="s">
        <v>13</v>
      </c>
      <c r="F2016" s="19" t="s">
        <v>14</v>
      </c>
      <c r="G2016" s="19" t="s">
        <v>31</v>
      </c>
      <c r="H2016" s="19" t="s">
        <v>28</v>
      </c>
      <c r="I2016" s="19">
        <v>4</v>
      </c>
      <c r="J2016" s="19">
        <v>0</v>
      </c>
      <c r="K2016" s="19">
        <v>1</v>
      </c>
      <c r="L2016" s="19" t="s">
        <v>8363</v>
      </c>
      <c r="M2016" s="21">
        <v>10.8</v>
      </c>
      <c r="N2016">
        <f t="shared" si="31"/>
        <v>0</v>
      </c>
    </row>
    <row r="2017" spans="1:14" x14ac:dyDescent="0.35">
      <c r="A2017" s="22" t="s">
        <v>2087</v>
      </c>
      <c r="B2017" s="23" t="s">
        <v>87</v>
      </c>
      <c r="C2017" s="23">
        <v>6</v>
      </c>
      <c r="D2017" s="24">
        <v>45823</v>
      </c>
      <c r="E2017" s="23" t="s">
        <v>25</v>
      </c>
      <c r="F2017" s="23" t="s">
        <v>37</v>
      </c>
      <c r="G2017" s="23" t="s">
        <v>31</v>
      </c>
      <c r="H2017" s="23" t="s">
        <v>8364</v>
      </c>
      <c r="I2017" s="23">
        <v>4</v>
      </c>
      <c r="J2017" s="23">
        <v>0</v>
      </c>
      <c r="K2017" s="23"/>
      <c r="L2017" s="23" t="s">
        <v>8363</v>
      </c>
      <c r="M2017" s="25">
        <v>15.3</v>
      </c>
      <c r="N2017">
        <f t="shared" si="31"/>
        <v>0</v>
      </c>
    </row>
    <row r="2018" spans="1:14" x14ac:dyDescent="0.35">
      <c r="A2018" s="6" t="s">
        <v>2088</v>
      </c>
      <c r="B2018" s="19" t="s">
        <v>85</v>
      </c>
      <c r="C2018" s="19">
        <v>10</v>
      </c>
      <c r="D2018" s="20">
        <v>45932</v>
      </c>
      <c r="E2018" s="19" t="s">
        <v>36</v>
      </c>
      <c r="F2018" s="19" t="s">
        <v>43</v>
      </c>
      <c r="G2018" s="19" t="s">
        <v>8364</v>
      </c>
      <c r="H2018" s="19" t="s">
        <v>28</v>
      </c>
      <c r="I2018" s="19">
        <v>8</v>
      </c>
      <c r="J2018" s="19">
        <v>0</v>
      </c>
      <c r="K2018" s="19">
        <v>4</v>
      </c>
      <c r="L2018" s="19" t="s">
        <v>33</v>
      </c>
      <c r="M2018" s="21">
        <v>17.3</v>
      </c>
      <c r="N2018">
        <f t="shared" si="31"/>
        <v>0</v>
      </c>
    </row>
    <row r="2019" spans="1:14" x14ac:dyDescent="0.35">
      <c r="A2019" s="22" t="s">
        <v>2089</v>
      </c>
      <c r="B2019" s="23" t="s">
        <v>97</v>
      </c>
      <c r="C2019" s="23">
        <v>2</v>
      </c>
      <c r="D2019" s="24">
        <v>45692</v>
      </c>
      <c r="E2019" s="23" t="s">
        <v>13</v>
      </c>
      <c r="F2019" s="23" t="s">
        <v>40</v>
      </c>
      <c r="G2019" s="23" t="s">
        <v>8364</v>
      </c>
      <c r="H2019" s="23" t="s">
        <v>32</v>
      </c>
      <c r="I2019" s="23">
        <v>24</v>
      </c>
      <c r="J2019" s="23">
        <v>1</v>
      </c>
      <c r="K2019" s="23">
        <v>3</v>
      </c>
      <c r="L2019" s="23" t="s">
        <v>8363</v>
      </c>
      <c r="M2019" s="25">
        <v>13.1</v>
      </c>
      <c r="N2019">
        <f t="shared" si="31"/>
        <v>1</v>
      </c>
    </row>
    <row r="2020" spans="1:14" x14ac:dyDescent="0.35">
      <c r="A2020" s="6" t="s">
        <v>2090</v>
      </c>
      <c r="B2020" s="19" t="s">
        <v>53</v>
      </c>
      <c r="C2020" s="19">
        <v>6</v>
      </c>
      <c r="D2020" s="20">
        <v>45819</v>
      </c>
      <c r="E2020" s="19" t="s">
        <v>8364</v>
      </c>
      <c r="F2020" s="19" t="s">
        <v>43</v>
      </c>
      <c r="G2020" s="19" t="s">
        <v>8364</v>
      </c>
      <c r="H2020" s="19" t="s">
        <v>22</v>
      </c>
      <c r="I2020" s="19">
        <v>48</v>
      </c>
      <c r="J2020" s="19">
        <v>0</v>
      </c>
      <c r="K2020" s="19">
        <v>3</v>
      </c>
      <c r="L2020" s="19" t="s">
        <v>55</v>
      </c>
      <c r="M2020" s="21">
        <v>5.5</v>
      </c>
      <c r="N2020">
        <f t="shared" si="31"/>
        <v>1</v>
      </c>
    </row>
    <row r="2021" spans="1:14" x14ac:dyDescent="0.35">
      <c r="A2021" s="22" t="s">
        <v>2091</v>
      </c>
      <c r="B2021" s="23" t="s">
        <v>143</v>
      </c>
      <c r="C2021" s="23">
        <v>11</v>
      </c>
      <c r="D2021" s="24">
        <v>45964</v>
      </c>
      <c r="E2021" s="23" t="s">
        <v>36</v>
      </c>
      <c r="F2021" s="23" t="s">
        <v>14</v>
      </c>
      <c r="G2021" s="23" t="s">
        <v>15</v>
      </c>
      <c r="H2021" s="23" t="s">
        <v>22</v>
      </c>
      <c r="I2021" s="23">
        <v>4</v>
      </c>
      <c r="J2021" s="23">
        <v>2</v>
      </c>
      <c r="K2021" s="23"/>
      <c r="L2021" s="23" t="s">
        <v>55</v>
      </c>
      <c r="M2021" s="25">
        <v>18.100000000000001</v>
      </c>
      <c r="N2021">
        <f t="shared" si="31"/>
        <v>0</v>
      </c>
    </row>
    <row r="2022" spans="1:14" x14ac:dyDescent="0.35">
      <c r="A2022" s="6" t="s">
        <v>2092</v>
      </c>
      <c r="B2022" s="19" t="s">
        <v>92</v>
      </c>
      <c r="C2022" s="19">
        <v>4</v>
      </c>
      <c r="D2022" s="20">
        <v>45772</v>
      </c>
      <c r="E2022" s="19" t="s">
        <v>20</v>
      </c>
      <c r="F2022" s="19" t="s">
        <v>40</v>
      </c>
      <c r="G2022" s="19" t="s">
        <v>15</v>
      </c>
      <c r="H2022" s="19" t="s">
        <v>8364</v>
      </c>
      <c r="I2022" s="19">
        <v>24</v>
      </c>
      <c r="J2022" s="19">
        <v>0</v>
      </c>
      <c r="K2022" s="19">
        <v>3</v>
      </c>
      <c r="L2022" s="19" t="s">
        <v>8363</v>
      </c>
      <c r="M2022" s="21">
        <v>3.5</v>
      </c>
      <c r="N2022">
        <f t="shared" si="31"/>
        <v>1</v>
      </c>
    </row>
    <row r="2023" spans="1:14" x14ac:dyDescent="0.35">
      <c r="A2023" s="22" t="s">
        <v>2093</v>
      </c>
      <c r="B2023" s="23" t="s">
        <v>51</v>
      </c>
      <c r="C2023" s="23"/>
      <c r="D2023" s="24"/>
      <c r="E2023" s="23" t="s">
        <v>20</v>
      </c>
      <c r="F2023" s="23" t="s">
        <v>59</v>
      </c>
      <c r="G2023" s="23" t="s">
        <v>27</v>
      </c>
      <c r="H2023" s="23" t="s">
        <v>22</v>
      </c>
      <c r="I2023" s="23">
        <v>4</v>
      </c>
      <c r="J2023" s="23">
        <v>0</v>
      </c>
      <c r="K2023" s="23">
        <v>4</v>
      </c>
      <c r="L2023" s="23" t="s">
        <v>62</v>
      </c>
      <c r="M2023" s="25">
        <v>14.8</v>
      </c>
      <c r="N2023">
        <f t="shared" si="31"/>
        <v>0</v>
      </c>
    </row>
    <row r="2024" spans="1:14" x14ac:dyDescent="0.35">
      <c r="A2024" s="6" t="s">
        <v>2094</v>
      </c>
      <c r="B2024" s="19" t="s">
        <v>34</v>
      </c>
      <c r="C2024" s="19">
        <v>10</v>
      </c>
      <c r="D2024" s="20">
        <v>45936</v>
      </c>
      <c r="E2024" s="19" t="s">
        <v>8364</v>
      </c>
      <c r="F2024" s="19" t="s">
        <v>40</v>
      </c>
      <c r="G2024" s="19" t="s">
        <v>27</v>
      </c>
      <c r="H2024" s="19" t="s">
        <v>22</v>
      </c>
      <c r="I2024" s="19">
        <v>24</v>
      </c>
      <c r="J2024" s="19">
        <v>2</v>
      </c>
      <c r="K2024" s="19">
        <v>4</v>
      </c>
      <c r="L2024" s="19" t="s">
        <v>38</v>
      </c>
      <c r="M2024" s="21">
        <v>15.9</v>
      </c>
      <c r="N2024">
        <f t="shared" si="31"/>
        <v>1</v>
      </c>
    </row>
    <row r="2025" spans="1:14" x14ac:dyDescent="0.35">
      <c r="A2025" s="22" t="s">
        <v>2095</v>
      </c>
      <c r="B2025" s="23" t="s">
        <v>89</v>
      </c>
      <c r="C2025" s="23"/>
      <c r="D2025" s="24"/>
      <c r="E2025" s="23" t="s">
        <v>13</v>
      </c>
      <c r="F2025" s="23" t="s">
        <v>43</v>
      </c>
      <c r="G2025" s="23" t="s">
        <v>15</v>
      </c>
      <c r="H2025" s="23" t="s">
        <v>32</v>
      </c>
      <c r="I2025" s="23">
        <v>4</v>
      </c>
      <c r="J2025" s="23">
        <v>0</v>
      </c>
      <c r="K2025" s="23">
        <v>5</v>
      </c>
      <c r="L2025" s="23" t="s">
        <v>75</v>
      </c>
      <c r="M2025" s="25">
        <v>9.5</v>
      </c>
      <c r="N2025">
        <f t="shared" si="31"/>
        <v>0</v>
      </c>
    </row>
    <row r="2026" spans="1:14" x14ac:dyDescent="0.35">
      <c r="A2026" s="6" t="s">
        <v>2096</v>
      </c>
      <c r="B2026" s="19" t="s">
        <v>47</v>
      </c>
      <c r="C2026" s="19">
        <v>11</v>
      </c>
      <c r="D2026" s="20">
        <v>45988</v>
      </c>
      <c r="E2026" s="19" t="s">
        <v>8364</v>
      </c>
      <c r="F2026" s="19" t="s">
        <v>14</v>
      </c>
      <c r="G2026" s="19" t="s">
        <v>27</v>
      </c>
      <c r="H2026" s="19" t="s">
        <v>22</v>
      </c>
      <c r="I2026" s="19">
        <v>8</v>
      </c>
      <c r="J2026" s="19">
        <v>0</v>
      </c>
      <c r="K2026" s="19"/>
      <c r="L2026" s="19" t="s">
        <v>8363</v>
      </c>
      <c r="M2026" s="21">
        <v>10.1</v>
      </c>
      <c r="N2026">
        <f t="shared" si="31"/>
        <v>0</v>
      </c>
    </row>
    <row r="2027" spans="1:14" x14ac:dyDescent="0.35">
      <c r="A2027" s="22" t="s">
        <v>2097</v>
      </c>
      <c r="B2027" s="23" t="s">
        <v>126</v>
      </c>
      <c r="C2027" s="23">
        <v>6</v>
      </c>
      <c r="D2027" s="24">
        <v>45823</v>
      </c>
      <c r="E2027" s="23" t="s">
        <v>36</v>
      </c>
      <c r="F2027" s="23" t="s">
        <v>37</v>
      </c>
      <c r="G2027" s="23" t="s">
        <v>15</v>
      </c>
      <c r="H2027" s="23" t="s">
        <v>22</v>
      </c>
      <c r="I2027" s="23">
        <v>72</v>
      </c>
      <c r="J2027" s="23">
        <v>0</v>
      </c>
      <c r="K2027" s="23">
        <v>5</v>
      </c>
      <c r="L2027" s="23" t="s">
        <v>8363</v>
      </c>
      <c r="M2027" s="25">
        <v>6.1</v>
      </c>
      <c r="N2027">
        <f t="shared" si="31"/>
        <v>1</v>
      </c>
    </row>
    <row r="2028" spans="1:14" x14ac:dyDescent="0.35">
      <c r="A2028" s="6" t="s">
        <v>2098</v>
      </c>
      <c r="B2028" s="19" t="s">
        <v>49</v>
      </c>
      <c r="C2028" s="19">
        <v>11</v>
      </c>
      <c r="D2028" s="20">
        <v>45975</v>
      </c>
      <c r="E2028" s="19" t="s">
        <v>13</v>
      </c>
      <c r="F2028" s="19" t="s">
        <v>37</v>
      </c>
      <c r="G2028" s="19" t="s">
        <v>21</v>
      </c>
      <c r="H2028" s="19" t="s">
        <v>22</v>
      </c>
      <c r="I2028" s="19">
        <v>48</v>
      </c>
      <c r="J2028" s="19">
        <v>0</v>
      </c>
      <c r="K2028" s="19">
        <v>4</v>
      </c>
      <c r="L2028" s="19" t="s">
        <v>44</v>
      </c>
      <c r="M2028" s="21">
        <v>13.9</v>
      </c>
      <c r="N2028">
        <f t="shared" si="31"/>
        <v>1</v>
      </c>
    </row>
    <row r="2029" spans="1:14" x14ac:dyDescent="0.35">
      <c r="A2029" s="22" t="s">
        <v>2099</v>
      </c>
      <c r="B2029" s="23" t="s">
        <v>97</v>
      </c>
      <c r="C2029" s="23">
        <v>3</v>
      </c>
      <c r="D2029" s="24">
        <v>45740</v>
      </c>
      <c r="E2029" s="23" t="s">
        <v>13</v>
      </c>
      <c r="F2029" s="23" t="s">
        <v>14</v>
      </c>
      <c r="G2029" s="23" t="s">
        <v>21</v>
      </c>
      <c r="H2029" s="23" t="s">
        <v>8364</v>
      </c>
      <c r="I2029" s="23">
        <v>48</v>
      </c>
      <c r="J2029" s="23">
        <v>0</v>
      </c>
      <c r="K2029" s="23">
        <v>2</v>
      </c>
      <c r="L2029" s="23" t="s">
        <v>55</v>
      </c>
      <c r="M2029" s="25">
        <v>7.7</v>
      </c>
      <c r="N2029">
        <f t="shared" si="31"/>
        <v>1</v>
      </c>
    </row>
    <row r="2030" spans="1:14" x14ac:dyDescent="0.35">
      <c r="A2030" s="6" t="s">
        <v>2100</v>
      </c>
      <c r="B2030" s="19" t="s">
        <v>143</v>
      </c>
      <c r="C2030" s="19"/>
      <c r="D2030" s="20"/>
      <c r="E2030" s="19" t="s">
        <v>13</v>
      </c>
      <c r="F2030" s="19" t="s">
        <v>40</v>
      </c>
      <c r="G2030" s="19" t="s">
        <v>27</v>
      </c>
      <c r="H2030" s="19" t="s">
        <v>28</v>
      </c>
      <c r="I2030" s="19">
        <v>48</v>
      </c>
      <c r="J2030" s="19">
        <v>0</v>
      </c>
      <c r="K2030" s="19">
        <v>4</v>
      </c>
      <c r="L2030" s="19" t="s">
        <v>44</v>
      </c>
      <c r="M2030" s="21">
        <v>19.5</v>
      </c>
      <c r="N2030">
        <f t="shared" si="31"/>
        <v>1</v>
      </c>
    </row>
    <row r="2031" spans="1:14" x14ac:dyDescent="0.35">
      <c r="A2031" s="22" t="s">
        <v>2101</v>
      </c>
      <c r="B2031" s="23" t="s">
        <v>89</v>
      </c>
      <c r="C2031" s="23">
        <v>4</v>
      </c>
      <c r="D2031" s="24">
        <v>45748</v>
      </c>
      <c r="E2031" s="23" t="s">
        <v>68</v>
      </c>
      <c r="F2031" s="23" t="s">
        <v>37</v>
      </c>
      <c r="G2031" s="23" t="s">
        <v>8364</v>
      </c>
      <c r="H2031" s="23" t="s">
        <v>32</v>
      </c>
      <c r="I2031" s="23">
        <v>8</v>
      </c>
      <c r="J2031" s="23">
        <v>0</v>
      </c>
      <c r="K2031" s="23">
        <v>5</v>
      </c>
      <c r="L2031" s="23" t="s">
        <v>17</v>
      </c>
      <c r="M2031" s="25">
        <v>7.6</v>
      </c>
      <c r="N2031">
        <f t="shared" si="31"/>
        <v>1</v>
      </c>
    </row>
    <row r="2032" spans="1:14" x14ac:dyDescent="0.35">
      <c r="A2032" s="6" t="s">
        <v>2102</v>
      </c>
      <c r="B2032" s="19" t="s">
        <v>29</v>
      </c>
      <c r="C2032" s="19">
        <v>4</v>
      </c>
      <c r="D2032" s="20">
        <v>45776</v>
      </c>
      <c r="E2032" s="19" t="s">
        <v>25</v>
      </c>
      <c r="F2032" s="19" t="s">
        <v>14</v>
      </c>
      <c r="G2032" s="19" t="s">
        <v>8364</v>
      </c>
      <c r="H2032" s="19" t="s">
        <v>32</v>
      </c>
      <c r="I2032" s="19">
        <v>4</v>
      </c>
      <c r="J2032" s="19">
        <v>0</v>
      </c>
      <c r="K2032" s="19">
        <v>5</v>
      </c>
      <c r="L2032" s="19" t="s">
        <v>75</v>
      </c>
      <c r="M2032" s="21">
        <v>3.3</v>
      </c>
      <c r="N2032">
        <f t="shared" si="31"/>
        <v>1</v>
      </c>
    </row>
    <row r="2033" spans="1:14" x14ac:dyDescent="0.35">
      <c r="A2033" s="22" t="s">
        <v>2103</v>
      </c>
      <c r="B2033" s="23" t="s">
        <v>39</v>
      </c>
      <c r="C2033" s="23">
        <v>4</v>
      </c>
      <c r="D2033" s="24">
        <v>45774</v>
      </c>
      <c r="E2033" s="23" t="s">
        <v>68</v>
      </c>
      <c r="F2033" s="23" t="s">
        <v>14</v>
      </c>
      <c r="G2033" s="23" t="s">
        <v>31</v>
      </c>
      <c r="H2033" s="23" t="s">
        <v>32</v>
      </c>
      <c r="I2033" s="23">
        <v>8</v>
      </c>
      <c r="J2033" s="23">
        <v>0</v>
      </c>
      <c r="K2033" s="23">
        <v>4</v>
      </c>
      <c r="L2033" s="23" t="s">
        <v>33</v>
      </c>
      <c r="M2033" s="25">
        <v>16.3</v>
      </c>
      <c r="N2033">
        <f t="shared" si="31"/>
        <v>0</v>
      </c>
    </row>
    <row r="2034" spans="1:14" x14ac:dyDescent="0.35">
      <c r="A2034" s="6" t="s">
        <v>2104</v>
      </c>
      <c r="B2034" s="19" t="s">
        <v>253</v>
      </c>
      <c r="C2034" s="19">
        <v>1</v>
      </c>
      <c r="D2034" s="20">
        <v>45682</v>
      </c>
      <c r="E2034" s="19" t="s">
        <v>25</v>
      </c>
      <c r="F2034" s="19" t="s">
        <v>14</v>
      </c>
      <c r="G2034" s="19" t="s">
        <v>15</v>
      </c>
      <c r="H2034" s="19" t="s">
        <v>28</v>
      </c>
      <c r="I2034" s="19">
        <v>8</v>
      </c>
      <c r="J2034" s="19">
        <v>1</v>
      </c>
      <c r="K2034" s="19">
        <v>4</v>
      </c>
      <c r="L2034" s="19" t="s">
        <v>17</v>
      </c>
      <c r="M2034" s="21">
        <v>19.3</v>
      </c>
      <c r="N2034">
        <f t="shared" si="31"/>
        <v>0</v>
      </c>
    </row>
    <row r="2035" spans="1:14" x14ac:dyDescent="0.35">
      <c r="A2035" s="22" t="s">
        <v>2105</v>
      </c>
      <c r="B2035" s="23" t="s">
        <v>253</v>
      </c>
      <c r="C2035" s="23">
        <v>5</v>
      </c>
      <c r="D2035" s="24">
        <v>45779</v>
      </c>
      <c r="E2035" s="23" t="s">
        <v>20</v>
      </c>
      <c r="F2035" s="23" t="s">
        <v>14</v>
      </c>
      <c r="G2035" s="23" t="s">
        <v>27</v>
      </c>
      <c r="H2035" s="23" t="s">
        <v>8364</v>
      </c>
      <c r="I2035" s="23">
        <v>48</v>
      </c>
      <c r="J2035" s="23">
        <v>0</v>
      </c>
      <c r="K2035" s="23">
        <v>4</v>
      </c>
      <c r="L2035" s="23" t="s">
        <v>38</v>
      </c>
      <c r="M2035" s="25">
        <v>7.1</v>
      </c>
      <c r="N2035">
        <f t="shared" si="31"/>
        <v>1</v>
      </c>
    </row>
    <row r="2036" spans="1:14" x14ac:dyDescent="0.35">
      <c r="A2036" s="6" t="s">
        <v>2106</v>
      </c>
      <c r="B2036" s="19" t="s">
        <v>87</v>
      </c>
      <c r="C2036" s="19"/>
      <c r="D2036" s="20"/>
      <c r="E2036" s="19" t="s">
        <v>68</v>
      </c>
      <c r="F2036" s="19" t="s">
        <v>8364</v>
      </c>
      <c r="G2036" s="19" t="s">
        <v>15</v>
      </c>
      <c r="H2036" s="19" t="s">
        <v>8364</v>
      </c>
      <c r="I2036" s="19">
        <v>72</v>
      </c>
      <c r="J2036" s="19">
        <v>0</v>
      </c>
      <c r="K2036" s="19">
        <v>5</v>
      </c>
      <c r="L2036" s="19" t="s">
        <v>8363</v>
      </c>
      <c r="M2036" s="21">
        <v>1.6</v>
      </c>
      <c r="N2036">
        <f t="shared" si="31"/>
        <v>1</v>
      </c>
    </row>
    <row r="2037" spans="1:14" x14ac:dyDescent="0.35">
      <c r="A2037" s="22" t="s">
        <v>2107</v>
      </c>
      <c r="B2037" s="23" t="s">
        <v>143</v>
      </c>
      <c r="C2037" s="23">
        <v>1</v>
      </c>
      <c r="D2037" s="24">
        <v>45682</v>
      </c>
      <c r="E2037" s="23" t="s">
        <v>8364</v>
      </c>
      <c r="F2037" s="23" t="s">
        <v>14</v>
      </c>
      <c r="G2037" s="23" t="s">
        <v>27</v>
      </c>
      <c r="H2037" s="23" t="s">
        <v>32</v>
      </c>
      <c r="I2037" s="23">
        <v>8</v>
      </c>
      <c r="J2037" s="23">
        <v>0</v>
      </c>
      <c r="K2037" s="23">
        <v>4</v>
      </c>
      <c r="L2037" s="23" t="s">
        <v>8363</v>
      </c>
      <c r="M2037" s="25">
        <v>23.3</v>
      </c>
      <c r="N2037">
        <f t="shared" si="31"/>
        <v>0</v>
      </c>
    </row>
    <row r="2038" spans="1:14" x14ac:dyDescent="0.35">
      <c r="A2038" s="6" t="s">
        <v>2108</v>
      </c>
      <c r="B2038" s="19" t="s">
        <v>143</v>
      </c>
      <c r="C2038" s="19">
        <v>6</v>
      </c>
      <c r="D2038" s="20">
        <v>45837</v>
      </c>
      <c r="E2038" s="19" t="s">
        <v>25</v>
      </c>
      <c r="F2038" s="19" t="s">
        <v>14</v>
      </c>
      <c r="G2038" s="19" t="s">
        <v>31</v>
      </c>
      <c r="H2038" s="19" t="s">
        <v>22</v>
      </c>
      <c r="I2038" s="19">
        <v>48</v>
      </c>
      <c r="J2038" s="19">
        <v>0</v>
      </c>
      <c r="K2038" s="19"/>
      <c r="L2038" s="19" t="s">
        <v>33</v>
      </c>
      <c r="M2038" s="21">
        <v>10.3</v>
      </c>
      <c r="N2038">
        <f t="shared" si="31"/>
        <v>1</v>
      </c>
    </row>
    <row r="2039" spans="1:14" x14ac:dyDescent="0.35">
      <c r="A2039" s="22" t="s">
        <v>2109</v>
      </c>
      <c r="B2039" s="23" t="s">
        <v>34</v>
      </c>
      <c r="C2039" s="23">
        <v>1</v>
      </c>
      <c r="D2039" s="24">
        <v>45685</v>
      </c>
      <c r="E2039" s="23" t="s">
        <v>36</v>
      </c>
      <c r="F2039" s="23" t="s">
        <v>40</v>
      </c>
      <c r="G2039" s="23" t="s">
        <v>31</v>
      </c>
      <c r="H2039" s="23" t="s">
        <v>28</v>
      </c>
      <c r="I2039" s="23">
        <v>48</v>
      </c>
      <c r="J2039" s="23">
        <v>0</v>
      </c>
      <c r="K2039" s="23">
        <v>5</v>
      </c>
      <c r="L2039" s="23" t="s">
        <v>44</v>
      </c>
      <c r="M2039" s="25">
        <v>9</v>
      </c>
      <c r="N2039">
        <f t="shared" si="31"/>
        <v>1</v>
      </c>
    </row>
    <row r="2040" spans="1:14" x14ac:dyDescent="0.35">
      <c r="A2040" s="6" t="s">
        <v>2110</v>
      </c>
      <c r="B2040" s="19" t="s">
        <v>65</v>
      </c>
      <c r="C2040" s="19">
        <v>3</v>
      </c>
      <c r="D2040" s="20">
        <v>45740</v>
      </c>
      <c r="E2040" s="19" t="s">
        <v>8364</v>
      </c>
      <c r="F2040" s="19" t="s">
        <v>43</v>
      </c>
      <c r="G2040" s="19" t="s">
        <v>31</v>
      </c>
      <c r="H2040" s="19" t="s">
        <v>28</v>
      </c>
      <c r="I2040" s="19">
        <v>4</v>
      </c>
      <c r="J2040" s="19">
        <v>0</v>
      </c>
      <c r="K2040" s="19">
        <v>4</v>
      </c>
      <c r="L2040" s="19" t="s">
        <v>17</v>
      </c>
      <c r="M2040" s="21">
        <v>5.2</v>
      </c>
      <c r="N2040">
        <f t="shared" si="31"/>
        <v>0</v>
      </c>
    </row>
    <row r="2041" spans="1:14" x14ac:dyDescent="0.35">
      <c r="A2041" s="22" t="s">
        <v>2111</v>
      </c>
      <c r="B2041" s="23" t="s">
        <v>49</v>
      </c>
      <c r="C2041" s="23">
        <v>3</v>
      </c>
      <c r="D2041" s="24">
        <v>45742</v>
      </c>
      <c r="E2041" s="23" t="s">
        <v>13</v>
      </c>
      <c r="F2041" s="23" t="s">
        <v>14</v>
      </c>
      <c r="G2041" s="23" t="s">
        <v>21</v>
      </c>
      <c r="H2041" s="23" t="s">
        <v>28</v>
      </c>
      <c r="I2041" s="23">
        <v>4</v>
      </c>
      <c r="J2041" s="23">
        <v>0</v>
      </c>
      <c r="K2041" s="23">
        <v>4</v>
      </c>
      <c r="L2041" s="23" t="s">
        <v>44</v>
      </c>
      <c r="M2041" s="25">
        <v>2.8</v>
      </c>
      <c r="N2041">
        <f t="shared" si="31"/>
        <v>1</v>
      </c>
    </row>
    <row r="2042" spans="1:14" x14ac:dyDescent="0.35">
      <c r="A2042" s="6" t="s">
        <v>2112</v>
      </c>
      <c r="B2042" s="19" t="s">
        <v>85</v>
      </c>
      <c r="C2042" s="19">
        <v>6</v>
      </c>
      <c r="D2042" s="20">
        <v>45827</v>
      </c>
      <c r="E2042" s="19" t="s">
        <v>36</v>
      </c>
      <c r="F2042" s="19" t="s">
        <v>14</v>
      </c>
      <c r="G2042" s="19" t="s">
        <v>31</v>
      </c>
      <c r="H2042" s="19" t="s">
        <v>22</v>
      </c>
      <c r="I2042" s="19">
        <v>24</v>
      </c>
      <c r="J2042" s="19">
        <v>3</v>
      </c>
      <c r="K2042" s="19">
        <v>4</v>
      </c>
      <c r="L2042" s="19" t="s">
        <v>8363</v>
      </c>
      <c r="M2042" s="21">
        <v>6.2</v>
      </c>
      <c r="N2042">
        <f t="shared" si="31"/>
        <v>1</v>
      </c>
    </row>
    <row r="2043" spans="1:14" x14ac:dyDescent="0.35">
      <c r="A2043" s="22" t="s">
        <v>2113</v>
      </c>
      <c r="B2043" s="23" t="s">
        <v>34</v>
      </c>
      <c r="C2043" s="23">
        <v>8</v>
      </c>
      <c r="D2043" s="24">
        <v>45899</v>
      </c>
      <c r="E2043" s="23" t="s">
        <v>25</v>
      </c>
      <c r="F2043" s="23" t="s">
        <v>43</v>
      </c>
      <c r="G2043" s="23" t="s">
        <v>8364</v>
      </c>
      <c r="H2043" s="23" t="s">
        <v>32</v>
      </c>
      <c r="I2043" s="23">
        <v>8</v>
      </c>
      <c r="J2043" s="23">
        <v>0</v>
      </c>
      <c r="K2043" s="23">
        <v>4</v>
      </c>
      <c r="L2043" s="23" t="s">
        <v>55</v>
      </c>
      <c r="M2043" s="25">
        <v>5.3</v>
      </c>
      <c r="N2043">
        <f t="shared" si="31"/>
        <v>1</v>
      </c>
    </row>
    <row r="2044" spans="1:14" x14ac:dyDescent="0.35">
      <c r="A2044" s="6" t="s">
        <v>2114</v>
      </c>
      <c r="B2044" s="19" t="s">
        <v>47</v>
      </c>
      <c r="C2044" s="19">
        <v>12</v>
      </c>
      <c r="D2044" s="20">
        <v>46006</v>
      </c>
      <c r="E2044" s="19" t="s">
        <v>25</v>
      </c>
      <c r="F2044" s="19" t="s">
        <v>37</v>
      </c>
      <c r="G2044" s="19" t="s">
        <v>21</v>
      </c>
      <c r="H2044" s="19" t="s">
        <v>28</v>
      </c>
      <c r="I2044" s="19">
        <v>48</v>
      </c>
      <c r="J2044" s="19">
        <v>1</v>
      </c>
      <c r="K2044" s="19">
        <v>5</v>
      </c>
      <c r="L2044" s="19" t="s">
        <v>8363</v>
      </c>
      <c r="M2044" s="21">
        <v>3.4</v>
      </c>
      <c r="N2044">
        <f t="shared" si="31"/>
        <v>1</v>
      </c>
    </row>
    <row r="2045" spans="1:14" x14ac:dyDescent="0.35">
      <c r="A2045" s="22" t="s">
        <v>2115</v>
      </c>
      <c r="B2045" s="23" t="s">
        <v>126</v>
      </c>
      <c r="C2045" s="23">
        <v>11</v>
      </c>
      <c r="D2045" s="24">
        <v>45978</v>
      </c>
      <c r="E2045" s="23" t="s">
        <v>13</v>
      </c>
      <c r="F2045" s="23" t="s">
        <v>8364</v>
      </c>
      <c r="G2045" s="23" t="s">
        <v>21</v>
      </c>
      <c r="H2045" s="23" t="s">
        <v>22</v>
      </c>
      <c r="I2045" s="23">
        <v>4</v>
      </c>
      <c r="J2045" s="23">
        <v>1</v>
      </c>
      <c r="K2045" s="23">
        <v>4</v>
      </c>
      <c r="L2045" s="23" t="s">
        <v>8363</v>
      </c>
      <c r="M2045" s="25">
        <v>12.2</v>
      </c>
      <c r="N2045">
        <f t="shared" si="31"/>
        <v>0</v>
      </c>
    </row>
    <row r="2046" spans="1:14" x14ac:dyDescent="0.35">
      <c r="A2046" s="6" t="s">
        <v>2116</v>
      </c>
      <c r="B2046" s="19" t="s">
        <v>23</v>
      </c>
      <c r="C2046" s="19">
        <v>1</v>
      </c>
      <c r="D2046" s="20">
        <v>45670</v>
      </c>
      <c r="E2046" s="19" t="s">
        <v>8364</v>
      </c>
      <c r="F2046" s="19" t="s">
        <v>26</v>
      </c>
      <c r="G2046" s="19" t="s">
        <v>15</v>
      </c>
      <c r="H2046" s="19" t="s">
        <v>16</v>
      </c>
      <c r="I2046" s="19">
        <v>24</v>
      </c>
      <c r="J2046" s="19">
        <v>0</v>
      </c>
      <c r="K2046" s="19">
        <v>3</v>
      </c>
      <c r="L2046" s="19" t="s">
        <v>8363</v>
      </c>
      <c r="M2046" s="21">
        <v>24.8</v>
      </c>
      <c r="N2046">
        <f t="shared" si="31"/>
        <v>0</v>
      </c>
    </row>
    <row r="2047" spans="1:14" x14ac:dyDescent="0.35">
      <c r="A2047" s="22" t="s">
        <v>2117</v>
      </c>
      <c r="B2047" s="23" t="s">
        <v>87</v>
      </c>
      <c r="C2047" s="23">
        <v>2</v>
      </c>
      <c r="D2047" s="24">
        <v>45716</v>
      </c>
      <c r="E2047" s="23" t="s">
        <v>8364</v>
      </c>
      <c r="F2047" s="23" t="s">
        <v>26</v>
      </c>
      <c r="G2047" s="23" t="s">
        <v>8364</v>
      </c>
      <c r="H2047" s="23" t="s">
        <v>22</v>
      </c>
      <c r="I2047" s="23">
        <v>72</v>
      </c>
      <c r="J2047" s="23">
        <v>0</v>
      </c>
      <c r="K2047" s="23">
        <v>2</v>
      </c>
      <c r="L2047" s="23" t="s">
        <v>38</v>
      </c>
      <c r="M2047" s="25">
        <v>8.1999999999999993</v>
      </c>
      <c r="N2047">
        <f t="shared" si="31"/>
        <v>1</v>
      </c>
    </row>
    <row r="2048" spans="1:14" x14ac:dyDescent="0.35">
      <c r="A2048" s="6" t="s">
        <v>2118</v>
      </c>
      <c r="B2048" s="19" t="s">
        <v>39</v>
      </c>
      <c r="C2048" s="19">
        <v>10</v>
      </c>
      <c r="D2048" s="20">
        <v>45939</v>
      </c>
      <c r="E2048" s="19" t="s">
        <v>68</v>
      </c>
      <c r="F2048" s="19" t="s">
        <v>59</v>
      </c>
      <c r="G2048" s="19" t="s">
        <v>31</v>
      </c>
      <c r="H2048" s="19" t="s">
        <v>22</v>
      </c>
      <c r="I2048" s="19">
        <v>4</v>
      </c>
      <c r="J2048" s="19">
        <v>0</v>
      </c>
      <c r="K2048" s="19">
        <v>5</v>
      </c>
      <c r="L2048" s="19" t="s">
        <v>75</v>
      </c>
      <c r="M2048" s="21">
        <v>27.1</v>
      </c>
      <c r="N2048">
        <f t="shared" si="31"/>
        <v>0</v>
      </c>
    </row>
    <row r="2049" spans="1:14" x14ac:dyDescent="0.35">
      <c r="A2049" s="22" t="s">
        <v>2119</v>
      </c>
      <c r="B2049" s="23" t="s">
        <v>29</v>
      </c>
      <c r="C2049" s="23">
        <v>9</v>
      </c>
      <c r="D2049" s="24">
        <v>45922</v>
      </c>
      <c r="E2049" s="23" t="s">
        <v>68</v>
      </c>
      <c r="F2049" s="23" t="s">
        <v>14</v>
      </c>
      <c r="G2049" s="23" t="s">
        <v>15</v>
      </c>
      <c r="H2049" s="23" t="s">
        <v>22</v>
      </c>
      <c r="I2049" s="23">
        <v>72</v>
      </c>
      <c r="J2049" s="23">
        <v>0</v>
      </c>
      <c r="K2049" s="23">
        <v>4</v>
      </c>
      <c r="L2049" s="23" t="s">
        <v>44</v>
      </c>
      <c r="M2049" s="25">
        <v>8.1999999999999993</v>
      </c>
      <c r="N2049">
        <f t="shared" si="31"/>
        <v>1</v>
      </c>
    </row>
    <row r="2050" spans="1:14" x14ac:dyDescent="0.35">
      <c r="A2050" s="6" t="s">
        <v>2120</v>
      </c>
      <c r="B2050" s="19" t="s">
        <v>181</v>
      </c>
      <c r="C2050" s="19">
        <v>8</v>
      </c>
      <c r="D2050" s="20">
        <v>45886</v>
      </c>
      <c r="E2050" s="19" t="s">
        <v>13</v>
      </c>
      <c r="F2050" s="19" t="s">
        <v>37</v>
      </c>
      <c r="G2050" s="19" t="s">
        <v>21</v>
      </c>
      <c r="H2050" s="19" t="s">
        <v>32</v>
      </c>
      <c r="I2050" s="19">
        <v>72</v>
      </c>
      <c r="J2050" s="19">
        <v>1</v>
      </c>
      <c r="K2050" s="19">
        <v>5</v>
      </c>
      <c r="L2050" s="19" t="s">
        <v>8363</v>
      </c>
      <c r="M2050" s="21">
        <v>5.9</v>
      </c>
      <c r="N2050">
        <f t="shared" si="31"/>
        <v>1</v>
      </c>
    </row>
    <row r="2051" spans="1:14" x14ac:dyDescent="0.35">
      <c r="A2051" s="22" t="s">
        <v>2121</v>
      </c>
      <c r="B2051" s="23" t="s">
        <v>89</v>
      </c>
      <c r="C2051" s="23">
        <v>10</v>
      </c>
      <c r="D2051" s="24">
        <v>45955</v>
      </c>
      <c r="E2051" s="23" t="s">
        <v>25</v>
      </c>
      <c r="F2051" s="23" t="s">
        <v>43</v>
      </c>
      <c r="G2051" s="23" t="s">
        <v>21</v>
      </c>
      <c r="H2051" s="23" t="s">
        <v>22</v>
      </c>
      <c r="I2051" s="23">
        <v>4</v>
      </c>
      <c r="J2051" s="23">
        <v>0</v>
      </c>
      <c r="K2051" s="23">
        <v>4</v>
      </c>
      <c r="L2051" s="23" t="s">
        <v>33</v>
      </c>
      <c r="M2051" s="25"/>
      <c r="N2051">
        <f t="shared" ref="N2051:N2114" si="32">IF(M2051 &lt;= I2051, 1, 0)</f>
        <v>1</v>
      </c>
    </row>
    <row r="2052" spans="1:14" x14ac:dyDescent="0.35">
      <c r="A2052" s="6" t="s">
        <v>2122</v>
      </c>
      <c r="B2052" s="19" t="s">
        <v>29</v>
      </c>
      <c r="C2052" s="19">
        <v>8</v>
      </c>
      <c r="D2052" s="20">
        <v>45899</v>
      </c>
      <c r="E2052" s="19" t="s">
        <v>25</v>
      </c>
      <c r="F2052" s="19" t="s">
        <v>14</v>
      </c>
      <c r="G2052" s="19" t="s">
        <v>27</v>
      </c>
      <c r="H2052" s="19" t="s">
        <v>16</v>
      </c>
      <c r="I2052" s="19">
        <v>48</v>
      </c>
      <c r="J2052" s="19">
        <v>0</v>
      </c>
      <c r="K2052" s="19">
        <v>2</v>
      </c>
      <c r="L2052" s="19" t="s">
        <v>62</v>
      </c>
      <c r="M2052" s="21">
        <v>9.6999999999999993</v>
      </c>
      <c r="N2052">
        <f t="shared" si="32"/>
        <v>1</v>
      </c>
    </row>
    <row r="2053" spans="1:14" x14ac:dyDescent="0.35">
      <c r="A2053" s="22" t="s">
        <v>2123</v>
      </c>
      <c r="B2053" s="23" t="s">
        <v>29</v>
      </c>
      <c r="C2053" s="23">
        <v>8</v>
      </c>
      <c r="D2053" s="24">
        <v>45894</v>
      </c>
      <c r="E2053" s="23" t="s">
        <v>20</v>
      </c>
      <c r="F2053" s="23" t="s">
        <v>40</v>
      </c>
      <c r="G2053" s="23" t="s">
        <v>31</v>
      </c>
      <c r="H2053" s="23" t="s">
        <v>22</v>
      </c>
      <c r="I2053" s="23">
        <v>8</v>
      </c>
      <c r="J2053" s="23">
        <v>2</v>
      </c>
      <c r="K2053" s="23">
        <v>5</v>
      </c>
      <c r="L2053" s="23" t="s">
        <v>75</v>
      </c>
      <c r="M2053" s="25">
        <v>3.7</v>
      </c>
      <c r="N2053">
        <f t="shared" si="32"/>
        <v>1</v>
      </c>
    </row>
    <row r="2054" spans="1:14" x14ac:dyDescent="0.35">
      <c r="A2054" s="6" t="s">
        <v>2124</v>
      </c>
      <c r="B2054" s="19" t="s">
        <v>78</v>
      </c>
      <c r="C2054" s="19">
        <v>6</v>
      </c>
      <c r="D2054" s="20">
        <v>45814</v>
      </c>
      <c r="E2054" s="19" t="s">
        <v>25</v>
      </c>
      <c r="F2054" s="19" t="s">
        <v>59</v>
      </c>
      <c r="G2054" s="19" t="s">
        <v>21</v>
      </c>
      <c r="H2054" s="19" t="s">
        <v>22</v>
      </c>
      <c r="I2054" s="19">
        <v>48</v>
      </c>
      <c r="J2054" s="19">
        <v>0</v>
      </c>
      <c r="K2054" s="19">
        <v>3</v>
      </c>
      <c r="L2054" s="19" t="s">
        <v>17</v>
      </c>
      <c r="M2054" s="21">
        <v>2.1</v>
      </c>
      <c r="N2054">
        <f t="shared" si="32"/>
        <v>1</v>
      </c>
    </row>
    <row r="2055" spans="1:14" x14ac:dyDescent="0.35">
      <c r="A2055" s="22" t="s">
        <v>2125</v>
      </c>
      <c r="B2055" s="23" t="s">
        <v>47</v>
      </c>
      <c r="C2055" s="23">
        <v>10</v>
      </c>
      <c r="D2055" s="24">
        <v>45960</v>
      </c>
      <c r="E2055" s="23" t="s">
        <v>36</v>
      </c>
      <c r="F2055" s="23" t="s">
        <v>43</v>
      </c>
      <c r="G2055" s="23" t="s">
        <v>21</v>
      </c>
      <c r="H2055" s="23" t="s">
        <v>28</v>
      </c>
      <c r="I2055" s="23">
        <v>24</v>
      </c>
      <c r="J2055" s="23">
        <v>0</v>
      </c>
      <c r="K2055" s="23">
        <v>4</v>
      </c>
      <c r="L2055" s="23" t="s">
        <v>55</v>
      </c>
      <c r="M2055" s="25">
        <v>27</v>
      </c>
      <c r="N2055">
        <f t="shared" si="32"/>
        <v>0</v>
      </c>
    </row>
    <row r="2056" spans="1:14" x14ac:dyDescent="0.35">
      <c r="A2056" s="6" t="s">
        <v>2126</v>
      </c>
      <c r="B2056" s="19" t="s">
        <v>23</v>
      </c>
      <c r="C2056" s="19">
        <v>3</v>
      </c>
      <c r="D2056" s="20">
        <v>45722</v>
      </c>
      <c r="E2056" s="19" t="s">
        <v>8364</v>
      </c>
      <c r="F2056" s="19" t="s">
        <v>8364</v>
      </c>
      <c r="G2056" s="19" t="s">
        <v>27</v>
      </c>
      <c r="H2056" s="19" t="s">
        <v>8364</v>
      </c>
      <c r="I2056" s="19">
        <v>4</v>
      </c>
      <c r="J2056" s="19">
        <v>0</v>
      </c>
      <c r="K2056" s="19">
        <v>2</v>
      </c>
      <c r="L2056" s="19" t="s">
        <v>62</v>
      </c>
      <c r="M2056" s="21">
        <v>5.8</v>
      </c>
      <c r="N2056">
        <f t="shared" si="32"/>
        <v>0</v>
      </c>
    </row>
    <row r="2057" spans="1:14" x14ac:dyDescent="0.35">
      <c r="A2057" s="22" t="s">
        <v>2127</v>
      </c>
      <c r="B2057" s="23" t="s">
        <v>57</v>
      </c>
      <c r="C2057" s="23">
        <v>11</v>
      </c>
      <c r="D2057" s="24">
        <v>45970</v>
      </c>
      <c r="E2057" s="23" t="s">
        <v>8364</v>
      </c>
      <c r="F2057" s="23" t="s">
        <v>37</v>
      </c>
      <c r="G2057" s="23" t="s">
        <v>15</v>
      </c>
      <c r="H2057" s="23" t="s">
        <v>32</v>
      </c>
      <c r="I2057" s="23">
        <v>8</v>
      </c>
      <c r="J2057" s="23">
        <v>2</v>
      </c>
      <c r="K2057" s="23"/>
      <c r="L2057" s="23" t="s">
        <v>44</v>
      </c>
      <c r="M2057" s="25">
        <v>8.6999999999999993</v>
      </c>
      <c r="N2057">
        <f t="shared" si="32"/>
        <v>0</v>
      </c>
    </row>
    <row r="2058" spans="1:14" x14ac:dyDescent="0.35">
      <c r="A2058" s="6" t="s">
        <v>2128</v>
      </c>
      <c r="B2058" s="19" t="s">
        <v>65</v>
      </c>
      <c r="C2058" s="19">
        <v>7</v>
      </c>
      <c r="D2058" s="20">
        <v>45843</v>
      </c>
      <c r="E2058" s="19" t="s">
        <v>13</v>
      </c>
      <c r="F2058" s="19" t="s">
        <v>14</v>
      </c>
      <c r="G2058" s="19" t="s">
        <v>21</v>
      </c>
      <c r="H2058" s="19" t="s">
        <v>8364</v>
      </c>
      <c r="I2058" s="19">
        <v>72</v>
      </c>
      <c r="J2058" s="19">
        <v>2</v>
      </c>
      <c r="K2058" s="19">
        <v>3</v>
      </c>
      <c r="L2058" s="19" t="s">
        <v>17</v>
      </c>
      <c r="M2058" s="21">
        <v>3.2</v>
      </c>
      <c r="N2058">
        <f t="shared" si="32"/>
        <v>1</v>
      </c>
    </row>
    <row r="2059" spans="1:14" x14ac:dyDescent="0.35">
      <c r="A2059" s="22" t="s">
        <v>2129</v>
      </c>
      <c r="B2059" s="23" t="s">
        <v>104</v>
      </c>
      <c r="C2059" s="23">
        <v>4</v>
      </c>
      <c r="D2059" s="24">
        <v>45776</v>
      </c>
      <c r="E2059" s="23" t="s">
        <v>8364</v>
      </c>
      <c r="F2059" s="23" t="s">
        <v>43</v>
      </c>
      <c r="G2059" s="23" t="s">
        <v>31</v>
      </c>
      <c r="H2059" s="23" t="s">
        <v>28</v>
      </c>
      <c r="I2059" s="23">
        <v>72</v>
      </c>
      <c r="J2059" s="23">
        <v>0</v>
      </c>
      <c r="K2059" s="23">
        <v>5</v>
      </c>
      <c r="L2059" s="23" t="s">
        <v>75</v>
      </c>
      <c r="M2059" s="25">
        <v>4.3</v>
      </c>
      <c r="N2059">
        <f t="shared" si="32"/>
        <v>1</v>
      </c>
    </row>
    <row r="2060" spans="1:14" x14ac:dyDescent="0.35">
      <c r="A2060" s="6" t="s">
        <v>2130</v>
      </c>
      <c r="B2060" s="19" t="s">
        <v>57</v>
      </c>
      <c r="C2060" s="19"/>
      <c r="D2060" s="20"/>
      <c r="E2060" s="19" t="s">
        <v>13</v>
      </c>
      <c r="F2060" s="19" t="s">
        <v>14</v>
      </c>
      <c r="G2060" s="19" t="s">
        <v>27</v>
      </c>
      <c r="H2060" s="19" t="s">
        <v>22</v>
      </c>
      <c r="I2060" s="19">
        <v>72</v>
      </c>
      <c r="J2060" s="19">
        <v>1</v>
      </c>
      <c r="K2060" s="19">
        <v>3</v>
      </c>
      <c r="L2060" s="19" t="s">
        <v>75</v>
      </c>
      <c r="M2060" s="21">
        <v>6.1</v>
      </c>
      <c r="N2060">
        <f t="shared" si="32"/>
        <v>1</v>
      </c>
    </row>
    <row r="2061" spans="1:14" x14ac:dyDescent="0.35">
      <c r="A2061" s="22" t="s">
        <v>2131</v>
      </c>
      <c r="B2061" s="23" t="s">
        <v>108</v>
      </c>
      <c r="C2061" s="23">
        <v>4</v>
      </c>
      <c r="D2061" s="24">
        <v>45771</v>
      </c>
      <c r="E2061" s="23" t="s">
        <v>8364</v>
      </c>
      <c r="F2061" s="23" t="s">
        <v>59</v>
      </c>
      <c r="G2061" s="23" t="s">
        <v>15</v>
      </c>
      <c r="H2061" s="23" t="s">
        <v>28</v>
      </c>
      <c r="I2061" s="23">
        <v>24</v>
      </c>
      <c r="J2061" s="23">
        <v>0</v>
      </c>
      <c r="K2061" s="23">
        <v>4</v>
      </c>
      <c r="L2061" s="23" t="s">
        <v>62</v>
      </c>
      <c r="M2061" s="25">
        <v>13.7</v>
      </c>
      <c r="N2061">
        <f t="shared" si="32"/>
        <v>1</v>
      </c>
    </row>
    <row r="2062" spans="1:14" x14ac:dyDescent="0.35">
      <c r="A2062" s="6" t="s">
        <v>2132</v>
      </c>
      <c r="B2062" s="19" t="s">
        <v>47</v>
      </c>
      <c r="C2062" s="19">
        <v>4</v>
      </c>
      <c r="D2062" s="20">
        <v>45768</v>
      </c>
      <c r="E2062" s="19" t="s">
        <v>8364</v>
      </c>
      <c r="F2062" s="19" t="s">
        <v>8364</v>
      </c>
      <c r="G2062" s="19" t="s">
        <v>31</v>
      </c>
      <c r="H2062" s="19" t="s">
        <v>32</v>
      </c>
      <c r="I2062" s="19">
        <v>48</v>
      </c>
      <c r="J2062" s="19">
        <v>1</v>
      </c>
      <c r="K2062" s="19"/>
      <c r="L2062" s="19" t="s">
        <v>62</v>
      </c>
      <c r="M2062" s="21">
        <v>9.1</v>
      </c>
      <c r="N2062">
        <f t="shared" si="32"/>
        <v>1</v>
      </c>
    </row>
    <row r="2063" spans="1:14" x14ac:dyDescent="0.35">
      <c r="A2063" s="22" t="s">
        <v>2133</v>
      </c>
      <c r="B2063" s="23" t="s">
        <v>51</v>
      </c>
      <c r="C2063" s="23">
        <v>2</v>
      </c>
      <c r="D2063" s="24">
        <v>45691</v>
      </c>
      <c r="E2063" s="23" t="s">
        <v>8364</v>
      </c>
      <c r="F2063" s="23" t="s">
        <v>8364</v>
      </c>
      <c r="G2063" s="23" t="s">
        <v>15</v>
      </c>
      <c r="H2063" s="23" t="s">
        <v>8364</v>
      </c>
      <c r="I2063" s="23">
        <v>8</v>
      </c>
      <c r="J2063" s="23">
        <v>1</v>
      </c>
      <c r="K2063" s="23">
        <v>2</v>
      </c>
      <c r="L2063" s="23" t="s">
        <v>33</v>
      </c>
      <c r="M2063" s="25">
        <v>9.6999999999999993</v>
      </c>
      <c r="N2063">
        <f t="shared" si="32"/>
        <v>0</v>
      </c>
    </row>
    <row r="2064" spans="1:14" x14ac:dyDescent="0.35">
      <c r="A2064" s="6" t="s">
        <v>2134</v>
      </c>
      <c r="B2064" s="19" t="s">
        <v>99</v>
      </c>
      <c r="C2064" s="19">
        <v>1</v>
      </c>
      <c r="D2064" s="20">
        <v>45671</v>
      </c>
      <c r="E2064" s="19" t="s">
        <v>8364</v>
      </c>
      <c r="F2064" s="19" t="s">
        <v>59</v>
      </c>
      <c r="G2064" s="19" t="s">
        <v>31</v>
      </c>
      <c r="H2064" s="19" t="s">
        <v>8364</v>
      </c>
      <c r="I2064" s="19">
        <v>24</v>
      </c>
      <c r="J2064" s="19">
        <v>2</v>
      </c>
      <c r="K2064" s="19">
        <v>5</v>
      </c>
      <c r="L2064" s="19" t="s">
        <v>44</v>
      </c>
      <c r="M2064" s="21">
        <v>43.5</v>
      </c>
      <c r="N2064">
        <f t="shared" si="32"/>
        <v>0</v>
      </c>
    </row>
    <row r="2065" spans="1:14" x14ac:dyDescent="0.35">
      <c r="A2065" s="22" t="s">
        <v>2135</v>
      </c>
      <c r="B2065" s="23" t="s">
        <v>69</v>
      </c>
      <c r="C2065" s="23"/>
      <c r="D2065" s="24"/>
      <c r="E2065" s="23" t="s">
        <v>13</v>
      </c>
      <c r="F2065" s="23" t="s">
        <v>43</v>
      </c>
      <c r="G2065" s="23" t="s">
        <v>31</v>
      </c>
      <c r="H2065" s="23" t="s">
        <v>8364</v>
      </c>
      <c r="I2065" s="23">
        <v>72</v>
      </c>
      <c r="J2065" s="23">
        <v>0</v>
      </c>
      <c r="K2065" s="23">
        <v>5</v>
      </c>
      <c r="L2065" s="23" t="s">
        <v>8363</v>
      </c>
      <c r="M2065" s="25">
        <v>9.5</v>
      </c>
      <c r="N2065">
        <f t="shared" si="32"/>
        <v>1</v>
      </c>
    </row>
    <row r="2066" spans="1:14" x14ac:dyDescent="0.35">
      <c r="A2066" s="6" t="s">
        <v>2136</v>
      </c>
      <c r="B2066" s="19" t="s">
        <v>51</v>
      </c>
      <c r="C2066" s="19">
        <v>10</v>
      </c>
      <c r="D2066" s="20">
        <v>45957</v>
      </c>
      <c r="E2066" s="19" t="s">
        <v>8364</v>
      </c>
      <c r="F2066" s="19" t="s">
        <v>14</v>
      </c>
      <c r="G2066" s="19" t="s">
        <v>21</v>
      </c>
      <c r="H2066" s="19" t="s">
        <v>16</v>
      </c>
      <c r="I2066" s="19">
        <v>24</v>
      </c>
      <c r="J2066" s="19">
        <v>0</v>
      </c>
      <c r="K2066" s="19">
        <v>2</v>
      </c>
      <c r="L2066" s="19" t="s">
        <v>55</v>
      </c>
      <c r="M2066" s="21">
        <v>5.7</v>
      </c>
      <c r="N2066">
        <f t="shared" si="32"/>
        <v>1</v>
      </c>
    </row>
    <row r="2067" spans="1:14" x14ac:dyDescent="0.35">
      <c r="A2067" s="22" t="s">
        <v>2137</v>
      </c>
      <c r="B2067" s="23" t="s">
        <v>65</v>
      </c>
      <c r="C2067" s="23">
        <v>3</v>
      </c>
      <c r="D2067" s="24">
        <v>45722</v>
      </c>
      <c r="E2067" s="23" t="s">
        <v>25</v>
      </c>
      <c r="F2067" s="23" t="s">
        <v>14</v>
      </c>
      <c r="G2067" s="23" t="s">
        <v>8364</v>
      </c>
      <c r="H2067" s="23" t="s">
        <v>8364</v>
      </c>
      <c r="I2067" s="23">
        <v>8</v>
      </c>
      <c r="J2067" s="23">
        <v>0</v>
      </c>
      <c r="K2067" s="23">
        <v>4</v>
      </c>
      <c r="L2067" s="23" t="s">
        <v>8363</v>
      </c>
      <c r="M2067" s="25">
        <v>15.4</v>
      </c>
      <c r="N2067">
        <f t="shared" si="32"/>
        <v>0</v>
      </c>
    </row>
    <row r="2068" spans="1:14" x14ac:dyDescent="0.35">
      <c r="A2068" s="6" t="s">
        <v>2138</v>
      </c>
      <c r="B2068" s="19" t="s">
        <v>81</v>
      </c>
      <c r="C2068" s="19">
        <v>7</v>
      </c>
      <c r="D2068" s="20">
        <v>45842</v>
      </c>
      <c r="E2068" s="19" t="s">
        <v>8364</v>
      </c>
      <c r="F2068" s="19" t="s">
        <v>14</v>
      </c>
      <c r="G2068" s="19" t="s">
        <v>31</v>
      </c>
      <c r="H2068" s="19" t="s">
        <v>32</v>
      </c>
      <c r="I2068" s="19">
        <v>8</v>
      </c>
      <c r="J2068" s="19">
        <v>0</v>
      </c>
      <c r="K2068" s="19">
        <v>3</v>
      </c>
      <c r="L2068" s="19" t="s">
        <v>8363</v>
      </c>
      <c r="M2068" s="21">
        <v>13.3</v>
      </c>
      <c r="N2068">
        <f t="shared" si="32"/>
        <v>0</v>
      </c>
    </row>
    <row r="2069" spans="1:14" x14ac:dyDescent="0.35">
      <c r="A2069" s="22" t="s">
        <v>2139</v>
      </c>
      <c r="B2069" s="23" t="s">
        <v>126</v>
      </c>
      <c r="C2069" s="23"/>
      <c r="D2069" s="24"/>
      <c r="E2069" s="23" t="s">
        <v>36</v>
      </c>
      <c r="F2069" s="23" t="s">
        <v>8364</v>
      </c>
      <c r="G2069" s="23" t="s">
        <v>8364</v>
      </c>
      <c r="H2069" s="23" t="s">
        <v>28</v>
      </c>
      <c r="I2069" s="23">
        <v>48</v>
      </c>
      <c r="J2069" s="23">
        <v>1</v>
      </c>
      <c r="K2069" s="23">
        <v>4</v>
      </c>
      <c r="L2069" s="23" t="s">
        <v>38</v>
      </c>
      <c r="M2069" s="25">
        <v>9.4</v>
      </c>
      <c r="N2069">
        <f t="shared" si="32"/>
        <v>1</v>
      </c>
    </row>
    <row r="2070" spans="1:14" x14ac:dyDescent="0.35">
      <c r="A2070" s="6" t="s">
        <v>2140</v>
      </c>
      <c r="B2070" s="19" t="s">
        <v>236</v>
      </c>
      <c r="C2070" s="19">
        <v>3</v>
      </c>
      <c r="D2070" s="20">
        <v>45730</v>
      </c>
      <c r="E2070" s="19" t="s">
        <v>36</v>
      </c>
      <c r="F2070" s="19" t="s">
        <v>26</v>
      </c>
      <c r="G2070" s="19" t="s">
        <v>31</v>
      </c>
      <c r="H2070" s="19" t="s">
        <v>32</v>
      </c>
      <c r="I2070" s="19">
        <v>72</v>
      </c>
      <c r="J2070" s="19">
        <v>0</v>
      </c>
      <c r="K2070" s="19">
        <v>2</v>
      </c>
      <c r="L2070" s="19" t="s">
        <v>62</v>
      </c>
      <c r="M2070" s="21">
        <v>12.9</v>
      </c>
      <c r="N2070">
        <f t="shared" si="32"/>
        <v>1</v>
      </c>
    </row>
    <row r="2071" spans="1:14" x14ac:dyDescent="0.35">
      <c r="A2071" s="22" t="s">
        <v>2141</v>
      </c>
      <c r="B2071" s="23" t="s">
        <v>65</v>
      </c>
      <c r="C2071" s="23">
        <v>2</v>
      </c>
      <c r="D2071" s="24">
        <v>45711</v>
      </c>
      <c r="E2071" s="23" t="s">
        <v>36</v>
      </c>
      <c r="F2071" s="23" t="s">
        <v>14</v>
      </c>
      <c r="G2071" s="23" t="s">
        <v>27</v>
      </c>
      <c r="H2071" s="23" t="s">
        <v>22</v>
      </c>
      <c r="I2071" s="23">
        <v>48</v>
      </c>
      <c r="J2071" s="23"/>
      <c r="K2071" s="23">
        <v>4</v>
      </c>
      <c r="L2071" s="23" t="s">
        <v>33</v>
      </c>
      <c r="M2071" s="25">
        <v>14.1</v>
      </c>
      <c r="N2071">
        <f t="shared" si="32"/>
        <v>1</v>
      </c>
    </row>
    <row r="2072" spans="1:14" x14ac:dyDescent="0.35">
      <c r="A2072" s="6" t="s">
        <v>2142</v>
      </c>
      <c r="B2072" s="19" t="s">
        <v>126</v>
      </c>
      <c r="C2072" s="19">
        <v>6</v>
      </c>
      <c r="D2072" s="20">
        <v>45834</v>
      </c>
      <c r="E2072" s="19" t="s">
        <v>36</v>
      </c>
      <c r="F2072" s="19" t="s">
        <v>14</v>
      </c>
      <c r="G2072" s="19" t="s">
        <v>31</v>
      </c>
      <c r="H2072" s="19" t="s">
        <v>22</v>
      </c>
      <c r="I2072" s="19">
        <v>48</v>
      </c>
      <c r="J2072" s="19">
        <v>0</v>
      </c>
      <c r="K2072" s="19">
        <v>2</v>
      </c>
      <c r="L2072" s="19" t="s">
        <v>8363</v>
      </c>
      <c r="M2072" s="21">
        <v>22.7</v>
      </c>
      <c r="N2072">
        <f t="shared" si="32"/>
        <v>1</v>
      </c>
    </row>
    <row r="2073" spans="1:14" x14ac:dyDescent="0.35">
      <c r="A2073" s="22" t="s">
        <v>2143</v>
      </c>
      <c r="B2073" s="23" t="s">
        <v>47</v>
      </c>
      <c r="C2073" s="23">
        <v>11</v>
      </c>
      <c r="D2073" s="24">
        <v>45990</v>
      </c>
      <c r="E2073" s="23" t="s">
        <v>25</v>
      </c>
      <c r="F2073" s="23" t="s">
        <v>59</v>
      </c>
      <c r="G2073" s="23" t="s">
        <v>15</v>
      </c>
      <c r="H2073" s="23" t="s">
        <v>16</v>
      </c>
      <c r="I2073" s="23">
        <v>4</v>
      </c>
      <c r="J2073" s="23">
        <v>0</v>
      </c>
      <c r="K2073" s="23">
        <v>3</v>
      </c>
      <c r="L2073" s="23" t="s">
        <v>55</v>
      </c>
      <c r="M2073" s="25">
        <v>19</v>
      </c>
      <c r="N2073">
        <f t="shared" si="32"/>
        <v>0</v>
      </c>
    </row>
    <row r="2074" spans="1:14" x14ac:dyDescent="0.35">
      <c r="A2074" s="6" t="s">
        <v>2144</v>
      </c>
      <c r="B2074" s="19" t="s">
        <v>236</v>
      </c>
      <c r="C2074" s="19">
        <v>8</v>
      </c>
      <c r="D2074" s="20">
        <v>45874</v>
      </c>
      <c r="E2074" s="19" t="s">
        <v>20</v>
      </c>
      <c r="F2074" s="19" t="s">
        <v>43</v>
      </c>
      <c r="G2074" s="19" t="s">
        <v>31</v>
      </c>
      <c r="H2074" s="19" t="s">
        <v>32</v>
      </c>
      <c r="I2074" s="19">
        <v>24</v>
      </c>
      <c r="J2074" s="19">
        <v>1</v>
      </c>
      <c r="K2074" s="19">
        <v>3</v>
      </c>
      <c r="L2074" s="19" t="s">
        <v>8363</v>
      </c>
      <c r="M2074" s="21">
        <v>13.8</v>
      </c>
      <c r="N2074">
        <f t="shared" si="32"/>
        <v>1</v>
      </c>
    </row>
    <row r="2075" spans="1:14" x14ac:dyDescent="0.35">
      <c r="A2075" s="22" t="s">
        <v>2145</v>
      </c>
      <c r="B2075" s="23" t="s">
        <v>143</v>
      </c>
      <c r="C2075" s="23">
        <v>9</v>
      </c>
      <c r="D2075" s="24">
        <v>45924</v>
      </c>
      <c r="E2075" s="23" t="s">
        <v>36</v>
      </c>
      <c r="F2075" s="23" t="s">
        <v>14</v>
      </c>
      <c r="G2075" s="23" t="s">
        <v>27</v>
      </c>
      <c r="H2075" s="23" t="s">
        <v>8364</v>
      </c>
      <c r="I2075" s="23">
        <v>8</v>
      </c>
      <c r="J2075" s="23">
        <v>0</v>
      </c>
      <c r="K2075" s="23">
        <v>2</v>
      </c>
      <c r="L2075" s="23" t="s">
        <v>8363</v>
      </c>
      <c r="M2075" s="25">
        <v>18</v>
      </c>
      <c r="N2075">
        <f t="shared" si="32"/>
        <v>0</v>
      </c>
    </row>
    <row r="2076" spans="1:14" x14ac:dyDescent="0.35">
      <c r="A2076" s="6" t="s">
        <v>2146</v>
      </c>
      <c r="B2076" s="19" t="s">
        <v>18</v>
      </c>
      <c r="C2076" s="19">
        <v>12</v>
      </c>
      <c r="D2076" s="20">
        <v>46020</v>
      </c>
      <c r="E2076" s="19" t="s">
        <v>13</v>
      </c>
      <c r="F2076" s="19" t="s">
        <v>43</v>
      </c>
      <c r="G2076" s="19" t="s">
        <v>27</v>
      </c>
      <c r="H2076" s="19" t="s">
        <v>32</v>
      </c>
      <c r="I2076" s="19">
        <v>4</v>
      </c>
      <c r="J2076" s="19">
        <v>0</v>
      </c>
      <c r="K2076" s="19">
        <v>5</v>
      </c>
      <c r="L2076" s="19" t="s">
        <v>75</v>
      </c>
      <c r="M2076" s="21">
        <v>8.6</v>
      </c>
      <c r="N2076">
        <f t="shared" si="32"/>
        <v>0</v>
      </c>
    </row>
    <row r="2077" spans="1:14" x14ac:dyDescent="0.35">
      <c r="A2077" s="22" t="s">
        <v>2147</v>
      </c>
      <c r="B2077" s="23" t="s">
        <v>51</v>
      </c>
      <c r="C2077" s="23">
        <v>7</v>
      </c>
      <c r="D2077" s="24">
        <v>45867</v>
      </c>
      <c r="E2077" s="23" t="s">
        <v>13</v>
      </c>
      <c r="F2077" s="23" t="s">
        <v>14</v>
      </c>
      <c r="G2077" s="23" t="s">
        <v>21</v>
      </c>
      <c r="H2077" s="23" t="s">
        <v>8364</v>
      </c>
      <c r="I2077" s="23">
        <v>24</v>
      </c>
      <c r="J2077" s="23">
        <v>0</v>
      </c>
      <c r="K2077" s="23">
        <v>4</v>
      </c>
      <c r="L2077" s="23" t="s">
        <v>75</v>
      </c>
      <c r="M2077" s="25">
        <v>8.6999999999999993</v>
      </c>
      <c r="N2077">
        <f t="shared" si="32"/>
        <v>1</v>
      </c>
    </row>
    <row r="2078" spans="1:14" x14ac:dyDescent="0.35">
      <c r="A2078" s="6" t="s">
        <v>2148</v>
      </c>
      <c r="B2078" s="19" t="s">
        <v>65</v>
      </c>
      <c r="C2078" s="19">
        <v>6</v>
      </c>
      <c r="D2078" s="20">
        <v>45838</v>
      </c>
      <c r="E2078" s="19" t="s">
        <v>25</v>
      </c>
      <c r="F2078" s="19" t="s">
        <v>14</v>
      </c>
      <c r="G2078" s="19" t="s">
        <v>8364</v>
      </c>
      <c r="H2078" s="19" t="s">
        <v>16</v>
      </c>
      <c r="I2078" s="19">
        <v>72</v>
      </c>
      <c r="J2078" s="19">
        <v>0</v>
      </c>
      <c r="K2078" s="19">
        <v>3</v>
      </c>
      <c r="L2078" s="19" t="s">
        <v>44</v>
      </c>
      <c r="M2078" s="21"/>
      <c r="N2078">
        <f t="shared" si="32"/>
        <v>1</v>
      </c>
    </row>
    <row r="2079" spans="1:14" x14ac:dyDescent="0.35">
      <c r="A2079" s="22" t="s">
        <v>2149</v>
      </c>
      <c r="B2079" s="23" t="s">
        <v>18</v>
      </c>
      <c r="C2079" s="23">
        <v>9</v>
      </c>
      <c r="D2079" s="24">
        <v>45903</v>
      </c>
      <c r="E2079" s="23" t="s">
        <v>36</v>
      </c>
      <c r="F2079" s="23" t="s">
        <v>26</v>
      </c>
      <c r="G2079" s="23" t="s">
        <v>21</v>
      </c>
      <c r="H2079" s="23" t="s">
        <v>8364</v>
      </c>
      <c r="I2079" s="23">
        <v>8</v>
      </c>
      <c r="J2079" s="23">
        <v>0</v>
      </c>
      <c r="K2079" s="23">
        <v>3</v>
      </c>
      <c r="L2079" s="23" t="s">
        <v>8363</v>
      </c>
      <c r="M2079" s="25">
        <v>11.7</v>
      </c>
      <c r="N2079">
        <f t="shared" si="32"/>
        <v>0</v>
      </c>
    </row>
    <row r="2080" spans="1:14" x14ac:dyDescent="0.35">
      <c r="A2080" s="6" t="s">
        <v>2150</v>
      </c>
      <c r="B2080" s="19" t="s">
        <v>89</v>
      </c>
      <c r="C2080" s="19">
        <v>4</v>
      </c>
      <c r="D2080" s="20">
        <v>45776</v>
      </c>
      <c r="E2080" s="19" t="s">
        <v>68</v>
      </c>
      <c r="F2080" s="19" t="s">
        <v>40</v>
      </c>
      <c r="G2080" s="19" t="s">
        <v>31</v>
      </c>
      <c r="H2080" s="19" t="s">
        <v>8364</v>
      </c>
      <c r="I2080" s="19">
        <v>4</v>
      </c>
      <c r="J2080" s="19"/>
      <c r="K2080" s="19"/>
      <c r="L2080" s="19" t="s">
        <v>75</v>
      </c>
      <c r="M2080" s="21">
        <v>5.0999999999999996</v>
      </c>
      <c r="N2080">
        <f t="shared" si="32"/>
        <v>0</v>
      </c>
    </row>
    <row r="2081" spans="1:14" x14ac:dyDescent="0.35">
      <c r="A2081" s="22" t="s">
        <v>2151</v>
      </c>
      <c r="B2081" s="23" t="s">
        <v>29</v>
      </c>
      <c r="C2081" s="23">
        <v>12</v>
      </c>
      <c r="D2081" s="24">
        <v>45999</v>
      </c>
      <c r="E2081" s="23" t="s">
        <v>13</v>
      </c>
      <c r="F2081" s="23" t="s">
        <v>26</v>
      </c>
      <c r="G2081" s="23" t="s">
        <v>31</v>
      </c>
      <c r="H2081" s="23" t="s">
        <v>22</v>
      </c>
      <c r="I2081" s="23">
        <v>72</v>
      </c>
      <c r="J2081" s="23">
        <v>3</v>
      </c>
      <c r="K2081" s="23">
        <v>3</v>
      </c>
      <c r="L2081" s="23" t="s">
        <v>33</v>
      </c>
      <c r="M2081" s="25">
        <v>12.2</v>
      </c>
      <c r="N2081">
        <f t="shared" si="32"/>
        <v>1</v>
      </c>
    </row>
    <row r="2082" spans="1:14" x14ac:dyDescent="0.35">
      <c r="A2082" s="6" t="s">
        <v>2152</v>
      </c>
      <c r="B2082" s="19" t="s">
        <v>29</v>
      </c>
      <c r="C2082" s="19">
        <v>5</v>
      </c>
      <c r="D2082" s="20">
        <v>45789</v>
      </c>
      <c r="E2082" s="19" t="s">
        <v>8364</v>
      </c>
      <c r="F2082" s="19" t="s">
        <v>26</v>
      </c>
      <c r="G2082" s="19" t="s">
        <v>15</v>
      </c>
      <c r="H2082" s="19" t="s">
        <v>32</v>
      </c>
      <c r="I2082" s="19">
        <v>4</v>
      </c>
      <c r="J2082" s="19">
        <v>1</v>
      </c>
      <c r="K2082" s="19">
        <v>5</v>
      </c>
      <c r="L2082" s="19" t="s">
        <v>55</v>
      </c>
      <c r="M2082" s="21">
        <v>6</v>
      </c>
      <c r="N2082">
        <f t="shared" si="32"/>
        <v>0</v>
      </c>
    </row>
    <row r="2083" spans="1:14" x14ac:dyDescent="0.35">
      <c r="A2083" s="22" t="s">
        <v>2153</v>
      </c>
      <c r="B2083" s="23" t="s">
        <v>39</v>
      </c>
      <c r="C2083" s="23">
        <v>5</v>
      </c>
      <c r="D2083" s="24">
        <v>45789</v>
      </c>
      <c r="E2083" s="23" t="s">
        <v>25</v>
      </c>
      <c r="F2083" s="23" t="s">
        <v>40</v>
      </c>
      <c r="G2083" s="23" t="s">
        <v>27</v>
      </c>
      <c r="H2083" s="23" t="s">
        <v>22</v>
      </c>
      <c r="I2083" s="23">
        <v>4</v>
      </c>
      <c r="J2083" s="23">
        <v>0</v>
      </c>
      <c r="K2083" s="23">
        <v>4</v>
      </c>
      <c r="L2083" s="23" t="s">
        <v>33</v>
      </c>
      <c r="M2083" s="25">
        <v>12.8</v>
      </c>
      <c r="N2083">
        <f t="shared" si="32"/>
        <v>0</v>
      </c>
    </row>
    <row r="2084" spans="1:14" x14ac:dyDescent="0.35">
      <c r="A2084" s="6" t="s">
        <v>2154</v>
      </c>
      <c r="B2084" s="19" t="s">
        <v>108</v>
      </c>
      <c r="C2084" s="19">
        <v>10</v>
      </c>
      <c r="D2084" s="20">
        <v>45932</v>
      </c>
      <c r="E2084" s="19" t="s">
        <v>13</v>
      </c>
      <c r="F2084" s="19" t="s">
        <v>40</v>
      </c>
      <c r="G2084" s="19" t="s">
        <v>8364</v>
      </c>
      <c r="H2084" s="19" t="s">
        <v>32</v>
      </c>
      <c r="I2084" s="19">
        <v>24</v>
      </c>
      <c r="J2084" s="19">
        <v>0</v>
      </c>
      <c r="K2084" s="19">
        <v>3</v>
      </c>
      <c r="L2084" s="19" t="s">
        <v>62</v>
      </c>
      <c r="M2084" s="21">
        <v>6.2</v>
      </c>
      <c r="N2084">
        <f t="shared" si="32"/>
        <v>1</v>
      </c>
    </row>
    <row r="2085" spans="1:14" x14ac:dyDescent="0.35">
      <c r="A2085" s="22" t="s">
        <v>2155</v>
      </c>
      <c r="B2085" s="23" t="s">
        <v>39</v>
      </c>
      <c r="C2085" s="23">
        <v>12</v>
      </c>
      <c r="D2085" s="24">
        <v>46020</v>
      </c>
      <c r="E2085" s="23" t="s">
        <v>13</v>
      </c>
      <c r="F2085" s="23" t="s">
        <v>40</v>
      </c>
      <c r="G2085" s="23" t="s">
        <v>15</v>
      </c>
      <c r="H2085" s="23" t="s">
        <v>32</v>
      </c>
      <c r="I2085" s="23">
        <v>48</v>
      </c>
      <c r="J2085" s="23">
        <v>0</v>
      </c>
      <c r="K2085" s="23">
        <v>5</v>
      </c>
      <c r="L2085" s="23" t="s">
        <v>8363</v>
      </c>
      <c r="M2085" s="25">
        <v>10.7</v>
      </c>
      <c r="N2085">
        <f t="shared" si="32"/>
        <v>1</v>
      </c>
    </row>
    <row r="2086" spans="1:14" x14ac:dyDescent="0.35">
      <c r="A2086" s="6" t="s">
        <v>2156</v>
      </c>
      <c r="B2086" s="19" t="s">
        <v>101</v>
      </c>
      <c r="C2086" s="19">
        <v>1</v>
      </c>
      <c r="D2086" s="20">
        <v>45682</v>
      </c>
      <c r="E2086" s="19" t="s">
        <v>25</v>
      </c>
      <c r="F2086" s="19" t="s">
        <v>26</v>
      </c>
      <c r="G2086" s="19" t="s">
        <v>15</v>
      </c>
      <c r="H2086" s="19" t="s">
        <v>22</v>
      </c>
      <c r="I2086" s="19">
        <v>4</v>
      </c>
      <c r="J2086" s="19">
        <v>0</v>
      </c>
      <c r="K2086" s="19">
        <v>3</v>
      </c>
      <c r="L2086" s="19" t="s">
        <v>8363</v>
      </c>
      <c r="M2086" s="21">
        <v>13.2</v>
      </c>
      <c r="N2086">
        <f t="shared" si="32"/>
        <v>0</v>
      </c>
    </row>
    <row r="2087" spans="1:14" x14ac:dyDescent="0.35">
      <c r="A2087" s="22" t="s">
        <v>2157</v>
      </c>
      <c r="B2087" s="23" t="s">
        <v>39</v>
      </c>
      <c r="C2087" s="23">
        <v>6</v>
      </c>
      <c r="D2087" s="24">
        <v>45824</v>
      </c>
      <c r="E2087" s="23" t="s">
        <v>36</v>
      </c>
      <c r="F2087" s="23" t="s">
        <v>37</v>
      </c>
      <c r="G2087" s="23" t="s">
        <v>27</v>
      </c>
      <c r="H2087" s="23" t="s">
        <v>32</v>
      </c>
      <c r="I2087" s="23">
        <v>8</v>
      </c>
      <c r="J2087" s="23">
        <v>1</v>
      </c>
      <c r="K2087" s="23">
        <v>5</v>
      </c>
      <c r="L2087" s="23" t="s">
        <v>44</v>
      </c>
      <c r="M2087" s="25">
        <v>33.200000000000003</v>
      </c>
      <c r="N2087">
        <f t="shared" si="32"/>
        <v>0</v>
      </c>
    </row>
    <row r="2088" spans="1:14" x14ac:dyDescent="0.35">
      <c r="A2088" s="6" t="s">
        <v>2158</v>
      </c>
      <c r="B2088" s="19" t="s">
        <v>65</v>
      </c>
      <c r="C2088" s="19">
        <v>1</v>
      </c>
      <c r="D2088" s="20">
        <v>45686</v>
      </c>
      <c r="E2088" s="19" t="s">
        <v>25</v>
      </c>
      <c r="F2088" s="19" t="s">
        <v>26</v>
      </c>
      <c r="G2088" s="19" t="s">
        <v>15</v>
      </c>
      <c r="H2088" s="19" t="s">
        <v>28</v>
      </c>
      <c r="I2088" s="19">
        <v>8</v>
      </c>
      <c r="J2088" s="19">
        <v>0</v>
      </c>
      <c r="K2088" s="19">
        <v>2</v>
      </c>
      <c r="L2088" s="19" t="s">
        <v>75</v>
      </c>
      <c r="M2088" s="21">
        <v>2.2999999999999998</v>
      </c>
      <c r="N2088">
        <f t="shared" si="32"/>
        <v>1</v>
      </c>
    </row>
    <row r="2089" spans="1:14" x14ac:dyDescent="0.35">
      <c r="A2089" s="22" t="s">
        <v>2159</v>
      </c>
      <c r="B2089" s="23" t="s">
        <v>181</v>
      </c>
      <c r="C2089" s="23">
        <v>4</v>
      </c>
      <c r="D2089" s="24">
        <v>45757</v>
      </c>
      <c r="E2089" s="23" t="s">
        <v>68</v>
      </c>
      <c r="F2089" s="23" t="s">
        <v>40</v>
      </c>
      <c r="G2089" s="23" t="s">
        <v>31</v>
      </c>
      <c r="H2089" s="23" t="s">
        <v>8364</v>
      </c>
      <c r="I2089" s="23">
        <v>24</v>
      </c>
      <c r="J2089" s="23">
        <v>0</v>
      </c>
      <c r="K2089" s="23">
        <v>2</v>
      </c>
      <c r="L2089" s="23" t="s">
        <v>75</v>
      </c>
      <c r="M2089" s="25">
        <v>23.9</v>
      </c>
      <c r="N2089">
        <f t="shared" si="32"/>
        <v>1</v>
      </c>
    </row>
    <row r="2090" spans="1:14" x14ac:dyDescent="0.35">
      <c r="A2090" s="6" t="s">
        <v>2160</v>
      </c>
      <c r="B2090" s="19" t="s">
        <v>47</v>
      </c>
      <c r="C2090" s="19">
        <v>4</v>
      </c>
      <c r="D2090" s="20">
        <v>45771</v>
      </c>
      <c r="E2090" s="19" t="s">
        <v>25</v>
      </c>
      <c r="F2090" s="19" t="s">
        <v>43</v>
      </c>
      <c r="G2090" s="19" t="s">
        <v>31</v>
      </c>
      <c r="H2090" s="19" t="s">
        <v>22</v>
      </c>
      <c r="I2090" s="19">
        <v>72</v>
      </c>
      <c r="J2090" s="19">
        <v>0</v>
      </c>
      <c r="K2090" s="19">
        <v>5</v>
      </c>
      <c r="L2090" s="19" t="s">
        <v>8363</v>
      </c>
      <c r="M2090" s="21">
        <v>5.7</v>
      </c>
      <c r="N2090">
        <f t="shared" si="32"/>
        <v>1</v>
      </c>
    </row>
    <row r="2091" spans="1:14" x14ac:dyDescent="0.35">
      <c r="A2091" s="22" t="s">
        <v>2161</v>
      </c>
      <c r="B2091" s="23" t="s">
        <v>23</v>
      </c>
      <c r="C2091" s="23">
        <v>11</v>
      </c>
      <c r="D2091" s="24">
        <v>45974</v>
      </c>
      <c r="E2091" s="23" t="s">
        <v>20</v>
      </c>
      <c r="F2091" s="23" t="s">
        <v>14</v>
      </c>
      <c r="G2091" s="23" t="s">
        <v>15</v>
      </c>
      <c r="H2091" s="23" t="s">
        <v>22</v>
      </c>
      <c r="I2091" s="23">
        <v>4</v>
      </c>
      <c r="J2091" s="23">
        <v>0</v>
      </c>
      <c r="K2091" s="23">
        <v>4</v>
      </c>
      <c r="L2091" s="23" t="s">
        <v>38</v>
      </c>
      <c r="M2091" s="25">
        <v>8.9</v>
      </c>
      <c r="N2091">
        <f t="shared" si="32"/>
        <v>0</v>
      </c>
    </row>
    <row r="2092" spans="1:14" x14ac:dyDescent="0.35">
      <c r="A2092" s="6" t="s">
        <v>2162</v>
      </c>
      <c r="B2092" s="19" t="s">
        <v>18</v>
      </c>
      <c r="C2092" s="19"/>
      <c r="D2092" s="20"/>
      <c r="E2092" s="19" t="s">
        <v>25</v>
      </c>
      <c r="F2092" s="19" t="s">
        <v>14</v>
      </c>
      <c r="G2092" s="19" t="s">
        <v>31</v>
      </c>
      <c r="H2092" s="19" t="s">
        <v>32</v>
      </c>
      <c r="I2092" s="19">
        <v>4</v>
      </c>
      <c r="J2092" s="19">
        <v>0</v>
      </c>
      <c r="K2092" s="19">
        <v>1</v>
      </c>
      <c r="L2092" s="19" t="s">
        <v>44</v>
      </c>
      <c r="M2092" s="21">
        <v>12</v>
      </c>
      <c r="N2092">
        <f t="shared" si="32"/>
        <v>0</v>
      </c>
    </row>
    <row r="2093" spans="1:14" x14ac:dyDescent="0.35">
      <c r="A2093" s="22" t="s">
        <v>2163</v>
      </c>
      <c r="B2093" s="23" t="s">
        <v>104</v>
      </c>
      <c r="C2093" s="23">
        <v>7</v>
      </c>
      <c r="D2093" s="24">
        <v>45858</v>
      </c>
      <c r="E2093" s="23" t="s">
        <v>68</v>
      </c>
      <c r="F2093" s="23" t="s">
        <v>37</v>
      </c>
      <c r="G2093" s="23" t="s">
        <v>31</v>
      </c>
      <c r="H2093" s="23" t="s">
        <v>8364</v>
      </c>
      <c r="I2093" s="23">
        <v>4</v>
      </c>
      <c r="J2093" s="23">
        <v>0</v>
      </c>
      <c r="K2093" s="23">
        <v>5</v>
      </c>
      <c r="L2093" s="23" t="s">
        <v>75</v>
      </c>
      <c r="M2093" s="25">
        <v>6.5</v>
      </c>
      <c r="N2093">
        <f t="shared" si="32"/>
        <v>0</v>
      </c>
    </row>
    <row r="2094" spans="1:14" x14ac:dyDescent="0.35">
      <c r="A2094" s="6" t="s">
        <v>2164</v>
      </c>
      <c r="B2094" s="19" t="s">
        <v>104</v>
      </c>
      <c r="C2094" s="19">
        <v>7</v>
      </c>
      <c r="D2094" s="20">
        <v>45859</v>
      </c>
      <c r="E2094" s="19" t="s">
        <v>25</v>
      </c>
      <c r="F2094" s="19" t="s">
        <v>59</v>
      </c>
      <c r="G2094" s="19" t="s">
        <v>31</v>
      </c>
      <c r="H2094" s="19" t="s">
        <v>22</v>
      </c>
      <c r="I2094" s="19">
        <v>24</v>
      </c>
      <c r="J2094" s="19">
        <v>0</v>
      </c>
      <c r="K2094" s="19">
        <v>5</v>
      </c>
      <c r="L2094" s="19" t="s">
        <v>17</v>
      </c>
      <c r="M2094" s="21">
        <v>6.7</v>
      </c>
      <c r="N2094">
        <f t="shared" si="32"/>
        <v>1</v>
      </c>
    </row>
    <row r="2095" spans="1:14" x14ac:dyDescent="0.35">
      <c r="A2095" s="22" t="s">
        <v>2165</v>
      </c>
      <c r="B2095" s="23" t="s">
        <v>143</v>
      </c>
      <c r="C2095" s="23">
        <v>8</v>
      </c>
      <c r="D2095" s="24">
        <v>45892</v>
      </c>
      <c r="E2095" s="23" t="s">
        <v>13</v>
      </c>
      <c r="F2095" s="23" t="s">
        <v>14</v>
      </c>
      <c r="G2095" s="23" t="s">
        <v>21</v>
      </c>
      <c r="H2095" s="23" t="s">
        <v>22</v>
      </c>
      <c r="I2095" s="23">
        <v>4</v>
      </c>
      <c r="J2095" s="23">
        <v>0</v>
      </c>
      <c r="K2095" s="23">
        <v>5</v>
      </c>
      <c r="L2095" s="23" t="s">
        <v>62</v>
      </c>
      <c r="M2095" s="25">
        <v>7</v>
      </c>
      <c r="N2095">
        <f t="shared" si="32"/>
        <v>0</v>
      </c>
    </row>
    <row r="2096" spans="1:14" x14ac:dyDescent="0.35">
      <c r="A2096" s="6" t="s">
        <v>2166</v>
      </c>
      <c r="B2096" s="19" t="s">
        <v>41</v>
      </c>
      <c r="C2096" s="19">
        <v>2</v>
      </c>
      <c r="D2096" s="20">
        <v>45696</v>
      </c>
      <c r="E2096" s="19" t="s">
        <v>25</v>
      </c>
      <c r="F2096" s="19" t="s">
        <v>59</v>
      </c>
      <c r="G2096" s="19" t="s">
        <v>31</v>
      </c>
      <c r="H2096" s="19" t="s">
        <v>8364</v>
      </c>
      <c r="I2096" s="19">
        <v>4</v>
      </c>
      <c r="J2096" s="19">
        <v>0</v>
      </c>
      <c r="K2096" s="19">
        <v>5</v>
      </c>
      <c r="L2096" s="19" t="s">
        <v>44</v>
      </c>
      <c r="M2096" s="21">
        <v>5</v>
      </c>
      <c r="N2096">
        <f t="shared" si="32"/>
        <v>0</v>
      </c>
    </row>
    <row r="2097" spans="1:14" x14ac:dyDescent="0.35">
      <c r="A2097" s="22" t="s">
        <v>2167</v>
      </c>
      <c r="B2097" s="23" t="s">
        <v>89</v>
      </c>
      <c r="C2097" s="23">
        <v>4</v>
      </c>
      <c r="D2097" s="24">
        <v>45750</v>
      </c>
      <c r="E2097" s="23" t="s">
        <v>25</v>
      </c>
      <c r="F2097" s="23" t="s">
        <v>43</v>
      </c>
      <c r="G2097" s="23" t="s">
        <v>27</v>
      </c>
      <c r="H2097" s="23" t="s">
        <v>28</v>
      </c>
      <c r="I2097" s="23">
        <v>72</v>
      </c>
      <c r="J2097" s="23">
        <v>0</v>
      </c>
      <c r="K2097" s="23">
        <v>5</v>
      </c>
      <c r="L2097" s="23" t="s">
        <v>8363</v>
      </c>
      <c r="M2097" s="25">
        <v>13</v>
      </c>
      <c r="N2097">
        <f t="shared" si="32"/>
        <v>1</v>
      </c>
    </row>
    <row r="2098" spans="1:14" x14ac:dyDescent="0.35">
      <c r="A2098" s="6" t="s">
        <v>2168</v>
      </c>
      <c r="B2098" s="19" t="s">
        <v>53</v>
      </c>
      <c r="C2098" s="19">
        <v>8</v>
      </c>
      <c r="D2098" s="20">
        <v>45880</v>
      </c>
      <c r="E2098" s="19" t="s">
        <v>13</v>
      </c>
      <c r="F2098" s="19" t="s">
        <v>59</v>
      </c>
      <c r="G2098" s="19" t="s">
        <v>31</v>
      </c>
      <c r="H2098" s="19" t="s">
        <v>22</v>
      </c>
      <c r="I2098" s="19">
        <v>72</v>
      </c>
      <c r="J2098" s="19">
        <v>1</v>
      </c>
      <c r="K2098" s="19">
        <v>5</v>
      </c>
      <c r="L2098" s="19" t="s">
        <v>8363</v>
      </c>
      <c r="M2098" s="21">
        <v>1.8</v>
      </c>
      <c r="N2098">
        <f t="shared" si="32"/>
        <v>1</v>
      </c>
    </row>
    <row r="2099" spans="1:14" x14ac:dyDescent="0.35">
      <c r="A2099" s="22" t="s">
        <v>2169</v>
      </c>
      <c r="B2099" s="23" t="s">
        <v>181</v>
      </c>
      <c r="C2099" s="23">
        <v>10</v>
      </c>
      <c r="D2099" s="24">
        <v>45955</v>
      </c>
      <c r="E2099" s="23" t="s">
        <v>25</v>
      </c>
      <c r="F2099" s="23" t="s">
        <v>37</v>
      </c>
      <c r="G2099" s="23" t="s">
        <v>31</v>
      </c>
      <c r="H2099" s="23" t="s">
        <v>32</v>
      </c>
      <c r="I2099" s="23">
        <v>8</v>
      </c>
      <c r="J2099" s="23">
        <v>0</v>
      </c>
      <c r="K2099" s="23">
        <v>5</v>
      </c>
      <c r="L2099" s="23" t="s">
        <v>33</v>
      </c>
      <c r="M2099" s="25">
        <v>8</v>
      </c>
      <c r="N2099">
        <f t="shared" si="32"/>
        <v>1</v>
      </c>
    </row>
    <row r="2100" spans="1:14" x14ac:dyDescent="0.35">
      <c r="A2100" s="6" t="s">
        <v>2170</v>
      </c>
      <c r="B2100" s="19" t="s">
        <v>53</v>
      </c>
      <c r="C2100" s="19">
        <v>5</v>
      </c>
      <c r="D2100" s="20">
        <v>45795</v>
      </c>
      <c r="E2100" s="19" t="s">
        <v>68</v>
      </c>
      <c r="F2100" s="19" t="s">
        <v>8364</v>
      </c>
      <c r="G2100" s="19" t="s">
        <v>21</v>
      </c>
      <c r="H2100" s="19" t="s">
        <v>8364</v>
      </c>
      <c r="I2100" s="19">
        <v>72</v>
      </c>
      <c r="J2100" s="19"/>
      <c r="K2100" s="19">
        <v>5</v>
      </c>
      <c r="L2100" s="19" t="s">
        <v>44</v>
      </c>
      <c r="M2100" s="21"/>
      <c r="N2100">
        <f t="shared" si="32"/>
        <v>1</v>
      </c>
    </row>
    <row r="2101" spans="1:14" x14ac:dyDescent="0.35">
      <c r="A2101" s="22" t="s">
        <v>2171</v>
      </c>
      <c r="B2101" s="23" t="s">
        <v>89</v>
      </c>
      <c r="C2101" s="23">
        <v>7</v>
      </c>
      <c r="D2101" s="24">
        <v>45860</v>
      </c>
      <c r="E2101" s="23" t="s">
        <v>36</v>
      </c>
      <c r="F2101" s="23" t="s">
        <v>40</v>
      </c>
      <c r="G2101" s="23" t="s">
        <v>31</v>
      </c>
      <c r="H2101" s="23" t="s">
        <v>32</v>
      </c>
      <c r="I2101" s="23">
        <v>4</v>
      </c>
      <c r="J2101" s="23">
        <v>0</v>
      </c>
      <c r="K2101" s="23">
        <v>4</v>
      </c>
      <c r="L2101" s="23" t="s">
        <v>55</v>
      </c>
      <c r="M2101" s="25">
        <v>6.7</v>
      </c>
      <c r="N2101">
        <f t="shared" si="32"/>
        <v>0</v>
      </c>
    </row>
    <row r="2102" spans="1:14" x14ac:dyDescent="0.35">
      <c r="A2102" s="6" t="s">
        <v>2172</v>
      </c>
      <c r="B2102" s="19" t="s">
        <v>143</v>
      </c>
      <c r="C2102" s="19"/>
      <c r="D2102" s="20"/>
      <c r="E2102" s="19" t="s">
        <v>25</v>
      </c>
      <c r="F2102" s="19" t="s">
        <v>14</v>
      </c>
      <c r="G2102" s="19" t="s">
        <v>15</v>
      </c>
      <c r="H2102" s="19" t="s">
        <v>8364</v>
      </c>
      <c r="I2102" s="19">
        <v>24</v>
      </c>
      <c r="J2102" s="19">
        <v>0</v>
      </c>
      <c r="K2102" s="19">
        <v>2</v>
      </c>
      <c r="L2102" s="19" t="s">
        <v>8363</v>
      </c>
      <c r="M2102" s="21">
        <v>12.8</v>
      </c>
      <c r="N2102">
        <f t="shared" si="32"/>
        <v>1</v>
      </c>
    </row>
    <row r="2103" spans="1:14" x14ac:dyDescent="0.35">
      <c r="A2103" s="22" t="s">
        <v>2173</v>
      </c>
      <c r="B2103" s="23" t="s">
        <v>39</v>
      </c>
      <c r="C2103" s="23">
        <v>3</v>
      </c>
      <c r="D2103" s="24">
        <v>45724</v>
      </c>
      <c r="E2103" s="23" t="s">
        <v>20</v>
      </c>
      <c r="F2103" s="23" t="s">
        <v>14</v>
      </c>
      <c r="G2103" s="23" t="s">
        <v>8364</v>
      </c>
      <c r="H2103" s="23" t="s">
        <v>8364</v>
      </c>
      <c r="I2103" s="23">
        <v>4</v>
      </c>
      <c r="J2103" s="23">
        <v>0</v>
      </c>
      <c r="K2103" s="23">
        <v>2</v>
      </c>
      <c r="L2103" s="23" t="s">
        <v>44</v>
      </c>
      <c r="M2103" s="25">
        <v>9.1</v>
      </c>
      <c r="N2103">
        <f t="shared" si="32"/>
        <v>0</v>
      </c>
    </row>
    <row r="2104" spans="1:14" x14ac:dyDescent="0.35">
      <c r="A2104" s="6" t="s">
        <v>2174</v>
      </c>
      <c r="B2104" s="19" t="s">
        <v>158</v>
      </c>
      <c r="C2104" s="19">
        <v>7</v>
      </c>
      <c r="D2104" s="20">
        <v>45850</v>
      </c>
      <c r="E2104" s="19" t="s">
        <v>8364</v>
      </c>
      <c r="F2104" s="19" t="s">
        <v>14</v>
      </c>
      <c r="G2104" s="19" t="s">
        <v>31</v>
      </c>
      <c r="H2104" s="19" t="s">
        <v>28</v>
      </c>
      <c r="I2104" s="19">
        <v>24</v>
      </c>
      <c r="J2104" s="19">
        <v>0</v>
      </c>
      <c r="K2104" s="19">
        <v>4</v>
      </c>
      <c r="L2104" s="19" t="s">
        <v>8363</v>
      </c>
      <c r="M2104" s="21">
        <v>5.5</v>
      </c>
      <c r="N2104">
        <f t="shared" si="32"/>
        <v>1</v>
      </c>
    </row>
    <row r="2105" spans="1:14" x14ac:dyDescent="0.35">
      <c r="A2105" s="22" t="s">
        <v>2175</v>
      </c>
      <c r="B2105" s="23" t="s">
        <v>181</v>
      </c>
      <c r="C2105" s="23">
        <v>7</v>
      </c>
      <c r="D2105" s="24">
        <v>45864</v>
      </c>
      <c r="E2105" s="23" t="s">
        <v>25</v>
      </c>
      <c r="F2105" s="23" t="s">
        <v>37</v>
      </c>
      <c r="G2105" s="23" t="s">
        <v>27</v>
      </c>
      <c r="H2105" s="23" t="s">
        <v>22</v>
      </c>
      <c r="I2105" s="23">
        <v>4</v>
      </c>
      <c r="J2105" s="23">
        <v>1</v>
      </c>
      <c r="K2105" s="23">
        <v>3</v>
      </c>
      <c r="L2105" s="23" t="s">
        <v>8363</v>
      </c>
      <c r="M2105" s="25">
        <v>16.8</v>
      </c>
      <c r="N2105">
        <f t="shared" si="32"/>
        <v>0</v>
      </c>
    </row>
    <row r="2106" spans="1:14" x14ac:dyDescent="0.35">
      <c r="A2106" s="6" t="s">
        <v>2176</v>
      </c>
      <c r="B2106" s="19" t="s">
        <v>49</v>
      </c>
      <c r="C2106" s="19"/>
      <c r="D2106" s="20"/>
      <c r="E2106" s="19" t="s">
        <v>20</v>
      </c>
      <c r="F2106" s="19" t="s">
        <v>43</v>
      </c>
      <c r="G2106" s="19" t="s">
        <v>8364</v>
      </c>
      <c r="H2106" s="19" t="s">
        <v>22</v>
      </c>
      <c r="I2106" s="19">
        <v>24</v>
      </c>
      <c r="J2106" s="19">
        <v>0</v>
      </c>
      <c r="K2106" s="19">
        <v>4</v>
      </c>
      <c r="L2106" s="19" t="s">
        <v>8363</v>
      </c>
      <c r="M2106" s="21">
        <v>22.7</v>
      </c>
      <c r="N2106">
        <f t="shared" si="32"/>
        <v>1</v>
      </c>
    </row>
    <row r="2107" spans="1:14" x14ac:dyDescent="0.35">
      <c r="A2107" s="22" t="s">
        <v>2177</v>
      </c>
      <c r="B2107" s="23" t="s">
        <v>49</v>
      </c>
      <c r="C2107" s="23">
        <v>10</v>
      </c>
      <c r="D2107" s="24">
        <v>45939</v>
      </c>
      <c r="E2107" s="23" t="s">
        <v>13</v>
      </c>
      <c r="F2107" s="23" t="s">
        <v>43</v>
      </c>
      <c r="G2107" s="23" t="s">
        <v>21</v>
      </c>
      <c r="H2107" s="23" t="s">
        <v>22</v>
      </c>
      <c r="I2107" s="23">
        <v>4</v>
      </c>
      <c r="J2107" s="23">
        <v>0</v>
      </c>
      <c r="K2107" s="23">
        <v>4</v>
      </c>
      <c r="L2107" s="23" t="s">
        <v>8363</v>
      </c>
      <c r="M2107" s="25">
        <v>5.8</v>
      </c>
      <c r="N2107">
        <f t="shared" si="32"/>
        <v>0</v>
      </c>
    </row>
    <row r="2108" spans="1:14" x14ac:dyDescent="0.35">
      <c r="A2108" s="6" t="s">
        <v>2178</v>
      </c>
      <c r="B2108" s="19" t="s">
        <v>81</v>
      </c>
      <c r="C2108" s="19">
        <v>4</v>
      </c>
      <c r="D2108" s="20">
        <v>45774</v>
      </c>
      <c r="E2108" s="19" t="s">
        <v>13</v>
      </c>
      <c r="F2108" s="19" t="s">
        <v>14</v>
      </c>
      <c r="G2108" s="19" t="s">
        <v>15</v>
      </c>
      <c r="H2108" s="19" t="s">
        <v>28</v>
      </c>
      <c r="I2108" s="19">
        <v>48</v>
      </c>
      <c r="J2108" s="19">
        <v>3</v>
      </c>
      <c r="K2108" s="19">
        <v>4</v>
      </c>
      <c r="L2108" s="19" t="s">
        <v>33</v>
      </c>
      <c r="M2108" s="21">
        <v>5.2</v>
      </c>
      <c r="N2108">
        <f t="shared" si="32"/>
        <v>1</v>
      </c>
    </row>
    <row r="2109" spans="1:14" x14ac:dyDescent="0.35">
      <c r="A2109" s="22" t="s">
        <v>2179</v>
      </c>
      <c r="B2109" s="23" t="s">
        <v>81</v>
      </c>
      <c r="C2109" s="23">
        <v>10</v>
      </c>
      <c r="D2109" s="24">
        <v>45960</v>
      </c>
      <c r="E2109" s="23" t="s">
        <v>68</v>
      </c>
      <c r="F2109" s="23" t="s">
        <v>40</v>
      </c>
      <c r="G2109" s="23" t="s">
        <v>8364</v>
      </c>
      <c r="H2109" s="23" t="s">
        <v>8364</v>
      </c>
      <c r="I2109" s="23">
        <v>8</v>
      </c>
      <c r="J2109" s="23">
        <v>0</v>
      </c>
      <c r="K2109" s="23">
        <v>5</v>
      </c>
      <c r="L2109" s="23" t="s">
        <v>17</v>
      </c>
      <c r="M2109" s="25">
        <v>14.1</v>
      </c>
      <c r="N2109">
        <f t="shared" si="32"/>
        <v>0</v>
      </c>
    </row>
    <row r="2110" spans="1:14" x14ac:dyDescent="0.35">
      <c r="A2110" s="6" t="s">
        <v>2180</v>
      </c>
      <c r="B2110" s="19" t="s">
        <v>130</v>
      </c>
      <c r="C2110" s="19">
        <v>3</v>
      </c>
      <c r="D2110" s="20">
        <v>45729</v>
      </c>
      <c r="E2110" s="19" t="s">
        <v>20</v>
      </c>
      <c r="F2110" s="19" t="s">
        <v>8364</v>
      </c>
      <c r="G2110" s="19" t="s">
        <v>27</v>
      </c>
      <c r="H2110" s="19" t="s">
        <v>28</v>
      </c>
      <c r="I2110" s="19">
        <v>48</v>
      </c>
      <c r="J2110" s="19">
        <v>1</v>
      </c>
      <c r="K2110" s="19"/>
      <c r="L2110" s="19" t="s">
        <v>75</v>
      </c>
      <c r="M2110" s="21">
        <v>34.799999999999997</v>
      </c>
      <c r="N2110">
        <f t="shared" si="32"/>
        <v>1</v>
      </c>
    </row>
    <row r="2111" spans="1:14" x14ac:dyDescent="0.35">
      <c r="A2111" s="22" t="s">
        <v>2181</v>
      </c>
      <c r="B2111" s="23" t="s">
        <v>18</v>
      </c>
      <c r="C2111" s="23">
        <v>11</v>
      </c>
      <c r="D2111" s="24">
        <v>45987</v>
      </c>
      <c r="E2111" s="23" t="s">
        <v>13</v>
      </c>
      <c r="F2111" s="23" t="s">
        <v>14</v>
      </c>
      <c r="G2111" s="23" t="s">
        <v>8364</v>
      </c>
      <c r="H2111" s="23" t="s">
        <v>16</v>
      </c>
      <c r="I2111" s="23">
        <v>24</v>
      </c>
      <c r="J2111" s="23">
        <v>0</v>
      </c>
      <c r="K2111" s="23">
        <v>5</v>
      </c>
      <c r="L2111" s="23" t="s">
        <v>44</v>
      </c>
      <c r="M2111" s="25">
        <v>10.5</v>
      </c>
      <c r="N2111">
        <f t="shared" si="32"/>
        <v>1</v>
      </c>
    </row>
    <row r="2112" spans="1:14" x14ac:dyDescent="0.35">
      <c r="A2112" s="6" t="s">
        <v>2182</v>
      </c>
      <c r="B2112" s="19" t="s">
        <v>41</v>
      </c>
      <c r="C2112" s="19">
        <v>7</v>
      </c>
      <c r="D2112" s="20">
        <v>45846</v>
      </c>
      <c r="E2112" s="19" t="s">
        <v>25</v>
      </c>
      <c r="F2112" s="19" t="s">
        <v>37</v>
      </c>
      <c r="G2112" s="19" t="s">
        <v>21</v>
      </c>
      <c r="H2112" s="19" t="s">
        <v>22</v>
      </c>
      <c r="I2112" s="19">
        <v>48</v>
      </c>
      <c r="J2112" s="19">
        <v>0</v>
      </c>
      <c r="K2112" s="19">
        <v>5</v>
      </c>
      <c r="L2112" s="19" t="s">
        <v>17</v>
      </c>
      <c r="M2112" s="21">
        <v>12.9</v>
      </c>
      <c r="N2112">
        <f t="shared" si="32"/>
        <v>1</v>
      </c>
    </row>
    <row r="2113" spans="1:14" x14ac:dyDescent="0.35">
      <c r="A2113" s="22" t="s">
        <v>2183</v>
      </c>
      <c r="B2113" s="23" t="s">
        <v>236</v>
      </c>
      <c r="C2113" s="23">
        <v>7</v>
      </c>
      <c r="D2113" s="24">
        <v>45859</v>
      </c>
      <c r="E2113" s="23" t="s">
        <v>25</v>
      </c>
      <c r="F2113" s="23" t="s">
        <v>14</v>
      </c>
      <c r="G2113" s="23" t="s">
        <v>15</v>
      </c>
      <c r="H2113" s="23" t="s">
        <v>32</v>
      </c>
      <c r="I2113" s="23">
        <v>8</v>
      </c>
      <c r="J2113" s="23">
        <v>0</v>
      </c>
      <c r="K2113" s="23">
        <v>3</v>
      </c>
      <c r="L2113" s="23" t="s">
        <v>38</v>
      </c>
      <c r="M2113" s="25">
        <v>20.2</v>
      </c>
      <c r="N2113">
        <f t="shared" si="32"/>
        <v>0</v>
      </c>
    </row>
    <row r="2114" spans="1:14" x14ac:dyDescent="0.35">
      <c r="A2114" s="6" t="s">
        <v>2184</v>
      </c>
      <c r="B2114" s="19" t="s">
        <v>126</v>
      </c>
      <c r="C2114" s="19">
        <v>10</v>
      </c>
      <c r="D2114" s="20">
        <v>45956</v>
      </c>
      <c r="E2114" s="19" t="s">
        <v>25</v>
      </c>
      <c r="F2114" s="19" t="s">
        <v>14</v>
      </c>
      <c r="G2114" s="19" t="s">
        <v>15</v>
      </c>
      <c r="H2114" s="19" t="s">
        <v>28</v>
      </c>
      <c r="I2114" s="19">
        <v>8</v>
      </c>
      <c r="J2114" s="19">
        <v>0</v>
      </c>
      <c r="K2114" s="19">
        <v>5</v>
      </c>
      <c r="L2114" s="19" t="s">
        <v>62</v>
      </c>
      <c r="M2114" s="21">
        <v>19.899999999999999</v>
      </c>
      <c r="N2114">
        <f t="shared" si="32"/>
        <v>0</v>
      </c>
    </row>
    <row r="2115" spans="1:14" x14ac:dyDescent="0.35">
      <c r="A2115" s="22" t="s">
        <v>2185</v>
      </c>
      <c r="B2115" s="23" t="s">
        <v>89</v>
      </c>
      <c r="C2115" s="23">
        <v>1</v>
      </c>
      <c r="D2115" s="24">
        <v>45664</v>
      </c>
      <c r="E2115" s="23" t="s">
        <v>25</v>
      </c>
      <c r="F2115" s="23" t="s">
        <v>8364</v>
      </c>
      <c r="G2115" s="23" t="s">
        <v>21</v>
      </c>
      <c r="H2115" s="23" t="s">
        <v>28</v>
      </c>
      <c r="I2115" s="23">
        <v>8</v>
      </c>
      <c r="J2115" s="23">
        <v>0</v>
      </c>
      <c r="K2115" s="23">
        <v>4</v>
      </c>
      <c r="L2115" s="23" t="s">
        <v>17</v>
      </c>
      <c r="M2115" s="25">
        <v>2.8</v>
      </c>
      <c r="N2115">
        <f t="shared" ref="N2115:N2178" si="33">IF(M2115 &lt;= I2115, 1, 0)</f>
        <v>1</v>
      </c>
    </row>
    <row r="2116" spans="1:14" x14ac:dyDescent="0.35">
      <c r="A2116" s="6" t="s">
        <v>2186</v>
      </c>
      <c r="B2116" s="19" t="s">
        <v>143</v>
      </c>
      <c r="C2116" s="19">
        <v>10</v>
      </c>
      <c r="D2116" s="20">
        <v>45949</v>
      </c>
      <c r="E2116" s="19" t="s">
        <v>25</v>
      </c>
      <c r="F2116" s="19" t="s">
        <v>26</v>
      </c>
      <c r="G2116" s="19" t="s">
        <v>31</v>
      </c>
      <c r="H2116" s="19" t="s">
        <v>32</v>
      </c>
      <c r="I2116" s="19">
        <v>24</v>
      </c>
      <c r="J2116" s="19">
        <v>1</v>
      </c>
      <c r="K2116" s="19">
        <v>3</v>
      </c>
      <c r="L2116" s="19" t="s">
        <v>38</v>
      </c>
      <c r="M2116" s="21">
        <v>7.9</v>
      </c>
      <c r="N2116">
        <f t="shared" si="33"/>
        <v>1</v>
      </c>
    </row>
    <row r="2117" spans="1:14" x14ac:dyDescent="0.35">
      <c r="A2117" s="22" t="s">
        <v>2187</v>
      </c>
      <c r="B2117" s="23" t="s">
        <v>146</v>
      </c>
      <c r="C2117" s="23">
        <v>2</v>
      </c>
      <c r="D2117" s="24">
        <v>45692</v>
      </c>
      <c r="E2117" s="23" t="s">
        <v>13</v>
      </c>
      <c r="F2117" s="23" t="s">
        <v>14</v>
      </c>
      <c r="G2117" s="23" t="s">
        <v>21</v>
      </c>
      <c r="H2117" s="23" t="s">
        <v>32</v>
      </c>
      <c r="I2117" s="23">
        <v>24</v>
      </c>
      <c r="J2117" s="23">
        <v>0</v>
      </c>
      <c r="K2117" s="23">
        <v>1</v>
      </c>
      <c r="L2117" s="23" t="s">
        <v>75</v>
      </c>
      <c r="M2117" s="25">
        <v>2.5</v>
      </c>
      <c r="N2117">
        <f t="shared" si="33"/>
        <v>1</v>
      </c>
    </row>
    <row r="2118" spans="1:14" x14ac:dyDescent="0.35">
      <c r="A2118" s="6" t="s">
        <v>2188</v>
      </c>
      <c r="B2118" s="19" t="s">
        <v>41</v>
      </c>
      <c r="C2118" s="19">
        <v>4</v>
      </c>
      <c r="D2118" s="20">
        <v>45749</v>
      </c>
      <c r="E2118" s="19" t="s">
        <v>25</v>
      </c>
      <c r="F2118" s="19" t="s">
        <v>14</v>
      </c>
      <c r="G2118" s="19" t="s">
        <v>31</v>
      </c>
      <c r="H2118" s="19" t="s">
        <v>28</v>
      </c>
      <c r="I2118" s="19">
        <v>72</v>
      </c>
      <c r="J2118" s="19">
        <v>0</v>
      </c>
      <c r="K2118" s="19">
        <v>5</v>
      </c>
      <c r="L2118" s="19" t="s">
        <v>38</v>
      </c>
      <c r="M2118" s="21">
        <v>26.2</v>
      </c>
      <c r="N2118">
        <f t="shared" si="33"/>
        <v>1</v>
      </c>
    </row>
    <row r="2119" spans="1:14" x14ac:dyDescent="0.35">
      <c r="A2119" s="22" t="s">
        <v>2189</v>
      </c>
      <c r="B2119" s="23" t="s">
        <v>89</v>
      </c>
      <c r="C2119" s="23">
        <v>9</v>
      </c>
      <c r="D2119" s="24">
        <v>45910</v>
      </c>
      <c r="E2119" s="23" t="s">
        <v>20</v>
      </c>
      <c r="F2119" s="23" t="s">
        <v>40</v>
      </c>
      <c r="G2119" s="23" t="s">
        <v>21</v>
      </c>
      <c r="H2119" s="23" t="s">
        <v>22</v>
      </c>
      <c r="I2119" s="23">
        <v>24</v>
      </c>
      <c r="J2119" s="23">
        <v>0</v>
      </c>
      <c r="K2119" s="23">
        <v>5</v>
      </c>
      <c r="L2119" s="23" t="s">
        <v>8363</v>
      </c>
      <c r="M2119" s="25">
        <v>2.2000000000000002</v>
      </c>
      <c r="N2119">
        <f t="shared" si="33"/>
        <v>1</v>
      </c>
    </row>
    <row r="2120" spans="1:14" x14ac:dyDescent="0.35">
      <c r="A2120" s="6" t="s">
        <v>2190</v>
      </c>
      <c r="B2120" s="19" t="s">
        <v>69</v>
      </c>
      <c r="C2120" s="19">
        <v>2</v>
      </c>
      <c r="D2120" s="20">
        <v>45713</v>
      </c>
      <c r="E2120" s="19" t="s">
        <v>20</v>
      </c>
      <c r="F2120" s="19" t="s">
        <v>37</v>
      </c>
      <c r="G2120" s="19" t="s">
        <v>21</v>
      </c>
      <c r="H2120" s="19" t="s">
        <v>22</v>
      </c>
      <c r="I2120" s="19">
        <v>8</v>
      </c>
      <c r="J2120" s="19">
        <v>0</v>
      </c>
      <c r="K2120" s="19">
        <v>4</v>
      </c>
      <c r="L2120" s="19" t="s">
        <v>33</v>
      </c>
      <c r="M2120" s="21">
        <v>5.2</v>
      </c>
      <c r="N2120">
        <f t="shared" si="33"/>
        <v>1</v>
      </c>
    </row>
    <row r="2121" spans="1:14" x14ac:dyDescent="0.35">
      <c r="A2121" s="22" t="s">
        <v>2191</v>
      </c>
      <c r="B2121" s="23" t="s">
        <v>57</v>
      </c>
      <c r="C2121" s="23">
        <v>6</v>
      </c>
      <c r="D2121" s="24">
        <v>45838</v>
      </c>
      <c r="E2121" s="23" t="s">
        <v>13</v>
      </c>
      <c r="F2121" s="23" t="s">
        <v>43</v>
      </c>
      <c r="G2121" s="23" t="s">
        <v>21</v>
      </c>
      <c r="H2121" s="23" t="s">
        <v>22</v>
      </c>
      <c r="I2121" s="23">
        <v>8</v>
      </c>
      <c r="J2121" s="23">
        <v>0</v>
      </c>
      <c r="K2121" s="23"/>
      <c r="L2121" s="23" t="s">
        <v>8363</v>
      </c>
      <c r="M2121" s="25">
        <v>11.9</v>
      </c>
      <c r="N2121">
        <f t="shared" si="33"/>
        <v>0</v>
      </c>
    </row>
    <row r="2122" spans="1:14" x14ac:dyDescent="0.35">
      <c r="A2122" s="6" t="s">
        <v>2192</v>
      </c>
      <c r="B2122" s="19" t="s">
        <v>253</v>
      </c>
      <c r="C2122" s="19">
        <v>9</v>
      </c>
      <c r="D2122" s="20">
        <v>45920</v>
      </c>
      <c r="E2122" s="19" t="s">
        <v>68</v>
      </c>
      <c r="F2122" s="19" t="s">
        <v>26</v>
      </c>
      <c r="G2122" s="19" t="s">
        <v>21</v>
      </c>
      <c r="H2122" s="19" t="s">
        <v>28</v>
      </c>
      <c r="I2122" s="19">
        <v>48</v>
      </c>
      <c r="J2122" s="19">
        <v>0</v>
      </c>
      <c r="K2122" s="19">
        <v>3</v>
      </c>
      <c r="L2122" s="19" t="s">
        <v>8363</v>
      </c>
      <c r="M2122" s="21">
        <v>19</v>
      </c>
      <c r="N2122">
        <f t="shared" si="33"/>
        <v>1</v>
      </c>
    </row>
    <row r="2123" spans="1:14" x14ac:dyDescent="0.35">
      <c r="A2123" s="22" t="s">
        <v>2193</v>
      </c>
      <c r="B2123" s="23" t="s">
        <v>47</v>
      </c>
      <c r="C2123" s="23">
        <v>7</v>
      </c>
      <c r="D2123" s="24">
        <v>45844</v>
      </c>
      <c r="E2123" s="23" t="s">
        <v>20</v>
      </c>
      <c r="F2123" s="23" t="s">
        <v>43</v>
      </c>
      <c r="G2123" s="23" t="s">
        <v>27</v>
      </c>
      <c r="H2123" s="23" t="s">
        <v>28</v>
      </c>
      <c r="I2123" s="23">
        <v>24</v>
      </c>
      <c r="J2123" s="23">
        <v>0</v>
      </c>
      <c r="K2123" s="23">
        <v>5</v>
      </c>
      <c r="L2123" s="23" t="s">
        <v>8363</v>
      </c>
      <c r="M2123" s="25">
        <v>14.1</v>
      </c>
      <c r="N2123">
        <f t="shared" si="33"/>
        <v>1</v>
      </c>
    </row>
    <row r="2124" spans="1:14" x14ac:dyDescent="0.35">
      <c r="A2124" s="6" t="s">
        <v>2194</v>
      </c>
      <c r="B2124" s="19" t="s">
        <v>34</v>
      </c>
      <c r="C2124" s="19">
        <v>10</v>
      </c>
      <c r="D2124" s="20">
        <v>45938</v>
      </c>
      <c r="E2124" s="19" t="s">
        <v>25</v>
      </c>
      <c r="F2124" s="19" t="s">
        <v>14</v>
      </c>
      <c r="G2124" s="19" t="s">
        <v>31</v>
      </c>
      <c r="H2124" s="19" t="s">
        <v>22</v>
      </c>
      <c r="I2124" s="19">
        <v>48</v>
      </c>
      <c r="J2124" s="19">
        <v>2</v>
      </c>
      <c r="K2124" s="19">
        <v>4</v>
      </c>
      <c r="L2124" s="19" t="s">
        <v>75</v>
      </c>
      <c r="M2124" s="21">
        <v>25.8</v>
      </c>
      <c r="N2124">
        <f t="shared" si="33"/>
        <v>1</v>
      </c>
    </row>
    <row r="2125" spans="1:14" x14ac:dyDescent="0.35">
      <c r="A2125" s="22" t="s">
        <v>2195</v>
      </c>
      <c r="B2125" s="23" t="s">
        <v>104</v>
      </c>
      <c r="C2125" s="23">
        <v>2</v>
      </c>
      <c r="D2125" s="24">
        <v>45712</v>
      </c>
      <c r="E2125" s="23" t="s">
        <v>13</v>
      </c>
      <c r="F2125" s="23" t="s">
        <v>8364</v>
      </c>
      <c r="G2125" s="23" t="s">
        <v>15</v>
      </c>
      <c r="H2125" s="23" t="s">
        <v>22</v>
      </c>
      <c r="I2125" s="23">
        <v>24</v>
      </c>
      <c r="J2125" s="23">
        <v>0</v>
      </c>
      <c r="K2125" s="23">
        <v>3</v>
      </c>
      <c r="L2125" s="23" t="s">
        <v>44</v>
      </c>
      <c r="M2125" s="25"/>
      <c r="N2125">
        <f t="shared" si="33"/>
        <v>1</v>
      </c>
    </row>
    <row r="2126" spans="1:14" x14ac:dyDescent="0.35">
      <c r="A2126" s="6" t="s">
        <v>2196</v>
      </c>
      <c r="B2126" s="19" t="s">
        <v>89</v>
      </c>
      <c r="C2126" s="19"/>
      <c r="D2126" s="20"/>
      <c r="E2126" s="19" t="s">
        <v>68</v>
      </c>
      <c r="F2126" s="19" t="s">
        <v>26</v>
      </c>
      <c r="G2126" s="19" t="s">
        <v>27</v>
      </c>
      <c r="H2126" s="19" t="s">
        <v>8364</v>
      </c>
      <c r="I2126" s="19">
        <v>72</v>
      </c>
      <c r="J2126" s="19">
        <v>0</v>
      </c>
      <c r="K2126" s="19">
        <v>5</v>
      </c>
      <c r="L2126" s="19" t="s">
        <v>8363</v>
      </c>
      <c r="M2126" s="21">
        <v>8.8000000000000007</v>
      </c>
      <c r="N2126">
        <f t="shared" si="33"/>
        <v>1</v>
      </c>
    </row>
    <row r="2127" spans="1:14" x14ac:dyDescent="0.35">
      <c r="A2127" s="22" t="s">
        <v>2197</v>
      </c>
      <c r="B2127" s="23" t="s">
        <v>69</v>
      </c>
      <c r="C2127" s="23">
        <v>4</v>
      </c>
      <c r="D2127" s="24">
        <v>45767</v>
      </c>
      <c r="E2127" s="23" t="s">
        <v>8364</v>
      </c>
      <c r="F2127" s="23" t="s">
        <v>14</v>
      </c>
      <c r="G2127" s="23" t="s">
        <v>8364</v>
      </c>
      <c r="H2127" s="23" t="s">
        <v>22</v>
      </c>
      <c r="I2127" s="23">
        <v>72</v>
      </c>
      <c r="J2127" s="23">
        <v>1</v>
      </c>
      <c r="K2127" s="23">
        <v>2</v>
      </c>
      <c r="L2127" s="23" t="s">
        <v>44</v>
      </c>
      <c r="M2127" s="25">
        <v>12.5</v>
      </c>
      <c r="N2127">
        <f t="shared" si="33"/>
        <v>1</v>
      </c>
    </row>
    <row r="2128" spans="1:14" x14ac:dyDescent="0.35">
      <c r="A2128" s="6" t="s">
        <v>2198</v>
      </c>
      <c r="B2128" s="19" t="s">
        <v>53</v>
      </c>
      <c r="C2128" s="19">
        <v>7</v>
      </c>
      <c r="D2128" s="20">
        <v>45859</v>
      </c>
      <c r="E2128" s="19" t="s">
        <v>36</v>
      </c>
      <c r="F2128" s="19" t="s">
        <v>37</v>
      </c>
      <c r="G2128" s="19" t="s">
        <v>27</v>
      </c>
      <c r="H2128" s="19" t="s">
        <v>8364</v>
      </c>
      <c r="I2128" s="19">
        <v>4</v>
      </c>
      <c r="J2128" s="19">
        <v>0</v>
      </c>
      <c r="K2128" s="19"/>
      <c r="L2128" s="19" t="s">
        <v>44</v>
      </c>
      <c r="M2128" s="21">
        <v>8</v>
      </c>
      <c r="N2128">
        <f t="shared" si="33"/>
        <v>0</v>
      </c>
    </row>
    <row r="2129" spans="1:14" x14ac:dyDescent="0.35">
      <c r="A2129" s="22" t="s">
        <v>2199</v>
      </c>
      <c r="B2129" s="23" t="s">
        <v>236</v>
      </c>
      <c r="C2129" s="23">
        <v>1</v>
      </c>
      <c r="D2129" s="24">
        <v>45663</v>
      </c>
      <c r="E2129" s="23" t="s">
        <v>8364</v>
      </c>
      <c r="F2129" s="23" t="s">
        <v>14</v>
      </c>
      <c r="G2129" s="23" t="s">
        <v>27</v>
      </c>
      <c r="H2129" s="23" t="s">
        <v>16</v>
      </c>
      <c r="I2129" s="23">
        <v>48</v>
      </c>
      <c r="J2129" s="23">
        <v>0</v>
      </c>
      <c r="K2129" s="23">
        <v>4</v>
      </c>
      <c r="L2129" s="23" t="s">
        <v>55</v>
      </c>
      <c r="M2129" s="25"/>
      <c r="N2129">
        <f t="shared" si="33"/>
        <v>1</v>
      </c>
    </row>
    <row r="2130" spans="1:14" x14ac:dyDescent="0.35">
      <c r="A2130" s="6" t="s">
        <v>2200</v>
      </c>
      <c r="B2130" s="19" t="s">
        <v>130</v>
      </c>
      <c r="C2130" s="19">
        <v>6</v>
      </c>
      <c r="D2130" s="20">
        <v>45831</v>
      </c>
      <c r="E2130" s="19" t="s">
        <v>20</v>
      </c>
      <c r="F2130" s="19" t="s">
        <v>37</v>
      </c>
      <c r="G2130" s="19" t="s">
        <v>31</v>
      </c>
      <c r="H2130" s="19" t="s">
        <v>32</v>
      </c>
      <c r="I2130" s="19">
        <v>24</v>
      </c>
      <c r="J2130" s="19">
        <v>1</v>
      </c>
      <c r="K2130" s="19">
        <v>4</v>
      </c>
      <c r="L2130" s="19" t="s">
        <v>8363</v>
      </c>
      <c r="M2130" s="21">
        <v>18.399999999999999</v>
      </c>
      <c r="N2130">
        <f t="shared" si="33"/>
        <v>1</v>
      </c>
    </row>
    <row r="2131" spans="1:14" x14ac:dyDescent="0.35">
      <c r="A2131" s="22" t="s">
        <v>2201</v>
      </c>
      <c r="B2131" s="23" t="s">
        <v>29</v>
      </c>
      <c r="C2131" s="23">
        <v>2</v>
      </c>
      <c r="D2131" s="24">
        <v>45692</v>
      </c>
      <c r="E2131" s="23" t="s">
        <v>8364</v>
      </c>
      <c r="F2131" s="23" t="s">
        <v>43</v>
      </c>
      <c r="G2131" s="23" t="s">
        <v>15</v>
      </c>
      <c r="H2131" s="23" t="s">
        <v>8364</v>
      </c>
      <c r="I2131" s="23">
        <v>8</v>
      </c>
      <c r="J2131" s="23">
        <v>0</v>
      </c>
      <c r="K2131" s="23">
        <v>4</v>
      </c>
      <c r="L2131" s="23" t="s">
        <v>62</v>
      </c>
      <c r="M2131" s="25">
        <v>17</v>
      </c>
      <c r="N2131">
        <f t="shared" si="33"/>
        <v>0</v>
      </c>
    </row>
    <row r="2132" spans="1:14" x14ac:dyDescent="0.35">
      <c r="A2132" s="6" t="s">
        <v>2202</v>
      </c>
      <c r="B2132" s="19" t="s">
        <v>39</v>
      </c>
      <c r="C2132" s="19">
        <v>2</v>
      </c>
      <c r="D2132" s="20">
        <v>45708</v>
      </c>
      <c r="E2132" s="19" t="s">
        <v>13</v>
      </c>
      <c r="F2132" s="19" t="s">
        <v>59</v>
      </c>
      <c r="G2132" s="19" t="s">
        <v>27</v>
      </c>
      <c r="H2132" s="19" t="s">
        <v>16</v>
      </c>
      <c r="I2132" s="19">
        <v>24</v>
      </c>
      <c r="J2132" s="19">
        <v>0</v>
      </c>
      <c r="K2132" s="19">
        <v>1</v>
      </c>
      <c r="L2132" s="19" t="s">
        <v>75</v>
      </c>
      <c r="M2132" s="21">
        <v>23.5</v>
      </c>
      <c r="N2132">
        <f t="shared" si="33"/>
        <v>1</v>
      </c>
    </row>
    <row r="2133" spans="1:14" x14ac:dyDescent="0.35">
      <c r="A2133" s="22" t="s">
        <v>2203</v>
      </c>
      <c r="B2133" s="23" t="s">
        <v>69</v>
      </c>
      <c r="C2133" s="23">
        <v>5</v>
      </c>
      <c r="D2133" s="24">
        <v>45791</v>
      </c>
      <c r="E2133" s="23" t="s">
        <v>8364</v>
      </c>
      <c r="F2133" s="23" t="s">
        <v>37</v>
      </c>
      <c r="G2133" s="23" t="s">
        <v>31</v>
      </c>
      <c r="H2133" s="23" t="s">
        <v>22</v>
      </c>
      <c r="I2133" s="23">
        <v>48</v>
      </c>
      <c r="J2133" s="23">
        <v>0</v>
      </c>
      <c r="K2133" s="23">
        <v>5</v>
      </c>
      <c r="L2133" s="23" t="s">
        <v>62</v>
      </c>
      <c r="M2133" s="25">
        <v>0.9</v>
      </c>
      <c r="N2133">
        <f t="shared" si="33"/>
        <v>1</v>
      </c>
    </row>
    <row r="2134" spans="1:14" x14ac:dyDescent="0.35">
      <c r="A2134" s="6" t="s">
        <v>2204</v>
      </c>
      <c r="B2134" s="19" t="s">
        <v>126</v>
      </c>
      <c r="C2134" s="19">
        <v>7</v>
      </c>
      <c r="D2134" s="20">
        <v>45855</v>
      </c>
      <c r="E2134" s="19" t="s">
        <v>68</v>
      </c>
      <c r="F2134" s="19" t="s">
        <v>43</v>
      </c>
      <c r="G2134" s="19" t="s">
        <v>27</v>
      </c>
      <c r="H2134" s="19" t="s">
        <v>8364</v>
      </c>
      <c r="I2134" s="19">
        <v>48</v>
      </c>
      <c r="J2134" s="19">
        <v>0</v>
      </c>
      <c r="K2134" s="19">
        <v>4</v>
      </c>
      <c r="L2134" s="19" t="s">
        <v>62</v>
      </c>
      <c r="M2134" s="21">
        <v>4.2</v>
      </c>
      <c r="N2134">
        <f t="shared" si="33"/>
        <v>1</v>
      </c>
    </row>
    <row r="2135" spans="1:14" x14ac:dyDescent="0.35">
      <c r="A2135" s="22" t="s">
        <v>2205</v>
      </c>
      <c r="B2135" s="23" t="s">
        <v>47</v>
      </c>
      <c r="C2135" s="23">
        <v>2</v>
      </c>
      <c r="D2135" s="24">
        <v>45702</v>
      </c>
      <c r="E2135" s="23" t="s">
        <v>25</v>
      </c>
      <c r="F2135" s="23" t="s">
        <v>59</v>
      </c>
      <c r="G2135" s="23" t="s">
        <v>8364</v>
      </c>
      <c r="H2135" s="23" t="s">
        <v>8364</v>
      </c>
      <c r="I2135" s="23">
        <v>24</v>
      </c>
      <c r="J2135" s="23">
        <v>0</v>
      </c>
      <c r="K2135" s="23">
        <v>3</v>
      </c>
      <c r="L2135" s="23" t="s">
        <v>38</v>
      </c>
      <c r="M2135" s="25">
        <v>8.3000000000000007</v>
      </c>
      <c r="N2135">
        <f t="shared" si="33"/>
        <v>1</v>
      </c>
    </row>
    <row r="2136" spans="1:14" x14ac:dyDescent="0.35">
      <c r="A2136" s="6" t="s">
        <v>2206</v>
      </c>
      <c r="B2136" s="19" t="s">
        <v>69</v>
      </c>
      <c r="C2136" s="19">
        <v>4</v>
      </c>
      <c r="D2136" s="20">
        <v>45762</v>
      </c>
      <c r="E2136" s="19" t="s">
        <v>25</v>
      </c>
      <c r="F2136" s="19" t="s">
        <v>14</v>
      </c>
      <c r="G2136" s="19" t="s">
        <v>21</v>
      </c>
      <c r="H2136" s="19" t="s">
        <v>28</v>
      </c>
      <c r="I2136" s="19">
        <v>72</v>
      </c>
      <c r="J2136" s="19">
        <v>0</v>
      </c>
      <c r="K2136" s="19">
        <v>4</v>
      </c>
      <c r="L2136" s="19" t="s">
        <v>17</v>
      </c>
      <c r="M2136" s="21">
        <v>3.7</v>
      </c>
      <c r="N2136">
        <f t="shared" si="33"/>
        <v>1</v>
      </c>
    </row>
    <row r="2137" spans="1:14" x14ac:dyDescent="0.35">
      <c r="A2137" s="22" t="s">
        <v>2207</v>
      </c>
      <c r="B2137" s="23" t="s">
        <v>18</v>
      </c>
      <c r="C2137" s="23">
        <v>4</v>
      </c>
      <c r="D2137" s="24">
        <v>45751</v>
      </c>
      <c r="E2137" s="23" t="s">
        <v>68</v>
      </c>
      <c r="F2137" s="23" t="s">
        <v>40</v>
      </c>
      <c r="G2137" s="23" t="s">
        <v>21</v>
      </c>
      <c r="H2137" s="23" t="s">
        <v>22</v>
      </c>
      <c r="I2137" s="23">
        <v>24</v>
      </c>
      <c r="J2137" s="23">
        <v>0</v>
      </c>
      <c r="K2137" s="23">
        <v>3</v>
      </c>
      <c r="L2137" s="23" t="s">
        <v>38</v>
      </c>
      <c r="M2137" s="25">
        <v>13.5</v>
      </c>
      <c r="N2137">
        <f t="shared" si="33"/>
        <v>1</v>
      </c>
    </row>
    <row r="2138" spans="1:14" x14ac:dyDescent="0.35">
      <c r="A2138" s="6" t="s">
        <v>2208</v>
      </c>
      <c r="B2138" s="19" t="s">
        <v>104</v>
      </c>
      <c r="C2138" s="19">
        <v>3</v>
      </c>
      <c r="D2138" s="20">
        <v>45737</v>
      </c>
      <c r="E2138" s="19" t="s">
        <v>68</v>
      </c>
      <c r="F2138" s="19" t="s">
        <v>43</v>
      </c>
      <c r="G2138" s="19" t="s">
        <v>8364</v>
      </c>
      <c r="H2138" s="19" t="s">
        <v>28</v>
      </c>
      <c r="I2138" s="19">
        <v>8</v>
      </c>
      <c r="J2138" s="19">
        <v>3</v>
      </c>
      <c r="K2138" s="19">
        <v>5</v>
      </c>
      <c r="L2138" s="19" t="s">
        <v>75</v>
      </c>
      <c r="M2138" s="21">
        <v>6.5</v>
      </c>
      <c r="N2138">
        <f t="shared" si="33"/>
        <v>1</v>
      </c>
    </row>
    <row r="2139" spans="1:14" x14ac:dyDescent="0.35">
      <c r="A2139" s="22" t="s">
        <v>2209</v>
      </c>
      <c r="B2139" s="23" t="s">
        <v>69</v>
      </c>
      <c r="C2139" s="23">
        <v>9</v>
      </c>
      <c r="D2139" s="24">
        <v>45920</v>
      </c>
      <c r="E2139" s="23" t="s">
        <v>36</v>
      </c>
      <c r="F2139" s="23" t="s">
        <v>40</v>
      </c>
      <c r="G2139" s="23" t="s">
        <v>15</v>
      </c>
      <c r="H2139" s="23" t="s">
        <v>28</v>
      </c>
      <c r="I2139" s="23">
        <v>24</v>
      </c>
      <c r="J2139" s="23">
        <v>0</v>
      </c>
      <c r="K2139" s="23">
        <v>5</v>
      </c>
      <c r="L2139" s="23" t="s">
        <v>38</v>
      </c>
      <c r="M2139" s="25">
        <v>27.7</v>
      </c>
      <c r="N2139">
        <f t="shared" si="33"/>
        <v>0</v>
      </c>
    </row>
    <row r="2140" spans="1:14" x14ac:dyDescent="0.35">
      <c r="A2140" s="6" t="s">
        <v>2210</v>
      </c>
      <c r="B2140" s="19" t="s">
        <v>47</v>
      </c>
      <c r="C2140" s="19">
        <v>12</v>
      </c>
      <c r="D2140" s="20">
        <v>45994</v>
      </c>
      <c r="E2140" s="19" t="s">
        <v>25</v>
      </c>
      <c r="F2140" s="19" t="s">
        <v>8364</v>
      </c>
      <c r="G2140" s="19" t="s">
        <v>15</v>
      </c>
      <c r="H2140" s="19" t="s">
        <v>32</v>
      </c>
      <c r="I2140" s="19">
        <v>4</v>
      </c>
      <c r="J2140" s="19">
        <v>0</v>
      </c>
      <c r="K2140" s="19">
        <v>4</v>
      </c>
      <c r="L2140" s="19" t="s">
        <v>55</v>
      </c>
      <c r="M2140" s="21">
        <v>3.3</v>
      </c>
      <c r="N2140">
        <f t="shared" si="33"/>
        <v>1</v>
      </c>
    </row>
    <row r="2141" spans="1:14" x14ac:dyDescent="0.35">
      <c r="A2141" s="22" t="s">
        <v>2211</v>
      </c>
      <c r="B2141" s="23" t="s">
        <v>34</v>
      </c>
      <c r="C2141" s="23">
        <v>1</v>
      </c>
      <c r="D2141" s="24">
        <v>45664</v>
      </c>
      <c r="E2141" s="23" t="s">
        <v>13</v>
      </c>
      <c r="F2141" s="23" t="s">
        <v>14</v>
      </c>
      <c r="G2141" s="23" t="s">
        <v>31</v>
      </c>
      <c r="H2141" s="23" t="s">
        <v>22</v>
      </c>
      <c r="I2141" s="23">
        <v>24</v>
      </c>
      <c r="J2141" s="23">
        <v>0</v>
      </c>
      <c r="K2141" s="23">
        <v>5</v>
      </c>
      <c r="L2141" s="23" t="s">
        <v>62</v>
      </c>
      <c r="M2141" s="25">
        <v>35.799999999999997</v>
      </c>
      <c r="N2141">
        <f t="shared" si="33"/>
        <v>0</v>
      </c>
    </row>
    <row r="2142" spans="1:14" x14ac:dyDescent="0.35">
      <c r="A2142" s="6" t="s">
        <v>2212</v>
      </c>
      <c r="B2142" s="19" t="s">
        <v>69</v>
      </c>
      <c r="C2142" s="19">
        <v>6</v>
      </c>
      <c r="D2142" s="20">
        <v>45812</v>
      </c>
      <c r="E2142" s="19" t="s">
        <v>36</v>
      </c>
      <c r="F2142" s="19" t="s">
        <v>37</v>
      </c>
      <c r="G2142" s="19" t="s">
        <v>27</v>
      </c>
      <c r="H2142" s="19" t="s">
        <v>22</v>
      </c>
      <c r="I2142" s="19">
        <v>24</v>
      </c>
      <c r="J2142" s="19">
        <v>2</v>
      </c>
      <c r="K2142" s="19">
        <v>4</v>
      </c>
      <c r="L2142" s="19" t="s">
        <v>8363</v>
      </c>
      <c r="M2142" s="21">
        <v>16.5</v>
      </c>
      <c r="N2142">
        <f t="shared" si="33"/>
        <v>1</v>
      </c>
    </row>
    <row r="2143" spans="1:14" x14ac:dyDescent="0.35">
      <c r="A2143" s="22" t="s">
        <v>2213</v>
      </c>
      <c r="B2143" s="23" t="s">
        <v>53</v>
      </c>
      <c r="C2143" s="23">
        <v>9</v>
      </c>
      <c r="D2143" s="24">
        <v>45907</v>
      </c>
      <c r="E2143" s="23" t="s">
        <v>68</v>
      </c>
      <c r="F2143" s="23" t="s">
        <v>14</v>
      </c>
      <c r="G2143" s="23" t="s">
        <v>27</v>
      </c>
      <c r="H2143" s="23" t="s">
        <v>28</v>
      </c>
      <c r="I2143" s="23">
        <v>72</v>
      </c>
      <c r="J2143" s="23">
        <v>1</v>
      </c>
      <c r="K2143" s="23">
        <v>5</v>
      </c>
      <c r="L2143" s="23" t="s">
        <v>17</v>
      </c>
      <c r="M2143" s="25">
        <v>21.6</v>
      </c>
      <c r="N2143">
        <f t="shared" si="33"/>
        <v>1</v>
      </c>
    </row>
    <row r="2144" spans="1:14" x14ac:dyDescent="0.35">
      <c r="A2144" s="6" t="s">
        <v>2214</v>
      </c>
      <c r="B2144" s="19" t="s">
        <v>101</v>
      </c>
      <c r="C2144" s="19">
        <v>10</v>
      </c>
      <c r="D2144" s="20">
        <v>45949</v>
      </c>
      <c r="E2144" s="19" t="s">
        <v>13</v>
      </c>
      <c r="F2144" s="19" t="s">
        <v>14</v>
      </c>
      <c r="G2144" s="19" t="s">
        <v>8364</v>
      </c>
      <c r="H2144" s="19" t="s">
        <v>22</v>
      </c>
      <c r="I2144" s="19">
        <v>24</v>
      </c>
      <c r="J2144" s="19">
        <v>0</v>
      </c>
      <c r="K2144" s="19">
        <v>5</v>
      </c>
      <c r="L2144" s="19" t="s">
        <v>38</v>
      </c>
      <c r="M2144" s="21">
        <v>9</v>
      </c>
      <c r="N2144">
        <f t="shared" si="33"/>
        <v>1</v>
      </c>
    </row>
    <row r="2145" spans="1:14" x14ac:dyDescent="0.35">
      <c r="A2145" s="22" t="s">
        <v>2215</v>
      </c>
      <c r="B2145" s="23" t="s">
        <v>47</v>
      </c>
      <c r="C2145" s="23">
        <v>12</v>
      </c>
      <c r="D2145" s="24">
        <v>46008</v>
      </c>
      <c r="E2145" s="23" t="s">
        <v>68</v>
      </c>
      <c r="F2145" s="23" t="s">
        <v>14</v>
      </c>
      <c r="G2145" s="23" t="s">
        <v>31</v>
      </c>
      <c r="H2145" s="23" t="s">
        <v>22</v>
      </c>
      <c r="I2145" s="23">
        <v>4</v>
      </c>
      <c r="J2145" s="23">
        <v>0</v>
      </c>
      <c r="K2145" s="23">
        <v>4</v>
      </c>
      <c r="L2145" s="23" t="s">
        <v>44</v>
      </c>
      <c r="M2145" s="25">
        <v>4.5</v>
      </c>
      <c r="N2145">
        <f t="shared" si="33"/>
        <v>0</v>
      </c>
    </row>
    <row r="2146" spans="1:14" x14ac:dyDescent="0.35">
      <c r="A2146" s="6" t="s">
        <v>2216</v>
      </c>
      <c r="B2146" s="19" t="s">
        <v>23</v>
      </c>
      <c r="C2146" s="19">
        <v>6</v>
      </c>
      <c r="D2146" s="20">
        <v>45810</v>
      </c>
      <c r="E2146" s="19" t="s">
        <v>36</v>
      </c>
      <c r="F2146" s="19" t="s">
        <v>37</v>
      </c>
      <c r="G2146" s="19" t="s">
        <v>21</v>
      </c>
      <c r="H2146" s="19" t="s">
        <v>28</v>
      </c>
      <c r="I2146" s="19">
        <v>24</v>
      </c>
      <c r="J2146" s="19">
        <v>1</v>
      </c>
      <c r="K2146" s="19">
        <v>5</v>
      </c>
      <c r="L2146" s="19" t="s">
        <v>38</v>
      </c>
      <c r="M2146" s="21">
        <v>6.6</v>
      </c>
      <c r="N2146">
        <f t="shared" si="33"/>
        <v>1</v>
      </c>
    </row>
    <row r="2147" spans="1:14" x14ac:dyDescent="0.35">
      <c r="A2147" s="22" t="s">
        <v>2217</v>
      </c>
      <c r="B2147" s="23" t="s">
        <v>41</v>
      </c>
      <c r="C2147" s="23"/>
      <c r="D2147" s="24"/>
      <c r="E2147" s="23" t="s">
        <v>36</v>
      </c>
      <c r="F2147" s="23" t="s">
        <v>8364</v>
      </c>
      <c r="G2147" s="23" t="s">
        <v>31</v>
      </c>
      <c r="H2147" s="23" t="s">
        <v>28</v>
      </c>
      <c r="I2147" s="23">
        <v>72</v>
      </c>
      <c r="J2147" s="23">
        <v>0</v>
      </c>
      <c r="K2147" s="23">
        <v>2</v>
      </c>
      <c r="L2147" s="23" t="s">
        <v>17</v>
      </c>
      <c r="M2147" s="25">
        <v>14.1</v>
      </c>
      <c r="N2147">
        <f t="shared" si="33"/>
        <v>1</v>
      </c>
    </row>
    <row r="2148" spans="1:14" x14ac:dyDescent="0.35">
      <c r="A2148" s="6" t="s">
        <v>2218</v>
      </c>
      <c r="B2148" s="19" t="s">
        <v>139</v>
      </c>
      <c r="C2148" s="19">
        <v>11</v>
      </c>
      <c r="D2148" s="20">
        <v>45967</v>
      </c>
      <c r="E2148" s="19" t="s">
        <v>20</v>
      </c>
      <c r="F2148" s="19" t="s">
        <v>14</v>
      </c>
      <c r="G2148" s="19" t="s">
        <v>31</v>
      </c>
      <c r="H2148" s="19" t="s">
        <v>32</v>
      </c>
      <c r="I2148" s="19">
        <v>24</v>
      </c>
      <c r="J2148" s="19">
        <v>1</v>
      </c>
      <c r="K2148" s="19">
        <v>5</v>
      </c>
      <c r="L2148" s="19" t="s">
        <v>62</v>
      </c>
      <c r="M2148" s="21">
        <v>2.8</v>
      </c>
      <c r="N2148">
        <f t="shared" si="33"/>
        <v>1</v>
      </c>
    </row>
    <row r="2149" spans="1:14" x14ac:dyDescent="0.35">
      <c r="A2149" s="22" t="s">
        <v>2219</v>
      </c>
      <c r="B2149" s="23" t="s">
        <v>181</v>
      </c>
      <c r="C2149" s="23">
        <v>1</v>
      </c>
      <c r="D2149" s="24">
        <v>45686</v>
      </c>
      <c r="E2149" s="23" t="s">
        <v>20</v>
      </c>
      <c r="F2149" s="23" t="s">
        <v>26</v>
      </c>
      <c r="G2149" s="23" t="s">
        <v>21</v>
      </c>
      <c r="H2149" s="23" t="s">
        <v>22</v>
      </c>
      <c r="I2149" s="23">
        <v>48</v>
      </c>
      <c r="J2149" s="23">
        <v>0</v>
      </c>
      <c r="K2149" s="23">
        <v>1</v>
      </c>
      <c r="L2149" s="23" t="s">
        <v>44</v>
      </c>
      <c r="M2149" s="25">
        <v>5.8</v>
      </c>
      <c r="N2149">
        <f t="shared" si="33"/>
        <v>1</v>
      </c>
    </row>
    <row r="2150" spans="1:14" x14ac:dyDescent="0.35">
      <c r="A2150" s="6" t="s">
        <v>2220</v>
      </c>
      <c r="B2150" s="19" t="s">
        <v>18</v>
      </c>
      <c r="C2150" s="19">
        <v>7</v>
      </c>
      <c r="D2150" s="20">
        <v>45865</v>
      </c>
      <c r="E2150" s="19" t="s">
        <v>13</v>
      </c>
      <c r="F2150" s="19" t="s">
        <v>59</v>
      </c>
      <c r="G2150" s="19" t="s">
        <v>27</v>
      </c>
      <c r="H2150" s="19" t="s">
        <v>32</v>
      </c>
      <c r="I2150" s="19">
        <v>8</v>
      </c>
      <c r="J2150" s="19">
        <v>0</v>
      </c>
      <c r="K2150" s="19">
        <v>5</v>
      </c>
      <c r="L2150" s="19" t="s">
        <v>8363</v>
      </c>
      <c r="M2150" s="21">
        <v>7.7</v>
      </c>
      <c r="N2150">
        <f t="shared" si="33"/>
        <v>1</v>
      </c>
    </row>
    <row r="2151" spans="1:14" x14ac:dyDescent="0.35">
      <c r="A2151" s="22" t="s">
        <v>2221</v>
      </c>
      <c r="B2151" s="23" t="s">
        <v>85</v>
      </c>
      <c r="C2151" s="23">
        <v>10</v>
      </c>
      <c r="D2151" s="24">
        <v>45931</v>
      </c>
      <c r="E2151" s="23" t="s">
        <v>68</v>
      </c>
      <c r="F2151" s="23" t="s">
        <v>26</v>
      </c>
      <c r="G2151" s="23" t="s">
        <v>15</v>
      </c>
      <c r="H2151" s="23" t="s">
        <v>8364</v>
      </c>
      <c r="I2151" s="23">
        <v>48</v>
      </c>
      <c r="J2151" s="23">
        <v>0</v>
      </c>
      <c r="K2151" s="23">
        <v>1</v>
      </c>
      <c r="L2151" s="23" t="s">
        <v>44</v>
      </c>
      <c r="M2151" s="25">
        <v>14</v>
      </c>
      <c r="N2151">
        <f t="shared" si="33"/>
        <v>1</v>
      </c>
    </row>
    <row r="2152" spans="1:14" x14ac:dyDescent="0.35">
      <c r="A2152" s="6" t="s">
        <v>2222</v>
      </c>
      <c r="B2152" s="19" t="s">
        <v>57</v>
      </c>
      <c r="C2152" s="19">
        <v>5</v>
      </c>
      <c r="D2152" s="20">
        <v>45797</v>
      </c>
      <c r="E2152" s="19" t="s">
        <v>20</v>
      </c>
      <c r="F2152" s="19" t="s">
        <v>43</v>
      </c>
      <c r="G2152" s="19" t="s">
        <v>27</v>
      </c>
      <c r="H2152" s="19" t="s">
        <v>22</v>
      </c>
      <c r="I2152" s="19">
        <v>4</v>
      </c>
      <c r="J2152" s="19">
        <v>0</v>
      </c>
      <c r="K2152" s="19">
        <v>5</v>
      </c>
      <c r="L2152" s="19" t="s">
        <v>62</v>
      </c>
      <c r="M2152" s="21">
        <v>4.9000000000000004</v>
      </c>
      <c r="N2152">
        <f t="shared" si="33"/>
        <v>0</v>
      </c>
    </row>
    <row r="2153" spans="1:14" x14ac:dyDescent="0.35">
      <c r="A2153" s="22" t="s">
        <v>2223</v>
      </c>
      <c r="B2153" s="23" t="s">
        <v>18</v>
      </c>
      <c r="C2153" s="23">
        <v>7</v>
      </c>
      <c r="D2153" s="24">
        <v>45861</v>
      </c>
      <c r="E2153" s="23" t="s">
        <v>25</v>
      </c>
      <c r="F2153" s="23" t="s">
        <v>14</v>
      </c>
      <c r="G2153" s="23" t="s">
        <v>31</v>
      </c>
      <c r="H2153" s="23" t="s">
        <v>22</v>
      </c>
      <c r="I2153" s="23">
        <v>24</v>
      </c>
      <c r="J2153" s="23">
        <v>0</v>
      </c>
      <c r="K2153" s="23">
        <v>5</v>
      </c>
      <c r="L2153" s="23" t="s">
        <v>75</v>
      </c>
      <c r="M2153" s="25">
        <v>28</v>
      </c>
      <c r="N2153">
        <f t="shared" si="33"/>
        <v>0</v>
      </c>
    </row>
    <row r="2154" spans="1:14" x14ac:dyDescent="0.35">
      <c r="A2154" s="6" t="s">
        <v>2224</v>
      </c>
      <c r="B2154" s="19" t="s">
        <v>34</v>
      </c>
      <c r="C2154" s="19">
        <v>5</v>
      </c>
      <c r="D2154" s="20">
        <v>45805</v>
      </c>
      <c r="E2154" s="19" t="s">
        <v>68</v>
      </c>
      <c r="F2154" s="19" t="s">
        <v>8364</v>
      </c>
      <c r="G2154" s="19" t="s">
        <v>21</v>
      </c>
      <c r="H2154" s="19" t="s">
        <v>22</v>
      </c>
      <c r="I2154" s="19">
        <v>48</v>
      </c>
      <c r="J2154" s="19">
        <v>0</v>
      </c>
      <c r="K2154" s="19">
        <v>5</v>
      </c>
      <c r="L2154" s="19" t="s">
        <v>8363</v>
      </c>
      <c r="M2154" s="21">
        <v>37.1</v>
      </c>
      <c r="N2154">
        <f t="shared" si="33"/>
        <v>1</v>
      </c>
    </row>
    <row r="2155" spans="1:14" x14ac:dyDescent="0.35">
      <c r="A2155" s="22" t="s">
        <v>2225</v>
      </c>
      <c r="B2155" s="23" t="s">
        <v>65</v>
      </c>
      <c r="C2155" s="23">
        <v>11</v>
      </c>
      <c r="D2155" s="24">
        <v>45982</v>
      </c>
      <c r="E2155" s="23" t="s">
        <v>20</v>
      </c>
      <c r="F2155" s="23" t="s">
        <v>26</v>
      </c>
      <c r="G2155" s="23" t="s">
        <v>27</v>
      </c>
      <c r="H2155" s="23" t="s">
        <v>16</v>
      </c>
      <c r="I2155" s="23">
        <v>24</v>
      </c>
      <c r="J2155" s="23">
        <v>1</v>
      </c>
      <c r="K2155" s="23">
        <v>5</v>
      </c>
      <c r="L2155" s="23" t="s">
        <v>17</v>
      </c>
      <c r="M2155" s="25">
        <v>4.5999999999999996</v>
      </c>
      <c r="N2155">
        <f t="shared" si="33"/>
        <v>1</v>
      </c>
    </row>
    <row r="2156" spans="1:14" x14ac:dyDescent="0.35">
      <c r="A2156" s="6" t="s">
        <v>2226</v>
      </c>
      <c r="B2156" s="19" t="s">
        <v>45</v>
      </c>
      <c r="C2156" s="19">
        <v>6</v>
      </c>
      <c r="D2156" s="20">
        <v>45809</v>
      </c>
      <c r="E2156" s="19" t="s">
        <v>8364</v>
      </c>
      <c r="F2156" s="19" t="s">
        <v>8364</v>
      </c>
      <c r="G2156" s="19" t="s">
        <v>15</v>
      </c>
      <c r="H2156" s="19" t="s">
        <v>32</v>
      </c>
      <c r="I2156" s="19">
        <v>24</v>
      </c>
      <c r="J2156" s="19">
        <v>0</v>
      </c>
      <c r="K2156" s="19">
        <v>5</v>
      </c>
      <c r="L2156" s="19" t="s">
        <v>75</v>
      </c>
      <c r="M2156" s="21">
        <v>9.9</v>
      </c>
      <c r="N2156">
        <f t="shared" si="33"/>
        <v>1</v>
      </c>
    </row>
    <row r="2157" spans="1:14" x14ac:dyDescent="0.35">
      <c r="A2157" s="22" t="s">
        <v>2227</v>
      </c>
      <c r="B2157" s="23" t="s">
        <v>92</v>
      </c>
      <c r="C2157" s="23"/>
      <c r="D2157" s="24"/>
      <c r="E2157" s="23" t="s">
        <v>13</v>
      </c>
      <c r="F2157" s="23" t="s">
        <v>40</v>
      </c>
      <c r="G2157" s="23" t="s">
        <v>27</v>
      </c>
      <c r="H2157" s="23" t="s">
        <v>32</v>
      </c>
      <c r="I2157" s="23">
        <v>24</v>
      </c>
      <c r="J2157" s="23">
        <v>1</v>
      </c>
      <c r="K2157" s="23">
        <v>3</v>
      </c>
      <c r="L2157" s="23" t="s">
        <v>62</v>
      </c>
      <c r="M2157" s="25">
        <v>7.2</v>
      </c>
      <c r="N2157">
        <f t="shared" si="33"/>
        <v>1</v>
      </c>
    </row>
    <row r="2158" spans="1:14" x14ac:dyDescent="0.35">
      <c r="A2158" s="6" t="s">
        <v>2228</v>
      </c>
      <c r="B2158" s="19" t="s">
        <v>99</v>
      </c>
      <c r="C2158" s="19">
        <v>1</v>
      </c>
      <c r="D2158" s="20">
        <v>45665</v>
      </c>
      <c r="E2158" s="19" t="s">
        <v>25</v>
      </c>
      <c r="F2158" s="19" t="s">
        <v>40</v>
      </c>
      <c r="G2158" s="19" t="s">
        <v>27</v>
      </c>
      <c r="H2158" s="19" t="s">
        <v>8364</v>
      </c>
      <c r="I2158" s="19">
        <v>72</v>
      </c>
      <c r="J2158" s="19">
        <v>0</v>
      </c>
      <c r="K2158" s="19">
        <v>3</v>
      </c>
      <c r="L2158" s="19" t="s">
        <v>33</v>
      </c>
      <c r="M2158" s="21">
        <v>7.7</v>
      </c>
      <c r="N2158">
        <f t="shared" si="33"/>
        <v>1</v>
      </c>
    </row>
    <row r="2159" spans="1:14" x14ac:dyDescent="0.35">
      <c r="A2159" s="22" t="s">
        <v>2229</v>
      </c>
      <c r="B2159" s="23" t="s">
        <v>47</v>
      </c>
      <c r="C2159" s="23">
        <v>10</v>
      </c>
      <c r="D2159" s="24">
        <v>45932</v>
      </c>
      <c r="E2159" s="23" t="s">
        <v>68</v>
      </c>
      <c r="F2159" s="23" t="s">
        <v>59</v>
      </c>
      <c r="G2159" s="23" t="s">
        <v>21</v>
      </c>
      <c r="H2159" s="23" t="s">
        <v>16</v>
      </c>
      <c r="I2159" s="23">
        <v>4</v>
      </c>
      <c r="J2159" s="23">
        <v>0</v>
      </c>
      <c r="K2159" s="23">
        <v>2</v>
      </c>
      <c r="L2159" s="23" t="s">
        <v>55</v>
      </c>
      <c r="M2159" s="25">
        <v>1.7</v>
      </c>
      <c r="N2159">
        <f t="shared" si="33"/>
        <v>1</v>
      </c>
    </row>
    <row r="2160" spans="1:14" x14ac:dyDescent="0.35">
      <c r="A2160" s="6" t="s">
        <v>2230</v>
      </c>
      <c r="B2160" s="19" t="s">
        <v>99</v>
      </c>
      <c r="C2160" s="19">
        <v>10</v>
      </c>
      <c r="D2160" s="20">
        <v>45945</v>
      </c>
      <c r="E2160" s="19" t="s">
        <v>36</v>
      </c>
      <c r="F2160" s="19" t="s">
        <v>43</v>
      </c>
      <c r="G2160" s="19" t="s">
        <v>15</v>
      </c>
      <c r="H2160" s="19" t="s">
        <v>22</v>
      </c>
      <c r="I2160" s="19">
        <v>24</v>
      </c>
      <c r="J2160" s="19">
        <v>0</v>
      </c>
      <c r="K2160" s="19">
        <v>1</v>
      </c>
      <c r="L2160" s="19" t="s">
        <v>8363</v>
      </c>
      <c r="M2160" s="21">
        <v>8.6</v>
      </c>
      <c r="N2160">
        <f t="shared" si="33"/>
        <v>1</v>
      </c>
    </row>
    <row r="2161" spans="1:14" x14ac:dyDescent="0.35">
      <c r="A2161" s="22" t="s">
        <v>2231</v>
      </c>
      <c r="B2161" s="23" t="s">
        <v>57</v>
      </c>
      <c r="C2161" s="23">
        <v>3</v>
      </c>
      <c r="D2161" s="24">
        <v>45719</v>
      </c>
      <c r="E2161" s="23" t="s">
        <v>36</v>
      </c>
      <c r="F2161" s="23" t="s">
        <v>43</v>
      </c>
      <c r="G2161" s="23" t="s">
        <v>15</v>
      </c>
      <c r="H2161" s="23" t="s">
        <v>22</v>
      </c>
      <c r="I2161" s="23">
        <v>24</v>
      </c>
      <c r="J2161" s="23">
        <v>0</v>
      </c>
      <c r="K2161" s="23">
        <v>4</v>
      </c>
      <c r="L2161" s="23" t="s">
        <v>44</v>
      </c>
      <c r="M2161" s="25">
        <v>51.2</v>
      </c>
      <c r="N2161">
        <f t="shared" si="33"/>
        <v>0</v>
      </c>
    </row>
    <row r="2162" spans="1:14" x14ac:dyDescent="0.35">
      <c r="A2162" s="6" t="s">
        <v>2232</v>
      </c>
      <c r="B2162" s="19" t="s">
        <v>41</v>
      </c>
      <c r="C2162" s="19">
        <v>4</v>
      </c>
      <c r="D2162" s="20">
        <v>45767</v>
      </c>
      <c r="E2162" s="19" t="s">
        <v>20</v>
      </c>
      <c r="F2162" s="19" t="s">
        <v>43</v>
      </c>
      <c r="G2162" s="19" t="s">
        <v>8364</v>
      </c>
      <c r="H2162" s="19" t="s">
        <v>28</v>
      </c>
      <c r="I2162" s="19">
        <v>4</v>
      </c>
      <c r="J2162" s="19">
        <v>0</v>
      </c>
      <c r="K2162" s="19">
        <v>5</v>
      </c>
      <c r="L2162" s="19" t="s">
        <v>38</v>
      </c>
      <c r="M2162" s="21">
        <v>13.3</v>
      </c>
      <c r="N2162">
        <f t="shared" si="33"/>
        <v>0</v>
      </c>
    </row>
    <row r="2163" spans="1:14" x14ac:dyDescent="0.35">
      <c r="A2163" s="22" t="s">
        <v>2233</v>
      </c>
      <c r="B2163" s="23" t="s">
        <v>69</v>
      </c>
      <c r="C2163" s="23">
        <v>2</v>
      </c>
      <c r="D2163" s="24">
        <v>45704</v>
      </c>
      <c r="E2163" s="23" t="s">
        <v>13</v>
      </c>
      <c r="F2163" s="23" t="s">
        <v>40</v>
      </c>
      <c r="G2163" s="23" t="s">
        <v>31</v>
      </c>
      <c r="H2163" s="23" t="s">
        <v>8364</v>
      </c>
      <c r="I2163" s="23">
        <v>24</v>
      </c>
      <c r="J2163" s="23">
        <v>1</v>
      </c>
      <c r="K2163" s="23">
        <v>5</v>
      </c>
      <c r="L2163" s="23" t="s">
        <v>17</v>
      </c>
      <c r="M2163" s="25">
        <v>7.7</v>
      </c>
      <c r="N2163">
        <f t="shared" si="33"/>
        <v>1</v>
      </c>
    </row>
    <row r="2164" spans="1:14" x14ac:dyDescent="0.35">
      <c r="A2164" s="6" t="s">
        <v>2234</v>
      </c>
      <c r="B2164" s="19" t="s">
        <v>45</v>
      </c>
      <c r="C2164" s="19">
        <v>1</v>
      </c>
      <c r="D2164" s="20">
        <v>45659</v>
      </c>
      <c r="E2164" s="19" t="s">
        <v>25</v>
      </c>
      <c r="F2164" s="19" t="s">
        <v>43</v>
      </c>
      <c r="G2164" s="19" t="s">
        <v>15</v>
      </c>
      <c r="H2164" s="19" t="s">
        <v>22</v>
      </c>
      <c r="I2164" s="19">
        <v>8</v>
      </c>
      <c r="J2164" s="19">
        <v>1</v>
      </c>
      <c r="K2164" s="19">
        <v>5</v>
      </c>
      <c r="L2164" s="19" t="s">
        <v>44</v>
      </c>
      <c r="M2164" s="21">
        <v>3.8</v>
      </c>
      <c r="N2164">
        <f t="shared" si="33"/>
        <v>1</v>
      </c>
    </row>
    <row r="2165" spans="1:14" x14ac:dyDescent="0.35">
      <c r="A2165" s="22" t="s">
        <v>2235</v>
      </c>
      <c r="B2165" s="23" t="s">
        <v>47</v>
      </c>
      <c r="C2165" s="23"/>
      <c r="D2165" s="24"/>
      <c r="E2165" s="23" t="s">
        <v>36</v>
      </c>
      <c r="F2165" s="23" t="s">
        <v>43</v>
      </c>
      <c r="G2165" s="23" t="s">
        <v>31</v>
      </c>
      <c r="H2165" s="23" t="s">
        <v>22</v>
      </c>
      <c r="I2165" s="23">
        <v>24</v>
      </c>
      <c r="J2165" s="23">
        <v>0</v>
      </c>
      <c r="K2165" s="23">
        <v>3</v>
      </c>
      <c r="L2165" s="23" t="s">
        <v>44</v>
      </c>
      <c r="M2165" s="25">
        <v>2.1</v>
      </c>
      <c r="N2165">
        <f t="shared" si="33"/>
        <v>1</v>
      </c>
    </row>
    <row r="2166" spans="1:14" x14ac:dyDescent="0.35">
      <c r="A2166" s="6" t="s">
        <v>2236</v>
      </c>
      <c r="B2166" s="19" t="s">
        <v>34</v>
      </c>
      <c r="C2166" s="19">
        <v>12</v>
      </c>
      <c r="D2166" s="20">
        <v>45993</v>
      </c>
      <c r="E2166" s="19" t="s">
        <v>13</v>
      </c>
      <c r="F2166" s="19" t="s">
        <v>26</v>
      </c>
      <c r="G2166" s="19" t="s">
        <v>8364</v>
      </c>
      <c r="H2166" s="19" t="s">
        <v>8364</v>
      </c>
      <c r="I2166" s="19">
        <v>8</v>
      </c>
      <c r="J2166" s="19">
        <v>3</v>
      </c>
      <c r="K2166" s="19">
        <v>5</v>
      </c>
      <c r="L2166" s="19" t="s">
        <v>8363</v>
      </c>
      <c r="M2166" s="21">
        <v>12.7</v>
      </c>
      <c r="N2166">
        <f t="shared" si="33"/>
        <v>0</v>
      </c>
    </row>
    <row r="2167" spans="1:14" x14ac:dyDescent="0.35">
      <c r="A2167" s="22" t="s">
        <v>2237</v>
      </c>
      <c r="B2167" s="23" t="s">
        <v>72</v>
      </c>
      <c r="C2167" s="23">
        <v>7</v>
      </c>
      <c r="D2167" s="24">
        <v>45849</v>
      </c>
      <c r="E2167" s="23" t="s">
        <v>13</v>
      </c>
      <c r="F2167" s="23" t="s">
        <v>43</v>
      </c>
      <c r="G2167" s="23" t="s">
        <v>8364</v>
      </c>
      <c r="H2167" s="23" t="s">
        <v>28</v>
      </c>
      <c r="I2167" s="23">
        <v>72</v>
      </c>
      <c r="J2167" s="23">
        <v>0</v>
      </c>
      <c r="K2167" s="23">
        <v>5</v>
      </c>
      <c r="L2167" s="23" t="s">
        <v>55</v>
      </c>
      <c r="M2167" s="25">
        <v>15.9</v>
      </c>
      <c r="N2167">
        <f t="shared" si="33"/>
        <v>1</v>
      </c>
    </row>
    <row r="2168" spans="1:14" x14ac:dyDescent="0.35">
      <c r="A2168" s="6" t="s">
        <v>2238</v>
      </c>
      <c r="B2168" s="19" t="s">
        <v>101</v>
      </c>
      <c r="C2168" s="19">
        <v>5</v>
      </c>
      <c r="D2168" s="20">
        <v>45784</v>
      </c>
      <c r="E2168" s="19" t="s">
        <v>13</v>
      </c>
      <c r="F2168" s="19" t="s">
        <v>14</v>
      </c>
      <c r="G2168" s="19" t="s">
        <v>15</v>
      </c>
      <c r="H2168" s="19" t="s">
        <v>28</v>
      </c>
      <c r="I2168" s="19">
        <v>72</v>
      </c>
      <c r="J2168" s="19">
        <v>0</v>
      </c>
      <c r="K2168" s="19">
        <v>5</v>
      </c>
      <c r="L2168" s="19" t="s">
        <v>17</v>
      </c>
      <c r="M2168" s="21">
        <v>4.2</v>
      </c>
      <c r="N2168">
        <f t="shared" si="33"/>
        <v>1</v>
      </c>
    </row>
    <row r="2169" spans="1:14" x14ac:dyDescent="0.35">
      <c r="A2169" s="22" t="s">
        <v>2239</v>
      </c>
      <c r="B2169" s="23" t="s">
        <v>181</v>
      </c>
      <c r="C2169" s="23">
        <v>6</v>
      </c>
      <c r="D2169" s="24">
        <v>45835</v>
      </c>
      <c r="E2169" s="23" t="s">
        <v>8364</v>
      </c>
      <c r="F2169" s="23" t="s">
        <v>59</v>
      </c>
      <c r="G2169" s="23" t="s">
        <v>27</v>
      </c>
      <c r="H2169" s="23" t="s">
        <v>28</v>
      </c>
      <c r="I2169" s="23">
        <v>24</v>
      </c>
      <c r="J2169" s="23">
        <v>1</v>
      </c>
      <c r="K2169" s="23"/>
      <c r="L2169" s="23" t="s">
        <v>17</v>
      </c>
      <c r="M2169" s="25">
        <v>12.3</v>
      </c>
      <c r="N2169">
        <f t="shared" si="33"/>
        <v>1</v>
      </c>
    </row>
    <row r="2170" spans="1:14" x14ac:dyDescent="0.35">
      <c r="A2170" s="6" t="s">
        <v>2240</v>
      </c>
      <c r="B2170" s="19" t="s">
        <v>49</v>
      </c>
      <c r="C2170" s="19">
        <v>9</v>
      </c>
      <c r="D2170" s="20">
        <v>45915</v>
      </c>
      <c r="E2170" s="19" t="s">
        <v>36</v>
      </c>
      <c r="F2170" s="19" t="s">
        <v>8364</v>
      </c>
      <c r="G2170" s="19" t="s">
        <v>15</v>
      </c>
      <c r="H2170" s="19" t="s">
        <v>28</v>
      </c>
      <c r="I2170" s="19">
        <v>72</v>
      </c>
      <c r="J2170" s="19">
        <v>0</v>
      </c>
      <c r="K2170" s="19">
        <v>3</v>
      </c>
      <c r="L2170" s="19" t="s">
        <v>62</v>
      </c>
      <c r="M2170" s="21">
        <v>7.2</v>
      </c>
      <c r="N2170">
        <f t="shared" si="33"/>
        <v>1</v>
      </c>
    </row>
    <row r="2171" spans="1:14" x14ac:dyDescent="0.35">
      <c r="A2171" s="22" t="s">
        <v>2241</v>
      </c>
      <c r="B2171" s="23" t="s">
        <v>69</v>
      </c>
      <c r="C2171" s="23">
        <v>11</v>
      </c>
      <c r="D2171" s="24">
        <v>45984</v>
      </c>
      <c r="E2171" s="23" t="s">
        <v>68</v>
      </c>
      <c r="F2171" s="23" t="s">
        <v>43</v>
      </c>
      <c r="G2171" s="23" t="s">
        <v>31</v>
      </c>
      <c r="H2171" s="23" t="s">
        <v>22</v>
      </c>
      <c r="I2171" s="23">
        <v>8</v>
      </c>
      <c r="J2171" s="23">
        <v>1</v>
      </c>
      <c r="K2171" s="23">
        <v>2</v>
      </c>
      <c r="L2171" s="23" t="s">
        <v>17</v>
      </c>
      <c r="M2171" s="25">
        <v>16.600000000000001</v>
      </c>
      <c r="N2171">
        <f t="shared" si="33"/>
        <v>0</v>
      </c>
    </row>
    <row r="2172" spans="1:14" x14ac:dyDescent="0.35">
      <c r="A2172" s="6" t="s">
        <v>2242</v>
      </c>
      <c r="B2172" s="19" t="s">
        <v>51</v>
      </c>
      <c r="C2172" s="19">
        <v>10</v>
      </c>
      <c r="D2172" s="20">
        <v>45931</v>
      </c>
      <c r="E2172" s="19" t="s">
        <v>68</v>
      </c>
      <c r="F2172" s="19" t="s">
        <v>59</v>
      </c>
      <c r="G2172" s="19" t="s">
        <v>15</v>
      </c>
      <c r="H2172" s="19" t="s">
        <v>22</v>
      </c>
      <c r="I2172" s="19">
        <v>24</v>
      </c>
      <c r="J2172" s="19">
        <v>0</v>
      </c>
      <c r="K2172" s="19">
        <v>4</v>
      </c>
      <c r="L2172" s="19" t="s">
        <v>62</v>
      </c>
      <c r="M2172" s="21">
        <v>23.6</v>
      </c>
      <c r="N2172">
        <f t="shared" si="33"/>
        <v>1</v>
      </c>
    </row>
    <row r="2173" spans="1:14" x14ac:dyDescent="0.35">
      <c r="A2173" s="22" t="s">
        <v>2243</v>
      </c>
      <c r="B2173" s="23" t="s">
        <v>139</v>
      </c>
      <c r="C2173" s="23">
        <v>1</v>
      </c>
      <c r="D2173" s="24">
        <v>45664</v>
      </c>
      <c r="E2173" s="23" t="s">
        <v>13</v>
      </c>
      <c r="F2173" s="23" t="s">
        <v>43</v>
      </c>
      <c r="G2173" s="23" t="s">
        <v>27</v>
      </c>
      <c r="H2173" s="23" t="s">
        <v>22</v>
      </c>
      <c r="I2173" s="23">
        <v>8</v>
      </c>
      <c r="J2173" s="23">
        <v>2</v>
      </c>
      <c r="K2173" s="23">
        <v>4</v>
      </c>
      <c r="L2173" s="23" t="s">
        <v>17</v>
      </c>
      <c r="M2173" s="25">
        <v>11</v>
      </c>
      <c r="N2173">
        <f t="shared" si="33"/>
        <v>0</v>
      </c>
    </row>
    <row r="2174" spans="1:14" x14ac:dyDescent="0.35">
      <c r="A2174" s="6" t="s">
        <v>2244</v>
      </c>
      <c r="B2174" s="19" t="s">
        <v>89</v>
      </c>
      <c r="C2174" s="19">
        <v>3</v>
      </c>
      <c r="D2174" s="20">
        <v>45736</v>
      </c>
      <c r="E2174" s="19" t="s">
        <v>13</v>
      </c>
      <c r="F2174" s="19" t="s">
        <v>14</v>
      </c>
      <c r="G2174" s="19" t="s">
        <v>21</v>
      </c>
      <c r="H2174" s="19" t="s">
        <v>22</v>
      </c>
      <c r="I2174" s="19">
        <v>48</v>
      </c>
      <c r="J2174" s="19">
        <v>0</v>
      </c>
      <c r="K2174" s="19">
        <v>3</v>
      </c>
      <c r="L2174" s="19" t="s">
        <v>44</v>
      </c>
      <c r="M2174" s="21"/>
      <c r="N2174">
        <f t="shared" si="33"/>
        <v>1</v>
      </c>
    </row>
    <row r="2175" spans="1:14" x14ac:dyDescent="0.35">
      <c r="A2175" s="22" t="s">
        <v>2245</v>
      </c>
      <c r="B2175" s="23" t="s">
        <v>29</v>
      </c>
      <c r="C2175" s="23">
        <v>6</v>
      </c>
      <c r="D2175" s="24">
        <v>45809</v>
      </c>
      <c r="E2175" s="23" t="s">
        <v>13</v>
      </c>
      <c r="F2175" s="23" t="s">
        <v>14</v>
      </c>
      <c r="G2175" s="23" t="s">
        <v>8364</v>
      </c>
      <c r="H2175" s="23" t="s">
        <v>22</v>
      </c>
      <c r="I2175" s="23">
        <v>4</v>
      </c>
      <c r="J2175" s="23">
        <v>0</v>
      </c>
      <c r="K2175" s="23">
        <v>4</v>
      </c>
      <c r="L2175" s="23" t="s">
        <v>17</v>
      </c>
      <c r="M2175" s="25">
        <v>5.2</v>
      </c>
      <c r="N2175">
        <f t="shared" si="33"/>
        <v>0</v>
      </c>
    </row>
    <row r="2176" spans="1:14" x14ac:dyDescent="0.35">
      <c r="A2176" s="6" t="s">
        <v>2246</v>
      </c>
      <c r="B2176" s="19" t="s">
        <v>49</v>
      </c>
      <c r="C2176" s="19"/>
      <c r="D2176" s="20"/>
      <c r="E2176" s="19" t="s">
        <v>25</v>
      </c>
      <c r="F2176" s="19" t="s">
        <v>26</v>
      </c>
      <c r="G2176" s="19" t="s">
        <v>27</v>
      </c>
      <c r="H2176" s="19" t="s">
        <v>32</v>
      </c>
      <c r="I2176" s="19">
        <v>4</v>
      </c>
      <c r="J2176" s="19">
        <v>0</v>
      </c>
      <c r="K2176" s="19">
        <v>5</v>
      </c>
      <c r="L2176" s="19" t="s">
        <v>17</v>
      </c>
      <c r="M2176" s="21">
        <v>20.8</v>
      </c>
      <c r="N2176">
        <f t="shared" si="33"/>
        <v>0</v>
      </c>
    </row>
    <row r="2177" spans="1:14" x14ac:dyDescent="0.35">
      <c r="A2177" s="22" t="s">
        <v>2247</v>
      </c>
      <c r="B2177" s="23" t="s">
        <v>146</v>
      </c>
      <c r="C2177" s="23">
        <v>12</v>
      </c>
      <c r="D2177" s="24">
        <v>46014</v>
      </c>
      <c r="E2177" s="23" t="s">
        <v>20</v>
      </c>
      <c r="F2177" s="23" t="s">
        <v>26</v>
      </c>
      <c r="G2177" s="23" t="s">
        <v>27</v>
      </c>
      <c r="H2177" s="23" t="s">
        <v>8364</v>
      </c>
      <c r="I2177" s="23">
        <v>4</v>
      </c>
      <c r="J2177" s="23">
        <v>0</v>
      </c>
      <c r="K2177" s="23"/>
      <c r="L2177" s="23" t="s">
        <v>75</v>
      </c>
      <c r="M2177" s="25">
        <v>8.6</v>
      </c>
      <c r="N2177">
        <f t="shared" si="33"/>
        <v>0</v>
      </c>
    </row>
    <row r="2178" spans="1:14" x14ac:dyDescent="0.35">
      <c r="A2178" s="6" t="s">
        <v>2248</v>
      </c>
      <c r="B2178" s="19" t="s">
        <v>85</v>
      </c>
      <c r="C2178" s="19">
        <v>2</v>
      </c>
      <c r="D2178" s="20">
        <v>45697</v>
      </c>
      <c r="E2178" s="19" t="s">
        <v>25</v>
      </c>
      <c r="F2178" s="19" t="s">
        <v>14</v>
      </c>
      <c r="G2178" s="19" t="s">
        <v>21</v>
      </c>
      <c r="H2178" s="19" t="s">
        <v>22</v>
      </c>
      <c r="I2178" s="19">
        <v>24</v>
      </c>
      <c r="J2178" s="19">
        <v>0</v>
      </c>
      <c r="K2178" s="19">
        <v>5</v>
      </c>
      <c r="L2178" s="19" t="s">
        <v>62</v>
      </c>
      <c r="M2178" s="21">
        <v>33.700000000000003</v>
      </c>
      <c r="N2178">
        <f t="shared" si="33"/>
        <v>0</v>
      </c>
    </row>
    <row r="2179" spans="1:14" x14ac:dyDescent="0.35">
      <c r="A2179" s="22" t="s">
        <v>2249</v>
      </c>
      <c r="B2179" s="23" t="s">
        <v>89</v>
      </c>
      <c r="C2179" s="23">
        <v>2</v>
      </c>
      <c r="D2179" s="24">
        <v>45690</v>
      </c>
      <c r="E2179" s="23" t="s">
        <v>36</v>
      </c>
      <c r="F2179" s="23" t="s">
        <v>43</v>
      </c>
      <c r="G2179" s="23" t="s">
        <v>8364</v>
      </c>
      <c r="H2179" s="23" t="s">
        <v>32</v>
      </c>
      <c r="I2179" s="23">
        <v>8</v>
      </c>
      <c r="J2179" s="23">
        <v>0</v>
      </c>
      <c r="K2179" s="23">
        <v>4</v>
      </c>
      <c r="L2179" s="23" t="s">
        <v>38</v>
      </c>
      <c r="M2179" s="25">
        <v>8.4</v>
      </c>
      <c r="N2179">
        <f t="shared" ref="N2179:N2242" si="34">IF(M2179 &lt;= I2179, 1, 0)</f>
        <v>0</v>
      </c>
    </row>
    <row r="2180" spans="1:14" x14ac:dyDescent="0.35">
      <c r="A2180" s="6" t="s">
        <v>2250</v>
      </c>
      <c r="B2180" s="19" t="s">
        <v>47</v>
      </c>
      <c r="C2180" s="19">
        <v>7</v>
      </c>
      <c r="D2180" s="20">
        <v>45850</v>
      </c>
      <c r="E2180" s="19" t="s">
        <v>8364</v>
      </c>
      <c r="F2180" s="19" t="s">
        <v>14</v>
      </c>
      <c r="G2180" s="19" t="s">
        <v>15</v>
      </c>
      <c r="H2180" s="19" t="s">
        <v>28</v>
      </c>
      <c r="I2180" s="19">
        <v>4</v>
      </c>
      <c r="J2180" s="19">
        <v>2</v>
      </c>
      <c r="K2180" s="19">
        <v>5</v>
      </c>
      <c r="L2180" s="19" t="s">
        <v>8363</v>
      </c>
      <c r="M2180" s="21">
        <v>19.3</v>
      </c>
      <c r="N2180">
        <f t="shared" si="34"/>
        <v>0</v>
      </c>
    </row>
    <row r="2181" spans="1:14" x14ac:dyDescent="0.35">
      <c r="A2181" s="22" t="s">
        <v>2251</v>
      </c>
      <c r="B2181" s="23" t="s">
        <v>69</v>
      </c>
      <c r="C2181" s="23">
        <v>3</v>
      </c>
      <c r="D2181" s="24">
        <v>45725</v>
      </c>
      <c r="E2181" s="23" t="s">
        <v>68</v>
      </c>
      <c r="F2181" s="23" t="s">
        <v>14</v>
      </c>
      <c r="G2181" s="23" t="s">
        <v>27</v>
      </c>
      <c r="H2181" s="23" t="s">
        <v>22</v>
      </c>
      <c r="I2181" s="23">
        <v>72</v>
      </c>
      <c r="J2181" s="23">
        <v>0</v>
      </c>
      <c r="K2181" s="23">
        <v>4</v>
      </c>
      <c r="L2181" s="23" t="s">
        <v>62</v>
      </c>
      <c r="M2181" s="25">
        <v>8.3000000000000007</v>
      </c>
      <c r="N2181">
        <f t="shared" si="34"/>
        <v>1</v>
      </c>
    </row>
    <row r="2182" spans="1:14" x14ac:dyDescent="0.35">
      <c r="A2182" s="6" t="s">
        <v>2252</v>
      </c>
      <c r="B2182" s="19" t="s">
        <v>49</v>
      </c>
      <c r="C2182" s="19">
        <v>4</v>
      </c>
      <c r="D2182" s="20">
        <v>45771</v>
      </c>
      <c r="E2182" s="19" t="s">
        <v>8364</v>
      </c>
      <c r="F2182" s="19" t="s">
        <v>14</v>
      </c>
      <c r="G2182" s="19" t="s">
        <v>31</v>
      </c>
      <c r="H2182" s="19" t="s">
        <v>8364</v>
      </c>
      <c r="I2182" s="19">
        <v>72</v>
      </c>
      <c r="J2182" s="19">
        <v>0</v>
      </c>
      <c r="K2182" s="19">
        <v>1</v>
      </c>
      <c r="L2182" s="19" t="s">
        <v>55</v>
      </c>
      <c r="M2182" s="21">
        <v>14.2</v>
      </c>
      <c r="N2182">
        <f t="shared" si="34"/>
        <v>1</v>
      </c>
    </row>
    <row r="2183" spans="1:14" x14ac:dyDescent="0.35">
      <c r="A2183" s="22" t="s">
        <v>2253</v>
      </c>
      <c r="B2183" s="23" t="s">
        <v>108</v>
      </c>
      <c r="C2183" s="23">
        <v>9</v>
      </c>
      <c r="D2183" s="24">
        <v>45913</v>
      </c>
      <c r="E2183" s="23" t="s">
        <v>20</v>
      </c>
      <c r="F2183" s="23" t="s">
        <v>59</v>
      </c>
      <c r="G2183" s="23" t="s">
        <v>21</v>
      </c>
      <c r="H2183" s="23" t="s">
        <v>16</v>
      </c>
      <c r="I2183" s="23">
        <v>24</v>
      </c>
      <c r="J2183" s="23">
        <v>0</v>
      </c>
      <c r="K2183" s="23">
        <v>3</v>
      </c>
      <c r="L2183" s="23" t="s">
        <v>33</v>
      </c>
      <c r="M2183" s="25">
        <v>19.8</v>
      </c>
      <c r="N2183">
        <f t="shared" si="34"/>
        <v>1</v>
      </c>
    </row>
    <row r="2184" spans="1:14" x14ac:dyDescent="0.35">
      <c r="A2184" s="6" t="s">
        <v>2254</v>
      </c>
      <c r="B2184" s="19" t="s">
        <v>253</v>
      </c>
      <c r="C2184" s="19">
        <v>7</v>
      </c>
      <c r="D2184" s="20">
        <v>45851</v>
      </c>
      <c r="E2184" s="19" t="s">
        <v>25</v>
      </c>
      <c r="F2184" s="19" t="s">
        <v>14</v>
      </c>
      <c r="G2184" s="19" t="s">
        <v>27</v>
      </c>
      <c r="H2184" s="19" t="s">
        <v>16</v>
      </c>
      <c r="I2184" s="19">
        <v>48</v>
      </c>
      <c r="J2184" s="19">
        <v>0</v>
      </c>
      <c r="K2184" s="19">
        <v>4</v>
      </c>
      <c r="L2184" s="19" t="s">
        <v>44</v>
      </c>
      <c r="M2184" s="21">
        <v>9.6999999999999993</v>
      </c>
      <c r="N2184">
        <f t="shared" si="34"/>
        <v>1</v>
      </c>
    </row>
    <row r="2185" spans="1:14" x14ac:dyDescent="0.35">
      <c r="A2185" s="22" t="s">
        <v>2255</v>
      </c>
      <c r="B2185" s="23" t="s">
        <v>65</v>
      </c>
      <c r="C2185" s="23">
        <v>10</v>
      </c>
      <c r="D2185" s="24">
        <v>45935</v>
      </c>
      <c r="E2185" s="23" t="s">
        <v>13</v>
      </c>
      <c r="F2185" s="23" t="s">
        <v>14</v>
      </c>
      <c r="G2185" s="23" t="s">
        <v>8364</v>
      </c>
      <c r="H2185" s="23" t="s">
        <v>32</v>
      </c>
      <c r="I2185" s="23">
        <v>4</v>
      </c>
      <c r="J2185" s="23">
        <v>0</v>
      </c>
      <c r="K2185" s="23">
        <v>3</v>
      </c>
      <c r="L2185" s="23" t="s">
        <v>75</v>
      </c>
      <c r="M2185" s="25">
        <v>17.100000000000001</v>
      </c>
      <c r="N2185">
        <f t="shared" si="34"/>
        <v>0</v>
      </c>
    </row>
    <row r="2186" spans="1:14" x14ac:dyDescent="0.35">
      <c r="A2186" s="6" t="s">
        <v>2256</v>
      </c>
      <c r="B2186" s="19" t="s">
        <v>34</v>
      </c>
      <c r="C2186" s="19">
        <v>9</v>
      </c>
      <c r="D2186" s="20">
        <v>45904</v>
      </c>
      <c r="E2186" s="19" t="s">
        <v>25</v>
      </c>
      <c r="F2186" s="19" t="s">
        <v>14</v>
      </c>
      <c r="G2186" s="19" t="s">
        <v>15</v>
      </c>
      <c r="H2186" s="19" t="s">
        <v>22</v>
      </c>
      <c r="I2186" s="19">
        <v>4</v>
      </c>
      <c r="J2186" s="19">
        <v>0</v>
      </c>
      <c r="K2186" s="19">
        <v>3</v>
      </c>
      <c r="L2186" s="19" t="s">
        <v>33</v>
      </c>
      <c r="M2186" s="21">
        <v>9</v>
      </c>
      <c r="N2186">
        <f t="shared" si="34"/>
        <v>0</v>
      </c>
    </row>
    <row r="2187" spans="1:14" x14ac:dyDescent="0.35">
      <c r="A2187" s="22" t="s">
        <v>2257</v>
      </c>
      <c r="B2187" s="23" t="s">
        <v>126</v>
      </c>
      <c r="C2187" s="23"/>
      <c r="D2187" s="24"/>
      <c r="E2187" s="23" t="s">
        <v>25</v>
      </c>
      <c r="F2187" s="23" t="s">
        <v>14</v>
      </c>
      <c r="G2187" s="23" t="s">
        <v>21</v>
      </c>
      <c r="H2187" s="23" t="s">
        <v>32</v>
      </c>
      <c r="I2187" s="23">
        <v>24</v>
      </c>
      <c r="J2187" s="23">
        <v>3</v>
      </c>
      <c r="K2187" s="23">
        <v>5</v>
      </c>
      <c r="L2187" s="23" t="s">
        <v>38</v>
      </c>
      <c r="M2187" s="25">
        <v>22.2</v>
      </c>
      <c r="N2187">
        <f t="shared" si="34"/>
        <v>1</v>
      </c>
    </row>
    <row r="2188" spans="1:14" x14ac:dyDescent="0.35">
      <c r="A2188" s="6" t="s">
        <v>2258</v>
      </c>
      <c r="B2188" s="19" t="s">
        <v>97</v>
      </c>
      <c r="C2188" s="19">
        <v>4</v>
      </c>
      <c r="D2188" s="20">
        <v>45759</v>
      </c>
      <c r="E2188" s="19" t="s">
        <v>8364</v>
      </c>
      <c r="F2188" s="19" t="s">
        <v>43</v>
      </c>
      <c r="G2188" s="19" t="s">
        <v>31</v>
      </c>
      <c r="H2188" s="19" t="s">
        <v>28</v>
      </c>
      <c r="I2188" s="19">
        <v>8</v>
      </c>
      <c r="J2188" s="19">
        <v>0</v>
      </c>
      <c r="K2188" s="19">
        <v>4</v>
      </c>
      <c r="L2188" s="19" t="s">
        <v>33</v>
      </c>
      <c r="M2188" s="21">
        <v>1.6</v>
      </c>
      <c r="N2188">
        <f t="shared" si="34"/>
        <v>1</v>
      </c>
    </row>
    <row r="2189" spans="1:14" x14ac:dyDescent="0.35">
      <c r="A2189" s="22" t="s">
        <v>2259</v>
      </c>
      <c r="B2189" s="23" t="s">
        <v>47</v>
      </c>
      <c r="C2189" s="23">
        <v>6</v>
      </c>
      <c r="D2189" s="24">
        <v>45816</v>
      </c>
      <c r="E2189" s="23" t="s">
        <v>36</v>
      </c>
      <c r="F2189" s="23" t="s">
        <v>43</v>
      </c>
      <c r="G2189" s="23" t="s">
        <v>8364</v>
      </c>
      <c r="H2189" s="23" t="s">
        <v>22</v>
      </c>
      <c r="I2189" s="23">
        <v>8</v>
      </c>
      <c r="J2189" s="23">
        <v>0</v>
      </c>
      <c r="K2189" s="23">
        <v>3</v>
      </c>
      <c r="L2189" s="23" t="s">
        <v>8363</v>
      </c>
      <c r="M2189" s="25">
        <v>54.3</v>
      </c>
      <c r="N2189">
        <f t="shared" si="34"/>
        <v>0</v>
      </c>
    </row>
    <row r="2190" spans="1:14" x14ac:dyDescent="0.35">
      <c r="A2190" s="6" t="s">
        <v>2260</v>
      </c>
      <c r="B2190" s="19" t="s">
        <v>47</v>
      </c>
      <c r="C2190" s="19"/>
      <c r="D2190" s="20"/>
      <c r="E2190" s="19" t="s">
        <v>13</v>
      </c>
      <c r="F2190" s="19" t="s">
        <v>40</v>
      </c>
      <c r="G2190" s="19" t="s">
        <v>31</v>
      </c>
      <c r="H2190" s="19" t="s">
        <v>22</v>
      </c>
      <c r="I2190" s="19">
        <v>48</v>
      </c>
      <c r="J2190" s="19">
        <v>0</v>
      </c>
      <c r="K2190" s="19">
        <v>4</v>
      </c>
      <c r="L2190" s="19" t="s">
        <v>75</v>
      </c>
      <c r="M2190" s="21">
        <v>28.2</v>
      </c>
      <c r="N2190">
        <f t="shared" si="34"/>
        <v>1</v>
      </c>
    </row>
    <row r="2191" spans="1:14" x14ac:dyDescent="0.35">
      <c r="A2191" s="22" t="s">
        <v>2261</v>
      </c>
      <c r="B2191" s="23" t="s">
        <v>99</v>
      </c>
      <c r="C2191" s="23">
        <v>8</v>
      </c>
      <c r="D2191" s="24">
        <v>45898</v>
      </c>
      <c r="E2191" s="23" t="s">
        <v>13</v>
      </c>
      <c r="F2191" s="23" t="s">
        <v>37</v>
      </c>
      <c r="G2191" s="23" t="s">
        <v>27</v>
      </c>
      <c r="H2191" s="23" t="s">
        <v>32</v>
      </c>
      <c r="I2191" s="23">
        <v>8</v>
      </c>
      <c r="J2191" s="23">
        <v>0</v>
      </c>
      <c r="K2191" s="23">
        <v>4</v>
      </c>
      <c r="L2191" s="23" t="s">
        <v>17</v>
      </c>
      <c r="M2191" s="25">
        <v>7.9</v>
      </c>
      <c r="N2191">
        <f t="shared" si="34"/>
        <v>1</v>
      </c>
    </row>
    <row r="2192" spans="1:14" x14ac:dyDescent="0.35">
      <c r="A2192" s="6" t="s">
        <v>2262</v>
      </c>
      <c r="B2192" s="19" t="s">
        <v>89</v>
      </c>
      <c r="C2192" s="19">
        <v>4</v>
      </c>
      <c r="D2192" s="20">
        <v>45774</v>
      </c>
      <c r="E2192" s="19" t="s">
        <v>36</v>
      </c>
      <c r="F2192" s="19" t="s">
        <v>37</v>
      </c>
      <c r="G2192" s="19" t="s">
        <v>15</v>
      </c>
      <c r="H2192" s="19" t="s">
        <v>22</v>
      </c>
      <c r="I2192" s="19">
        <v>48</v>
      </c>
      <c r="J2192" s="19">
        <v>0</v>
      </c>
      <c r="K2192" s="19">
        <v>3</v>
      </c>
      <c r="L2192" s="19" t="s">
        <v>8363</v>
      </c>
      <c r="M2192" s="21">
        <v>3.3</v>
      </c>
      <c r="N2192">
        <f t="shared" si="34"/>
        <v>1</v>
      </c>
    </row>
    <row r="2193" spans="1:14" x14ac:dyDescent="0.35">
      <c r="A2193" s="22" t="s">
        <v>2263</v>
      </c>
      <c r="B2193" s="23" t="s">
        <v>65</v>
      </c>
      <c r="C2193" s="23">
        <v>9</v>
      </c>
      <c r="D2193" s="24">
        <v>45919</v>
      </c>
      <c r="E2193" s="23" t="s">
        <v>25</v>
      </c>
      <c r="F2193" s="23" t="s">
        <v>26</v>
      </c>
      <c r="G2193" s="23" t="s">
        <v>31</v>
      </c>
      <c r="H2193" s="23" t="s">
        <v>22</v>
      </c>
      <c r="I2193" s="23">
        <v>72</v>
      </c>
      <c r="J2193" s="23">
        <v>0</v>
      </c>
      <c r="K2193" s="23">
        <v>4</v>
      </c>
      <c r="L2193" s="23" t="s">
        <v>8363</v>
      </c>
      <c r="M2193" s="25">
        <v>15</v>
      </c>
      <c r="N2193">
        <f t="shared" si="34"/>
        <v>1</v>
      </c>
    </row>
    <row r="2194" spans="1:14" x14ac:dyDescent="0.35">
      <c r="A2194" s="6" t="s">
        <v>2264</v>
      </c>
      <c r="B2194" s="19" t="s">
        <v>53</v>
      </c>
      <c r="C2194" s="19">
        <v>8</v>
      </c>
      <c r="D2194" s="20">
        <v>45897</v>
      </c>
      <c r="E2194" s="19" t="s">
        <v>13</v>
      </c>
      <c r="F2194" s="19" t="s">
        <v>14</v>
      </c>
      <c r="G2194" s="19" t="s">
        <v>21</v>
      </c>
      <c r="H2194" s="19" t="s">
        <v>8364</v>
      </c>
      <c r="I2194" s="19">
        <v>4</v>
      </c>
      <c r="J2194" s="19">
        <v>0</v>
      </c>
      <c r="K2194" s="19">
        <v>1</v>
      </c>
      <c r="L2194" s="19" t="s">
        <v>33</v>
      </c>
      <c r="M2194" s="21">
        <v>8.6</v>
      </c>
      <c r="N2194">
        <f t="shared" si="34"/>
        <v>0</v>
      </c>
    </row>
    <row r="2195" spans="1:14" x14ac:dyDescent="0.35">
      <c r="A2195" s="22" t="s">
        <v>2265</v>
      </c>
      <c r="B2195" s="23" t="s">
        <v>253</v>
      </c>
      <c r="C2195" s="23">
        <v>7</v>
      </c>
      <c r="D2195" s="24">
        <v>45856</v>
      </c>
      <c r="E2195" s="23" t="s">
        <v>8364</v>
      </c>
      <c r="F2195" s="23" t="s">
        <v>43</v>
      </c>
      <c r="G2195" s="23" t="s">
        <v>31</v>
      </c>
      <c r="H2195" s="23" t="s">
        <v>32</v>
      </c>
      <c r="I2195" s="23">
        <v>24</v>
      </c>
      <c r="J2195" s="23">
        <v>1</v>
      </c>
      <c r="K2195" s="23">
        <v>5</v>
      </c>
      <c r="L2195" s="23" t="s">
        <v>75</v>
      </c>
      <c r="M2195" s="25">
        <v>5</v>
      </c>
      <c r="N2195">
        <f t="shared" si="34"/>
        <v>1</v>
      </c>
    </row>
    <row r="2196" spans="1:14" x14ac:dyDescent="0.35">
      <c r="A2196" s="6" t="s">
        <v>2266</v>
      </c>
      <c r="B2196" s="19" t="s">
        <v>99</v>
      </c>
      <c r="C2196" s="19">
        <v>6</v>
      </c>
      <c r="D2196" s="20">
        <v>45821</v>
      </c>
      <c r="E2196" s="19" t="s">
        <v>68</v>
      </c>
      <c r="F2196" s="19" t="s">
        <v>37</v>
      </c>
      <c r="G2196" s="19" t="s">
        <v>27</v>
      </c>
      <c r="H2196" s="19" t="s">
        <v>22</v>
      </c>
      <c r="I2196" s="19">
        <v>24</v>
      </c>
      <c r="J2196" s="19">
        <v>0</v>
      </c>
      <c r="K2196" s="19">
        <v>5</v>
      </c>
      <c r="L2196" s="19" t="s">
        <v>75</v>
      </c>
      <c r="M2196" s="21">
        <v>4.5999999999999996</v>
      </c>
      <c r="N2196">
        <f t="shared" si="34"/>
        <v>1</v>
      </c>
    </row>
    <row r="2197" spans="1:14" x14ac:dyDescent="0.35">
      <c r="A2197" s="22" t="s">
        <v>2267</v>
      </c>
      <c r="B2197" s="23" t="s">
        <v>18</v>
      </c>
      <c r="C2197" s="23">
        <v>11</v>
      </c>
      <c r="D2197" s="24">
        <v>45989</v>
      </c>
      <c r="E2197" s="23" t="s">
        <v>36</v>
      </c>
      <c r="F2197" s="23" t="s">
        <v>37</v>
      </c>
      <c r="G2197" s="23" t="s">
        <v>31</v>
      </c>
      <c r="H2197" s="23" t="s">
        <v>28</v>
      </c>
      <c r="I2197" s="23">
        <v>72</v>
      </c>
      <c r="J2197" s="23">
        <v>0</v>
      </c>
      <c r="K2197" s="23">
        <v>4</v>
      </c>
      <c r="L2197" s="23" t="s">
        <v>8363</v>
      </c>
      <c r="M2197" s="25">
        <v>28.8</v>
      </c>
      <c r="N2197">
        <f t="shared" si="34"/>
        <v>1</v>
      </c>
    </row>
    <row r="2198" spans="1:14" x14ac:dyDescent="0.35">
      <c r="A2198" s="6" t="s">
        <v>2268</v>
      </c>
      <c r="B2198" s="19" t="s">
        <v>139</v>
      </c>
      <c r="C2198" s="19">
        <v>10</v>
      </c>
      <c r="D2198" s="20">
        <v>45945</v>
      </c>
      <c r="E2198" s="19" t="s">
        <v>68</v>
      </c>
      <c r="F2198" s="19" t="s">
        <v>14</v>
      </c>
      <c r="G2198" s="19" t="s">
        <v>27</v>
      </c>
      <c r="H2198" s="19" t="s">
        <v>28</v>
      </c>
      <c r="I2198" s="19">
        <v>8</v>
      </c>
      <c r="J2198" s="19">
        <v>0</v>
      </c>
      <c r="K2198" s="19">
        <v>4</v>
      </c>
      <c r="L2198" s="19" t="s">
        <v>33</v>
      </c>
      <c r="M2198" s="21">
        <v>15.8</v>
      </c>
      <c r="N2198">
        <f t="shared" si="34"/>
        <v>0</v>
      </c>
    </row>
    <row r="2199" spans="1:14" x14ac:dyDescent="0.35">
      <c r="A2199" s="22" t="s">
        <v>2269</v>
      </c>
      <c r="B2199" s="23" t="s">
        <v>92</v>
      </c>
      <c r="C2199" s="23"/>
      <c r="D2199" s="24"/>
      <c r="E2199" s="23" t="s">
        <v>13</v>
      </c>
      <c r="F2199" s="23" t="s">
        <v>14</v>
      </c>
      <c r="G2199" s="23" t="s">
        <v>21</v>
      </c>
      <c r="H2199" s="23" t="s">
        <v>22</v>
      </c>
      <c r="I2199" s="23">
        <v>72</v>
      </c>
      <c r="J2199" s="23">
        <v>1</v>
      </c>
      <c r="K2199" s="23">
        <v>5</v>
      </c>
      <c r="L2199" s="23" t="s">
        <v>8363</v>
      </c>
      <c r="M2199" s="25"/>
      <c r="N2199">
        <f t="shared" si="34"/>
        <v>1</v>
      </c>
    </row>
    <row r="2200" spans="1:14" x14ac:dyDescent="0.35">
      <c r="A2200" s="6" t="s">
        <v>2270</v>
      </c>
      <c r="B2200" s="19" t="s">
        <v>81</v>
      </c>
      <c r="C2200" s="19">
        <v>9</v>
      </c>
      <c r="D2200" s="20">
        <v>45910</v>
      </c>
      <c r="E2200" s="19" t="s">
        <v>36</v>
      </c>
      <c r="F2200" s="19" t="s">
        <v>14</v>
      </c>
      <c r="G2200" s="19" t="s">
        <v>27</v>
      </c>
      <c r="H2200" s="19" t="s">
        <v>32</v>
      </c>
      <c r="I2200" s="19">
        <v>72</v>
      </c>
      <c r="J2200" s="19">
        <v>0</v>
      </c>
      <c r="K2200" s="19">
        <v>4</v>
      </c>
      <c r="L2200" s="19" t="s">
        <v>62</v>
      </c>
      <c r="M2200" s="21">
        <v>8.6</v>
      </c>
      <c r="N2200">
        <f t="shared" si="34"/>
        <v>1</v>
      </c>
    </row>
    <row r="2201" spans="1:14" x14ac:dyDescent="0.35">
      <c r="A2201" s="22" t="s">
        <v>2271</v>
      </c>
      <c r="B2201" s="23" t="s">
        <v>97</v>
      </c>
      <c r="C2201" s="23">
        <v>1</v>
      </c>
      <c r="D2201" s="24">
        <v>45675</v>
      </c>
      <c r="E2201" s="23" t="s">
        <v>68</v>
      </c>
      <c r="F2201" s="23" t="s">
        <v>40</v>
      </c>
      <c r="G2201" s="23" t="s">
        <v>27</v>
      </c>
      <c r="H2201" s="23" t="s">
        <v>28</v>
      </c>
      <c r="I2201" s="23">
        <v>8</v>
      </c>
      <c r="J2201" s="23">
        <v>0</v>
      </c>
      <c r="K2201" s="23">
        <v>1</v>
      </c>
      <c r="L2201" s="23" t="s">
        <v>38</v>
      </c>
      <c r="M2201" s="25">
        <v>10.4</v>
      </c>
      <c r="N2201">
        <f t="shared" si="34"/>
        <v>0</v>
      </c>
    </row>
    <row r="2202" spans="1:14" x14ac:dyDescent="0.35">
      <c r="A2202" s="6" t="s">
        <v>2272</v>
      </c>
      <c r="B2202" s="19" t="s">
        <v>69</v>
      </c>
      <c r="C2202" s="19">
        <v>4</v>
      </c>
      <c r="D2202" s="20">
        <v>45760</v>
      </c>
      <c r="E2202" s="19" t="s">
        <v>68</v>
      </c>
      <c r="F2202" s="19" t="s">
        <v>43</v>
      </c>
      <c r="G2202" s="19" t="s">
        <v>31</v>
      </c>
      <c r="H2202" s="19" t="s">
        <v>22</v>
      </c>
      <c r="I2202" s="19">
        <v>24</v>
      </c>
      <c r="J2202" s="19">
        <v>0</v>
      </c>
      <c r="K2202" s="19">
        <v>5</v>
      </c>
      <c r="L2202" s="19" t="s">
        <v>38</v>
      </c>
      <c r="M2202" s="21">
        <v>3.2</v>
      </c>
      <c r="N2202">
        <f t="shared" si="34"/>
        <v>1</v>
      </c>
    </row>
    <row r="2203" spans="1:14" x14ac:dyDescent="0.35">
      <c r="A2203" s="22" t="s">
        <v>2273</v>
      </c>
      <c r="B2203" s="23" t="s">
        <v>181</v>
      </c>
      <c r="C2203" s="23">
        <v>8</v>
      </c>
      <c r="D2203" s="24">
        <v>45894</v>
      </c>
      <c r="E2203" s="23" t="s">
        <v>25</v>
      </c>
      <c r="F2203" s="23" t="s">
        <v>43</v>
      </c>
      <c r="G2203" s="23" t="s">
        <v>31</v>
      </c>
      <c r="H2203" s="23" t="s">
        <v>22</v>
      </c>
      <c r="I2203" s="23">
        <v>4</v>
      </c>
      <c r="J2203" s="23">
        <v>0</v>
      </c>
      <c r="K2203" s="23">
        <v>4</v>
      </c>
      <c r="L2203" s="23" t="s">
        <v>55</v>
      </c>
      <c r="M2203" s="25"/>
      <c r="N2203">
        <f t="shared" si="34"/>
        <v>1</v>
      </c>
    </row>
    <row r="2204" spans="1:14" x14ac:dyDescent="0.35">
      <c r="A2204" s="6" t="s">
        <v>2274</v>
      </c>
      <c r="B2204" s="19" t="s">
        <v>104</v>
      </c>
      <c r="C2204" s="19">
        <v>7</v>
      </c>
      <c r="D2204" s="20">
        <v>45866</v>
      </c>
      <c r="E2204" s="19" t="s">
        <v>25</v>
      </c>
      <c r="F2204" s="19" t="s">
        <v>37</v>
      </c>
      <c r="G2204" s="19" t="s">
        <v>27</v>
      </c>
      <c r="H2204" s="19" t="s">
        <v>22</v>
      </c>
      <c r="I2204" s="19">
        <v>72</v>
      </c>
      <c r="J2204" s="19">
        <v>0</v>
      </c>
      <c r="K2204" s="19">
        <v>4</v>
      </c>
      <c r="L2204" s="19" t="s">
        <v>44</v>
      </c>
      <c r="M2204" s="21">
        <v>16.100000000000001</v>
      </c>
      <c r="N2204">
        <f t="shared" si="34"/>
        <v>1</v>
      </c>
    </row>
    <row r="2205" spans="1:14" x14ac:dyDescent="0.35">
      <c r="A2205" s="22" t="s">
        <v>2275</v>
      </c>
      <c r="B2205" s="23" t="s">
        <v>130</v>
      </c>
      <c r="C2205" s="23">
        <v>8</v>
      </c>
      <c r="D2205" s="24">
        <v>45892</v>
      </c>
      <c r="E2205" s="23" t="s">
        <v>25</v>
      </c>
      <c r="F2205" s="23" t="s">
        <v>14</v>
      </c>
      <c r="G2205" s="23" t="s">
        <v>31</v>
      </c>
      <c r="H2205" s="23" t="s">
        <v>32</v>
      </c>
      <c r="I2205" s="23">
        <v>72</v>
      </c>
      <c r="J2205" s="23">
        <v>0</v>
      </c>
      <c r="K2205" s="23">
        <v>3</v>
      </c>
      <c r="L2205" s="23" t="s">
        <v>75</v>
      </c>
      <c r="M2205" s="25">
        <v>3</v>
      </c>
      <c r="N2205">
        <f t="shared" si="34"/>
        <v>1</v>
      </c>
    </row>
    <row r="2206" spans="1:14" x14ac:dyDescent="0.35">
      <c r="A2206" s="6" t="s">
        <v>2276</v>
      </c>
      <c r="B2206" s="19" t="s">
        <v>47</v>
      </c>
      <c r="C2206" s="19">
        <v>8</v>
      </c>
      <c r="D2206" s="20">
        <v>45878</v>
      </c>
      <c r="E2206" s="19" t="s">
        <v>25</v>
      </c>
      <c r="F2206" s="19" t="s">
        <v>14</v>
      </c>
      <c r="G2206" s="19" t="s">
        <v>15</v>
      </c>
      <c r="H2206" s="19" t="s">
        <v>22</v>
      </c>
      <c r="I2206" s="19">
        <v>8</v>
      </c>
      <c r="J2206" s="19">
        <v>0</v>
      </c>
      <c r="K2206" s="19">
        <v>5</v>
      </c>
      <c r="L2206" s="19" t="s">
        <v>8363</v>
      </c>
      <c r="M2206" s="21">
        <v>6.2</v>
      </c>
      <c r="N2206">
        <f t="shared" si="34"/>
        <v>1</v>
      </c>
    </row>
    <row r="2207" spans="1:14" x14ac:dyDescent="0.35">
      <c r="A2207" s="22" t="s">
        <v>2277</v>
      </c>
      <c r="B2207" s="23" t="s">
        <v>65</v>
      </c>
      <c r="C2207" s="23">
        <v>7</v>
      </c>
      <c r="D2207" s="24">
        <v>45868</v>
      </c>
      <c r="E2207" s="23" t="s">
        <v>13</v>
      </c>
      <c r="F2207" s="23" t="s">
        <v>8364</v>
      </c>
      <c r="G2207" s="23" t="s">
        <v>27</v>
      </c>
      <c r="H2207" s="23" t="s">
        <v>8364</v>
      </c>
      <c r="I2207" s="23">
        <v>24</v>
      </c>
      <c r="J2207" s="23">
        <v>0</v>
      </c>
      <c r="K2207" s="23">
        <v>4</v>
      </c>
      <c r="L2207" s="23" t="s">
        <v>75</v>
      </c>
      <c r="M2207" s="25">
        <v>7.2</v>
      </c>
      <c r="N2207">
        <f t="shared" si="34"/>
        <v>1</v>
      </c>
    </row>
    <row r="2208" spans="1:14" x14ac:dyDescent="0.35">
      <c r="A2208" s="6" t="s">
        <v>2278</v>
      </c>
      <c r="B2208" s="19" t="s">
        <v>108</v>
      </c>
      <c r="C2208" s="19">
        <v>8</v>
      </c>
      <c r="D2208" s="20">
        <v>45890</v>
      </c>
      <c r="E2208" s="19" t="s">
        <v>25</v>
      </c>
      <c r="F2208" s="19" t="s">
        <v>26</v>
      </c>
      <c r="G2208" s="19" t="s">
        <v>15</v>
      </c>
      <c r="H2208" s="19" t="s">
        <v>16</v>
      </c>
      <c r="I2208" s="19">
        <v>8</v>
      </c>
      <c r="J2208" s="19">
        <v>0</v>
      </c>
      <c r="K2208" s="19">
        <v>4</v>
      </c>
      <c r="L2208" s="19" t="s">
        <v>55</v>
      </c>
      <c r="M2208" s="21">
        <v>15.2</v>
      </c>
      <c r="N2208">
        <f t="shared" si="34"/>
        <v>0</v>
      </c>
    </row>
    <row r="2209" spans="1:14" x14ac:dyDescent="0.35">
      <c r="A2209" s="22" t="s">
        <v>2279</v>
      </c>
      <c r="B2209" s="23" t="s">
        <v>87</v>
      </c>
      <c r="C2209" s="23">
        <v>2</v>
      </c>
      <c r="D2209" s="24">
        <v>45704</v>
      </c>
      <c r="E2209" s="23" t="s">
        <v>20</v>
      </c>
      <c r="F2209" s="23" t="s">
        <v>43</v>
      </c>
      <c r="G2209" s="23" t="s">
        <v>15</v>
      </c>
      <c r="H2209" s="23" t="s">
        <v>22</v>
      </c>
      <c r="I2209" s="23">
        <v>48</v>
      </c>
      <c r="J2209" s="23">
        <v>1</v>
      </c>
      <c r="K2209" s="23">
        <v>5</v>
      </c>
      <c r="L2209" s="23" t="s">
        <v>75</v>
      </c>
      <c r="M2209" s="25">
        <v>25.7</v>
      </c>
      <c r="N2209">
        <f t="shared" si="34"/>
        <v>1</v>
      </c>
    </row>
    <row r="2210" spans="1:14" x14ac:dyDescent="0.35">
      <c r="A2210" s="6" t="s">
        <v>2280</v>
      </c>
      <c r="B2210" s="19" t="s">
        <v>72</v>
      </c>
      <c r="C2210" s="19">
        <v>1</v>
      </c>
      <c r="D2210" s="20">
        <v>45671</v>
      </c>
      <c r="E2210" s="19" t="s">
        <v>13</v>
      </c>
      <c r="F2210" s="19" t="s">
        <v>26</v>
      </c>
      <c r="G2210" s="19" t="s">
        <v>15</v>
      </c>
      <c r="H2210" s="19" t="s">
        <v>22</v>
      </c>
      <c r="I2210" s="19">
        <v>24</v>
      </c>
      <c r="J2210" s="19">
        <v>0</v>
      </c>
      <c r="K2210" s="19">
        <v>2</v>
      </c>
      <c r="L2210" s="19" t="s">
        <v>8363</v>
      </c>
      <c r="M2210" s="21">
        <v>43.2</v>
      </c>
      <c r="N2210">
        <f t="shared" si="34"/>
        <v>0</v>
      </c>
    </row>
    <row r="2211" spans="1:14" x14ac:dyDescent="0.35">
      <c r="A2211" s="22" t="s">
        <v>2281</v>
      </c>
      <c r="B2211" s="23" t="s">
        <v>146</v>
      </c>
      <c r="C2211" s="23">
        <v>2</v>
      </c>
      <c r="D2211" s="24">
        <v>45707</v>
      </c>
      <c r="E2211" s="23" t="s">
        <v>25</v>
      </c>
      <c r="F2211" s="23" t="s">
        <v>43</v>
      </c>
      <c r="G2211" s="23" t="s">
        <v>31</v>
      </c>
      <c r="H2211" s="23" t="s">
        <v>8364</v>
      </c>
      <c r="I2211" s="23">
        <v>72</v>
      </c>
      <c r="J2211" s="23">
        <v>0</v>
      </c>
      <c r="K2211" s="23">
        <v>2</v>
      </c>
      <c r="L2211" s="23" t="s">
        <v>8363</v>
      </c>
      <c r="M2211" s="25">
        <v>8.4</v>
      </c>
      <c r="N2211">
        <f t="shared" si="34"/>
        <v>1</v>
      </c>
    </row>
    <row r="2212" spans="1:14" x14ac:dyDescent="0.35">
      <c r="A2212" s="6" t="s">
        <v>2282</v>
      </c>
      <c r="B2212" s="19" t="s">
        <v>130</v>
      </c>
      <c r="C2212" s="19">
        <v>12</v>
      </c>
      <c r="D2212" s="20">
        <v>46016</v>
      </c>
      <c r="E2212" s="19" t="s">
        <v>8364</v>
      </c>
      <c r="F2212" s="19" t="s">
        <v>14</v>
      </c>
      <c r="G2212" s="19" t="s">
        <v>27</v>
      </c>
      <c r="H2212" s="19" t="s">
        <v>22</v>
      </c>
      <c r="I2212" s="19">
        <v>72</v>
      </c>
      <c r="J2212" s="19">
        <v>0</v>
      </c>
      <c r="K2212" s="19">
        <v>4</v>
      </c>
      <c r="L2212" s="19" t="s">
        <v>33</v>
      </c>
      <c r="M2212" s="21">
        <v>13</v>
      </c>
      <c r="N2212">
        <f t="shared" si="34"/>
        <v>1</v>
      </c>
    </row>
    <row r="2213" spans="1:14" x14ac:dyDescent="0.35">
      <c r="A2213" s="22" t="s">
        <v>2283</v>
      </c>
      <c r="B2213" s="23" t="s">
        <v>146</v>
      </c>
      <c r="C2213" s="23">
        <v>10</v>
      </c>
      <c r="D2213" s="24">
        <v>45947</v>
      </c>
      <c r="E2213" s="23" t="s">
        <v>13</v>
      </c>
      <c r="F2213" s="23" t="s">
        <v>8364</v>
      </c>
      <c r="G2213" s="23" t="s">
        <v>21</v>
      </c>
      <c r="H2213" s="23" t="s">
        <v>8364</v>
      </c>
      <c r="I2213" s="23">
        <v>48</v>
      </c>
      <c r="J2213" s="23">
        <v>0</v>
      </c>
      <c r="K2213" s="23">
        <v>5</v>
      </c>
      <c r="L2213" s="23" t="s">
        <v>8363</v>
      </c>
      <c r="M2213" s="25">
        <v>20.399999999999999</v>
      </c>
      <c r="N2213">
        <f t="shared" si="34"/>
        <v>1</v>
      </c>
    </row>
    <row r="2214" spans="1:14" x14ac:dyDescent="0.35">
      <c r="A2214" s="6" t="s">
        <v>2284</v>
      </c>
      <c r="B2214" s="19" t="s">
        <v>41</v>
      </c>
      <c r="C2214" s="19"/>
      <c r="D2214" s="20"/>
      <c r="E2214" s="19" t="s">
        <v>13</v>
      </c>
      <c r="F2214" s="19" t="s">
        <v>43</v>
      </c>
      <c r="G2214" s="19" t="s">
        <v>31</v>
      </c>
      <c r="H2214" s="19" t="s">
        <v>22</v>
      </c>
      <c r="I2214" s="19">
        <v>8</v>
      </c>
      <c r="J2214" s="19">
        <v>0</v>
      </c>
      <c r="K2214" s="19">
        <v>1</v>
      </c>
      <c r="L2214" s="19" t="s">
        <v>17</v>
      </c>
      <c r="M2214" s="21">
        <v>7.8</v>
      </c>
      <c r="N2214">
        <f t="shared" si="34"/>
        <v>1</v>
      </c>
    </row>
    <row r="2215" spans="1:14" x14ac:dyDescent="0.35">
      <c r="A2215" s="22" t="s">
        <v>2285</v>
      </c>
      <c r="B2215" s="23" t="s">
        <v>89</v>
      </c>
      <c r="C2215" s="23"/>
      <c r="D2215" s="24"/>
      <c r="E2215" s="23" t="s">
        <v>8364</v>
      </c>
      <c r="F2215" s="23" t="s">
        <v>43</v>
      </c>
      <c r="G2215" s="23" t="s">
        <v>21</v>
      </c>
      <c r="H2215" s="23" t="s">
        <v>22</v>
      </c>
      <c r="I2215" s="23">
        <v>48</v>
      </c>
      <c r="J2215" s="23">
        <v>0</v>
      </c>
      <c r="K2215" s="23"/>
      <c r="L2215" s="23" t="s">
        <v>75</v>
      </c>
      <c r="M2215" s="25">
        <v>18</v>
      </c>
      <c r="N2215">
        <f t="shared" si="34"/>
        <v>1</v>
      </c>
    </row>
    <row r="2216" spans="1:14" x14ac:dyDescent="0.35">
      <c r="A2216" s="6" t="s">
        <v>2286</v>
      </c>
      <c r="B2216" s="19" t="s">
        <v>45</v>
      </c>
      <c r="C2216" s="19">
        <v>7</v>
      </c>
      <c r="D2216" s="20">
        <v>45845</v>
      </c>
      <c r="E2216" s="19" t="s">
        <v>13</v>
      </c>
      <c r="F2216" s="19" t="s">
        <v>43</v>
      </c>
      <c r="G2216" s="19" t="s">
        <v>21</v>
      </c>
      <c r="H2216" s="19" t="s">
        <v>32</v>
      </c>
      <c r="I2216" s="19">
        <v>24</v>
      </c>
      <c r="J2216" s="19">
        <v>0</v>
      </c>
      <c r="K2216" s="19">
        <v>4</v>
      </c>
      <c r="L2216" s="19" t="s">
        <v>8363</v>
      </c>
      <c r="M2216" s="21">
        <v>3.7</v>
      </c>
      <c r="N2216">
        <f t="shared" si="34"/>
        <v>1</v>
      </c>
    </row>
    <row r="2217" spans="1:14" x14ac:dyDescent="0.35">
      <c r="A2217" s="22" t="s">
        <v>2287</v>
      </c>
      <c r="B2217" s="23" t="s">
        <v>45</v>
      </c>
      <c r="C2217" s="23">
        <v>9</v>
      </c>
      <c r="D2217" s="24">
        <v>45916</v>
      </c>
      <c r="E2217" s="23" t="s">
        <v>36</v>
      </c>
      <c r="F2217" s="23" t="s">
        <v>43</v>
      </c>
      <c r="G2217" s="23" t="s">
        <v>21</v>
      </c>
      <c r="H2217" s="23" t="s">
        <v>28</v>
      </c>
      <c r="I2217" s="23">
        <v>8</v>
      </c>
      <c r="J2217" s="23">
        <v>0</v>
      </c>
      <c r="K2217" s="23">
        <v>4</v>
      </c>
      <c r="L2217" s="23" t="s">
        <v>17</v>
      </c>
      <c r="M2217" s="25">
        <v>15.5</v>
      </c>
      <c r="N2217">
        <f t="shared" si="34"/>
        <v>0</v>
      </c>
    </row>
    <row r="2218" spans="1:14" x14ac:dyDescent="0.35">
      <c r="A2218" s="6" t="s">
        <v>2288</v>
      </c>
      <c r="B2218" s="19" t="s">
        <v>47</v>
      </c>
      <c r="C2218" s="19">
        <v>10</v>
      </c>
      <c r="D2218" s="20">
        <v>45956</v>
      </c>
      <c r="E2218" s="19" t="s">
        <v>68</v>
      </c>
      <c r="F2218" s="19" t="s">
        <v>14</v>
      </c>
      <c r="G2218" s="19" t="s">
        <v>15</v>
      </c>
      <c r="H2218" s="19" t="s">
        <v>16</v>
      </c>
      <c r="I2218" s="19">
        <v>72</v>
      </c>
      <c r="J2218" s="19">
        <v>1</v>
      </c>
      <c r="K2218" s="19">
        <v>4</v>
      </c>
      <c r="L2218" s="19" t="s">
        <v>38</v>
      </c>
      <c r="M2218" s="21">
        <v>8.4</v>
      </c>
      <c r="N2218">
        <f t="shared" si="34"/>
        <v>1</v>
      </c>
    </row>
    <row r="2219" spans="1:14" x14ac:dyDescent="0.35">
      <c r="A2219" s="22" t="s">
        <v>2289</v>
      </c>
      <c r="B2219" s="23" t="s">
        <v>65</v>
      </c>
      <c r="C2219" s="23">
        <v>12</v>
      </c>
      <c r="D2219" s="24">
        <v>46012</v>
      </c>
      <c r="E2219" s="23" t="s">
        <v>25</v>
      </c>
      <c r="F2219" s="23" t="s">
        <v>37</v>
      </c>
      <c r="G2219" s="23" t="s">
        <v>21</v>
      </c>
      <c r="H2219" s="23" t="s">
        <v>28</v>
      </c>
      <c r="I2219" s="23">
        <v>48</v>
      </c>
      <c r="J2219" s="23">
        <v>1</v>
      </c>
      <c r="K2219" s="23">
        <v>5</v>
      </c>
      <c r="L2219" s="23" t="s">
        <v>55</v>
      </c>
      <c r="M2219" s="25">
        <v>16</v>
      </c>
      <c r="N2219">
        <f t="shared" si="34"/>
        <v>1</v>
      </c>
    </row>
    <row r="2220" spans="1:14" x14ac:dyDescent="0.35">
      <c r="A2220" s="6" t="s">
        <v>2290</v>
      </c>
      <c r="B2220" s="19" t="s">
        <v>53</v>
      </c>
      <c r="C2220" s="19">
        <v>2</v>
      </c>
      <c r="D2220" s="20">
        <v>45697</v>
      </c>
      <c r="E2220" s="19" t="s">
        <v>13</v>
      </c>
      <c r="F2220" s="19" t="s">
        <v>14</v>
      </c>
      <c r="G2220" s="19" t="s">
        <v>31</v>
      </c>
      <c r="H2220" s="19" t="s">
        <v>8364</v>
      </c>
      <c r="I2220" s="19">
        <v>72</v>
      </c>
      <c r="J2220" s="19">
        <v>1</v>
      </c>
      <c r="K2220" s="19">
        <v>4</v>
      </c>
      <c r="L2220" s="19" t="s">
        <v>33</v>
      </c>
      <c r="M2220" s="21">
        <v>12.6</v>
      </c>
      <c r="N2220">
        <f t="shared" si="34"/>
        <v>1</v>
      </c>
    </row>
    <row r="2221" spans="1:14" x14ac:dyDescent="0.35">
      <c r="A2221" s="22" t="s">
        <v>2291</v>
      </c>
      <c r="B2221" s="23" t="s">
        <v>34</v>
      </c>
      <c r="C2221" s="23">
        <v>5</v>
      </c>
      <c r="D2221" s="24">
        <v>45785</v>
      </c>
      <c r="E2221" s="23" t="s">
        <v>13</v>
      </c>
      <c r="F2221" s="23" t="s">
        <v>14</v>
      </c>
      <c r="G2221" s="23" t="s">
        <v>31</v>
      </c>
      <c r="H2221" s="23" t="s">
        <v>28</v>
      </c>
      <c r="I2221" s="23">
        <v>24</v>
      </c>
      <c r="J2221" s="23">
        <v>0</v>
      </c>
      <c r="K2221" s="23">
        <v>4</v>
      </c>
      <c r="L2221" s="23" t="s">
        <v>62</v>
      </c>
      <c r="M2221" s="25">
        <v>6.2</v>
      </c>
      <c r="N2221">
        <f t="shared" si="34"/>
        <v>1</v>
      </c>
    </row>
    <row r="2222" spans="1:14" x14ac:dyDescent="0.35">
      <c r="A2222" s="6" t="s">
        <v>2292</v>
      </c>
      <c r="B2222" s="19" t="s">
        <v>97</v>
      </c>
      <c r="C2222" s="19">
        <v>10</v>
      </c>
      <c r="D2222" s="20">
        <v>45957</v>
      </c>
      <c r="E2222" s="19" t="s">
        <v>13</v>
      </c>
      <c r="F2222" s="19" t="s">
        <v>43</v>
      </c>
      <c r="G2222" s="19" t="s">
        <v>31</v>
      </c>
      <c r="H2222" s="19" t="s">
        <v>28</v>
      </c>
      <c r="I2222" s="19">
        <v>72</v>
      </c>
      <c r="J2222" s="19">
        <v>0</v>
      </c>
      <c r="K2222" s="19"/>
      <c r="L2222" s="19" t="s">
        <v>17</v>
      </c>
      <c r="M2222" s="21">
        <v>6</v>
      </c>
      <c r="N2222">
        <f t="shared" si="34"/>
        <v>1</v>
      </c>
    </row>
    <row r="2223" spans="1:14" x14ac:dyDescent="0.35">
      <c r="A2223" s="22" t="s">
        <v>2293</v>
      </c>
      <c r="B2223" s="23" t="s">
        <v>49</v>
      </c>
      <c r="C2223" s="23">
        <v>12</v>
      </c>
      <c r="D2223" s="24">
        <v>46007</v>
      </c>
      <c r="E2223" s="23" t="s">
        <v>25</v>
      </c>
      <c r="F2223" s="23" t="s">
        <v>43</v>
      </c>
      <c r="G2223" s="23" t="s">
        <v>21</v>
      </c>
      <c r="H2223" s="23" t="s">
        <v>28</v>
      </c>
      <c r="I2223" s="23">
        <v>24</v>
      </c>
      <c r="J2223" s="23">
        <v>0</v>
      </c>
      <c r="K2223" s="23">
        <v>4</v>
      </c>
      <c r="L2223" s="23" t="s">
        <v>8363</v>
      </c>
      <c r="M2223" s="25">
        <v>7.5</v>
      </c>
      <c r="N2223">
        <f t="shared" si="34"/>
        <v>1</v>
      </c>
    </row>
    <row r="2224" spans="1:14" x14ac:dyDescent="0.35">
      <c r="A2224" s="6" t="s">
        <v>2294</v>
      </c>
      <c r="B2224" s="19" t="s">
        <v>41</v>
      </c>
      <c r="C2224" s="19">
        <v>1</v>
      </c>
      <c r="D2224" s="20">
        <v>45677</v>
      </c>
      <c r="E2224" s="19" t="s">
        <v>68</v>
      </c>
      <c r="F2224" s="19" t="s">
        <v>43</v>
      </c>
      <c r="G2224" s="19" t="s">
        <v>27</v>
      </c>
      <c r="H2224" s="19" t="s">
        <v>28</v>
      </c>
      <c r="I2224" s="19">
        <v>24</v>
      </c>
      <c r="J2224" s="19">
        <v>1</v>
      </c>
      <c r="K2224" s="19">
        <v>4</v>
      </c>
      <c r="L2224" s="19" t="s">
        <v>62</v>
      </c>
      <c r="M2224" s="21">
        <v>16.8</v>
      </c>
      <c r="N2224">
        <f t="shared" si="34"/>
        <v>1</v>
      </c>
    </row>
    <row r="2225" spans="1:14" x14ac:dyDescent="0.35">
      <c r="A2225" s="22" t="s">
        <v>2295</v>
      </c>
      <c r="B2225" s="23" t="s">
        <v>89</v>
      </c>
      <c r="C2225" s="23">
        <v>9</v>
      </c>
      <c r="D2225" s="24">
        <v>45930</v>
      </c>
      <c r="E2225" s="23" t="s">
        <v>8364</v>
      </c>
      <c r="F2225" s="23" t="s">
        <v>59</v>
      </c>
      <c r="G2225" s="23" t="s">
        <v>21</v>
      </c>
      <c r="H2225" s="23" t="s">
        <v>8364</v>
      </c>
      <c r="I2225" s="23">
        <v>24</v>
      </c>
      <c r="J2225" s="23">
        <v>0</v>
      </c>
      <c r="K2225" s="23">
        <v>3</v>
      </c>
      <c r="L2225" s="23" t="s">
        <v>8363</v>
      </c>
      <c r="M2225" s="25">
        <v>10.6</v>
      </c>
      <c r="N2225">
        <f t="shared" si="34"/>
        <v>1</v>
      </c>
    </row>
    <row r="2226" spans="1:14" x14ac:dyDescent="0.35">
      <c r="A2226" s="6" t="s">
        <v>2296</v>
      </c>
      <c r="B2226" s="19" t="s">
        <v>99</v>
      </c>
      <c r="C2226" s="19">
        <v>4</v>
      </c>
      <c r="D2226" s="20">
        <v>45761</v>
      </c>
      <c r="E2226" s="19" t="s">
        <v>13</v>
      </c>
      <c r="F2226" s="19" t="s">
        <v>37</v>
      </c>
      <c r="G2226" s="19" t="s">
        <v>27</v>
      </c>
      <c r="H2226" s="19" t="s">
        <v>22</v>
      </c>
      <c r="I2226" s="19">
        <v>8</v>
      </c>
      <c r="J2226" s="19">
        <v>2</v>
      </c>
      <c r="K2226" s="19">
        <v>5</v>
      </c>
      <c r="L2226" s="19" t="s">
        <v>33</v>
      </c>
      <c r="M2226" s="21">
        <v>5.8</v>
      </c>
      <c r="N2226">
        <f t="shared" si="34"/>
        <v>1</v>
      </c>
    </row>
    <row r="2227" spans="1:14" x14ac:dyDescent="0.35">
      <c r="A2227" s="22" t="s">
        <v>2297</v>
      </c>
      <c r="B2227" s="23" t="s">
        <v>81</v>
      </c>
      <c r="C2227" s="23">
        <v>1</v>
      </c>
      <c r="D2227" s="24">
        <v>45679</v>
      </c>
      <c r="E2227" s="23" t="s">
        <v>13</v>
      </c>
      <c r="F2227" s="23" t="s">
        <v>37</v>
      </c>
      <c r="G2227" s="23" t="s">
        <v>27</v>
      </c>
      <c r="H2227" s="23" t="s">
        <v>28</v>
      </c>
      <c r="I2227" s="23">
        <v>24</v>
      </c>
      <c r="J2227" s="23">
        <v>0</v>
      </c>
      <c r="K2227" s="23">
        <v>5</v>
      </c>
      <c r="L2227" s="23" t="s">
        <v>62</v>
      </c>
      <c r="M2227" s="25">
        <v>4.3</v>
      </c>
      <c r="N2227">
        <f t="shared" si="34"/>
        <v>1</v>
      </c>
    </row>
    <row r="2228" spans="1:14" x14ac:dyDescent="0.35">
      <c r="A2228" s="6" t="s">
        <v>2298</v>
      </c>
      <c r="B2228" s="19" t="s">
        <v>65</v>
      </c>
      <c r="C2228" s="19">
        <v>8</v>
      </c>
      <c r="D2228" s="20">
        <v>45891</v>
      </c>
      <c r="E2228" s="19" t="s">
        <v>68</v>
      </c>
      <c r="F2228" s="19" t="s">
        <v>8364</v>
      </c>
      <c r="G2228" s="19" t="s">
        <v>21</v>
      </c>
      <c r="H2228" s="19" t="s">
        <v>28</v>
      </c>
      <c r="I2228" s="19">
        <v>4</v>
      </c>
      <c r="J2228" s="19">
        <v>0</v>
      </c>
      <c r="K2228" s="19">
        <v>3</v>
      </c>
      <c r="L2228" s="19" t="s">
        <v>75</v>
      </c>
      <c r="M2228" s="21">
        <v>5</v>
      </c>
      <c r="N2228">
        <f t="shared" si="34"/>
        <v>0</v>
      </c>
    </row>
    <row r="2229" spans="1:14" x14ac:dyDescent="0.35">
      <c r="A2229" s="22" t="s">
        <v>2299</v>
      </c>
      <c r="B2229" s="23" t="s">
        <v>65</v>
      </c>
      <c r="C2229" s="23">
        <v>11</v>
      </c>
      <c r="D2229" s="24">
        <v>45965</v>
      </c>
      <c r="E2229" s="23" t="s">
        <v>13</v>
      </c>
      <c r="F2229" s="23" t="s">
        <v>26</v>
      </c>
      <c r="G2229" s="23" t="s">
        <v>31</v>
      </c>
      <c r="H2229" s="23" t="s">
        <v>22</v>
      </c>
      <c r="I2229" s="23">
        <v>72</v>
      </c>
      <c r="J2229" s="23">
        <v>0</v>
      </c>
      <c r="K2229" s="23">
        <v>2</v>
      </c>
      <c r="L2229" s="23" t="s">
        <v>62</v>
      </c>
      <c r="M2229" s="25">
        <v>19.2</v>
      </c>
      <c r="N2229">
        <f t="shared" si="34"/>
        <v>1</v>
      </c>
    </row>
    <row r="2230" spans="1:14" x14ac:dyDescent="0.35">
      <c r="A2230" s="6" t="s">
        <v>2300</v>
      </c>
      <c r="B2230" s="19" t="s">
        <v>97</v>
      </c>
      <c r="C2230" s="19">
        <v>3</v>
      </c>
      <c r="D2230" s="20">
        <v>45737</v>
      </c>
      <c r="E2230" s="19" t="s">
        <v>13</v>
      </c>
      <c r="F2230" s="19" t="s">
        <v>59</v>
      </c>
      <c r="G2230" s="19" t="s">
        <v>8364</v>
      </c>
      <c r="H2230" s="19" t="s">
        <v>28</v>
      </c>
      <c r="I2230" s="19">
        <v>72</v>
      </c>
      <c r="J2230" s="19">
        <v>2</v>
      </c>
      <c r="K2230" s="19">
        <v>5</v>
      </c>
      <c r="L2230" s="19" t="s">
        <v>17</v>
      </c>
      <c r="M2230" s="21">
        <v>12.8</v>
      </c>
      <c r="N2230">
        <f t="shared" si="34"/>
        <v>1</v>
      </c>
    </row>
    <row r="2231" spans="1:14" x14ac:dyDescent="0.35">
      <c r="A2231" s="22" t="s">
        <v>2301</v>
      </c>
      <c r="B2231" s="23" t="s">
        <v>181</v>
      </c>
      <c r="C2231" s="23">
        <v>5</v>
      </c>
      <c r="D2231" s="24">
        <v>45784</v>
      </c>
      <c r="E2231" s="23" t="s">
        <v>13</v>
      </c>
      <c r="F2231" s="23" t="s">
        <v>37</v>
      </c>
      <c r="G2231" s="23" t="s">
        <v>27</v>
      </c>
      <c r="H2231" s="23" t="s">
        <v>22</v>
      </c>
      <c r="I2231" s="23">
        <v>4</v>
      </c>
      <c r="J2231" s="23">
        <v>0</v>
      </c>
      <c r="K2231" s="23">
        <v>4</v>
      </c>
      <c r="L2231" s="23" t="s">
        <v>17</v>
      </c>
      <c r="M2231" s="25">
        <v>15.4</v>
      </c>
      <c r="N2231">
        <f t="shared" si="34"/>
        <v>0</v>
      </c>
    </row>
    <row r="2232" spans="1:14" x14ac:dyDescent="0.35">
      <c r="A2232" s="6" t="s">
        <v>2302</v>
      </c>
      <c r="B2232" s="19" t="s">
        <v>104</v>
      </c>
      <c r="C2232" s="19">
        <v>7</v>
      </c>
      <c r="D2232" s="20">
        <v>45843</v>
      </c>
      <c r="E2232" s="19" t="s">
        <v>13</v>
      </c>
      <c r="F2232" s="19" t="s">
        <v>59</v>
      </c>
      <c r="G2232" s="19" t="s">
        <v>8364</v>
      </c>
      <c r="H2232" s="19" t="s">
        <v>28</v>
      </c>
      <c r="I2232" s="19">
        <v>8</v>
      </c>
      <c r="J2232" s="19">
        <v>0</v>
      </c>
      <c r="K2232" s="19">
        <v>5</v>
      </c>
      <c r="L2232" s="19" t="s">
        <v>17</v>
      </c>
      <c r="M2232" s="21">
        <v>13.2</v>
      </c>
      <c r="N2232">
        <f t="shared" si="34"/>
        <v>0</v>
      </c>
    </row>
    <row r="2233" spans="1:14" x14ac:dyDescent="0.35">
      <c r="A2233" s="22" t="s">
        <v>2303</v>
      </c>
      <c r="B2233" s="23" t="s">
        <v>81</v>
      </c>
      <c r="C2233" s="23">
        <v>3</v>
      </c>
      <c r="D2233" s="24">
        <v>45735</v>
      </c>
      <c r="E2233" s="23" t="s">
        <v>20</v>
      </c>
      <c r="F2233" s="23" t="s">
        <v>40</v>
      </c>
      <c r="G2233" s="23" t="s">
        <v>21</v>
      </c>
      <c r="H2233" s="23" t="s">
        <v>16</v>
      </c>
      <c r="I2233" s="23">
        <v>48</v>
      </c>
      <c r="J2233" s="23">
        <v>2</v>
      </c>
      <c r="K2233" s="23">
        <v>3</v>
      </c>
      <c r="L2233" s="23" t="s">
        <v>44</v>
      </c>
      <c r="M2233" s="25">
        <v>6.6</v>
      </c>
      <c r="N2233">
        <f t="shared" si="34"/>
        <v>1</v>
      </c>
    </row>
    <row r="2234" spans="1:14" x14ac:dyDescent="0.35">
      <c r="A2234" s="6" t="s">
        <v>2304</v>
      </c>
      <c r="B2234" s="19" t="s">
        <v>45</v>
      </c>
      <c r="C2234" s="19">
        <v>11</v>
      </c>
      <c r="D2234" s="20">
        <v>45985</v>
      </c>
      <c r="E2234" s="19" t="s">
        <v>36</v>
      </c>
      <c r="F2234" s="19" t="s">
        <v>26</v>
      </c>
      <c r="G2234" s="19" t="s">
        <v>27</v>
      </c>
      <c r="H2234" s="19" t="s">
        <v>22</v>
      </c>
      <c r="I2234" s="19">
        <v>4</v>
      </c>
      <c r="J2234" s="19">
        <v>0</v>
      </c>
      <c r="K2234" s="19">
        <v>4</v>
      </c>
      <c r="L2234" s="19" t="s">
        <v>44</v>
      </c>
      <c r="M2234" s="21">
        <v>18.3</v>
      </c>
      <c r="N2234">
        <f t="shared" si="34"/>
        <v>0</v>
      </c>
    </row>
    <row r="2235" spans="1:14" x14ac:dyDescent="0.35">
      <c r="A2235" s="22" t="s">
        <v>2305</v>
      </c>
      <c r="B2235" s="23" t="s">
        <v>146</v>
      </c>
      <c r="C2235" s="23">
        <v>2</v>
      </c>
      <c r="D2235" s="24">
        <v>45696</v>
      </c>
      <c r="E2235" s="23" t="s">
        <v>25</v>
      </c>
      <c r="F2235" s="23" t="s">
        <v>43</v>
      </c>
      <c r="G2235" s="23" t="s">
        <v>21</v>
      </c>
      <c r="H2235" s="23" t="s">
        <v>32</v>
      </c>
      <c r="I2235" s="23">
        <v>48</v>
      </c>
      <c r="J2235" s="23">
        <v>0</v>
      </c>
      <c r="K2235" s="23">
        <v>4</v>
      </c>
      <c r="L2235" s="23" t="s">
        <v>8363</v>
      </c>
      <c r="M2235" s="25">
        <v>16.899999999999999</v>
      </c>
      <c r="N2235">
        <f t="shared" si="34"/>
        <v>1</v>
      </c>
    </row>
    <row r="2236" spans="1:14" x14ac:dyDescent="0.35">
      <c r="A2236" s="6" t="s">
        <v>2306</v>
      </c>
      <c r="B2236" s="19" t="s">
        <v>92</v>
      </c>
      <c r="C2236" s="19">
        <v>12</v>
      </c>
      <c r="D2236" s="20">
        <v>45998</v>
      </c>
      <c r="E2236" s="19" t="s">
        <v>8364</v>
      </c>
      <c r="F2236" s="19" t="s">
        <v>59</v>
      </c>
      <c r="G2236" s="19" t="s">
        <v>15</v>
      </c>
      <c r="H2236" s="19" t="s">
        <v>32</v>
      </c>
      <c r="I2236" s="19">
        <v>24</v>
      </c>
      <c r="J2236" s="19">
        <v>0</v>
      </c>
      <c r="K2236" s="19">
        <v>4</v>
      </c>
      <c r="L2236" s="19" t="s">
        <v>17</v>
      </c>
      <c r="M2236" s="21">
        <v>11.9</v>
      </c>
      <c r="N2236">
        <f t="shared" si="34"/>
        <v>1</v>
      </c>
    </row>
    <row r="2237" spans="1:14" x14ac:dyDescent="0.35">
      <c r="A2237" s="22" t="s">
        <v>2307</v>
      </c>
      <c r="B2237" s="23" t="s">
        <v>139</v>
      </c>
      <c r="C2237" s="23"/>
      <c r="D2237" s="24"/>
      <c r="E2237" s="23" t="s">
        <v>36</v>
      </c>
      <c r="F2237" s="23" t="s">
        <v>14</v>
      </c>
      <c r="G2237" s="23" t="s">
        <v>15</v>
      </c>
      <c r="H2237" s="23" t="s">
        <v>22</v>
      </c>
      <c r="I2237" s="23">
        <v>24</v>
      </c>
      <c r="J2237" s="23">
        <v>0</v>
      </c>
      <c r="K2237" s="23">
        <v>5</v>
      </c>
      <c r="L2237" s="23" t="s">
        <v>33</v>
      </c>
      <c r="M2237" s="25">
        <v>11.2</v>
      </c>
      <c r="N2237">
        <f t="shared" si="34"/>
        <v>1</v>
      </c>
    </row>
    <row r="2238" spans="1:14" x14ac:dyDescent="0.35">
      <c r="A2238" s="6" t="s">
        <v>2308</v>
      </c>
      <c r="B2238" s="19" t="s">
        <v>47</v>
      </c>
      <c r="C2238" s="19">
        <v>7</v>
      </c>
      <c r="D2238" s="20">
        <v>45851</v>
      </c>
      <c r="E2238" s="19" t="s">
        <v>25</v>
      </c>
      <c r="F2238" s="19" t="s">
        <v>43</v>
      </c>
      <c r="G2238" s="19" t="s">
        <v>31</v>
      </c>
      <c r="H2238" s="19" t="s">
        <v>22</v>
      </c>
      <c r="I2238" s="19">
        <v>72</v>
      </c>
      <c r="J2238" s="19">
        <v>0</v>
      </c>
      <c r="K2238" s="19">
        <v>4</v>
      </c>
      <c r="L2238" s="19" t="s">
        <v>44</v>
      </c>
      <c r="M2238" s="21">
        <v>25.8</v>
      </c>
      <c r="N2238">
        <f t="shared" si="34"/>
        <v>1</v>
      </c>
    </row>
    <row r="2239" spans="1:14" x14ac:dyDescent="0.35">
      <c r="A2239" s="22" t="s">
        <v>2309</v>
      </c>
      <c r="B2239" s="23" t="s">
        <v>47</v>
      </c>
      <c r="C2239" s="23">
        <v>11</v>
      </c>
      <c r="D2239" s="24">
        <v>45978</v>
      </c>
      <c r="E2239" s="23" t="s">
        <v>20</v>
      </c>
      <c r="F2239" s="23" t="s">
        <v>37</v>
      </c>
      <c r="G2239" s="23" t="s">
        <v>27</v>
      </c>
      <c r="H2239" s="23" t="s">
        <v>32</v>
      </c>
      <c r="I2239" s="23">
        <v>4</v>
      </c>
      <c r="J2239" s="23">
        <v>0</v>
      </c>
      <c r="K2239" s="23">
        <v>3</v>
      </c>
      <c r="L2239" s="23" t="s">
        <v>33</v>
      </c>
      <c r="M2239" s="25">
        <v>14.2</v>
      </c>
      <c r="N2239">
        <f t="shared" si="34"/>
        <v>0</v>
      </c>
    </row>
    <row r="2240" spans="1:14" x14ac:dyDescent="0.35">
      <c r="A2240" s="6" t="s">
        <v>2310</v>
      </c>
      <c r="B2240" s="19" t="s">
        <v>57</v>
      </c>
      <c r="C2240" s="19">
        <v>10</v>
      </c>
      <c r="D2240" s="20">
        <v>45959</v>
      </c>
      <c r="E2240" s="19" t="s">
        <v>36</v>
      </c>
      <c r="F2240" s="19" t="s">
        <v>59</v>
      </c>
      <c r="G2240" s="19" t="s">
        <v>27</v>
      </c>
      <c r="H2240" s="19" t="s">
        <v>16</v>
      </c>
      <c r="I2240" s="19">
        <v>72</v>
      </c>
      <c r="J2240" s="19">
        <v>1</v>
      </c>
      <c r="K2240" s="19">
        <v>4</v>
      </c>
      <c r="L2240" s="19" t="s">
        <v>38</v>
      </c>
      <c r="M2240" s="21">
        <v>11.2</v>
      </c>
      <c r="N2240">
        <f t="shared" si="34"/>
        <v>1</v>
      </c>
    </row>
    <row r="2241" spans="1:14" x14ac:dyDescent="0.35">
      <c r="A2241" s="22" t="s">
        <v>2311</v>
      </c>
      <c r="B2241" s="23" t="s">
        <v>49</v>
      </c>
      <c r="C2241" s="23"/>
      <c r="D2241" s="24"/>
      <c r="E2241" s="23" t="s">
        <v>25</v>
      </c>
      <c r="F2241" s="23" t="s">
        <v>43</v>
      </c>
      <c r="G2241" s="23" t="s">
        <v>31</v>
      </c>
      <c r="H2241" s="23" t="s">
        <v>22</v>
      </c>
      <c r="I2241" s="23">
        <v>24</v>
      </c>
      <c r="J2241" s="23">
        <v>0</v>
      </c>
      <c r="K2241" s="23"/>
      <c r="L2241" s="23" t="s">
        <v>33</v>
      </c>
      <c r="M2241" s="25">
        <v>13.6</v>
      </c>
      <c r="N2241">
        <f t="shared" si="34"/>
        <v>1</v>
      </c>
    </row>
    <row r="2242" spans="1:14" x14ac:dyDescent="0.35">
      <c r="A2242" s="6" t="s">
        <v>2312</v>
      </c>
      <c r="B2242" s="19" t="s">
        <v>69</v>
      </c>
      <c r="C2242" s="19">
        <v>1</v>
      </c>
      <c r="D2242" s="20">
        <v>45661</v>
      </c>
      <c r="E2242" s="19" t="s">
        <v>20</v>
      </c>
      <c r="F2242" s="19" t="s">
        <v>43</v>
      </c>
      <c r="G2242" s="19" t="s">
        <v>27</v>
      </c>
      <c r="H2242" s="19" t="s">
        <v>22</v>
      </c>
      <c r="I2242" s="19">
        <v>24</v>
      </c>
      <c r="J2242" s="19">
        <v>0</v>
      </c>
      <c r="K2242" s="19">
        <v>2</v>
      </c>
      <c r="L2242" s="19" t="s">
        <v>62</v>
      </c>
      <c r="M2242" s="21">
        <v>3</v>
      </c>
      <c r="N2242">
        <f t="shared" si="34"/>
        <v>1</v>
      </c>
    </row>
    <row r="2243" spans="1:14" x14ac:dyDescent="0.35">
      <c r="A2243" s="22" t="s">
        <v>2313</v>
      </c>
      <c r="B2243" s="23" t="s">
        <v>89</v>
      </c>
      <c r="C2243" s="23">
        <v>9</v>
      </c>
      <c r="D2243" s="24">
        <v>45917</v>
      </c>
      <c r="E2243" s="23" t="s">
        <v>25</v>
      </c>
      <c r="F2243" s="23" t="s">
        <v>43</v>
      </c>
      <c r="G2243" s="23" t="s">
        <v>31</v>
      </c>
      <c r="H2243" s="23" t="s">
        <v>28</v>
      </c>
      <c r="I2243" s="23">
        <v>24</v>
      </c>
      <c r="J2243" s="23">
        <v>0</v>
      </c>
      <c r="K2243" s="23">
        <v>1</v>
      </c>
      <c r="L2243" s="23" t="s">
        <v>33</v>
      </c>
      <c r="M2243" s="25">
        <v>8.6999999999999993</v>
      </c>
      <c r="N2243">
        <f t="shared" ref="N2243:N2306" si="35">IF(M2243 &lt;= I2243, 1, 0)</f>
        <v>1</v>
      </c>
    </row>
    <row r="2244" spans="1:14" x14ac:dyDescent="0.35">
      <c r="A2244" s="6" t="s">
        <v>2314</v>
      </c>
      <c r="B2244" s="19" t="s">
        <v>108</v>
      </c>
      <c r="C2244" s="19">
        <v>6</v>
      </c>
      <c r="D2244" s="20">
        <v>45818</v>
      </c>
      <c r="E2244" s="19" t="s">
        <v>25</v>
      </c>
      <c r="F2244" s="19" t="s">
        <v>14</v>
      </c>
      <c r="G2244" s="19" t="s">
        <v>21</v>
      </c>
      <c r="H2244" s="19" t="s">
        <v>22</v>
      </c>
      <c r="I2244" s="19">
        <v>4</v>
      </c>
      <c r="J2244" s="19">
        <v>0</v>
      </c>
      <c r="K2244" s="19">
        <v>3</v>
      </c>
      <c r="L2244" s="19" t="s">
        <v>44</v>
      </c>
      <c r="M2244" s="21">
        <v>12.1</v>
      </c>
      <c r="N2244">
        <f t="shared" si="35"/>
        <v>0</v>
      </c>
    </row>
    <row r="2245" spans="1:14" x14ac:dyDescent="0.35">
      <c r="A2245" s="22" t="s">
        <v>2315</v>
      </c>
      <c r="B2245" s="23" t="s">
        <v>49</v>
      </c>
      <c r="C2245" s="23">
        <v>3</v>
      </c>
      <c r="D2245" s="24">
        <v>45732</v>
      </c>
      <c r="E2245" s="23" t="s">
        <v>25</v>
      </c>
      <c r="F2245" s="23" t="s">
        <v>37</v>
      </c>
      <c r="G2245" s="23" t="s">
        <v>31</v>
      </c>
      <c r="H2245" s="23" t="s">
        <v>22</v>
      </c>
      <c r="I2245" s="23">
        <v>24</v>
      </c>
      <c r="J2245" s="23">
        <v>0</v>
      </c>
      <c r="K2245" s="23">
        <v>5</v>
      </c>
      <c r="L2245" s="23" t="s">
        <v>62</v>
      </c>
      <c r="M2245" s="25">
        <v>7.1</v>
      </c>
      <c r="N2245">
        <f t="shared" si="35"/>
        <v>1</v>
      </c>
    </row>
    <row r="2246" spans="1:14" x14ac:dyDescent="0.35">
      <c r="A2246" s="6" t="s">
        <v>2316</v>
      </c>
      <c r="B2246" s="19" t="s">
        <v>53</v>
      </c>
      <c r="C2246" s="19">
        <v>8</v>
      </c>
      <c r="D2246" s="20">
        <v>45878</v>
      </c>
      <c r="E2246" s="19" t="s">
        <v>25</v>
      </c>
      <c r="F2246" s="19" t="s">
        <v>26</v>
      </c>
      <c r="G2246" s="19" t="s">
        <v>31</v>
      </c>
      <c r="H2246" s="19" t="s">
        <v>22</v>
      </c>
      <c r="I2246" s="19">
        <v>8</v>
      </c>
      <c r="J2246" s="19">
        <v>0</v>
      </c>
      <c r="K2246" s="19">
        <v>4</v>
      </c>
      <c r="L2246" s="19" t="s">
        <v>62</v>
      </c>
      <c r="M2246" s="21">
        <v>12</v>
      </c>
      <c r="N2246">
        <f t="shared" si="35"/>
        <v>0</v>
      </c>
    </row>
    <row r="2247" spans="1:14" x14ac:dyDescent="0.35">
      <c r="A2247" s="22" t="s">
        <v>2317</v>
      </c>
      <c r="B2247" s="23" t="s">
        <v>69</v>
      </c>
      <c r="C2247" s="23">
        <v>4</v>
      </c>
      <c r="D2247" s="24">
        <v>45771</v>
      </c>
      <c r="E2247" s="23" t="s">
        <v>13</v>
      </c>
      <c r="F2247" s="23" t="s">
        <v>14</v>
      </c>
      <c r="G2247" s="23" t="s">
        <v>27</v>
      </c>
      <c r="H2247" s="23" t="s">
        <v>22</v>
      </c>
      <c r="I2247" s="23">
        <v>48</v>
      </c>
      <c r="J2247" s="23">
        <v>0</v>
      </c>
      <c r="K2247" s="23">
        <v>3</v>
      </c>
      <c r="L2247" s="23" t="s">
        <v>44</v>
      </c>
      <c r="M2247" s="25"/>
      <c r="N2247">
        <f t="shared" si="35"/>
        <v>1</v>
      </c>
    </row>
    <row r="2248" spans="1:14" x14ac:dyDescent="0.35">
      <c r="A2248" s="6" t="s">
        <v>2318</v>
      </c>
      <c r="B2248" s="19" t="s">
        <v>101</v>
      </c>
      <c r="C2248" s="19">
        <v>5</v>
      </c>
      <c r="D2248" s="20">
        <v>45791</v>
      </c>
      <c r="E2248" s="19" t="s">
        <v>8364</v>
      </c>
      <c r="F2248" s="19" t="s">
        <v>43</v>
      </c>
      <c r="G2248" s="19" t="s">
        <v>27</v>
      </c>
      <c r="H2248" s="19" t="s">
        <v>28</v>
      </c>
      <c r="I2248" s="19">
        <v>8</v>
      </c>
      <c r="J2248" s="19">
        <v>0</v>
      </c>
      <c r="K2248" s="19">
        <v>5</v>
      </c>
      <c r="L2248" s="19" t="s">
        <v>75</v>
      </c>
      <c r="M2248" s="21">
        <v>14.4</v>
      </c>
      <c r="N2248">
        <f t="shared" si="35"/>
        <v>0</v>
      </c>
    </row>
    <row r="2249" spans="1:14" x14ac:dyDescent="0.35">
      <c r="A2249" s="22" t="s">
        <v>2319</v>
      </c>
      <c r="B2249" s="23" t="s">
        <v>89</v>
      </c>
      <c r="C2249" s="23">
        <v>6</v>
      </c>
      <c r="D2249" s="24">
        <v>45811</v>
      </c>
      <c r="E2249" s="23" t="s">
        <v>68</v>
      </c>
      <c r="F2249" s="23" t="s">
        <v>43</v>
      </c>
      <c r="G2249" s="23" t="s">
        <v>21</v>
      </c>
      <c r="H2249" s="23" t="s">
        <v>22</v>
      </c>
      <c r="I2249" s="23">
        <v>48</v>
      </c>
      <c r="J2249" s="23">
        <v>2</v>
      </c>
      <c r="K2249" s="23">
        <v>4</v>
      </c>
      <c r="L2249" s="23" t="s">
        <v>75</v>
      </c>
      <c r="M2249" s="25">
        <v>19.100000000000001</v>
      </c>
      <c r="N2249">
        <f t="shared" si="35"/>
        <v>1</v>
      </c>
    </row>
    <row r="2250" spans="1:14" x14ac:dyDescent="0.35">
      <c r="A2250" s="6" t="s">
        <v>2320</v>
      </c>
      <c r="B2250" s="19" t="s">
        <v>126</v>
      </c>
      <c r="C2250" s="19">
        <v>7</v>
      </c>
      <c r="D2250" s="20">
        <v>45850</v>
      </c>
      <c r="E2250" s="19" t="s">
        <v>36</v>
      </c>
      <c r="F2250" s="19" t="s">
        <v>8364</v>
      </c>
      <c r="G2250" s="19" t="s">
        <v>27</v>
      </c>
      <c r="H2250" s="19" t="s">
        <v>8364</v>
      </c>
      <c r="I2250" s="19">
        <v>24</v>
      </c>
      <c r="J2250" s="19">
        <v>0</v>
      </c>
      <c r="K2250" s="19">
        <v>5</v>
      </c>
      <c r="L2250" s="19" t="s">
        <v>38</v>
      </c>
      <c r="M2250" s="21">
        <v>8.9</v>
      </c>
      <c r="N2250">
        <f t="shared" si="35"/>
        <v>1</v>
      </c>
    </row>
    <row r="2251" spans="1:14" x14ac:dyDescent="0.35">
      <c r="A2251" s="22" t="s">
        <v>2321</v>
      </c>
      <c r="B2251" s="23" t="s">
        <v>78</v>
      </c>
      <c r="C2251" s="23">
        <v>4</v>
      </c>
      <c r="D2251" s="24">
        <v>45755</v>
      </c>
      <c r="E2251" s="23" t="s">
        <v>68</v>
      </c>
      <c r="F2251" s="23" t="s">
        <v>14</v>
      </c>
      <c r="G2251" s="23" t="s">
        <v>31</v>
      </c>
      <c r="H2251" s="23" t="s">
        <v>28</v>
      </c>
      <c r="I2251" s="23">
        <v>8</v>
      </c>
      <c r="J2251" s="23">
        <v>0</v>
      </c>
      <c r="K2251" s="23">
        <v>3</v>
      </c>
      <c r="L2251" s="23" t="s">
        <v>75</v>
      </c>
      <c r="M2251" s="25">
        <v>7.3</v>
      </c>
      <c r="N2251">
        <f t="shared" si="35"/>
        <v>1</v>
      </c>
    </row>
    <row r="2252" spans="1:14" x14ac:dyDescent="0.35">
      <c r="A2252" s="6" t="s">
        <v>2322</v>
      </c>
      <c r="B2252" s="19" t="s">
        <v>41</v>
      </c>
      <c r="C2252" s="19">
        <v>9</v>
      </c>
      <c r="D2252" s="20">
        <v>45907</v>
      </c>
      <c r="E2252" s="19" t="s">
        <v>13</v>
      </c>
      <c r="F2252" s="19" t="s">
        <v>43</v>
      </c>
      <c r="G2252" s="19" t="s">
        <v>15</v>
      </c>
      <c r="H2252" s="19" t="s">
        <v>22</v>
      </c>
      <c r="I2252" s="19">
        <v>48</v>
      </c>
      <c r="J2252" s="19">
        <v>0</v>
      </c>
      <c r="K2252" s="19">
        <v>5</v>
      </c>
      <c r="L2252" s="19" t="s">
        <v>55</v>
      </c>
      <c r="M2252" s="21">
        <v>10.8</v>
      </c>
      <c r="N2252">
        <f t="shared" si="35"/>
        <v>1</v>
      </c>
    </row>
    <row r="2253" spans="1:14" x14ac:dyDescent="0.35">
      <c r="A2253" s="22" t="s">
        <v>2323</v>
      </c>
      <c r="B2253" s="23" t="s">
        <v>18</v>
      </c>
      <c r="C2253" s="23">
        <v>10</v>
      </c>
      <c r="D2253" s="24">
        <v>45931</v>
      </c>
      <c r="E2253" s="23" t="s">
        <v>68</v>
      </c>
      <c r="F2253" s="23" t="s">
        <v>37</v>
      </c>
      <c r="G2253" s="23" t="s">
        <v>8364</v>
      </c>
      <c r="H2253" s="23" t="s">
        <v>32</v>
      </c>
      <c r="I2253" s="23">
        <v>8</v>
      </c>
      <c r="J2253" s="23">
        <v>0</v>
      </c>
      <c r="K2253" s="23">
        <v>4</v>
      </c>
      <c r="L2253" s="23" t="s">
        <v>62</v>
      </c>
      <c r="M2253" s="25">
        <v>18.899999999999999</v>
      </c>
      <c r="N2253">
        <f t="shared" si="35"/>
        <v>0</v>
      </c>
    </row>
    <row r="2254" spans="1:14" x14ac:dyDescent="0.35">
      <c r="A2254" s="6" t="s">
        <v>2324</v>
      </c>
      <c r="B2254" s="19" t="s">
        <v>253</v>
      </c>
      <c r="C2254" s="19">
        <v>7</v>
      </c>
      <c r="D2254" s="20">
        <v>45865</v>
      </c>
      <c r="E2254" s="19" t="s">
        <v>36</v>
      </c>
      <c r="F2254" s="19" t="s">
        <v>43</v>
      </c>
      <c r="G2254" s="19" t="s">
        <v>15</v>
      </c>
      <c r="H2254" s="19" t="s">
        <v>32</v>
      </c>
      <c r="I2254" s="19">
        <v>72</v>
      </c>
      <c r="J2254" s="19">
        <v>0</v>
      </c>
      <c r="K2254" s="19">
        <v>3</v>
      </c>
      <c r="L2254" s="19" t="s">
        <v>44</v>
      </c>
      <c r="M2254" s="21">
        <v>11.8</v>
      </c>
      <c r="N2254">
        <f t="shared" si="35"/>
        <v>1</v>
      </c>
    </row>
    <row r="2255" spans="1:14" x14ac:dyDescent="0.35">
      <c r="A2255" s="22" t="s">
        <v>2325</v>
      </c>
      <c r="B2255" s="23" t="s">
        <v>89</v>
      </c>
      <c r="C2255" s="23">
        <v>4</v>
      </c>
      <c r="D2255" s="24">
        <v>45757</v>
      </c>
      <c r="E2255" s="23" t="s">
        <v>68</v>
      </c>
      <c r="F2255" s="23" t="s">
        <v>8364</v>
      </c>
      <c r="G2255" s="23" t="s">
        <v>31</v>
      </c>
      <c r="H2255" s="23" t="s">
        <v>32</v>
      </c>
      <c r="I2255" s="23">
        <v>48</v>
      </c>
      <c r="J2255" s="23">
        <v>0</v>
      </c>
      <c r="K2255" s="23">
        <v>4</v>
      </c>
      <c r="L2255" s="23" t="s">
        <v>33</v>
      </c>
      <c r="M2255" s="25">
        <v>15.3</v>
      </c>
      <c r="N2255">
        <f t="shared" si="35"/>
        <v>1</v>
      </c>
    </row>
    <row r="2256" spans="1:14" x14ac:dyDescent="0.35">
      <c r="A2256" s="6" t="s">
        <v>2326</v>
      </c>
      <c r="B2256" s="19" t="s">
        <v>158</v>
      </c>
      <c r="C2256" s="19"/>
      <c r="D2256" s="20"/>
      <c r="E2256" s="19" t="s">
        <v>13</v>
      </c>
      <c r="F2256" s="19" t="s">
        <v>43</v>
      </c>
      <c r="G2256" s="19" t="s">
        <v>8364</v>
      </c>
      <c r="H2256" s="19" t="s">
        <v>8364</v>
      </c>
      <c r="I2256" s="19">
        <v>24</v>
      </c>
      <c r="J2256" s="19">
        <v>0</v>
      </c>
      <c r="K2256" s="19">
        <v>1</v>
      </c>
      <c r="L2256" s="19" t="s">
        <v>75</v>
      </c>
      <c r="M2256" s="21">
        <v>13.8</v>
      </c>
      <c r="N2256">
        <f t="shared" si="35"/>
        <v>1</v>
      </c>
    </row>
    <row r="2257" spans="1:14" x14ac:dyDescent="0.35">
      <c r="A2257" s="22" t="s">
        <v>2327</v>
      </c>
      <c r="B2257" s="23" t="s">
        <v>51</v>
      </c>
      <c r="C2257" s="23">
        <v>12</v>
      </c>
      <c r="D2257" s="24">
        <v>46022</v>
      </c>
      <c r="E2257" s="23" t="s">
        <v>25</v>
      </c>
      <c r="F2257" s="23" t="s">
        <v>8364</v>
      </c>
      <c r="G2257" s="23" t="s">
        <v>27</v>
      </c>
      <c r="H2257" s="23" t="s">
        <v>32</v>
      </c>
      <c r="I2257" s="23">
        <v>8</v>
      </c>
      <c r="J2257" s="23">
        <v>0</v>
      </c>
      <c r="K2257" s="23">
        <v>3</v>
      </c>
      <c r="L2257" s="23" t="s">
        <v>8363</v>
      </c>
      <c r="M2257" s="25">
        <v>6.5</v>
      </c>
      <c r="N2257">
        <f t="shared" si="35"/>
        <v>1</v>
      </c>
    </row>
    <row r="2258" spans="1:14" x14ac:dyDescent="0.35">
      <c r="A2258" s="6" t="s">
        <v>2328</v>
      </c>
      <c r="B2258" s="19" t="s">
        <v>85</v>
      </c>
      <c r="C2258" s="19">
        <v>7</v>
      </c>
      <c r="D2258" s="20">
        <v>45844</v>
      </c>
      <c r="E2258" s="19" t="s">
        <v>8364</v>
      </c>
      <c r="F2258" s="19" t="s">
        <v>26</v>
      </c>
      <c r="G2258" s="19" t="s">
        <v>15</v>
      </c>
      <c r="H2258" s="19" t="s">
        <v>8364</v>
      </c>
      <c r="I2258" s="19">
        <v>4</v>
      </c>
      <c r="J2258" s="19">
        <v>0</v>
      </c>
      <c r="K2258" s="19"/>
      <c r="L2258" s="19" t="s">
        <v>44</v>
      </c>
      <c r="M2258" s="21">
        <v>9.9</v>
      </c>
      <c r="N2258">
        <f t="shared" si="35"/>
        <v>0</v>
      </c>
    </row>
    <row r="2259" spans="1:14" x14ac:dyDescent="0.35">
      <c r="A2259" s="22" t="s">
        <v>2329</v>
      </c>
      <c r="B2259" s="23" t="s">
        <v>99</v>
      </c>
      <c r="C2259" s="23">
        <v>3</v>
      </c>
      <c r="D2259" s="24">
        <v>45747</v>
      </c>
      <c r="E2259" s="23" t="s">
        <v>25</v>
      </c>
      <c r="F2259" s="23" t="s">
        <v>43</v>
      </c>
      <c r="G2259" s="23" t="s">
        <v>27</v>
      </c>
      <c r="H2259" s="23" t="s">
        <v>22</v>
      </c>
      <c r="I2259" s="23">
        <v>24</v>
      </c>
      <c r="J2259" s="23">
        <v>0</v>
      </c>
      <c r="K2259" s="23"/>
      <c r="L2259" s="23" t="s">
        <v>33</v>
      </c>
      <c r="M2259" s="25">
        <v>9.4</v>
      </c>
      <c r="N2259">
        <f t="shared" si="35"/>
        <v>1</v>
      </c>
    </row>
    <row r="2260" spans="1:14" x14ac:dyDescent="0.35">
      <c r="A2260" s="6" t="s">
        <v>2330</v>
      </c>
      <c r="B2260" s="19" t="s">
        <v>78</v>
      </c>
      <c r="C2260" s="19">
        <v>5</v>
      </c>
      <c r="D2260" s="20">
        <v>45791</v>
      </c>
      <c r="E2260" s="19" t="s">
        <v>25</v>
      </c>
      <c r="F2260" s="19" t="s">
        <v>40</v>
      </c>
      <c r="G2260" s="19" t="s">
        <v>8364</v>
      </c>
      <c r="H2260" s="19" t="s">
        <v>22</v>
      </c>
      <c r="I2260" s="19">
        <v>72</v>
      </c>
      <c r="J2260" s="19">
        <v>0</v>
      </c>
      <c r="K2260" s="19"/>
      <c r="L2260" s="19" t="s">
        <v>38</v>
      </c>
      <c r="M2260" s="21">
        <v>1.1000000000000001</v>
      </c>
      <c r="N2260">
        <f t="shared" si="35"/>
        <v>1</v>
      </c>
    </row>
    <row r="2261" spans="1:14" x14ac:dyDescent="0.35">
      <c r="A2261" s="22" t="s">
        <v>2331</v>
      </c>
      <c r="B2261" s="23" t="s">
        <v>139</v>
      </c>
      <c r="C2261" s="23">
        <v>12</v>
      </c>
      <c r="D2261" s="24">
        <v>46006</v>
      </c>
      <c r="E2261" s="23" t="s">
        <v>13</v>
      </c>
      <c r="F2261" s="23" t="s">
        <v>14</v>
      </c>
      <c r="G2261" s="23" t="s">
        <v>8364</v>
      </c>
      <c r="H2261" s="23" t="s">
        <v>32</v>
      </c>
      <c r="I2261" s="23">
        <v>48</v>
      </c>
      <c r="J2261" s="23">
        <v>0</v>
      </c>
      <c r="K2261" s="23">
        <v>5</v>
      </c>
      <c r="L2261" s="23" t="s">
        <v>62</v>
      </c>
      <c r="M2261" s="25">
        <v>9.3000000000000007</v>
      </c>
      <c r="N2261">
        <f t="shared" si="35"/>
        <v>1</v>
      </c>
    </row>
    <row r="2262" spans="1:14" x14ac:dyDescent="0.35">
      <c r="A2262" s="6" t="s">
        <v>2332</v>
      </c>
      <c r="B2262" s="19" t="s">
        <v>69</v>
      </c>
      <c r="C2262" s="19">
        <v>10</v>
      </c>
      <c r="D2262" s="20">
        <v>45955</v>
      </c>
      <c r="E2262" s="19" t="s">
        <v>8364</v>
      </c>
      <c r="F2262" s="19" t="s">
        <v>14</v>
      </c>
      <c r="G2262" s="19" t="s">
        <v>21</v>
      </c>
      <c r="H2262" s="19" t="s">
        <v>22</v>
      </c>
      <c r="I2262" s="19">
        <v>24</v>
      </c>
      <c r="J2262" s="19">
        <v>1</v>
      </c>
      <c r="K2262" s="19">
        <v>5</v>
      </c>
      <c r="L2262" s="19" t="s">
        <v>38</v>
      </c>
      <c r="M2262" s="21">
        <v>16.3</v>
      </c>
      <c r="N2262">
        <f t="shared" si="35"/>
        <v>1</v>
      </c>
    </row>
    <row r="2263" spans="1:14" x14ac:dyDescent="0.35">
      <c r="A2263" s="22" t="s">
        <v>2333</v>
      </c>
      <c r="B2263" s="23" t="s">
        <v>85</v>
      </c>
      <c r="C2263" s="23">
        <v>10</v>
      </c>
      <c r="D2263" s="24">
        <v>45945</v>
      </c>
      <c r="E2263" s="23" t="s">
        <v>8364</v>
      </c>
      <c r="F2263" s="23" t="s">
        <v>14</v>
      </c>
      <c r="G2263" s="23" t="s">
        <v>21</v>
      </c>
      <c r="H2263" s="23" t="s">
        <v>28</v>
      </c>
      <c r="I2263" s="23">
        <v>72</v>
      </c>
      <c r="J2263" s="23">
        <v>0</v>
      </c>
      <c r="K2263" s="23"/>
      <c r="L2263" s="23" t="s">
        <v>8363</v>
      </c>
      <c r="M2263" s="25">
        <v>7.7</v>
      </c>
      <c r="N2263">
        <f t="shared" si="35"/>
        <v>1</v>
      </c>
    </row>
    <row r="2264" spans="1:14" x14ac:dyDescent="0.35">
      <c r="A2264" s="6" t="s">
        <v>2334</v>
      </c>
      <c r="B2264" s="19" t="s">
        <v>181</v>
      </c>
      <c r="C2264" s="19"/>
      <c r="D2264" s="20"/>
      <c r="E2264" s="19" t="s">
        <v>13</v>
      </c>
      <c r="F2264" s="19" t="s">
        <v>37</v>
      </c>
      <c r="G2264" s="19" t="s">
        <v>21</v>
      </c>
      <c r="H2264" s="19" t="s">
        <v>22</v>
      </c>
      <c r="I2264" s="19">
        <v>4</v>
      </c>
      <c r="J2264" s="19">
        <v>0</v>
      </c>
      <c r="K2264" s="19"/>
      <c r="L2264" s="19" t="s">
        <v>17</v>
      </c>
      <c r="M2264" s="21">
        <v>9.8000000000000007</v>
      </c>
      <c r="N2264">
        <f t="shared" si="35"/>
        <v>0</v>
      </c>
    </row>
    <row r="2265" spans="1:14" x14ac:dyDescent="0.35">
      <c r="A2265" s="22" t="s">
        <v>2335</v>
      </c>
      <c r="B2265" s="23" t="s">
        <v>29</v>
      </c>
      <c r="C2265" s="23">
        <v>2</v>
      </c>
      <c r="D2265" s="24">
        <v>45708</v>
      </c>
      <c r="E2265" s="23" t="s">
        <v>25</v>
      </c>
      <c r="F2265" s="23" t="s">
        <v>8364</v>
      </c>
      <c r="G2265" s="23" t="s">
        <v>15</v>
      </c>
      <c r="H2265" s="23" t="s">
        <v>8364</v>
      </c>
      <c r="I2265" s="23">
        <v>8</v>
      </c>
      <c r="J2265" s="23">
        <v>0</v>
      </c>
      <c r="K2265" s="23"/>
      <c r="L2265" s="23" t="s">
        <v>55</v>
      </c>
      <c r="M2265" s="25">
        <v>8.8000000000000007</v>
      </c>
      <c r="N2265">
        <f t="shared" si="35"/>
        <v>0</v>
      </c>
    </row>
    <row r="2266" spans="1:14" x14ac:dyDescent="0.35">
      <c r="A2266" s="6" t="s">
        <v>2336</v>
      </c>
      <c r="B2266" s="19" t="s">
        <v>126</v>
      </c>
      <c r="C2266" s="19">
        <v>11</v>
      </c>
      <c r="D2266" s="20">
        <v>45975</v>
      </c>
      <c r="E2266" s="19" t="s">
        <v>20</v>
      </c>
      <c r="F2266" s="19" t="s">
        <v>37</v>
      </c>
      <c r="G2266" s="19" t="s">
        <v>31</v>
      </c>
      <c r="H2266" s="19" t="s">
        <v>22</v>
      </c>
      <c r="I2266" s="19">
        <v>48</v>
      </c>
      <c r="J2266" s="19">
        <v>0</v>
      </c>
      <c r="K2266" s="19">
        <v>5</v>
      </c>
      <c r="L2266" s="19" t="s">
        <v>62</v>
      </c>
      <c r="M2266" s="21">
        <v>24.6</v>
      </c>
      <c r="N2266">
        <f t="shared" si="35"/>
        <v>1</v>
      </c>
    </row>
    <row r="2267" spans="1:14" x14ac:dyDescent="0.35">
      <c r="A2267" s="22" t="s">
        <v>2337</v>
      </c>
      <c r="B2267" s="23" t="s">
        <v>47</v>
      </c>
      <c r="C2267" s="23">
        <v>5</v>
      </c>
      <c r="D2267" s="24">
        <v>45790</v>
      </c>
      <c r="E2267" s="23" t="s">
        <v>25</v>
      </c>
      <c r="F2267" s="23" t="s">
        <v>8364</v>
      </c>
      <c r="G2267" s="23" t="s">
        <v>21</v>
      </c>
      <c r="H2267" s="23" t="s">
        <v>28</v>
      </c>
      <c r="I2267" s="23">
        <v>24</v>
      </c>
      <c r="J2267" s="23">
        <v>0</v>
      </c>
      <c r="K2267" s="23">
        <v>4</v>
      </c>
      <c r="L2267" s="23" t="s">
        <v>75</v>
      </c>
      <c r="M2267" s="25">
        <v>7.6</v>
      </c>
      <c r="N2267">
        <f t="shared" si="35"/>
        <v>1</v>
      </c>
    </row>
    <row r="2268" spans="1:14" x14ac:dyDescent="0.35">
      <c r="A2268" s="6" t="s">
        <v>2338</v>
      </c>
      <c r="B2268" s="19" t="s">
        <v>101</v>
      </c>
      <c r="C2268" s="19"/>
      <c r="D2268" s="20"/>
      <c r="E2268" s="19" t="s">
        <v>25</v>
      </c>
      <c r="F2268" s="19" t="s">
        <v>26</v>
      </c>
      <c r="G2268" s="19" t="s">
        <v>15</v>
      </c>
      <c r="H2268" s="19" t="s">
        <v>8364</v>
      </c>
      <c r="I2268" s="19">
        <v>4</v>
      </c>
      <c r="J2268" s="19">
        <v>0</v>
      </c>
      <c r="K2268" s="19">
        <v>4</v>
      </c>
      <c r="L2268" s="19" t="s">
        <v>38</v>
      </c>
      <c r="M2268" s="21">
        <v>9.9</v>
      </c>
      <c r="N2268">
        <f t="shared" si="35"/>
        <v>0</v>
      </c>
    </row>
    <row r="2269" spans="1:14" x14ac:dyDescent="0.35">
      <c r="A2269" s="22" t="s">
        <v>2339</v>
      </c>
      <c r="B2269" s="23" t="s">
        <v>139</v>
      </c>
      <c r="C2269" s="23">
        <v>1</v>
      </c>
      <c r="D2269" s="24">
        <v>45686</v>
      </c>
      <c r="E2269" s="23" t="s">
        <v>68</v>
      </c>
      <c r="F2269" s="23" t="s">
        <v>14</v>
      </c>
      <c r="G2269" s="23" t="s">
        <v>21</v>
      </c>
      <c r="H2269" s="23" t="s">
        <v>32</v>
      </c>
      <c r="I2269" s="23">
        <v>48</v>
      </c>
      <c r="J2269" s="23">
        <v>0</v>
      </c>
      <c r="K2269" s="23">
        <v>5</v>
      </c>
      <c r="L2269" s="23" t="s">
        <v>17</v>
      </c>
      <c r="M2269" s="25">
        <v>16.5</v>
      </c>
      <c r="N2269">
        <f t="shared" si="35"/>
        <v>1</v>
      </c>
    </row>
    <row r="2270" spans="1:14" x14ac:dyDescent="0.35">
      <c r="A2270" s="6" t="s">
        <v>2340</v>
      </c>
      <c r="B2270" s="19" t="s">
        <v>65</v>
      </c>
      <c r="C2270" s="19">
        <v>3</v>
      </c>
      <c r="D2270" s="20">
        <v>45733</v>
      </c>
      <c r="E2270" s="19" t="s">
        <v>8364</v>
      </c>
      <c r="F2270" s="19" t="s">
        <v>59</v>
      </c>
      <c r="G2270" s="19" t="s">
        <v>15</v>
      </c>
      <c r="H2270" s="19" t="s">
        <v>8364</v>
      </c>
      <c r="I2270" s="19">
        <v>4</v>
      </c>
      <c r="J2270" s="19">
        <v>0</v>
      </c>
      <c r="K2270" s="19">
        <v>5</v>
      </c>
      <c r="L2270" s="19" t="s">
        <v>38</v>
      </c>
      <c r="M2270" s="21">
        <v>15.2</v>
      </c>
      <c r="N2270">
        <f t="shared" si="35"/>
        <v>0</v>
      </c>
    </row>
    <row r="2271" spans="1:14" x14ac:dyDescent="0.35">
      <c r="A2271" s="22" t="s">
        <v>2341</v>
      </c>
      <c r="B2271" s="23" t="s">
        <v>65</v>
      </c>
      <c r="C2271" s="23">
        <v>4</v>
      </c>
      <c r="D2271" s="24">
        <v>45751</v>
      </c>
      <c r="E2271" s="23" t="s">
        <v>20</v>
      </c>
      <c r="F2271" s="23" t="s">
        <v>43</v>
      </c>
      <c r="G2271" s="23" t="s">
        <v>15</v>
      </c>
      <c r="H2271" s="23" t="s">
        <v>32</v>
      </c>
      <c r="I2271" s="23">
        <v>48</v>
      </c>
      <c r="J2271" s="23">
        <v>0</v>
      </c>
      <c r="K2271" s="23">
        <v>4</v>
      </c>
      <c r="L2271" s="23" t="s">
        <v>44</v>
      </c>
      <c r="M2271" s="25">
        <v>15.1</v>
      </c>
      <c r="N2271">
        <f t="shared" si="35"/>
        <v>1</v>
      </c>
    </row>
    <row r="2272" spans="1:14" x14ac:dyDescent="0.35">
      <c r="A2272" s="6" t="s">
        <v>2342</v>
      </c>
      <c r="B2272" s="19" t="s">
        <v>78</v>
      </c>
      <c r="C2272" s="19">
        <v>11</v>
      </c>
      <c r="D2272" s="20">
        <v>45990</v>
      </c>
      <c r="E2272" s="19" t="s">
        <v>25</v>
      </c>
      <c r="F2272" s="19" t="s">
        <v>26</v>
      </c>
      <c r="G2272" s="19" t="s">
        <v>8364</v>
      </c>
      <c r="H2272" s="19" t="s">
        <v>22</v>
      </c>
      <c r="I2272" s="19">
        <v>8</v>
      </c>
      <c r="J2272" s="19">
        <v>3</v>
      </c>
      <c r="K2272" s="19">
        <v>3</v>
      </c>
      <c r="L2272" s="19" t="s">
        <v>44</v>
      </c>
      <c r="M2272" s="21">
        <v>23.9</v>
      </c>
      <c r="N2272">
        <f t="shared" si="35"/>
        <v>0</v>
      </c>
    </row>
    <row r="2273" spans="1:14" x14ac:dyDescent="0.35">
      <c r="A2273" s="22" t="s">
        <v>2343</v>
      </c>
      <c r="B2273" s="23" t="s">
        <v>236</v>
      </c>
      <c r="C2273" s="23">
        <v>10</v>
      </c>
      <c r="D2273" s="24">
        <v>45956</v>
      </c>
      <c r="E2273" s="23" t="s">
        <v>68</v>
      </c>
      <c r="F2273" s="23" t="s">
        <v>40</v>
      </c>
      <c r="G2273" s="23" t="s">
        <v>21</v>
      </c>
      <c r="H2273" s="23" t="s">
        <v>28</v>
      </c>
      <c r="I2273" s="23">
        <v>72</v>
      </c>
      <c r="J2273" s="23">
        <v>0</v>
      </c>
      <c r="K2273" s="23">
        <v>4</v>
      </c>
      <c r="L2273" s="23" t="s">
        <v>55</v>
      </c>
      <c r="M2273" s="25">
        <v>6.7</v>
      </c>
      <c r="N2273">
        <f t="shared" si="35"/>
        <v>1</v>
      </c>
    </row>
    <row r="2274" spans="1:14" x14ac:dyDescent="0.35">
      <c r="A2274" s="6" t="s">
        <v>2344</v>
      </c>
      <c r="B2274" s="19" t="s">
        <v>89</v>
      </c>
      <c r="C2274" s="19">
        <v>10</v>
      </c>
      <c r="D2274" s="20">
        <v>45958</v>
      </c>
      <c r="E2274" s="19" t="s">
        <v>13</v>
      </c>
      <c r="F2274" s="19" t="s">
        <v>8364</v>
      </c>
      <c r="G2274" s="19" t="s">
        <v>27</v>
      </c>
      <c r="H2274" s="19" t="s">
        <v>28</v>
      </c>
      <c r="I2274" s="19">
        <v>24</v>
      </c>
      <c r="J2274" s="19">
        <v>0</v>
      </c>
      <c r="K2274" s="19">
        <v>5</v>
      </c>
      <c r="L2274" s="19" t="s">
        <v>8363</v>
      </c>
      <c r="M2274" s="21"/>
      <c r="N2274">
        <f t="shared" si="35"/>
        <v>1</v>
      </c>
    </row>
    <row r="2275" spans="1:14" x14ac:dyDescent="0.35">
      <c r="A2275" s="22" t="s">
        <v>2345</v>
      </c>
      <c r="B2275" s="23" t="s">
        <v>65</v>
      </c>
      <c r="C2275" s="23">
        <v>6</v>
      </c>
      <c r="D2275" s="24">
        <v>45813</v>
      </c>
      <c r="E2275" s="23" t="s">
        <v>25</v>
      </c>
      <c r="F2275" s="23" t="s">
        <v>14</v>
      </c>
      <c r="G2275" s="23" t="s">
        <v>27</v>
      </c>
      <c r="H2275" s="23" t="s">
        <v>28</v>
      </c>
      <c r="I2275" s="23">
        <v>24</v>
      </c>
      <c r="J2275" s="23">
        <v>0</v>
      </c>
      <c r="K2275" s="23">
        <v>4</v>
      </c>
      <c r="L2275" s="23" t="s">
        <v>55</v>
      </c>
      <c r="M2275" s="25">
        <v>32.5</v>
      </c>
      <c r="N2275">
        <f t="shared" si="35"/>
        <v>0</v>
      </c>
    </row>
    <row r="2276" spans="1:14" x14ac:dyDescent="0.35">
      <c r="A2276" s="6" t="s">
        <v>2346</v>
      </c>
      <c r="B2276" s="19" t="s">
        <v>53</v>
      </c>
      <c r="C2276" s="19">
        <v>6</v>
      </c>
      <c r="D2276" s="20">
        <v>45830</v>
      </c>
      <c r="E2276" s="19" t="s">
        <v>25</v>
      </c>
      <c r="F2276" s="19" t="s">
        <v>14</v>
      </c>
      <c r="G2276" s="19" t="s">
        <v>15</v>
      </c>
      <c r="H2276" s="19" t="s">
        <v>28</v>
      </c>
      <c r="I2276" s="19">
        <v>4</v>
      </c>
      <c r="J2276" s="19"/>
      <c r="K2276" s="19">
        <v>3</v>
      </c>
      <c r="L2276" s="19" t="s">
        <v>44</v>
      </c>
      <c r="M2276" s="21">
        <v>12</v>
      </c>
      <c r="N2276">
        <f t="shared" si="35"/>
        <v>0</v>
      </c>
    </row>
    <row r="2277" spans="1:14" x14ac:dyDescent="0.35">
      <c r="A2277" s="22" t="s">
        <v>2347</v>
      </c>
      <c r="B2277" s="23" t="s">
        <v>85</v>
      </c>
      <c r="C2277" s="23">
        <v>8</v>
      </c>
      <c r="D2277" s="24">
        <v>45896</v>
      </c>
      <c r="E2277" s="23" t="s">
        <v>25</v>
      </c>
      <c r="F2277" s="23" t="s">
        <v>14</v>
      </c>
      <c r="G2277" s="23" t="s">
        <v>15</v>
      </c>
      <c r="H2277" s="23" t="s">
        <v>28</v>
      </c>
      <c r="I2277" s="23">
        <v>8</v>
      </c>
      <c r="J2277" s="23">
        <v>0</v>
      </c>
      <c r="K2277" s="23">
        <v>5</v>
      </c>
      <c r="L2277" s="23" t="s">
        <v>55</v>
      </c>
      <c r="M2277" s="25">
        <v>13</v>
      </c>
      <c r="N2277">
        <f t="shared" si="35"/>
        <v>0</v>
      </c>
    </row>
    <row r="2278" spans="1:14" x14ac:dyDescent="0.35">
      <c r="A2278" s="6" t="s">
        <v>2348</v>
      </c>
      <c r="B2278" s="19" t="s">
        <v>143</v>
      </c>
      <c r="C2278" s="19">
        <v>10</v>
      </c>
      <c r="D2278" s="20">
        <v>45943</v>
      </c>
      <c r="E2278" s="19" t="s">
        <v>25</v>
      </c>
      <c r="F2278" s="19" t="s">
        <v>37</v>
      </c>
      <c r="G2278" s="19" t="s">
        <v>15</v>
      </c>
      <c r="H2278" s="19" t="s">
        <v>22</v>
      </c>
      <c r="I2278" s="19">
        <v>72</v>
      </c>
      <c r="J2278" s="19">
        <v>0</v>
      </c>
      <c r="K2278" s="19">
        <v>5</v>
      </c>
      <c r="L2278" s="19" t="s">
        <v>75</v>
      </c>
      <c r="M2278" s="21"/>
      <c r="N2278">
        <f t="shared" si="35"/>
        <v>1</v>
      </c>
    </row>
    <row r="2279" spans="1:14" x14ac:dyDescent="0.35">
      <c r="A2279" s="22" t="s">
        <v>2349</v>
      </c>
      <c r="B2279" s="23" t="s">
        <v>99</v>
      </c>
      <c r="C2279" s="23">
        <v>6</v>
      </c>
      <c r="D2279" s="24">
        <v>45828</v>
      </c>
      <c r="E2279" s="23" t="s">
        <v>20</v>
      </c>
      <c r="F2279" s="23" t="s">
        <v>14</v>
      </c>
      <c r="G2279" s="23" t="s">
        <v>15</v>
      </c>
      <c r="H2279" s="23" t="s">
        <v>32</v>
      </c>
      <c r="I2279" s="23">
        <v>8</v>
      </c>
      <c r="J2279" s="23">
        <v>0</v>
      </c>
      <c r="K2279" s="23"/>
      <c r="L2279" s="23" t="s">
        <v>17</v>
      </c>
      <c r="M2279" s="25">
        <v>10.6</v>
      </c>
      <c r="N2279">
        <f t="shared" si="35"/>
        <v>0</v>
      </c>
    </row>
    <row r="2280" spans="1:14" x14ac:dyDescent="0.35">
      <c r="A2280" s="6" t="s">
        <v>2350</v>
      </c>
      <c r="B2280" s="19" t="s">
        <v>78</v>
      </c>
      <c r="C2280" s="19">
        <v>12</v>
      </c>
      <c r="D2280" s="20">
        <v>46009</v>
      </c>
      <c r="E2280" s="19" t="s">
        <v>13</v>
      </c>
      <c r="F2280" s="19" t="s">
        <v>14</v>
      </c>
      <c r="G2280" s="19" t="s">
        <v>27</v>
      </c>
      <c r="H2280" s="19" t="s">
        <v>22</v>
      </c>
      <c r="I2280" s="19">
        <v>48</v>
      </c>
      <c r="J2280" s="19">
        <v>2</v>
      </c>
      <c r="K2280" s="19">
        <v>5</v>
      </c>
      <c r="L2280" s="19" t="s">
        <v>62</v>
      </c>
      <c r="M2280" s="21">
        <v>4.9000000000000004</v>
      </c>
      <c r="N2280">
        <f t="shared" si="35"/>
        <v>1</v>
      </c>
    </row>
    <row r="2281" spans="1:14" x14ac:dyDescent="0.35">
      <c r="A2281" s="22" t="s">
        <v>2351</v>
      </c>
      <c r="B2281" s="23" t="s">
        <v>89</v>
      </c>
      <c r="C2281" s="23"/>
      <c r="D2281" s="24"/>
      <c r="E2281" s="23" t="s">
        <v>68</v>
      </c>
      <c r="F2281" s="23" t="s">
        <v>14</v>
      </c>
      <c r="G2281" s="23" t="s">
        <v>31</v>
      </c>
      <c r="H2281" s="23" t="s">
        <v>28</v>
      </c>
      <c r="I2281" s="23">
        <v>24</v>
      </c>
      <c r="J2281" s="23">
        <v>0</v>
      </c>
      <c r="K2281" s="23">
        <v>3</v>
      </c>
      <c r="L2281" s="23" t="s">
        <v>8363</v>
      </c>
      <c r="M2281" s="25">
        <v>5.9</v>
      </c>
      <c r="N2281">
        <f t="shared" si="35"/>
        <v>1</v>
      </c>
    </row>
    <row r="2282" spans="1:14" x14ac:dyDescent="0.35">
      <c r="A2282" s="6" t="s">
        <v>2352</v>
      </c>
      <c r="B2282" s="19" t="s">
        <v>108</v>
      </c>
      <c r="C2282" s="19">
        <v>4</v>
      </c>
      <c r="D2282" s="20">
        <v>45774</v>
      </c>
      <c r="E2282" s="19" t="s">
        <v>8364</v>
      </c>
      <c r="F2282" s="19" t="s">
        <v>26</v>
      </c>
      <c r="G2282" s="19" t="s">
        <v>27</v>
      </c>
      <c r="H2282" s="19" t="s">
        <v>22</v>
      </c>
      <c r="I2282" s="19">
        <v>4</v>
      </c>
      <c r="J2282" s="19">
        <v>0</v>
      </c>
      <c r="K2282" s="19">
        <v>3</v>
      </c>
      <c r="L2282" s="19" t="s">
        <v>38</v>
      </c>
      <c r="M2282" s="21">
        <v>14.4</v>
      </c>
      <c r="N2282">
        <f t="shared" si="35"/>
        <v>0</v>
      </c>
    </row>
    <row r="2283" spans="1:14" x14ac:dyDescent="0.35">
      <c r="A2283" s="22" t="s">
        <v>2353</v>
      </c>
      <c r="B2283" s="23" t="s">
        <v>34</v>
      </c>
      <c r="C2283" s="23">
        <v>1</v>
      </c>
      <c r="D2283" s="24">
        <v>45685</v>
      </c>
      <c r="E2283" s="23" t="s">
        <v>68</v>
      </c>
      <c r="F2283" s="23" t="s">
        <v>40</v>
      </c>
      <c r="G2283" s="23" t="s">
        <v>21</v>
      </c>
      <c r="H2283" s="23" t="s">
        <v>22</v>
      </c>
      <c r="I2283" s="23">
        <v>24</v>
      </c>
      <c r="J2283" s="23">
        <v>1</v>
      </c>
      <c r="K2283" s="23">
        <v>5</v>
      </c>
      <c r="L2283" s="23" t="s">
        <v>17</v>
      </c>
      <c r="M2283" s="25">
        <v>4.9000000000000004</v>
      </c>
      <c r="N2283">
        <f t="shared" si="35"/>
        <v>1</v>
      </c>
    </row>
    <row r="2284" spans="1:14" x14ac:dyDescent="0.35">
      <c r="A2284" s="6" t="s">
        <v>2354</v>
      </c>
      <c r="B2284" s="19" t="s">
        <v>236</v>
      </c>
      <c r="C2284" s="19">
        <v>6</v>
      </c>
      <c r="D2284" s="20">
        <v>45826</v>
      </c>
      <c r="E2284" s="19" t="s">
        <v>25</v>
      </c>
      <c r="F2284" s="19" t="s">
        <v>8364</v>
      </c>
      <c r="G2284" s="19" t="s">
        <v>31</v>
      </c>
      <c r="H2284" s="19" t="s">
        <v>8364</v>
      </c>
      <c r="I2284" s="19">
        <v>8</v>
      </c>
      <c r="J2284" s="19">
        <v>0</v>
      </c>
      <c r="K2284" s="19">
        <v>5</v>
      </c>
      <c r="L2284" s="19" t="s">
        <v>8363</v>
      </c>
      <c r="M2284" s="21">
        <v>23.2</v>
      </c>
      <c r="N2284">
        <f t="shared" si="35"/>
        <v>0</v>
      </c>
    </row>
    <row r="2285" spans="1:14" x14ac:dyDescent="0.35">
      <c r="A2285" s="22" t="s">
        <v>2355</v>
      </c>
      <c r="B2285" s="23" t="s">
        <v>158</v>
      </c>
      <c r="C2285" s="23">
        <v>1</v>
      </c>
      <c r="D2285" s="24">
        <v>45680</v>
      </c>
      <c r="E2285" s="23" t="s">
        <v>20</v>
      </c>
      <c r="F2285" s="23" t="s">
        <v>43</v>
      </c>
      <c r="G2285" s="23" t="s">
        <v>27</v>
      </c>
      <c r="H2285" s="23" t="s">
        <v>32</v>
      </c>
      <c r="I2285" s="23">
        <v>4</v>
      </c>
      <c r="J2285" s="23">
        <v>0</v>
      </c>
      <c r="K2285" s="23">
        <v>4</v>
      </c>
      <c r="L2285" s="23" t="s">
        <v>62</v>
      </c>
      <c r="M2285" s="25">
        <v>12.1</v>
      </c>
      <c r="N2285">
        <f t="shared" si="35"/>
        <v>0</v>
      </c>
    </row>
    <row r="2286" spans="1:14" x14ac:dyDescent="0.35">
      <c r="A2286" s="6" t="s">
        <v>2356</v>
      </c>
      <c r="B2286" s="19" t="s">
        <v>41</v>
      </c>
      <c r="C2286" s="19">
        <v>7</v>
      </c>
      <c r="D2286" s="20">
        <v>45867</v>
      </c>
      <c r="E2286" s="19" t="s">
        <v>13</v>
      </c>
      <c r="F2286" s="19" t="s">
        <v>14</v>
      </c>
      <c r="G2286" s="19" t="s">
        <v>15</v>
      </c>
      <c r="H2286" s="19" t="s">
        <v>22</v>
      </c>
      <c r="I2286" s="19">
        <v>8</v>
      </c>
      <c r="J2286" s="19">
        <v>0</v>
      </c>
      <c r="K2286" s="19">
        <v>4</v>
      </c>
      <c r="L2286" s="19" t="s">
        <v>75</v>
      </c>
      <c r="M2286" s="21">
        <v>37.6</v>
      </c>
      <c r="N2286">
        <f t="shared" si="35"/>
        <v>0</v>
      </c>
    </row>
    <row r="2287" spans="1:14" x14ac:dyDescent="0.35">
      <c r="A2287" s="22" t="s">
        <v>2357</v>
      </c>
      <c r="B2287" s="23" t="s">
        <v>72</v>
      </c>
      <c r="C2287" s="23">
        <v>12</v>
      </c>
      <c r="D2287" s="24">
        <v>45995</v>
      </c>
      <c r="E2287" s="23" t="s">
        <v>20</v>
      </c>
      <c r="F2287" s="23" t="s">
        <v>14</v>
      </c>
      <c r="G2287" s="23" t="s">
        <v>15</v>
      </c>
      <c r="H2287" s="23" t="s">
        <v>22</v>
      </c>
      <c r="I2287" s="23">
        <v>48</v>
      </c>
      <c r="J2287" s="23">
        <v>2</v>
      </c>
      <c r="K2287" s="23">
        <v>5</v>
      </c>
      <c r="L2287" s="23" t="s">
        <v>8363</v>
      </c>
      <c r="M2287" s="25">
        <v>6</v>
      </c>
      <c r="N2287">
        <f t="shared" si="35"/>
        <v>1</v>
      </c>
    </row>
    <row r="2288" spans="1:14" x14ac:dyDescent="0.35">
      <c r="A2288" s="6" t="s">
        <v>2358</v>
      </c>
      <c r="B2288" s="19" t="s">
        <v>253</v>
      </c>
      <c r="C2288" s="19">
        <v>6</v>
      </c>
      <c r="D2288" s="20">
        <v>45812</v>
      </c>
      <c r="E2288" s="19" t="s">
        <v>25</v>
      </c>
      <c r="F2288" s="19" t="s">
        <v>14</v>
      </c>
      <c r="G2288" s="19" t="s">
        <v>27</v>
      </c>
      <c r="H2288" s="19" t="s">
        <v>22</v>
      </c>
      <c r="I2288" s="19">
        <v>72</v>
      </c>
      <c r="J2288" s="19">
        <v>0</v>
      </c>
      <c r="K2288" s="19">
        <v>4</v>
      </c>
      <c r="L2288" s="19" t="s">
        <v>33</v>
      </c>
      <c r="M2288" s="21">
        <v>7.3</v>
      </c>
      <c r="N2288">
        <f t="shared" si="35"/>
        <v>1</v>
      </c>
    </row>
    <row r="2289" spans="1:14" x14ac:dyDescent="0.35">
      <c r="A2289" s="22" t="s">
        <v>2359</v>
      </c>
      <c r="B2289" s="23" t="s">
        <v>253</v>
      </c>
      <c r="C2289" s="23"/>
      <c r="D2289" s="24"/>
      <c r="E2289" s="23" t="s">
        <v>20</v>
      </c>
      <c r="F2289" s="23" t="s">
        <v>14</v>
      </c>
      <c r="G2289" s="23" t="s">
        <v>21</v>
      </c>
      <c r="H2289" s="23" t="s">
        <v>8364</v>
      </c>
      <c r="I2289" s="23">
        <v>8</v>
      </c>
      <c r="J2289" s="23">
        <v>1</v>
      </c>
      <c r="K2289" s="23">
        <v>5</v>
      </c>
      <c r="L2289" s="23" t="s">
        <v>8363</v>
      </c>
      <c r="M2289" s="25">
        <v>19.8</v>
      </c>
      <c r="N2289">
        <f t="shared" si="35"/>
        <v>0</v>
      </c>
    </row>
    <row r="2290" spans="1:14" x14ac:dyDescent="0.35">
      <c r="A2290" s="6" t="s">
        <v>2360</v>
      </c>
      <c r="B2290" s="19" t="s">
        <v>41</v>
      </c>
      <c r="C2290" s="19"/>
      <c r="D2290" s="20"/>
      <c r="E2290" s="19" t="s">
        <v>13</v>
      </c>
      <c r="F2290" s="19" t="s">
        <v>14</v>
      </c>
      <c r="G2290" s="19" t="s">
        <v>31</v>
      </c>
      <c r="H2290" s="19" t="s">
        <v>22</v>
      </c>
      <c r="I2290" s="19">
        <v>72</v>
      </c>
      <c r="J2290" s="19">
        <v>0</v>
      </c>
      <c r="K2290" s="19">
        <v>4</v>
      </c>
      <c r="L2290" s="19" t="s">
        <v>44</v>
      </c>
      <c r="M2290" s="21">
        <v>6.2</v>
      </c>
      <c r="N2290">
        <f t="shared" si="35"/>
        <v>1</v>
      </c>
    </row>
    <row r="2291" spans="1:14" x14ac:dyDescent="0.35">
      <c r="A2291" s="22" t="s">
        <v>2361</v>
      </c>
      <c r="B2291" s="23" t="s">
        <v>78</v>
      </c>
      <c r="C2291" s="23">
        <v>7</v>
      </c>
      <c r="D2291" s="24">
        <v>45859</v>
      </c>
      <c r="E2291" s="23" t="s">
        <v>36</v>
      </c>
      <c r="F2291" s="23" t="s">
        <v>37</v>
      </c>
      <c r="G2291" s="23" t="s">
        <v>21</v>
      </c>
      <c r="H2291" s="23" t="s">
        <v>32</v>
      </c>
      <c r="I2291" s="23">
        <v>72</v>
      </c>
      <c r="J2291" s="23">
        <v>0</v>
      </c>
      <c r="K2291" s="23">
        <v>3</v>
      </c>
      <c r="L2291" s="23" t="s">
        <v>17</v>
      </c>
      <c r="M2291" s="25">
        <v>26.7</v>
      </c>
      <c r="N2291">
        <f t="shared" si="35"/>
        <v>1</v>
      </c>
    </row>
    <row r="2292" spans="1:14" x14ac:dyDescent="0.35">
      <c r="A2292" s="6" t="s">
        <v>2362</v>
      </c>
      <c r="B2292" s="19" t="s">
        <v>126</v>
      </c>
      <c r="C2292" s="19">
        <v>8</v>
      </c>
      <c r="D2292" s="20">
        <v>45890</v>
      </c>
      <c r="E2292" s="19" t="s">
        <v>25</v>
      </c>
      <c r="F2292" s="19" t="s">
        <v>14</v>
      </c>
      <c r="G2292" s="19" t="s">
        <v>21</v>
      </c>
      <c r="H2292" s="19" t="s">
        <v>32</v>
      </c>
      <c r="I2292" s="19">
        <v>24</v>
      </c>
      <c r="J2292" s="19">
        <v>0</v>
      </c>
      <c r="K2292" s="19">
        <v>4</v>
      </c>
      <c r="L2292" s="19" t="s">
        <v>8363</v>
      </c>
      <c r="M2292" s="21">
        <v>13</v>
      </c>
      <c r="N2292">
        <f t="shared" si="35"/>
        <v>1</v>
      </c>
    </row>
    <row r="2293" spans="1:14" x14ac:dyDescent="0.35">
      <c r="A2293" s="22" t="s">
        <v>2363</v>
      </c>
      <c r="B2293" s="23" t="s">
        <v>53</v>
      </c>
      <c r="C2293" s="23">
        <v>6</v>
      </c>
      <c r="D2293" s="24">
        <v>45834</v>
      </c>
      <c r="E2293" s="23" t="s">
        <v>68</v>
      </c>
      <c r="F2293" s="23" t="s">
        <v>14</v>
      </c>
      <c r="G2293" s="23" t="s">
        <v>31</v>
      </c>
      <c r="H2293" s="23" t="s">
        <v>16</v>
      </c>
      <c r="I2293" s="23">
        <v>4</v>
      </c>
      <c r="J2293" s="23">
        <v>1</v>
      </c>
      <c r="K2293" s="23">
        <v>3</v>
      </c>
      <c r="L2293" s="23" t="s">
        <v>62</v>
      </c>
      <c r="M2293" s="25">
        <v>7.4</v>
      </c>
      <c r="N2293">
        <f t="shared" si="35"/>
        <v>0</v>
      </c>
    </row>
    <row r="2294" spans="1:14" x14ac:dyDescent="0.35">
      <c r="A2294" s="6" t="s">
        <v>2364</v>
      </c>
      <c r="B2294" s="19" t="s">
        <v>89</v>
      </c>
      <c r="C2294" s="19">
        <v>10</v>
      </c>
      <c r="D2294" s="20">
        <v>45954</v>
      </c>
      <c r="E2294" s="19" t="s">
        <v>68</v>
      </c>
      <c r="F2294" s="19" t="s">
        <v>14</v>
      </c>
      <c r="G2294" s="19" t="s">
        <v>8364</v>
      </c>
      <c r="H2294" s="19" t="s">
        <v>28</v>
      </c>
      <c r="I2294" s="19">
        <v>48</v>
      </c>
      <c r="J2294" s="19">
        <v>3</v>
      </c>
      <c r="K2294" s="19"/>
      <c r="L2294" s="19" t="s">
        <v>17</v>
      </c>
      <c r="M2294" s="21">
        <v>8.8000000000000007</v>
      </c>
      <c r="N2294">
        <f t="shared" si="35"/>
        <v>1</v>
      </c>
    </row>
    <row r="2295" spans="1:14" x14ac:dyDescent="0.35">
      <c r="A2295" s="22" t="s">
        <v>2365</v>
      </c>
      <c r="B2295" s="23" t="s">
        <v>99</v>
      </c>
      <c r="C2295" s="23">
        <v>4</v>
      </c>
      <c r="D2295" s="24">
        <v>45759</v>
      </c>
      <c r="E2295" s="23" t="s">
        <v>20</v>
      </c>
      <c r="F2295" s="23" t="s">
        <v>43</v>
      </c>
      <c r="G2295" s="23" t="s">
        <v>27</v>
      </c>
      <c r="H2295" s="23" t="s">
        <v>22</v>
      </c>
      <c r="I2295" s="23">
        <v>24</v>
      </c>
      <c r="J2295" s="23">
        <v>0</v>
      </c>
      <c r="K2295" s="23">
        <v>5</v>
      </c>
      <c r="L2295" s="23" t="s">
        <v>38</v>
      </c>
      <c r="M2295" s="25">
        <v>12.6</v>
      </c>
      <c r="N2295">
        <f t="shared" si="35"/>
        <v>1</v>
      </c>
    </row>
    <row r="2296" spans="1:14" x14ac:dyDescent="0.35">
      <c r="A2296" s="6" t="s">
        <v>2366</v>
      </c>
      <c r="B2296" s="19" t="s">
        <v>181</v>
      </c>
      <c r="C2296" s="19">
        <v>1</v>
      </c>
      <c r="D2296" s="20">
        <v>45676</v>
      </c>
      <c r="E2296" s="19" t="s">
        <v>13</v>
      </c>
      <c r="F2296" s="19" t="s">
        <v>43</v>
      </c>
      <c r="G2296" s="19" t="s">
        <v>15</v>
      </c>
      <c r="H2296" s="19" t="s">
        <v>8364</v>
      </c>
      <c r="I2296" s="19">
        <v>24</v>
      </c>
      <c r="J2296" s="19">
        <v>2</v>
      </c>
      <c r="K2296" s="19">
        <v>5</v>
      </c>
      <c r="L2296" s="19" t="s">
        <v>8363</v>
      </c>
      <c r="M2296" s="21">
        <v>15.8</v>
      </c>
      <c r="N2296">
        <f t="shared" si="35"/>
        <v>1</v>
      </c>
    </row>
    <row r="2297" spans="1:14" x14ac:dyDescent="0.35">
      <c r="A2297" s="22" t="s">
        <v>2367</v>
      </c>
      <c r="B2297" s="23" t="s">
        <v>72</v>
      </c>
      <c r="C2297" s="23">
        <v>2</v>
      </c>
      <c r="D2297" s="24">
        <v>45700</v>
      </c>
      <c r="E2297" s="23" t="s">
        <v>36</v>
      </c>
      <c r="F2297" s="23" t="s">
        <v>59</v>
      </c>
      <c r="G2297" s="23" t="s">
        <v>21</v>
      </c>
      <c r="H2297" s="23" t="s">
        <v>8364</v>
      </c>
      <c r="I2297" s="23">
        <v>4</v>
      </c>
      <c r="J2297" s="23">
        <v>2</v>
      </c>
      <c r="K2297" s="23">
        <v>5</v>
      </c>
      <c r="L2297" s="23" t="s">
        <v>8363</v>
      </c>
      <c r="M2297" s="25">
        <v>6.1</v>
      </c>
      <c r="N2297">
        <f t="shared" si="35"/>
        <v>0</v>
      </c>
    </row>
    <row r="2298" spans="1:14" x14ac:dyDescent="0.35">
      <c r="A2298" s="6" t="s">
        <v>2368</v>
      </c>
      <c r="B2298" s="19" t="s">
        <v>41</v>
      </c>
      <c r="C2298" s="19">
        <v>2</v>
      </c>
      <c r="D2298" s="20">
        <v>45706</v>
      </c>
      <c r="E2298" s="19" t="s">
        <v>36</v>
      </c>
      <c r="F2298" s="19" t="s">
        <v>37</v>
      </c>
      <c r="G2298" s="19" t="s">
        <v>15</v>
      </c>
      <c r="H2298" s="19" t="s">
        <v>32</v>
      </c>
      <c r="I2298" s="19">
        <v>24</v>
      </c>
      <c r="J2298" s="19">
        <v>0</v>
      </c>
      <c r="K2298" s="19">
        <v>5</v>
      </c>
      <c r="L2298" s="19" t="s">
        <v>17</v>
      </c>
      <c r="M2298" s="21">
        <v>15.3</v>
      </c>
      <c r="N2298">
        <f t="shared" si="35"/>
        <v>1</v>
      </c>
    </row>
    <row r="2299" spans="1:14" x14ac:dyDescent="0.35">
      <c r="A2299" s="22" t="s">
        <v>2369</v>
      </c>
      <c r="B2299" s="23" t="s">
        <v>57</v>
      </c>
      <c r="C2299" s="23">
        <v>2</v>
      </c>
      <c r="D2299" s="24">
        <v>45689</v>
      </c>
      <c r="E2299" s="23" t="s">
        <v>13</v>
      </c>
      <c r="F2299" s="23" t="s">
        <v>59</v>
      </c>
      <c r="G2299" s="23" t="s">
        <v>15</v>
      </c>
      <c r="H2299" s="23" t="s">
        <v>22</v>
      </c>
      <c r="I2299" s="23">
        <v>48</v>
      </c>
      <c r="J2299" s="23">
        <v>1</v>
      </c>
      <c r="K2299" s="23">
        <v>4</v>
      </c>
      <c r="L2299" s="23" t="s">
        <v>44</v>
      </c>
      <c r="M2299" s="25">
        <v>12</v>
      </c>
      <c r="N2299">
        <f t="shared" si="35"/>
        <v>1</v>
      </c>
    </row>
    <row r="2300" spans="1:14" x14ac:dyDescent="0.35">
      <c r="A2300" s="6" t="s">
        <v>2370</v>
      </c>
      <c r="B2300" s="19" t="s">
        <v>47</v>
      </c>
      <c r="C2300" s="19">
        <v>12</v>
      </c>
      <c r="D2300" s="20">
        <v>46014</v>
      </c>
      <c r="E2300" s="19" t="s">
        <v>8364</v>
      </c>
      <c r="F2300" s="19" t="s">
        <v>37</v>
      </c>
      <c r="G2300" s="19" t="s">
        <v>31</v>
      </c>
      <c r="H2300" s="19" t="s">
        <v>32</v>
      </c>
      <c r="I2300" s="19">
        <v>72</v>
      </c>
      <c r="J2300" s="19">
        <v>2</v>
      </c>
      <c r="K2300" s="19">
        <v>5</v>
      </c>
      <c r="L2300" s="19" t="s">
        <v>62</v>
      </c>
      <c r="M2300" s="21">
        <v>2.2999999999999998</v>
      </c>
      <c r="N2300">
        <f t="shared" si="35"/>
        <v>1</v>
      </c>
    </row>
    <row r="2301" spans="1:14" x14ac:dyDescent="0.35">
      <c r="A2301" s="22" t="s">
        <v>2371</v>
      </c>
      <c r="B2301" s="23" t="s">
        <v>69</v>
      </c>
      <c r="C2301" s="23">
        <v>1</v>
      </c>
      <c r="D2301" s="24">
        <v>45658</v>
      </c>
      <c r="E2301" s="23" t="s">
        <v>25</v>
      </c>
      <c r="F2301" s="23" t="s">
        <v>43</v>
      </c>
      <c r="G2301" s="23" t="s">
        <v>8364</v>
      </c>
      <c r="H2301" s="23" t="s">
        <v>22</v>
      </c>
      <c r="I2301" s="23">
        <v>48</v>
      </c>
      <c r="J2301" s="23">
        <v>0</v>
      </c>
      <c r="K2301" s="23">
        <v>5</v>
      </c>
      <c r="L2301" s="23" t="s">
        <v>55</v>
      </c>
      <c r="M2301" s="25">
        <v>26.7</v>
      </c>
      <c r="N2301">
        <f t="shared" si="35"/>
        <v>1</v>
      </c>
    </row>
    <row r="2302" spans="1:14" x14ac:dyDescent="0.35">
      <c r="A2302" s="6" t="s">
        <v>2372</v>
      </c>
      <c r="B2302" s="19" t="s">
        <v>92</v>
      </c>
      <c r="C2302" s="19">
        <v>9</v>
      </c>
      <c r="D2302" s="20">
        <v>45907</v>
      </c>
      <c r="E2302" s="19" t="s">
        <v>25</v>
      </c>
      <c r="F2302" s="19" t="s">
        <v>43</v>
      </c>
      <c r="G2302" s="19" t="s">
        <v>31</v>
      </c>
      <c r="H2302" s="19" t="s">
        <v>22</v>
      </c>
      <c r="I2302" s="19">
        <v>24</v>
      </c>
      <c r="J2302" s="19">
        <v>0</v>
      </c>
      <c r="K2302" s="19">
        <v>4</v>
      </c>
      <c r="L2302" s="19" t="s">
        <v>55</v>
      </c>
      <c r="M2302" s="21">
        <v>7.5</v>
      </c>
      <c r="N2302">
        <f t="shared" si="35"/>
        <v>1</v>
      </c>
    </row>
    <row r="2303" spans="1:14" x14ac:dyDescent="0.35">
      <c r="A2303" s="22" t="s">
        <v>2373</v>
      </c>
      <c r="B2303" s="23" t="s">
        <v>97</v>
      </c>
      <c r="C2303" s="23">
        <v>10</v>
      </c>
      <c r="D2303" s="24">
        <v>45932</v>
      </c>
      <c r="E2303" s="23" t="s">
        <v>36</v>
      </c>
      <c r="F2303" s="23" t="s">
        <v>14</v>
      </c>
      <c r="G2303" s="23" t="s">
        <v>31</v>
      </c>
      <c r="H2303" s="23" t="s">
        <v>22</v>
      </c>
      <c r="I2303" s="23">
        <v>24</v>
      </c>
      <c r="J2303" s="23">
        <v>0</v>
      </c>
      <c r="K2303" s="23">
        <v>5</v>
      </c>
      <c r="L2303" s="23" t="s">
        <v>55</v>
      </c>
      <c r="M2303" s="25">
        <v>6.3</v>
      </c>
      <c r="N2303">
        <f t="shared" si="35"/>
        <v>1</v>
      </c>
    </row>
    <row r="2304" spans="1:14" x14ac:dyDescent="0.35">
      <c r="A2304" s="6" t="s">
        <v>2374</v>
      </c>
      <c r="B2304" s="19" t="s">
        <v>47</v>
      </c>
      <c r="C2304" s="19">
        <v>8</v>
      </c>
      <c r="D2304" s="20">
        <v>45893</v>
      </c>
      <c r="E2304" s="19" t="s">
        <v>13</v>
      </c>
      <c r="F2304" s="19" t="s">
        <v>37</v>
      </c>
      <c r="G2304" s="19" t="s">
        <v>27</v>
      </c>
      <c r="H2304" s="19" t="s">
        <v>8364</v>
      </c>
      <c r="I2304" s="19">
        <v>48</v>
      </c>
      <c r="J2304" s="19">
        <v>0</v>
      </c>
      <c r="K2304" s="19">
        <v>5</v>
      </c>
      <c r="L2304" s="19" t="s">
        <v>33</v>
      </c>
      <c r="M2304" s="21">
        <v>17.2</v>
      </c>
      <c r="N2304">
        <f t="shared" si="35"/>
        <v>1</v>
      </c>
    </row>
    <row r="2305" spans="1:14" x14ac:dyDescent="0.35">
      <c r="A2305" s="22" t="s">
        <v>2375</v>
      </c>
      <c r="B2305" s="23" t="s">
        <v>72</v>
      </c>
      <c r="C2305" s="23"/>
      <c r="D2305" s="24"/>
      <c r="E2305" s="23" t="s">
        <v>68</v>
      </c>
      <c r="F2305" s="23" t="s">
        <v>8364</v>
      </c>
      <c r="G2305" s="23" t="s">
        <v>31</v>
      </c>
      <c r="H2305" s="23" t="s">
        <v>22</v>
      </c>
      <c r="I2305" s="23">
        <v>24</v>
      </c>
      <c r="J2305" s="23">
        <v>0</v>
      </c>
      <c r="K2305" s="23">
        <v>5</v>
      </c>
      <c r="L2305" s="23" t="s">
        <v>55</v>
      </c>
      <c r="M2305" s="25">
        <v>5.3</v>
      </c>
      <c r="N2305">
        <f t="shared" si="35"/>
        <v>1</v>
      </c>
    </row>
    <row r="2306" spans="1:14" x14ac:dyDescent="0.35">
      <c r="A2306" s="6" t="s">
        <v>2376</v>
      </c>
      <c r="B2306" s="19" t="s">
        <v>81</v>
      </c>
      <c r="C2306" s="19">
        <v>3</v>
      </c>
      <c r="D2306" s="20">
        <v>45724</v>
      </c>
      <c r="E2306" s="19" t="s">
        <v>68</v>
      </c>
      <c r="F2306" s="19" t="s">
        <v>14</v>
      </c>
      <c r="G2306" s="19" t="s">
        <v>21</v>
      </c>
      <c r="H2306" s="19" t="s">
        <v>22</v>
      </c>
      <c r="I2306" s="19">
        <v>72</v>
      </c>
      <c r="J2306" s="19">
        <v>0</v>
      </c>
      <c r="K2306" s="19">
        <v>3</v>
      </c>
      <c r="L2306" s="19" t="s">
        <v>38</v>
      </c>
      <c r="M2306" s="21">
        <v>23.7</v>
      </c>
      <c r="N2306">
        <f t="shared" si="35"/>
        <v>1</v>
      </c>
    </row>
    <row r="2307" spans="1:14" x14ac:dyDescent="0.35">
      <c r="A2307" s="22" t="s">
        <v>2377</v>
      </c>
      <c r="B2307" s="23" t="s">
        <v>34</v>
      </c>
      <c r="C2307" s="23">
        <v>4</v>
      </c>
      <c r="D2307" s="24">
        <v>45777</v>
      </c>
      <c r="E2307" s="23" t="s">
        <v>13</v>
      </c>
      <c r="F2307" s="23" t="s">
        <v>59</v>
      </c>
      <c r="G2307" s="23" t="s">
        <v>15</v>
      </c>
      <c r="H2307" s="23" t="s">
        <v>22</v>
      </c>
      <c r="I2307" s="23">
        <v>8</v>
      </c>
      <c r="J2307" s="23">
        <v>2</v>
      </c>
      <c r="K2307" s="23">
        <v>5</v>
      </c>
      <c r="L2307" s="23" t="s">
        <v>55</v>
      </c>
      <c r="M2307" s="25">
        <v>27.1</v>
      </c>
      <c r="N2307">
        <f t="shared" ref="N2307:N2370" si="36">IF(M2307 &lt;= I2307, 1, 0)</f>
        <v>0</v>
      </c>
    </row>
    <row r="2308" spans="1:14" x14ac:dyDescent="0.35">
      <c r="A2308" s="6" t="s">
        <v>2378</v>
      </c>
      <c r="B2308" s="19" t="s">
        <v>158</v>
      </c>
      <c r="C2308" s="19">
        <v>2</v>
      </c>
      <c r="D2308" s="20">
        <v>45698</v>
      </c>
      <c r="E2308" s="19" t="s">
        <v>25</v>
      </c>
      <c r="F2308" s="19" t="s">
        <v>14</v>
      </c>
      <c r="G2308" s="19" t="s">
        <v>21</v>
      </c>
      <c r="H2308" s="19" t="s">
        <v>8364</v>
      </c>
      <c r="I2308" s="19">
        <v>48</v>
      </c>
      <c r="J2308" s="19">
        <v>0</v>
      </c>
      <c r="K2308" s="19">
        <v>3</v>
      </c>
      <c r="L2308" s="19" t="s">
        <v>75</v>
      </c>
      <c r="M2308" s="21">
        <v>20.5</v>
      </c>
      <c r="N2308">
        <f t="shared" si="36"/>
        <v>1</v>
      </c>
    </row>
    <row r="2309" spans="1:14" x14ac:dyDescent="0.35">
      <c r="A2309" s="22" t="s">
        <v>2379</v>
      </c>
      <c r="B2309" s="23" t="s">
        <v>104</v>
      </c>
      <c r="C2309" s="23"/>
      <c r="D2309" s="24"/>
      <c r="E2309" s="23" t="s">
        <v>25</v>
      </c>
      <c r="F2309" s="23" t="s">
        <v>26</v>
      </c>
      <c r="G2309" s="23" t="s">
        <v>21</v>
      </c>
      <c r="H2309" s="23" t="s">
        <v>22</v>
      </c>
      <c r="I2309" s="23">
        <v>8</v>
      </c>
      <c r="J2309" s="23">
        <v>0</v>
      </c>
      <c r="K2309" s="23">
        <v>5</v>
      </c>
      <c r="L2309" s="23" t="s">
        <v>75</v>
      </c>
      <c r="M2309" s="25">
        <v>1.7</v>
      </c>
      <c r="N2309">
        <f t="shared" si="36"/>
        <v>1</v>
      </c>
    </row>
    <row r="2310" spans="1:14" x14ac:dyDescent="0.35">
      <c r="A2310" s="6" t="s">
        <v>2380</v>
      </c>
      <c r="B2310" s="19" t="s">
        <v>53</v>
      </c>
      <c r="C2310" s="19">
        <v>4</v>
      </c>
      <c r="D2310" s="20">
        <v>45752</v>
      </c>
      <c r="E2310" s="19" t="s">
        <v>36</v>
      </c>
      <c r="F2310" s="19" t="s">
        <v>14</v>
      </c>
      <c r="G2310" s="19" t="s">
        <v>31</v>
      </c>
      <c r="H2310" s="19" t="s">
        <v>22</v>
      </c>
      <c r="I2310" s="19">
        <v>24</v>
      </c>
      <c r="J2310" s="19">
        <v>2</v>
      </c>
      <c r="K2310" s="19">
        <v>4</v>
      </c>
      <c r="L2310" s="19" t="s">
        <v>17</v>
      </c>
      <c r="M2310" s="21">
        <v>10.4</v>
      </c>
      <c r="N2310">
        <f t="shared" si="36"/>
        <v>1</v>
      </c>
    </row>
    <row r="2311" spans="1:14" x14ac:dyDescent="0.35">
      <c r="A2311" s="22" t="s">
        <v>2381</v>
      </c>
      <c r="B2311" s="23" t="s">
        <v>57</v>
      </c>
      <c r="C2311" s="23">
        <v>9</v>
      </c>
      <c r="D2311" s="24">
        <v>45915</v>
      </c>
      <c r="E2311" s="23" t="s">
        <v>13</v>
      </c>
      <c r="F2311" s="23" t="s">
        <v>43</v>
      </c>
      <c r="G2311" s="23" t="s">
        <v>8364</v>
      </c>
      <c r="H2311" s="23" t="s">
        <v>32</v>
      </c>
      <c r="I2311" s="23">
        <v>72</v>
      </c>
      <c r="J2311" s="23">
        <v>0</v>
      </c>
      <c r="K2311" s="23">
        <v>5</v>
      </c>
      <c r="L2311" s="23" t="s">
        <v>38</v>
      </c>
      <c r="M2311" s="25">
        <v>34.799999999999997</v>
      </c>
      <c r="N2311">
        <f t="shared" si="36"/>
        <v>1</v>
      </c>
    </row>
    <row r="2312" spans="1:14" x14ac:dyDescent="0.35">
      <c r="A2312" s="6" t="s">
        <v>2382</v>
      </c>
      <c r="B2312" s="19" t="s">
        <v>97</v>
      </c>
      <c r="C2312" s="19">
        <v>11</v>
      </c>
      <c r="D2312" s="20">
        <v>45964</v>
      </c>
      <c r="E2312" s="19" t="s">
        <v>68</v>
      </c>
      <c r="F2312" s="19" t="s">
        <v>14</v>
      </c>
      <c r="G2312" s="19" t="s">
        <v>27</v>
      </c>
      <c r="H2312" s="19" t="s">
        <v>22</v>
      </c>
      <c r="I2312" s="19">
        <v>24</v>
      </c>
      <c r="J2312" s="19">
        <v>0</v>
      </c>
      <c r="K2312" s="19">
        <v>4</v>
      </c>
      <c r="L2312" s="19" t="s">
        <v>33</v>
      </c>
      <c r="M2312" s="21">
        <v>11.9</v>
      </c>
      <c r="N2312">
        <f t="shared" si="36"/>
        <v>1</v>
      </c>
    </row>
    <row r="2313" spans="1:14" x14ac:dyDescent="0.35">
      <c r="A2313" s="22" t="s">
        <v>2383</v>
      </c>
      <c r="B2313" s="23" t="s">
        <v>89</v>
      </c>
      <c r="C2313" s="23">
        <v>3</v>
      </c>
      <c r="D2313" s="24">
        <v>45734</v>
      </c>
      <c r="E2313" s="23" t="s">
        <v>13</v>
      </c>
      <c r="F2313" s="23" t="s">
        <v>8364</v>
      </c>
      <c r="G2313" s="23" t="s">
        <v>15</v>
      </c>
      <c r="H2313" s="23" t="s">
        <v>8364</v>
      </c>
      <c r="I2313" s="23">
        <v>24</v>
      </c>
      <c r="J2313" s="23">
        <v>2</v>
      </c>
      <c r="K2313" s="23">
        <v>5</v>
      </c>
      <c r="L2313" s="23" t="s">
        <v>75</v>
      </c>
      <c r="M2313" s="25">
        <v>6.6</v>
      </c>
      <c r="N2313">
        <f t="shared" si="36"/>
        <v>1</v>
      </c>
    </row>
    <row r="2314" spans="1:14" x14ac:dyDescent="0.35">
      <c r="A2314" s="6" t="s">
        <v>2384</v>
      </c>
      <c r="B2314" s="19" t="s">
        <v>236</v>
      </c>
      <c r="C2314" s="19">
        <v>5</v>
      </c>
      <c r="D2314" s="20">
        <v>45782</v>
      </c>
      <c r="E2314" s="19" t="s">
        <v>8364</v>
      </c>
      <c r="F2314" s="19" t="s">
        <v>26</v>
      </c>
      <c r="G2314" s="19" t="s">
        <v>31</v>
      </c>
      <c r="H2314" s="19" t="s">
        <v>8364</v>
      </c>
      <c r="I2314" s="19">
        <v>72</v>
      </c>
      <c r="J2314" s="19">
        <v>0</v>
      </c>
      <c r="K2314" s="19">
        <v>4</v>
      </c>
      <c r="L2314" s="19" t="s">
        <v>44</v>
      </c>
      <c r="M2314" s="21">
        <v>19</v>
      </c>
      <c r="N2314">
        <f t="shared" si="36"/>
        <v>1</v>
      </c>
    </row>
    <row r="2315" spans="1:14" x14ac:dyDescent="0.35">
      <c r="A2315" s="22" t="s">
        <v>2385</v>
      </c>
      <c r="B2315" s="23" t="s">
        <v>41</v>
      </c>
      <c r="C2315" s="23">
        <v>11</v>
      </c>
      <c r="D2315" s="24">
        <v>45977</v>
      </c>
      <c r="E2315" s="23" t="s">
        <v>8364</v>
      </c>
      <c r="F2315" s="23" t="s">
        <v>14</v>
      </c>
      <c r="G2315" s="23" t="s">
        <v>31</v>
      </c>
      <c r="H2315" s="23" t="s">
        <v>32</v>
      </c>
      <c r="I2315" s="23">
        <v>48</v>
      </c>
      <c r="J2315" s="23">
        <v>2</v>
      </c>
      <c r="K2315" s="23">
        <v>1</v>
      </c>
      <c r="L2315" s="23" t="s">
        <v>62</v>
      </c>
      <c r="M2315" s="25">
        <v>17.5</v>
      </c>
      <c r="N2315">
        <f t="shared" si="36"/>
        <v>1</v>
      </c>
    </row>
    <row r="2316" spans="1:14" x14ac:dyDescent="0.35">
      <c r="A2316" s="6" t="s">
        <v>2386</v>
      </c>
      <c r="B2316" s="19" t="s">
        <v>89</v>
      </c>
      <c r="C2316" s="19">
        <v>10</v>
      </c>
      <c r="D2316" s="20">
        <v>45953</v>
      </c>
      <c r="E2316" s="19" t="s">
        <v>13</v>
      </c>
      <c r="F2316" s="19" t="s">
        <v>59</v>
      </c>
      <c r="G2316" s="19" t="s">
        <v>31</v>
      </c>
      <c r="H2316" s="19" t="s">
        <v>22</v>
      </c>
      <c r="I2316" s="19">
        <v>72</v>
      </c>
      <c r="J2316" s="19">
        <v>1</v>
      </c>
      <c r="K2316" s="19">
        <v>1</v>
      </c>
      <c r="L2316" s="19" t="s">
        <v>55</v>
      </c>
      <c r="M2316" s="21">
        <v>1.7</v>
      </c>
      <c r="N2316">
        <f t="shared" si="36"/>
        <v>1</v>
      </c>
    </row>
    <row r="2317" spans="1:14" x14ac:dyDescent="0.35">
      <c r="A2317" s="22" t="s">
        <v>2387</v>
      </c>
      <c r="B2317" s="23" t="s">
        <v>34</v>
      </c>
      <c r="C2317" s="23">
        <v>5</v>
      </c>
      <c r="D2317" s="24">
        <v>45781</v>
      </c>
      <c r="E2317" s="23" t="s">
        <v>8364</v>
      </c>
      <c r="F2317" s="23" t="s">
        <v>14</v>
      </c>
      <c r="G2317" s="23" t="s">
        <v>27</v>
      </c>
      <c r="H2317" s="23" t="s">
        <v>22</v>
      </c>
      <c r="I2317" s="23">
        <v>8</v>
      </c>
      <c r="J2317" s="23">
        <v>1</v>
      </c>
      <c r="K2317" s="23">
        <v>4</v>
      </c>
      <c r="L2317" s="23" t="s">
        <v>33</v>
      </c>
      <c r="M2317" s="25">
        <v>19.399999999999999</v>
      </c>
      <c r="N2317">
        <f t="shared" si="36"/>
        <v>0</v>
      </c>
    </row>
    <row r="2318" spans="1:14" x14ac:dyDescent="0.35">
      <c r="A2318" s="6" t="s">
        <v>2388</v>
      </c>
      <c r="B2318" s="19" t="s">
        <v>108</v>
      </c>
      <c r="C2318" s="19">
        <v>2</v>
      </c>
      <c r="D2318" s="20">
        <v>45710</v>
      </c>
      <c r="E2318" s="19" t="s">
        <v>25</v>
      </c>
      <c r="F2318" s="19" t="s">
        <v>37</v>
      </c>
      <c r="G2318" s="19" t="s">
        <v>15</v>
      </c>
      <c r="H2318" s="19" t="s">
        <v>16</v>
      </c>
      <c r="I2318" s="19">
        <v>4</v>
      </c>
      <c r="J2318" s="19">
        <v>0</v>
      </c>
      <c r="K2318" s="19">
        <v>4</v>
      </c>
      <c r="L2318" s="19" t="s">
        <v>17</v>
      </c>
      <c r="M2318" s="21">
        <v>7.1</v>
      </c>
      <c r="N2318">
        <f t="shared" si="36"/>
        <v>0</v>
      </c>
    </row>
    <row r="2319" spans="1:14" x14ac:dyDescent="0.35">
      <c r="A2319" s="22" t="s">
        <v>2389</v>
      </c>
      <c r="B2319" s="23" t="s">
        <v>81</v>
      </c>
      <c r="C2319" s="23">
        <v>2</v>
      </c>
      <c r="D2319" s="24">
        <v>45693</v>
      </c>
      <c r="E2319" s="23" t="s">
        <v>68</v>
      </c>
      <c r="F2319" s="23" t="s">
        <v>59</v>
      </c>
      <c r="G2319" s="23" t="s">
        <v>31</v>
      </c>
      <c r="H2319" s="23" t="s">
        <v>22</v>
      </c>
      <c r="I2319" s="23">
        <v>8</v>
      </c>
      <c r="J2319" s="23">
        <v>2</v>
      </c>
      <c r="K2319" s="23">
        <v>4</v>
      </c>
      <c r="L2319" s="23" t="s">
        <v>75</v>
      </c>
      <c r="M2319" s="25">
        <v>3.4</v>
      </c>
      <c r="N2319">
        <f t="shared" si="36"/>
        <v>1</v>
      </c>
    </row>
    <row r="2320" spans="1:14" x14ac:dyDescent="0.35">
      <c r="A2320" s="6" t="s">
        <v>2390</v>
      </c>
      <c r="B2320" s="19" t="s">
        <v>53</v>
      </c>
      <c r="C2320" s="19">
        <v>6</v>
      </c>
      <c r="D2320" s="20">
        <v>45814</v>
      </c>
      <c r="E2320" s="19" t="s">
        <v>13</v>
      </c>
      <c r="F2320" s="19" t="s">
        <v>43</v>
      </c>
      <c r="G2320" s="19" t="s">
        <v>27</v>
      </c>
      <c r="H2320" s="19" t="s">
        <v>32</v>
      </c>
      <c r="I2320" s="19">
        <v>8</v>
      </c>
      <c r="J2320" s="19">
        <v>0</v>
      </c>
      <c r="K2320" s="19">
        <v>5</v>
      </c>
      <c r="L2320" s="19" t="s">
        <v>8363</v>
      </c>
      <c r="M2320" s="21">
        <v>15.3</v>
      </c>
      <c r="N2320">
        <f t="shared" si="36"/>
        <v>0</v>
      </c>
    </row>
    <row r="2321" spans="1:14" x14ac:dyDescent="0.35">
      <c r="A2321" s="22" t="s">
        <v>2391</v>
      </c>
      <c r="B2321" s="23" t="s">
        <v>41</v>
      </c>
      <c r="C2321" s="23">
        <v>11</v>
      </c>
      <c r="D2321" s="24">
        <v>45987</v>
      </c>
      <c r="E2321" s="23" t="s">
        <v>20</v>
      </c>
      <c r="F2321" s="23" t="s">
        <v>43</v>
      </c>
      <c r="G2321" s="23" t="s">
        <v>21</v>
      </c>
      <c r="H2321" s="23" t="s">
        <v>32</v>
      </c>
      <c r="I2321" s="23">
        <v>8</v>
      </c>
      <c r="J2321" s="23">
        <v>0</v>
      </c>
      <c r="K2321" s="23">
        <v>4</v>
      </c>
      <c r="L2321" s="23" t="s">
        <v>62</v>
      </c>
      <c r="M2321" s="25">
        <v>14.9</v>
      </c>
      <c r="N2321">
        <f t="shared" si="36"/>
        <v>0</v>
      </c>
    </row>
    <row r="2322" spans="1:14" x14ac:dyDescent="0.35">
      <c r="A2322" s="6" t="s">
        <v>2392</v>
      </c>
      <c r="B2322" s="19" t="s">
        <v>41</v>
      </c>
      <c r="C2322" s="19">
        <v>7</v>
      </c>
      <c r="D2322" s="20">
        <v>45839</v>
      </c>
      <c r="E2322" s="19" t="s">
        <v>36</v>
      </c>
      <c r="F2322" s="19" t="s">
        <v>43</v>
      </c>
      <c r="G2322" s="19" t="s">
        <v>15</v>
      </c>
      <c r="H2322" s="19" t="s">
        <v>8364</v>
      </c>
      <c r="I2322" s="19">
        <v>48</v>
      </c>
      <c r="J2322" s="19">
        <v>2</v>
      </c>
      <c r="K2322" s="19">
        <v>3</v>
      </c>
      <c r="L2322" s="19" t="s">
        <v>17</v>
      </c>
      <c r="M2322" s="21">
        <v>22.6</v>
      </c>
      <c r="N2322">
        <f t="shared" si="36"/>
        <v>1</v>
      </c>
    </row>
    <row r="2323" spans="1:14" x14ac:dyDescent="0.35">
      <c r="A2323" s="22" t="s">
        <v>2393</v>
      </c>
      <c r="B2323" s="23" t="s">
        <v>65</v>
      </c>
      <c r="C2323" s="23">
        <v>12</v>
      </c>
      <c r="D2323" s="24">
        <v>45998</v>
      </c>
      <c r="E2323" s="23" t="s">
        <v>20</v>
      </c>
      <c r="F2323" s="23" t="s">
        <v>14</v>
      </c>
      <c r="G2323" s="23" t="s">
        <v>27</v>
      </c>
      <c r="H2323" s="23" t="s">
        <v>16</v>
      </c>
      <c r="I2323" s="23">
        <v>8</v>
      </c>
      <c r="J2323" s="23">
        <v>0</v>
      </c>
      <c r="K2323" s="23">
        <v>1</v>
      </c>
      <c r="L2323" s="23" t="s">
        <v>75</v>
      </c>
      <c r="M2323" s="25">
        <v>13</v>
      </c>
      <c r="N2323">
        <f t="shared" si="36"/>
        <v>0</v>
      </c>
    </row>
    <row r="2324" spans="1:14" x14ac:dyDescent="0.35">
      <c r="A2324" s="6" t="s">
        <v>2394</v>
      </c>
      <c r="B2324" s="19" t="s">
        <v>45</v>
      </c>
      <c r="C2324" s="19">
        <v>9</v>
      </c>
      <c r="D2324" s="20">
        <v>45901</v>
      </c>
      <c r="E2324" s="19" t="s">
        <v>20</v>
      </c>
      <c r="F2324" s="19" t="s">
        <v>43</v>
      </c>
      <c r="G2324" s="19" t="s">
        <v>31</v>
      </c>
      <c r="H2324" s="19" t="s">
        <v>32</v>
      </c>
      <c r="I2324" s="19">
        <v>4</v>
      </c>
      <c r="J2324" s="19">
        <v>0</v>
      </c>
      <c r="K2324" s="19">
        <v>3</v>
      </c>
      <c r="L2324" s="19" t="s">
        <v>62</v>
      </c>
      <c r="M2324" s="21">
        <v>11.4</v>
      </c>
      <c r="N2324">
        <f t="shared" si="36"/>
        <v>0</v>
      </c>
    </row>
    <row r="2325" spans="1:14" x14ac:dyDescent="0.35">
      <c r="A2325" s="22" t="s">
        <v>2395</v>
      </c>
      <c r="B2325" s="23" t="s">
        <v>146</v>
      </c>
      <c r="C2325" s="23">
        <v>3</v>
      </c>
      <c r="D2325" s="24">
        <v>45734</v>
      </c>
      <c r="E2325" s="23" t="s">
        <v>8364</v>
      </c>
      <c r="F2325" s="23" t="s">
        <v>8364</v>
      </c>
      <c r="G2325" s="23" t="s">
        <v>15</v>
      </c>
      <c r="H2325" s="23" t="s">
        <v>16</v>
      </c>
      <c r="I2325" s="23">
        <v>8</v>
      </c>
      <c r="J2325" s="23">
        <v>2</v>
      </c>
      <c r="K2325" s="23">
        <v>5</v>
      </c>
      <c r="L2325" s="23" t="s">
        <v>55</v>
      </c>
      <c r="M2325" s="25"/>
      <c r="N2325">
        <f t="shared" si="36"/>
        <v>1</v>
      </c>
    </row>
    <row r="2326" spans="1:14" x14ac:dyDescent="0.35">
      <c r="A2326" s="6" t="s">
        <v>2396</v>
      </c>
      <c r="B2326" s="19" t="s">
        <v>146</v>
      </c>
      <c r="C2326" s="19">
        <v>3</v>
      </c>
      <c r="D2326" s="20">
        <v>45747</v>
      </c>
      <c r="E2326" s="19" t="s">
        <v>13</v>
      </c>
      <c r="F2326" s="19" t="s">
        <v>43</v>
      </c>
      <c r="G2326" s="19" t="s">
        <v>31</v>
      </c>
      <c r="H2326" s="19" t="s">
        <v>22</v>
      </c>
      <c r="I2326" s="19">
        <v>48</v>
      </c>
      <c r="J2326" s="19">
        <v>0</v>
      </c>
      <c r="K2326" s="19">
        <v>4</v>
      </c>
      <c r="L2326" s="19" t="s">
        <v>75</v>
      </c>
      <c r="M2326" s="21">
        <v>13.8</v>
      </c>
      <c r="N2326">
        <f t="shared" si="36"/>
        <v>1</v>
      </c>
    </row>
    <row r="2327" spans="1:14" x14ac:dyDescent="0.35">
      <c r="A2327" s="22" t="s">
        <v>2397</v>
      </c>
      <c r="B2327" s="23" t="s">
        <v>39</v>
      </c>
      <c r="C2327" s="23">
        <v>12</v>
      </c>
      <c r="D2327" s="24">
        <v>46012</v>
      </c>
      <c r="E2327" s="23" t="s">
        <v>25</v>
      </c>
      <c r="F2327" s="23" t="s">
        <v>14</v>
      </c>
      <c r="G2327" s="23" t="s">
        <v>31</v>
      </c>
      <c r="H2327" s="23" t="s">
        <v>28</v>
      </c>
      <c r="I2327" s="23">
        <v>24</v>
      </c>
      <c r="J2327" s="23">
        <v>0</v>
      </c>
      <c r="K2327" s="23">
        <v>2</v>
      </c>
      <c r="L2327" s="23" t="s">
        <v>17</v>
      </c>
      <c r="M2327" s="25">
        <v>8.3000000000000007</v>
      </c>
      <c r="N2327">
        <f t="shared" si="36"/>
        <v>1</v>
      </c>
    </row>
    <row r="2328" spans="1:14" x14ac:dyDescent="0.35">
      <c r="A2328" s="6" t="s">
        <v>2398</v>
      </c>
      <c r="B2328" s="19" t="s">
        <v>34</v>
      </c>
      <c r="C2328" s="19">
        <v>11</v>
      </c>
      <c r="D2328" s="20">
        <v>45963</v>
      </c>
      <c r="E2328" s="19" t="s">
        <v>25</v>
      </c>
      <c r="F2328" s="19" t="s">
        <v>59</v>
      </c>
      <c r="G2328" s="19" t="s">
        <v>27</v>
      </c>
      <c r="H2328" s="19" t="s">
        <v>28</v>
      </c>
      <c r="I2328" s="19">
        <v>8</v>
      </c>
      <c r="J2328" s="19">
        <v>1</v>
      </c>
      <c r="K2328" s="19">
        <v>5</v>
      </c>
      <c r="L2328" s="19" t="s">
        <v>8363</v>
      </c>
      <c r="M2328" s="21">
        <v>18.2</v>
      </c>
      <c r="N2328">
        <f t="shared" si="36"/>
        <v>0</v>
      </c>
    </row>
    <row r="2329" spans="1:14" x14ac:dyDescent="0.35">
      <c r="A2329" s="22" t="s">
        <v>2399</v>
      </c>
      <c r="B2329" s="23" t="s">
        <v>39</v>
      </c>
      <c r="C2329" s="23"/>
      <c r="D2329" s="24"/>
      <c r="E2329" s="23" t="s">
        <v>68</v>
      </c>
      <c r="F2329" s="23" t="s">
        <v>8364</v>
      </c>
      <c r="G2329" s="23" t="s">
        <v>27</v>
      </c>
      <c r="H2329" s="23" t="s">
        <v>28</v>
      </c>
      <c r="I2329" s="23">
        <v>4</v>
      </c>
      <c r="J2329" s="23">
        <v>0</v>
      </c>
      <c r="K2329" s="23">
        <v>5</v>
      </c>
      <c r="L2329" s="23" t="s">
        <v>62</v>
      </c>
      <c r="M2329" s="25">
        <v>21.3</v>
      </c>
      <c r="N2329">
        <f t="shared" si="36"/>
        <v>0</v>
      </c>
    </row>
    <row r="2330" spans="1:14" x14ac:dyDescent="0.35">
      <c r="A2330" s="6" t="s">
        <v>2400</v>
      </c>
      <c r="B2330" s="19" t="s">
        <v>29</v>
      </c>
      <c r="C2330" s="19">
        <v>1</v>
      </c>
      <c r="D2330" s="20">
        <v>45680</v>
      </c>
      <c r="E2330" s="19" t="s">
        <v>36</v>
      </c>
      <c r="F2330" s="19" t="s">
        <v>26</v>
      </c>
      <c r="G2330" s="19" t="s">
        <v>27</v>
      </c>
      <c r="H2330" s="19" t="s">
        <v>22</v>
      </c>
      <c r="I2330" s="19">
        <v>72</v>
      </c>
      <c r="J2330" s="19">
        <v>0</v>
      </c>
      <c r="K2330" s="19">
        <v>2</v>
      </c>
      <c r="L2330" s="19" t="s">
        <v>62</v>
      </c>
      <c r="M2330" s="21">
        <v>30.8</v>
      </c>
      <c r="N2330">
        <f t="shared" si="36"/>
        <v>1</v>
      </c>
    </row>
    <row r="2331" spans="1:14" x14ac:dyDescent="0.35">
      <c r="A2331" s="22" t="s">
        <v>2401</v>
      </c>
      <c r="B2331" s="23" t="s">
        <v>181</v>
      </c>
      <c r="C2331" s="23">
        <v>5</v>
      </c>
      <c r="D2331" s="24">
        <v>45791</v>
      </c>
      <c r="E2331" s="23" t="s">
        <v>13</v>
      </c>
      <c r="F2331" s="23" t="s">
        <v>14</v>
      </c>
      <c r="G2331" s="23" t="s">
        <v>8364</v>
      </c>
      <c r="H2331" s="23" t="s">
        <v>22</v>
      </c>
      <c r="I2331" s="23">
        <v>4</v>
      </c>
      <c r="J2331" s="23">
        <v>0</v>
      </c>
      <c r="K2331" s="23">
        <v>2</v>
      </c>
      <c r="L2331" s="23" t="s">
        <v>8363</v>
      </c>
      <c r="M2331" s="25">
        <v>6</v>
      </c>
      <c r="N2331">
        <f t="shared" si="36"/>
        <v>0</v>
      </c>
    </row>
    <row r="2332" spans="1:14" x14ac:dyDescent="0.35">
      <c r="A2332" s="6" t="s">
        <v>2402</v>
      </c>
      <c r="B2332" s="19" t="s">
        <v>104</v>
      </c>
      <c r="C2332" s="19">
        <v>4</v>
      </c>
      <c r="D2332" s="20">
        <v>45766</v>
      </c>
      <c r="E2332" s="19" t="s">
        <v>68</v>
      </c>
      <c r="F2332" s="19" t="s">
        <v>59</v>
      </c>
      <c r="G2332" s="19" t="s">
        <v>21</v>
      </c>
      <c r="H2332" s="19" t="s">
        <v>22</v>
      </c>
      <c r="I2332" s="19">
        <v>8</v>
      </c>
      <c r="J2332" s="19">
        <v>0</v>
      </c>
      <c r="K2332" s="19">
        <v>5</v>
      </c>
      <c r="L2332" s="19" t="s">
        <v>62</v>
      </c>
      <c r="M2332" s="21">
        <v>24.3</v>
      </c>
      <c r="N2332">
        <f t="shared" si="36"/>
        <v>0</v>
      </c>
    </row>
    <row r="2333" spans="1:14" x14ac:dyDescent="0.35">
      <c r="A2333" s="22" t="s">
        <v>2403</v>
      </c>
      <c r="B2333" s="23" t="s">
        <v>146</v>
      </c>
      <c r="C2333" s="23">
        <v>7</v>
      </c>
      <c r="D2333" s="24">
        <v>45848</v>
      </c>
      <c r="E2333" s="23" t="s">
        <v>25</v>
      </c>
      <c r="F2333" s="23" t="s">
        <v>40</v>
      </c>
      <c r="G2333" s="23" t="s">
        <v>15</v>
      </c>
      <c r="H2333" s="23" t="s">
        <v>8364</v>
      </c>
      <c r="I2333" s="23">
        <v>48</v>
      </c>
      <c r="J2333" s="23">
        <v>2</v>
      </c>
      <c r="K2333" s="23">
        <v>2</v>
      </c>
      <c r="L2333" s="23" t="s">
        <v>8363</v>
      </c>
      <c r="M2333" s="25">
        <v>10.9</v>
      </c>
      <c r="N2333">
        <f t="shared" si="36"/>
        <v>1</v>
      </c>
    </row>
    <row r="2334" spans="1:14" x14ac:dyDescent="0.35">
      <c r="A2334" s="6" t="s">
        <v>2404</v>
      </c>
      <c r="B2334" s="19" t="s">
        <v>65</v>
      </c>
      <c r="C2334" s="19">
        <v>9</v>
      </c>
      <c r="D2334" s="20">
        <v>45905</v>
      </c>
      <c r="E2334" s="19" t="s">
        <v>13</v>
      </c>
      <c r="F2334" s="19" t="s">
        <v>14</v>
      </c>
      <c r="G2334" s="19" t="s">
        <v>31</v>
      </c>
      <c r="H2334" s="19" t="s">
        <v>8364</v>
      </c>
      <c r="I2334" s="19">
        <v>24</v>
      </c>
      <c r="J2334" s="19">
        <v>0</v>
      </c>
      <c r="K2334" s="19">
        <v>3</v>
      </c>
      <c r="L2334" s="19" t="s">
        <v>17</v>
      </c>
      <c r="M2334" s="21">
        <v>18.399999999999999</v>
      </c>
      <c r="N2334">
        <f t="shared" si="36"/>
        <v>1</v>
      </c>
    </row>
    <row r="2335" spans="1:14" x14ac:dyDescent="0.35">
      <c r="A2335" s="22" t="s">
        <v>2405</v>
      </c>
      <c r="B2335" s="23" t="s">
        <v>104</v>
      </c>
      <c r="C2335" s="23">
        <v>5</v>
      </c>
      <c r="D2335" s="24">
        <v>45796</v>
      </c>
      <c r="E2335" s="23" t="s">
        <v>20</v>
      </c>
      <c r="F2335" s="23" t="s">
        <v>14</v>
      </c>
      <c r="G2335" s="23" t="s">
        <v>8364</v>
      </c>
      <c r="H2335" s="23" t="s">
        <v>28</v>
      </c>
      <c r="I2335" s="23">
        <v>8</v>
      </c>
      <c r="J2335" s="23">
        <v>0</v>
      </c>
      <c r="K2335" s="23">
        <v>2</v>
      </c>
      <c r="L2335" s="23" t="s">
        <v>38</v>
      </c>
      <c r="M2335" s="25">
        <v>0.9</v>
      </c>
      <c r="N2335">
        <f t="shared" si="36"/>
        <v>1</v>
      </c>
    </row>
    <row r="2336" spans="1:14" x14ac:dyDescent="0.35">
      <c r="A2336" s="6" t="s">
        <v>2406</v>
      </c>
      <c r="B2336" s="19" t="s">
        <v>99</v>
      </c>
      <c r="C2336" s="19">
        <v>12</v>
      </c>
      <c r="D2336" s="20">
        <v>45996</v>
      </c>
      <c r="E2336" s="19" t="s">
        <v>20</v>
      </c>
      <c r="F2336" s="19" t="s">
        <v>37</v>
      </c>
      <c r="G2336" s="19" t="s">
        <v>31</v>
      </c>
      <c r="H2336" s="19" t="s">
        <v>32</v>
      </c>
      <c r="I2336" s="19">
        <v>8</v>
      </c>
      <c r="J2336" s="19">
        <v>0</v>
      </c>
      <c r="K2336" s="19">
        <v>3</v>
      </c>
      <c r="L2336" s="19" t="s">
        <v>33</v>
      </c>
      <c r="M2336" s="21">
        <v>12.3</v>
      </c>
      <c r="N2336">
        <f t="shared" si="36"/>
        <v>0</v>
      </c>
    </row>
    <row r="2337" spans="1:14" x14ac:dyDescent="0.35">
      <c r="A2337" s="22" t="s">
        <v>2407</v>
      </c>
      <c r="B2337" s="23" t="s">
        <v>143</v>
      </c>
      <c r="C2337" s="23">
        <v>1</v>
      </c>
      <c r="D2337" s="24">
        <v>45659</v>
      </c>
      <c r="E2337" s="23" t="s">
        <v>13</v>
      </c>
      <c r="F2337" s="23" t="s">
        <v>59</v>
      </c>
      <c r="G2337" s="23" t="s">
        <v>31</v>
      </c>
      <c r="H2337" s="23" t="s">
        <v>22</v>
      </c>
      <c r="I2337" s="23">
        <v>72</v>
      </c>
      <c r="J2337" s="23">
        <v>1</v>
      </c>
      <c r="K2337" s="23">
        <v>2</v>
      </c>
      <c r="L2337" s="23" t="s">
        <v>44</v>
      </c>
      <c r="M2337" s="25">
        <v>14.1</v>
      </c>
      <c r="N2337">
        <f t="shared" si="36"/>
        <v>1</v>
      </c>
    </row>
    <row r="2338" spans="1:14" x14ac:dyDescent="0.35">
      <c r="A2338" s="6" t="s">
        <v>2408</v>
      </c>
      <c r="B2338" s="19" t="s">
        <v>47</v>
      </c>
      <c r="C2338" s="19"/>
      <c r="D2338" s="20"/>
      <c r="E2338" s="19" t="s">
        <v>8364</v>
      </c>
      <c r="F2338" s="19" t="s">
        <v>40</v>
      </c>
      <c r="G2338" s="19" t="s">
        <v>31</v>
      </c>
      <c r="H2338" s="19" t="s">
        <v>28</v>
      </c>
      <c r="I2338" s="19">
        <v>8</v>
      </c>
      <c r="J2338" s="19">
        <v>1</v>
      </c>
      <c r="K2338" s="19">
        <v>2</v>
      </c>
      <c r="L2338" s="19" t="s">
        <v>33</v>
      </c>
      <c r="M2338" s="21">
        <v>24.3</v>
      </c>
      <c r="N2338">
        <f t="shared" si="36"/>
        <v>0</v>
      </c>
    </row>
    <row r="2339" spans="1:14" x14ac:dyDescent="0.35">
      <c r="A2339" s="22" t="s">
        <v>2409</v>
      </c>
      <c r="B2339" s="23" t="s">
        <v>65</v>
      </c>
      <c r="C2339" s="23">
        <v>3</v>
      </c>
      <c r="D2339" s="24">
        <v>45736</v>
      </c>
      <c r="E2339" s="23" t="s">
        <v>20</v>
      </c>
      <c r="F2339" s="23" t="s">
        <v>14</v>
      </c>
      <c r="G2339" s="23" t="s">
        <v>27</v>
      </c>
      <c r="H2339" s="23" t="s">
        <v>8364</v>
      </c>
      <c r="I2339" s="23">
        <v>24</v>
      </c>
      <c r="J2339" s="23">
        <v>3</v>
      </c>
      <c r="K2339" s="23">
        <v>1</v>
      </c>
      <c r="L2339" s="23" t="s">
        <v>75</v>
      </c>
      <c r="M2339" s="25">
        <v>13.7</v>
      </c>
      <c r="N2339">
        <f t="shared" si="36"/>
        <v>1</v>
      </c>
    </row>
    <row r="2340" spans="1:14" x14ac:dyDescent="0.35">
      <c r="A2340" s="6" t="s">
        <v>2410</v>
      </c>
      <c r="B2340" s="19" t="s">
        <v>99</v>
      </c>
      <c r="C2340" s="19">
        <v>9</v>
      </c>
      <c r="D2340" s="20">
        <v>45903</v>
      </c>
      <c r="E2340" s="19" t="s">
        <v>13</v>
      </c>
      <c r="F2340" s="19" t="s">
        <v>26</v>
      </c>
      <c r="G2340" s="19" t="s">
        <v>27</v>
      </c>
      <c r="H2340" s="19" t="s">
        <v>28</v>
      </c>
      <c r="I2340" s="19">
        <v>72</v>
      </c>
      <c r="J2340" s="19">
        <v>1</v>
      </c>
      <c r="K2340" s="19">
        <v>5</v>
      </c>
      <c r="L2340" s="19" t="s">
        <v>75</v>
      </c>
      <c r="M2340" s="21">
        <v>1.4</v>
      </c>
      <c r="N2340">
        <f t="shared" si="36"/>
        <v>1</v>
      </c>
    </row>
    <row r="2341" spans="1:14" x14ac:dyDescent="0.35">
      <c r="A2341" s="22" t="s">
        <v>2411</v>
      </c>
      <c r="B2341" s="23" t="s">
        <v>78</v>
      </c>
      <c r="C2341" s="23">
        <v>5</v>
      </c>
      <c r="D2341" s="24">
        <v>45793</v>
      </c>
      <c r="E2341" s="23" t="s">
        <v>36</v>
      </c>
      <c r="F2341" s="23" t="s">
        <v>43</v>
      </c>
      <c r="G2341" s="23" t="s">
        <v>21</v>
      </c>
      <c r="H2341" s="23" t="s">
        <v>32</v>
      </c>
      <c r="I2341" s="23">
        <v>72</v>
      </c>
      <c r="J2341" s="23">
        <v>0</v>
      </c>
      <c r="K2341" s="23">
        <v>3</v>
      </c>
      <c r="L2341" s="23" t="s">
        <v>55</v>
      </c>
      <c r="M2341" s="25">
        <v>11.3</v>
      </c>
      <c r="N2341">
        <f t="shared" si="36"/>
        <v>1</v>
      </c>
    </row>
    <row r="2342" spans="1:14" x14ac:dyDescent="0.35">
      <c r="A2342" s="6" t="s">
        <v>2412</v>
      </c>
      <c r="B2342" s="19" t="s">
        <v>57</v>
      </c>
      <c r="C2342" s="19">
        <v>10</v>
      </c>
      <c r="D2342" s="20">
        <v>45939</v>
      </c>
      <c r="E2342" s="19" t="s">
        <v>25</v>
      </c>
      <c r="F2342" s="19" t="s">
        <v>59</v>
      </c>
      <c r="G2342" s="19" t="s">
        <v>27</v>
      </c>
      <c r="H2342" s="19" t="s">
        <v>8364</v>
      </c>
      <c r="I2342" s="19">
        <v>48</v>
      </c>
      <c r="J2342" s="19">
        <v>0</v>
      </c>
      <c r="K2342" s="19">
        <v>3</v>
      </c>
      <c r="L2342" s="19" t="s">
        <v>33</v>
      </c>
      <c r="M2342" s="21">
        <v>9.5</v>
      </c>
      <c r="N2342">
        <f t="shared" si="36"/>
        <v>1</v>
      </c>
    </row>
    <row r="2343" spans="1:14" x14ac:dyDescent="0.35">
      <c r="A2343" s="22" t="s">
        <v>2413</v>
      </c>
      <c r="B2343" s="23" t="s">
        <v>143</v>
      </c>
      <c r="C2343" s="23">
        <v>7</v>
      </c>
      <c r="D2343" s="24">
        <v>45842</v>
      </c>
      <c r="E2343" s="23" t="s">
        <v>13</v>
      </c>
      <c r="F2343" s="23" t="s">
        <v>8364</v>
      </c>
      <c r="G2343" s="23" t="s">
        <v>8364</v>
      </c>
      <c r="H2343" s="23" t="s">
        <v>16</v>
      </c>
      <c r="I2343" s="23">
        <v>4</v>
      </c>
      <c r="J2343" s="23">
        <v>2</v>
      </c>
      <c r="K2343" s="23">
        <v>5</v>
      </c>
      <c r="L2343" s="23" t="s">
        <v>38</v>
      </c>
      <c r="M2343" s="25">
        <v>10.5</v>
      </c>
      <c r="N2343">
        <f t="shared" si="36"/>
        <v>0</v>
      </c>
    </row>
    <row r="2344" spans="1:14" x14ac:dyDescent="0.35">
      <c r="A2344" s="6" t="s">
        <v>2414</v>
      </c>
      <c r="B2344" s="19" t="s">
        <v>143</v>
      </c>
      <c r="C2344" s="19"/>
      <c r="D2344" s="20"/>
      <c r="E2344" s="19" t="s">
        <v>8364</v>
      </c>
      <c r="F2344" s="19" t="s">
        <v>26</v>
      </c>
      <c r="G2344" s="19" t="s">
        <v>31</v>
      </c>
      <c r="H2344" s="19" t="s">
        <v>22</v>
      </c>
      <c r="I2344" s="19">
        <v>72</v>
      </c>
      <c r="J2344" s="19">
        <v>2</v>
      </c>
      <c r="K2344" s="19"/>
      <c r="L2344" s="19" t="s">
        <v>8363</v>
      </c>
      <c r="M2344" s="21">
        <v>1</v>
      </c>
      <c r="N2344">
        <f t="shared" si="36"/>
        <v>1</v>
      </c>
    </row>
    <row r="2345" spans="1:14" x14ac:dyDescent="0.35">
      <c r="A2345" s="22" t="s">
        <v>2415</v>
      </c>
      <c r="B2345" s="23" t="s">
        <v>41</v>
      </c>
      <c r="C2345" s="23">
        <v>9</v>
      </c>
      <c r="D2345" s="24">
        <v>45918</v>
      </c>
      <c r="E2345" s="23" t="s">
        <v>25</v>
      </c>
      <c r="F2345" s="23" t="s">
        <v>59</v>
      </c>
      <c r="G2345" s="23" t="s">
        <v>15</v>
      </c>
      <c r="H2345" s="23" t="s">
        <v>8364</v>
      </c>
      <c r="I2345" s="23">
        <v>48</v>
      </c>
      <c r="J2345" s="23">
        <v>1</v>
      </c>
      <c r="K2345" s="23">
        <v>4</v>
      </c>
      <c r="L2345" s="23" t="s">
        <v>8363</v>
      </c>
      <c r="M2345" s="25">
        <v>2.7</v>
      </c>
      <c r="N2345">
        <f t="shared" si="36"/>
        <v>1</v>
      </c>
    </row>
    <row r="2346" spans="1:14" x14ac:dyDescent="0.35">
      <c r="A2346" s="6" t="s">
        <v>2416</v>
      </c>
      <c r="B2346" s="19" t="s">
        <v>57</v>
      </c>
      <c r="C2346" s="19">
        <v>7</v>
      </c>
      <c r="D2346" s="20">
        <v>45841</v>
      </c>
      <c r="E2346" s="19" t="s">
        <v>13</v>
      </c>
      <c r="F2346" s="19" t="s">
        <v>43</v>
      </c>
      <c r="G2346" s="19" t="s">
        <v>27</v>
      </c>
      <c r="H2346" s="19" t="s">
        <v>28</v>
      </c>
      <c r="I2346" s="19">
        <v>72</v>
      </c>
      <c r="J2346" s="19">
        <v>0</v>
      </c>
      <c r="K2346" s="19">
        <v>3</v>
      </c>
      <c r="L2346" s="19" t="s">
        <v>75</v>
      </c>
      <c r="M2346" s="21"/>
      <c r="N2346">
        <f t="shared" si="36"/>
        <v>1</v>
      </c>
    </row>
    <row r="2347" spans="1:14" x14ac:dyDescent="0.35">
      <c r="A2347" s="22" t="s">
        <v>2417</v>
      </c>
      <c r="B2347" s="23" t="s">
        <v>23</v>
      </c>
      <c r="C2347" s="23">
        <v>10</v>
      </c>
      <c r="D2347" s="24">
        <v>45940</v>
      </c>
      <c r="E2347" s="23" t="s">
        <v>68</v>
      </c>
      <c r="F2347" s="23" t="s">
        <v>14</v>
      </c>
      <c r="G2347" s="23" t="s">
        <v>31</v>
      </c>
      <c r="H2347" s="23" t="s">
        <v>22</v>
      </c>
      <c r="I2347" s="23">
        <v>4</v>
      </c>
      <c r="J2347" s="23">
        <v>0</v>
      </c>
      <c r="K2347" s="23">
        <v>5</v>
      </c>
      <c r="L2347" s="23" t="s">
        <v>62</v>
      </c>
      <c r="M2347" s="25">
        <v>29.9</v>
      </c>
      <c r="N2347">
        <f t="shared" si="36"/>
        <v>0</v>
      </c>
    </row>
    <row r="2348" spans="1:14" x14ac:dyDescent="0.35">
      <c r="A2348" s="6" t="s">
        <v>2418</v>
      </c>
      <c r="B2348" s="19" t="s">
        <v>69</v>
      </c>
      <c r="C2348" s="19">
        <v>12</v>
      </c>
      <c r="D2348" s="20">
        <v>45995</v>
      </c>
      <c r="E2348" s="19" t="s">
        <v>25</v>
      </c>
      <c r="F2348" s="19" t="s">
        <v>14</v>
      </c>
      <c r="G2348" s="19" t="s">
        <v>15</v>
      </c>
      <c r="H2348" s="19" t="s">
        <v>8364</v>
      </c>
      <c r="I2348" s="19">
        <v>48</v>
      </c>
      <c r="J2348" s="19">
        <v>0</v>
      </c>
      <c r="K2348" s="19">
        <v>4</v>
      </c>
      <c r="L2348" s="19" t="s">
        <v>17</v>
      </c>
      <c r="M2348" s="21">
        <v>10.6</v>
      </c>
      <c r="N2348">
        <f t="shared" si="36"/>
        <v>1</v>
      </c>
    </row>
    <row r="2349" spans="1:14" x14ac:dyDescent="0.35">
      <c r="A2349" s="22" t="s">
        <v>2419</v>
      </c>
      <c r="B2349" s="23" t="s">
        <v>47</v>
      </c>
      <c r="C2349" s="23">
        <v>11</v>
      </c>
      <c r="D2349" s="24">
        <v>45965</v>
      </c>
      <c r="E2349" s="23" t="s">
        <v>25</v>
      </c>
      <c r="F2349" s="23" t="s">
        <v>14</v>
      </c>
      <c r="G2349" s="23" t="s">
        <v>8364</v>
      </c>
      <c r="H2349" s="23" t="s">
        <v>16</v>
      </c>
      <c r="I2349" s="23">
        <v>48</v>
      </c>
      <c r="J2349" s="23">
        <v>1</v>
      </c>
      <c r="K2349" s="23">
        <v>4</v>
      </c>
      <c r="L2349" s="23" t="s">
        <v>8363</v>
      </c>
      <c r="M2349" s="25">
        <v>15.6</v>
      </c>
      <c r="N2349">
        <f t="shared" si="36"/>
        <v>1</v>
      </c>
    </row>
    <row r="2350" spans="1:14" x14ac:dyDescent="0.35">
      <c r="A2350" s="6" t="s">
        <v>2420</v>
      </c>
      <c r="B2350" s="19" t="s">
        <v>69</v>
      </c>
      <c r="C2350" s="19">
        <v>10</v>
      </c>
      <c r="D2350" s="20">
        <v>45931</v>
      </c>
      <c r="E2350" s="19" t="s">
        <v>25</v>
      </c>
      <c r="F2350" s="19" t="s">
        <v>14</v>
      </c>
      <c r="G2350" s="19" t="s">
        <v>31</v>
      </c>
      <c r="H2350" s="19" t="s">
        <v>22</v>
      </c>
      <c r="I2350" s="19">
        <v>72</v>
      </c>
      <c r="J2350" s="19">
        <v>0</v>
      </c>
      <c r="K2350" s="19">
        <v>3</v>
      </c>
      <c r="L2350" s="19" t="s">
        <v>17</v>
      </c>
      <c r="M2350" s="21">
        <v>9</v>
      </c>
      <c r="N2350">
        <f t="shared" si="36"/>
        <v>1</v>
      </c>
    </row>
    <row r="2351" spans="1:14" x14ac:dyDescent="0.35">
      <c r="A2351" s="22" t="s">
        <v>2421</v>
      </c>
      <c r="B2351" s="23" t="s">
        <v>23</v>
      </c>
      <c r="C2351" s="23"/>
      <c r="D2351" s="24"/>
      <c r="E2351" s="23" t="s">
        <v>20</v>
      </c>
      <c r="F2351" s="23" t="s">
        <v>59</v>
      </c>
      <c r="G2351" s="23" t="s">
        <v>15</v>
      </c>
      <c r="H2351" s="23" t="s">
        <v>28</v>
      </c>
      <c r="I2351" s="23">
        <v>24</v>
      </c>
      <c r="J2351" s="23">
        <v>0</v>
      </c>
      <c r="K2351" s="23">
        <v>4</v>
      </c>
      <c r="L2351" s="23" t="s">
        <v>33</v>
      </c>
      <c r="M2351" s="25">
        <v>14.6</v>
      </c>
      <c r="N2351">
        <f t="shared" si="36"/>
        <v>1</v>
      </c>
    </row>
    <row r="2352" spans="1:14" x14ac:dyDescent="0.35">
      <c r="A2352" s="6" t="s">
        <v>2422</v>
      </c>
      <c r="B2352" s="19" t="s">
        <v>81</v>
      </c>
      <c r="C2352" s="19">
        <v>2</v>
      </c>
      <c r="D2352" s="20">
        <v>45696</v>
      </c>
      <c r="E2352" s="19" t="s">
        <v>13</v>
      </c>
      <c r="F2352" s="19" t="s">
        <v>26</v>
      </c>
      <c r="G2352" s="19" t="s">
        <v>31</v>
      </c>
      <c r="H2352" s="19" t="s">
        <v>16</v>
      </c>
      <c r="I2352" s="19">
        <v>24</v>
      </c>
      <c r="J2352" s="19">
        <v>0</v>
      </c>
      <c r="K2352" s="19">
        <v>5</v>
      </c>
      <c r="L2352" s="19" t="s">
        <v>17</v>
      </c>
      <c r="M2352" s="21">
        <v>5.0999999999999996</v>
      </c>
      <c r="N2352">
        <f t="shared" si="36"/>
        <v>1</v>
      </c>
    </row>
    <row r="2353" spans="1:14" x14ac:dyDescent="0.35">
      <c r="A2353" s="22" t="s">
        <v>2423</v>
      </c>
      <c r="B2353" s="23" t="s">
        <v>53</v>
      </c>
      <c r="C2353" s="23"/>
      <c r="D2353" s="24"/>
      <c r="E2353" s="23" t="s">
        <v>13</v>
      </c>
      <c r="F2353" s="23" t="s">
        <v>14</v>
      </c>
      <c r="G2353" s="23" t="s">
        <v>8364</v>
      </c>
      <c r="H2353" s="23" t="s">
        <v>22</v>
      </c>
      <c r="I2353" s="23">
        <v>24</v>
      </c>
      <c r="J2353" s="23">
        <v>0</v>
      </c>
      <c r="K2353" s="23">
        <v>3</v>
      </c>
      <c r="L2353" s="23" t="s">
        <v>8363</v>
      </c>
      <c r="M2353" s="25">
        <v>5.6</v>
      </c>
      <c r="N2353">
        <f t="shared" si="36"/>
        <v>1</v>
      </c>
    </row>
    <row r="2354" spans="1:14" x14ac:dyDescent="0.35">
      <c r="A2354" s="6" t="s">
        <v>2424</v>
      </c>
      <c r="B2354" s="19" t="s">
        <v>81</v>
      </c>
      <c r="C2354" s="19">
        <v>4</v>
      </c>
      <c r="D2354" s="20">
        <v>45756</v>
      </c>
      <c r="E2354" s="19" t="s">
        <v>68</v>
      </c>
      <c r="F2354" s="19" t="s">
        <v>8364</v>
      </c>
      <c r="G2354" s="19" t="s">
        <v>31</v>
      </c>
      <c r="H2354" s="19" t="s">
        <v>8364</v>
      </c>
      <c r="I2354" s="19">
        <v>48</v>
      </c>
      <c r="J2354" s="19">
        <v>0</v>
      </c>
      <c r="K2354" s="19">
        <v>5</v>
      </c>
      <c r="L2354" s="19" t="s">
        <v>8363</v>
      </c>
      <c r="M2354" s="21">
        <v>7.7</v>
      </c>
      <c r="N2354">
        <f t="shared" si="36"/>
        <v>1</v>
      </c>
    </row>
    <row r="2355" spans="1:14" x14ac:dyDescent="0.35">
      <c r="A2355" s="22" t="s">
        <v>2425</v>
      </c>
      <c r="B2355" s="23" t="s">
        <v>101</v>
      </c>
      <c r="C2355" s="23">
        <v>5</v>
      </c>
      <c r="D2355" s="24">
        <v>45784</v>
      </c>
      <c r="E2355" s="23" t="s">
        <v>25</v>
      </c>
      <c r="F2355" s="23" t="s">
        <v>14</v>
      </c>
      <c r="G2355" s="23" t="s">
        <v>27</v>
      </c>
      <c r="H2355" s="23" t="s">
        <v>22</v>
      </c>
      <c r="I2355" s="23">
        <v>8</v>
      </c>
      <c r="J2355" s="23">
        <v>0</v>
      </c>
      <c r="K2355" s="23">
        <v>4</v>
      </c>
      <c r="L2355" s="23" t="s">
        <v>17</v>
      </c>
      <c r="M2355" s="25">
        <v>7.3</v>
      </c>
      <c r="N2355">
        <f t="shared" si="36"/>
        <v>1</v>
      </c>
    </row>
    <row r="2356" spans="1:14" x14ac:dyDescent="0.35">
      <c r="A2356" s="6" t="s">
        <v>2426</v>
      </c>
      <c r="B2356" s="19" t="s">
        <v>39</v>
      </c>
      <c r="C2356" s="19">
        <v>9</v>
      </c>
      <c r="D2356" s="20">
        <v>45903</v>
      </c>
      <c r="E2356" s="19" t="s">
        <v>36</v>
      </c>
      <c r="F2356" s="19" t="s">
        <v>14</v>
      </c>
      <c r="G2356" s="19" t="s">
        <v>15</v>
      </c>
      <c r="H2356" s="19" t="s">
        <v>22</v>
      </c>
      <c r="I2356" s="19">
        <v>72</v>
      </c>
      <c r="J2356" s="19">
        <v>0</v>
      </c>
      <c r="K2356" s="19">
        <v>4</v>
      </c>
      <c r="L2356" s="19" t="s">
        <v>75</v>
      </c>
      <c r="M2356" s="21"/>
      <c r="N2356">
        <f t="shared" si="36"/>
        <v>1</v>
      </c>
    </row>
    <row r="2357" spans="1:14" x14ac:dyDescent="0.35">
      <c r="A2357" s="22" t="s">
        <v>2427</v>
      </c>
      <c r="B2357" s="23" t="s">
        <v>69</v>
      </c>
      <c r="C2357" s="23"/>
      <c r="D2357" s="24"/>
      <c r="E2357" s="23" t="s">
        <v>25</v>
      </c>
      <c r="F2357" s="23" t="s">
        <v>14</v>
      </c>
      <c r="G2357" s="23" t="s">
        <v>15</v>
      </c>
      <c r="H2357" s="23" t="s">
        <v>28</v>
      </c>
      <c r="I2357" s="23">
        <v>24</v>
      </c>
      <c r="J2357" s="23">
        <v>1</v>
      </c>
      <c r="K2357" s="23">
        <v>4</v>
      </c>
      <c r="L2357" s="23" t="s">
        <v>75</v>
      </c>
      <c r="M2357" s="25">
        <v>22.8</v>
      </c>
      <c r="N2357">
        <f t="shared" si="36"/>
        <v>1</v>
      </c>
    </row>
    <row r="2358" spans="1:14" x14ac:dyDescent="0.35">
      <c r="A2358" s="6" t="s">
        <v>2428</v>
      </c>
      <c r="B2358" s="19" t="s">
        <v>51</v>
      </c>
      <c r="C2358" s="19">
        <v>8</v>
      </c>
      <c r="D2358" s="20">
        <v>45898</v>
      </c>
      <c r="E2358" s="19" t="s">
        <v>13</v>
      </c>
      <c r="F2358" s="19" t="s">
        <v>14</v>
      </c>
      <c r="G2358" s="19" t="s">
        <v>21</v>
      </c>
      <c r="H2358" s="19" t="s">
        <v>22</v>
      </c>
      <c r="I2358" s="19">
        <v>8</v>
      </c>
      <c r="J2358" s="19">
        <v>2</v>
      </c>
      <c r="K2358" s="19">
        <v>5</v>
      </c>
      <c r="L2358" s="19" t="s">
        <v>38</v>
      </c>
      <c r="M2358" s="21">
        <v>7</v>
      </c>
      <c r="N2358">
        <f t="shared" si="36"/>
        <v>1</v>
      </c>
    </row>
    <row r="2359" spans="1:14" x14ac:dyDescent="0.35">
      <c r="A2359" s="22" t="s">
        <v>2429</v>
      </c>
      <c r="B2359" s="23" t="s">
        <v>108</v>
      </c>
      <c r="C2359" s="23">
        <v>7</v>
      </c>
      <c r="D2359" s="24">
        <v>45867</v>
      </c>
      <c r="E2359" s="23" t="s">
        <v>8364</v>
      </c>
      <c r="F2359" s="23" t="s">
        <v>43</v>
      </c>
      <c r="G2359" s="23" t="s">
        <v>27</v>
      </c>
      <c r="H2359" s="23" t="s">
        <v>22</v>
      </c>
      <c r="I2359" s="23">
        <v>4</v>
      </c>
      <c r="J2359" s="23">
        <v>0</v>
      </c>
      <c r="K2359" s="23">
        <v>4</v>
      </c>
      <c r="L2359" s="23" t="s">
        <v>75</v>
      </c>
      <c r="M2359" s="25">
        <v>4.8</v>
      </c>
      <c r="N2359">
        <f t="shared" si="36"/>
        <v>0</v>
      </c>
    </row>
    <row r="2360" spans="1:14" x14ac:dyDescent="0.35">
      <c r="A2360" s="6" t="s">
        <v>2430</v>
      </c>
      <c r="B2360" s="19" t="s">
        <v>85</v>
      </c>
      <c r="C2360" s="19">
        <v>5</v>
      </c>
      <c r="D2360" s="20">
        <v>45781</v>
      </c>
      <c r="E2360" s="19" t="s">
        <v>8364</v>
      </c>
      <c r="F2360" s="19" t="s">
        <v>59</v>
      </c>
      <c r="G2360" s="19" t="s">
        <v>31</v>
      </c>
      <c r="H2360" s="19" t="s">
        <v>16</v>
      </c>
      <c r="I2360" s="19">
        <v>4</v>
      </c>
      <c r="J2360" s="19">
        <v>0</v>
      </c>
      <c r="K2360" s="19">
        <v>4</v>
      </c>
      <c r="L2360" s="19" t="s">
        <v>8363</v>
      </c>
      <c r="M2360" s="21">
        <v>26.4</v>
      </c>
      <c r="N2360">
        <f t="shared" si="36"/>
        <v>0</v>
      </c>
    </row>
    <row r="2361" spans="1:14" x14ac:dyDescent="0.35">
      <c r="A2361" s="22" t="s">
        <v>2431</v>
      </c>
      <c r="B2361" s="23" t="s">
        <v>81</v>
      </c>
      <c r="C2361" s="23">
        <v>6</v>
      </c>
      <c r="D2361" s="24">
        <v>45826</v>
      </c>
      <c r="E2361" s="23" t="s">
        <v>36</v>
      </c>
      <c r="F2361" s="23" t="s">
        <v>14</v>
      </c>
      <c r="G2361" s="23" t="s">
        <v>31</v>
      </c>
      <c r="H2361" s="23" t="s">
        <v>28</v>
      </c>
      <c r="I2361" s="23">
        <v>72</v>
      </c>
      <c r="J2361" s="23">
        <v>2</v>
      </c>
      <c r="K2361" s="23">
        <v>5</v>
      </c>
      <c r="L2361" s="23" t="s">
        <v>38</v>
      </c>
      <c r="M2361" s="25">
        <v>7</v>
      </c>
      <c r="N2361">
        <f t="shared" si="36"/>
        <v>1</v>
      </c>
    </row>
    <row r="2362" spans="1:14" x14ac:dyDescent="0.35">
      <c r="A2362" s="6" t="s">
        <v>2432</v>
      </c>
      <c r="B2362" s="19" t="s">
        <v>143</v>
      </c>
      <c r="C2362" s="19">
        <v>5</v>
      </c>
      <c r="D2362" s="20">
        <v>45799</v>
      </c>
      <c r="E2362" s="19" t="s">
        <v>13</v>
      </c>
      <c r="F2362" s="19" t="s">
        <v>40</v>
      </c>
      <c r="G2362" s="19" t="s">
        <v>21</v>
      </c>
      <c r="H2362" s="19" t="s">
        <v>28</v>
      </c>
      <c r="I2362" s="19">
        <v>8</v>
      </c>
      <c r="J2362" s="19">
        <v>0</v>
      </c>
      <c r="K2362" s="19">
        <v>4</v>
      </c>
      <c r="L2362" s="19" t="s">
        <v>62</v>
      </c>
      <c r="M2362" s="21">
        <v>3.9</v>
      </c>
      <c r="N2362">
        <f t="shared" si="36"/>
        <v>1</v>
      </c>
    </row>
    <row r="2363" spans="1:14" x14ac:dyDescent="0.35">
      <c r="A2363" s="22" t="s">
        <v>2433</v>
      </c>
      <c r="B2363" s="23" t="s">
        <v>181</v>
      </c>
      <c r="C2363" s="23">
        <v>7</v>
      </c>
      <c r="D2363" s="24">
        <v>45844</v>
      </c>
      <c r="E2363" s="23" t="s">
        <v>13</v>
      </c>
      <c r="F2363" s="23" t="s">
        <v>26</v>
      </c>
      <c r="G2363" s="23" t="s">
        <v>27</v>
      </c>
      <c r="H2363" s="23" t="s">
        <v>22</v>
      </c>
      <c r="I2363" s="23">
        <v>4</v>
      </c>
      <c r="J2363" s="23">
        <v>0</v>
      </c>
      <c r="K2363" s="23">
        <v>5</v>
      </c>
      <c r="L2363" s="23" t="s">
        <v>38</v>
      </c>
      <c r="M2363" s="25">
        <v>2.1</v>
      </c>
      <c r="N2363">
        <f t="shared" si="36"/>
        <v>1</v>
      </c>
    </row>
    <row r="2364" spans="1:14" x14ac:dyDescent="0.35">
      <c r="A2364" s="6" t="s">
        <v>2434</v>
      </c>
      <c r="B2364" s="19" t="s">
        <v>65</v>
      </c>
      <c r="C2364" s="19">
        <v>12</v>
      </c>
      <c r="D2364" s="20">
        <v>45996</v>
      </c>
      <c r="E2364" s="19" t="s">
        <v>68</v>
      </c>
      <c r="F2364" s="19" t="s">
        <v>40</v>
      </c>
      <c r="G2364" s="19" t="s">
        <v>15</v>
      </c>
      <c r="H2364" s="19" t="s">
        <v>22</v>
      </c>
      <c r="I2364" s="19">
        <v>24</v>
      </c>
      <c r="J2364" s="19">
        <v>1</v>
      </c>
      <c r="K2364" s="19">
        <v>2</v>
      </c>
      <c r="L2364" s="19" t="s">
        <v>38</v>
      </c>
      <c r="M2364" s="21">
        <v>9.3000000000000007</v>
      </c>
      <c r="N2364">
        <f t="shared" si="36"/>
        <v>1</v>
      </c>
    </row>
    <row r="2365" spans="1:14" x14ac:dyDescent="0.35">
      <c r="A2365" s="22" t="s">
        <v>2435</v>
      </c>
      <c r="B2365" s="23" t="s">
        <v>57</v>
      </c>
      <c r="C2365" s="23"/>
      <c r="D2365" s="24"/>
      <c r="E2365" s="23" t="s">
        <v>36</v>
      </c>
      <c r="F2365" s="23" t="s">
        <v>59</v>
      </c>
      <c r="G2365" s="23" t="s">
        <v>15</v>
      </c>
      <c r="H2365" s="23" t="s">
        <v>28</v>
      </c>
      <c r="I2365" s="23">
        <v>48</v>
      </c>
      <c r="J2365" s="23">
        <v>1</v>
      </c>
      <c r="K2365" s="23">
        <v>3</v>
      </c>
      <c r="L2365" s="23" t="s">
        <v>8363</v>
      </c>
      <c r="M2365" s="25">
        <v>30.1</v>
      </c>
      <c r="N2365">
        <f t="shared" si="36"/>
        <v>1</v>
      </c>
    </row>
    <row r="2366" spans="1:14" x14ac:dyDescent="0.35">
      <c r="A2366" s="6" t="s">
        <v>2436</v>
      </c>
      <c r="B2366" s="19" t="s">
        <v>253</v>
      </c>
      <c r="C2366" s="19">
        <v>8</v>
      </c>
      <c r="D2366" s="20">
        <v>45879</v>
      </c>
      <c r="E2366" s="19" t="s">
        <v>68</v>
      </c>
      <c r="F2366" s="19" t="s">
        <v>14</v>
      </c>
      <c r="G2366" s="19" t="s">
        <v>31</v>
      </c>
      <c r="H2366" s="19" t="s">
        <v>28</v>
      </c>
      <c r="I2366" s="19">
        <v>8</v>
      </c>
      <c r="J2366" s="19">
        <v>0</v>
      </c>
      <c r="K2366" s="19">
        <v>4</v>
      </c>
      <c r="L2366" s="19" t="s">
        <v>8363</v>
      </c>
      <c r="M2366" s="21">
        <v>1.8</v>
      </c>
      <c r="N2366">
        <f t="shared" si="36"/>
        <v>1</v>
      </c>
    </row>
    <row r="2367" spans="1:14" x14ac:dyDescent="0.35">
      <c r="A2367" s="22" t="s">
        <v>2437</v>
      </c>
      <c r="B2367" s="23" t="s">
        <v>139</v>
      </c>
      <c r="C2367" s="23">
        <v>1</v>
      </c>
      <c r="D2367" s="24">
        <v>45661</v>
      </c>
      <c r="E2367" s="23" t="s">
        <v>36</v>
      </c>
      <c r="F2367" s="23" t="s">
        <v>37</v>
      </c>
      <c r="G2367" s="23" t="s">
        <v>27</v>
      </c>
      <c r="H2367" s="23" t="s">
        <v>32</v>
      </c>
      <c r="I2367" s="23">
        <v>8</v>
      </c>
      <c r="J2367" s="23">
        <v>0</v>
      </c>
      <c r="K2367" s="23">
        <v>5</v>
      </c>
      <c r="L2367" s="23" t="s">
        <v>8363</v>
      </c>
      <c r="M2367" s="25">
        <v>20.6</v>
      </c>
      <c r="N2367">
        <f t="shared" si="36"/>
        <v>0</v>
      </c>
    </row>
    <row r="2368" spans="1:14" x14ac:dyDescent="0.35">
      <c r="A2368" s="6" t="s">
        <v>2438</v>
      </c>
      <c r="B2368" s="19" t="s">
        <v>158</v>
      </c>
      <c r="C2368" s="19">
        <v>7</v>
      </c>
      <c r="D2368" s="20">
        <v>45850</v>
      </c>
      <c r="E2368" s="19" t="s">
        <v>25</v>
      </c>
      <c r="F2368" s="19" t="s">
        <v>37</v>
      </c>
      <c r="G2368" s="19" t="s">
        <v>27</v>
      </c>
      <c r="H2368" s="19" t="s">
        <v>32</v>
      </c>
      <c r="I2368" s="19">
        <v>24</v>
      </c>
      <c r="J2368" s="19">
        <v>0</v>
      </c>
      <c r="K2368" s="19">
        <v>2</v>
      </c>
      <c r="L2368" s="19" t="s">
        <v>8363</v>
      </c>
      <c r="M2368" s="21">
        <v>25.4</v>
      </c>
      <c r="N2368">
        <f t="shared" si="36"/>
        <v>0</v>
      </c>
    </row>
    <row r="2369" spans="1:14" x14ac:dyDescent="0.35">
      <c r="A2369" s="22" t="s">
        <v>2439</v>
      </c>
      <c r="B2369" s="23" t="s">
        <v>158</v>
      </c>
      <c r="C2369" s="23">
        <v>6</v>
      </c>
      <c r="D2369" s="24">
        <v>45821</v>
      </c>
      <c r="E2369" s="23" t="s">
        <v>20</v>
      </c>
      <c r="F2369" s="23" t="s">
        <v>14</v>
      </c>
      <c r="G2369" s="23" t="s">
        <v>31</v>
      </c>
      <c r="H2369" s="23" t="s">
        <v>8364</v>
      </c>
      <c r="I2369" s="23">
        <v>24</v>
      </c>
      <c r="J2369" s="23">
        <v>0</v>
      </c>
      <c r="K2369" s="23">
        <v>5</v>
      </c>
      <c r="L2369" s="23" t="s">
        <v>33</v>
      </c>
      <c r="M2369" s="25">
        <v>20.100000000000001</v>
      </c>
      <c r="N2369">
        <f t="shared" si="36"/>
        <v>1</v>
      </c>
    </row>
    <row r="2370" spans="1:14" x14ac:dyDescent="0.35">
      <c r="A2370" s="6" t="s">
        <v>2440</v>
      </c>
      <c r="B2370" s="19" t="s">
        <v>108</v>
      </c>
      <c r="C2370" s="19">
        <v>8</v>
      </c>
      <c r="D2370" s="20">
        <v>45894</v>
      </c>
      <c r="E2370" s="19" t="s">
        <v>25</v>
      </c>
      <c r="F2370" s="19" t="s">
        <v>14</v>
      </c>
      <c r="G2370" s="19" t="s">
        <v>15</v>
      </c>
      <c r="H2370" s="19" t="s">
        <v>22</v>
      </c>
      <c r="I2370" s="19">
        <v>8</v>
      </c>
      <c r="J2370" s="19">
        <v>2</v>
      </c>
      <c r="K2370" s="19">
        <v>4</v>
      </c>
      <c r="L2370" s="19" t="s">
        <v>17</v>
      </c>
      <c r="M2370" s="21">
        <v>8.1999999999999993</v>
      </c>
      <c r="N2370">
        <f t="shared" si="36"/>
        <v>0</v>
      </c>
    </row>
    <row r="2371" spans="1:14" x14ac:dyDescent="0.35">
      <c r="A2371" s="22" t="s">
        <v>2441</v>
      </c>
      <c r="B2371" s="23" t="s">
        <v>69</v>
      </c>
      <c r="C2371" s="23">
        <v>2</v>
      </c>
      <c r="D2371" s="24">
        <v>45698</v>
      </c>
      <c r="E2371" s="23" t="s">
        <v>20</v>
      </c>
      <c r="F2371" s="23" t="s">
        <v>14</v>
      </c>
      <c r="G2371" s="23" t="s">
        <v>21</v>
      </c>
      <c r="H2371" s="23" t="s">
        <v>22</v>
      </c>
      <c r="I2371" s="23">
        <v>48</v>
      </c>
      <c r="J2371" s="23">
        <v>0</v>
      </c>
      <c r="K2371" s="23">
        <v>5</v>
      </c>
      <c r="L2371" s="23" t="s">
        <v>33</v>
      </c>
      <c r="M2371" s="25">
        <v>5.0999999999999996</v>
      </c>
      <c r="N2371">
        <f t="shared" ref="N2371:N2434" si="37">IF(M2371 &lt;= I2371, 1, 0)</f>
        <v>1</v>
      </c>
    </row>
    <row r="2372" spans="1:14" x14ac:dyDescent="0.35">
      <c r="A2372" s="6" t="s">
        <v>2442</v>
      </c>
      <c r="B2372" s="19" t="s">
        <v>146</v>
      </c>
      <c r="C2372" s="19">
        <v>9</v>
      </c>
      <c r="D2372" s="20">
        <v>45928</v>
      </c>
      <c r="E2372" s="19" t="s">
        <v>13</v>
      </c>
      <c r="F2372" s="19" t="s">
        <v>14</v>
      </c>
      <c r="G2372" s="19" t="s">
        <v>27</v>
      </c>
      <c r="H2372" s="19" t="s">
        <v>16</v>
      </c>
      <c r="I2372" s="19">
        <v>4</v>
      </c>
      <c r="J2372" s="19">
        <v>0</v>
      </c>
      <c r="K2372" s="19">
        <v>5</v>
      </c>
      <c r="L2372" s="19" t="s">
        <v>8363</v>
      </c>
      <c r="M2372" s="21">
        <v>32.700000000000003</v>
      </c>
      <c r="N2372">
        <f t="shared" si="37"/>
        <v>0</v>
      </c>
    </row>
    <row r="2373" spans="1:14" x14ac:dyDescent="0.35">
      <c r="A2373" s="22" t="s">
        <v>2443</v>
      </c>
      <c r="B2373" s="23" t="s">
        <v>51</v>
      </c>
      <c r="C2373" s="23">
        <v>6</v>
      </c>
      <c r="D2373" s="24">
        <v>45838</v>
      </c>
      <c r="E2373" s="23" t="s">
        <v>20</v>
      </c>
      <c r="F2373" s="23" t="s">
        <v>8364</v>
      </c>
      <c r="G2373" s="23" t="s">
        <v>31</v>
      </c>
      <c r="H2373" s="23" t="s">
        <v>8364</v>
      </c>
      <c r="I2373" s="23">
        <v>48</v>
      </c>
      <c r="J2373" s="23">
        <v>1</v>
      </c>
      <c r="K2373" s="23">
        <v>5</v>
      </c>
      <c r="L2373" s="23" t="s">
        <v>38</v>
      </c>
      <c r="M2373" s="25">
        <v>25.6</v>
      </c>
      <c r="N2373">
        <f t="shared" si="37"/>
        <v>1</v>
      </c>
    </row>
    <row r="2374" spans="1:14" x14ac:dyDescent="0.35">
      <c r="A2374" s="6" t="s">
        <v>2444</v>
      </c>
      <c r="B2374" s="19" t="s">
        <v>89</v>
      </c>
      <c r="C2374" s="19">
        <v>10</v>
      </c>
      <c r="D2374" s="20">
        <v>45959</v>
      </c>
      <c r="E2374" s="19" t="s">
        <v>20</v>
      </c>
      <c r="F2374" s="19" t="s">
        <v>43</v>
      </c>
      <c r="G2374" s="19" t="s">
        <v>27</v>
      </c>
      <c r="H2374" s="19" t="s">
        <v>32</v>
      </c>
      <c r="I2374" s="19">
        <v>72</v>
      </c>
      <c r="J2374" s="19">
        <v>0</v>
      </c>
      <c r="K2374" s="19">
        <v>4</v>
      </c>
      <c r="L2374" s="19" t="s">
        <v>55</v>
      </c>
      <c r="M2374" s="21">
        <v>3.9</v>
      </c>
      <c r="N2374">
        <f t="shared" si="37"/>
        <v>1</v>
      </c>
    </row>
    <row r="2375" spans="1:14" x14ac:dyDescent="0.35">
      <c r="A2375" s="22" t="s">
        <v>2445</v>
      </c>
      <c r="B2375" s="23" t="s">
        <v>69</v>
      </c>
      <c r="C2375" s="23">
        <v>7</v>
      </c>
      <c r="D2375" s="24">
        <v>45851</v>
      </c>
      <c r="E2375" s="23" t="s">
        <v>13</v>
      </c>
      <c r="F2375" s="23" t="s">
        <v>59</v>
      </c>
      <c r="G2375" s="23" t="s">
        <v>21</v>
      </c>
      <c r="H2375" s="23" t="s">
        <v>8364</v>
      </c>
      <c r="I2375" s="23">
        <v>4</v>
      </c>
      <c r="J2375" s="23">
        <v>0</v>
      </c>
      <c r="K2375" s="23">
        <v>1</v>
      </c>
      <c r="L2375" s="23" t="s">
        <v>17</v>
      </c>
      <c r="M2375" s="25">
        <v>9.9</v>
      </c>
      <c r="N2375">
        <f t="shared" si="37"/>
        <v>0</v>
      </c>
    </row>
    <row r="2376" spans="1:14" x14ac:dyDescent="0.35">
      <c r="A2376" s="6" t="s">
        <v>2446</v>
      </c>
      <c r="B2376" s="19" t="s">
        <v>87</v>
      </c>
      <c r="C2376" s="19">
        <v>4</v>
      </c>
      <c r="D2376" s="20">
        <v>45759</v>
      </c>
      <c r="E2376" s="19" t="s">
        <v>13</v>
      </c>
      <c r="F2376" s="19" t="s">
        <v>8364</v>
      </c>
      <c r="G2376" s="19" t="s">
        <v>15</v>
      </c>
      <c r="H2376" s="19" t="s">
        <v>8364</v>
      </c>
      <c r="I2376" s="19">
        <v>4</v>
      </c>
      <c r="J2376" s="19">
        <v>0</v>
      </c>
      <c r="K2376" s="19">
        <v>5</v>
      </c>
      <c r="L2376" s="19" t="s">
        <v>55</v>
      </c>
      <c r="M2376" s="21">
        <v>5.9</v>
      </c>
      <c r="N2376">
        <f t="shared" si="37"/>
        <v>0</v>
      </c>
    </row>
    <row r="2377" spans="1:14" x14ac:dyDescent="0.35">
      <c r="A2377" s="22" t="s">
        <v>2447</v>
      </c>
      <c r="B2377" s="23" t="s">
        <v>34</v>
      </c>
      <c r="C2377" s="23"/>
      <c r="D2377" s="24"/>
      <c r="E2377" s="23" t="s">
        <v>68</v>
      </c>
      <c r="F2377" s="23" t="s">
        <v>43</v>
      </c>
      <c r="G2377" s="23" t="s">
        <v>21</v>
      </c>
      <c r="H2377" s="23" t="s">
        <v>28</v>
      </c>
      <c r="I2377" s="23">
        <v>48</v>
      </c>
      <c r="J2377" s="23">
        <v>1</v>
      </c>
      <c r="K2377" s="23">
        <v>4</v>
      </c>
      <c r="L2377" s="23" t="s">
        <v>55</v>
      </c>
      <c r="M2377" s="25">
        <v>13.9</v>
      </c>
      <c r="N2377">
        <f t="shared" si="37"/>
        <v>1</v>
      </c>
    </row>
    <row r="2378" spans="1:14" x14ac:dyDescent="0.35">
      <c r="A2378" s="6" t="s">
        <v>2448</v>
      </c>
      <c r="B2378" s="19" t="s">
        <v>108</v>
      </c>
      <c r="C2378" s="19">
        <v>12</v>
      </c>
      <c r="D2378" s="20">
        <v>46016</v>
      </c>
      <c r="E2378" s="19" t="s">
        <v>25</v>
      </c>
      <c r="F2378" s="19" t="s">
        <v>40</v>
      </c>
      <c r="G2378" s="19" t="s">
        <v>31</v>
      </c>
      <c r="H2378" s="19" t="s">
        <v>22</v>
      </c>
      <c r="I2378" s="19">
        <v>48</v>
      </c>
      <c r="J2378" s="19">
        <v>0</v>
      </c>
      <c r="K2378" s="19">
        <v>5</v>
      </c>
      <c r="L2378" s="19" t="s">
        <v>75</v>
      </c>
      <c r="M2378" s="21">
        <v>16.100000000000001</v>
      </c>
      <c r="N2378">
        <f t="shared" si="37"/>
        <v>1</v>
      </c>
    </row>
    <row r="2379" spans="1:14" x14ac:dyDescent="0.35">
      <c r="A2379" s="22" t="s">
        <v>2449</v>
      </c>
      <c r="B2379" s="23" t="s">
        <v>92</v>
      </c>
      <c r="C2379" s="23">
        <v>3</v>
      </c>
      <c r="D2379" s="24">
        <v>45739</v>
      </c>
      <c r="E2379" s="23" t="s">
        <v>36</v>
      </c>
      <c r="F2379" s="23" t="s">
        <v>26</v>
      </c>
      <c r="G2379" s="23" t="s">
        <v>31</v>
      </c>
      <c r="H2379" s="23" t="s">
        <v>32</v>
      </c>
      <c r="I2379" s="23">
        <v>48</v>
      </c>
      <c r="J2379" s="23">
        <v>0</v>
      </c>
      <c r="K2379" s="23">
        <v>4</v>
      </c>
      <c r="L2379" s="23" t="s">
        <v>17</v>
      </c>
      <c r="M2379" s="25"/>
      <c r="N2379">
        <f t="shared" si="37"/>
        <v>1</v>
      </c>
    </row>
    <row r="2380" spans="1:14" x14ac:dyDescent="0.35">
      <c r="A2380" s="6" t="s">
        <v>2450</v>
      </c>
      <c r="B2380" s="19" t="s">
        <v>139</v>
      </c>
      <c r="C2380" s="19">
        <v>7</v>
      </c>
      <c r="D2380" s="20">
        <v>45848</v>
      </c>
      <c r="E2380" s="19" t="s">
        <v>13</v>
      </c>
      <c r="F2380" s="19" t="s">
        <v>59</v>
      </c>
      <c r="G2380" s="19" t="s">
        <v>27</v>
      </c>
      <c r="H2380" s="19" t="s">
        <v>8364</v>
      </c>
      <c r="I2380" s="19">
        <v>48</v>
      </c>
      <c r="J2380" s="19">
        <v>0</v>
      </c>
      <c r="K2380" s="19">
        <v>2</v>
      </c>
      <c r="L2380" s="19" t="s">
        <v>8363</v>
      </c>
      <c r="M2380" s="21">
        <v>3.7</v>
      </c>
      <c r="N2380">
        <f t="shared" si="37"/>
        <v>1</v>
      </c>
    </row>
    <row r="2381" spans="1:14" x14ac:dyDescent="0.35">
      <c r="A2381" s="22" t="s">
        <v>2451</v>
      </c>
      <c r="B2381" s="23" t="s">
        <v>87</v>
      </c>
      <c r="C2381" s="23">
        <v>10</v>
      </c>
      <c r="D2381" s="24">
        <v>45945</v>
      </c>
      <c r="E2381" s="23" t="s">
        <v>8364</v>
      </c>
      <c r="F2381" s="23" t="s">
        <v>26</v>
      </c>
      <c r="G2381" s="23" t="s">
        <v>15</v>
      </c>
      <c r="H2381" s="23" t="s">
        <v>22</v>
      </c>
      <c r="I2381" s="23">
        <v>24</v>
      </c>
      <c r="J2381" s="23">
        <v>2</v>
      </c>
      <c r="K2381" s="23">
        <v>4</v>
      </c>
      <c r="L2381" s="23" t="s">
        <v>17</v>
      </c>
      <c r="M2381" s="25"/>
      <c r="N2381">
        <f t="shared" si="37"/>
        <v>1</v>
      </c>
    </row>
    <row r="2382" spans="1:14" x14ac:dyDescent="0.35">
      <c r="A2382" s="6" t="s">
        <v>2452</v>
      </c>
      <c r="B2382" s="19" t="s">
        <v>69</v>
      </c>
      <c r="C2382" s="19">
        <v>8</v>
      </c>
      <c r="D2382" s="20">
        <v>45881</v>
      </c>
      <c r="E2382" s="19" t="s">
        <v>68</v>
      </c>
      <c r="F2382" s="19" t="s">
        <v>43</v>
      </c>
      <c r="G2382" s="19" t="s">
        <v>31</v>
      </c>
      <c r="H2382" s="19" t="s">
        <v>22</v>
      </c>
      <c r="I2382" s="19">
        <v>72</v>
      </c>
      <c r="J2382" s="19">
        <v>0</v>
      </c>
      <c r="K2382" s="19">
        <v>2</v>
      </c>
      <c r="L2382" s="19" t="s">
        <v>8363</v>
      </c>
      <c r="M2382" s="21">
        <v>41</v>
      </c>
      <c r="N2382">
        <f t="shared" si="37"/>
        <v>1</v>
      </c>
    </row>
    <row r="2383" spans="1:14" x14ac:dyDescent="0.35">
      <c r="A2383" s="22" t="s">
        <v>2453</v>
      </c>
      <c r="B2383" s="23" t="s">
        <v>65</v>
      </c>
      <c r="C2383" s="23">
        <v>1</v>
      </c>
      <c r="D2383" s="24">
        <v>45660</v>
      </c>
      <c r="E2383" s="23" t="s">
        <v>13</v>
      </c>
      <c r="F2383" s="23" t="s">
        <v>26</v>
      </c>
      <c r="G2383" s="23" t="s">
        <v>15</v>
      </c>
      <c r="H2383" s="23" t="s">
        <v>28</v>
      </c>
      <c r="I2383" s="23">
        <v>24</v>
      </c>
      <c r="J2383" s="23">
        <v>0</v>
      </c>
      <c r="K2383" s="23">
        <v>5</v>
      </c>
      <c r="L2383" s="23" t="s">
        <v>33</v>
      </c>
      <c r="M2383" s="25">
        <v>4.4000000000000004</v>
      </c>
      <c r="N2383">
        <f t="shared" si="37"/>
        <v>1</v>
      </c>
    </row>
    <row r="2384" spans="1:14" x14ac:dyDescent="0.35">
      <c r="A2384" s="6" t="s">
        <v>2454</v>
      </c>
      <c r="B2384" s="19" t="s">
        <v>69</v>
      </c>
      <c r="C2384" s="19">
        <v>10</v>
      </c>
      <c r="D2384" s="20">
        <v>45932</v>
      </c>
      <c r="E2384" s="19" t="s">
        <v>8364</v>
      </c>
      <c r="F2384" s="19" t="s">
        <v>26</v>
      </c>
      <c r="G2384" s="19" t="s">
        <v>15</v>
      </c>
      <c r="H2384" s="19" t="s">
        <v>8364</v>
      </c>
      <c r="I2384" s="19">
        <v>4</v>
      </c>
      <c r="J2384" s="19">
        <v>0</v>
      </c>
      <c r="K2384" s="19">
        <v>2</v>
      </c>
      <c r="L2384" s="19" t="s">
        <v>55</v>
      </c>
      <c r="M2384" s="21">
        <v>8.9</v>
      </c>
      <c r="N2384">
        <f t="shared" si="37"/>
        <v>0</v>
      </c>
    </row>
    <row r="2385" spans="1:14" x14ac:dyDescent="0.35">
      <c r="A2385" s="22" t="s">
        <v>2455</v>
      </c>
      <c r="B2385" s="23" t="s">
        <v>143</v>
      </c>
      <c r="C2385" s="23">
        <v>1</v>
      </c>
      <c r="D2385" s="24">
        <v>45658</v>
      </c>
      <c r="E2385" s="23" t="s">
        <v>20</v>
      </c>
      <c r="F2385" s="23" t="s">
        <v>43</v>
      </c>
      <c r="G2385" s="23" t="s">
        <v>21</v>
      </c>
      <c r="H2385" s="23" t="s">
        <v>28</v>
      </c>
      <c r="I2385" s="23">
        <v>72</v>
      </c>
      <c r="J2385" s="23">
        <v>0</v>
      </c>
      <c r="K2385" s="23">
        <v>3</v>
      </c>
      <c r="L2385" s="23" t="s">
        <v>8363</v>
      </c>
      <c r="M2385" s="25">
        <v>12.2</v>
      </c>
      <c r="N2385">
        <f t="shared" si="37"/>
        <v>1</v>
      </c>
    </row>
    <row r="2386" spans="1:14" x14ac:dyDescent="0.35">
      <c r="A2386" s="6" t="s">
        <v>2456</v>
      </c>
      <c r="B2386" s="19" t="s">
        <v>78</v>
      </c>
      <c r="C2386" s="19">
        <v>11</v>
      </c>
      <c r="D2386" s="20">
        <v>45987</v>
      </c>
      <c r="E2386" s="19" t="s">
        <v>36</v>
      </c>
      <c r="F2386" s="19" t="s">
        <v>14</v>
      </c>
      <c r="G2386" s="19" t="s">
        <v>27</v>
      </c>
      <c r="H2386" s="19" t="s">
        <v>22</v>
      </c>
      <c r="I2386" s="19">
        <v>8</v>
      </c>
      <c r="J2386" s="19">
        <v>0</v>
      </c>
      <c r="K2386" s="19">
        <v>4</v>
      </c>
      <c r="L2386" s="19" t="s">
        <v>17</v>
      </c>
      <c r="M2386" s="21">
        <v>20.3</v>
      </c>
      <c r="N2386">
        <f t="shared" si="37"/>
        <v>0</v>
      </c>
    </row>
    <row r="2387" spans="1:14" x14ac:dyDescent="0.35">
      <c r="A2387" s="22" t="s">
        <v>2457</v>
      </c>
      <c r="B2387" s="23" t="s">
        <v>23</v>
      </c>
      <c r="C2387" s="23">
        <v>4</v>
      </c>
      <c r="D2387" s="24">
        <v>45769</v>
      </c>
      <c r="E2387" s="23" t="s">
        <v>25</v>
      </c>
      <c r="F2387" s="23" t="s">
        <v>14</v>
      </c>
      <c r="G2387" s="23" t="s">
        <v>27</v>
      </c>
      <c r="H2387" s="23" t="s">
        <v>8364</v>
      </c>
      <c r="I2387" s="23">
        <v>8</v>
      </c>
      <c r="J2387" s="23">
        <v>0</v>
      </c>
      <c r="K2387" s="23">
        <v>5</v>
      </c>
      <c r="L2387" s="23" t="s">
        <v>75</v>
      </c>
      <c r="M2387" s="25">
        <v>7.8</v>
      </c>
      <c r="N2387">
        <f t="shared" si="37"/>
        <v>1</v>
      </c>
    </row>
    <row r="2388" spans="1:14" x14ac:dyDescent="0.35">
      <c r="A2388" s="6" t="s">
        <v>2458</v>
      </c>
      <c r="B2388" s="19" t="s">
        <v>89</v>
      </c>
      <c r="C2388" s="19">
        <v>3</v>
      </c>
      <c r="D2388" s="20">
        <v>45722</v>
      </c>
      <c r="E2388" s="19" t="s">
        <v>68</v>
      </c>
      <c r="F2388" s="19" t="s">
        <v>14</v>
      </c>
      <c r="G2388" s="19" t="s">
        <v>27</v>
      </c>
      <c r="H2388" s="19" t="s">
        <v>22</v>
      </c>
      <c r="I2388" s="19">
        <v>48</v>
      </c>
      <c r="J2388" s="19">
        <v>0</v>
      </c>
      <c r="K2388" s="19">
        <v>4</v>
      </c>
      <c r="L2388" s="19" t="s">
        <v>33</v>
      </c>
      <c r="M2388" s="21">
        <v>3.7</v>
      </c>
      <c r="N2388">
        <f t="shared" si="37"/>
        <v>1</v>
      </c>
    </row>
    <row r="2389" spans="1:14" x14ac:dyDescent="0.35">
      <c r="A2389" s="22" t="s">
        <v>2459</v>
      </c>
      <c r="B2389" s="23" t="s">
        <v>143</v>
      </c>
      <c r="C2389" s="23">
        <v>7</v>
      </c>
      <c r="D2389" s="24">
        <v>45864</v>
      </c>
      <c r="E2389" s="23" t="s">
        <v>20</v>
      </c>
      <c r="F2389" s="23" t="s">
        <v>14</v>
      </c>
      <c r="G2389" s="23" t="s">
        <v>31</v>
      </c>
      <c r="H2389" s="23" t="s">
        <v>22</v>
      </c>
      <c r="I2389" s="23">
        <v>4</v>
      </c>
      <c r="J2389" s="23">
        <v>0</v>
      </c>
      <c r="K2389" s="23">
        <v>4</v>
      </c>
      <c r="L2389" s="23" t="s">
        <v>8363</v>
      </c>
      <c r="M2389" s="25">
        <v>2.5</v>
      </c>
      <c r="N2389">
        <f t="shared" si="37"/>
        <v>1</v>
      </c>
    </row>
    <row r="2390" spans="1:14" x14ac:dyDescent="0.35">
      <c r="A2390" s="6" t="s">
        <v>2460</v>
      </c>
      <c r="B2390" s="19" t="s">
        <v>139</v>
      </c>
      <c r="C2390" s="19">
        <v>11</v>
      </c>
      <c r="D2390" s="20">
        <v>45986</v>
      </c>
      <c r="E2390" s="19" t="s">
        <v>13</v>
      </c>
      <c r="F2390" s="19" t="s">
        <v>14</v>
      </c>
      <c r="G2390" s="19" t="s">
        <v>27</v>
      </c>
      <c r="H2390" s="19" t="s">
        <v>8364</v>
      </c>
      <c r="I2390" s="19">
        <v>48</v>
      </c>
      <c r="J2390" s="19">
        <v>0</v>
      </c>
      <c r="K2390" s="19">
        <v>5</v>
      </c>
      <c r="L2390" s="19" t="s">
        <v>8363</v>
      </c>
      <c r="M2390" s="21">
        <v>27.4</v>
      </c>
      <c r="N2390">
        <f t="shared" si="37"/>
        <v>1</v>
      </c>
    </row>
    <row r="2391" spans="1:14" x14ac:dyDescent="0.35">
      <c r="A2391" s="22" t="s">
        <v>2461</v>
      </c>
      <c r="B2391" s="23" t="s">
        <v>51</v>
      </c>
      <c r="C2391" s="23">
        <v>7</v>
      </c>
      <c r="D2391" s="24">
        <v>45859</v>
      </c>
      <c r="E2391" s="23" t="s">
        <v>68</v>
      </c>
      <c r="F2391" s="23" t="s">
        <v>59</v>
      </c>
      <c r="G2391" s="23" t="s">
        <v>21</v>
      </c>
      <c r="H2391" s="23" t="s">
        <v>32</v>
      </c>
      <c r="I2391" s="23">
        <v>48</v>
      </c>
      <c r="J2391" s="23">
        <v>0</v>
      </c>
      <c r="K2391" s="23">
        <v>4</v>
      </c>
      <c r="L2391" s="23" t="s">
        <v>8363</v>
      </c>
      <c r="M2391" s="25">
        <v>1.5</v>
      </c>
      <c r="N2391">
        <f t="shared" si="37"/>
        <v>1</v>
      </c>
    </row>
    <row r="2392" spans="1:14" x14ac:dyDescent="0.35">
      <c r="A2392" s="6" t="s">
        <v>2462</v>
      </c>
      <c r="B2392" s="19" t="s">
        <v>87</v>
      </c>
      <c r="C2392" s="19">
        <v>10</v>
      </c>
      <c r="D2392" s="20">
        <v>45934</v>
      </c>
      <c r="E2392" s="19" t="s">
        <v>36</v>
      </c>
      <c r="F2392" s="19" t="s">
        <v>26</v>
      </c>
      <c r="G2392" s="19" t="s">
        <v>21</v>
      </c>
      <c r="H2392" s="19" t="s">
        <v>28</v>
      </c>
      <c r="I2392" s="19">
        <v>8</v>
      </c>
      <c r="J2392" s="19">
        <v>0</v>
      </c>
      <c r="K2392" s="19">
        <v>3</v>
      </c>
      <c r="L2392" s="19" t="s">
        <v>44</v>
      </c>
      <c r="M2392" s="21">
        <v>21.3</v>
      </c>
      <c r="N2392">
        <f t="shared" si="37"/>
        <v>0</v>
      </c>
    </row>
    <row r="2393" spans="1:14" x14ac:dyDescent="0.35">
      <c r="A2393" s="22" t="s">
        <v>2463</v>
      </c>
      <c r="B2393" s="23" t="s">
        <v>57</v>
      </c>
      <c r="C2393" s="23">
        <v>5</v>
      </c>
      <c r="D2393" s="24">
        <v>45791</v>
      </c>
      <c r="E2393" s="23" t="s">
        <v>13</v>
      </c>
      <c r="F2393" s="23" t="s">
        <v>43</v>
      </c>
      <c r="G2393" s="23" t="s">
        <v>31</v>
      </c>
      <c r="H2393" s="23" t="s">
        <v>28</v>
      </c>
      <c r="I2393" s="23">
        <v>24</v>
      </c>
      <c r="J2393" s="23">
        <v>0</v>
      </c>
      <c r="K2393" s="23">
        <v>5</v>
      </c>
      <c r="L2393" s="23" t="s">
        <v>33</v>
      </c>
      <c r="M2393" s="25">
        <v>8.4</v>
      </c>
      <c r="N2393">
        <f t="shared" si="37"/>
        <v>1</v>
      </c>
    </row>
    <row r="2394" spans="1:14" x14ac:dyDescent="0.35">
      <c r="A2394" s="6" t="s">
        <v>2464</v>
      </c>
      <c r="B2394" s="19" t="s">
        <v>85</v>
      </c>
      <c r="C2394" s="19">
        <v>2</v>
      </c>
      <c r="D2394" s="20">
        <v>45714</v>
      </c>
      <c r="E2394" s="19" t="s">
        <v>13</v>
      </c>
      <c r="F2394" s="19" t="s">
        <v>43</v>
      </c>
      <c r="G2394" s="19" t="s">
        <v>31</v>
      </c>
      <c r="H2394" s="19" t="s">
        <v>22</v>
      </c>
      <c r="I2394" s="19">
        <v>48</v>
      </c>
      <c r="J2394" s="19">
        <v>0</v>
      </c>
      <c r="K2394" s="19">
        <v>5</v>
      </c>
      <c r="L2394" s="19" t="s">
        <v>62</v>
      </c>
      <c r="M2394" s="21">
        <v>12.1</v>
      </c>
      <c r="N2394">
        <f t="shared" si="37"/>
        <v>1</v>
      </c>
    </row>
    <row r="2395" spans="1:14" x14ac:dyDescent="0.35">
      <c r="A2395" s="22" t="s">
        <v>2465</v>
      </c>
      <c r="B2395" s="23" t="s">
        <v>143</v>
      </c>
      <c r="C2395" s="23">
        <v>8</v>
      </c>
      <c r="D2395" s="24">
        <v>45900</v>
      </c>
      <c r="E2395" s="23" t="s">
        <v>25</v>
      </c>
      <c r="F2395" s="23" t="s">
        <v>26</v>
      </c>
      <c r="G2395" s="23" t="s">
        <v>27</v>
      </c>
      <c r="H2395" s="23" t="s">
        <v>16</v>
      </c>
      <c r="I2395" s="23">
        <v>24</v>
      </c>
      <c r="J2395" s="23">
        <v>0</v>
      </c>
      <c r="K2395" s="23">
        <v>4</v>
      </c>
      <c r="L2395" s="23" t="s">
        <v>8363</v>
      </c>
      <c r="M2395" s="25">
        <v>22</v>
      </c>
      <c r="N2395">
        <f t="shared" si="37"/>
        <v>1</v>
      </c>
    </row>
    <row r="2396" spans="1:14" x14ac:dyDescent="0.35">
      <c r="A2396" s="6" t="s">
        <v>2466</v>
      </c>
      <c r="B2396" s="19" t="s">
        <v>51</v>
      </c>
      <c r="C2396" s="19">
        <v>3</v>
      </c>
      <c r="D2396" s="20">
        <v>45740</v>
      </c>
      <c r="E2396" s="19" t="s">
        <v>20</v>
      </c>
      <c r="F2396" s="19" t="s">
        <v>14</v>
      </c>
      <c r="G2396" s="19" t="s">
        <v>31</v>
      </c>
      <c r="H2396" s="19" t="s">
        <v>32</v>
      </c>
      <c r="I2396" s="19">
        <v>4</v>
      </c>
      <c r="J2396" s="19">
        <v>0</v>
      </c>
      <c r="K2396" s="19">
        <v>3</v>
      </c>
      <c r="L2396" s="19" t="s">
        <v>17</v>
      </c>
      <c r="M2396" s="21">
        <v>5</v>
      </c>
      <c r="N2396">
        <f t="shared" si="37"/>
        <v>0</v>
      </c>
    </row>
    <row r="2397" spans="1:14" x14ac:dyDescent="0.35">
      <c r="A2397" s="22" t="s">
        <v>2467</v>
      </c>
      <c r="B2397" s="23" t="s">
        <v>158</v>
      </c>
      <c r="C2397" s="23">
        <v>12</v>
      </c>
      <c r="D2397" s="24">
        <v>46011</v>
      </c>
      <c r="E2397" s="23" t="s">
        <v>68</v>
      </c>
      <c r="F2397" s="23" t="s">
        <v>26</v>
      </c>
      <c r="G2397" s="23" t="s">
        <v>31</v>
      </c>
      <c r="H2397" s="23" t="s">
        <v>8364</v>
      </c>
      <c r="I2397" s="23">
        <v>8</v>
      </c>
      <c r="J2397" s="23">
        <v>1</v>
      </c>
      <c r="K2397" s="23">
        <v>5</v>
      </c>
      <c r="L2397" s="23" t="s">
        <v>8363</v>
      </c>
      <c r="M2397" s="25">
        <v>4</v>
      </c>
      <c r="N2397">
        <f t="shared" si="37"/>
        <v>1</v>
      </c>
    </row>
    <row r="2398" spans="1:14" x14ac:dyDescent="0.35">
      <c r="A2398" s="6" t="s">
        <v>2468</v>
      </c>
      <c r="B2398" s="19" t="s">
        <v>45</v>
      </c>
      <c r="C2398" s="19">
        <v>5</v>
      </c>
      <c r="D2398" s="20">
        <v>45794</v>
      </c>
      <c r="E2398" s="19" t="s">
        <v>68</v>
      </c>
      <c r="F2398" s="19" t="s">
        <v>43</v>
      </c>
      <c r="G2398" s="19" t="s">
        <v>15</v>
      </c>
      <c r="H2398" s="19" t="s">
        <v>22</v>
      </c>
      <c r="I2398" s="19">
        <v>4</v>
      </c>
      <c r="J2398" s="19">
        <v>0</v>
      </c>
      <c r="K2398" s="19">
        <v>5</v>
      </c>
      <c r="L2398" s="19" t="s">
        <v>75</v>
      </c>
      <c r="M2398" s="21">
        <v>15.3</v>
      </c>
      <c r="N2398">
        <f t="shared" si="37"/>
        <v>0</v>
      </c>
    </row>
    <row r="2399" spans="1:14" x14ac:dyDescent="0.35">
      <c r="A2399" s="22" t="s">
        <v>2469</v>
      </c>
      <c r="B2399" s="23" t="s">
        <v>47</v>
      </c>
      <c r="C2399" s="23">
        <v>10</v>
      </c>
      <c r="D2399" s="24">
        <v>45935</v>
      </c>
      <c r="E2399" s="23" t="s">
        <v>20</v>
      </c>
      <c r="F2399" s="23" t="s">
        <v>14</v>
      </c>
      <c r="G2399" s="23" t="s">
        <v>27</v>
      </c>
      <c r="H2399" s="23" t="s">
        <v>22</v>
      </c>
      <c r="I2399" s="23">
        <v>72</v>
      </c>
      <c r="J2399" s="23">
        <v>0</v>
      </c>
      <c r="K2399" s="23">
        <v>1</v>
      </c>
      <c r="L2399" s="23" t="s">
        <v>55</v>
      </c>
      <c r="M2399" s="25"/>
      <c r="N2399">
        <f t="shared" si="37"/>
        <v>1</v>
      </c>
    </row>
    <row r="2400" spans="1:14" x14ac:dyDescent="0.35">
      <c r="A2400" s="6" t="s">
        <v>2470</v>
      </c>
      <c r="B2400" s="19" t="s">
        <v>78</v>
      </c>
      <c r="C2400" s="19">
        <v>1</v>
      </c>
      <c r="D2400" s="20">
        <v>45669</v>
      </c>
      <c r="E2400" s="19" t="s">
        <v>13</v>
      </c>
      <c r="F2400" s="19" t="s">
        <v>43</v>
      </c>
      <c r="G2400" s="19" t="s">
        <v>21</v>
      </c>
      <c r="H2400" s="19" t="s">
        <v>22</v>
      </c>
      <c r="I2400" s="19">
        <v>48</v>
      </c>
      <c r="J2400" s="19">
        <v>0</v>
      </c>
      <c r="K2400" s="19">
        <v>5</v>
      </c>
      <c r="L2400" s="19" t="s">
        <v>55</v>
      </c>
      <c r="M2400" s="21">
        <v>11.4</v>
      </c>
      <c r="N2400">
        <f t="shared" si="37"/>
        <v>1</v>
      </c>
    </row>
    <row r="2401" spans="1:14" x14ac:dyDescent="0.35">
      <c r="A2401" s="22" t="s">
        <v>2471</v>
      </c>
      <c r="B2401" s="23" t="s">
        <v>65</v>
      </c>
      <c r="C2401" s="23">
        <v>9</v>
      </c>
      <c r="D2401" s="24">
        <v>45908</v>
      </c>
      <c r="E2401" s="23" t="s">
        <v>68</v>
      </c>
      <c r="F2401" s="23" t="s">
        <v>40</v>
      </c>
      <c r="G2401" s="23" t="s">
        <v>31</v>
      </c>
      <c r="H2401" s="23" t="s">
        <v>28</v>
      </c>
      <c r="I2401" s="23">
        <v>24</v>
      </c>
      <c r="J2401" s="23">
        <v>0</v>
      </c>
      <c r="K2401" s="23">
        <v>5</v>
      </c>
      <c r="L2401" s="23" t="s">
        <v>8363</v>
      </c>
      <c r="M2401" s="25">
        <v>21.4</v>
      </c>
      <c r="N2401">
        <f t="shared" si="37"/>
        <v>1</v>
      </c>
    </row>
    <row r="2402" spans="1:14" x14ac:dyDescent="0.35">
      <c r="A2402" s="6" t="s">
        <v>2472</v>
      </c>
      <c r="B2402" s="19" t="s">
        <v>57</v>
      </c>
      <c r="C2402" s="19">
        <v>11</v>
      </c>
      <c r="D2402" s="20">
        <v>45989</v>
      </c>
      <c r="E2402" s="19" t="s">
        <v>20</v>
      </c>
      <c r="F2402" s="19" t="s">
        <v>37</v>
      </c>
      <c r="G2402" s="19" t="s">
        <v>27</v>
      </c>
      <c r="H2402" s="19" t="s">
        <v>16</v>
      </c>
      <c r="I2402" s="19">
        <v>48</v>
      </c>
      <c r="J2402" s="19">
        <v>2</v>
      </c>
      <c r="K2402" s="19">
        <v>5</v>
      </c>
      <c r="L2402" s="19" t="s">
        <v>44</v>
      </c>
      <c r="M2402" s="21">
        <v>5.0999999999999996</v>
      </c>
      <c r="N2402">
        <f t="shared" si="37"/>
        <v>1</v>
      </c>
    </row>
    <row r="2403" spans="1:14" x14ac:dyDescent="0.35">
      <c r="A2403" s="22" t="s">
        <v>2473</v>
      </c>
      <c r="B2403" s="23" t="s">
        <v>72</v>
      </c>
      <c r="C2403" s="23">
        <v>4</v>
      </c>
      <c r="D2403" s="24">
        <v>45775</v>
      </c>
      <c r="E2403" s="23" t="s">
        <v>8364</v>
      </c>
      <c r="F2403" s="23" t="s">
        <v>43</v>
      </c>
      <c r="G2403" s="23" t="s">
        <v>8364</v>
      </c>
      <c r="H2403" s="23" t="s">
        <v>28</v>
      </c>
      <c r="I2403" s="23">
        <v>4</v>
      </c>
      <c r="J2403" s="23">
        <v>2</v>
      </c>
      <c r="K2403" s="23">
        <v>2</v>
      </c>
      <c r="L2403" s="23" t="s">
        <v>75</v>
      </c>
      <c r="M2403" s="25">
        <v>32.5</v>
      </c>
      <c r="N2403">
        <f t="shared" si="37"/>
        <v>0</v>
      </c>
    </row>
    <row r="2404" spans="1:14" x14ac:dyDescent="0.35">
      <c r="A2404" s="6" t="s">
        <v>2474</v>
      </c>
      <c r="B2404" s="19" t="s">
        <v>81</v>
      </c>
      <c r="C2404" s="19">
        <v>11</v>
      </c>
      <c r="D2404" s="20">
        <v>45983</v>
      </c>
      <c r="E2404" s="19" t="s">
        <v>13</v>
      </c>
      <c r="F2404" s="19" t="s">
        <v>43</v>
      </c>
      <c r="G2404" s="19" t="s">
        <v>31</v>
      </c>
      <c r="H2404" s="19" t="s">
        <v>28</v>
      </c>
      <c r="I2404" s="19">
        <v>4</v>
      </c>
      <c r="J2404" s="19">
        <v>0</v>
      </c>
      <c r="K2404" s="19">
        <v>5</v>
      </c>
      <c r="L2404" s="19" t="s">
        <v>8363</v>
      </c>
      <c r="M2404" s="21">
        <v>26.4</v>
      </c>
      <c r="N2404">
        <f t="shared" si="37"/>
        <v>0</v>
      </c>
    </row>
    <row r="2405" spans="1:14" x14ac:dyDescent="0.35">
      <c r="A2405" s="22" t="s">
        <v>2475</v>
      </c>
      <c r="B2405" s="23" t="s">
        <v>143</v>
      </c>
      <c r="C2405" s="23">
        <v>10</v>
      </c>
      <c r="D2405" s="24">
        <v>45934</v>
      </c>
      <c r="E2405" s="23" t="s">
        <v>25</v>
      </c>
      <c r="F2405" s="23" t="s">
        <v>8364</v>
      </c>
      <c r="G2405" s="23" t="s">
        <v>21</v>
      </c>
      <c r="H2405" s="23" t="s">
        <v>28</v>
      </c>
      <c r="I2405" s="23">
        <v>4</v>
      </c>
      <c r="J2405" s="23">
        <v>0</v>
      </c>
      <c r="K2405" s="23">
        <v>4</v>
      </c>
      <c r="L2405" s="23" t="s">
        <v>8363</v>
      </c>
      <c r="M2405" s="25">
        <v>3.7</v>
      </c>
      <c r="N2405">
        <f t="shared" si="37"/>
        <v>1</v>
      </c>
    </row>
    <row r="2406" spans="1:14" x14ac:dyDescent="0.35">
      <c r="A2406" s="6" t="s">
        <v>2476</v>
      </c>
      <c r="B2406" s="19" t="s">
        <v>34</v>
      </c>
      <c r="C2406" s="19">
        <v>3</v>
      </c>
      <c r="D2406" s="20">
        <v>45729</v>
      </c>
      <c r="E2406" s="19" t="s">
        <v>25</v>
      </c>
      <c r="F2406" s="19" t="s">
        <v>14</v>
      </c>
      <c r="G2406" s="19" t="s">
        <v>21</v>
      </c>
      <c r="H2406" s="19" t="s">
        <v>22</v>
      </c>
      <c r="I2406" s="19">
        <v>4</v>
      </c>
      <c r="J2406" s="19">
        <v>0</v>
      </c>
      <c r="K2406" s="19">
        <v>5</v>
      </c>
      <c r="L2406" s="19" t="s">
        <v>44</v>
      </c>
      <c r="M2406" s="21">
        <v>14.8</v>
      </c>
      <c r="N2406">
        <f t="shared" si="37"/>
        <v>0</v>
      </c>
    </row>
    <row r="2407" spans="1:14" x14ac:dyDescent="0.35">
      <c r="A2407" s="22" t="s">
        <v>2477</v>
      </c>
      <c r="B2407" s="23" t="s">
        <v>45</v>
      </c>
      <c r="C2407" s="23">
        <v>11</v>
      </c>
      <c r="D2407" s="24">
        <v>45984</v>
      </c>
      <c r="E2407" s="23" t="s">
        <v>25</v>
      </c>
      <c r="F2407" s="23" t="s">
        <v>14</v>
      </c>
      <c r="G2407" s="23" t="s">
        <v>27</v>
      </c>
      <c r="H2407" s="23" t="s">
        <v>22</v>
      </c>
      <c r="I2407" s="23">
        <v>4</v>
      </c>
      <c r="J2407" s="23">
        <v>0</v>
      </c>
      <c r="K2407" s="23">
        <v>5</v>
      </c>
      <c r="L2407" s="23" t="s">
        <v>44</v>
      </c>
      <c r="M2407" s="25">
        <v>8.4</v>
      </c>
      <c r="N2407">
        <f t="shared" si="37"/>
        <v>0</v>
      </c>
    </row>
    <row r="2408" spans="1:14" x14ac:dyDescent="0.35">
      <c r="A2408" s="6" t="s">
        <v>2478</v>
      </c>
      <c r="B2408" s="19" t="s">
        <v>81</v>
      </c>
      <c r="C2408" s="19">
        <v>6</v>
      </c>
      <c r="D2408" s="20">
        <v>45815</v>
      </c>
      <c r="E2408" s="19" t="s">
        <v>68</v>
      </c>
      <c r="F2408" s="19" t="s">
        <v>40</v>
      </c>
      <c r="G2408" s="19" t="s">
        <v>27</v>
      </c>
      <c r="H2408" s="19" t="s">
        <v>22</v>
      </c>
      <c r="I2408" s="19">
        <v>24</v>
      </c>
      <c r="J2408" s="19">
        <v>0</v>
      </c>
      <c r="K2408" s="19">
        <v>5</v>
      </c>
      <c r="L2408" s="19" t="s">
        <v>8363</v>
      </c>
      <c r="M2408" s="21">
        <v>12</v>
      </c>
      <c r="N2408">
        <f t="shared" si="37"/>
        <v>1</v>
      </c>
    </row>
    <row r="2409" spans="1:14" x14ac:dyDescent="0.35">
      <c r="A2409" s="22" t="s">
        <v>2479</v>
      </c>
      <c r="B2409" s="23" t="s">
        <v>101</v>
      </c>
      <c r="C2409" s="23">
        <v>7</v>
      </c>
      <c r="D2409" s="24">
        <v>45862</v>
      </c>
      <c r="E2409" s="23" t="s">
        <v>68</v>
      </c>
      <c r="F2409" s="23" t="s">
        <v>14</v>
      </c>
      <c r="G2409" s="23" t="s">
        <v>27</v>
      </c>
      <c r="H2409" s="23" t="s">
        <v>22</v>
      </c>
      <c r="I2409" s="23">
        <v>48</v>
      </c>
      <c r="J2409" s="23">
        <v>0</v>
      </c>
      <c r="K2409" s="23">
        <v>5</v>
      </c>
      <c r="L2409" s="23" t="s">
        <v>8363</v>
      </c>
      <c r="M2409" s="25">
        <v>3.8</v>
      </c>
      <c r="N2409">
        <f t="shared" si="37"/>
        <v>1</v>
      </c>
    </row>
    <row r="2410" spans="1:14" x14ac:dyDescent="0.35">
      <c r="A2410" s="6" t="s">
        <v>2480</v>
      </c>
      <c r="B2410" s="19" t="s">
        <v>85</v>
      </c>
      <c r="C2410" s="19">
        <v>3</v>
      </c>
      <c r="D2410" s="20">
        <v>45737</v>
      </c>
      <c r="E2410" s="19" t="s">
        <v>20</v>
      </c>
      <c r="F2410" s="19" t="s">
        <v>59</v>
      </c>
      <c r="G2410" s="19" t="s">
        <v>27</v>
      </c>
      <c r="H2410" s="19" t="s">
        <v>28</v>
      </c>
      <c r="I2410" s="19">
        <v>4</v>
      </c>
      <c r="J2410" s="19">
        <v>0</v>
      </c>
      <c r="K2410" s="19">
        <v>4</v>
      </c>
      <c r="L2410" s="19" t="s">
        <v>17</v>
      </c>
      <c r="M2410" s="21">
        <v>12.7</v>
      </c>
      <c r="N2410">
        <f t="shared" si="37"/>
        <v>0</v>
      </c>
    </row>
    <row r="2411" spans="1:14" x14ac:dyDescent="0.35">
      <c r="A2411" s="22" t="s">
        <v>2481</v>
      </c>
      <c r="B2411" s="23" t="s">
        <v>47</v>
      </c>
      <c r="C2411" s="23">
        <v>2</v>
      </c>
      <c r="D2411" s="24">
        <v>45701</v>
      </c>
      <c r="E2411" s="23" t="s">
        <v>36</v>
      </c>
      <c r="F2411" s="23" t="s">
        <v>14</v>
      </c>
      <c r="G2411" s="23" t="s">
        <v>31</v>
      </c>
      <c r="H2411" s="23" t="s">
        <v>22</v>
      </c>
      <c r="I2411" s="23">
        <v>72</v>
      </c>
      <c r="J2411" s="23">
        <v>0</v>
      </c>
      <c r="K2411" s="23">
        <v>2</v>
      </c>
      <c r="L2411" s="23" t="s">
        <v>38</v>
      </c>
      <c r="M2411" s="25">
        <v>4.9000000000000004</v>
      </c>
      <c r="N2411">
        <f t="shared" si="37"/>
        <v>1</v>
      </c>
    </row>
    <row r="2412" spans="1:14" x14ac:dyDescent="0.35">
      <c r="A2412" s="6" t="s">
        <v>2482</v>
      </c>
      <c r="B2412" s="19" t="s">
        <v>34</v>
      </c>
      <c r="C2412" s="19">
        <v>4</v>
      </c>
      <c r="D2412" s="20">
        <v>45769</v>
      </c>
      <c r="E2412" s="19" t="s">
        <v>25</v>
      </c>
      <c r="F2412" s="19" t="s">
        <v>59</v>
      </c>
      <c r="G2412" s="19" t="s">
        <v>21</v>
      </c>
      <c r="H2412" s="19" t="s">
        <v>22</v>
      </c>
      <c r="I2412" s="19">
        <v>72</v>
      </c>
      <c r="J2412" s="19">
        <v>1</v>
      </c>
      <c r="K2412" s="19">
        <v>5</v>
      </c>
      <c r="L2412" s="19" t="s">
        <v>33</v>
      </c>
      <c r="M2412" s="21"/>
      <c r="N2412">
        <f t="shared" si="37"/>
        <v>1</v>
      </c>
    </row>
    <row r="2413" spans="1:14" x14ac:dyDescent="0.35">
      <c r="A2413" s="22" t="s">
        <v>2483</v>
      </c>
      <c r="B2413" s="23" t="s">
        <v>69</v>
      </c>
      <c r="C2413" s="23">
        <v>5</v>
      </c>
      <c r="D2413" s="24">
        <v>45803</v>
      </c>
      <c r="E2413" s="23" t="s">
        <v>36</v>
      </c>
      <c r="F2413" s="23" t="s">
        <v>43</v>
      </c>
      <c r="G2413" s="23" t="s">
        <v>8364</v>
      </c>
      <c r="H2413" s="23" t="s">
        <v>32</v>
      </c>
      <c r="I2413" s="23">
        <v>4</v>
      </c>
      <c r="J2413" s="23">
        <v>0</v>
      </c>
      <c r="K2413" s="23">
        <v>5</v>
      </c>
      <c r="L2413" s="23" t="s">
        <v>75</v>
      </c>
      <c r="M2413" s="25">
        <v>3.1</v>
      </c>
      <c r="N2413">
        <f t="shared" si="37"/>
        <v>1</v>
      </c>
    </row>
    <row r="2414" spans="1:14" x14ac:dyDescent="0.35">
      <c r="A2414" s="6" t="s">
        <v>2484</v>
      </c>
      <c r="B2414" s="19" t="s">
        <v>41</v>
      </c>
      <c r="C2414" s="19">
        <v>6</v>
      </c>
      <c r="D2414" s="20">
        <v>45809</v>
      </c>
      <c r="E2414" s="19" t="s">
        <v>20</v>
      </c>
      <c r="F2414" s="19" t="s">
        <v>37</v>
      </c>
      <c r="G2414" s="19" t="s">
        <v>31</v>
      </c>
      <c r="H2414" s="19" t="s">
        <v>22</v>
      </c>
      <c r="I2414" s="19">
        <v>4</v>
      </c>
      <c r="J2414" s="19">
        <v>0</v>
      </c>
      <c r="K2414" s="19">
        <v>5</v>
      </c>
      <c r="L2414" s="19" t="s">
        <v>17</v>
      </c>
      <c r="M2414" s="21">
        <v>21.8</v>
      </c>
      <c r="N2414">
        <f t="shared" si="37"/>
        <v>0</v>
      </c>
    </row>
    <row r="2415" spans="1:14" x14ac:dyDescent="0.35">
      <c r="A2415" s="22" t="s">
        <v>2485</v>
      </c>
      <c r="B2415" s="23" t="s">
        <v>87</v>
      </c>
      <c r="C2415" s="23"/>
      <c r="D2415" s="24"/>
      <c r="E2415" s="23" t="s">
        <v>36</v>
      </c>
      <c r="F2415" s="23" t="s">
        <v>37</v>
      </c>
      <c r="G2415" s="23" t="s">
        <v>8364</v>
      </c>
      <c r="H2415" s="23" t="s">
        <v>32</v>
      </c>
      <c r="I2415" s="23">
        <v>48</v>
      </c>
      <c r="J2415" s="23">
        <v>0</v>
      </c>
      <c r="K2415" s="23">
        <v>5</v>
      </c>
      <c r="L2415" s="23" t="s">
        <v>8363</v>
      </c>
      <c r="M2415" s="25">
        <v>13.5</v>
      </c>
      <c r="N2415">
        <f t="shared" si="37"/>
        <v>1</v>
      </c>
    </row>
    <row r="2416" spans="1:14" x14ac:dyDescent="0.35">
      <c r="A2416" s="6" t="s">
        <v>2486</v>
      </c>
      <c r="B2416" s="19" t="s">
        <v>158</v>
      </c>
      <c r="C2416" s="19">
        <v>3</v>
      </c>
      <c r="D2416" s="20">
        <v>45724</v>
      </c>
      <c r="E2416" s="19" t="s">
        <v>13</v>
      </c>
      <c r="F2416" s="19" t="s">
        <v>40</v>
      </c>
      <c r="G2416" s="19" t="s">
        <v>21</v>
      </c>
      <c r="H2416" s="19" t="s">
        <v>22</v>
      </c>
      <c r="I2416" s="19">
        <v>48</v>
      </c>
      <c r="J2416" s="19">
        <v>0</v>
      </c>
      <c r="K2416" s="19">
        <v>5</v>
      </c>
      <c r="L2416" s="19" t="s">
        <v>38</v>
      </c>
      <c r="M2416" s="21">
        <v>6.2</v>
      </c>
      <c r="N2416">
        <f t="shared" si="37"/>
        <v>1</v>
      </c>
    </row>
    <row r="2417" spans="1:14" x14ac:dyDescent="0.35">
      <c r="A2417" s="22" t="s">
        <v>2487</v>
      </c>
      <c r="B2417" s="23" t="s">
        <v>126</v>
      </c>
      <c r="C2417" s="23">
        <v>12</v>
      </c>
      <c r="D2417" s="24">
        <v>46003</v>
      </c>
      <c r="E2417" s="23" t="s">
        <v>25</v>
      </c>
      <c r="F2417" s="23" t="s">
        <v>43</v>
      </c>
      <c r="G2417" s="23" t="s">
        <v>31</v>
      </c>
      <c r="H2417" s="23" t="s">
        <v>8364</v>
      </c>
      <c r="I2417" s="23">
        <v>4</v>
      </c>
      <c r="J2417" s="23">
        <v>0</v>
      </c>
      <c r="K2417" s="23">
        <v>4</v>
      </c>
      <c r="L2417" s="23" t="s">
        <v>33</v>
      </c>
      <c r="M2417" s="25">
        <v>3.8</v>
      </c>
      <c r="N2417">
        <f t="shared" si="37"/>
        <v>1</v>
      </c>
    </row>
    <row r="2418" spans="1:14" x14ac:dyDescent="0.35">
      <c r="A2418" s="6" t="s">
        <v>2488</v>
      </c>
      <c r="B2418" s="19" t="s">
        <v>69</v>
      </c>
      <c r="C2418" s="19">
        <v>3</v>
      </c>
      <c r="D2418" s="20">
        <v>45719</v>
      </c>
      <c r="E2418" s="19" t="s">
        <v>13</v>
      </c>
      <c r="F2418" s="19" t="s">
        <v>40</v>
      </c>
      <c r="G2418" s="19" t="s">
        <v>15</v>
      </c>
      <c r="H2418" s="19" t="s">
        <v>32</v>
      </c>
      <c r="I2418" s="19">
        <v>72</v>
      </c>
      <c r="J2418" s="19">
        <v>0</v>
      </c>
      <c r="K2418" s="19">
        <v>4</v>
      </c>
      <c r="L2418" s="19" t="s">
        <v>8363</v>
      </c>
      <c r="M2418" s="21">
        <v>17.899999999999999</v>
      </c>
      <c r="N2418">
        <f t="shared" si="37"/>
        <v>1</v>
      </c>
    </row>
    <row r="2419" spans="1:14" x14ac:dyDescent="0.35">
      <c r="A2419" s="22" t="s">
        <v>2489</v>
      </c>
      <c r="B2419" s="23" t="s">
        <v>143</v>
      </c>
      <c r="C2419" s="23">
        <v>6</v>
      </c>
      <c r="D2419" s="24">
        <v>45833</v>
      </c>
      <c r="E2419" s="23" t="s">
        <v>25</v>
      </c>
      <c r="F2419" s="23" t="s">
        <v>8364</v>
      </c>
      <c r="G2419" s="23" t="s">
        <v>27</v>
      </c>
      <c r="H2419" s="23" t="s">
        <v>22</v>
      </c>
      <c r="I2419" s="23">
        <v>8</v>
      </c>
      <c r="J2419" s="23">
        <v>0</v>
      </c>
      <c r="K2419" s="23">
        <v>3</v>
      </c>
      <c r="L2419" s="23" t="s">
        <v>8363</v>
      </c>
      <c r="M2419" s="25">
        <v>3.8</v>
      </c>
      <c r="N2419">
        <f t="shared" si="37"/>
        <v>1</v>
      </c>
    </row>
    <row r="2420" spans="1:14" x14ac:dyDescent="0.35">
      <c r="A2420" s="6" t="s">
        <v>2490</v>
      </c>
      <c r="B2420" s="19" t="s">
        <v>23</v>
      </c>
      <c r="C2420" s="19"/>
      <c r="D2420" s="20"/>
      <c r="E2420" s="19" t="s">
        <v>68</v>
      </c>
      <c r="F2420" s="19" t="s">
        <v>14</v>
      </c>
      <c r="G2420" s="19" t="s">
        <v>8364</v>
      </c>
      <c r="H2420" s="19" t="s">
        <v>16</v>
      </c>
      <c r="I2420" s="19">
        <v>24</v>
      </c>
      <c r="J2420" s="19">
        <v>0</v>
      </c>
      <c r="K2420" s="19">
        <v>4</v>
      </c>
      <c r="L2420" s="19" t="s">
        <v>8363</v>
      </c>
      <c r="M2420" s="21">
        <v>44.8</v>
      </c>
      <c r="N2420">
        <f t="shared" si="37"/>
        <v>0</v>
      </c>
    </row>
    <row r="2421" spans="1:14" x14ac:dyDescent="0.35">
      <c r="A2421" s="22" t="s">
        <v>2491</v>
      </c>
      <c r="B2421" s="23" t="s">
        <v>47</v>
      </c>
      <c r="C2421" s="23">
        <v>2</v>
      </c>
      <c r="D2421" s="24">
        <v>45697</v>
      </c>
      <c r="E2421" s="23" t="s">
        <v>20</v>
      </c>
      <c r="F2421" s="23" t="s">
        <v>40</v>
      </c>
      <c r="G2421" s="23" t="s">
        <v>21</v>
      </c>
      <c r="H2421" s="23" t="s">
        <v>16</v>
      </c>
      <c r="I2421" s="23">
        <v>8</v>
      </c>
      <c r="J2421" s="23">
        <v>0</v>
      </c>
      <c r="K2421" s="23">
        <v>2</v>
      </c>
      <c r="L2421" s="23" t="s">
        <v>8363</v>
      </c>
      <c r="M2421" s="25">
        <v>7.9</v>
      </c>
      <c r="N2421">
        <f t="shared" si="37"/>
        <v>1</v>
      </c>
    </row>
    <row r="2422" spans="1:14" x14ac:dyDescent="0.35">
      <c r="A2422" s="6" t="s">
        <v>2492</v>
      </c>
      <c r="B2422" s="19" t="s">
        <v>158</v>
      </c>
      <c r="C2422" s="19">
        <v>9</v>
      </c>
      <c r="D2422" s="20">
        <v>45910</v>
      </c>
      <c r="E2422" s="19" t="s">
        <v>13</v>
      </c>
      <c r="F2422" s="19" t="s">
        <v>43</v>
      </c>
      <c r="G2422" s="19" t="s">
        <v>31</v>
      </c>
      <c r="H2422" s="19" t="s">
        <v>22</v>
      </c>
      <c r="I2422" s="19">
        <v>4</v>
      </c>
      <c r="J2422" s="19">
        <v>0</v>
      </c>
      <c r="K2422" s="19">
        <v>5</v>
      </c>
      <c r="L2422" s="19" t="s">
        <v>17</v>
      </c>
      <c r="M2422" s="21">
        <v>26.4</v>
      </c>
      <c r="N2422">
        <f t="shared" si="37"/>
        <v>0</v>
      </c>
    </row>
    <row r="2423" spans="1:14" x14ac:dyDescent="0.35">
      <c r="A2423" s="22" t="s">
        <v>2493</v>
      </c>
      <c r="B2423" s="23" t="s">
        <v>85</v>
      </c>
      <c r="C2423" s="23">
        <v>3</v>
      </c>
      <c r="D2423" s="24">
        <v>45739</v>
      </c>
      <c r="E2423" s="23" t="s">
        <v>68</v>
      </c>
      <c r="F2423" s="23" t="s">
        <v>43</v>
      </c>
      <c r="G2423" s="23" t="s">
        <v>31</v>
      </c>
      <c r="H2423" s="23" t="s">
        <v>8364</v>
      </c>
      <c r="I2423" s="23">
        <v>8</v>
      </c>
      <c r="J2423" s="23">
        <v>1</v>
      </c>
      <c r="K2423" s="23">
        <v>5</v>
      </c>
      <c r="L2423" s="23" t="s">
        <v>17</v>
      </c>
      <c r="M2423" s="25">
        <v>22.4</v>
      </c>
      <c r="N2423">
        <f t="shared" si="37"/>
        <v>0</v>
      </c>
    </row>
    <row r="2424" spans="1:14" x14ac:dyDescent="0.35">
      <c r="A2424" s="6" t="s">
        <v>2494</v>
      </c>
      <c r="B2424" s="19" t="s">
        <v>81</v>
      </c>
      <c r="C2424" s="19">
        <v>9</v>
      </c>
      <c r="D2424" s="20">
        <v>45914</v>
      </c>
      <c r="E2424" s="19" t="s">
        <v>13</v>
      </c>
      <c r="F2424" s="19" t="s">
        <v>14</v>
      </c>
      <c r="G2424" s="19" t="s">
        <v>27</v>
      </c>
      <c r="H2424" s="19" t="s">
        <v>28</v>
      </c>
      <c r="I2424" s="19">
        <v>24</v>
      </c>
      <c r="J2424" s="19">
        <v>0</v>
      </c>
      <c r="K2424" s="19">
        <v>4</v>
      </c>
      <c r="L2424" s="19" t="s">
        <v>75</v>
      </c>
      <c r="M2424" s="21">
        <v>9.1</v>
      </c>
      <c r="N2424">
        <f t="shared" si="37"/>
        <v>1</v>
      </c>
    </row>
    <row r="2425" spans="1:14" x14ac:dyDescent="0.35">
      <c r="A2425" s="22" t="s">
        <v>2495</v>
      </c>
      <c r="B2425" s="23" t="s">
        <v>69</v>
      </c>
      <c r="C2425" s="23">
        <v>7</v>
      </c>
      <c r="D2425" s="24">
        <v>45840</v>
      </c>
      <c r="E2425" s="23" t="s">
        <v>13</v>
      </c>
      <c r="F2425" s="23" t="s">
        <v>37</v>
      </c>
      <c r="G2425" s="23" t="s">
        <v>27</v>
      </c>
      <c r="H2425" s="23" t="s">
        <v>22</v>
      </c>
      <c r="I2425" s="23">
        <v>8</v>
      </c>
      <c r="J2425" s="23">
        <v>1</v>
      </c>
      <c r="K2425" s="23">
        <v>4</v>
      </c>
      <c r="L2425" s="23" t="s">
        <v>75</v>
      </c>
      <c r="M2425" s="25"/>
      <c r="N2425">
        <f t="shared" si="37"/>
        <v>1</v>
      </c>
    </row>
    <row r="2426" spans="1:14" x14ac:dyDescent="0.35">
      <c r="A2426" s="6" t="s">
        <v>2496</v>
      </c>
      <c r="B2426" s="19" t="s">
        <v>72</v>
      </c>
      <c r="C2426" s="19">
        <v>11</v>
      </c>
      <c r="D2426" s="20">
        <v>45976</v>
      </c>
      <c r="E2426" s="19" t="s">
        <v>20</v>
      </c>
      <c r="F2426" s="19" t="s">
        <v>59</v>
      </c>
      <c r="G2426" s="19" t="s">
        <v>8364</v>
      </c>
      <c r="H2426" s="19" t="s">
        <v>16</v>
      </c>
      <c r="I2426" s="19">
        <v>8</v>
      </c>
      <c r="J2426" s="19">
        <v>0</v>
      </c>
      <c r="K2426" s="19">
        <v>4</v>
      </c>
      <c r="L2426" s="19" t="s">
        <v>55</v>
      </c>
      <c r="M2426" s="21">
        <v>5.0999999999999996</v>
      </c>
      <c r="N2426">
        <f t="shared" si="37"/>
        <v>1</v>
      </c>
    </row>
    <row r="2427" spans="1:14" x14ac:dyDescent="0.35">
      <c r="A2427" s="22" t="s">
        <v>2497</v>
      </c>
      <c r="B2427" s="23" t="s">
        <v>29</v>
      </c>
      <c r="C2427" s="23">
        <v>7</v>
      </c>
      <c r="D2427" s="24">
        <v>45848</v>
      </c>
      <c r="E2427" s="23" t="s">
        <v>13</v>
      </c>
      <c r="F2427" s="23" t="s">
        <v>14</v>
      </c>
      <c r="G2427" s="23" t="s">
        <v>21</v>
      </c>
      <c r="H2427" s="23" t="s">
        <v>32</v>
      </c>
      <c r="I2427" s="23">
        <v>4</v>
      </c>
      <c r="J2427" s="23">
        <v>0</v>
      </c>
      <c r="K2427" s="23">
        <v>5</v>
      </c>
      <c r="L2427" s="23" t="s">
        <v>75</v>
      </c>
      <c r="M2427" s="25">
        <v>18.3</v>
      </c>
      <c r="N2427">
        <f t="shared" si="37"/>
        <v>0</v>
      </c>
    </row>
    <row r="2428" spans="1:14" x14ac:dyDescent="0.35">
      <c r="A2428" s="6" t="s">
        <v>2498</v>
      </c>
      <c r="B2428" s="19" t="s">
        <v>97</v>
      </c>
      <c r="C2428" s="19">
        <v>9</v>
      </c>
      <c r="D2428" s="20">
        <v>45916</v>
      </c>
      <c r="E2428" s="19" t="s">
        <v>13</v>
      </c>
      <c r="F2428" s="19" t="s">
        <v>40</v>
      </c>
      <c r="G2428" s="19" t="s">
        <v>27</v>
      </c>
      <c r="H2428" s="19" t="s">
        <v>32</v>
      </c>
      <c r="I2428" s="19">
        <v>4</v>
      </c>
      <c r="J2428" s="19">
        <v>0</v>
      </c>
      <c r="K2428" s="19"/>
      <c r="L2428" s="19" t="s">
        <v>8363</v>
      </c>
      <c r="M2428" s="21">
        <v>18.2</v>
      </c>
      <c r="N2428">
        <f t="shared" si="37"/>
        <v>0</v>
      </c>
    </row>
    <row r="2429" spans="1:14" x14ac:dyDescent="0.35">
      <c r="A2429" s="22" t="s">
        <v>2499</v>
      </c>
      <c r="B2429" s="23" t="s">
        <v>126</v>
      </c>
      <c r="C2429" s="23">
        <v>12</v>
      </c>
      <c r="D2429" s="24">
        <v>46012</v>
      </c>
      <c r="E2429" s="23" t="s">
        <v>13</v>
      </c>
      <c r="F2429" s="23" t="s">
        <v>26</v>
      </c>
      <c r="G2429" s="23" t="s">
        <v>15</v>
      </c>
      <c r="H2429" s="23" t="s">
        <v>22</v>
      </c>
      <c r="I2429" s="23">
        <v>4</v>
      </c>
      <c r="J2429" s="23">
        <v>0</v>
      </c>
      <c r="K2429" s="23">
        <v>5</v>
      </c>
      <c r="L2429" s="23" t="s">
        <v>75</v>
      </c>
      <c r="M2429" s="25">
        <v>14.7</v>
      </c>
      <c r="N2429">
        <f t="shared" si="37"/>
        <v>0</v>
      </c>
    </row>
    <row r="2430" spans="1:14" x14ac:dyDescent="0.35">
      <c r="A2430" s="6" t="s">
        <v>2500</v>
      </c>
      <c r="B2430" s="19" t="s">
        <v>69</v>
      </c>
      <c r="C2430" s="19">
        <v>3</v>
      </c>
      <c r="D2430" s="20">
        <v>45728</v>
      </c>
      <c r="E2430" s="19" t="s">
        <v>25</v>
      </c>
      <c r="F2430" s="19" t="s">
        <v>26</v>
      </c>
      <c r="G2430" s="19" t="s">
        <v>21</v>
      </c>
      <c r="H2430" s="19" t="s">
        <v>28</v>
      </c>
      <c r="I2430" s="19">
        <v>24</v>
      </c>
      <c r="J2430" s="19">
        <v>0</v>
      </c>
      <c r="K2430" s="19">
        <v>4</v>
      </c>
      <c r="L2430" s="19" t="s">
        <v>8363</v>
      </c>
      <c r="M2430" s="21">
        <v>21.8</v>
      </c>
      <c r="N2430">
        <f t="shared" si="37"/>
        <v>1</v>
      </c>
    </row>
    <row r="2431" spans="1:14" x14ac:dyDescent="0.35">
      <c r="A2431" s="22" t="s">
        <v>2501</v>
      </c>
      <c r="B2431" s="23" t="s">
        <v>65</v>
      </c>
      <c r="C2431" s="23">
        <v>3</v>
      </c>
      <c r="D2431" s="24">
        <v>45724</v>
      </c>
      <c r="E2431" s="23" t="s">
        <v>13</v>
      </c>
      <c r="F2431" s="23" t="s">
        <v>14</v>
      </c>
      <c r="G2431" s="23" t="s">
        <v>27</v>
      </c>
      <c r="H2431" s="23" t="s">
        <v>16</v>
      </c>
      <c r="I2431" s="23">
        <v>24</v>
      </c>
      <c r="J2431" s="23">
        <v>1</v>
      </c>
      <c r="K2431" s="23">
        <v>1</v>
      </c>
      <c r="L2431" s="23" t="s">
        <v>17</v>
      </c>
      <c r="M2431" s="25">
        <v>7.9</v>
      </c>
      <c r="N2431">
        <f t="shared" si="37"/>
        <v>1</v>
      </c>
    </row>
    <row r="2432" spans="1:14" x14ac:dyDescent="0.35">
      <c r="A2432" s="6" t="s">
        <v>2502</v>
      </c>
      <c r="B2432" s="19" t="s">
        <v>69</v>
      </c>
      <c r="C2432" s="19">
        <v>11</v>
      </c>
      <c r="D2432" s="20">
        <v>45970</v>
      </c>
      <c r="E2432" s="19" t="s">
        <v>36</v>
      </c>
      <c r="F2432" s="19" t="s">
        <v>26</v>
      </c>
      <c r="G2432" s="19" t="s">
        <v>31</v>
      </c>
      <c r="H2432" s="19" t="s">
        <v>22</v>
      </c>
      <c r="I2432" s="19">
        <v>8</v>
      </c>
      <c r="J2432" s="19">
        <v>0</v>
      </c>
      <c r="K2432" s="19">
        <v>5</v>
      </c>
      <c r="L2432" s="19" t="s">
        <v>8363</v>
      </c>
      <c r="M2432" s="21">
        <v>6.9</v>
      </c>
      <c r="N2432">
        <f t="shared" si="37"/>
        <v>1</v>
      </c>
    </row>
    <row r="2433" spans="1:14" x14ac:dyDescent="0.35">
      <c r="A2433" s="22" t="s">
        <v>2503</v>
      </c>
      <c r="B2433" s="23" t="s">
        <v>72</v>
      </c>
      <c r="C2433" s="23">
        <v>3</v>
      </c>
      <c r="D2433" s="24">
        <v>45724</v>
      </c>
      <c r="E2433" s="23" t="s">
        <v>25</v>
      </c>
      <c r="F2433" s="23" t="s">
        <v>37</v>
      </c>
      <c r="G2433" s="23" t="s">
        <v>27</v>
      </c>
      <c r="H2433" s="23" t="s">
        <v>16</v>
      </c>
      <c r="I2433" s="23">
        <v>8</v>
      </c>
      <c r="J2433" s="23">
        <v>0</v>
      </c>
      <c r="K2433" s="23">
        <v>3</v>
      </c>
      <c r="L2433" s="23" t="s">
        <v>44</v>
      </c>
      <c r="M2433" s="25">
        <v>0.7</v>
      </c>
      <c r="N2433">
        <f t="shared" si="37"/>
        <v>1</v>
      </c>
    </row>
    <row r="2434" spans="1:14" x14ac:dyDescent="0.35">
      <c r="A2434" s="6" t="s">
        <v>2504</v>
      </c>
      <c r="B2434" s="19" t="s">
        <v>81</v>
      </c>
      <c r="C2434" s="19">
        <v>8</v>
      </c>
      <c r="D2434" s="20">
        <v>45874</v>
      </c>
      <c r="E2434" s="19" t="s">
        <v>8364</v>
      </c>
      <c r="F2434" s="19" t="s">
        <v>40</v>
      </c>
      <c r="G2434" s="19" t="s">
        <v>15</v>
      </c>
      <c r="H2434" s="19" t="s">
        <v>22</v>
      </c>
      <c r="I2434" s="19">
        <v>48</v>
      </c>
      <c r="J2434" s="19">
        <v>0</v>
      </c>
      <c r="K2434" s="19">
        <v>4</v>
      </c>
      <c r="L2434" s="19" t="s">
        <v>8363</v>
      </c>
      <c r="M2434" s="21">
        <v>2.7</v>
      </c>
      <c r="N2434">
        <f t="shared" si="37"/>
        <v>1</v>
      </c>
    </row>
    <row r="2435" spans="1:14" x14ac:dyDescent="0.35">
      <c r="A2435" s="22" t="s">
        <v>2505</v>
      </c>
      <c r="B2435" s="23" t="s">
        <v>51</v>
      </c>
      <c r="C2435" s="23">
        <v>12</v>
      </c>
      <c r="D2435" s="24">
        <v>46006</v>
      </c>
      <c r="E2435" s="23" t="s">
        <v>68</v>
      </c>
      <c r="F2435" s="23" t="s">
        <v>40</v>
      </c>
      <c r="G2435" s="23" t="s">
        <v>21</v>
      </c>
      <c r="H2435" s="23" t="s">
        <v>16</v>
      </c>
      <c r="I2435" s="23">
        <v>48</v>
      </c>
      <c r="J2435" s="23">
        <v>2</v>
      </c>
      <c r="K2435" s="23">
        <v>3</v>
      </c>
      <c r="L2435" s="23" t="s">
        <v>44</v>
      </c>
      <c r="M2435" s="25">
        <v>15.4</v>
      </c>
      <c r="N2435">
        <f t="shared" ref="N2435:N2498" si="38">IF(M2435 &lt;= I2435, 1, 0)</f>
        <v>1</v>
      </c>
    </row>
    <row r="2436" spans="1:14" x14ac:dyDescent="0.35">
      <c r="A2436" s="6" t="s">
        <v>2506</v>
      </c>
      <c r="B2436" s="19" t="s">
        <v>34</v>
      </c>
      <c r="C2436" s="19">
        <v>8</v>
      </c>
      <c r="D2436" s="20">
        <v>45893</v>
      </c>
      <c r="E2436" s="19" t="s">
        <v>20</v>
      </c>
      <c r="F2436" s="19" t="s">
        <v>14</v>
      </c>
      <c r="G2436" s="19" t="s">
        <v>31</v>
      </c>
      <c r="H2436" s="19" t="s">
        <v>8364</v>
      </c>
      <c r="I2436" s="19">
        <v>24</v>
      </c>
      <c r="J2436" s="19">
        <v>0</v>
      </c>
      <c r="K2436" s="19">
        <v>4</v>
      </c>
      <c r="L2436" s="19" t="s">
        <v>8363</v>
      </c>
      <c r="M2436" s="21">
        <v>0.4</v>
      </c>
      <c r="N2436">
        <f t="shared" si="38"/>
        <v>1</v>
      </c>
    </row>
    <row r="2437" spans="1:14" x14ac:dyDescent="0.35">
      <c r="A2437" s="22" t="s">
        <v>2507</v>
      </c>
      <c r="B2437" s="23" t="s">
        <v>51</v>
      </c>
      <c r="C2437" s="23">
        <v>12</v>
      </c>
      <c r="D2437" s="24">
        <v>46005</v>
      </c>
      <c r="E2437" s="23" t="s">
        <v>25</v>
      </c>
      <c r="F2437" s="23" t="s">
        <v>14</v>
      </c>
      <c r="G2437" s="23" t="s">
        <v>31</v>
      </c>
      <c r="H2437" s="23" t="s">
        <v>8364</v>
      </c>
      <c r="I2437" s="23">
        <v>8</v>
      </c>
      <c r="J2437" s="23">
        <v>0</v>
      </c>
      <c r="K2437" s="23">
        <v>5</v>
      </c>
      <c r="L2437" s="23" t="s">
        <v>8363</v>
      </c>
      <c r="M2437" s="25"/>
      <c r="N2437">
        <f t="shared" si="38"/>
        <v>1</v>
      </c>
    </row>
    <row r="2438" spans="1:14" x14ac:dyDescent="0.35">
      <c r="A2438" s="6" t="s">
        <v>2508</v>
      </c>
      <c r="B2438" s="19" t="s">
        <v>72</v>
      </c>
      <c r="C2438" s="19">
        <v>4</v>
      </c>
      <c r="D2438" s="20">
        <v>45766</v>
      </c>
      <c r="E2438" s="19" t="s">
        <v>25</v>
      </c>
      <c r="F2438" s="19" t="s">
        <v>8364</v>
      </c>
      <c r="G2438" s="19" t="s">
        <v>27</v>
      </c>
      <c r="H2438" s="19" t="s">
        <v>28</v>
      </c>
      <c r="I2438" s="19">
        <v>24</v>
      </c>
      <c r="J2438" s="19">
        <v>0</v>
      </c>
      <c r="K2438" s="19">
        <v>4</v>
      </c>
      <c r="L2438" s="19" t="s">
        <v>62</v>
      </c>
      <c r="M2438" s="21">
        <v>13</v>
      </c>
      <c r="N2438">
        <f t="shared" si="38"/>
        <v>1</v>
      </c>
    </row>
    <row r="2439" spans="1:14" x14ac:dyDescent="0.35">
      <c r="A2439" s="22" t="s">
        <v>2509</v>
      </c>
      <c r="B2439" s="23" t="s">
        <v>130</v>
      </c>
      <c r="C2439" s="23">
        <v>12</v>
      </c>
      <c r="D2439" s="24">
        <v>46011</v>
      </c>
      <c r="E2439" s="23" t="s">
        <v>13</v>
      </c>
      <c r="F2439" s="23" t="s">
        <v>59</v>
      </c>
      <c r="G2439" s="23" t="s">
        <v>15</v>
      </c>
      <c r="H2439" s="23" t="s">
        <v>28</v>
      </c>
      <c r="I2439" s="23">
        <v>8</v>
      </c>
      <c r="J2439" s="23">
        <v>0</v>
      </c>
      <c r="K2439" s="23">
        <v>4</v>
      </c>
      <c r="L2439" s="23" t="s">
        <v>8363</v>
      </c>
      <c r="M2439" s="25">
        <v>2.1</v>
      </c>
      <c r="N2439">
        <f t="shared" si="38"/>
        <v>1</v>
      </c>
    </row>
    <row r="2440" spans="1:14" x14ac:dyDescent="0.35">
      <c r="A2440" s="6" t="s">
        <v>2510</v>
      </c>
      <c r="B2440" s="19" t="s">
        <v>65</v>
      </c>
      <c r="C2440" s="19">
        <v>6</v>
      </c>
      <c r="D2440" s="20">
        <v>45814</v>
      </c>
      <c r="E2440" s="19" t="s">
        <v>36</v>
      </c>
      <c r="F2440" s="19" t="s">
        <v>59</v>
      </c>
      <c r="G2440" s="19" t="s">
        <v>15</v>
      </c>
      <c r="H2440" s="19" t="s">
        <v>32</v>
      </c>
      <c r="I2440" s="19">
        <v>48</v>
      </c>
      <c r="J2440" s="19">
        <v>1</v>
      </c>
      <c r="K2440" s="19">
        <v>5</v>
      </c>
      <c r="L2440" s="19" t="s">
        <v>38</v>
      </c>
      <c r="M2440" s="21">
        <v>3.4</v>
      </c>
      <c r="N2440">
        <f t="shared" si="38"/>
        <v>1</v>
      </c>
    </row>
    <row r="2441" spans="1:14" x14ac:dyDescent="0.35">
      <c r="A2441" s="22" t="s">
        <v>2511</v>
      </c>
      <c r="B2441" s="23" t="s">
        <v>57</v>
      </c>
      <c r="C2441" s="23">
        <v>8</v>
      </c>
      <c r="D2441" s="24">
        <v>45890</v>
      </c>
      <c r="E2441" s="23" t="s">
        <v>25</v>
      </c>
      <c r="F2441" s="23" t="s">
        <v>14</v>
      </c>
      <c r="G2441" s="23" t="s">
        <v>27</v>
      </c>
      <c r="H2441" s="23" t="s">
        <v>28</v>
      </c>
      <c r="I2441" s="23">
        <v>4</v>
      </c>
      <c r="J2441" s="23">
        <v>0</v>
      </c>
      <c r="K2441" s="23">
        <v>3</v>
      </c>
      <c r="L2441" s="23" t="s">
        <v>62</v>
      </c>
      <c r="M2441" s="25">
        <v>3.7</v>
      </c>
      <c r="N2441">
        <f t="shared" si="38"/>
        <v>1</v>
      </c>
    </row>
    <row r="2442" spans="1:14" x14ac:dyDescent="0.35">
      <c r="A2442" s="6" t="s">
        <v>2512</v>
      </c>
      <c r="B2442" s="19" t="s">
        <v>41</v>
      </c>
      <c r="C2442" s="19"/>
      <c r="D2442" s="20"/>
      <c r="E2442" s="19" t="s">
        <v>25</v>
      </c>
      <c r="F2442" s="19" t="s">
        <v>37</v>
      </c>
      <c r="G2442" s="19" t="s">
        <v>21</v>
      </c>
      <c r="H2442" s="19" t="s">
        <v>8364</v>
      </c>
      <c r="I2442" s="19">
        <v>72</v>
      </c>
      <c r="J2442" s="19">
        <v>0</v>
      </c>
      <c r="K2442" s="19">
        <v>4</v>
      </c>
      <c r="L2442" s="19" t="s">
        <v>8363</v>
      </c>
      <c r="M2442" s="21">
        <v>6.8</v>
      </c>
      <c r="N2442">
        <f t="shared" si="38"/>
        <v>1</v>
      </c>
    </row>
    <row r="2443" spans="1:14" x14ac:dyDescent="0.35">
      <c r="A2443" s="22" t="s">
        <v>2513</v>
      </c>
      <c r="B2443" s="23" t="s">
        <v>87</v>
      </c>
      <c r="C2443" s="23">
        <v>8</v>
      </c>
      <c r="D2443" s="24">
        <v>45888</v>
      </c>
      <c r="E2443" s="23" t="s">
        <v>25</v>
      </c>
      <c r="F2443" s="23" t="s">
        <v>14</v>
      </c>
      <c r="G2443" s="23" t="s">
        <v>21</v>
      </c>
      <c r="H2443" s="23" t="s">
        <v>16</v>
      </c>
      <c r="I2443" s="23">
        <v>24</v>
      </c>
      <c r="J2443" s="23">
        <v>1</v>
      </c>
      <c r="K2443" s="23">
        <v>5</v>
      </c>
      <c r="L2443" s="23" t="s">
        <v>33</v>
      </c>
      <c r="M2443" s="25">
        <v>5.0999999999999996</v>
      </c>
      <c r="N2443">
        <f t="shared" si="38"/>
        <v>1</v>
      </c>
    </row>
    <row r="2444" spans="1:14" x14ac:dyDescent="0.35">
      <c r="A2444" s="6" t="s">
        <v>2514</v>
      </c>
      <c r="B2444" s="19" t="s">
        <v>236</v>
      </c>
      <c r="C2444" s="19"/>
      <c r="D2444" s="20"/>
      <c r="E2444" s="19" t="s">
        <v>25</v>
      </c>
      <c r="F2444" s="19" t="s">
        <v>43</v>
      </c>
      <c r="G2444" s="19" t="s">
        <v>27</v>
      </c>
      <c r="H2444" s="19" t="s">
        <v>16</v>
      </c>
      <c r="I2444" s="19">
        <v>4</v>
      </c>
      <c r="J2444" s="19">
        <v>2</v>
      </c>
      <c r="K2444" s="19">
        <v>4</v>
      </c>
      <c r="L2444" s="19" t="s">
        <v>44</v>
      </c>
      <c r="M2444" s="21">
        <v>30.4</v>
      </c>
      <c r="N2444">
        <f t="shared" si="38"/>
        <v>0</v>
      </c>
    </row>
    <row r="2445" spans="1:14" x14ac:dyDescent="0.35">
      <c r="A2445" s="22" t="s">
        <v>2515</v>
      </c>
      <c r="B2445" s="23" t="s">
        <v>143</v>
      </c>
      <c r="C2445" s="23">
        <v>11</v>
      </c>
      <c r="D2445" s="24">
        <v>45965</v>
      </c>
      <c r="E2445" s="23" t="s">
        <v>36</v>
      </c>
      <c r="F2445" s="23" t="s">
        <v>14</v>
      </c>
      <c r="G2445" s="23" t="s">
        <v>31</v>
      </c>
      <c r="H2445" s="23" t="s">
        <v>32</v>
      </c>
      <c r="I2445" s="23">
        <v>4</v>
      </c>
      <c r="J2445" s="23">
        <v>2</v>
      </c>
      <c r="K2445" s="23">
        <v>5</v>
      </c>
      <c r="L2445" s="23" t="s">
        <v>8363</v>
      </c>
      <c r="M2445" s="25">
        <v>9.1999999999999993</v>
      </c>
      <c r="N2445">
        <f t="shared" si="38"/>
        <v>0</v>
      </c>
    </row>
    <row r="2446" spans="1:14" x14ac:dyDescent="0.35">
      <c r="A2446" s="6" t="s">
        <v>2516</v>
      </c>
      <c r="B2446" s="19" t="s">
        <v>97</v>
      </c>
      <c r="C2446" s="19">
        <v>5</v>
      </c>
      <c r="D2446" s="20">
        <v>45788</v>
      </c>
      <c r="E2446" s="19" t="s">
        <v>68</v>
      </c>
      <c r="F2446" s="19" t="s">
        <v>43</v>
      </c>
      <c r="G2446" s="19" t="s">
        <v>31</v>
      </c>
      <c r="H2446" s="19" t="s">
        <v>8364</v>
      </c>
      <c r="I2446" s="19">
        <v>8</v>
      </c>
      <c r="J2446" s="19">
        <v>0</v>
      </c>
      <c r="K2446" s="19">
        <v>5</v>
      </c>
      <c r="L2446" s="19" t="s">
        <v>55</v>
      </c>
      <c r="M2446" s="21">
        <v>4.9000000000000004</v>
      </c>
      <c r="N2446">
        <f t="shared" si="38"/>
        <v>1</v>
      </c>
    </row>
    <row r="2447" spans="1:14" x14ac:dyDescent="0.35">
      <c r="A2447" s="22" t="s">
        <v>2517</v>
      </c>
      <c r="B2447" s="23" t="s">
        <v>47</v>
      </c>
      <c r="C2447" s="23">
        <v>7</v>
      </c>
      <c r="D2447" s="24">
        <v>45862</v>
      </c>
      <c r="E2447" s="23" t="s">
        <v>25</v>
      </c>
      <c r="F2447" s="23" t="s">
        <v>14</v>
      </c>
      <c r="G2447" s="23" t="s">
        <v>31</v>
      </c>
      <c r="H2447" s="23" t="s">
        <v>28</v>
      </c>
      <c r="I2447" s="23">
        <v>48</v>
      </c>
      <c r="J2447" s="23">
        <v>0</v>
      </c>
      <c r="K2447" s="23">
        <v>5</v>
      </c>
      <c r="L2447" s="23" t="s">
        <v>8363</v>
      </c>
      <c r="M2447" s="25">
        <v>16</v>
      </c>
      <c r="N2447">
        <f t="shared" si="38"/>
        <v>1</v>
      </c>
    </row>
    <row r="2448" spans="1:14" x14ac:dyDescent="0.35">
      <c r="A2448" s="6" t="s">
        <v>2518</v>
      </c>
      <c r="B2448" s="19" t="s">
        <v>45</v>
      </c>
      <c r="C2448" s="19">
        <v>3</v>
      </c>
      <c r="D2448" s="20">
        <v>45743</v>
      </c>
      <c r="E2448" s="19" t="s">
        <v>20</v>
      </c>
      <c r="F2448" s="19" t="s">
        <v>43</v>
      </c>
      <c r="G2448" s="19" t="s">
        <v>15</v>
      </c>
      <c r="H2448" s="19" t="s">
        <v>22</v>
      </c>
      <c r="I2448" s="19">
        <v>4</v>
      </c>
      <c r="J2448" s="19">
        <v>0</v>
      </c>
      <c r="K2448" s="19">
        <v>3</v>
      </c>
      <c r="L2448" s="19" t="s">
        <v>33</v>
      </c>
      <c r="M2448" s="21">
        <v>6.3</v>
      </c>
      <c r="N2448">
        <f t="shared" si="38"/>
        <v>0</v>
      </c>
    </row>
    <row r="2449" spans="1:14" x14ac:dyDescent="0.35">
      <c r="A2449" s="22" t="s">
        <v>2519</v>
      </c>
      <c r="B2449" s="23" t="s">
        <v>51</v>
      </c>
      <c r="C2449" s="23">
        <v>9</v>
      </c>
      <c r="D2449" s="24">
        <v>45903</v>
      </c>
      <c r="E2449" s="23" t="s">
        <v>25</v>
      </c>
      <c r="F2449" s="23" t="s">
        <v>43</v>
      </c>
      <c r="G2449" s="23" t="s">
        <v>21</v>
      </c>
      <c r="H2449" s="23" t="s">
        <v>32</v>
      </c>
      <c r="I2449" s="23">
        <v>72</v>
      </c>
      <c r="J2449" s="23">
        <v>0</v>
      </c>
      <c r="K2449" s="23">
        <v>4</v>
      </c>
      <c r="L2449" s="23" t="s">
        <v>38</v>
      </c>
      <c r="M2449" s="25">
        <v>4.7</v>
      </c>
      <c r="N2449">
        <f t="shared" si="38"/>
        <v>1</v>
      </c>
    </row>
    <row r="2450" spans="1:14" x14ac:dyDescent="0.35">
      <c r="A2450" s="6" t="s">
        <v>2520</v>
      </c>
      <c r="B2450" s="19" t="s">
        <v>49</v>
      </c>
      <c r="C2450" s="19"/>
      <c r="D2450" s="20"/>
      <c r="E2450" s="19" t="s">
        <v>13</v>
      </c>
      <c r="F2450" s="19" t="s">
        <v>14</v>
      </c>
      <c r="G2450" s="19" t="s">
        <v>31</v>
      </c>
      <c r="H2450" s="19" t="s">
        <v>32</v>
      </c>
      <c r="I2450" s="19">
        <v>48</v>
      </c>
      <c r="J2450" s="19">
        <v>0</v>
      </c>
      <c r="K2450" s="19">
        <v>5</v>
      </c>
      <c r="L2450" s="19" t="s">
        <v>44</v>
      </c>
      <c r="M2450" s="21">
        <v>11.4</v>
      </c>
      <c r="N2450">
        <f t="shared" si="38"/>
        <v>1</v>
      </c>
    </row>
    <row r="2451" spans="1:14" x14ac:dyDescent="0.35">
      <c r="A2451" s="22" t="s">
        <v>2521</v>
      </c>
      <c r="B2451" s="23" t="s">
        <v>34</v>
      </c>
      <c r="C2451" s="23">
        <v>10</v>
      </c>
      <c r="D2451" s="24">
        <v>45958</v>
      </c>
      <c r="E2451" s="23" t="s">
        <v>13</v>
      </c>
      <c r="F2451" s="23" t="s">
        <v>43</v>
      </c>
      <c r="G2451" s="23" t="s">
        <v>27</v>
      </c>
      <c r="H2451" s="23" t="s">
        <v>22</v>
      </c>
      <c r="I2451" s="23">
        <v>24</v>
      </c>
      <c r="J2451" s="23">
        <v>0</v>
      </c>
      <c r="K2451" s="23">
        <v>3</v>
      </c>
      <c r="L2451" s="23" t="s">
        <v>33</v>
      </c>
      <c r="M2451" s="25">
        <v>7.6</v>
      </c>
      <c r="N2451">
        <f t="shared" si="38"/>
        <v>1</v>
      </c>
    </row>
    <row r="2452" spans="1:14" x14ac:dyDescent="0.35">
      <c r="A2452" s="6" t="s">
        <v>2522</v>
      </c>
      <c r="B2452" s="19" t="s">
        <v>18</v>
      </c>
      <c r="C2452" s="19">
        <v>5</v>
      </c>
      <c r="D2452" s="20">
        <v>45802</v>
      </c>
      <c r="E2452" s="19" t="s">
        <v>20</v>
      </c>
      <c r="F2452" s="19" t="s">
        <v>43</v>
      </c>
      <c r="G2452" s="19" t="s">
        <v>27</v>
      </c>
      <c r="H2452" s="19" t="s">
        <v>8364</v>
      </c>
      <c r="I2452" s="19">
        <v>4</v>
      </c>
      <c r="J2452" s="19">
        <v>0</v>
      </c>
      <c r="K2452" s="19">
        <v>5</v>
      </c>
      <c r="L2452" s="19" t="s">
        <v>8363</v>
      </c>
      <c r="M2452" s="21">
        <v>25.6</v>
      </c>
      <c r="N2452">
        <f t="shared" si="38"/>
        <v>0</v>
      </c>
    </row>
    <row r="2453" spans="1:14" x14ac:dyDescent="0.35">
      <c r="A2453" s="22" t="s">
        <v>2523</v>
      </c>
      <c r="B2453" s="23" t="s">
        <v>23</v>
      </c>
      <c r="C2453" s="23">
        <v>6</v>
      </c>
      <c r="D2453" s="24">
        <v>45836</v>
      </c>
      <c r="E2453" s="23" t="s">
        <v>13</v>
      </c>
      <c r="F2453" s="23" t="s">
        <v>8364</v>
      </c>
      <c r="G2453" s="23" t="s">
        <v>31</v>
      </c>
      <c r="H2453" s="23" t="s">
        <v>32</v>
      </c>
      <c r="I2453" s="23">
        <v>8</v>
      </c>
      <c r="J2453" s="23">
        <v>0</v>
      </c>
      <c r="K2453" s="23">
        <v>4</v>
      </c>
      <c r="L2453" s="23" t="s">
        <v>75</v>
      </c>
      <c r="M2453" s="25">
        <v>4.7</v>
      </c>
      <c r="N2453">
        <f t="shared" si="38"/>
        <v>1</v>
      </c>
    </row>
    <row r="2454" spans="1:14" x14ac:dyDescent="0.35">
      <c r="A2454" s="6" t="s">
        <v>2524</v>
      </c>
      <c r="B2454" s="19" t="s">
        <v>65</v>
      </c>
      <c r="C2454" s="19">
        <v>7</v>
      </c>
      <c r="D2454" s="20">
        <v>45862</v>
      </c>
      <c r="E2454" s="19" t="s">
        <v>8364</v>
      </c>
      <c r="F2454" s="19" t="s">
        <v>26</v>
      </c>
      <c r="G2454" s="19" t="s">
        <v>31</v>
      </c>
      <c r="H2454" s="19" t="s">
        <v>28</v>
      </c>
      <c r="I2454" s="19">
        <v>72</v>
      </c>
      <c r="J2454" s="19">
        <v>0</v>
      </c>
      <c r="K2454" s="19">
        <v>5</v>
      </c>
      <c r="L2454" s="19" t="s">
        <v>8363</v>
      </c>
      <c r="M2454" s="21">
        <v>2.2999999999999998</v>
      </c>
      <c r="N2454">
        <f t="shared" si="38"/>
        <v>1</v>
      </c>
    </row>
    <row r="2455" spans="1:14" x14ac:dyDescent="0.35">
      <c r="A2455" s="22" t="s">
        <v>2525</v>
      </c>
      <c r="B2455" s="23" t="s">
        <v>57</v>
      </c>
      <c r="C2455" s="23">
        <v>6</v>
      </c>
      <c r="D2455" s="24">
        <v>45835</v>
      </c>
      <c r="E2455" s="23" t="s">
        <v>20</v>
      </c>
      <c r="F2455" s="23" t="s">
        <v>40</v>
      </c>
      <c r="G2455" s="23" t="s">
        <v>31</v>
      </c>
      <c r="H2455" s="23" t="s">
        <v>8364</v>
      </c>
      <c r="I2455" s="23">
        <v>24</v>
      </c>
      <c r="J2455" s="23">
        <v>0</v>
      </c>
      <c r="K2455" s="23">
        <v>4</v>
      </c>
      <c r="L2455" s="23" t="s">
        <v>17</v>
      </c>
      <c r="M2455" s="25">
        <v>7.8</v>
      </c>
      <c r="N2455">
        <f t="shared" si="38"/>
        <v>1</v>
      </c>
    </row>
    <row r="2456" spans="1:14" x14ac:dyDescent="0.35">
      <c r="A2456" s="6" t="s">
        <v>2526</v>
      </c>
      <c r="B2456" s="19" t="s">
        <v>65</v>
      </c>
      <c r="C2456" s="19"/>
      <c r="D2456" s="20"/>
      <c r="E2456" s="19" t="s">
        <v>8364</v>
      </c>
      <c r="F2456" s="19" t="s">
        <v>43</v>
      </c>
      <c r="G2456" s="19" t="s">
        <v>21</v>
      </c>
      <c r="H2456" s="19" t="s">
        <v>22</v>
      </c>
      <c r="I2456" s="19">
        <v>48</v>
      </c>
      <c r="J2456" s="19">
        <v>1</v>
      </c>
      <c r="K2456" s="19">
        <v>4</v>
      </c>
      <c r="L2456" s="19" t="s">
        <v>55</v>
      </c>
      <c r="M2456" s="21">
        <v>41.6</v>
      </c>
      <c r="N2456">
        <f t="shared" si="38"/>
        <v>1</v>
      </c>
    </row>
    <row r="2457" spans="1:14" x14ac:dyDescent="0.35">
      <c r="A2457" s="22" t="s">
        <v>2527</v>
      </c>
      <c r="B2457" s="23" t="s">
        <v>18</v>
      </c>
      <c r="C2457" s="23">
        <v>7</v>
      </c>
      <c r="D2457" s="24">
        <v>45860</v>
      </c>
      <c r="E2457" s="23" t="s">
        <v>36</v>
      </c>
      <c r="F2457" s="23" t="s">
        <v>43</v>
      </c>
      <c r="G2457" s="23" t="s">
        <v>15</v>
      </c>
      <c r="H2457" s="23" t="s">
        <v>22</v>
      </c>
      <c r="I2457" s="23">
        <v>8</v>
      </c>
      <c r="J2457" s="23">
        <v>0</v>
      </c>
      <c r="K2457" s="23">
        <v>5</v>
      </c>
      <c r="L2457" s="23" t="s">
        <v>38</v>
      </c>
      <c r="M2457" s="25">
        <v>6.7</v>
      </c>
      <c r="N2457">
        <f t="shared" si="38"/>
        <v>1</v>
      </c>
    </row>
    <row r="2458" spans="1:14" x14ac:dyDescent="0.35">
      <c r="A2458" s="6" t="s">
        <v>2528</v>
      </c>
      <c r="B2458" s="19" t="s">
        <v>47</v>
      </c>
      <c r="C2458" s="19">
        <v>9</v>
      </c>
      <c r="D2458" s="20">
        <v>45928</v>
      </c>
      <c r="E2458" s="19" t="s">
        <v>13</v>
      </c>
      <c r="F2458" s="19" t="s">
        <v>14</v>
      </c>
      <c r="G2458" s="19" t="s">
        <v>31</v>
      </c>
      <c r="H2458" s="19" t="s">
        <v>16</v>
      </c>
      <c r="I2458" s="19">
        <v>24</v>
      </c>
      <c r="J2458" s="19">
        <v>0</v>
      </c>
      <c r="K2458" s="19">
        <v>5</v>
      </c>
      <c r="L2458" s="19" t="s">
        <v>38</v>
      </c>
      <c r="M2458" s="21">
        <v>7.1</v>
      </c>
      <c r="N2458">
        <f t="shared" si="38"/>
        <v>1</v>
      </c>
    </row>
    <row r="2459" spans="1:14" x14ac:dyDescent="0.35">
      <c r="A2459" s="22" t="s">
        <v>2529</v>
      </c>
      <c r="B2459" s="23" t="s">
        <v>85</v>
      </c>
      <c r="C2459" s="23">
        <v>12</v>
      </c>
      <c r="D2459" s="24">
        <v>46022</v>
      </c>
      <c r="E2459" s="23" t="s">
        <v>25</v>
      </c>
      <c r="F2459" s="23" t="s">
        <v>14</v>
      </c>
      <c r="G2459" s="23" t="s">
        <v>31</v>
      </c>
      <c r="H2459" s="23" t="s">
        <v>8364</v>
      </c>
      <c r="I2459" s="23">
        <v>24</v>
      </c>
      <c r="J2459" s="23">
        <v>2</v>
      </c>
      <c r="K2459" s="23">
        <v>4</v>
      </c>
      <c r="L2459" s="23" t="s">
        <v>55</v>
      </c>
      <c r="M2459" s="25">
        <v>18.8</v>
      </c>
      <c r="N2459">
        <f t="shared" si="38"/>
        <v>1</v>
      </c>
    </row>
    <row r="2460" spans="1:14" x14ac:dyDescent="0.35">
      <c r="A2460" s="6" t="s">
        <v>2530</v>
      </c>
      <c r="B2460" s="19" t="s">
        <v>23</v>
      </c>
      <c r="C2460" s="19">
        <v>12</v>
      </c>
      <c r="D2460" s="20">
        <v>46008</v>
      </c>
      <c r="E2460" s="19" t="s">
        <v>20</v>
      </c>
      <c r="F2460" s="19" t="s">
        <v>59</v>
      </c>
      <c r="G2460" s="19" t="s">
        <v>21</v>
      </c>
      <c r="H2460" s="19" t="s">
        <v>22</v>
      </c>
      <c r="I2460" s="19">
        <v>8</v>
      </c>
      <c r="J2460" s="19">
        <v>1</v>
      </c>
      <c r="K2460" s="19">
        <v>5</v>
      </c>
      <c r="L2460" s="19" t="s">
        <v>62</v>
      </c>
      <c r="M2460" s="21">
        <v>13.6</v>
      </c>
      <c r="N2460">
        <f t="shared" si="38"/>
        <v>0</v>
      </c>
    </row>
    <row r="2461" spans="1:14" x14ac:dyDescent="0.35">
      <c r="A2461" s="22" t="s">
        <v>2531</v>
      </c>
      <c r="B2461" s="23" t="s">
        <v>139</v>
      </c>
      <c r="C2461" s="23">
        <v>5</v>
      </c>
      <c r="D2461" s="24">
        <v>45801</v>
      </c>
      <c r="E2461" s="23" t="s">
        <v>8364</v>
      </c>
      <c r="F2461" s="23" t="s">
        <v>43</v>
      </c>
      <c r="G2461" s="23" t="s">
        <v>21</v>
      </c>
      <c r="H2461" s="23" t="s">
        <v>8364</v>
      </c>
      <c r="I2461" s="23">
        <v>72</v>
      </c>
      <c r="J2461" s="23">
        <v>0</v>
      </c>
      <c r="K2461" s="23">
        <v>4</v>
      </c>
      <c r="L2461" s="23" t="s">
        <v>62</v>
      </c>
      <c r="M2461" s="25">
        <v>2.1</v>
      </c>
      <c r="N2461">
        <f t="shared" si="38"/>
        <v>1</v>
      </c>
    </row>
    <row r="2462" spans="1:14" x14ac:dyDescent="0.35">
      <c r="A2462" s="6" t="s">
        <v>2532</v>
      </c>
      <c r="B2462" s="19" t="s">
        <v>47</v>
      </c>
      <c r="C2462" s="19">
        <v>9</v>
      </c>
      <c r="D2462" s="20">
        <v>45926</v>
      </c>
      <c r="E2462" s="19" t="s">
        <v>25</v>
      </c>
      <c r="F2462" s="19" t="s">
        <v>8364</v>
      </c>
      <c r="G2462" s="19" t="s">
        <v>15</v>
      </c>
      <c r="H2462" s="19" t="s">
        <v>22</v>
      </c>
      <c r="I2462" s="19">
        <v>8</v>
      </c>
      <c r="J2462" s="19">
        <v>0</v>
      </c>
      <c r="K2462" s="19">
        <v>3</v>
      </c>
      <c r="L2462" s="19" t="s">
        <v>33</v>
      </c>
      <c r="M2462" s="21">
        <v>10.3</v>
      </c>
      <c r="N2462">
        <f t="shared" si="38"/>
        <v>0</v>
      </c>
    </row>
    <row r="2463" spans="1:14" x14ac:dyDescent="0.35">
      <c r="A2463" s="22" t="s">
        <v>2533</v>
      </c>
      <c r="B2463" s="23" t="s">
        <v>51</v>
      </c>
      <c r="C2463" s="23">
        <v>7</v>
      </c>
      <c r="D2463" s="24">
        <v>45866</v>
      </c>
      <c r="E2463" s="23" t="s">
        <v>20</v>
      </c>
      <c r="F2463" s="23" t="s">
        <v>43</v>
      </c>
      <c r="G2463" s="23" t="s">
        <v>27</v>
      </c>
      <c r="H2463" s="23" t="s">
        <v>28</v>
      </c>
      <c r="I2463" s="23">
        <v>72</v>
      </c>
      <c r="J2463" s="23">
        <v>0</v>
      </c>
      <c r="K2463" s="23">
        <v>5</v>
      </c>
      <c r="L2463" s="23" t="s">
        <v>44</v>
      </c>
      <c r="M2463" s="25">
        <v>14.5</v>
      </c>
      <c r="N2463">
        <f t="shared" si="38"/>
        <v>1</v>
      </c>
    </row>
    <row r="2464" spans="1:14" x14ac:dyDescent="0.35">
      <c r="A2464" s="6" t="s">
        <v>2534</v>
      </c>
      <c r="B2464" s="19" t="s">
        <v>81</v>
      </c>
      <c r="C2464" s="19">
        <v>1</v>
      </c>
      <c r="D2464" s="20">
        <v>45669</v>
      </c>
      <c r="E2464" s="19" t="s">
        <v>25</v>
      </c>
      <c r="F2464" s="19" t="s">
        <v>14</v>
      </c>
      <c r="G2464" s="19" t="s">
        <v>8364</v>
      </c>
      <c r="H2464" s="19" t="s">
        <v>22</v>
      </c>
      <c r="I2464" s="19">
        <v>8</v>
      </c>
      <c r="J2464" s="19">
        <v>1</v>
      </c>
      <c r="K2464" s="19">
        <v>5</v>
      </c>
      <c r="L2464" s="19" t="s">
        <v>62</v>
      </c>
      <c r="M2464" s="21">
        <v>4.4000000000000004</v>
      </c>
      <c r="N2464">
        <f t="shared" si="38"/>
        <v>1</v>
      </c>
    </row>
    <row r="2465" spans="1:14" x14ac:dyDescent="0.35">
      <c r="A2465" s="22" t="s">
        <v>2535</v>
      </c>
      <c r="B2465" s="23" t="s">
        <v>92</v>
      </c>
      <c r="C2465" s="23"/>
      <c r="D2465" s="24"/>
      <c r="E2465" s="23" t="s">
        <v>68</v>
      </c>
      <c r="F2465" s="23" t="s">
        <v>37</v>
      </c>
      <c r="G2465" s="23" t="s">
        <v>8364</v>
      </c>
      <c r="H2465" s="23" t="s">
        <v>8364</v>
      </c>
      <c r="I2465" s="23">
        <v>24</v>
      </c>
      <c r="J2465" s="23">
        <v>0</v>
      </c>
      <c r="K2465" s="23">
        <v>1</v>
      </c>
      <c r="L2465" s="23" t="s">
        <v>75</v>
      </c>
      <c r="M2465" s="25">
        <v>9.8000000000000007</v>
      </c>
      <c r="N2465">
        <f t="shared" si="38"/>
        <v>1</v>
      </c>
    </row>
    <row r="2466" spans="1:14" x14ac:dyDescent="0.35">
      <c r="A2466" s="6" t="s">
        <v>2536</v>
      </c>
      <c r="B2466" s="19" t="s">
        <v>39</v>
      </c>
      <c r="C2466" s="19">
        <v>11</v>
      </c>
      <c r="D2466" s="20">
        <v>45975</v>
      </c>
      <c r="E2466" s="19" t="s">
        <v>8364</v>
      </c>
      <c r="F2466" s="19" t="s">
        <v>14</v>
      </c>
      <c r="G2466" s="19" t="s">
        <v>31</v>
      </c>
      <c r="H2466" s="19" t="s">
        <v>8364</v>
      </c>
      <c r="I2466" s="19">
        <v>4</v>
      </c>
      <c r="J2466" s="19">
        <v>0</v>
      </c>
      <c r="K2466" s="19">
        <v>4</v>
      </c>
      <c r="L2466" s="19" t="s">
        <v>44</v>
      </c>
      <c r="M2466" s="21">
        <v>5.5</v>
      </c>
      <c r="N2466">
        <f t="shared" si="38"/>
        <v>0</v>
      </c>
    </row>
    <row r="2467" spans="1:14" x14ac:dyDescent="0.35">
      <c r="A2467" s="22" t="s">
        <v>2537</v>
      </c>
      <c r="B2467" s="23" t="s">
        <v>23</v>
      </c>
      <c r="C2467" s="23">
        <v>9</v>
      </c>
      <c r="D2467" s="24">
        <v>45922</v>
      </c>
      <c r="E2467" s="23" t="s">
        <v>36</v>
      </c>
      <c r="F2467" s="23" t="s">
        <v>8364</v>
      </c>
      <c r="G2467" s="23" t="s">
        <v>21</v>
      </c>
      <c r="H2467" s="23" t="s">
        <v>28</v>
      </c>
      <c r="I2467" s="23">
        <v>72</v>
      </c>
      <c r="J2467" s="23">
        <v>0</v>
      </c>
      <c r="K2467" s="23">
        <v>1</v>
      </c>
      <c r="L2467" s="23" t="s">
        <v>44</v>
      </c>
      <c r="M2467" s="25">
        <v>5.4</v>
      </c>
      <c r="N2467">
        <f t="shared" si="38"/>
        <v>1</v>
      </c>
    </row>
    <row r="2468" spans="1:14" x14ac:dyDescent="0.35">
      <c r="A2468" s="6" t="s">
        <v>2538</v>
      </c>
      <c r="B2468" s="19" t="s">
        <v>89</v>
      </c>
      <c r="C2468" s="19"/>
      <c r="D2468" s="20"/>
      <c r="E2468" s="19" t="s">
        <v>25</v>
      </c>
      <c r="F2468" s="19" t="s">
        <v>43</v>
      </c>
      <c r="G2468" s="19" t="s">
        <v>27</v>
      </c>
      <c r="H2468" s="19" t="s">
        <v>28</v>
      </c>
      <c r="I2468" s="19">
        <v>4</v>
      </c>
      <c r="J2468" s="19">
        <v>1</v>
      </c>
      <c r="K2468" s="19">
        <v>5</v>
      </c>
      <c r="L2468" s="19" t="s">
        <v>75</v>
      </c>
      <c r="M2468" s="21">
        <v>24.9</v>
      </c>
      <c r="N2468">
        <f t="shared" si="38"/>
        <v>0</v>
      </c>
    </row>
    <row r="2469" spans="1:14" x14ac:dyDescent="0.35">
      <c r="A2469" s="22" t="s">
        <v>2539</v>
      </c>
      <c r="B2469" s="23" t="s">
        <v>89</v>
      </c>
      <c r="C2469" s="23">
        <v>12</v>
      </c>
      <c r="D2469" s="24">
        <v>46014</v>
      </c>
      <c r="E2469" s="23" t="s">
        <v>36</v>
      </c>
      <c r="F2469" s="23" t="s">
        <v>8364</v>
      </c>
      <c r="G2469" s="23" t="s">
        <v>27</v>
      </c>
      <c r="H2469" s="23" t="s">
        <v>28</v>
      </c>
      <c r="I2469" s="23">
        <v>48</v>
      </c>
      <c r="J2469" s="23">
        <v>0</v>
      </c>
      <c r="K2469" s="23">
        <v>3</v>
      </c>
      <c r="L2469" s="23" t="s">
        <v>8363</v>
      </c>
      <c r="M2469" s="25">
        <v>4.8</v>
      </c>
      <c r="N2469">
        <f t="shared" si="38"/>
        <v>1</v>
      </c>
    </row>
    <row r="2470" spans="1:14" x14ac:dyDescent="0.35">
      <c r="A2470" s="6" t="s">
        <v>2540</v>
      </c>
      <c r="B2470" s="19" t="s">
        <v>69</v>
      </c>
      <c r="C2470" s="19">
        <v>2</v>
      </c>
      <c r="D2470" s="20">
        <v>45689</v>
      </c>
      <c r="E2470" s="19" t="s">
        <v>13</v>
      </c>
      <c r="F2470" s="19" t="s">
        <v>26</v>
      </c>
      <c r="G2470" s="19" t="s">
        <v>21</v>
      </c>
      <c r="H2470" s="19" t="s">
        <v>32</v>
      </c>
      <c r="I2470" s="19">
        <v>72</v>
      </c>
      <c r="J2470" s="19">
        <v>0</v>
      </c>
      <c r="K2470" s="19">
        <v>5</v>
      </c>
      <c r="L2470" s="19" t="s">
        <v>33</v>
      </c>
      <c r="M2470" s="21">
        <v>4.4000000000000004</v>
      </c>
      <c r="N2470">
        <f t="shared" si="38"/>
        <v>1</v>
      </c>
    </row>
    <row r="2471" spans="1:14" x14ac:dyDescent="0.35">
      <c r="A2471" s="22" t="s">
        <v>2541</v>
      </c>
      <c r="B2471" s="23" t="s">
        <v>104</v>
      </c>
      <c r="C2471" s="23">
        <v>1</v>
      </c>
      <c r="D2471" s="24">
        <v>45670</v>
      </c>
      <c r="E2471" s="23" t="s">
        <v>25</v>
      </c>
      <c r="F2471" s="23" t="s">
        <v>14</v>
      </c>
      <c r="G2471" s="23" t="s">
        <v>15</v>
      </c>
      <c r="H2471" s="23" t="s">
        <v>32</v>
      </c>
      <c r="I2471" s="23">
        <v>24</v>
      </c>
      <c r="J2471" s="23">
        <v>0</v>
      </c>
      <c r="K2471" s="23">
        <v>5</v>
      </c>
      <c r="L2471" s="23" t="s">
        <v>8363</v>
      </c>
      <c r="M2471" s="25">
        <v>8.6999999999999993</v>
      </c>
      <c r="N2471">
        <f t="shared" si="38"/>
        <v>1</v>
      </c>
    </row>
    <row r="2472" spans="1:14" x14ac:dyDescent="0.35">
      <c r="A2472" s="6" t="s">
        <v>2542</v>
      </c>
      <c r="B2472" s="19" t="s">
        <v>101</v>
      </c>
      <c r="C2472" s="19">
        <v>8</v>
      </c>
      <c r="D2472" s="20">
        <v>45887</v>
      </c>
      <c r="E2472" s="19" t="s">
        <v>25</v>
      </c>
      <c r="F2472" s="19" t="s">
        <v>37</v>
      </c>
      <c r="G2472" s="19" t="s">
        <v>31</v>
      </c>
      <c r="H2472" s="19" t="s">
        <v>32</v>
      </c>
      <c r="I2472" s="19">
        <v>8</v>
      </c>
      <c r="J2472" s="19">
        <v>0</v>
      </c>
      <c r="K2472" s="19"/>
      <c r="L2472" s="19" t="s">
        <v>38</v>
      </c>
      <c r="M2472" s="21">
        <v>3.2</v>
      </c>
      <c r="N2472">
        <f t="shared" si="38"/>
        <v>1</v>
      </c>
    </row>
    <row r="2473" spans="1:14" x14ac:dyDescent="0.35">
      <c r="A2473" s="22" t="s">
        <v>2543</v>
      </c>
      <c r="B2473" s="23" t="s">
        <v>146</v>
      </c>
      <c r="C2473" s="23">
        <v>10</v>
      </c>
      <c r="D2473" s="24">
        <v>45938</v>
      </c>
      <c r="E2473" s="23" t="s">
        <v>25</v>
      </c>
      <c r="F2473" s="23" t="s">
        <v>14</v>
      </c>
      <c r="G2473" s="23" t="s">
        <v>27</v>
      </c>
      <c r="H2473" s="23" t="s">
        <v>32</v>
      </c>
      <c r="I2473" s="23">
        <v>72</v>
      </c>
      <c r="J2473" s="23">
        <v>1</v>
      </c>
      <c r="K2473" s="23">
        <v>2</v>
      </c>
      <c r="L2473" s="23" t="s">
        <v>75</v>
      </c>
      <c r="M2473" s="25">
        <v>5.8</v>
      </c>
      <c r="N2473">
        <f t="shared" si="38"/>
        <v>1</v>
      </c>
    </row>
    <row r="2474" spans="1:14" x14ac:dyDescent="0.35">
      <c r="A2474" s="6" t="s">
        <v>2544</v>
      </c>
      <c r="B2474" s="19" t="s">
        <v>130</v>
      </c>
      <c r="C2474" s="19">
        <v>10</v>
      </c>
      <c r="D2474" s="20">
        <v>45938</v>
      </c>
      <c r="E2474" s="19" t="s">
        <v>36</v>
      </c>
      <c r="F2474" s="19" t="s">
        <v>14</v>
      </c>
      <c r="G2474" s="19" t="s">
        <v>27</v>
      </c>
      <c r="H2474" s="19" t="s">
        <v>8364</v>
      </c>
      <c r="I2474" s="19">
        <v>8</v>
      </c>
      <c r="J2474" s="19">
        <v>0</v>
      </c>
      <c r="K2474" s="19">
        <v>4</v>
      </c>
      <c r="L2474" s="19" t="s">
        <v>62</v>
      </c>
      <c r="M2474" s="21">
        <v>4</v>
      </c>
      <c r="N2474">
        <f t="shared" si="38"/>
        <v>1</v>
      </c>
    </row>
    <row r="2475" spans="1:14" x14ac:dyDescent="0.35">
      <c r="A2475" s="22" t="s">
        <v>2545</v>
      </c>
      <c r="B2475" s="23" t="s">
        <v>87</v>
      </c>
      <c r="C2475" s="23">
        <v>11</v>
      </c>
      <c r="D2475" s="24">
        <v>45969</v>
      </c>
      <c r="E2475" s="23" t="s">
        <v>20</v>
      </c>
      <c r="F2475" s="23" t="s">
        <v>40</v>
      </c>
      <c r="G2475" s="23" t="s">
        <v>8364</v>
      </c>
      <c r="H2475" s="23" t="s">
        <v>28</v>
      </c>
      <c r="I2475" s="23">
        <v>48</v>
      </c>
      <c r="J2475" s="23">
        <v>1</v>
      </c>
      <c r="K2475" s="23">
        <v>5</v>
      </c>
      <c r="L2475" s="23" t="s">
        <v>8363</v>
      </c>
      <c r="M2475" s="25">
        <v>6</v>
      </c>
      <c r="N2475">
        <f t="shared" si="38"/>
        <v>1</v>
      </c>
    </row>
    <row r="2476" spans="1:14" x14ac:dyDescent="0.35">
      <c r="A2476" s="6" t="s">
        <v>2546</v>
      </c>
      <c r="B2476" s="19" t="s">
        <v>104</v>
      </c>
      <c r="C2476" s="19"/>
      <c r="D2476" s="20"/>
      <c r="E2476" s="19" t="s">
        <v>68</v>
      </c>
      <c r="F2476" s="19" t="s">
        <v>43</v>
      </c>
      <c r="G2476" s="19" t="s">
        <v>27</v>
      </c>
      <c r="H2476" s="19" t="s">
        <v>22</v>
      </c>
      <c r="I2476" s="19">
        <v>24</v>
      </c>
      <c r="J2476" s="19">
        <v>0</v>
      </c>
      <c r="K2476" s="19">
        <v>4</v>
      </c>
      <c r="L2476" s="19" t="s">
        <v>33</v>
      </c>
      <c r="M2476" s="21">
        <v>18.899999999999999</v>
      </c>
      <c r="N2476">
        <f t="shared" si="38"/>
        <v>1</v>
      </c>
    </row>
    <row r="2477" spans="1:14" x14ac:dyDescent="0.35">
      <c r="A2477" s="22" t="s">
        <v>2547</v>
      </c>
      <c r="B2477" s="23" t="s">
        <v>45</v>
      </c>
      <c r="C2477" s="23">
        <v>11</v>
      </c>
      <c r="D2477" s="24">
        <v>45975</v>
      </c>
      <c r="E2477" s="23" t="s">
        <v>13</v>
      </c>
      <c r="F2477" s="23" t="s">
        <v>14</v>
      </c>
      <c r="G2477" s="23" t="s">
        <v>27</v>
      </c>
      <c r="H2477" s="23" t="s">
        <v>32</v>
      </c>
      <c r="I2477" s="23">
        <v>48</v>
      </c>
      <c r="J2477" s="23">
        <v>0</v>
      </c>
      <c r="K2477" s="23">
        <v>5</v>
      </c>
      <c r="L2477" s="23" t="s">
        <v>33</v>
      </c>
      <c r="M2477" s="25">
        <v>15.7</v>
      </c>
      <c r="N2477">
        <f t="shared" si="38"/>
        <v>1</v>
      </c>
    </row>
    <row r="2478" spans="1:14" x14ac:dyDescent="0.35">
      <c r="A2478" s="6" t="s">
        <v>2548</v>
      </c>
      <c r="B2478" s="19" t="s">
        <v>34</v>
      </c>
      <c r="C2478" s="19">
        <v>12</v>
      </c>
      <c r="D2478" s="20">
        <v>46004</v>
      </c>
      <c r="E2478" s="19" t="s">
        <v>68</v>
      </c>
      <c r="F2478" s="19" t="s">
        <v>14</v>
      </c>
      <c r="G2478" s="19" t="s">
        <v>31</v>
      </c>
      <c r="H2478" s="19" t="s">
        <v>32</v>
      </c>
      <c r="I2478" s="19">
        <v>4</v>
      </c>
      <c r="J2478" s="19">
        <v>0</v>
      </c>
      <c r="K2478" s="19">
        <v>5</v>
      </c>
      <c r="L2478" s="19" t="s">
        <v>44</v>
      </c>
      <c r="M2478" s="21">
        <v>15.7</v>
      </c>
      <c r="N2478">
        <f t="shared" si="38"/>
        <v>0</v>
      </c>
    </row>
    <row r="2479" spans="1:14" x14ac:dyDescent="0.35">
      <c r="A2479" s="22" t="s">
        <v>2549</v>
      </c>
      <c r="B2479" s="23" t="s">
        <v>69</v>
      </c>
      <c r="C2479" s="23">
        <v>1</v>
      </c>
      <c r="D2479" s="24">
        <v>45672</v>
      </c>
      <c r="E2479" s="23" t="s">
        <v>68</v>
      </c>
      <c r="F2479" s="23" t="s">
        <v>59</v>
      </c>
      <c r="G2479" s="23" t="s">
        <v>31</v>
      </c>
      <c r="H2479" s="23" t="s">
        <v>32</v>
      </c>
      <c r="I2479" s="23">
        <v>24</v>
      </c>
      <c r="J2479" s="23">
        <v>0</v>
      </c>
      <c r="K2479" s="23">
        <v>5</v>
      </c>
      <c r="L2479" s="23" t="s">
        <v>8363</v>
      </c>
      <c r="M2479" s="25"/>
      <c r="N2479">
        <f t="shared" si="38"/>
        <v>1</v>
      </c>
    </row>
    <row r="2480" spans="1:14" x14ac:dyDescent="0.35">
      <c r="A2480" s="6" t="s">
        <v>2550</v>
      </c>
      <c r="B2480" s="19" t="s">
        <v>146</v>
      </c>
      <c r="C2480" s="19">
        <v>11</v>
      </c>
      <c r="D2480" s="20">
        <v>45972</v>
      </c>
      <c r="E2480" s="19" t="s">
        <v>13</v>
      </c>
      <c r="F2480" s="19" t="s">
        <v>14</v>
      </c>
      <c r="G2480" s="19" t="s">
        <v>15</v>
      </c>
      <c r="H2480" s="19" t="s">
        <v>22</v>
      </c>
      <c r="I2480" s="19">
        <v>48</v>
      </c>
      <c r="J2480" s="19">
        <v>1</v>
      </c>
      <c r="K2480" s="19">
        <v>4</v>
      </c>
      <c r="L2480" s="19" t="s">
        <v>8363</v>
      </c>
      <c r="M2480" s="21">
        <v>17.5</v>
      </c>
      <c r="N2480">
        <f t="shared" si="38"/>
        <v>1</v>
      </c>
    </row>
    <row r="2481" spans="1:14" x14ac:dyDescent="0.35">
      <c r="A2481" s="22" t="s">
        <v>2551</v>
      </c>
      <c r="B2481" s="23" t="s">
        <v>89</v>
      </c>
      <c r="C2481" s="23">
        <v>3</v>
      </c>
      <c r="D2481" s="24">
        <v>45743</v>
      </c>
      <c r="E2481" s="23" t="s">
        <v>20</v>
      </c>
      <c r="F2481" s="23" t="s">
        <v>14</v>
      </c>
      <c r="G2481" s="23" t="s">
        <v>27</v>
      </c>
      <c r="H2481" s="23" t="s">
        <v>32</v>
      </c>
      <c r="I2481" s="23">
        <v>48</v>
      </c>
      <c r="J2481" s="23">
        <v>0</v>
      </c>
      <c r="K2481" s="23">
        <v>5</v>
      </c>
      <c r="L2481" s="23" t="s">
        <v>8363</v>
      </c>
      <c r="M2481" s="25">
        <v>41.8</v>
      </c>
      <c r="N2481">
        <f t="shared" si="38"/>
        <v>1</v>
      </c>
    </row>
    <row r="2482" spans="1:14" x14ac:dyDescent="0.35">
      <c r="A2482" s="6" t="s">
        <v>2552</v>
      </c>
      <c r="B2482" s="19" t="s">
        <v>89</v>
      </c>
      <c r="C2482" s="19">
        <v>5</v>
      </c>
      <c r="D2482" s="20">
        <v>45807</v>
      </c>
      <c r="E2482" s="19" t="s">
        <v>68</v>
      </c>
      <c r="F2482" s="19" t="s">
        <v>26</v>
      </c>
      <c r="G2482" s="19" t="s">
        <v>31</v>
      </c>
      <c r="H2482" s="19" t="s">
        <v>32</v>
      </c>
      <c r="I2482" s="19">
        <v>4</v>
      </c>
      <c r="J2482" s="19">
        <v>0</v>
      </c>
      <c r="K2482" s="19">
        <v>1</v>
      </c>
      <c r="L2482" s="19" t="s">
        <v>55</v>
      </c>
      <c r="M2482" s="21">
        <v>9.3000000000000007</v>
      </c>
      <c r="N2482">
        <f t="shared" si="38"/>
        <v>0</v>
      </c>
    </row>
    <row r="2483" spans="1:14" x14ac:dyDescent="0.35">
      <c r="A2483" s="22" t="s">
        <v>2553</v>
      </c>
      <c r="B2483" s="23" t="s">
        <v>69</v>
      </c>
      <c r="C2483" s="23">
        <v>5</v>
      </c>
      <c r="D2483" s="24">
        <v>45790</v>
      </c>
      <c r="E2483" s="23" t="s">
        <v>36</v>
      </c>
      <c r="F2483" s="23" t="s">
        <v>37</v>
      </c>
      <c r="G2483" s="23" t="s">
        <v>15</v>
      </c>
      <c r="H2483" s="23" t="s">
        <v>22</v>
      </c>
      <c r="I2483" s="23">
        <v>8</v>
      </c>
      <c r="J2483" s="23">
        <v>1</v>
      </c>
      <c r="K2483" s="23">
        <v>2</v>
      </c>
      <c r="L2483" s="23" t="s">
        <v>44</v>
      </c>
      <c r="M2483" s="25">
        <v>7.1</v>
      </c>
      <c r="N2483">
        <f t="shared" si="38"/>
        <v>1</v>
      </c>
    </row>
    <row r="2484" spans="1:14" x14ac:dyDescent="0.35">
      <c r="A2484" s="6" t="s">
        <v>2554</v>
      </c>
      <c r="B2484" s="19" t="s">
        <v>236</v>
      </c>
      <c r="C2484" s="19">
        <v>8</v>
      </c>
      <c r="D2484" s="20">
        <v>45886</v>
      </c>
      <c r="E2484" s="19" t="s">
        <v>68</v>
      </c>
      <c r="F2484" s="19" t="s">
        <v>14</v>
      </c>
      <c r="G2484" s="19" t="s">
        <v>21</v>
      </c>
      <c r="H2484" s="19" t="s">
        <v>32</v>
      </c>
      <c r="I2484" s="19">
        <v>72</v>
      </c>
      <c r="J2484" s="19">
        <v>0</v>
      </c>
      <c r="K2484" s="19">
        <v>5</v>
      </c>
      <c r="L2484" s="19" t="s">
        <v>8363</v>
      </c>
      <c r="M2484" s="21">
        <v>13.1</v>
      </c>
      <c r="N2484">
        <f t="shared" si="38"/>
        <v>1</v>
      </c>
    </row>
    <row r="2485" spans="1:14" x14ac:dyDescent="0.35">
      <c r="A2485" s="22" t="s">
        <v>2555</v>
      </c>
      <c r="B2485" s="23" t="s">
        <v>57</v>
      </c>
      <c r="C2485" s="23">
        <v>8</v>
      </c>
      <c r="D2485" s="24">
        <v>45880</v>
      </c>
      <c r="E2485" s="23" t="s">
        <v>25</v>
      </c>
      <c r="F2485" s="23" t="s">
        <v>26</v>
      </c>
      <c r="G2485" s="23" t="s">
        <v>15</v>
      </c>
      <c r="H2485" s="23" t="s">
        <v>28</v>
      </c>
      <c r="I2485" s="23">
        <v>24</v>
      </c>
      <c r="J2485" s="23">
        <v>1</v>
      </c>
      <c r="K2485" s="23">
        <v>3</v>
      </c>
      <c r="L2485" s="23" t="s">
        <v>75</v>
      </c>
      <c r="M2485" s="25">
        <v>5</v>
      </c>
      <c r="N2485">
        <f t="shared" si="38"/>
        <v>1</v>
      </c>
    </row>
    <row r="2486" spans="1:14" x14ac:dyDescent="0.35">
      <c r="A2486" s="6" t="s">
        <v>2556</v>
      </c>
      <c r="B2486" s="19" t="s">
        <v>101</v>
      </c>
      <c r="C2486" s="19">
        <v>11</v>
      </c>
      <c r="D2486" s="20">
        <v>45972</v>
      </c>
      <c r="E2486" s="19" t="s">
        <v>25</v>
      </c>
      <c r="F2486" s="19" t="s">
        <v>37</v>
      </c>
      <c r="G2486" s="19" t="s">
        <v>27</v>
      </c>
      <c r="H2486" s="19" t="s">
        <v>22</v>
      </c>
      <c r="I2486" s="19">
        <v>24</v>
      </c>
      <c r="J2486" s="19">
        <v>1</v>
      </c>
      <c r="K2486" s="19">
        <v>4</v>
      </c>
      <c r="L2486" s="19" t="s">
        <v>33</v>
      </c>
      <c r="M2486" s="21">
        <v>11.6</v>
      </c>
      <c r="N2486">
        <f t="shared" si="38"/>
        <v>1</v>
      </c>
    </row>
    <row r="2487" spans="1:14" x14ac:dyDescent="0.35">
      <c r="A2487" s="22" t="s">
        <v>2557</v>
      </c>
      <c r="B2487" s="23" t="s">
        <v>108</v>
      </c>
      <c r="C2487" s="23">
        <v>5</v>
      </c>
      <c r="D2487" s="24">
        <v>45798</v>
      </c>
      <c r="E2487" s="23" t="s">
        <v>25</v>
      </c>
      <c r="F2487" s="23" t="s">
        <v>43</v>
      </c>
      <c r="G2487" s="23" t="s">
        <v>31</v>
      </c>
      <c r="H2487" s="23" t="s">
        <v>8364</v>
      </c>
      <c r="I2487" s="23">
        <v>8</v>
      </c>
      <c r="J2487" s="23">
        <v>1</v>
      </c>
      <c r="K2487" s="23"/>
      <c r="L2487" s="23" t="s">
        <v>75</v>
      </c>
      <c r="M2487" s="25">
        <v>10</v>
      </c>
      <c r="N2487">
        <f t="shared" si="38"/>
        <v>0</v>
      </c>
    </row>
    <row r="2488" spans="1:14" x14ac:dyDescent="0.35">
      <c r="A2488" s="6" t="s">
        <v>2558</v>
      </c>
      <c r="B2488" s="19" t="s">
        <v>53</v>
      </c>
      <c r="C2488" s="19">
        <v>3</v>
      </c>
      <c r="D2488" s="20">
        <v>45723</v>
      </c>
      <c r="E2488" s="19" t="s">
        <v>20</v>
      </c>
      <c r="F2488" s="19" t="s">
        <v>43</v>
      </c>
      <c r="G2488" s="19" t="s">
        <v>21</v>
      </c>
      <c r="H2488" s="19" t="s">
        <v>28</v>
      </c>
      <c r="I2488" s="19">
        <v>4</v>
      </c>
      <c r="J2488" s="19">
        <v>0</v>
      </c>
      <c r="K2488" s="19">
        <v>4</v>
      </c>
      <c r="L2488" s="19" t="s">
        <v>8363</v>
      </c>
      <c r="M2488" s="21">
        <v>6.4</v>
      </c>
      <c r="N2488">
        <f t="shared" si="38"/>
        <v>0</v>
      </c>
    </row>
    <row r="2489" spans="1:14" x14ac:dyDescent="0.35">
      <c r="A2489" s="22" t="s">
        <v>2559</v>
      </c>
      <c r="B2489" s="23" t="s">
        <v>34</v>
      </c>
      <c r="C2489" s="23">
        <v>7</v>
      </c>
      <c r="D2489" s="24">
        <v>45850</v>
      </c>
      <c r="E2489" s="23" t="s">
        <v>25</v>
      </c>
      <c r="F2489" s="23" t="s">
        <v>14</v>
      </c>
      <c r="G2489" s="23" t="s">
        <v>27</v>
      </c>
      <c r="H2489" s="23" t="s">
        <v>22</v>
      </c>
      <c r="I2489" s="23">
        <v>4</v>
      </c>
      <c r="J2489" s="23"/>
      <c r="K2489" s="23">
        <v>4</v>
      </c>
      <c r="L2489" s="23" t="s">
        <v>62</v>
      </c>
      <c r="M2489" s="25">
        <v>11.8</v>
      </c>
      <c r="N2489">
        <f t="shared" si="38"/>
        <v>0</v>
      </c>
    </row>
    <row r="2490" spans="1:14" x14ac:dyDescent="0.35">
      <c r="A2490" s="6" t="s">
        <v>2560</v>
      </c>
      <c r="B2490" s="19" t="s">
        <v>89</v>
      </c>
      <c r="C2490" s="19">
        <v>1</v>
      </c>
      <c r="D2490" s="20">
        <v>45685</v>
      </c>
      <c r="E2490" s="19" t="s">
        <v>13</v>
      </c>
      <c r="F2490" s="19" t="s">
        <v>40</v>
      </c>
      <c r="G2490" s="19" t="s">
        <v>31</v>
      </c>
      <c r="H2490" s="19" t="s">
        <v>22</v>
      </c>
      <c r="I2490" s="19">
        <v>4</v>
      </c>
      <c r="J2490" s="19">
        <v>0</v>
      </c>
      <c r="K2490" s="19">
        <v>4</v>
      </c>
      <c r="L2490" s="19" t="s">
        <v>8363</v>
      </c>
      <c r="M2490" s="21">
        <v>5.6</v>
      </c>
      <c r="N2490">
        <f t="shared" si="38"/>
        <v>0</v>
      </c>
    </row>
    <row r="2491" spans="1:14" x14ac:dyDescent="0.35">
      <c r="A2491" s="22" t="s">
        <v>2561</v>
      </c>
      <c r="B2491" s="23" t="s">
        <v>139</v>
      </c>
      <c r="C2491" s="23">
        <v>8</v>
      </c>
      <c r="D2491" s="24">
        <v>45900</v>
      </c>
      <c r="E2491" s="23" t="s">
        <v>25</v>
      </c>
      <c r="F2491" s="23" t="s">
        <v>59</v>
      </c>
      <c r="G2491" s="23" t="s">
        <v>21</v>
      </c>
      <c r="H2491" s="23" t="s">
        <v>22</v>
      </c>
      <c r="I2491" s="23">
        <v>8</v>
      </c>
      <c r="J2491" s="23">
        <v>0</v>
      </c>
      <c r="K2491" s="23">
        <v>5</v>
      </c>
      <c r="L2491" s="23" t="s">
        <v>62</v>
      </c>
      <c r="M2491" s="25">
        <v>22.4</v>
      </c>
      <c r="N2491">
        <f t="shared" si="38"/>
        <v>0</v>
      </c>
    </row>
    <row r="2492" spans="1:14" x14ac:dyDescent="0.35">
      <c r="A2492" s="6" t="s">
        <v>2562</v>
      </c>
      <c r="B2492" s="19" t="s">
        <v>65</v>
      </c>
      <c r="C2492" s="19">
        <v>12</v>
      </c>
      <c r="D2492" s="20">
        <v>45996</v>
      </c>
      <c r="E2492" s="19" t="s">
        <v>8364</v>
      </c>
      <c r="F2492" s="19" t="s">
        <v>14</v>
      </c>
      <c r="G2492" s="19" t="s">
        <v>15</v>
      </c>
      <c r="H2492" s="19" t="s">
        <v>22</v>
      </c>
      <c r="I2492" s="19">
        <v>72</v>
      </c>
      <c r="J2492" s="19">
        <v>0</v>
      </c>
      <c r="K2492" s="19">
        <v>4</v>
      </c>
      <c r="L2492" s="19" t="s">
        <v>38</v>
      </c>
      <c r="M2492" s="21">
        <v>5.5</v>
      </c>
      <c r="N2492">
        <f t="shared" si="38"/>
        <v>1</v>
      </c>
    </row>
    <row r="2493" spans="1:14" x14ac:dyDescent="0.35">
      <c r="A2493" s="22" t="s">
        <v>2563</v>
      </c>
      <c r="B2493" s="23" t="s">
        <v>65</v>
      </c>
      <c r="C2493" s="23">
        <v>9</v>
      </c>
      <c r="D2493" s="24">
        <v>45928</v>
      </c>
      <c r="E2493" s="23" t="s">
        <v>25</v>
      </c>
      <c r="F2493" s="23" t="s">
        <v>14</v>
      </c>
      <c r="G2493" s="23" t="s">
        <v>21</v>
      </c>
      <c r="H2493" s="23" t="s">
        <v>22</v>
      </c>
      <c r="I2493" s="23">
        <v>24</v>
      </c>
      <c r="J2493" s="23">
        <v>0</v>
      </c>
      <c r="K2493" s="23">
        <v>3</v>
      </c>
      <c r="L2493" s="23" t="s">
        <v>8363</v>
      </c>
      <c r="M2493" s="25">
        <v>15.7</v>
      </c>
      <c r="N2493">
        <f t="shared" si="38"/>
        <v>1</v>
      </c>
    </row>
    <row r="2494" spans="1:14" x14ac:dyDescent="0.35">
      <c r="A2494" s="6" t="s">
        <v>2564</v>
      </c>
      <c r="B2494" s="19" t="s">
        <v>41</v>
      </c>
      <c r="C2494" s="19">
        <v>3</v>
      </c>
      <c r="D2494" s="20">
        <v>45717</v>
      </c>
      <c r="E2494" s="19" t="s">
        <v>13</v>
      </c>
      <c r="F2494" s="19" t="s">
        <v>37</v>
      </c>
      <c r="G2494" s="19" t="s">
        <v>8364</v>
      </c>
      <c r="H2494" s="19" t="s">
        <v>28</v>
      </c>
      <c r="I2494" s="19">
        <v>24</v>
      </c>
      <c r="J2494" s="19">
        <v>2</v>
      </c>
      <c r="K2494" s="19">
        <v>4</v>
      </c>
      <c r="L2494" s="19" t="s">
        <v>44</v>
      </c>
      <c r="M2494" s="21">
        <v>34</v>
      </c>
      <c r="N2494">
        <f t="shared" si="38"/>
        <v>0</v>
      </c>
    </row>
    <row r="2495" spans="1:14" x14ac:dyDescent="0.35">
      <c r="A2495" s="22" t="s">
        <v>2565</v>
      </c>
      <c r="B2495" s="23" t="s">
        <v>65</v>
      </c>
      <c r="C2495" s="23">
        <v>7</v>
      </c>
      <c r="D2495" s="24">
        <v>45857</v>
      </c>
      <c r="E2495" s="23" t="s">
        <v>20</v>
      </c>
      <c r="F2495" s="23" t="s">
        <v>59</v>
      </c>
      <c r="G2495" s="23" t="s">
        <v>27</v>
      </c>
      <c r="H2495" s="23" t="s">
        <v>22</v>
      </c>
      <c r="I2495" s="23">
        <v>24</v>
      </c>
      <c r="J2495" s="23">
        <v>0</v>
      </c>
      <c r="K2495" s="23">
        <v>3</v>
      </c>
      <c r="L2495" s="23" t="s">
        <v>8363</v>
      </c>
      <c r="M2495" s="25">
        <v>16</v>
      </c>
      <c r="N2495">
        <f t="shared" si="38"/>
        <v>1</v>
      </c>
    </row>
    <row r="2496" spans="1:14" x14ac:dyDescent="0.35">
      <c r="A2496" s="6" t="s">
        <v>2566</v>
      </c>
      <c r="B2496" s="19" t="s">
        <v>97</v>
      </c>
      <c r="C2496" s="19"/>
      <c r="D2496" s="20"/>
      <c r="E2496" s="19" t="s">
        <v>25</v>
      </c>
      <c r="F2496" s="19" t="s">
        <v>43</v>
      </c>
      <c r="G2496" s="19" t="s">
        <v>27</v>
      </c>
      <c r="H2496" s="19" t="s">
        <v>32</v>
      </c>
      <c r="I2496" s="19">
        <v>4</v>
      </c>
      <c r="J2496" s="19">
        <v>0</v>
      </c>
      <c r="K2496" s="19">
        <v>4</v>
      </c>
      <c r="L2496" s="19" t="s">
        <v>44</v>
      </c>
      <c r="M2496" s="21">
        <v>8.1999999999999993</v>
      </c>
      <c r="N2496">
        <f t="shared" si="38"/>
        <v>0</v>
      </c>
    </row>
    <row r="2497" spans="1:14" x14ac:dyDescent="0.35">
      <c r="A2497" s="22" t="s">
        <v>2567</v>
      </c>
      <c r="B2497" s="23" t="s">
        <v>104</v>
      </c>
      <c r="C2497" s="23">
        <v>9</v>
      </c>
      <c r="D2497" s="24">
        <v>45903</v>
      </c>
      <c r="E2497" s="23" t="s">
        <v>8364</v>
      </c>
      <c r="F2497" s="23" t="s">
        <v>8364</v>
      </c>
      <c r="G2497" s="23" t="s">
        <v>31</v>
      </c>
      <c r="H2497" s="23" t="s">
        <v>28</v>
      </c>
      <c r="I2497" s="23">
        <v>8</v>
      </c>
      <c r="J2497" s="23">
        <v>0</v>
      </c>
      <c r="K2497" s="23">
        <v>3</v>
      </c>
      <c r="L2497" s="23" t="s">
        <v>17</v>
      </c>
      <c r="M2497" s="25">
        <v>19.5</v>
      </c>
      <c r="N2497">
        <f t="shared" si="38"/>
        <v>0</v>
      </c>
    </row>
    <row r="2498" spans="1:14" x14ac:dyDescent="0.35">
      <c r="A2498" s="6" t="s">
        <v>2568</v>
      </c>
      <c r="B2498" s="19" t="s">
        <v>253</v>
      </c>
      <c r="C2498" s="19">
        <v>10</v>
      </c>
      <c r="D2498" s="20">
        <v>45958</v>
      </c>
      <c r="E2498" s="19" t="s">
        <v>8364</v>
      </c>
      <c r="F2498" s="19" t="s">
        <v>37</v>
      </c>
      <c r="G2498" s="19" t="s">
        <v>15</v>
      </c>
      <c r="H2498" s="19" t="s">
        <v>22</v>
      </c>
      <c r="I2498" s="19">
        <v>48</v>
      </c>
      <c r="J2498" s="19">
        <v>0</v>
      </c>
      <c r="K2498" s="19">
        <v>2</v>
      </c>
      <c r="L2498" s="19" t="s">
        <v>8363</v>
      </c>
      <c r="M2498" s="21">
        <v>0.9</v>
      </c>
      <c r="N2498">
        <f t="shared" si="38"/>
        <v>1</v>
      </c>
    </row>
    <row r="2499" spans="1:14" x14ac:dyDescent="0.35">
      <c r="A2499" s="22" t="s">
        <v>2569</v>
      </c>
      <c r="B2499" s="23" t="s">
        <v>81</v>
      </c>
      <c r="C2499" s="23">
        <v>9</v>
      </c>
      <c r="D2499" s="24">
        <v>45903</v>
      </c>
      <c r="E2499" s="23" t="s">
        <v>13</v>
      </c>
      <c r="F2499" s="23" t="s">
        <v>37</v>
      </c>
      <c r="G2499" s="23" t="s">
        <v>27</v>
      </c>
      <c r="H2499" s="23" t="s">
        <v>22</v>
      </c>
      <c r="I2499" s="23">
        <v>24</v>
      </c>
      <c r="J2499" s="23">
        <v>0</v>
      </c>
      <c r="K2499" s="23">
        <v>5</v>
      </c>
      <c r="L2499" s="23" t="s">
        <v>62</v>
      </c>
      <c r="M2499" s="25">
        <v>29.2</v>
      </c>
      <c r="N2499">
        <f t="shared" ref="N2499:N2562" si="39">IF(M2499 &lt;= I2499, 1, 0)</f>
        <v>0</v>
      </c>
    </row>
    <row r="2500" spans="1:14" x14ac:dyDescent="0.35">
      <c r="A2500" s="6" t="s">
        <v>2570</v>
      </c>
      <c r="B2500" s="19" t="s">
        <v>143</v>
      </c>
      <c r="C2500" s="19">
        <v>1</v>
      </c>
      <c r="D2500" s="20">
        <v>45688</v>
      </c>
      <c r="E2500" s="19" t="s">
        <v>25</v>
      </c>
      <c r="F2500" s="19" t="s">
        <v>14</v>
      </c>
      <c r="G2500" s="19" t="s">
        <v>21</v>
      </c>
      <c r="H2500" s="19" t="s">
        <v>22</v>
      </c>
      <c r="I2500" s="19">
        <v>4</v>
      </c>
      <c r="J2500" s="19">
        <v>2</v>
      </c>
      <c r="K2500" s="19">
        <v>3</v>
      </c>
      <c r="L2500" s="19" t="s">
        <v>8363</v>
      </c>
      <c r="M2500" s="21">
        <v>9.8000000000000007</v>
      </c>
      <c r="N2500">
        <f t="shared" si="39"/>
        <v>0</v>
      </c>
    </row>
    <row r="2501" spans="1:14" x14ac:dyDescent="0.35">
      <c r="A2501" s="22" t="s">
        <v>2571</v>
      </c>
      <c r="B2501" s="23" t="s">
        <v>53</v>
      </c>
      <c r="C2501" s="23"/>
      <c r="D2501" s="24"/>
      <c r="E2501" s="23" t="s">
        <v>25</v>
      </c>
      <c r="F2501" s="23" t="s">
        <v>59</v>
      </c>
      <c r="G2501" s="23" t="s">
        <v>21</v>
      </c>
      <c r="H2501" s="23" t="s">
        <v>22</v>
      </c>
      <c r="I2501" s="23">
        <v>8</v>
      </c>
      <c r="J2501" s="23">
        <v>1</v>
      </c>
      <c r="K2501" s="23">
        <v>5</v>
      </c>
      <c r="L2501" s="23" t="s">
        <v>8363</v>
      </c>
      <c r="M2501" s="25">
        <v>15.7</v>
      </c>
      <c r="N2501">
        <f t="shared" si="39"/>
        <v>0</v>
      </c>
    </row>
    <row r="2502" spans="1:14" x14ac:dyDescent="0.35">
      <c r="A2502" s="6" t="s">
        <v>2572</v>
      </c>
      <c r="B2502" s="19" t="s">
        <v>69</v>
      </c>
      <c r="C2502" s="19">
        <v>8</v>
      </c>
      <c r="D2502" s="20">
        <v>45896</v>
      </c>
      <c r="E2502" s="19" t="s">
        <v>20</v>
      </c>
      <c r="F2502" s="19" t="s">
        <v>14</v>
      </c>
      <c r="G2502" s="19" t="s">
        <v>27</v>
      </c>
      <c r="H2502" s="19" t="s">
        <v>22</v>
      </c>
      <c r="I2502" s="19">
        <v>4</v>
      </c>
      <c r="J2502" s="19">
        <v>0</v>
      </c>
      <c r="K2502" s="19">
        <v>2</v>
      </c>
      <c r="L2502" s="19" t="s">
        <v>17</v>
      </c>
      <c r="M2502" s="21">
        <v>5.3</v>
      </c>
      <c r="N2502">
        <f t="shared" si="39"/>
        <v>0</v>
      </c>
    </row>
    <row r="2503" spans="1:14" x14ac:dyDescent="0.35">
      <c r="A2503" s="22" t="s">
        <v>2573</v>
      </c>
      <c r="B2503" s="23" t="s">
        <v>89</v>
      </c>
      <c r="C2503" s="23">
        <v>3</v>
      </c>
      <c r="D2503" s="24">
        <v>45721</v>
      </c>
      <c r="E2503" s="23" t="s">
        <v>8364</v>
      </c>
      <c r="F2503" s="23" t="s">
        <v>8364</v>
      </c>
      <c r="G2503" s="23" t="s">
        <v>21</v>
      </c>
      <c r="H2503" s="23" t="s">
        <v>22</v>
      </c>
      <c r="I2503" s="23">
        <v>72</v>
      </c>
      <c r="J2503" s="23">
        <v>0</v>
      </c>
      <c r="K2503" s="23">
        <v>4</v>
      </c>
      <c r="L2503" s="23" t="s">
        <v>55</v>
      </c>
      <c r="M2503" s="25">
        <v>6.9</v>
      </c>
      <c r="N2503">
        <f t="shared" si="39"/>
        <v>1</v>
      </c>
    </row>
    <row r="2504" spans="1:14" x14ac:dyDescent="0.35">
      <c r="A2504" s="6" t="s">
        <v>2574</v>
      </c>
      <c r="B2504" s="19" t="s">
        <v>18</v>
      </c>
      <c r="C2504" s="19">
        <v>7</v>
      </c>
      <c r="D2504" s="20">
        <v>45845</v>
      </c>
      <c r="E2504" s="19" t="s">
        <v>13</v>
      </c>
      <c r="F2504" s="19" t="s">
        <v>14</v>
      </c>
      <c r="G2504" s="19" t="s">
        <v>27</v>
      </c>
      <c r="H2504" s="19" t="s">
        <v>28</v>
      </c>
      <c r="I2504" s="19">
        <v>48</v>
      </c>
      <c r="J2504" s="19">
        <v>0</v>
      </c>
      <c r="K2504" s="19">
        <v>4</v>
      </c>
      <c r="L2504" s="19" t="s">
        <v>62</v>
      </c>
      <c r="M2504" s="21">
        <v>3.2</v>
      </c>
      <c r="N2504">
        <f t="shared" si="39"/>
        <v>1</v>
      </c>
    </row>
    <row r="2505" spans="1:14" x14ac:dyDescent="0.35">
      <c r="A2505" s="22" t="s">
        <v>2575</v>
      </c>
      <c r="B2505" s="23" t="s">
        <v>104</v>
      </c>
      <c r="C2505" s="23">
        <v>5</v>
      </c>
      <c r="D2505" s="24">
        <v>45805</v>
      </c>
      <c r="E2505" s="23" t="s">
        <v>20</v>
      </c>
      <c r="F2505" s="23" t="s">
        <v>14</v>
      </c>
      <c r="G2505" s="23" t="s">
        <v>15</v>
      </c>
      <c r="H2505" s="23" t="s">
        <v>22</v>
      </c>
      <c r="I2505" s="23">
        <v>8</v>
      </c>
      <c r="J2505" s="23">
        <v>1</v>
      </c>
      <c r="K2505" s="23">
        <v>5</v>
      </c>
      <c r="L2505" s="23" t="s">
        <v>55</v>
      </c>
      <c r="M2505" s="25">
        <v>20.9</v>
      </c>
      <c r="N2505">
        <f t="shared" si="39"/>
        <v>0</v>
      </c>
    </row>
    <row r="2506" spans="1:14" x14ac:dyDescent="0.35">
      <c r="A2506" s="6" t="s">
        <v>2576</v>
      </c>
      <c r="B2506" s="19" t="s">
        <v>72</v>
      </c>
      <c r="C2506" s="19">
        <v>10</v>
      </c>
      <c r="D2506" s="20">
        <v>45951</v>
      </c>
      <c r="E2506" s="19" t="s">
        <v>25</v>
      </c>
      <c r="F2506" s="19" t="s">
        <v>14</v>
      </c>
      <c r="G2506" s="19" t="s">
        <v>8364</v>
      </c>
      <c r="H2506" s="19" t="s">
        <v>32</v>
      </c>
      <c r="I2506" s="19">
        <v>48</v>
      </c>
      <c r="J2506" s="19">
        <v>0</v>
      </c>
      <c r="K2506" s="19">
        <v>4</v>
      </c>
      <c r="L2506" s="19" t="s">
        <v>38</v>
      </c>
      <c r="M2506" s="21">
        <v>24.3</v>
      </c>
      <c r="N2506">
        <f t="shared" si="39"/>
        <v>1</v>
      </c>
    </row>
    <row r="2507" spans="1:14" x14ac:dyDescent="0.35">
      <c r="A2507" s="22" t="s">
        <v>2577</v>
      </c>
      <c r="B2507" s="23" t="s">
        <v>72</v>
      </c>
      <c r="C2507" s="23">
        <v>11</v>
      </c>
      <c r="D2507" s="24">
        <v>45980</v>
      </c>
      <c r="E2507" s="23" t="s">
        <v>25</v>
      </c>
      <c r="F2507" s="23" t="s">
        <v>59</v>
      </c>
      <c r="G2507" s="23" t="s">
        <v>21</v>
      </c>
      <c r="H2507" s="23" t="s">
        <v>28</v>
      </c>
      <c r="I2507" s="23">
        <v>4</v>
      </c>
      <c r="J2507" s="23">
        <v>0</v>
      </c>
      <c r="K2507" s="23"/>
      <c r="L2507" s="23" t="s">
        <v>8363</v>
      </c>
      <c r="M2507" s="25">
        <v>11</v>
      </c>
      <c r="N2507">
        <f t="shared" si="39"/>
        <v>0</v>
      </c>
    </row>
    <row r="2508" spans="1:14" x14ac:dyDescent="0.35">
      <c r="A2508" s="6" t="s">
        <v>2578</v>
      </c>
      <c r="B2508" s="19" t="s">
        <v>65</v>
      </c>
      <c r="C2508" s="19"/>
      <c r="D2508" s="20"/>
      <c r="E2508" s="19" t="s">
        <v>68</v>
      </c>
      <c r="F2508" s="19" t="s">
        <v>8364</v>
      </c>
      <c r="G2508" s="19" t="s">
        <v>8364</v>
      </c>
      <c r="H2508" s="19" t="s">
        <v>16</v>
      </c>
      <c r="I2508" s="19">
        <v>4</v>
      </c>
      <c r="J2508" s="19">
        <v>0</v>
      </c>
      <c r="K2508" s="19"/>
      <c r="L2508" s="19" t="s">
        <v>8363</v>
      </c>
      <c r="M2508" s="21">
        <v>29.6</v>
      </c>
      <c r="N2508">
        <f t="shared" si="39"/>
        <v>0</v>
      </c>
    </row>
    <row r="2509" spans="1:14" x14ac:dyDescent="0.35">
      <c r="A2509" s="22" t="s">
        <v>2579</v>
      </c>
      <c r="B2509" s="23" t="s">
        <v>51</v>
      </c>
      <c r="C2509" s="23">
        <v>2</v>
      </c>
      <c r="D2509" s="24">
        <v>45707</v>
      </c>
      <c r="E2509" s="23" t="s">
        <v>25</v>
      </c>
      <c r="F2509" s="23" t="s">
        <v>43</v>
      </c>
      <c r="G2509" s="23" t="s">
        <v>31</v>
      </c>
      <c r="H2509" s="23" t="s">
        <v>22</v>
      </c>
      <c r="I2509" s="23">
        <v>8</v>
      </c>
      <c r="J2509" s="23">
        <v>0</v>
      </c>
      <c r="K2509" s="23">
        <v>5</v>
      </c>
      <c r="L2509" s="23" t="s">
        <v>55</v>
      </c>
      <c r="M2509" s="25">
        <v>11.5</v>
      </c>
      <c r="N2509">
        <f t="shared" si="39"/>
        <v>0</v>
      </c>
    </row>
    <row r="2510" spans="1:14" x14ac:dyDescent="0.35">
      <c r="A2510" s="6" t="s">
        <v>2580</v>
      </c>
      <c r="B2510" s="19" t="s">
        <v>97</v>
      </c>
      <c r="C2510" s="19">
        <v>12</v>
      </c>
      <c r="D2510" s="20">
        <v>46003</v>
      </c>
      <c r="E2510" s="19" t="s">
        <v>8364</v>
      </c>
      <c r="F2510" s="19" t="s">
        <v>43</v>
      </c>
      <c r="G2510" s="19" t="s">
        <v>21</v>
      </c>
      <c r="H2510" s="19" t="s">
        <v>22</v>
      </c>
      <c r="I2510" s="19">
        <v>4</v>
      </c>
      <c r="J2510" s="19">
        <v>1</v>
      </c>
      <c r="K2510" s="19">
        <v>4</v>
      </c>
      <c r="L2510" s="19" t="s">
        <v>8363</v>
      </c>
      <c r="M2510" s="21">
        <v>21.6</v>
      </c>
      <c r="N2510">
        <f t="shared" si="39"/>
        <v>0</v>
      </c>
    </row>
    <row r="2511" spans="1:14" x14ac:dyDescent="0.35">
      <c r="A2511" s="22" t="s">
        <v>2581</v>
      </c>
      <c r="B2511" s="23" t="s">
        <v>47</v>
      </c>
      <c r="C2511" s="23">
        <v>3</v>
      </c>
      <c r="D2511" s="24">
        <v>45738</v>
      </c>
      <c r="E2511" s="23" t="s">
        <v>8364</v>
      </c>
      <c r="F2511" s="23" t="s">
        <v>40</v>
      </c>
      <c r="G2511" s="23" t="s">
        <v>15</v>
      </c>
      <c r="H2511" s="23" t="s">
        <v>32</v>
      </c>
      <c r="I2511" s="23">
        <v>4</v>
      </c>
      <c r="J2511" s="23">
        <v>0</v>
      </c>
      <c r="K2511" s="23">
        <v>3</v>
      </c>
      <c r="L2511" s="23" t="s">
        <v>44</v>
      </c>
      <c r="M2511" s="25">
        <v>1.8</v>
      </c>
      <c r="N2511">
        <f t="shared" si="39"/>
        <v>1</v>
      </c>
    </row>
    <row r="2512" spans="1:14" x14ac:dyDescent="0.35">
      <c r="A2512" s="6" t="s">
        <v>2582</v>
      </c>
      <c r="B2512" s="19" t="s">
        <v>47</v>
      </c>
      <c r="C2512" s="19">
        <v>8</v>
      </c>
      <c r="D2512" s="20">
        <v>45878</v>
      </c>
      <c r="E2512" s="19" t="s">
        <v>25</v>
      </c>
      <c r="F2512" s="19" t="s">
        <v>14</v>
      </c>
      <c r="G2512" s="19" t="s">
        <v>31</v>
      </c>
      <c r="H2512" s="19" t="s">
        <v>22</v>
      </c>
      <c r="I2512" s="19">
        <v>48</v>
      </c>
      <c r="J2512" s="19">
        <v>0</v>
      </c>
      <c r="K2512" s="19">
        <v>5</v>
      </c>
      <c r="L2512" s="19" t="s">
        <v>62</v>
      </c>
      <c r="M2512" s="21">
        <v>7.5</v>
      </c>
      <c r="N2512">
        <f t="shared" si="39"/>
        <v>1</v>
      </c>
    </row>
    <row r="2513" spans="1:14" x14ac:dyDescent="0.35">
      <c r="A2513" s="22" t="s">
        <v>2583</v>
      </c>
      <c r="B2513" s="23" t="s">
        <v>139</v>
      </c>
      <c r="C2513" s="23"/>
      <c r="D2513" s="24"/>
      <c r="E2513" s="23" t="s">
        <v>68</v>
      </c>
      <c r="F2513" s="23" t="s">
        <v>14</v>
      </c>
      <c r="G2513" s="23" t="s">
        <v>27</v>
      </c>
      <c r="H2513" s="23" t="s">
        <v>28</v>
      </c>
      <c r="I2513" s="23">
        <v>24</v>
      </c>
      <c r="J2513" s="23">
        <v>0</v>
      </c>
      <c r="K2513" s="23">
        <v>5</v>
      </c>
      <c r="L2513" s="23" t="s">
        <v>44</v>
      </c>
      <c r="M2513" s="25">
        <v>13.9</v>
      </c>
      <c r="N2513">
        <f t="shared" si="39"/>
        <v>1</v>
      </c>
    </row>
    <row r="2514" spans="1:14" x14ac:dyDescent="0.35">
      <c r="A2514" s="6" t="s">
        <v>2584</v>
      </c>
      <c r="B2514" s="19" t="s">
        <v>97</v>
      </c>
      <c r="C2514" s="19">
        <v>12</v>
      </c>
      <c r="D2514" s="20">
        <v>46007</v>
      </c>
      <c r="E2514" s="19" t="s">
        <v>20</v>
      </c>
      <c r="F2514" s="19" t="s">
        <v>14</v>
      </c>
      <c r="G2514" s="19" t="s">
        <v>31</v>
      </c>
      <c r="H2514" s="19" t="s">
        <v>28</v>
      </c>
      <c r="I2514" s="19">
        <v>48</v>
      </c>
      <c r="J2514" s="19">
        <v>0</v>
      </c>
      <c r="K2514" s="19">
        <v>4</v>
      </c>
      <c r="L2514" s="19" t="s">
        <v>8363</v>
      </c>
      <c r="M2514" s="21">
        <v>7.4</v>
      </c>
      <c r="N2514">
        <f t="shared" si="39"/>
        <v>1</v>
      </c>
    </row>
    <row r="2515" spans="1:14" x14ac:dyDescent="0.35">
      <c r="A2515" s="22" t="s">
        <v>2585</v>
      </c>
      <c r="B2515" s="23" t="s">
        <v>87</v>
      </c>
      <c r="C2515" s="23">
        <v>8</v>
      </c>
      <c r="D2515" s="24">
        <v>45900</v>
      </c>
      <c r="E2515" s="23" t="s">
        <v>20</v>
      </c>
      <c r="F2515" s="23" t="s">
        <v>8364</v>
      </c>
      <c r="G2515" s="23" t="s">
        <v>31</v>
      </c>
      <c r="H2515" s="23" t="s">
        <v>32</v>
      </c>
      <c r="I2515" s="23">
        <v>72</v>
      </c>
      <c r="J2515" s="23">
        <v>0</v>
      </c>
      <c r="K2515" s="23">
        <v>5</v>
      </c>
      <c r="L2515" s="23" t="s">
        <v>38</v>
      </c>
      <c r="M2515" s="25">
        <v>29.9</v>
      </c>
      <c r="N2515">
        <f t="shared" si="39"/>
        <v>1</v>
      </c>
    </row>
    <row r="2516" spans="1:14" x14ac:dyDescent="0.35">
      <c r="A2516" s="6" t="s">
        <v>2586</v>
      </c>
      <c r="B2516" s="19" t="s">
        <v>29</v>
      </c>
      <c r="C2516" s="19">
        <v>9</v>
      </c>
      <c r="D2516" s="20">
        <v>45928</v>
      </c>
      <c r="E2516" s="19" t="s">
        <v>36</v>
      </c>
      <c r="F2516" s="19" t="s">
        <v>43</v>
      </c>
      <c r="G2516" s="19" t="s">
        <v>15</v>
      </c>
      <c r="H2516" s="19" t="s">
        <v>28</v>
      </c>
      <c r="I2516" s="19">
        <v>4</v>
      </c>
      <c r="J2516" s="19">
        <v>0</v>
      </c>
      <c r="K2516" s="19">
        <v>3</v>
      </c>
      <c r="L2516" s="19" t="s">
        <v>55</v>
      </c>
      <c r="M2516" s="21">
        <v>6.5</v>
      </c>
      <c r="N2516">
        <f t="shared" si="39"/>
        <v>0</v>
      </c>
    </row>
    <row r="2517" spans="1:14" x14ac:dyDescent="0.35">
      <c r="A2517" s="22" t="s">
        <v>2587</v>
      </c>
      <c r="B2517" s="23" t="s">
        <v>146</v>
      </c>
      <c r="C2517" s="23">
        <v>6</v>
      </c>
      <c r="D2517" s="24">
        <v>45822</v>
      </c>
      <c r="E2517" s="23" t="s">
        <v>8364</v>
      </c>
      <c r="F2517" s="23" t="s">
        <v>40</v>
      </c>
      <c r="G2517" s="23" t="s">
        <v>31</v>
      </c>
      <c r="H2517" s="23" t="s">
        <v>16</v>
      </c>
      <c r="I2517" s="23">
        <v>24</v>
      </c>
      <c r="J2517" s="23">
        <v>0</v>
      </c>
      <c r="K2517" s="23">
        <v>4</v>
      </c>
      <c r="L2517" s="23" t="s">
        <v>44</v>
      </c>
      <c r="M2517" s="25">
        <v>7.2</v>
      </c>
      <c r="N2517">
        <f t="shared" si="39"/>
        <v>1</v>
      </c>
    </row>
    <row r="2518" spans="1:14" x14ac:dyDescent="0.35">
      <c r="A2518" s="6" t="s">
        <v>2588</v>
      </c>
      <c r="B2518" s="19" t="s">
        <v>158</v>
      </c>
      <c r="C2518" s="19">
        <v>2</v>
      </c>
      <c r="D2518" s="20">
        <v>45701</v>
      </c>
      <c r="E2518" s="19" t="s">
        <v>68</v>
      </c>
      <c r="F2518" s="19" t="s">
        <v>43</v>
      </c>
      <c r="G2518" s="19" t="s">
        <v>8364</v>
      </c>
      <c r="H2518" s="19" t="s">
        <v>32</v>
      </c>
      <c r="I2518" s="19">
        <v>24</v>
      </c>
      <c r="J2518" s="19">
        <v>1</v>
      </c>
      <c r="K2518" s="19">
        <v>4</v>
      </c>
      <c r="L2518" s="19" t="s">
        <v>8363</v>
      </c>
      <c r="M2518" s="21">
        <v>13.5</v>
      </c>
      <c r="N2518">
        <f t="shared" si="39"/>
        <v>1</v>
      </c>
    </row>
    <row r="2519" spans="1:14" x14ac:dyDescent="0.35">
      <c r="A2519" s="22" t="s">
        <v>2589</v>
      </c>
      <c r="B2519" s="23" t="s">
        <v>253</v>
      </c>
      <c r="C2519" s="23">
        <v>10</v>
      </c>
      <c r="D2519" s="24">
        <v>45934</v>
      </c>
      <c r="E2519" s="23" t="s">
        <v>20</v>
      </c>
      <c r="F2519" s="23" t="s">
        <v>37</v>
      </c>
      <c r="G2519" s="23" t="s">
        <v>27</v>
      </c>
      <c r="H2519" s="23" t="s">
        <v>28</v>
      </c>
      <c r="I2519" s="23">
        <v>24</v>
      </c>
      <c r="J2519" s="23">
        <v>0</v>
      </c>
      <c r="K2519" s="23">
        <v>5</v>
      </c>
      <c r="L2519" s="23" t="s">
        <v>17</v>
      </c>
      <c r="M2519" s="25">
        <v>11.3</v>
      </c>
      <c r="N2519">
        <f t="shared" si="39"/>
        <v>1</v>
      </c>
    </row>
    <row r="2520" spans="1:14" x14ac:dyDescent="0.35">
      <c r="A2520" s="6" t="s">
        <v>2590</v>
      </c>
      <c r="B2520" s="19" t="s">
        <v>143</v>
      </c>
      <c r="C2520" s="19">
        <v>11</v>
      </c>
      <c r="D2520" s="20">
        <v>45966</v>
      </c>
      <c r="E2520" s="19" t="s">
        <v>25</v>
      </c>
      <c r="F2520" s="19" t="s">
        <v>40</v>
      </c>
      <c r="G2520" s="19" t="s">
        <v>27</v>
      </c>
      <c r="H2520" s="19" t="s">
        <v>22</v>
      </c>
      <c r="I2520" s="19">
        <v>72</v>
      </c>
      <c r="J2520" s="19">
        <v>0</v>
      </c>
      <c r="K2520" s="19">
        <v>4</v>
      </c>
      <c r="L2520" s="19" t="s">
        <v>55</v>
      </c>
      <c r="M2520" s="21">
        <v>9.9</v>
      </c>
      <c r="N2520">
        <f t="shared" si="39"/>
        <v>1</v>
      </c>
    </row>
    <row r="2521" spans="1:14" x14ac:dyDescent="0.35">
      <c r="A2521" s="22" t="s">
        <v>2591</v>
      </c>
      <c r="B2521" s="23" t="s">
        <v>47</v>
      </c>
      <c r="C2521" s="23">
        <v>2</v>
      </c>
      <c r="D2521" s="24">
        <v>45690</v>
      </c>
      <c r="E2521" s="23" t="s">
        <v>13</v>
      </c>
      <c r="F2521" s="23" t="s">
        <v>40</v>
      </c>
      <c r="G2521" s="23" t="s">
        <v>31</v>
      </c>
      <c r="H2521" s="23" t="s">
        <v>32</v>
      </c>
      <c r="I2521" s="23">
        <v>72</v>
      </c>
      <c r="J2521" s="23">
        <v>3</v>
      </c>
      <c r="K2521" s="23">
        <v>5</v>
      </c>
      <c r="L2521" s="23" t="s">
        <v>8363</v>
      </c>
      <c r="M2521" s="25">
        <v>20.3</v>
      </c>
      <c r="N2521">
        <f t="shared" si="39"/>
        <v>1</v>
      </c>
    </row>
    <row r="2522" spans="1:14" x14ac:dyDescent="0.35">
      <c r="A2522" s="6" t="s">
        <v>2592</v>
      </c>
      <c r="B2522" s="19" t="s">
        <v>47</v>
      </c>
      <c r="C2522" s="19"/>
      <c r="D2522" s="20"/>
      <c r="E2522" s="19" t="s">
        <v>25</v>
      </c>
      <c r="F2522" s="19" t="s">
        <v>14</v>
      </c>
      <c r="G2522" s="19" t="s">
        <v>15</v>
      </c>
      <c r="H2522" s="19" t="s">
        <v>22</v>
      </c>
      <c r="I2522" s="19">
        <v>48</v>
      </c>
      <c r="J2522" s="19">
        <v>2</v>
      </c>
      <c r="K2522" s="19">
        <v>5</v>
      </c>
      <c r="L2522" s="19" t="s">
        <v>17</v>
      </c>
      <c r="M2522" s="21">
        <v>5.2</v>
      </c>
      <c r="N2522">
        <f t="shared" si="39"/>
        <v>1</v>
      </c>
    </row>
    <row r="2523" spans="1:14" x14ac:dyDescent="0.35">
      <c r="A2523" s="22" t="s">
        <v>2593</v>
      </c>
      <c r="B2523" s="23" t="s">
        <v>18</v>
      </c>
      <c r="C2523" s="23">
        <v>7</v>
      </c>
      <c r="D2523" s="24">
        <v>45864</v>
      </c>
      <c r="E2523" s="23" t="s">
        <v>20</v>
      </c>
      <c r="F2523" s="23" t="s">
        <v>59</v>
      </c>
      <c r="G2523" s="23" t="s">
        <v>15</v>
      </c>
      <c r="H2523" s="23" t="s">
        <v>28</v>
      </c>
      <c r="I2523" s="23">
        <v>48</v>
      </c>
      <c r="J2523" s="23">
        <v>0</v>
      </c>
      <c r="K2523" s="23">
        <v>2</v>
      </c>
      <c r="L2523" s="23" t="s">
        <v>38</v>
      </c>
      <c r="M2523" s="25">
        <v>21.6</v>
      </c>
      <c r="N2523">
        <f t="shared" si="39"/>
        <v>1</v>
      </c>
    </row>
    <row r="2524" spans="1:14" x14ac:dyDescent="0.35">
      <c r="A2524" s="6" t="s">
        <v>2594</v>
      </c>
      <c r="B2524" s="19" t="s">
        <v>29</v>
      </c>
      <c r="C2524" s="19">
        <v>5</v>
      </c>
      <c r="D2524" s="20">
        <v>45791</v>
      </c>
      <c r="E2524" s="19" t="s">
        <v>25</v>
      </c>
      <c r="F2524" s="19" t="s">
        <v>40</v>
      </c>
      <c r="G2524" s="19" t="s">
        <v>15</v>
      </c>
      <c r="H2524" s="19" t="s">
        <v>28</v>
      </c>
      <c r="I2524" s="19">
        <v>8</v>
      </c>
      <c r="J2524" s="19">
        <v>0</v>
      </c>
      <c r="K2524" s="19">
        <v>5</v>
      </c>
      <c r="L2524" s="19" t="s">
        <v>17</v>
      </c>
      <c r="M2524" s="21">
        <v>17.5</v>
      </c>
      <c r="N2524">
        <f t="shared" si="39"/>
        <v>0</v>
      </c>
    </row>
    <row r="2525" spans="1:14" x14ac:dyDescent="0.35">
      <c r="A2525" s="22" t="s">
        <v>2595</v>
      </c>
      <c r="B2525" s="23" t="s">
        <v>81</v>
      </c>
      <c r="C2525" s="23">
        <v>4</v>
      </c>
      <c r="D2525" s="24">
        <v>45774</v>
      </c>
      <c r="E2525" s="23" t="s">
        <v>25</v>
      </c>
      <c r="F2525" s="23" t="s">
        <v>59</v>
      </c>
      <c r="G2525" s="23" t="s">
        <v>31</v>
      </c>
      <c r="H2525" s="23" t="s">
        <v>22</v>
      </c>
      <c r="I2525" s="23">
        <v>24</v>
      </c>
      <c r="J2525" s="23">
        <v>0</v>
      </c>
      <c r="K2525" s="23">
        <v>4</v>
      </c>
      <c r="L2525" s="23" t="s">
        <v>17</v>
      </c>
      <c r="M2525" s="25">
        <v>3.1</v>
      </c>
      <c r="N2525">
        <f t="shared" si="39"/>
        <v>1</v>
      </c>
    </row>
    <row r="2526" spans="1:14" x14ac:dyDescent="0.35">
      <c r="A2526" s="6" t="s">
        <v>2596</v>
      </c>
      <c r="B2526" s="19" t="s">
        <v>87</v>
      </c>
      <c r="C2526" s="19">
        <v>11</v>
      </c>
      <c r="D2526" s="20">
        <v>45966</v>
      </c>
      <c r="E2526" s="19" t="s">
        <v>25</v>
      </c>
      <c r="F2526" s="19" t="s">
        <v>8364</v>
      </c>
      <c r="G2526" s="19" t="s">
        <v>21</v>
      </c>
      <c r="H2526" s="19" t="s">
        <v>28</v>
      </c>
      <c r="I2526" s="19">
        <v>24</v>
      </c>
      <c r="J2526" s="19">
        <v>0</v>
      </c>
      <c r="K2526" s="19">
        <v>4</v>
      </c>
      <c r="L2526" s="19" t="s">
        <v>38</v>
      </c>
      <c r="M2526" s="21">
        <v>19.3</v>
      </c>
      <c r="N2526">
        <f t="shared" si="39"/>
        <v>1</v>
      </c>
    </row>
    <row r="2527" spans="1:14" x14ac:dyDescent="0.35">
      <c r="A2527" s="22" t="s">
        <v>2597</v>
      </c>
      <c r="B2527" s="23" t="s">
        <v>47</v>
      </c>
      <c r="C2527" s="23">
        <v>10</v>
      </c>
      <c r="D2527" s="24">
        <v>45951</v>
      </c>
      <c r="E2527" s="23" t="s">
        <v>13</v>
      </c>
      <c r="F2527" s="23" t="s">
        <v>37</v>
      </c>
      <c r="G2527" s="23" t="s">
        <v>27</v>
      </c>
      <c r="H2527" s="23" t="s">
        <v>16</v>
      </c>
      <c r="I2527" s="23">
        <v>8</v>
      </c>
      <c r="J2527" s="23">
        <v>0</v>
      </c>
      <c r="K2527" s="23">
        <v>5</v>
      </c>
      <c r="L2527" s="23" t="s">
        <v>44</v>
      </c>
      <c r="M2527" s="25">
        <v>8.5</v>
      </c>
      <c r="N2527">
        <f t="shared" si="39"/>
        <v>0</v>
      </c>
    </row>
    <row r="2528" spans="1:14" x14ac:dyDescent="0.35">
      <c r="A2528" s="6" t="s">
        <v>2598</v>
      </c>
      <c r="B2528" s="19" t="s">
        <v>49</v>
      </c>
      <c r="C2528" s="19"/>
      <c r="D2528" s="20"/>
      <c r="E2528" s="19" t="s">
        <v>68</v>
      </c>
      <c r="F2528" s="19" t="s">
        <v>43</v>
      </c>
      <c r="G2528" s="19" t="s">
        <v>8364</v>
      </c>
      <c r="H2528" s="19" t="s">
        <v>16</v>
      </c>
      <c r="I2528" s="19">
        <v>4</v>
      </c>
      <c r="J2528" s="19">
        <v>0</v>
      </c>
      <c r="K2528" s="19">
        <v>4</v>
      </c>
      <c r="L2528" s="19" t="s">
        <v>17</v>
      </c>
      <c r="M2528" s="21">
        <v>10.1</v>
      </c>
      <c r="N2528">
        <f t="shared" si="39"/>
        <v>0</v>
      </c>
    </row>
    <row r="2529" spans="1:14" x14ac:dyDescent="0.35">
      <c r="A2529" s="22" t="s">
        <v>2599</v>
      </c>
      <c r="B2529" s="23" t="s">
        <v>57</v>
      </c>
      <c r="C2529" s="23">
        <v>2</v>
      </c>
      <c r="D2529" s="24">
        <v>45708</v>
      </c>
      <c r="E2529" s="23" t="s">
        <v>36</v>
      </c>
      <c r="F2529" s="23" t="s">
        <v>37</v>
      </c>
      <c r="G2529" s="23" t="s">
        <v>27</v>
      </c>
      <c r="H2529" s="23" t="s">
        <v>22</v>
      </c>
      <c r="I2529" s="23">
        <v>24</v>
      </c>
      <c r="J2529" s="23">
        <v>2</v>
      </c>
      <c r="K2529" s="23">
        <v>2</v>
      </c>
      <c r="L2529" s="23" t="s">
        <v>62</v>
      </c>
      <c r="M2529" s="25">
        <v>6.2</v>
      </c>
      <c r="N2529">
        <f t="shared" si="39"/>
        <v>1</v>
      </c>
    </row>
    <row r="2530" spans="1:14" x14ac:dyDescent="0.35">
      <c r="A2530" s="6" t="s">
        <v>2600</v>
      </c>
      <c r="B2530" s="19" t="s">
        <v>45</v>
      </c>
      <c r="C2530" s="19">
        <v>1</v>
      </c>
      <c r="D2530" s="20">
        <v>45673</v>
      </c>
      <c r="E2530" s="19" t="s">
        <v>36</v>
      </c>
      <c r="F2530" s="19" t="s">
        <v>43</v>
      </c>
      <c r="G2530" s="19" t="s">
        <v>31</v>
      </c>
      <c r="H2530" s="19" t="s">
        <v>16</v>
      </c>
      <c r="I2530" s="19">
        <v>4</v>
      </c>
      <c r="J2530" s="19">
        <v>0</v>
      </c>
      <c r="K2530" s="19">
        <v>4</v>
      </c>
      <c r="L2530" s="19" t="s">
        <v>38</v>
      </c>
      <c r="M2530" s="21">
        <v>7.9</v>
      </c>
      <c r="N2530">
        <f t="shared" si="39"/>
        <v>0</v>
      </c>
    </row>
    <row r="2531" spans="1:14" x14ac:dyDescent="0.35">
      <c r="A2531" s="22" t="s">
        <v>2601</v>
      </c>
      <c r="B2531" s="23" t="s">
        <v>29</v>
      </c>
      <c r="C2531" s="23">
        <v>5</v>
      </c>
      <c r="D2531" s="24">
        <v>45804</v>
      </c>
      <c r="E2531" s="23" t="s">
        <v>25</v>
      </c>
      <c r="F2531" s="23" t="s">
        <v>59</v>
      </c>
      <c r="G2531" s="23" t="s">
        <v>27</v>
      </c>
      <c r="H2531" s="23" t="s">
        <v>8364</v>
      </c>
      <c r="I2531" s="23">
        <v>48</v>
      </c>
      <c r="J2531" s="23">
        <v>0</v>
      </c>
      <c r="K2531" s="23">
        <v>3</v>
      </c>
      <c r="L2531" s="23" t="s">
        <v>17</v>
      </c>
      <c r="M2531" s="25">
        <v>13.1</v>
      </c>
      <c r="N2531">
        <f t="shared" si="39"/>
        <v>1</v>
      </c>
    </row>
    <row r="2532" spans="1:14" x14ac:dyDescent="0.35">
      <c r="A2532" s="6" t="s">
        <v>2602</v>
      </c>
      <c r="B2532" s="19" t="s">
        <v>97</v>
      </c>
      <c r="C2532" s="19">
        <v>6</v>
      </c>
      <c r="D2532" s="20">
        <v>45823</v>
      </c>
      <c r="E2532" s="19" t="s">
        <v>20</v>
      </c>
      <c r="F2532" s="19" t="s">
        <v>8364</v>
      </c>
      <c r="G2532" s="19" t="s">
        <v>15</v>
      </c>
      <c r="H2532" s="19" t="s">
        <v>16</v>
      </c>
      <c r="I2532" s="19">
        <v>24</v>
      </c>
      <c r="J2532" s="19">
        <v>0</v>
      </c>
      <c r="K2532" s="19">
        <v>5</v>
      </c>
      <c r="L2532" s="19" t="s">
        <v>33</v>
      </c>
      <c r="M2532" s="21">
        <v>23.9</v>
      </c>
      <c r="N2532">
        <f t="shared" si="39"/>
        <v>1</v>
      </c>
    </row>
    <row r="2533" spans="1:14" x14ac:dyDescent="0.35">
      <c r="A2533" s="22" t="s">
        <v>2603</v>
      </c>
      <c r="B2533" s="23" t="s">
        <v>69</v>
      </c>
      <c r="C2533" s="23">
        <v>7</v>
      </c>
      <c r="D2533" s="24">
        <v>45859</v>
      </c>
      <c r="E2533" s="23" t="s">
        <v>20</v>
      </c>
      <c r="F2533" s="23" t="s">
        <v>40</v>
      </c>
      <c r="G2533" s="23" t="s">
        <v>15</v>
      </c>
      <c r="H2533" s="23" t="s">
        <v>22</v>
      </c>
      <c r="I2533" s="23">
        <v>24</v>
      </c>
      <c r="J2533" s="23">
        <v>0</v>
      </c>
      <c r="K2533" s="23">
        <v>4</v>
      </c>
      <c r="L2533" s="23" t="s">
        <v>33</v>
      </c>
      <c r="M2533" s="25">
        <v>5.8</v>
      </c>
      <c r="N2533">
        <f t="shared" si="39"/>
        <v>1</v>
      </c>
    </row>
    <row r="2534" spans="1:14" x14ac:dyDescent="0.35">
      <c r="A2534" s="6" t="s">
        <v>2604</v>
      </c>
      <c r="B2534" s="19" t="s">
        <v>158</v>
      </c>
      <c r="C2534" s="19">
        <v>1</v>
      </c>
      <c r="D2534" s="20">
        <v>45685</v>
      </c>
      <c r="E2534" s="19" t="s">
        <v>13</v>
      </c>
      <c r="F2534" s="19" t="s">
        <v>43</v>
      </c>
      <c r="G2534" s="19" t="s">
        <v>31</v>
      </c>
      <c r="H2534" s="19" t="s">
        <v>22</v>
      </c>
      <c r="I2534" s="19">
        <v>48</v>
      </c>
      <c r="J2534" s="19">
        <v>0</v>
      </c>
      <c r="K2534" s="19">
        <v>5</v>
      </c>
      <c r="L2534" s="19" t="s">
        <v>44</v>
      </c>
      <c r="M2534" s="21">
        <v>17.3</v>
      </c>
      <c r="N2534">
        <f t="shared" si="39"/>
        <v>1</v>
      </c>
    </row>
    <row r="2535" spans="1:14" x14ac:dyDescent="0.35">
      <c r="A2535" s="22" t="s">
        <v>2605</v>
      </c>
      <c r="B2535" s="23" t="s">
        <v>126</v>
      </c>
      <c r="C2535" s="23">
        <v>9</v>
      </c>
      <c r="D2535" s="24">
        <v>45925</v>
      </c>
      <c r="E2535" s="23" t="s">
        <v>68</v>
      </c>
      <c r="F2535" s="23" t="s">
        <v>59</v>
      </c>
      <c r="G2535" s="23" t="s">
        <v>15</v>
      </c>
      <c r="H2535" s="23" t="s">
        <v>32</v>
      </c>
      <c r="I2535" s="23">
        <v>48</v>
      </c>
      <c r="J2535" s="23">
        <v>0</v>
      </c>
      <c r="K2535" s="23">
        <v>2</v>
      </c>
      <c r="L2535" s="23" t="s">
        <v>38</v>
      </c>
      <c r="M2535" s="25">
        <v>7.3</v>
      </c>
      <c r="N2535">
        <f t="shared" si="39"/>
        <v>1</v>
      </c>
    </row>
    <row r="2536" spans="1:14" x14ac:dyDescent="0.35">
      <c r="A2536" s="6" t="s">
        <v>2606</v>
      </c>
      <c r="B2536" s="19" t="s">
        <v>18</v>
      </c>
      <c r="C2536" s="19">
        <v>7</v>
      </c>
      <c r="D2536" s="20">
        <v>45860</v>
      </c>
      <c r="E2536" s="19" t="s">
        <v>25</v>
      </c>
      <c r="F2536" s="19" t="s">
        <v>40</v>
      </c>
      <c r="G2536" s="19" t="s">
        <v>27</v>
      </c>
      <c r="H2536" s="19" t="s">
        <v>22</v>
      </c>
      <c r="I2536" s="19">
        <v>24</v>
      </c>
      <c r="J2536" s="19">
        <v>0</v>
      </c>
      <c r="K2536" s="19">
        <v>5</v>
      </c>
      <c r="L2536" s="19" t="s">
        <v>8363</v>
      </c>
      <c r="M2536" s="21">
        <v>13.3</v>
      </c>
      <c r="N2536">
        <f t="shared" si="39"/>
        <v>1</v>
      </c>
    </row>
    <row r="2537" spans="1:14" x14ac:dyDescent="0.35">
      <c r="A2537" s="22" t="s">
        <v>2607</v>
      </c>
      <c r="B2537" s="23" t="s">
        <v>51</v>
      </c>
      <c r="C2537" s="23">
        <v>3</v>
      </c>
      <c r="D2537" s="24">
        <v>45732</v>
      </c>
      <c r="E2537" s="23" t="s">
        <v>20</v>
      </c>
      <c r="F2537" s="23" t="s">
        <v>40</v>
      </c>
      <c r="G2537" s="23" t="s">
        <v>15</v>
      </c>
      <c r="H2537" s="23" t="s">
        <v>16</v>
      </c>
      <c r="I2537" s="23">
        <v>72</v>
      </c>
      <c r="J2537" s="23">
        <v>0</v>
      </c>
      <c r="K2537" s="23">
        <v>2</v>
      </c>
      <c r="L2537" s="23" t="s">
        <v>55</v>
      </c>
      <c r="M2537" s="25">
        <v>25.7</v>
      </c>
      <c r="N2537">
        <f t="shared" si="39"/>
        <v>1</v>
      </c>
    </row>
    <row r="2538" spans="1:14" x14ac:dyDescent="0.35">
      <c r="A2538" s="6" t="s">
        <v>2608</v>
      </c>
      <c r="B2538" s="19" t="s">
        <v>89</v>
      </c>
      <c r="C2538" s="19"/>
      <c r="D2538" s="20"/>
      <c r="E2538" s="19" t="s">
        <v>20</v>
      </c>
      <c r="F2538" s="19" t="s">
        <v>40</v>
      </c>
      <c r="G2538" s="19" t="s">
        <v>31</v>
      </c>
      <c r="H2538" s="19" t="s">
        <v>8364</v>
      </c>
      <c r="I2538" s="19">
        <v>48</v>
      </c>
      <c r="J2538" s="19">
        <v>0</v>
      </c>
      <c r="K2538" s="19">
        <v>4</v>
      </c>
      <c r="L2538" s="19" t="s">
        <v>38</v>
      </c>
      <c r="M2538" s="21">
        <v>5.8</v>
      </c>
      <c r="N2538">
        <f t="shared" si="39"/>
        <v>1</v>
      </c>
    </row>
    <row r="2539" spans="1:14" x14ac:dyDescent="0.35">
      <c r="A2539" s="22" t="s">
        <v>2609</v>
      </c>
      <c r="B2539" s="23" t="s">
        <v>57</v>
      </c>
      <c r="C2539" s="23">
        <v>1</v>
      </c>
      <c r="D2539" s="24">
        <v>45684</v>
      </c>
      <c r="E2539" s="23" t="s">
        <v>13</v>
      </c>
      <c r="F2539" s="23" t="s">
        <v>26</v>
      </c>
      <c r="G2539" s="23" t="s">
        <v>15</v>
      </c>
      <c r="H2539" s="23" t="s">
        <v>28</v>
      </c>
      <c r="I2539" s="23">
        <v>24</v>
      </c>
      <c r="J2539" s="23">
        <v>1</v>
      </c>
      <c r="K2539" s="23">
        <v>4</v>
      </c>
      <c r="L2539" s="23" t="s">
        <v>8363</v>
      </c>
      <c r="M2539" s="25">
        <v>20.5</v>
      </c>
      <c r="N2539">
        <f t="shared" si="39"/>
        <v>1</v>
      </c>
    </row>
    <row r="2540" spans="1:14" x14ac:dyDescent="0.35">
      <c r="A2540" s="6" t="s">
        <v>2610</v>
      </c>
      <c r="B2540" s="19" t="s">
        <v>53</v>
      </c>
      <c r="C2540" s="19"/>
      <c r="D2540" s="20"/>
      <c r="E2540" s="19" t="s">
        <v>68</v>
      </c>
      <c r="F2540" s="19" t="s">
        <v>8364</v>
      </c>
      <c r="G2540" s="19" t="s">
        <v>21</v>
      </c>
      <c r="H2540" s="19" t="s">
        <v>8364</v>
      </c>
      <c r="I2540" s="19">
        <v>48</v>
      </c>
      <c r="J2540" s="19"/>
      <c r="K2540" s="19">
        <v>1</v>
      </c>
      <c r="L2540" s="19" t="s">
        <v>75</v>
      </c>
      <c r="M2540" s="21">
        <v>17.899999999999999</v>
      </c>
      <c r="N2540">
        <f t="shared" si="39"/>
        <v>1</v>
      </c>
    </row>
    <row r="2541" spans="1:14" x14ac:dyDescent="0.35">
      <c r="A2541" s="22" t="s">
        <v>2611</v>
      </c>
      <c r="B2541" s="23" t="s">
        <v>101</v>
      </c>
      <c r="C2541" s="23">
        <v>8</v>
      </c>
      <c r="D2541" s="24">
        <v>45886</v>
      </c>
      <c r="E2541" s="23" t="s">
        <v>36</v>
      </c>
      <c r="F2541" s="23" t="s">
        <v>37</v>
      </c>
      <c r="G2541" s="23" t="s">
        <v>8364</v>
      </c>
      <c r="H2541" s="23" t="s">
        <v>22</v>
      </c>
      <c r="I2541" s="23">
        <v>72</v>
      </c>
      <c r="J2541" s="23">
        <v>0</v>
      </c>
      <c r="K2541" s="23">
        <v>3</v>
      </c>
      <c r="L2541" s="23" t="s">
        <v>8363</v>
      </c>
      <c r="M2541" s="25">
        <v>11.9</v>
      </c>
      <c r="N2541">
        <f t="shared" si="39"/>
        <v>1</v>
      </c>
    </row>
    <row r="2542" spans="1:14" x14ac:dyDescent="0.35">
      <c r="A2542" s="6" t="s">
        <v>2612</v>
      </c>
      <c r="B2542" s="19" t="s">
        <v>104</v>
      </c>
      <c r="C2542" s="19">
        <v>9</v>
      </c>
      <c r="D2542" s="20">
        <v>45920</v>
      </c>
      <c r="E2542" s="19" t="s">
        <v>68</v>
      </c>
      <c r="F2542" s="19" t="s">
        <v>14</v>
      </c>
      <c r="G2542" s="19" t="s">
        <v>27</v>
      </c>
      <c r="H2542" s="19" t="s">
        <v>28</v>
      </c>
      <c r="I2542" s="19">
        <v>24</v>
      </c>
      <c r="J2542" s="19">
        <v>0</v>
      </c>
      <c r="K2542" s="19">
        <v>5</v>
      </c>
      <c r="L2542" s="19" t="s">
        <v>8363</v>
      </c>
      <c r="M2542" s="21">
        <v>22</v>
      </c>
      <c r="N2542">
        <f t="shared" si="39"/>
        <v>1</v>
      </c>
    </row>
    <row r="2543" spans="1:14" x14ac:dyDescent="0.35">
      <c r="A2543" s="22" t="s">
        <v>2613</v>
      </c>
      <c r="B2543" s="23" t="s">
        <v>34</v>
      </c>
      <c r="C2543" s="23"/>
      <c r="D2543" s="24"/>
      <c r="E2543" s="23" t="s">
        <v>25</v>
      </c>
      <c r="F2543" s="23" t="s">
        <v>14</v>
      </c>
      <c r="G2543" s="23" t="s">
        <v>27</v>
      </c>
      <c r="H2543" s="23" t="s">
        <v>22</v>
      </c>
      <c r="I2543" s="23">
        <v>8</v>
      </c>
      <c r="J2543" s="23">
        <v>1</v>
      </c>
      <c r="K2543" s="23">
        <v>4</v>
      </c>
      <c r="L2543" s="23" t="s">
        <v>62</v>
      </c>
      <c r="M2543" s="25">
        <v>12.7</v>
      </c>
      <c r="N2543">
        <f t="shared" si="39"/>
        <v>0</v>
      </c>
    </row>
    <row r="2544" spans="1:14" x14ac:dyDescent="0.35">
      <c r="A2544" s="6" t="s">
        <v>2614</v>
      </c>
      <c r="B2544" s="19" t="s">
        <v>92</v>
      </c>
      <c r="C2544" s="19">
        <v>9</v>
      </c>
      <c r="D2544" s="20">
        <v>45914</v>
      </c>
      <c r="E2544" s="19" t="s">
        <v>13</v>
      </c>
      <c r="F2544" s="19" t="s">
        <v>37</v>
      </c>
      <c r="G2544" s="19" t="s">
        <v>15</v>
      </c>
      <c r="H2544" s="19" t="s">
        <v>22</v>
      </c>
      <c r="I2544" s="19">
        <v>8</v>
      </c>
      <c r="J2544" s="19">
        <v>0</v>
      </c>
      <c r="K2544" s="19">
        <v>3</v>
      </c>
      <c r="L2544" s="19" t="s">
        <v>17</v>
      </c>
      <c r="M2544" s="21">
        <v>12.2</v>
      </c>
      <c r="N2544">
        <f t="shared" si="39"/>
        <v>0</v>
      </c>
    </row>
    <row r="2545" spans="1:14" x14ac:dyDescent="0.35">
      <c r="A2545" s="22" t="s">
        <v>2615</v>
      </c>
      <c r="B2545" s="23" t="s">
        <v>181</v>
      </c>
      <c r="C2545" s="23">
        <v>5</v>
      </c>
      <c r="D2545" s="24">
        <v>45799</v>
      </c>
      <c r="E2545" s="23" t="s">
        <v>8364</v>
      </c>
      <c r="F2545" s="23" t="s">
        <v>59</v>
      </c>
      <c r="G2545" s="23" t="s">
        <v>31</v>
      </c>
      <c r="H2545" s="23" t="s">
        <v>28</v>
      </c>
      <c r="I2545" s="23">
        <v>24</v>
      </c>
      <c r="J2545" s="23">
        <v>0</v>
      </c>
      <c r="K2545" s="23">
        <v>4</v>
      </c>
      <c r="L2545" s="23" t="s">
        <v>8363</v>
      </c>
      <c r="M2545" s="25">
        <v>8.5</v>
      </c>
      <c r="N2545">
        <f t="shared" si="39"/>
        <v>1</v>
      </c>
    </row>
    <row r="2546" spans="1:14" x14ac:dyDescent="0.35">
      <c r="A2546" s="6" t="s">
        <v>2616</v>
      </c>
      <c r="B2546" s="19" t="s">
        <v>89</v>
      </c>
      <c r="C2546" s="19">
        <v>12</v>
      </c>
      <c r="D2546" s="20">
        <v>46009</v>
      </c>
      <c r="E2546" s="19" t="s">
        <v>68</v>
      </c>
      <c r="F2546" s="19" t="s">
        <v>26</v>
      </c>
      <c r="G2546" s="19" t="s">
        <v>31</v>
      </c>
      <c r="H2546" s="19" t="s">
        <v>32</v>
      </c>
      <c r="I2546" s="19">
        <v>8</v>
      </c>
      <c r="J2546" s="19">
        <v>0</v>
      </c>
      <c r="K2546" s="19">
        <v>5</v>
      </c>
      <c r="L2546" s="19" t="s">
        <v>44</v>
      </c>
      <c r="M2546" s="21">
        <v>13</v>
      </c>
      <c r="N2546">
        <f t="shared" si="39"/>
        <v>0</v>
      </c>
    </row>
    <row r="2547" spans="1:14" x14ac:dyDescent="0.35">
      <c r="A2547" s="22" t="s">
        <v>2617</v>
      </c>
      <c r="B2547" s="23" t="s">
        <v>18</v>
      </c>
      <c r="C2547" s="23">
        <v>5</v>
      </c>
      <c r="D2547" s="24">
        <v>45799</v>
      </c>
      <c r="E2547" s="23" t="s">
        <v>20</v>
      </c>
      <c r="F2547" s="23" t="s">
        <v>8364</v>
      </c>
      <c r="G2547" s="23" t="s">
        <v>27</v>
      </c>
      <c r="H2547" s="23" t="s">
        <v>8364</v>
      </c>
      <c r="I2547" s="23">
        <v>48</v>
      </c>
      <c r="J2547" s="23">
        <v>0</v>
      </c>
      <c r="K2547" s="23">
        <v>5</v>
      </c>
      <c r="L2547" s="23" t="s">
        <v>44</v>
      </c>
      <c r="M2547" s="25">
        <v>6.5</v>
      </c>
      <c r="N2547">
        <f t="shared" si="39"/>
        <v>1</v>
      </c>
    </row>
    <row r="2548" spans="1:14" x14ac:dyDescent="0.35">
      <c r="A2548" s="6" t="s">
        <v>2618</v>
      </c>
      <c r="B2548" s="19" t="s">
        <v>158</v>
      </c>
      <c r="C2548" s="19">
        <v>5</v>
      </c>
      <c r="D2548" s="20">
        <v>45789</v>
      </c>
      <c r="E2548" s="19" t="s">
        <v>8364</v>
      </c>
      <c r="F2548" s="19" t="s">
        <v>43</v>
      </c>
      <c r="G2548" s="19" t="s">
        <v>15</v>
      </c>
      <c r="H2548" s="19" t="s">
        <v>32</v>
      </c>
      <c r="I2548" s="19">
        <v>24</v>
      </c>
      <c r="J2548" s="19">
        <v>0</v>
      </c>
      <c r="K2548" s="19"/>
      <c r="L2548" s="19" t="s">
        <v>17</v>
      </c>
      <c r="M2548" s="21">
        <v>22.4</v>
      </c>
      <c r="N2548">
        <f t="shared" si="39"/>
        <v>1</v>
      </c>
    </row>
    <row r="2549" spans="1:14" x14ac:dyDescent="0.35">
      <c r="A2549" s="22" t="s">
        <v>2619</v>
      </c>
      <c r="B2549" s="23" t="s">
        <v>99</v>
      </c>
      <c r="C2549" s="23">
        <v>10</v>
      </c>
      <c r="D2549" s="24">
        <v>45937</v>
      </c>
      <c r="E2549" s="23" t="s">
        <v>68</v>
      </c>
      <c r="F2549" s="23" t="s">
        <v>43</v>
      </c>
      <c r="G2549" s="23" t="s">
        <v>27</v>
      </c>
      <c r="H2549" s="23" t="s">
        <v>8364</v>
      </c>
      <c r="I2549" s="23">
        <v>8</v>
      </c>
      <c r="J2549" s="23">
        <v>0</v>
      </c>
      <c r="K2549" s="23">
        <v>5</v>
      </c>
      <c r="L2549" s="23" t="s">
        <v>55</v>
      </c>
      <c r="M2549" s="25">
        <v>11.8</v>
      </c>
      <c r="N2549">
        <f t="shared" si="39"/>
        <v>0</v>
      </c>
    </row>
    <row r="2550" spans="1:14" x14ac:dyDescent="0.35">
      <c r="A2550" s="6" t="s">
        <v>2620</v>
      </c>
      <c r="B2550" s="19" t="s">
        <v>101</v>
      </c>
      <c r="C2550" s="19">
        <v>5</v>
      </c>
      <c r="D2550" s="20">
        <v>45798</v>
      </c>
      <c r="E2550" s="19" t="s">
        <v>68</v>
      </c>
      <c r="F2550" s="19" t="s">
        <v>37</v>
      </c>
      <c r="G2550" s="19" t="s">
        <v>27</v>
      </c>
      <c r="H2550" s="19" t="s">
        <v>8364</v>
      </c>
      <c r="I2550" s="19">
        <v>48</v>
      </c>
      <c r="J2550" s="19"/>
      <c r="K2550" s="19">
        <v>4</v>
      </c>
      <c r="L2550" s="19" t="s">
        <v>75</v>
      </c>
      <c r="M2550" s="21">
        <v>6</v>
      </c>
      <c r="N2550">
        <f t="shared" si="39"/>
        <v>1</v>
      </c>
    </row>
    <row r="2551" spans="1:14" x14ac:dyDescent="0.35">
      <c r="A2551" s="22" t="s">
        <v>2621</v>
      </c>
      <c r="B2551" s="23" t="s">
        <v>41</v>
      </c>
      <c r="C2551" s="23">
        <v>11</v>
      </c>
      <c r="D2551" s="24">
        <v>45981</v>
      </c>
      <c r="E2551" s="23" t="s">
        <v>25</v>
      </c>
      <c r="F2551" s="23" t="s">
        <v>14</v>
      </c>
      <c r="G2551" s="23" t="s">
        <v>31</v>
      </c>
      <c r="H2551" s="23" t="s">
        <v>8364</v>
      </c>
      <c r="I2551" s="23">
        <v>24</v>
      </c>
      <c r="J2551" s="23">
        <v>1</v>
      </c>
      <c r="K2551" s="23">
        <v>4</v>
      </c>
      <c r="L2551" s="23" t="s">
        <v>17</v>
      </c>
      <c r="M2551" s="25">
        <v>23.3</v>
      </c>
      <c r="N2551">
        <f t="shared" si="39"/>
        <v>1</v>
      </c>
    </row>
    <row r="2552" spans="1:14" x14ac:dyDescent="0.35">
      <c r="A2552" s="6" t="s">
        <v>2622</v>
      </c>
      <c r="B2552" s="19" t="s">
        <v>78</v>
      </c>
      <c r="C2552" s="19"/>
      <c r="D2552" s="20"/>
      <c r="E2552" s="19" t="s">
        <v>20</v>
      </c>
      <c r="F2552" s="19" t="s">
        <v>43</v>
      </c>
      <c r="G2552" s="19" t="s">
        <v>31</v>
      </c>
      <c r="H2552" s="19" t="s">
        <v>8364</v>
      </c>
      <c r="I2552" s="19">
        <v>8</v>
      </c>
      <c r="J2552" s="19">
        <v>0</v>
      </c>
      <c r="K2552" s="19">
        <v>5</v>
      </c>
      <c r="L2552" s="19" t="s">
        <v>17</v>
      </c>
      <c r="M2552" s="21">
        <v>9.4</v>
      </c>
      <c r="N2552">
        <f t="shared" si="39"/>
        <v>0</v>
      </c>
    </row>
    <row r="2553" spans="1:14" x14ac:dyDescent="0.35">
      <c r="A2553" s="22" t="s">
        <v>2623</v>
      </c>
      <c r="B2553" s="23" t="s">
        <v>65</v>
      </c>
      <c r="C2553" s="23">
        <v>6</v>
      </c>
      <c r="D2553" s="24">
        <v>45819</v>
      </c>
      <c r="E2553" s="23" t="s">
        <v>8364</v>
      </c>
      <c r="F2553" s="23" t="s">
        <v>40</v>
      </c>
      <c r="G2553" s="23" t="s">
        <v>31</v>
      </c>
      <c r="H2553" s="23" t="s">
        <v>16</v>
      </c>
      <c r="I2553" s="23">
        <v>4</v>
      </c>
      <c r="J2553" s="23">
        <v>2</v>
      </c>
      <c r="K2553" s="23">
        <v>2</v>
      </c>
      <c r="L2553" s="23" t="s">
        <v>75</v>
      </c>
      <c r="M2553" s="25">
        <v>5</v>
      </c>
      <c r="N2553">
        <f t="shared" si="39"/>
        <v>0</v>
      </c>
    </row>
    <row r="2554" spans="1:14" x14ac:dyDescent="0.35">
      <c r="A2554" s="6" t="s">
        <v>2624</v>
      </c>
      <c r="B2554" s="19" t="s">
        <v>57</v>
      </c>
      <c r="C2554" s="19">
        <v>11</v>
      </c>
      <c r="D2554" s="20">
        <v>45985</v>
      </c>
      <c r="E2554" s="19" t="s">
        <v>20</v>
      </c>
      <c r="F2554" s="19" t="s">
        <v>40</v>
      </c>
      <c r="G2554" s="19" t="s">
        <v>8364</v>
      </c>
      <c r="H2554" s="19" t="s">
        <v>22</v>
      </c>
      <c r="I2554" s="19">
        <v>8</v>
      </c>
      <c r="J2554" s="19">
        <v>2</v>
      </c>
      <c r="K2554" s="19">
        <v>3</v>
      </c>
      <c r="L2554" s="19" t="s">
        <v>8363</v>
      </c>
      <c r="M2554" s="21"/>
      <c r="N2554">
        <f t="shared" si="39"/>
        <v>1</v>
      </c>
    </row>
    <row r="2555" spans="1:14" x14ac:dyDescent="0.35">
      <c r="A2555" s="22" t="s">
        <v>2625</v>
      </c>
      <c r="B2555" s="23" t="s">
        <v>47</v>
      </c>
      <c r="C2555" s="23"/>
      <c r="D2555" s="24"/>
      <c r="E2555" s="23" t="s">
        <v>8364</v>
      </c>
      <c r="F2555" s="23" t="s">
        <v>37</v>
      </c>
      <c r="G2555" s="23" t="s">
        <v>31</v>
      </c>
      <c r="H2555" s="23" t="s">
        <v>8364</v>
      </c>
      <c r="I2555" s="23">
        <v>72</v>
      </c>
      <c r="J2555" s="23">
        <v>0</v>
      </c>
      <c r="K2555" s="23">
        <v>3</v>
      </c>
      <c r="L2555" s="23" t="s">
        <v>62</v>
      </c>
      <c r="M2555" s="25">
        <v>7.1</v>
      </c>
      <c r="N2555">
        <f t="shared" si="39"/>
        <v>1</v>
      </c>
    </row>
    <row r="2556" spans="1:14" x14ac:dyDescent="0.35">
      <c r="A2556" s="6" t="s">
        <v>2626</v>
      </c>
      <c r="B2556" s="19" t="s">
        <v>72</v>
      </c>
      <c r="C2556" s="19">
        <v>9</v>
      </c>
      <c r="D2556" s="20">
        <v>45903</v>
      </c>
      <c r="E2556" s="19" t="s">
        <v>36</v>
      </c>
      <c r="F2556" s="19" t="s">
        <v>8364</v>
      </c>
      <c r="G2556" s="19" t="s">
        <v>21</v>
      </c>
      <c r="H2556" s="19" t="s">
        <v>28</v>
      </c>
      <c r="I2556" s="19">
        <v>4</v>
      </c>
      <c r="J2556" s="19">
        <v>0</v>
      </c>
      <c r="K2556" s="19">
        <v>5</v>
      </c>
      <c r="L2556" s="19" t="s">
        <v>62</v>
      </c>
      <c r="M2556" s="21">
        <v>5.9</v>
      </c>
      <c r="N2556">
        <f t="shared" si="39"/>
        <v>0</v>
      </c>
    </row>
    <row r="2557" spans="1:14" x14ac:dyDescent="0.35">
      <c r="A2557" s="22" t="s">
        <v>2627</v>
      </c>
      <c r="B2557" s="23" t="s">
        <v>81</v>
      </c>
      <c r="C2557" s="23">
        <v>6</v>
      </c>
      <c r="D2557" s="24">
        <v>45823</v>
      </c>
      <c r="E2557" s="23" t="s">
        <v>13</v>
      </c>
      <c r="F2557" s="23" t="s">
        <v>8364</v>
      </c>
      <c r="G2557" s="23" t="s">
        <v>21</v>
      </c>
      <c r="H2557" s="23" t="s">
        <v>22</v>
      </c>
      <c r="I2557" s="23">
        <v>72</v>
      </c>
      <c r="J2557" s="23">
        <v>0</v>
      </c>
      <c r="K2557" s="23">
        <v>5</v>
      </c>
      <c r="L2557" s="23" t="s">
        <v>38</v>
      </c>
      <c r="M2557" s="25">
        <v>2.7</v>
      </c>
      <c r="N2557">
        <f t="shared" si="39"/>
        <v>1</v>
      </c>
    </row>
    <row r="2558" spans="1:14" x14ac:dyDescent="0.35">
      <c r="A2558" s="6" t="s">
        <v>2628</v>
      </c>
      <c r="B2558" s="19" t="s">
        <v>104</v>
      </c>
      <c r="C2558" s="19">
        <v>7</v>
      </c>
      <c r="D2558" s="20">
        <v>45860</v>
      </c>
      <c r="E2558" s="19" t="s">
        <v>25</v>
      </c>
      <c r="F2558" s="19" t="s">
        <v>14</v>
      </c>
      <c r="G2558" s="19" t="s">
        <v>27</v>
      </c>
      <c r="H2558" s="19" t="s">
        <v>22</v>
      </c>
      <c r="I2558" s="19">
        <v>72</v>
      </c>
      <c r="J2558" s="19"/>
      <c r="K2558" s="19">
        <v>4</v>
      </c>
      <c r="L2558" s="19" t="s">
        <v>38</v>
      </c>
      <c r="M2558" s="21">
        <v>8.1</v>
      </c>
      <c r="N2558">
        <f t="shared" si="39"/>
        <v>1</v>
      </c>
    </row>
    <row r="2559" spans="1:14" x14ac:dyDescent="0.35">
      <c r="A2559" s="22" t="s">
        <v>2629</v>
      </c>
      <c r="B2559" s="23" t="s">
        <v>18</v>
      </c>
      <c r="C2559" s="23"/>
      <c r="D2559" s="24"/>
      <c r="E2559" s="23" t="s">
        <v>20</v>
      </c>
      <c r="F2559" s="23" t="s">
        <v>14</v>
      </c>
      <c r="G2559" s="23" t="s">
        <v>27</v>
      </c>
      <c r="H2559" s="23" t="s">
        <v>8364</v>
      </c>
      <c r="I2559" s="23">
        <v>48</v>
      </c>
      <c r="J2559" s="23">
        <v>2</v>
      </c>
      <c r="K2559" s="23">
        <v>3</v>
      </c>
      <c r="L2559" s="23" t="s">
        <v>17</v>
      </c>
      <c r="M2559" s="25">
        <v>15.1</v>
      </c>
      <c r="N2559">
        <f t="shared" si="39"/>
        <v>1</v>
      </c>
    </row>
    <row r="2560" spans="1:14" x14ac:dyDescent="0.35">
      <c r="A2560" s="6" t="s">
        <v>2630</v>
      </c>
      <c r="B2560" s="19" t="s">
        <v>47</v>
      </c>
      <c r="C2560" s="19">
        <v>2</v>
      </c>
      <c r="D2560" s="20">
        <v>45689</v>
      </c>
      <c r="E2560" s="19" t="s">
        <v>13</v>
      </c>
      <c r="F2560" s="19" t="s">
        <v>14</v>
      </c>
      <c r="G2560" s="19" t="s">
        <v>15</v>
      </c>
      <c r="H2560" s="19" t="s">
        <v>28</v>
      </c>
      <c r="I2560" s="19">
        <v>48</v>
      </c>
      <c r="J2560" s="19">
        <v>0</v>
      </c>
      <c r="K2560" s="19">
        <v>5</v>
      </c>
      <c r="L2560" s="19" t="s">
        <v>17</v>
      </c>
      <c r="M2560" s="21">
        <v>16.399999999999999</v>
      </c>
      <c r="N2560">
        <f t="shared" si="39"/>
        <v>1</v>
      </c>
    </row>
    <row r="2561" spans="1:14" x14ac:dyDescent="0.35">
      <c r="A2561" s="22" t="s">
        <v>2631</v>
      </c>
      <c r="B2561" s="23" t="s">
        <v>57</v>
      </c>
      <c r="C2561" s="23">
        <v>4</v>
      </c>
      <c r="D2561" s="24">
        <v>45772</v>
      </c>
      <c r="E2561" s="23" t="s">
        <v>8364</v>
      </c>
      <c r="F2561" s="23" t="s">
        <v>40</v>
      </c>
      <c r="G2561" s="23" t="s">
        <v>21</v>
      </c>
      <c r="H2561" s="23" t="s">
        <v>16</v>
      </c>
      <c r="I2561" s="23">
        <v>24</v>
      </c>
      <c r="J2561" s="23">
        <v>0</v>
      </c>
      <c r="K2561" s="23">
        <v>2</v>
      </c>
      <c r="L2561" s="23" t="s">
        <v>62</v>
      </c>
      <c r="M2561" s="25">
        <v>12.3</v>
      </c>
      <c r="N2561">
        <f t="shared" si="39"/>
        <v>1</v>
      </c>
    </row>
    <row r="2562" spans="1:14" x14ac:dyDescent="0.35">
      <c r="A2562" s="6" t="s">
        <v>2632</v>
      </c>
      <c r="B2562" s="19" t="s">
        <v>97</v>
      </c>
      <c r="C2562" s="19">
        <v>4</v>
      </c>
      <c r="D2562" s="20">
        <v>45764</v>
      </c>
      <c r="E2562" s="19" t="s">
        <v>68</v>
      </c>
      <c r="F2562" s="19" t="s">
        <v>59</v>
      </c>
      <c r="G2562" s="19" t="s">
        <v>27</v>
      </c>
      <c r="H2562" s="19" t="s">
        <v>32</v>
      </c>
      <c r="I2562" s="19">
        <v>8</v>
      </c>
      <c r="J2562" s="19">
        <v>1</v>
      </c>
      <c r="K2562" s="19">
        <v>4</v>
      </c>
      <c r="L2562" s="19" t="s">
        <v>44</v>
      </c>
      <c r="M2562" s="21">
        <v>11</v>
      </c>
      <c r="N2562">
        <f t="shared" si="39"/>
        <v>0</v>
      </c>
    </row>
    <row r="2563" spans="1:14" x14ac:dyDescent="0.35">
      <c r="A2563" s="22" t="s">
        <v>2633</v>
      </c>
      <c r="B2563" s="23" t="s">
        <v>89</v>
      </c>
      <c r="C2563" s="23">
        <v>12</v>
      </c>
      <c r="D2563" s="24">
        <v>45994</v>
      </c>
      <c r="E2563" s="23" t="s">
        <v>13</v>
      </c>
      <c r="F2563" s="23" t="s">
        <v>8364</v>
      </c>
      <c r="G2563" s="23" t="s">
        <v>15</v>
      </c>
      <c r="H2563" s="23" t="s">
        <v>16</v>
      </c>
      <c r="I2563" s="23">
        <v>8</v>
      </c>
      <c r="J2563" s="23">
        <v>1</v>
      </c>
      <c r="K2563" s="23">
        <v>3</v>
      </c>
      <c r="L2563" s="23" t="s">
        <v>75</v>
      </c>
      <c r="M2563" s="25">
        <v>5.7</v>
      </c>
      <c r="N2563">
        <f t="shared" ref="N2563:N2626" si="40">IF(M2563 &lt;= I2563, 1, 0)</f>
        <v>1</v>
      </c>
    </row>
    <row r="2564" spans="1:14" x14ac:dyDescent="0.35">
      <c r="A2564" s="6" t="s">
        <v>2634</v>
      </c>
      <c r="B2564" s="19" t="s">
        <v>158</v>
      </c>
      <c r="C2564" s="19">
        <v>12</v>
      </c>
      <c r="D2564" s="20">
        <v>46005</v>
      </c>
      <c r="E2564" s="19" t="s">
        <v>20</v>
      </c>
      <c r="F2564" s="19" t="s">
        <v>14</v>
      </c>
      <c r="G2564" s="19" t="s">
        <v>15</v>
      </c>
      <c r="H2564" s="19" t="s">
        <v>22</v>
      </c>
      <c r="I2564" s="19">
        <v>8</v>
      </c>
      <c r="J2564" s="19">
        <v>0</v>
      </c>
      <c r="K2564" s="19">
        <v>4</v>
      </c>
      <c r="L2564" s="19" t="s">
        <v>33</v>
      </c>
      <c r="M2564" s="21">
        <v>9.5</v>
      </c>
      <c r="N2564">
        <f t="shared" si="40"/>
        <v>0</v>
      </c>
    </row>
    <row r="2565" spans="1:14" x14ac:dyDescent="0.35">
      <c r="A2565" s="22" t="s">
        <v>2635</v>
      </c>
      <c r="B2565" s="23" t="s">
        <v>78</v>
      </c>
      <c r="C2565" s="23">
        <v>11</v>
      </c>
      <c r="D2565" s="24">
        <v>45977</v>
      </c>
      <c r="E2565" s="23" t="s">
        <v>13</v>
      </c>
      <c r="F2565" s="23" t="s">
        <v>40</v>
      </c>
      <c r="G2565" s="23" t="s">
        <v>27</v>
      </c>
      <c r="H2565" s="23" t="s">
        <v>32</v>
      </c>
      <c r="I2565" s="23">
        <v>72</v>
      </c>
      <c r="J2565" s="23">
        <v>1</v>
      </c>
      <c r="K2565" s="23"/>
      <c r="L2565" s="23" t="s">
        <v>8363</v>
      </c>
      <c r="M2565" s="25">
        <v>3</v>
      </c>
      <c r="N2565">
        <f t="shared" si="40"/>
        <v>1</v>
      </c>
    </row>
    <row r="2566" spans="1:14" x14ac:dyDescent="0.35">
      <c r="A2566" s="6" t="s">
        <v>2636</v>
      </c>
      <c r="B2566" s="19" t="s">
        <v>85</v>
      </c>
      <c r="C2566" s="19">
        <v>6</v>
      </c>
      <c r="D2566" s="20">
        <v>45813</v>
      </c>
      <c r="E2566" s="19" t="s">
        <v>25</v>
      </c>
      <c r="F2566" s="19" t="s">
        <v>14</v>
      </c>
      <c r="G2566" s="19" t="s">
        <v>15</v>
      </c>
      <c r="H2566" s="19" t="s">
        <v>28</v>
      </c>
      <c r="I2566" s="19">
        <v>72</v>
      </c>
      <c r="J2566" s="19">
        <v>0</v>
      </c>
      <c r="K2566" s="19">
        <v>3</v>
      </c>
      <c r="L2566" s="19" t="s">
        <v>33</v>
      </c>
      <c r="M2566" s="21">
        <v>17.2</v>
      </c>
      <c r="N2566">
        <f t="shared" si="40"/>
        <v>1</v>
      </c>
    </row>
    <row r="2567" spans="1:14" x14ac:dyDescent="0.35">
      <c r="A2567" s="22" t="s">
        <v>2637</v>
      </c>
      <c r="B2567" s="23" t="s">
        <v>45</v>
      </c>
      <c r="C2567" s="23">
        <v>5</v>
      </c>
      <c r="D2567" s="24">
        <v>45799</v>
      </c>
      <c r="E2567" s="23" t="s">
        <v>36</v>
      </c>
      <c r="F2567" s="23" t="s">
        <v>40</v>
      </c>
      <c r="G2567" s="23" t="s">
        <v>21</v>
      </c>
      <c r="H2567" s="23" t="s">
        <v>22</v>
      </c>
      <c r="I2567" s="23">
        <v>24</v>
      </c>
      <c r="J2567" s="23">
        <v>0</v>
      </c>
      <c r="K2567" s="23">
        <v>3</v>
      </c>
      <c r="L2567" s="23" t="s">
        <v>44</v>
      </c>
      <c r="M2567" s="25">
        <v>12</v>
      </c>
      <c r="N2567">
        <f t="shared" si="40"/>
        <v>1</v>
      </c>
    </row>
    <row r="2568" spans="1:14" x14ac:dyDescent="0.35">
      <c r="A2568" s="6" t="s">
        <v>2638</v>
      </c>
      <c r="B2568" s="19" t="s">
        <v>139</v>
      </c>
      <c r="C2568" s="19">
        <v>3</v>
      </c>
      <c r="D2568" s="20">
        <v>45741</v>
      </c>
      <c r="E2568" s="19" t="s">
        <v>8364</v>
      </c>
      <c r="F2568" s="19" t="s">
        <v>40</v>
      </c>
      <c r="G2568" s="19" t="s">
        <v>15</v>
      </c>
      <c r="H2568" s="19" t="s">
        <v>16</v>
      </c>
      <c r="I2568" s="19">
        <v>72</v>
      </c>
      <c r="J2568" s="19">
        <v>0</v>
      </c>
      <c r="K2568" s="19">
        <v>5</v>
      </c>
      <c r="L2568" s="19" t="s">
        <v>38</v>
      </c>
      <c r="M2568" s="21">
        <v>9.1</v>
      </c>
      <c r="N2568">
        <f t="shared" si="40"/>
        <v>1</v>
      </c>
    </row>
    <row r="2569" spans="1:14" x14ac:dyDescent="0.35">
      <c r="A2569" s="22" t="s">
        <v>2639</v>
      </c>
      <c r="B2569" s="23" t="s">
        <v>69</v>
      </c>
      <c r="C2569" s="23">
        <v>1</v>
      </c>
      <c r="D2569" s="24">
        <v>45668</v>
      </c>
      <c r="E2569" s="23" t="s">
        <v>25</v>
      </c>
      <c r="F2569" s="23" t="s">
        <v>26</v>
      </c>
      <c r="G2569" s="23" t="s">
        <v>31</v>
      </c>
      <c r="H2569" s="23" t="s">
        <v>32</v>
      </c>
      <c r="I2569" s="23">
        <v>48</v>
      </c>
      <c r="J2569" s="23">
        <v>3</v>
      </c>
      <c r="K2569" s="23">
        <v>2</v>
      </c>
      <c r="L2569" s="23" t="s">
        <v>8363</v>
      </c>
      <c r="M2569" s="25">
        <v>8</v>
      </c>
      <c r="N2569">
        <f t="shared" si="40"/>
        <v>1</v>
      </c>
    </row>
    <row r="2570" spans="1:14" x14ac:dyDescent="0.35">
      <c r="A2570" s="6" t="s">
        <v>2640</v>
      </c>
      <c r="B2570" s="19" t="s">
        <v>53</v>
      </c>
      <c r="C2570" s="19">
        <v>11</v>
      </c>
      <c r="D2570" s="20">
        <v>45966</v>
      </c>
      <c r="E2570" s="19" t="s">
        <v>36</v>
      </c>
      <c r="F2570" s="19" t="s">
        <v>14</v>
      </c>
      <c r="G2570" s="19" t="s">
        <v>31</v>
      </c>
      <c r="H2570" s="19" t="s">
        <v>28</v>
      </c>
      <c r="I2570" s="19">
        <v>4</v>
      </c>
      <c r="J2570" s="19">
        <v>0</v>
      </c>
      <c r="K2570" s="19">
        <v>1</v>
      </c>
      <c r="L2570" s="19" t="s">
        <v>38</v>
      </c>
      <c r="M2570" s="21">
        <v>20.5</v>
      </c>
      <c r="N2570">
        <f t="shared" si="40"/>
        <v>0</v>
      </c>
    </row>
    <row r="2571" spans="1:14" x14ac:dyDescent="0.35">
      <c r="A2571" s="22" t="s">
        <v>2641</v>
      </c>
      <c r="B2571" s="23" t="s">
        <v>143</v>
      </c>
      <c r="C2571" s="23">
        <v>1</v>
      </c>
      <c r="D2571" s="24">
        <v>45678</v>
      </c>
      <c r="E2571" s="23" t="s">
        <v>13</v>
      </c>
      <c r="F2571" s="23" t="s">
        <v>43</v>
      </c>
      <c r="G2571" s="23" t="s">
        <v>27</v>
      </c>
      <c r="H2571" s="23" t="s">
        <v>28</v>
      </c>
      <c r="I2571" s="23">
        <v>72</v>
      </c>
      <c r="J2571" s="23">
        <v>0</v>
      </c>
      <c r="K2571" s="23">
        <v>5</v>
      </c>
      <c r="L2571" s="23" t="s">
        <v>62</v>
      </c>
      <c r="M2571" s="25">
        <v>4.5999999999999996</v>
      </c>
      <c r="N2571">
        <f t="shared" si="40"/>
        <v>1</v>
      </c>
    </row>
    <row r="2572" spans="1:14" x14ac:dyDescent="0.35">
      <c r="A2572" s="6" t="s">
        <v>2642</v>
      </c>
      <c r="B2572" s="19" t="s">
        <v>158</v>
      </c>
      <c r="C2572" s="19">
        <v>6</v>
      </c>
      <c r="D2572" s="20">
        <v>45819</v>
      </c>
      <c r="E2572" s="19" t="s">
        <v>8364</v>
      </c>
      <c r="F2572" s="19" t="s">
        <v>40</v>
      </c>
      <c r="G2572" s="19" t="s">
        <v>8364</v>
      </c>
      <c r="H2572" s="19" t="s">
        <v>22</v>
      </c>
      <c r="I2572" s="19">
        <v>8</v>
      </c>
      <c r="J2572" s="19">
        <v>1</v>
      </c>
      <c r="K2572" s="19">
        <v>1</v>
      </c>
      <c r="L2572" s="19" t="s">
        <v>17</v>
      </c>
      <c r="M2572" s="21">
        <v>14.8</v>
      </c>
      <c r="N2572">
        <f t="shared" si="40"/>
        <v>0</v>
      </c>
    </row>
    <row r="2573" spans="1:14" x14ac:dyDescent="0.35">
      <c r="A2573" s="22" t="s">
        <v>2643</v>
      </c>
      <c r="B2573" s="23" t="s">
        <v>18</v>
      </c>
      <c r="C2573" s="23">
        <v>8</v>
      </c>
      <c r="D2573" s="24">
        <v>45896</v>
      </c>
      <c r="E2573" s="23" t="s">
        <v>25</v>
      </c>
      <c r="F2573" s="23" t="s">
        <v>43</v>
      </c>
      <c r="G2573" s="23" t="s">
        <v>15</v>
      </c>
      <c r="H2573" s="23" t="s">
        <v>16</v>
      </c>
      <c r="I2573" s="23">
        <v>48</v>
      </c>
      <c r="J2573" s="23">
        <v>0</v>
      </c>
      <c r="K2573" s="23">
        <v>2</v>
      </c>
      <c r="L2573" s="23" t="s">
        <v>8363</v>
      </c>
      <c r="M2573" s="25">
        <v>7.5</v>
      </c>
      <c r="N2573">
        <f t="shared" si="40"/>
        <v>1</v>
      </c>
    </row>
    <row r="2574" spans="1:14" x14ac:dyDescent="0.35">
      <c r="A2574" s="6" t="s">
        <v>2644</v>
      </c>
      <c r="B2574" s="19" t="s">
        <v>89</v>
      </c>
      <c r="C2574" s="19">
        <v>7</v>
      </c>
      <c r="D2574" s="20">
        <v>45855</v>
      </c>
      <c r="E2574" s="19" t="s">
        <v>20</v>
      </c>
      <c r="F2574" s="19" t="s">
        <v>14</v>
      </c>
      <c r="G2574" s="19" t="s">
        <v>31</v>
      </c>
      <c r="H2574" s="19" t="s">
        <v>32</v>
      </c>
      <c r="I2574" s="19">
        <v>48</v>
      </c>
      <c r="J2574" s="19">
        <v>0</v>
      </c>
      <c r="K2574" s="19">
        <v>5</v>
      </c>
      <c r="L2574" s="19" t="s">
        <v>62</v>
      </c>
      <c r="M2574" s="21">
        <v>24.2</v>
      </c>
      <c r="N2574">
        <f t="shared" si="40"/>
        <v>1</v>
      </c>
    </row>
    <row r="2575" spans="1:14" x14ac:dyDescent="0.35">
      <c r="A2575" s="22" t="s">
        <v>2645</v>
      </c>
      <c r="B2575" s="23" t="s">
        <v>72</v>
      </c>
      <c r="C2575" s="23">
        <v>11</v>
      </c>
      <c r="D2575" s="24">
        <v>45983</v>
      </c>
      <c r="E2575" s="23" t="s">
        <v>13</v>
      </c>
      <c r="F2575" s="23" t="s">
        <v>59</v>
      </c>
      <c r="G2575" s="23" t="s">
        <v>31</v>
      </c>
      <c r="H2575" s="23" t="s">
        <v>8364</v>
      </c>
      <c r="I2575" s="23">
        <v>72</v>
      </c>
      <c r="J2575" s="23">
        <v>0</v>
      </c>
      <c r="K2575" s="23">
        <v>1</v>
      </c>
      <c r="L2575" s="23" t="s">
        <v>44</v>
      </c>
      <c r="M2575" s="25">
        <v>12.6</v>
      </c>
      <c r="N2575">
        <f t="shared" si="40"/>
        <v>1</v>
      </c>
    </row>
    <row r="2576" spans="1:14" x14ac:dyDescent="0.35">
      <c r="A2576" s="6" t="s">
        <v>2646</v>
      </c>
      <c r="B2576" s="19" t="s">
        <v>69</v>
      </c>
      <c r="C2576" s="19">
        <v>3</v>
      </c>
      <c r="D2576" s="20">
        <v>45738</v>
      </c>
      <c r="E2576" s="19" t="s">
        <v>25</v>
      </c>
      <c r="F2576" s="19" t="s">
        <v>37</v>
      </c>
      <c r="G2576" s="19" t="s">
        <v>31</v>
      </c>
      <c r="H2576" s="19" t="s">
        <v>28</v>
      </c>
      <c r="I2576" s="19">
        <v>48</v>
      </c>
      <c r="J2576" s="19">
        <v>1</v>
      </c>
      <c r="K2576" s="19">
        <v>5</v>
      </c>
      <c r="L2576" s="19" t="s">
        <v>75</v>
      </c>
      <c r="M2576" s="21"/>
      <c r="N2576">
        <f t="shared" si="40"/>
        <v>1</v>
      </c>
    </row>
    <row r="2577" spans="1:14" x14ac:dyDescent="0.35">
      <c r="A2577" s="22" t="s">
        <v>2647</v>
      </c>
      <c r="B2577" s="23" t="s">
        <v>29</v>
      </c>
      <c r="C2577" s="23"/>
      <c r="D2577" s="24"/>
      <c r="E2577" s="23" t="s">
        <v>68</v>
      </c>
      <c r="F2577" s="23" t="s">
        <v>59</v>
      </c>
      <c r="G2577" s="23" t="s">
        <v>31</v>
      </c>
      <c r="H2577" s="23" t="s">
        <v>16</v>
      </c>
      <c r="I2577" s="23">
        <v>8</v>
      </c>
      <c r="J2577" s="23">
        <v>2</v>
      </c>
      <c r="K2577" s="23">
        <v>4</v>
      </c>
      <c r="L2577" s="23" t="s">
        <v>8363</v>
      </c>
      <c r="M2577" s="25">
        <v>17.2</v>
      </c>
      <c r="N2577">
        <f t="shared" si="40"/>
        <v>0</v>
      </c>
    </row>
    <row r="2578" spans="1:14" x14ac:dyDescent="0.35">
      <c r="A2578" s="6" t="s">
        <v>2648</v>
      </c>
      <c r="B2578" s="19" t="s">
        <v>47</v>
      </c>
      <c r="C2578" s="19">
        <v>1</v>
      </c>
      <c r="D2578" s="20">
        <v>45682</v>
      </c>
      <c r="E2578" s="19" t="s">
        <v>8364</v>
      </c>
      <c r="F2578" s="19" t="s">
        <v>14</v>
      </c>
      <c r="G2578" s="19" t="s">
        <v>21</v>
      </c>
      <c r="H2578" s="19" t="s">
        <v>28</v>
      </c>
      <c r="I2578" s="19">
        <v>24</v>
      </c>
      <c r="J2578" s="19">
        <v>0</v>
      </c>
      <c r="K2578" s="19">
        <v>4</v>
      </c>
      <c r="L2578" s="19" t="s">
        <v>44</v>
      </c>
      <c r="M2578" s="21">
        <v>15.6</v>
      </c>
      <c r="N2578">
        <f t="shared" si="40"/>
        <v>1</v>
      </c>
    </row>
    <row r="2579" spans="1:14" x14ac:dyDescent="0.35">
      <c r="A2579" s="22" t="s">
        <v>2649</v>
      </c>
      <c r="B2579" s="23" t="s">
        <v>92</v>
      </c>
      <c r="C2579" s="23">
        <v>6</v>
      </c>
      <c r="D2579" s="24">
        <v>45816</v>
      </c>
      <c r="E2579" s="23" t="s">
        <v>68</v>
      </c>
      <c r="F2579" s="23" t="s">
        <v>40</v>
      </c>
      <c r="G2579" s="23" t="s">
        <v>27</v>
      </c>
      <c r="H2579" s="23" t="s">
        <v>28</v>
      </c>
      <c r="I2579" s="23">
        <v>4</v>
      </c>
      <c r="J2579" s="23">
        <v>1</v>
      </c>
      <c r="K2579" s="23"/>
      <c r="L2579" s="23" t="s">
        <v>62</v>
      </c>
      <c r="M2579" s="25">
        <v>12</v>
      </c>
      <c r="N2579">
        <f t="shared" si="40"/>
        <v>0</v>
      </c>
    </row>
    <row r="2580" spans="1:14" x14ac:dyDescent="0.35">
      <c r="A2580" s="6" t="s">
        <v>2650</v>
      </c>
      <c r="B2580" s="19" t="s">
        <v>41</v>
      </c>
      <c r="C2580" s="19">
        <v>12</v>
      </c>
      <c r="D2580" s="20">
        <v>46004</v>
      </c>
      <c r="E2580" s="19" t="s">
        <v>25</v>
      </c>
      <c r="F2580" s="19" t="s">
        <v>59</v>
      </c>
      <c r="G2580" s="19" t="s">
        <v>15</v>
      </c>
      <c r="H2580" s="19" t="s">
        <v>22</v>
      </c>
      <c r="I2580" s="19">
        <v>24</v>
      </c>
      <c r="J2580" s="19">
        <v>2</v>
      </c>
      <c r="K2580" s="19">
        <v>1</v>
      </c>
      <c r="L2580" s="19" t="s">
        <v>8363</v>
      </c>
      <c r="M2580" s="21">
        <v>24.7</v>
      </c>
      <c r="N2580">
        <f t="shared" si="40"/>
        <v>0</v>
      </c>
    </row>
    <row r="2581" spans="1:14" x14ac:dyDescent="0.35">
      <c r="A2581" s="22" t="s">
        <v>2651</v>
      </c>
      <c r="B2581" s="23" t="s">
        <v>23</v>
      </c>
      <c r="C2581" s="23">
        <v>11</v>
      </c>
      <c r="D2581" s="24">
        <v>45965</v>
      </c>
      <c r="E2581" s="23" t="s">
        <v>20</v>
      </c>
      <c r="F2581" s="23" t="s">
        <v>26</v>
      </c>
      <c r="G2581" s="23" t="s">
        <v>27</v>
      </c>
      <c r="H2581" s="23" t="s">
        <v>28</v>
      </c>
      <c r="I2581" s="23">
        <v>24</v>
      </c>
      <c r="J2581" s="23">
        <v>0</v>
      </c>
      <c r="K2581" s="23">
        <v>5</v>
      </c>
      <c r="L2581" s="23" t="s">
        <v>62</v>
      </c>
      <c r="M2581" s="25">
        <v>7.5</v>
      </c>
      <c r="N2581">
        <f t="shared" si="40"/>
        <v>1</v>
      </c>
    </row>
    <row r="2582" spans="1:14" x14ac:dyDescent="0.35">
      <c r="A2582" s="6" t="s">
        <v>2652</v>
      </c>
      <c r="B2582" s="19" t="s">
        <v>146</v>
      </c>
      <c r="C2582" s="19">
        <v>1</v>
      </c>
      <c r="D2582" s="20">
        <v>45682</v>
      </c>
      <c r="E2582" s="19" t="s">
        <v>20</v>
      </c>
      <c r="F2582" s="19" t="s">
        <v>8364</v>
      </c>
      <c r="G2582" s="19" t="s">
        <v>31</v>
      </c>
      <c r="H2582" s="19" t="s">
        <v>8364</v>
      </c>
      <c r="I2582" s="19">
        <v>48</v>
      </c>
      <c r="J2582" s="19">
        <v>3</v>
      </c>
      <c r="K2582" s="19">
        <v>4</v>
      </c>
      <c r="L2582" s="19" t="s">
        <v>8363</v>
      </c>
      <c r="M2582" s="21">
        <v>11.4</v>
      </c>
      <c r="N2582">
        <f t="shared" si="40"/>
        <v>1</v>
      </c>
    </row>
    <row r="2583" spans="1:14" x14ac:dyDescent="0.35">
      <c r="A2583" s="22" t="s">
        <v>2653</v>
      </c>
      <c r="B2583" s="23" t="s">
        <v>51</v>
      </c>
      <c r="C2583" s="23">
        <v>7</v>
      </c>
      <c r="D2583" s="24">
        <v>45850</v>
      </c>
      <c r="E2583" s="23" t="s">
        <v>25</v>
      </c>
      <c r="F2583" s="23" t="s">
        <v>14</v>
      </c>
      <c r="G2583" s="23" t="s">
        <v>27</v>
      </c>
      <c r="H2583" s="23" t="s">
        <v>22</v>
      </c>
      <c r="I2583" s="23">
        <v>72</v>
      </c>
      <c r="J2583" s="23">
        <v>0</v>
      </c>
      <c r="K2583" s="23">
        <v>5</v>
      </c>
      <c r="L2583" s="23" t="s">
        <v>17</v>
      </c>
      <c r="M2583" s="25">
        <v>11.4</v>
      </c>
      <c r="N2583">
        <f t="shared" si="40"/>
        <v>1</v>
      </c>
    </row>
    <row r="2584" spans="1:14" x14ac:dyDescent="0.35">
      <c r="A2584" s="6" t="s">
        <v>2654</v>
      </c>
      <c r="B2584" s="19" t="s">
        <v>130</v>
      </c>
      <c r="C2584" s="19">
        <v>4</v>
      </c>
      <c r="D2584" s="20">
        <v>45777</v>
      </c>
      <c r="E2584" s="19" t="s">
        <v>36</v>
      </c>
      <c r="F2584" s="19" t="s">
        <v>37</v>
      </c>
      <c r="G2584" s="19" t="s">
        <v>15</v>
      </c>
      <c r="H2584" s="19" t="s">
        <v>8364</v>
      </c>
      <c r="I2584" s="19">
        <v>4</v>
      </c>
      <c r="J2584" s="19">
        <v>0</v>
      </c>
      <c r="K2584" s="19">
        <v>5</v>
      </c>
      <c r="L2584" s="19" t="s">
        <v>8363</v>
      </c>
      <c r="M2584" s="21">
        <v>17.399999999999999</v>
      </c>
      <c r="N2584">
        <f t="shared" si="40"/>
        <v>0</v>
      </c>
    </row>
    <row r="2585" spans="1:14" x14ac:dyDescent="0.35">
      <c r="A2585" s="22" t="s">
        <v>2655</v>
      </c>
      <c r="B2585" s="23" t="s">
        <v>158</v>
      </c>
      <c r="C2585" s="23">
        <v>1</v>
      </c>
      <c r="D2585" s="24">
        <v>45664</v>
      </c>
      <c r="E2585" s="23" t="s">
        <v>8364</v>
      </c>
      <c r="F2585" s="23" t="s">
        <v>8364</v>
      </c>
      <c r="G2585" s="23" t="s">
        <v>31</v>
      </c>
      <c r="H2585" s="23" t="s">
        <v>22</v>
      </c>
      <c r="I2585" s="23">
        <v>24</v>
      </c>
      <c r="J2585" s="23">
        <v>0</v>
      </c>
      <c r="K2585" s="23">
        <v>5</v>
      </c>
      <c r="L2585" s="23" t="s">
        <v>55</v>
      </c>
      <c r="M2585" s="25">
        <v>20.9</v>
      </c>
      <c r="N2585">
        <f t="shared" si="40"/>
        <v>1</v>
      </c>
    </row>
    <row r="2586" spans="1:14" x14ac:dyDescent="0.35">
      <c r="A2586" s="6" t="s">
        <v>2656</v>
      </c>
      <c r="B2586" s="19" t="s">
        <v>85</v>
      </c>
      <c r="C2586" s="19">
        <v>7</v>
      </c>
      <c r="D2586" s="20">
        <v>45851</v>
      </c>
      <c r="E2586" s="19" t="s">
        <v>20</v>
      </c>
      <c r="F2586" s="19" t="s">
        <v>43</v>
      </c>
      <c r="G2586" s="19" t="s">
        <v>31</v>
      </c>
      <c r="H2586" s="19" t="s">
        <v>8364</v>
      </c>
      <c r="I2586" s="19">
        <v>72</v>
      </c>
      <c r="J2586" s="19">
        <v>0</v>
      </c>
      <c r="K2586" s="19">
        <v>2</v>
      </c>
      <c r="L2586" s="19" t="s">
        <v>17</v>
      </c>
      <c r="M2586" s="21">
        <v>12.4</v>
      </c>
      <c r="N2586">
        <f t="shared" si="40"/>
        <v>1</v>
      </c>
    </row>
    <row r="2587" spans="1:14" x14ac:dyDescent="0.35">
      <c r="A2587" s="22" t="s">
        <v>2657</v>
      </c>
      <c r="B2587" s="23" t="s">
        <v>49</v>
      </c>
      <c r="C2587" s="23">
        <v>4</v>
      </c>
      <c r="D2587" s="24">
        <v>45748</v>
      </c>
      <c r="E2587" s="23" t="s">
        <v>36</v>
      </c>
      <c r="F2587" s="23" t="s">
        <v>43</v>
      </c>
      <c r="G2587" s="23" t="s">
        <v>21</v>
      </c>
      <c r="H2587" s="23" t="s">
        <v>22</v>
      </c>
      <c r="I2587" s="23">
        <v>4</v>
      </c>
      <c r="J2587" s="23">
        <v>0</v>
      </c>
      <c r="K2587" s="23">
        <v>1</v>
      </c>
      <c r="L2587" s="23" t="s">
        <v>8363</v>
      </c>
      <c r="M2587" s="25">
        <v>27.8</v>
      </c>
      <c r="N2587">
        <f t="shared" si="40"/>
        <v>0</v>
      </c>
    </row>
    <row r="2588" spans="1:14" x14ac:dyDescent="0.35">
      <c r="A2588" s="6" t="s">
        <v>2658</v>
      </c>
      <c r="B2588" s="19" t="s">
        <v>69</v>
      </c>
      <c r="C2588" s="19">
        <v>3</v>
      </c>
      <c r="D2588" s="20">
        <v>45722</v>
      </c>
      <c r="E2588" s="19" t="s">
        <v>25</v>
      </c>
      <c r="F2588" s="19" t="s">
        <v>59</v>
      </c>
      <c r="G2588" s="19" t="s">
        <v>27</v>
      </c>
      <c r="H2588" s="19" t="s">
        <v>22</v>
      </c>
      <c r="I2588" s="19">
        <v>72</v>
      </c>
      <c r="J2588" s="19">
        <v>0</v>
      </c>
      <c r="K2588" s="19"/>
      <c r="L2588" s="19" t="s">
        <v>33</v>
      </c>
      <c r="M2588" s="21">
        <v>9.6</v>
      </c>
      <c r="N2588">
        <f t="shared" si="40"/>
        <v>1</v>
      </c>
    </row>
    <row r="2589" spans="1:14" x14ac:dyDescent="0.35">
      <c r="A2589" s="22" t="s">
        <v>2659</v>
      </c>
      <c r="B2589" s="23" t="s">
        <v>51</v>
      </c>
      <c r="C2589" s="23">
        <v>9</v>
      </c>
      <c r="D2589" s="24">
        <v>45904</v>
      </c>
      <c r="E2589" s="23" t="s">
        <v>8364</v>
      </c>
      <c r="F2589" s="23" t="s">
        <v>37</v>
      </c>
      <c r="G2589" s="23" t="s">
        <v>15</v>
      </c>
      <c r="H2589" s="23" t="s">
        <v>22</v>
      </c>
      <c r="I2589" s="23">
        <v>48</v>
      </c>
      <c r="J2589" s="23">
        <v>0</v>
      </c>
      <c r="K2589" s="23">
        <v>4</v>
      </c>
      <c r="L2589" s="23" t="s">
        <v>8363</v>
      </c>
      <c r="M2589" s="25">
        <v>5.5</v>
      </c>
      <c r="N2589">
        <f t="shared" si="40"/>
        <v>1</v>
      </c>
    </row>
    <row r="2590" spans="1:14" x14ac:dyDescent="0.35">
      <c r="A2590" s="6" t="s">
        <v>2660</v>
      </c>
      <c r="B2590" s="19" t="s">
        <v>104</v>
      </c>
      <c r="C2590" s="19">
        <v>3</v>
      </c>
      <c r="D2590" s="20">
        <v>45744</v>
      </c>
      <c r="E2590" s="19" t="s">
        <v>13</v>
      </c>
      <c r="F2590" s="19" t="s">
        <v>14</v>
      </c>
      <c r="G2590" s="19" t="s">
        <v>31</v>
      </c>
      <c r="H2590" s="19" t="s">
        <v>22</v>
      </c>
      <c r="I2590" s="19">
        <v>24</v>
      </c>
      <c r="J2590" s="19">
        <v>0</v>
      </c>
      <c r="K2590" s="19"/>
      <c r="L2590" s="19" t="s">
        <v>75</v>
      </c>
      <c r="M2590" s="21">
        <v>16.100000000000001</v>
      </c>
      <c r="N2590">
        <f t="shared" si="40"/>
        <v>1</v>
      </c>
    </row>
    <row r="2591" spans="1:14" x14ac:dyDescent="0.35">
      <c r="A2591" s="22" t="s">
        <v>2661</v>
      </c>
      <c r="B2591" s="23" t="s">
        <v>85</v>
      </c>
      <c r="C2591" s="23">
        <v>12</v>
      </c>
      <c r="D2591" s="24">
        <v>45995</v>
      </c>
      <c r="E2591" s="23" t="s">
        <v>25</v>
      </c>
      <c r="F2591" s="23" t="s">
        <v>14</v>
      </c>
      <c r="G2591" s="23" t="s">
        <v>27</v>
      </c>
      <c r="H2591" s="23" t="s">
        <v>22</v>
      </c>
      <c r="I2591" s="23">
        <v>48</v>
      </c>
      <c r="J2591" s="23">
        <v>1</v>
      </c>
      <c r="K2591" s="23">
        <v>2</v>
      </c>
      <c r="L2591" s="23" t="s">
        <v>8363</v>
      </c>
      <c r="M2591" s="25">
        <v>4.5999999999999996</v>
      </c>
      <c r="N2591">
        <f t="shared" si="40"/>
        <v>1</v>
      </c>
    </row>
    <row r="2592" spans="1:14" x14ac:dyDescent="0.35">
      <c r="A2592" s="6" t="s">
        <v>2662</v>
      </c>
      <c r="B2592" s="19" t="s">
        <v>49</v>
      </c>
      <c r="C2592" s="19">
        <v>1</v>
      </c>
      <c r="D2592" s="20">
        <v>45664</v>
      </c>
      <c r="E2592" s="19" t="s">
        <v>8364</v>
      </c>
      <c r="F2592" s="19" t="s">
        <v>40</v>
      </c>
      <c r="G2592" s="19" t="s">
        <v>21</v>
      </c>
      <c r="H2592" s="19" t="s">
        <v>32</v>
      </c>
      <c r="I2592" s="19">
        <v>72</v>
      </c>
      <c r="J2592" s="19">
        <v>0</v>
      </c>
      <c r="K2592" s="19">
        <v>4</v>
      </c>
      <c r="L2592" s="19" t="s">
        <v>75</v>
      </c>
      <c r="M2592" s="21">
        <v>37</v>
      </c>
      <c r="N2592">
        <f t="shared" si="40"/>
        <v>1</v>
      </c>
    </row>
    <row r="2593" spans="1:14" x14ac:dyDescent="0.35">
      <c r="A2593" s="22" t="s">
        <v>2663</v>
      </c>
      <c r="B2593" s="23" t="s">
        <v>158</v>
      </c>
      <c r="C2593" s="23">
        <v>1</v>
      </c>
      <c r="D2593" s="24">
        <v>45669</v>
      </c>
      <c r="E2593" s="23" t="s">
        <v>25</v>
      </c>
      <c r="F2593" s="23" t="s">
        <v>59</v>
      </c>
      <c r="G2593" s="23" t="s">
        <v>27</v>
      </c>
      <c r="H2593" s="23" t="s">
        <v>22</v>
      </c>
      <c r="I2593" s="23">
        <v>4</v>
      </c>
      <c r="J2593" s="23">
        <v>0</v>
      </c>
      <c r="K2593" s="23">
        <v>5</v>
      </c>
      <c r="L2593" s="23" t="s">
        <v>44</v>
      </c>
      <c r="M2593" s="25">
        <v>9.9</v>
      </c>
      <c r="N2593">
        <f t="shared" si="40"/>
        <v>0</v>
      </c>
    </row>
    <row r="2594" spans="1:14" x14ac:dyDescent="0.35">
      <c r="A2594" s="6" t="s">
        <v>2664</v>
      </c>
      <c r="B2594" s="19" t="s">
        <v>53</v>
      </c>
      <c r="C2594" s="19">
        <v>4</v>
      </c>
      <c r="D2594" s="20">
        <v>45776</v>
      </c>
      <c r="E2594" s="19" t="s">
        <v>8364</v>
      </c>
      <c r="F2594" s="19" t="s">
        <v>40</v>
      </c>
      <c r="G2594" s="19" t="s">
        <v>8364</v>
      </c>
      <c r="H2594" s="19" t="s">
        <v>32</v>
      </c>
      <c r="I2594" s="19">
        <v>24</v>
      </c>
      <c r="J2594" s="19">
        <v>0</v>
      </c>
      <c r="K2594" s="19">
        <v>5</v>
      </c>
      <c r="L2594" s="19" t="s">
        <v>33</v>
      </c>
      <c r="M2594" s="21">
        <v>9.8000000000000007</v>
      </c>
      <c r="N2594">
        <f t="shared" si="40"/>
        <v>1</v>
      </c>
    </row>
    <row r="2595" spans="1:14" x14ac:dyDescent="0.35">
      <c r="A2595" s="22" t="s">
        <v>2665</v>
      </c>
      <c r="B2595" s="23" t="s">
        <v>57</v>
      </c>
      <c r="C2595" s="23">
        <v>10</v>
      </c>
      <c r="D2595" s="24">
        <v>45958</v>
      </c>
      <c r="E2595" s="23" t="s">
        <v>8364</v>
      </c>
      <c r="F2595" s="23" t="s">
        <v>37</v>
      </c>
      <c r="G2595" s="23" t="s">
        <v>27</v>
      </c>
      <c r="H2595" s="23" t="s">
        <v>28</v>
      </c>
      <c r="I2595" s="23">
        <v>72</v>
      </c>
      <c r="J2595" s="23">
        <v>0</v>
      </c>
      <c r="K2595" s="23">
        <v>5</v>
      </c>
      <c r="L2595" s="23" t="s">
        <v>55</v>
      </c>
      <c r="M2595" s="25">
        <v>9.4</v>
      </c>
      <c r="N2595">
        <f t="shared" si="40"/>
        <v>1</v>
      </c>
    </row>
    <row r="2596" spans="1:14" x14ac:dyDescent="0.35">
      <c r="A2596" s="6" t="s">
        <v>2666</v>
      </c>
      <c r="B2596" s="19" t="s">
        <v>126</v>
      </c>
      <c r="C2596" s="19">
        <v>2</v>
      </c>
      <c r="D2596" s="20">
        <v>45690</v>
      </c>
      <c r="E2596" s="19" t="s">
        <v>20</v>
      </c>
      <c r="F2596" s="19" t="s">
        <v>14</v>
      </c>
      <c r="G2596" s="19" t="s">
        <v>31</v>
      </c>
      <c r="H2596" s="19" t="s">
        <v>22</v>
      </c>
      <c r="I2596" s="19">
        <v>8</v>
      </c>
      <c r="J2596" s="19">
        <v>3</v>
      </c>
      <c r="K2596" s="19">
        <v>4</v>
      </c>
      <c r="L2596" s="19" t="s">
        <v>55</v>
      </c>
      <c r="M2596" s="21">
        <v>28.7</v>
      </c>
      <c r="N2596">
        <f t="shared" si="40"/>
        <v>0</v>
      </c>
    </row>
    <row r="2597" spans="1:14" x14ac:dyDescent="0.35">
      <c r="A2597" s="22" t="s">
        <v>2667</v>
      </c>
      <c r="B2597" s="23" t="s">
        <v>101</v>
      </c>
      <c r="C2597" s="23">
        <v>3</v>
      </c>
      <c r="D2597" s="24">
        <v>45738</v>
      </c>
      <c r="E2597" s="23" t="s">
        <v>8364</v>
      </c>
      <c r="F2597" s="23" t="s">
        <v>59</v>
      </c>
      <c r="G2597" s="23" t="s">
        <v>21</v>
      </c>
      <c r="H2597" s="23" t="s">
        <v>32</v>
      </c>
      <c r="I2597" s="23">
        <v>72</v>
      </c>
      <c r="J2597" s="23">
        <v>0</v>
      </c>
      <c r="K2597" s="23">
        <v>3</v>
      </c>
      <c r="L2597" s="23" t="s">
        <v>8363</v>
      </c>
      <c r="M2597" s="25">
        <v>14.9</v>
      </c>
      <c r="N2597">
        <f t="shared" si="40"/>
        <v>1</v>
      </c>
    </row>
    <row r="2598" spans="1:14" x14ac:dyDescent="0.35">
      <c r="A2598" s="6" t="s">
        <v>2668</v>
      </c>
      <c r="B2598" s="19" t="s">
        <v>51</v>
      </c>
      <c r="C2598" s="19">
        <v>1</v>
      </c>
      <c r="D2598" s="20">
        <v>45665</v>
      </c>
      <c r="E2598" s="19" t="s">
        <v>8364</v>
      </c>
      <c r="F2598" s="19" t="s">
        <v>26</v>
      </c>
      <c r="G2598" s="19" t="s">
        <v>31</v>
      </c>
      <c r="H2598" s="19" t="s">
        <v>16</v>
      </c>
      <c r="I2598" s="19">
        <v>72</v>
      </c>
      <c r="J2598" s="19">
        <v>1</v>
      </c>
      <c r="K2598" s="19">
        <v>4</v>
      </c>
      <c r="L2598" s="19" t="s">
        <v>75</v>
      </c>
      <c r="M2598" s="21">
        <v>9.6999999999999993</v>
      </c>
      <c r="N2598">
        <f t="shared" si="40"/>
        <v>1</v>
      </c>
    </row>
    <row r="2599" spans="1:14" x14ac:dyDescent="0.35">
      <c r="A2599" s="22" t="s">
        <v>2669</v>
      </c>
      <c r="B2599" s="23" t="s">
        <v>47</v>
      </c>
      <c r="C2599" s="23">
        <v>7</v>
      </c>
      <c r="D2599" s="24">
        <v>45869</v>
      </c>
      <c r="E2599" s="23" t="s">
        <v>13</v>
      </c>
      <c r="F2599" s="23" t="s">
        <v>37</v>
      </c>
      <c r="G2599" s="23" t="s">
        <v>15</v>
      </c>
      <c r="H2599" s="23" t="s">
        <v>28</v>
      </c>
      <c r="I2599" s="23">
        <v>4</v>
      </c>
      <c r="J2599" s="23">
        <v>0</v>
      </c>
      <c r="K2599" s="23">
        <v>3</v>
      </c>
      <c r="L2599" s="23" t="s">
        <v>44</v>
      </c>
      <c r="M2599" s="25"/>
      <c r="N2599">
        <f t="shared" si="40"/>
        <v>1</v>
      </c>
    </row>
    <row r="2600" spans="1:14" x14ac:dyDescent="0.35">
      <c r="A2600" s="6" t="s">
        <v>2670</v>
      </c>
      <c r="B2600" s="19" t="s">
        <v>89</v>
      </c>
      <c r="C2600" s="19">
        <v>1</v>
      </c>
      <c r="D2600" s="20">
        <v>45671</v>
      </c>
      <c r="E2600" s="19" t="s">
        <v>8364</v>
      </c>
      <c r="F2600" s="19" t="s">
        <v>43</v>
      </c>
      <c r="G2600" s="19" t="s">
        <v>15</v>
      </c>
      <c r="H2600" s="19" t="s">
        <v>28</v>
      </c>
      <c r="I2600" s="19">
        <v>48</v>
      </c>
      <c r="J2600" s="19">
        <v>1</v>
      </c>
      <c r="K2600" s="19">
        <v>2</v>
      </c>
      <c r="L2600" s="19" t="s">
        <v>75</v>
      </c>
      <c r="M2600" s="21">
        <v>9.4</v>
      </c>
      <c r="N2600">
        <f t="shared" si="40"/>
        <v>1</v>
      </c>
    </row>
    <row r="2601" spans="1:14" x14ac:dyDescent="0.35">
      <c r="A2601" s="22" t="s">
        <v>2671</v>
      </c>
      <c r="B2601" s="23" t="s">
        <v>143</v>
      </c>
      <c r="C2601" s="23">
        <v>1</v>
      </c>
      <c r="D2601" s="24">
        <v>45663</v>
      </c>
      <c r="E2601" s="23" t="s">
        <v>25</v>
      </c>
      <c r="F2601" s="23" t="s">
        <v>37</v>
      </c>
      <c r="G2601" s="23" t="s">
        <v>27</v>
      </c>
      <c r="H2601" s="23" t="s">
        <v>16</v>
      </c>
      <c r="I2601" s="23">
        <v>4</v>
      </c>
      <c r="J2601" s="23">
        <v>0</v>
      </c>
      <c r="K2601" s="23">
        <v>5</v>
      </c>
      <c r="L2601" s="23" t="s">
        <v>62</v>
      </c>
      <c r="M2601" s="25">
        <v>0.5</v>
      </c>
      <c r="N2601">
        <f t="shared" si="40"/>
        <v>1</v>
      </c>
    </row>
    <row r="2602" spans="1:14" x14ac:dyDescent="0.35">
      <c r="A2602" s="6" t="s">
        <v>2672</v>
      </c>
      <c r="B2602" s="19" t="s">
        <v>47</v>
      </c>
      <c r="C2602" s="19">
        <v>3</v>
      </c>
      <c r="D2602" s="20">
        <v>45718</v>
      </c>
      <c r="E2602" s="19" t="s">
        <v>20</v>
      </c>
      <c r="F2602" s="19" t="s">
        <v>43</v>
      </c>
      <c r="G2602" s="19" t="s">
        <v>27</v>
      </c>
      <c r="H2602" s="19" t="s">
        <v>28</v>
      </c>
      <c r="I2602" s="19">
        <v>48</v>
      </c>
      <c r="J2602" s="19">
        <v>2</v>
      </c>
      <c r="K2602" s="19">
        <v>5</v>
      </c>
      <c r="L2602" s="19" t="s">
        <v>17</v>
      </c>
      <c r="M2602" s="21">
        <v>14.1</v>
      </c>
      <c r="N2602">
        <f t="shared" si="40"/>
        <v>1</v>
      </c>
    </row>
    <row r="2603" spans="1:14" x14ac:dyDescent="0.35">
      <c r="A2603" s="22" t="s">
        <v>2673</v>
      </c>
      <c r="B2603" s="23" t="s">
        <v>181</v>
      </c>
      <c r="C2603" s="23">
        <v>10</v>
      </c>
      <c r="D2603" s="24">
        <v>45955</v>
      </c>
      <c r="E2603" s="23" t="s">
        <v>13</v>
      </c>
      <c r="F2603" s="23" t="s">
        <v>40</v>
      </c>
      <c r="G2603" s="23" t="s">
        <v>27</v>
      </c>
      <c r="H2603" s="23" t="s">
        <v>22</v>
      </c>
      <c r="I2603" s="23">
        <v>8</v>
      </c>
      <c r="J2603" s="23">
        <v>0</v>
      </c>
      <c r="K2603" s="23">
        <v>4</v>
      </c>
      <c r="L2603" s="23" t="s">
        <v>55</v>
      </c>
      <c r="M2603" s="25">
        <v>34.5</v>
      </c>
      <c r="N2603">
        <f t="shared" si="40"/>
        <v>0</v>
      </c>
    </row>
    <row r="2604" spans="1:14" x14ac:dyDescent="0.35">
      <c r="A2604" s="6" t="s">
        <v>2674</v>
      </c>
      <c r="B2604" s="19" t="s">
        <v>53</v>
      </c>
      <c r="C2604" s="19"/>
      <c r="D2604" s="20"/>
      <c r="E2604" s="19" t="s">
        <v>25</v>
      </c>
      <c r="F2604" s="19" t="s">
        <v>43</v>
      </c>
      <c r="G2604" s="19" t="s">
        <v>8364</v>
      </c>
      <c r="H2604" s="19" t="s">
        <v>22</v>
      </c>
      <c r="I2604" s="19">
        <v>72</v>
      </c>
      <c r="J2604" s="19">
        <v>0</v>
      </c>
      <c r="K2604" s="19">
        <v>5</v>
      </c>
      <c r="L2604" s="19" t="s">
        <v>44</v>
      </c>
      <c r="M2604" s="21">
        <v>8.8000000000000007</v>
      </c>
      <c r="N2604">
        <f t="shared" si="40"/>
        <v>1</v>
      </c>
    </row>
    <row r="2605" spans="1:14" x14ac:dyDescent="0.35">
      <c r="A2605" s="22" t="s">
        <v>2675</v>
      </c>
      <c r="B2605" s="23" t="s">
        <v>99</v>
      </c>
      <c r="C2605" s="23">
        <v>1</v>
      </c>
      <c r="D2605" s="24">
        <v>45678</v>
      </c>
      <c r="E2605" s="23" t="s">
        <v>36</v>
      </c>
      <c r="F2605" s="23" t="s">
        <v>40</v>
      </c>
      <c r="G2605" s="23" t="s">
        <v>15</v>
      </c>
      <c r="H2605" s="23" t="s">
        <v>16</v>
      </c>
      <c r="I2605" s="23">
        <v>72</v>
      </c>
      <c r="J2605" s="23">
        <v>1</v>
      </c>
      <c r="K2605" s="23">
        <v>1</v>
      </c>
      <c r="L2605" s="23" t="s">
        <v>75</v>
      </c>
      <c r="M2605" s="25">
        <v>15.4</v>
      </c>
      <c r="N2605">
        <f t="shared" si="40"/>
        <v>1</v>
      </c>
    </row>
    <row r="2606" spans="1:14" x14ac:dyDescent="0.35">
      <c r="A2606" s="6" t="s">
        <v>2676</v>
      </c>
      <c r="B2606" s="19" t="s">
        <v>53</v>
      </c>
      <c r="C2606" s="19">
        <v>12</v>
      </c>
      <c r="D2606" s="20">
        <v>46000</v>
      </c>
      <c r="E2606" s="19" t="s">
        <v>25</v>
      </c>
      <c r="F2606" s="19" t="s">
        <v>14</v>
      </c>
      <c r="G2606" s="19" t="s">
        <v>15</v>
      </c>
      <c r="H2606" s="19" t="s">
        <v>32</v>
      </c>
      <c r="I2606" s="19">
        <v>72</v>
      </c>
      <c r="J2606" s="19">
        <v>0</v>
      </c>
      <c r="K2606" s="19">
        <v>4</v>
      </c>
      <c r="L2606" s="19" t="s">
        <v>8363</v>
      </c>
      <c r="M2606" s="21">
        <v>2.7</v>
      </c>
      <c r="N2606">
        <f t="shared" si="40"/>
        <v>1</v>
      </c>
    </row>
    <row r="2607" spans="1:14" x14ac:dyDescent="0.35">
      <c r="A2607" s="22" t="s">
        <v>2677</v>
      </c>
      <c r="B2607" s="23" t="s">
        <v>23</v>
      </c>
      <c r="C2607" s="23">
        <v>3</v>
      </c>
      <c r="D2607" s="24">
        <v>45732</v>
      </c>
      <c r="E2607" s="23" t="s">
        <v>13</v>
      </c>
      <c r="F2607" s="23" t="s">
        <v>40</v>
      </c>
      <c r="G2607" s="23" t="s">
        <v>31</v>
      </c>
      <c r="H2607" s="23" t="s">
        <v>22</v>
      </c>
      <c r="I2607" s="23">
        <v>72</v>
      </c>
      <c r="J2607" s="23">
        <v>0</v>
      </c>
      <c r="K2607" s="23">
        <v>3</v>
      </c>
      <c r="L2607" s="23" t="s">
        <v>17</v>
      </c>
      <c r="M2607" s="25">
        <v>12.9</v>
      </c>
      <c r="N2607">
        <f t="shared" si="40"/>
        <v>1</v>
      </c>
    </row>
    <row r="2608" spans="1:14" x14ac:dyDescent="0.35">
      <c r="A2608" s="6" t="s">
        <v>2678</v>
      </c>
      <c r="B2608" s="19" t="s">
        <v>57</v>
      </c>
      <c r="C2608" s="19">
        <v>4</v>
      </c>
      <c r="D2608" s="20">
        <v>45769</v>
      </c>
      <c r="E2608" s="19" t="s">
        <v>13</v>
      </c>
      <c r="F2608" s="19" t="s">
        <v>26</v>
      </c>
      <c r="G2608" s="19" t="s">
        <v>15</v>
      </c>
      <c r="H2608" s="19" t="s">
        <v>22</v>
      </c>
      <c r="I2608" s="19">
        <v>48</v>
      </c>
      <c r="J2608" s="19">
        <v>0</v>
      </c>
      <c r="K2608" s="19">
        <v>2</v>
      </c>
      <c r="L2608" s="19" t="s">
        <v>8363</v>
      </c>
      <c r="M2608" s="21">
        <v>14.9</v>
      </c>
      <c r="N2608">
        <f t="shared" si="40"/>
        <v>1</v>
      </c>
    </row>
    <row r="2609" spans="1:14" x14ac:dyDescent="0.35">
      <c r="A2609" s="22" t="s">
        <v>2679</v>
      </c>
      <c r="B2609" s="23" t="s">
        <v>34</v>
      </c>
      <c r="C2609" s="23">
        <v>7</v>
      </c>
      <c r="D2609" s="24">
        <v>45868</v>
      </c>
      <c r="E2609" s="23" t="s">
        <v>13</v>
      </c>
      <c r="F2609" s="23" t="s">
        <v>59</v>
      </c>
      <c r="G2609" s="23" t="s">
        <v>15</v>
      </c>
      <c r="H2609" s="23" t="s">
        <v>8364</v>
      </c>
      <c r="I2609" s="23">
        <v>8</v>
      </c>
      <c r="J2609" s="23">
        <v>0</v>
      </c>
      <c r="K2609" s="23"/>
      <c r="L2609" s="23" t="s">
        <v>8363</v>
      </c>
      <c r="M2609" s="25">
        <v>8.3000000000000007</v>
      </c>
      <c r="N2609">
        <f t="shared" si="40"/>
        <v>0</v>
      </c>
    </row>
    <row r="2610" spans="1:14" x14ac:dyDescent="0.35">
      <c r="A2610" s="6" t="s">
        <v>2680</v>
      </c>
      <c r="B2610" s="19" t="s">
        <v>89</v>
      </c>
      <c r="C2610" s="19">
        <v>12</v>
      </c>
      <c r="D2610" s="20">
        <v>46011</v>
      </c>
      <c r="E2610" s="19" t="s">
        <v>25</v>
      </c>
      <c r="F2610" s="19" t="s">
        <v>14</v>
      </c>
      <c r="G2610" s="19" t="s">
        <v>31</v>
      </c>
      <c r="H2610" s="19" t="s">
        <v>22</v>
      </c>
      <c r="I2610" s="19">
        <v>48</v>
      </c>
      <c r="J2610" s="19">
        <v>1</v>
      </c>
      <c r="K2610" s="19"/>
      <c r="L2610" s="19" t="s">
        <v>33</v>
      </c>
      <c r="M2610" s="21">
        <v>22.1</v>
      </c>
      <c r="N2610">
        <f t="shared" si="40"/>
        <v>1</v>
      </c>
    </row>
    <row r="2611" spans="1:14" x14ac:dyDescent="0.35">
      <c r="A2611" s="22" t="s">
        <v>2681</v>
      </c>
      <c r="B2611" s="23" t="s">
        <v>253</v>
      </c>
      <c r="C2611" s="23">
        <v>4</v>
      </c>
      <c r="D2611" s="24">
        <v>45750</v>
      </c>
      <c r="E2611" s="23" t="s">
        <v>68</v>
      </c>
      <c r="F2611" s="23" t="s">
        <v>37</v>
      </c>
      <c r="G2611" s="23" t="s">
        <v>27</v>
      </c>
      <c r="H2611" s="23" t="s">
        <v>22</v>
      </c>
      <c r="I2611" s="23">
        <v>8</v>
      </c>
      <c r="J2611" s="23">
        <v>1</v>
      </c>
      <c r="K2611" s="23">
        <v>4</v>
      </c>
      <c r="L2611" s="23" t="s">
        <v>55</v>
      </c>
      <c r="M2611" s="25">
        <v>1.8</v>
      </c>
      <c r="N2611">
        <f t="shared" si="40"/>
        <v>1</v>
      </c>
    </row>
    <row r="2612" spans="1:14" x14ac:dyDescent="0.35">
      <c r="A2612" s="6" t="s">
        <v>2682</v>
      </c>
      <c r="B2612" s="19" t="s">
        <v>51</v>
      </c>
      <c r="C2612" s="19">
        <v>7</v>
      </c>
      <c r="D2612" s="20">
        <v>45852</v>
      </c>
      <c r="E2612" s="19" t="s">
        <v>25</v>
      </c>
      <c r="F2612" s="19" t="s">
        <v>43</v>
      </c>
      <c r="G2612" s="19" t="s">
        <v>21</v>
      </c>
      <c r="H2612" s="19" t="s">
        <v>16</v>
      </c>
      <c r="I2612" s="19">
        <v>48</v>
      </c>
      <c r="J2612" s="19">
        <v>0</v>
      </c>
      <c r="K2612" s="19">
        <v>4</v>
      </c>
      <c r="L2612" s="19" t="s">
        <v>62</v>
      </c>
      <c r="M2612" s="21">
        <v>38.299999999999997</v>
      </c>
      <c r="N2612">
        <f t="shared" si="40"/>
        <v>1</v>
      </c>
    </row>
    <row r="2613" spans="1:14" x14ac:dyDescent="0.35">
      <c r="A2613" s="22" t="s">
        <v>2683</v>
      </c>
      <c r="B2613" s="23" t="s">
        <v>29</v>
      </c>
      <c r="C2613" s="23">
        <v>8</v>
      </c>
      <c r="D2613" s="24">
        <v>45889</v>
      </c>
      <c r="E2613" s="23" t="s">
        <v>68</v>
      </c>
      <c r="F2613" s="23" t="s">
        <v>59</v>
      </c>
      <c r="G2613" s="23" t="s">
        <v>27</v>
      </c>
      <c r="H2613" s="23" t="s">
        <v>32</v>
      </c>
      <c r="I2613" s="23">
        <v>24</v>
      </c>
      <c r="J2613" s="23">
        <v>0</v>
      </c>
      <c r="K2613" s="23">
        <v>5</v>
      </c>
      <c r="L2613" s="23" t="s">
        <v>8363</v>
      </c>
      <c r="M2613" s="25">
        <v>5.2</v>
      </c>
      <c r="N2613">
        <f t="shared" si="40"/>
        <v>1</v>
      </c>
    </row>
    <row r="2614" spans="1:14" x14ac:dyDescent="0.35">
      <c r="A2614" s="6" t="s">
        <v>2684</v>
      </c>
      <c r="B2614" s="19" t="s">
        <v>45</v>
      </c>
      <c r="C2614" s="19"/>
      <c r="D2614" s="20"/>
      <c r="E2614" s="19" t="s">
        <v>20</v>
      </c>
      <c r="F2614" s="19" t="s">
        <v>40</v>
      </c>
      <c r="G2614" s="19" t="s">
        <v>31</v>
      </c>
      <c r="H2614" s="19" t="s">
        <v>8364</v>
      </c>
      <c r="I2614" s="19">
        <v>72</v>
      </c>
      <c r="J2614" s="19">
        <v>0</v>
      </c>
      <c r="K2614" s="19">
        <v>3</v>
      </c>
      <c r="L2614" s="19" t="s">
        <v>38</v>
      </c>
      <c r="M2614" s="21">
        <v>5.7</v>
      </c>
      <c r="N2614">
        <f t="shared" si="40"/>
        <v>1</v>
      </c>
    </row>
    <row r="2615" spans="1:14" x14ac:dyDescent="0.35">
      <c r="A2615" s="22" t="s">
        <v>2685</v>
      </c>
      <c r="B2615" s="23" t="s">
        <v>47</v>
      </c>
      <c r="C2615" s="23">
        <v>2</v>
      </c>
      <c r="D2615" s="24">
        <v>45696</v>
      </c>
      <c r="E2615" s="23" t="s">
        <v>13</v>
      </c>
      <c r="F2615" s="23" t="s">
        <v>26</v>
      </c>
      <c r="G2615" s="23" t="s">
        <v>15</v>
      </c>
      <c r="H2615" s="23" t="s">
        <v>16</v>
      </c>
      <c r="I2615" s="23">
        <v>72</v>
      </c>
      <c r="J2615" s="23">
        <v>0</v>
      </c>
      <c r="K2615" s="23">
        <v>5</v>
      </c>
      <c r="L2615" s="23" t="s">
        <v>62</v>
      </c>
      <c r="M2615" s="25">
        <v>10.3</v>
      </c>
      <c r="N2615">
        <f t="shared" si="40"/>
        <v>1</v>
      </c>
    </row>
    <row r="2616" spans="1:14" x14ac:dyDescent="0.35">
      <c r="A2616" s="6" t="s">
        <v>2686</v>
      </c>
      <c r="B2616" s="19" t="s">
        <v>139</v>
      </c>
      <c r="C2616" s="19">
        <v>12</v>
      </c>
      <c r="D2616" s="20">
        <v>45999</v>
      </c>
      <c r="E2616" s="19" t="s">
        <v>68</v>
      </c>
      <c r="F2616" s="19" t="s">
        <v>14</v>
      </c>
      <c r="G2616" s="19" t="s">
        <v>31</v>
      </c>
      <c r="H2616" s="19" t="s">
        <v>16</v>
      </c>
      <c r="I2616" s="19">
        <v>48</v>
      </c>
      <c r="J2616" s="19">
        <v>0</v>
      </c>
      <c r="K2616" s="19">
        <v>5</v>
      </c>
      <c r="L2616" s="19" t="s">
        <v>75</v>
      </c>
      <c r="M2616" s="21">
        <v>5.4</v>
      </c>
      <c r="N2616">
        <f t="shared" si="40"/>
        <v>1</v>
      </c>
    </row>
    <row r="2617" spans="1:14" x14ac:dyDescent="0.35">
      <c r="A2617" s="22" t="s">
        <v>2687</v>
      </c>
      <c r="B2617" s="23" t="s">
        <v>78</v>
      </c>
      <c r="C2617" s="23">
        <v>7</v>
      </c>
      <c r="D2617" s="24">
        <v>45868</v>
      </c>
      <c r="E2617" s="23" t="s">
        <v>25</v>
      </c>
      <c r="F2617" s="23" t="s">
        <v>40</v>
      </c>
      <c r="G2617" s="23" t="s">
        <v>27</v>
      </c>
      <c r="H2617" s="23" t="s">
        <v>28</v>
      </c>
      <c r="I2617" s="23">
        <v>48</v>
      </c>
      <c r="J2617" s="23">
        <v>2</v>
      </c>
      <c r="K2617" s="23">
        <v>5</v>
      </c>
      <c r="L2617" s="23" t="s">
        <v>8363</v>
      </c>
      <c r="M2617" s="25">
        <v>10.1</v>
      </c>
      <c r="N2617">
        <f t="shared" si="40"/>
        <v>1</v>
      </c>
    </row>
    <row r="2618" spans="1:14" x14ac:dyDescent="0.35">
      <c r="A2618" s="6" t="s">
        <v>2688</v>
      </c>
      <c r="B2618" s="19" t="s">
        <v>41</v>
      </c>
      <c r="C2618" s="19">
        <v>1</v>
      </c>
      <c r="D2618" s="20">
        <v>45684</v>
      </c>
      <c r="E2618" s="19" t="s">
        <v>36</v>
      </c>
      <c r="F2618" s="19" t="s">
        <v>14</v>
      </c>
      <c r="G2618" s="19" t="s">
        <v>27</v>
      </c>
      <c r="H2618" s="19" t="s">
        <v>8364</v>
      </c>
      <c r="I2618" s="19">
        <v>72</v>
      </c>
      <c r="J2618" s="19">
        <v>0</v>
      </c>
      <c r="K2618" s="19">
        <v>2</v>
      </c>
      <c r="L2618" s="19" t="s">
        <v>17</v>
      </c>
      <c r="M2618" s="21">
        <v>23.7</v>
      </c>
      <c r="N2618">
        <f t="shared" si="40"/>
        <v>1</v>
      </c>
    </row>
    <row r="2619" spans="1:14" x14ac:dyDescent="0.35">
      <c r="A2619" s="22" t="s">
        <v>2689</v>
      </c>
      <c r="B2619" s="23" t="s">
        <v>104</v>
      </c>
      <c r="C2619" s="23">
        <v>12</v>
      </c>
      <c r="D2619" s="24">
        <v>46017</v>
      </c>
      <c r="E2619" s="23" t="s">
        <v>25</v>
      </c>
      <c r="F2619" s="23" t="s">
        <v>43</v>
      </c>
      <c r="G2619" s="23" t="s">
        <v>31</v>
      </c>
      <c r="H2619" s="23" t="s">
        <v>16</v>
      </c>
      <c r="I2619" s="23">
        <v>8</v>
      </c>
      <c r="J2619" s="23">
        <v>0</v>
      </c>
      <c r="K2619" s="23">
        <v>2</v>
      </c>
      <c r="L2619" s="23" t="s">
        <v>33</v>
      </c>
      <c r="M2619" s="25">
        <v>5.4</v>
      </c>
      <c r="N2619">
        <f t="shared" si="40"/>
        <v>1</v>
      </c>
    </row>
    <row r="2620" spans="1:14" x14ac:dyDescent="0.35">
      <c r="A2620" s="6" t="s">
        <v>2690</v>
      </c>
      <c r="B2620" s="19" t="s">
        <v>49</v>
      </c>
      <c r="C2620" s="19">
        <v>1</v>
      </c>
      <c r="D2620" s="20">
        <v>45679</v>
      </c>
      <c r="E2620" s="19" t="s">
        <v>13</v>
      </c>
      <c r="F2620" s="19" t="s">
        <v>37</v>
      </c>
      <c r="G2620" s="19" t="s">
        <v>15</v>
      </c>
      <c r="H2620" s="19" t="s">
        <v>8364</v>
      </c>
      <c r="I2620" s="19">
        <v>48</v>
      </c>
      <c r="J2620" s="19">
        <v>0</v>
      </c>
      <c r="K2620" s="19">
        <v>3</v>
      </c>
      <c r="L2620" s="19" t="s">
        <v>8363</v>
      </c>
      <c r="M2620" s="21">
        <v>13.2</v>
      </c>
      <c r="N2620">
        <f t="shared" si="40"/>
        <v>1</v>
      </c>
    </row>
    <row r="2621" spans="1:14" x14ac:dyDescent="0.35">
      <c r="A2621" s="22" t="s">
        <v>2691</v>
      </c>
      <c r="B2621" s="23" t="s">
        <v>57</v>
      </c>
      <c r="C2621" s="23">
        <v>8</v>
      </c>
      <c r="D2621" s="24">
        <v>45870</v>
      </c>
      <c r="E2621" s="23" t="s">
        <v>8364</v>
      </c>
      <c r="F2621" s="23" t="s">
        <v>59</v>
      </c>
      <c r="G2621" s="23" t="s">
        <v>31</v>
      </c>
      <c r="H2621" s="23" t="s">
        <v>28</v>
      </c>
      <c r="I2621" s="23">
        <v>72</v>
      </c>
      <c r="J2621" s="23">
        <v>0</v>
      </c>
      <c r="K2621" s="23">
        <v>1</v>
      </c>
      <c r="L2621" s="23" t="s">
        <v>8363</v>
      </c>
      <c r="M2621" s="25">
        <v>12.8</v>
      </c>
      <c r="N2621">
        <f t="shared" si="40"/>
        <v>1</v>
      </c>
    </row>
    <row r="2622" spans="1:14" x14ac:dyDescent="0.35">
      <c r="A2622" s="6" t="s">
        <v>2692</v>
      </c>
      <c r="B2622" s="19" t="s">
        <v>139</v>
      </c>
      <c r="C2622" s="19">
        <v>2</v>
      </c>
      <c r="D2622" s="20">
        <v>45702</v>
      </c>
      <c r="E2622" s="19" t="s">
        <v>13</v>
      </c>
      <c r="F2622" s="19" t="s">
        <v>40</v>
      </c>
      <c r="G2622" s="19" t="s">
        <v>15</v>
      </c>
      <c r="H2622" s="19" t="s">
        <v>22</v>
      </c>
      <c r="I2622" s="19">
        <v>4</v>
      </c>
      <c r="J2622" s="19">
        <v>0</v>
      </c>
      <c r="K2622" s="19">
        <v>5</v>
      </c>
      <c r="L2622" s="19" t="s">
        <v>17</v>
      </c>
      <c r="M2622" s="21">
        <v>14.9</v>
      </c>
      <c r="N2622">
        <f t="shared" si="40"/>
        <v>0</v>
      </c>
    </row>
    <row r="2623" spans="1:14" x14ac:dyDescent="0.35">
      <c r="A2623" s="22" t="s">
        <v>2693</v>
      </c>
      <c r="B2623" s="23" t="s">
        <v>69</v>
      </c>
      <c r="C2623" s="23">
        <v>5</v>
      </c>
      <c r="D2623" s="24">
        <v>45807</v>
      </c>
      <c r="E2623" s="23" t="s">
        <v>25</v>
      </c>
      <c r="F2623" s="23" t="s">
        <v>59</v>
      </c>
      <c r="G2623" s="23" t="s">
        <v>27</v>
      </c>
      <c r="H2623" s="23" t="s">
        <v>22</v>
      </c>
      <c r="I2623" s="23">
        <v>4</v>
      </c>
      <c r="J2623" s="23">
        <v>0</v>
      </c>
      <c r="K2623" s="23">
        <v>5</v>
      </c>
      <c r="L2623" s="23" t="s">
        <v>8363</v>
      </c>
      <c r="M2623" s="25">
        <v>3.9</v>
      </c>
      <c r="N2623">
        <f t="shared" si="40"/>
        <v>1</v>
      </c>
    </row>
    <row r="2624" spans="1:14" x14ac:dyDescent="0.35">
      <c r="A2624" s="6" t="s">
        <v>2694</v>
      </c>
      <c r="B2624" s="19" t="s">
        <v>39</v>
      </c>
      <c r="C2624" s="19">
        <v>8</v>
      </c>
      <c r="D2624" s="20">
        <v>45897</v>
      </c>
      <c r="E2624" s="19" t="s">
        <v>25</v>
      </c>
      <c r="F2624" s="19" t="s">
        <v>43</v>
      </c>
      <c r="G2624" s="19" t="s">
        <v>15</v>
      </c>
      <c r="H2624" s="19" t="s">
        <v>22</v>
      </c>
      <c r="I2624" s="19">
        <v>48</v>
      </c>
      <c r="J2624" s="19">
        <v>0</v>
      </c>
      <c r="K2624" s="19">
        <v>5</v>
      </c>
      <c r="L2624" s="19" t="s">
        <v>55</v>
      </c>
      <c r="M2624" s="21">
        <v>10.5</v>
      </c>
      <c r="N2624">
        <f t="shared" si="40"/>
        <v>1</v>
      </c>
    </row>
    <row r="2625" spans="1:14" x14ac:dyDescent="0.35">
      <c r="A2625" s="22" t="s">
        <v>2695</v>
      </c>
      <c r="B2625" s="23" t="s">
        <v>92</v>
      </c>
      <c r="C2625" s="23">
        <v>11</v>
      </c>
      <c r="D2625" s="24">
        <v>45991</v>
      </c>
      <c r="E2625" s="23" t="s">
        <v>36</v>
      </c>
      <c r="F2625" s="23" t="s">
        <v>37</v>
      </c>
      <c r="G2625" s="23" t="s">
        <v>27</v>
      </c>
      <c r="H2625" s="23" t="s">
        <v>22</v>
      </c>
      <c r="I2625" s="23">
        <v>24</v>
      </c>
      <c r="J2625" s="23">
        <v>0</v>
      </c>
      <c r="K2625" s="23">
        <v>5</v>
      </c>
      <c r="L2625" s="23" t="s">
        <v>8363</v>
      </c>
      <c r="M2625" s="25">
        <v>28.1</v>
      </c>
      <c r="N2625">
        <f t="shared" si="40"/>
        <v>0</v>
      </c>
    </row>
    <row r="2626" spans="1:14" x14ac:dyDescent="0.35">
      <c r="A2626" s="6" t="s">
        <v>2696</v>
      </c>
      <c r="B2626" s="19" t="s">
        <v>57</v>
      </c>
      <c r="C2626" s="19">
        <v>1</v>
      </c>
      <c r="D2626" s="20">
        <v>45686</v>
      </c>
      <c r="E2626" s="19" t="s">
        <v>8364</v>
      </c>
      <c r="F2626" s="19" t="s">
        <v>14</v>
      </c>
      <c r="G2626" s="19" t="s">
        <v>27</v>
      </c>
      <c r="H2626" s="19" t="s">
        <v>28</v>
      </c>
      <c r="I2626" s="19">
        <v>72</v>
      </c>
      <c r="J2626" s="19">
        <v>1</v>
      </c>
      <c r="K2626" s="19">
        <v>4</v>
      </c>
      <c r="L2626" s="19" t="s">
        <v>38</v>
      </c>
      <c r="M2626" s="21">
        <v>12.2</v>
      </c>
      <c r="N2626">
        <f t="shared" si="40"/>
        <v>1</v>
      </c>
    </row>
    <row r="2627" spans="1:14" x14ac:dyDescent="0.35">
      <c r="A2627" s="22" t="s">
        <v>2697</v>
      </c>
      <c r="B2627" s="23" t="s">
        <v>53</v>
      </c>
      <c r="C2627" s="23"/>
      <c r="D2627" s="24"/>
      <c r="E2627" s="23" t="s">
        <v>25</v>
      </c>
      <c r="F2627" s="23" t="s">
        <v>26</v>
      </c>
      <c r="G2627" s="23" t="s">
        <v>27</v>
      </c>
      <c r="H2627" s="23" t="s">
        <v>22</v>
      </c>
      <c r="I2627" s="23">
        <v>48</v>
      </c>
      <c r="J2627" s="23">
        <v>2</v>
      </c>
      <c r="K2627" s="23">
        <v>5</v>
      </c>
      <c r="L2627" s="23" t="s">
        <v>8363</v>
      </c>
      <c r="M2627" s="25">
        <v>10.3</v>
      </c>
      <c r="N2627">
        <f t="shared" ref="N2627:N2690" si="41">IF(M2627 &lt;= I2627, 1, 0)</f>
        <v>1</v>
      </c>
    </row>
    <row r="2628" spans="1:14" x14ac:dyDescent="0.35">
      <c r="A2628" s="6" t="s">
        <v>2698</v>
      </c>
      <c r="B2628" s="19" t="s">
        <v>39</v>
      </c>
      <c r="C2628" s="19">
        <v>12</v>
      </c>
      <c r="D2628" s="20">
        <v>46000</v>
      </c>
      <c r="E2628" s="19" t="s">
        <v>25</v>
      </c>
      <c r="F2628" s="19" t="s">
        <v>8364</v>
      </c>
      <c r="G2628" s="19" t="s">
        <v>31</v>
      </c>
      <c r="H2628" s="19" t="s">
        <v>22</v>
      </c>
      <c r="I2628" s="19">
        <v>48</v>
      </c>
      <c r="J2628" s="19">
        <v>0</v>
      </c>
      <c r="K2628" s="19"/>
      <c r="L2628" s="19" t="s">
        <v>33</v>
      </c>
      <c r="M2628" s="21">
        <v>7</v>
      </c>
      <c r="N2628">
        <f t="shared" si="41"/>
        <v>1</v>
      </c>
    </row>
    <row r="2629" spans="1:14" x14ac:dyDescent="0.35">
      <c r="A2629" s="22" t="s">
        <v>2699</v>
      </c>
      <c r="B2629" s="23" t="s">
        <v>146</v>
      </c>
      <c r="C2629" s="23">
        <v>5</v>
      </c>
      <c r="D2629" s="24">
        <v>45785</v>
      </c>
      <c r="E2629" s="23" t="s">
        <v>25</v>
      </c>
      <c r="F2629" s="23" t="s">
        <v>37</v>
      </c>
      <c r="G2629" s="23" t="s">
        <v>15</v>
      </c>
      <c r="H2629" s="23" t="s">
        <v>22</v>
      </c>
      <c r="I2629" s="23">
        <v>8</v>
      </c>
      <c r="J2629" s="23">
        <v>0</v>
      </c>
      <c r="K2629" s="23">
        <v>5</v>
      </c>
      <c r="L2629" s="23" t="s">
        <v>33</v>
      </c>
      <c r="M2629" s="25">
        <v>9.3000000000000007</v>
      </c>
      <c r="N2629">
        <f t="shared" si="41"/>
        <v>0</v>
      </c>
    </row>
    <row r="2630" spans="1:14" x14ac:dyDescent="0.35">
      <c r="A2630" s="6" t="s">
        <v>2700</v>
      </c>
      <c r="B2630" s="19" t="s">
        <v>130</v>
      </c>
      <c r="C2630" s="19">
        <v>1</v>
      </c>
      <c r="D2630" s="20">
        <v>45684</v>
      </c>
      <c r="E2630" s="19" t="s">
        <v>8364</v>
      </c>
      <c r="F2630" s="19" t="s">
        <v>59</v>
      </c>
      <c r="G2630" s="19" t="s">
        <v>15</v>
      </c>
      <c r="H2630" s="19" t="s">
        <v>8364</v>
      </c>
      <c r="I2630" s="19">
        <v>72</v>
      </c>
      <c r="J2630" s="19">
        <v>1</v>
      </c>
      <c r="K2630" s="19">
        <v>4</v>
      </c>
      <c r="L2630" s="19" t="s">
        <v>62</v>
      </c>
      <c r="M2630" s="21">
        <v>3.4</v>
      </c>
      <c r="N2630">
        <f t="shared" si="41"/>
        <v>1</v>
      </c>
    </row>
    <row r="2631" spans="1:14" x14ac:dyDescent="0.35">
      <c r="A2631" s="22" t="s">
        <v>2701</v>
      </c>
      <c r="B2631" s="23" t="s">
        <v>158</v>
      </c>
      <c r="C2631" s="23">
        <v>12</v>
      </c>
      <c r="D2631" s="24">
        <v>45999</v>
      </c>
      <c r="E2631" s="23" t="s">
        <v>20</v>
      </c>
      <c r="F2631" s="23" t="s">
        <v>14</v>
      </c>
      <c r="G2631" s="23" t="s">
        <v>27</v>
      </c>
      <c r="H2631" s="23" t="s">
        <v>16</v>
      </c>
      <c r="I2631" s="23">
        <v>24</v>
      </c>
      <c r="J2631" s="23">
        <v>0</v>
      </c>
      <c r="K2631" s="23">
        <v>5</v>
      </c>
      <c r="L2631" s="23" t="s">
        <v>44</v>
      </c>
      <c r="M2631" s="25">
        <v>21</v>
      </c>
      <c r="N2631">
        <f t="shared" si="41"/>
        <v>1</v>
      </c>
    </row>
    <row r="2632" spans="1:14" x14ac:dyDescent="0.35">
      <c r="A2632" s="6" t="s">
        <v>2702</v>
      </c>
      <c r="B2632" s="19" t="s">
        <v>39</v>
      </c>
      <c r="C2632" s="19">
        <v>9</v>
      </c>
      <c r="D2632" s="20">
        <v>45928</v>
      </c>
      <c r="E2632" s="19" t="s">
        <v>13</v>
      </c>
      <c r="F2632" s="19" t="s">
        <v>59</v>
      </c>
      <c r="G2632" s="19" t="s">
        <v>31</v>
      </c>
      <c r="H2632" s="19" t="s">
        <v>8364</v>
      </c>
      <c r="I2632" s="19">
        <v>24</v>
      </c>
      <c r="J2632" s="19">
        <v>0</v>
      </c>
      <c r="K2632" s="19">
        <v>5</v>
      </c>
      <c r="L2632" s="19" t="s">
        <v>44</v>
      </c>
      <c r="M2632" s="21"/>
      <c r="N2632">
        <f t="shared" si="41"/>
        <v>1</v>
      </c>
    </row>
    <row r="2633" spans="1:14" x14ac:dyDescent="0.35">
      <c r="A2633" s="22" t="s">
        <v>2703</v>
      </c>
      <c r="B2633" s="23" t="s">
        <v>126</v>
      </c>
      <c r="C2633" s="23">
        <v>4</v>
      </c>
      <c r="D2633" s="24">
        <v>45753</v>
      </c>
      <c r="E2633" s="23" t="s">
        <v>8364</v>
      </c>
      <c r="F2633" s="23" t="s">
        <v>59</v>
      </c>
      <c r="G2633" s="23" t="s">
        <v>31</v>
      </c>
      <c r="H2633" s="23" t="s">
        <v>32</v>
      </c>
      <c r="I2633" s="23">
        <v>48</v>
      </c>
      <c r="J2633" s="23">
        <v>0</v>
      </c>
      <c r="K2633" s="23">
        <v>4</v>
      </c>
      <c r="L2633" s="23" t="s">
        <v>8363</v>
      </c>
      <c r="M2633" s="25">
        <v>32.799999999999997</v>
      </c>
      <c r="N2633">
        <f t="shared" si="41"/>
        <v>1</v>
      </c>
    </row>
    <row r="2634" spans="1:14" x14ac:dyDescent="0.35">
      <c r="A2634" s="6" t="s">
        <v>2704</v>
      </c>
      <c r="B2634" s="19" t="s">
        <v>139</v>
      </c>
      <c r="C2634" s="19">
        <v>7</v>
      </c>
      <c r="D2634" s="20">
        <v>45842</v>
      </c>
      <c r="E2634" s="19" t="s">
        <v>36</v>
      </c>
      <c r="F2634" s="19" t="s">
        <v>59</v>
      </c>
      <c r="G2634" s="19" t="s">
        <v>21</v>
      </c>
      <c r="H2634" s="19" t="s">
        <v>16</v>
      </c>
      <c r="I2634" s="19">
        <v>24</v>
      </c>
      <c r="J2634" s="19">
        <v>0</v>
      </c>
      <c r="K2634" s="19">
        <v>4</v>
      </c>
      <c r="L2634" s="19" t="s">
        <v>33</v>
      </c>
      <c r="M2634" s="21">
        <v>7.1</v>
      </c>
      <c r="N2634">
        <f t="shared" si="41"/>
        <v>1</v>
      </c>
    </row>
    <row r="2635" spans="1:14" x14ac:dyDescent="0.35">
      <c r="A2635" s="22" t="s">
        <v>2705</v>
      </c>
      <c r="B2635" s="23" t="s">
        <v>53</v>
      </c>
      <c r="C2635" s="23">
        <v>4</v>
      </c>
      <c r="D2635" s="24">
        <v>45758</v>
      </c>
      <c r="E2635" s="23" t="s">
        <v>20</v>
      </c>
      <c r="F2635" s="23" t="s">
        <v>14</v>
      </c>
      <c r="G2635" s="23" t="s">
        <v>31</v>
      </c>
      <c r="H2635" s="23" t="s">
        <v>8364</v>
      </c>
      <c r="I2635" s="23">
        <v>8</v>
      </c>
      <c r="J2635" s="23">
        <v>0</v>
      </c>
      <c r="K2635" s="23">
        <v>5</v>
      </c>
      <c r="L2635" s="23" t="s">
        <v>33</v>
      </c>
      <c r="M2635" s="25">
        <v>9.6999999999999993</v>
      </c>
      <c r="N2635">
        <f t="shared" si="41"/>
        <v>0</v>
      </c>
    </row>
    <row r="2636" spans="1:14" x14ac:dyDescent="0.35">
      <c r="A2636" s="6" t="s">
        <v>2706</v>
      </c>
      <c r="B2636" s="19" t="s">
        <v>139</v>
      </c>
      <c r="C2636" s="19"/>
      <c r="D2636" s="20"/>
      <c r="E2636" s="19" t="s">
        <v>36</v>
      </c>
      <c r="F2636" s="19" t="s">
        <v>59</v>
      </c>
      <c r="G2636" s="19" t="s">
        <v>31</v>
      </c>
      <c r="H2636" s="19" t="s">
        <v>32</v>
      </c>
      <c r="I2636" s="19">
        <v>48</v>
      </c>
      <c r="J2636" s="19">
        <v>0</v>
      </c>
      <c r="K2636" s="19">
        <v>4</v>
      </c>
      <c r="L2636" s="19" t="s">
        <v>8363</v>
      </c>
      <c r="M2636" s="21">
        <v>8</v>
      </c>
      <c r="N2636">
        <f t="shared" si="41"/>
        <v>1</v>
      </c>
    </row>
    <row r="2637" spans="1:14" x14ac:dyDescent="0.35">
      <c r="A2637" s="22" t="s">
        <v>2707</v>
      </c>
      <c r="B2637" s="23" t="s">
        <v>45</v>
      </c>
      <c r="C2637" s="23">
        <v>1</v>
      </c>
      <c r="D2637" s="24">
        <v>45678</v>
      </c>
      <c r="E2637" s="23" t="s">
        <v>25</v>
      </c>
      <c r="F2637" s="23" t="s">
        <v>26</v>
      </c>
      <c r="G2637" s="23" t="s">
        <v>31</v>
      </c>
      <c r="H2637" s="23" t="s">
        <v>32</v>
      </c>
      <c r="I2637" s="23">
        <v>48</v>
      </c>
      <c r="J2637" s="23"/>
      <c r="K2637" s="23">
        <v>3</v>
      </c>
      <c r="L2637" s="23" t="s">
        <v>44</v>
      </c>
      <c r="M2637" s="25">
        <v>4.0999999999999996</v>
      </c>
      <c r="N2637">
        <f t="shared" si="41"/>
        <v>1</v>
      </c>
    </row>
    <row r="2638" spans="1:14" x14ac:dyDescent="0.35">
      <c r="A2638" s="6" t="s">
        <v>2708</v>
      </c>
      <c r="B2638" s="19" t="s">
        <v>78</v>
      </c>
      <c r="C2638" s="19">
        <v>8</v>
      </c>
      <c r="D2638" s="20">
        <v>45882</v>
      </c>
      <c r="E2638" s="19" t="s">
        <v>36</v>
      </c>
      <c r="F2638" s="19" t="s">
        <v>14</v>
      </c>
      <c r="G2638" s="19" t="s">
        <v>15</v>
      </c>
      <c r="H2638" s="19" t="s">
        <v>22</v>
      </c>
      <c r="I2638" s="19">
        <v>24</v>
      </c>
      <c r="J2638" s="19">
        <v>0</v>
      </c>
      <c r="K2638" s="19">
        <v>5</v>
      </c>
      <c r="L2638" s="19" t="s">
        <v>33</v>
      </c>
      <c r="M2638" s="21">
        <v>7.9</v>
      </c>
      <c r="N2638">
        <f t="shared" si="41"/>
        <v>1</v>
      </c>
    </row>
    <row r="2639" spans="1:14" x14ac:dyDescent="0.35">
      <c r="A2639" s="22" t="s">
        <v>2709</v>
      </c>
      <c r="B2639" s="23" t="s">
        <v>104</v>
      </c>
      <c r="C2639" s="23">
        <v>9</v>
      </c>
      <c r="D2639" s="24">
        <v>45907</v>
      </c>
      <c r="E2639" s="23" t="s">
        <v>68</v>
      </c>
      <c r="F2639" s="23" t="s">
        <v>14</v>
      </c>
      <c r="G2639" s="23" t="s">
        <v>31</v>
      </c>
      <c r="H2639" s="23" t="s">
        <v>28</v>
      </c>
      <c r="I2639" s="23">
        <v>72</v>
      </c>
      <c r="J2639" s="23">
        <v>0</v>
      </c>
      <c r="K2639" s="23">
        <v>4</v>
      </c>
      <c r="L2639" s="23" t="s">
        <v>62</v>
      </c>
      <c r="M2639" s="25">
        <v>5.4</v>
      </c>
      <c r="N2639">
        <f t="shared" si="41"/>
        <v>1</v>
      </c>
    </row>
    <row r="2640" spans="1:14" x14ac:dyDescent="0.35">
      <c r="A2640" s="6" t="s">
        <v>2710</v>
      </c>
      <c r="B2640" s="19" t="s">
        <v>47</v>
      </c>
      <c r="C2640" s="19">
        <v>12</v>
      </c>
      <c r="D2640" s="20">
        <v>46011</v>
      </c>
      <c r="E2640" s="19" t="s">
        <v>8364</v>
      </c>
      <c r="F2640" s="19" t="s">
        <v>37</v>
      </c>
      <c r="G2640" s="19" t="s">
        <v>21</v>
      </c>
      <c r="H2640" s="19" t="s">
        <v>32</v>
      </c>
      <c r="I2640" s="19">
        <v>8</v>
      </c>
      <c r="J2640" s="19">
        <v>1</v>
      </c>
      <c r="K2640" s="19">
        <v>3</v>
      </c>
      <c r="L2640" s="19" t="s">
        <v>44</v>
      </c>
      <c r="M2640" s="21">
        <v>9.1999999999999993</v>
      </c>
      <c r="N2640">
        <f t="shared" si="41"/>
        <v>0</v>
      </c>
    </row>
    <row r="2641" spans="1:14" x14ac:dyDescent="0.35">
      <c r="A2641" s="22" t="s">
        <v>2711</v>
      </c>
      <c r="B2641" s="23" t="s">
        <v>69</v>
      </c>
      <c r="C2641" s="23"/>
      <c r="D2641" s="24"/>
      <c r="E2641" s="23" t="s">
        <v>25</v>
      </c>
      <c r="F2641" s="23" t="s">
        <v>14</v>
      </c>
      <c r="G2641" s="23" t="s">
        <v>21</v>
      </c>
      <c r="H2641" s="23" t="s">
        <v>22</v>
      </c>
      <c r="I2641" s="23">
        <v>4</v>
      </c>
      <c r="J2641" s="23">
        <v>0</v>
      </c>
      <c r="K2641" s="23"/>
      <c r="L2641" s="23" t="s">
        <v>44</v>
      </c>
      <c r="M2641" s="25">
        <v>9.9</v>
      </c>
      <c r="N2641">
        <f t="shared" si="41"/>
        <v>0</v>
      </c>
    </row>
    <row r="2642" spans="1:14" x14ac:dyDescent="0.35">
      <c r="A2642" s="6" t="s">
        <v>2712</v>
      </c>
      <c r="B2642" s="19" t="s">
        <v>23</v>
      </c>
      <c r="C2642" s="19">
        <v>5</v>
      </c>
      <c r="D2642" s="20">
        <v>45785</v>
      </c>
      <c r="E2642" s="19" t="s">
        <v>20</v>
      </c>
      <c r="F2642" s="19" t="s">
        <v>8364</v>
      </c>
      <c r="G2642" s="19" t="s">
        <v>27</v>
      </c>
      <c r="H2642" s="19" t="s">
        <v>22</v>
      </c>
      <c r="I2642" s="19">
        <v>24</v>
      </c>
      <c r="J2642" s="19">
        <v>1</v>
      </c>
      <c r="K2642" s="19">
        <v>4</v>
      </c>
      <c r="L2642" s="19" t="s">
        <v>55</v>
      </c>
      <c r="M2642" s="21">
        <v>6.9</v>
      </c>
      <c r="N2642">
        <f t="shared" si="41"/>
        <v>1</v>
      </c>
    </row>
    <row r="2643" spans="1:14" x14ac:dyDescent="0.35">
      <c r="A2643" s="22" t="s">
        <v>2713</v>
      </c>
      <c r="B2643" s="23" t="s">
        <v>34</v>
      </c>
      <c r="C2643" s="23"/>
      <c r="D2643" s="24"/>
      <c r="E2643" s="23" t="s">
        <v>25</v>
      </c>
      <c r="F2643" s="23" t="s">
        <v>8364</v>
      </c>
      <c r="G2643" s="23" t="s">
        <v>31</v>
      </c>
      <c r="H2643" s="23" t="s">
        <v>22</v>
      </c>
      <c r="I2643" s="23">
        <v>8</v>
      </c>
      <c r="J2643" s="23">
        <v>0</v>
      </c>
      <c r="K2643" s="23">
        <v>5</v>
      </c>
      <c r="L2643" s="23" t="s">
        <v>55</v>
      </c>
      <c r="M2643" s="25">
        <v>7.7</v>
      </c>
      <c r="N2643">
        <f t="shared" si="41"/>
        <v>1</v>
      </c>
    </row>
    <row r="2644" spans="1:14" x14ac:dyDescent="0.35">
      <c r="A2644" s="6" t="s">
        <v>2714</v>
      </c>
      <c r="B2644" s="19" t="s">
        <v>34</v>
      </c>
      <c r="C2644" s="19">
        <v>2</v>
      </c>
      <c r="D2644" s="20">
        <v>45698</v>
      </c>
      <c r="E2644" s="19" t="s">
        <v>25</v>
      </c>
      <c r="F2644" s="19" t="s">
        <v>14</v>
      </c>
      <c r="G2644" s="19" t="s">
        <v>31</v>
      </c>
      <c r="H2644" s="19" t="s">
        <v>22</v>
      </c>
      <c r="I2644" s="19">
        <v>72</v>
      </c>
      <c r="J2644" s="19">
        <v>0</v>
      </c>
      <c r="K2644" s="19">
        <v>4</v>
      </c>
      <c r="L2644" s="19" t="s">
        <v>44</v>
      </c>
      <c r="M2644" s="21">
        <v>10.3</v>
      </c>
      <c r="N2644">
        <f t="shared" si="41"/>
        <v>1</v>
      </c>
    </row>
    <row r="2645" spans="1:14" x14ac:dyDescent="0.35">
      <c r="A2645" s="22" t="s">
        <v>2715</v>
      </c>
      <c r="B2645" s="23" t="s">
        <v>18</v>
      </c>
      <c r="C2645" s="23">
        <v>2</v>
      </c>
      <c r="D2645" s="24">
        <v>45707</v>
      </c>
      <c r="E2645" s="23" t="s">
        <v>36</v>
      </c>
      <c r="F2645" s="23" t="s">
        <v>43</v>
      </c>
      <c r="G2645" s="23" t="s">
        <v>31</v>
      </c>
      <c r="H2645" s="23" t="s">
        <v>32</v>
      </c>
      <c r="I2645" s="23">
        <v>8</v>
      </c>
      <c r="J2645" s="23">
        <v>0</v>
      </c>
      <c r="K2645" s="23">
        <v>4</v>
      </c>
      <c r="L2645" s="23" t="s">
        <v>33</v>
      </c>
      <c r="M2645" s="25">
        <v>6.7</v>
      </c>
      <c r="N2645">
        <f t="shared" si="41"/>
        <v>1</v>
      </c>
    </row>
    <row r="2646" spans="1:14" x14ac:dyDescent="0.35">
      <c r="A2646" s="6" t="s">
        <v>2716</v>
      </c>
      <c r="B2646" s="19" t="s">
        <v>18</v>
      </c>
      <c r="C2646" s="19">
        <v>6</v>
      </c>
      <c r="D2646" s="20">
        <v>45837</v>
      </c>
      <c r="E2646" s="19" t="s">
        <v>68</v>
      </c>
      <c r="F2646" s="19" t="s">
        <v>40</v>
      </c>
      <c r="G2646" s="19" t="s">
        <v>15</v>
      </c>
      <c r="H2646" s="19" t="s">
        <v>32</v>
      </c>
      <c r="I2646" s="19">
        <v>24</v>
      </c>
      <c r="J2646" s="19">
        <v>1</v>
      </c>
      <c r="K2646" s="19">
        <v>3</v>
      </c>
      <c r="L2646" s="19" t="s">
        <v>62</v>
      </c>
      <c r="M2646" s="21">
        <v>22.6</v>
      </c>
      <c r="N2646">
        <f t="shared" si="41"/>
        <v>1</v>
      </c>
    </row>
    <row r="2647" spans="1:14" x14ac:dyDescent="0.35">
      <c r="A2647" s="22" t="s">
        <v>2717</v>
      </c>
      <c r="B2647" s="23" t="s">
        <v>236</v>
      </c>
      <c r="C2647" s="23">
        <v>8</v>
      </c>
      <c r="D2647" s="24">
        <v>45896</v>
      </c>
      <c r="E2647" s="23" t="s">
        <v>13</v>
      </c>
      <c r="F2647" s="23" t="s">
        <v>8364</v>
      </c>
      <c r="G2647" s="23" t="s">
        <v>31</v>
      </c>
      <c r="H2647" s="23" t="s">
        <v>8364</v>
      </c>
      <c r="I2647" s="23">
        <v>8</v>
      </c>
      <c r="J2647" s="23">
        <v>0</v>
      </c>
      <c r="K2647" s="23">
        <v>2</v>
      </c>
      <c r="L2647" s="23" t="s">
        <v>8363</v>
      </c>
      <c r="M2647" s="25">
        <v>8.1</v>
      </c>
      <c r="N2647">
        <f t="shared" si="41"/>
        <v>0</v>
      </c>
    </row>
    <row r="2648" spans="1:14" x14ac:dyDescent="0.35">
      <c r="A2648" s="6" t="s">
        <v>2718</v>
      </c>
      <c r="B2648" s="19" t="s">
        <v>39</v>
      </c>
      <c r="C2648" s="19">
        <v>7</v>
      </c>
      <c r="D2648" s="20">
        <v>45861</v>
      </c>
      <c r="E2648" s="19" t="s">
        <v>68</v>
      </c>
      <c r="F2648" s="19" t="s">
        <v>14</v>
      </c>
      <c r="G2648" s="19" t="s">
        <v>15</v>
      </c>
      <c r="H2648" s="19" t="s">
        <v>8364</v>
      </c>
      <c r="I2648" s="19">
        <v>24</v>
      </c>
      <c r="J2648" s="19">
        <v>0</v>
      </c>
      <c r="K2648" s="19">
        <v>3</v>
      </c>
      <c r="L2648" s="19" t="s">
        <v>17</v>
      </c>
      <c r="M2648" s="21">
        <v>17.7</v>
      </c>
      <c r="N2648">
        <f t="shared" si="41"/>
        <v>1</v>
      </c>
    </row>
    <row r="2649" spans="1:14" x14ac:dyDescent="0.35">
      <c r="A2649" s="22" t="s">
        <v>2719</v>
      </c>
      <c r="B2649" s="23" t="s">
        <v>158</v>
      </c>
      <c r="C2649" s="23">
        <v>10</v>
      </c>
      <c r="D2649" s="24">
        <v>45934</v>
      </c>
      <c r="E2649" s="23" t="s">
        <v>68</v>
      </c>
      <c r="F2649" s="23" t="s">
        <v>40</v>
      </c>
      <c r="G2649" s="23" t="s">
        <v>21</v>
      </c>
      <c r="H2649" s="23" t="s">
        <v>28</v>
      </c>
      <c r="I2649" s="23">
        <v>4</v>
      </c>
      <c r="J2649" s="23">
        <v>0</v>
      </c>
      <c r="K2649" s="23">
        <v>5</v>
      </c>
      <c r="L2649" s="23" t="s">
        <v>38</v>
      </c>
      <c r="M2649" s="25">
        <v>15.2</v>
      </c>
      <c r="N2649">
        <f t="shared" si="41"/>
        <v>0</v>
      </c>
    </row>
    <row r="2650" spans="1:14" x14ac:dyDescent="0.35">
      <c r="A2650" s="6" t="s">
        <v>2720</v>
      </c>
      <c r="B2650" s="19" t="s">
        <v>104</v>
      </c>
      <c r="C2650" s="19"/>
      <c r="D2650" s="20"/>
      <c r="E2650" s="19" t="s">
        <v>25</v>
      </c>
      <c r="F2650" s="19" t="s">
        <v>8364</v>
      </c>
      <c r="G2650" s="19" t="s">
        <v>27</v>
      </c>
      <c r="H2650" s="19" t="s">
        <v>8364</v>
      </c>
      <c r="I2650" s="19">
        <v>72</v>
      </c>
      <c r="J2650" s="19">
        <v>0</v>
      </c>
      <c r="K2650" s="19">
        <v>4</v>
      </c>
      <c r="L2650" s="19" t="s">
        <v>38</v>
      </c>
      <c r="M2650" s="21">
        <v>2.1</v>
      </c>
      <c r="N2650">
        <f t="shared" si="41"/>
        <v>1</v>
      </c>
    </row>
    <row r="2651" spans="1:14" x14ac:dyDescent="0.35">
      <c r="A2651" s="22" t="s">
        <v>2721</v>
      </c>
      <c r="B2651" s="23" t="s">
        <v>181</v>
      </c>
      <c r="C2651" s="23">
        <v>6</v>
      </c>
      <c r="D2651" s="24">
        <v>45829</v>
      </c>
      <c r="E2651" s="23" t="s">
        <v>13</v>
      </c>
      <c r="F2651" s="23" t="s">
        <v>43</v>
      </c>
      <c r="G2651" s="23" t="s">
        <v>27</v>
      </c>
      <c r="H2651" s="23" t="s">
        <v>16</v>
      </c>
      <c r="I2651" s="23">
        <v>4</v>
      </c>
      <c r="J2651" s="23">
        <v>0</v>
      </c>
      <c r="K2651" s="23">
        <v>4</v>
      </c>
      <c r="L2651" s="23" t="s">
        <v>62</v>
      </c>
      <c r="M2651" s="25">
        <v>7.2</v>
      </c>
      <c r="N2651">
        <f t="shared" si="41"/>
        <v>0</v>
      </c>
    </row>
    <row r="2652" spans="1:14" x14ac:dyDescent="0.35">
      <c r="A2652" s="6" t="s">
        <v>2722</v>
      </c>
      <c r="B2652" s="19" t="s">
        <v>39</v>
      </c>
      <c r="C2652" s="19">
        <v>6</v>
      </c>
      <c r="D2652" s="20">
        <v>45838</v>
      </c>
      <c r="E2652" s="19" t="s">
        <v>25</v>
      </c>
      <c r="F2652" s="19" t="s">
        <v>43</v>
      </c>
      <c r="G2652" s="19" t="s">
        <v>31</v>
      </c>
      <c r="H2652" s="19" t="s">
        <v>8364</v>
      </c>
      <c r="I2652" s="19">
        <v>48</v>
      </c>
      <c r="J2652" s="19">
        <v>0</v>
      </c>
      <c r="K2652" s="19">
        <v>5</v>
      </c>
      <c r="L2652" s="19" t="s">
        <v>44</v>
      </c>
      <c r="M2652" s="21">
        <v>13.9</v>
      </c>
      <c r="N2652">
        <f t="shared" si="41"/>
        <v>1</v>
      </c>
    </row>
    <row r="2653" spans="1:14" x14ac:dyDescent="0.35">
      <c r="A2653" s="22" t="s">
        <v>2723</v>
      </c>
      <c r="B2653" s="23" t="s">
        <v>57</v>
      </c>
      <c r="C2653" s="23">
        <v>1</v>
      </c>
      <c r="D2653" s="24">
        <v>45675</v>
      </c>
      <c r="E2653" s="23" t="s">
        <v>25</v>
      </c>
      <c r="F2653" s="23" t="s">
        <v>43</v>
      </c>
      <c r="G2653" s="23" t="s">
        <v>31</v>
      </c>
      <c r="H2653" s="23" t="s">
        <v>22</v>
      </c>
      <c r="I2653" s="23">
        <v>4</v>
      </c>
      <c r="J2653" s="23">
        <v>0</v>
      </c>
      <c r="K2653" s="23">
        <v>3</v>
      </c>
      <c r="L2653" s="23" t="s">
        <v>8363</v>
      </c>
      <c r="M2653" s="25">
        <v>2</v>
      </c>
      <c r="N2653">
        <f t="shared" si="41"/>
        <v>1</v>
      </c>
    </row>
    <row r="2654" spans="1:14" x14ac:dyDescent="0.35">
      <c r="A2654" s="6" t="s">
        <v>2724</v>
      </c>
      <c r="B2654" s="19" t="s">
        <v>69</v>
      </c>
      <c r="C2654" s="19">
        <v>9</v>
      </c>
      <c r="D2654" s="20">
        <v>45909</v>
      </c>
      <c r="E2654" s="19" t="s">
        <v>13</v>
      </c>
      <c r="F2654" s="19" t="s">
        <v>43</v>
      </c>
      <c r="G2654" s="19" t="s">
        <v>27</v>
      </c>
      <c r="H2654" s="19" t="s">
        <v>16</v>
      </c>
      <c r="I2654" s="19">
        <v>24</v>
      </c>
      <c r="J2654" s="19">
        <v>0</v>
      </c>
      <c r="K2654" s="19"/>
      <c r="L2654" s="19" t="s">
        <v>8363</v>
      </c>
      <c r="M2654" s="21">
        <v>21.1</v>
      </c>
      <c r="N2654">
        <f t="shared" si="41"/>
        <v>1</v>
      </c>
    </row>
    <row r="2655" spans="1:14" x14ac:dyDescent="0.35">
      <c r="A2655" s="22" t="s">
        <v>2725</v>
      </c>
      <c r="B2655" s="23" t="s">
        <v>51</v>
      </c>
      <c r="C2655" s="23">
        <v>6</v>
      </c>
      <c r="D2655" s="24">
        <v>45820</v>
      </c>
      <c r="E2655" s="23" t="s">
        <v>25</v>
      </c>
      <c r="F2655" s="23" t="s">
        <v>37</v>
      </c>
      <c r="G2655" s="23" t="s">
        <v>8364</v>
      </c>
      <c r="H2655" s="23" t="s">
        <v>32</v>
      </c>
      <c r="I2655" s="23">
        <v>72</v>
      </c>
      <c r="J2655" s="23">
        <v>1</v>
      </c>
      <c r="K2655" s="23">
        <v>3</v>
      </c>
      <c r="L2655" s="23" t="s">
        <v>62</v>
      </c>
      <c r="M2655" s="25">
        <v>8.3000000000000007</v>
      </c>
      <c r="N2655">
        <f t="shared" si="41"/>
        <v>1</v>
      </c>
    </row>
    <row r="2656" spans="1:14" x14ac:dyDescent="0.35">
      <c r="A2656" s="6" t="s">
        <v>2726</v>
      </c>
      <c r="B2656" s="19" t="s">
        <v>69</v>
      </c>
      <c r="C2656" s="19">
        <v>6</v>
      </c>
      <c r="D2656" s="20">
        <v>45820</v>
      </c>
      <c r="E2656" s="19" t="s">
        <v>13</v>
      </c>
      <c r="F2656" s="19" t="s">
        <v>26</v>
      </c>
      <c r="G2656" s="19" t="s">
        <v>15</v>
      </c>
      <c r="H2656" s="19" t="s">
        <v>8364</v>
      </c>
      <c r="I2656" s="19">
        <v>8</v>
      </c>
      <c r="J2656" s="19">
        <v>0</v>
      </c>
      <c r="K2656" s="19"/>
      <c r="L2656" s="19" t="s">
        <v>38</v>
      </c>
      <c r="M2656" s="21">
        <v>1.2</v>
      </c>
      <c r="N2656">
        <f t="shared" si="41"/>
        <v>1</v>
      </c>
    </row>
    <row r="2657" spans="1:14" x14ac:dyDescent="0.35">
      <c r="A2657" s="22" t="s">
        <v>2727</v>
      </c>
      <c r="B2657" s="23" t="s">
        <v>126</v>
      </c>
      <c r="C2657" s="23">
        <v>5</v>
      </c>
      <c r="D2657" s="24">
        <v>45787</v>
      </c>
      <c r="E2657" s="23" t="s">
        <v>20</v>
      </c>
      <c r="F2657" s="23" t="s">
        <v>37</v>
      </c>
      <c r="G2657" s="23" t="s">
        <v>31</v>
      </c>
      <c r="H2657" s="23" t="s">
        <v>32</v>
      </c>
      <c r="I2657" s="23">
        <v>24</v>
      </c>
      <c r="J2657" s="23">
        <v>0</v>
      </c>
      <c r="K2657" s="23">
        <v>3</v>
      </c>
      <c r="L2657" s="23" t="s">
        <v>62</v>
      </c>
      <c r="M2657" s="25">
        <v>4.9000000000000004</v>
      </c>
      <c r="N2657">
        <f t="shared" si="41"/>
        <v>1</v>
      </c>
    </row>
    <row r="2658" spans="1:14" x14ac:dyDescent="0.35">
      <c r="A2658" s="6" t="s">
        <v>2728</v>
      </c>
      <c r="B2658" s="19" t="s">
        <v>81</v>
      </c>
      <c r="C2658" s="19">
        <v>4</v>
      </c>
      <c r="D2658" s="20">
        <v>45766</v>
      </c>
      <c r="E2658" s="19" t="s">
        <v>68</v>
      </c>
      <c r="F2658" s="19" t="s">
        <v>14</v>
      </c>
      <c r="G2658" s="19" t="s">
        <v>21</v>
      </c>
      <c r="H2658" s="19" t="s">
        <v>32</v>
      </c>
      <c r="I2658" s="19">
        <v>72</v>
      </c>
      <c r="J2658" s="19">
        <v>0</v>
      </c>
      <c r="K2658" s="19">
        <v>2</v>
      </c>
      <c r="L2658" s="19" t="s">
        <v>33</v>
      </c>
      <c r="M2658" s="21">
        <v>3.1</v>
      </c>
      <c r="N2658">
        <f t="shared" si="41"/>
        <v>1</v>
      </c>
    </row>
    <row r="2659" spans="1:14" x14ac:dyDescent="0.35">
      <c r="A2659" s="22" t="s">
        <v>2729</v>
      </c>
      <c r="B2659" s="23" t="s">
        <v>49</v>
      </c>
      <c r="C2659" s="23">
        <v>1</v>
      </c>
      <c r="D2659" s="24">
        <v>45688</v>
      </c>
      <c r="E2659" s="23" t="s">
        <v>25</v>
      </c>
      <c r="F2659" s="23" t="s">
        <v>14</v>
      </c>
      <c r="G2659" s="23" t="s">
        <v>21</v>
      </c>
      <c r="H2659" s="23" t="s">
        <v>8364</v>
      </c>
      <c r="I2659" s="23">
        <v>24</v>
      </c>
      <c r="J2659" s="23">
        <v>1</v>
      </c>
      <c r="K2659" s="23">
        <v>5</v>
      </c>
      <c r="L2659" s="23" t="s">
        <v>55</v>
      </c>
      <c r="M2659" s="25">
        <v>13.3</v>
      </c>
      <c r="N2659">
        <f t="shared" si="41"/>
        <v>1</v>
      </c>
    </row>
    <row r="2660" spans="1:14" x14ac:dyDescent="0.35">
      <c r="A2660" s="6" t="s">
        <v>2730</v>
      </c>
      <c r="B2660" s="19" t="s">
        <v>143</v>
      </c>
      <c r="C2660" s="19">
        <v>4</v>
      </c>
      <c r="D2660" s="20">
        <v>45753</v>
      </c>
      <c r="E2660" s="19" t="s">
        <v>13</v>
      </c>
      <c r="F2660" s="19" t="s">
        <v>37</v>
      </c>
      <c r="G2660" s="19" t="s">
        <v>21</v>
      </c>
      <c r="H2660" s="19" t="s">
        <v>8364</v>
      </c>
      <c r="I2660" s="19">
        <v>48</v>
      </c>
      <c r="J2660" s="19"/>
      <c r="K2660" s="19">
        <v>3</v>
      </c>
      <c r="L2660" s="19" t="s">
        <v>75</v>
      </c>
      <c r="M2660" s="21">
        <v>6.6</v>
      </c>
      <c r="N2660">
        <f t="shared" si="41"/>
        <v>1</v>
      </c>
    </row>
    <row r="2661" spans="1:14" x14ac:dyDescent="0.35">
      <c r="A2661" s="22" t="s">
        <v>2731</v>
      </c>
      <c r="B2661" s="23" t="s">
        <v>34</v>
      </c>
      <c r="C2661" s="23"/>
      <c r="D2661" s="24"/>
      <c r="E2661" s="23" t="s">
        <v>25</v>
      </c>
      <c r="F2661" s="23" t="s">
        <v>43</v>
      </c>
      <c r="G2661" s="23" t="s">
        <v>27</v>
      </c>
      <c r="H2661" s="23" t="s">
        <v>22</v>
      </c>
      <c r="I2661" s="23">
        <v>24</v>
      </c>
      <c r="J2661" s="23">
        <v>0</v>
      </c>
      <c r="K2661" s="23">
        <v>5</v>
      </c>
      <c r="L2661" s="23" t="s">
        <v>75</v>
      </c>
      <c r="M2661" s="25">
        <v>12.2</v>
      </c>
      <c r="N2661">
        <f t="shared" si="41"/>
        <v>1</v>
      </c>
    </row>
    <row r="2662" spans="1:14" x14ac:dyDescent="0.35">
      <c r="A2662" s="6" t="s">
        <v>2732</v>
      </c>
      <c r="B2662" s="19" t="s">
        <v>139</v>
      </c>
      <c r="C2662" s="19">
        <v>7</v>
      </c>
      <c r="D2662" s="20">
        <v>45850</v>
      </c>
      <c r="E2662" s="19" t="s">
        <v>36</v>
      </c>
      <c r="F2662" s="19" t="s">
        <v>43</v>
      </c>
      <c r="G2662" s="19" t="s">
        <v>27</v>
      </c>
      <c r="H2662" s="19" t="s">
        <v>22</v>
      </c>
      <c r="I2662" s="19">
        <v>48</v>
      </c>
      <c r="J2662" s="19">
        <v>0</v>
      </c>
      <c r="K2662" s="19"/>
      <c r="L2662" s="19" t="s">
        <v>62</v>
      </c>
      <c r="M2662" s="21">
        <v>14.1</v>
      </c>
      <c r="N2662">
        <f t="shared" si="41"/>
        <v>1</v>
      </c>
    </row>
    <row r="2663" spans="1:14" x14ac:dyDescent="0.35">
      <c r="A2663" s="22" t="s">
        <v>2733</v>
      </c>
      <c r="B2663" s="23" t="s">
        <v>97</v>
      </c>
      <c r="C2663" s="23">
        <v>7</v>
      </c>
      <c r="D2663" s="24">
        <v>45843</v>
      </c>
      <c r="E2663" s="23" t="s">
        <v>13</v>
      </c>
      <c r="F2663" s="23" t="s">
        <v>43</v>
      </c>
      <c r="G2663" s="23" t="s">
        <v>27</v>
      </c>
      <c r="H2663" s="23" t="s">
        <v>32</v>
      </c>
      <c r="I2663" s="23">
        <v>48</v>
      </c>
      <c r="J2663" s="23">
        <v>0</v>
      </c>
      <c r="K2663" s="23">
        <v>2</v>
      </c>
      <c r="L2663" s="23" t="s">
        <v>55</v>
      </c>
      <c r="M2663" s="25">
        <v>10.4</v>
      </c>
      <c r="N2663">
        <f t="shared" si="41"/>
        <v>1</v>
      </c>
    </row>
    <row r="2664" spans="1:14" x14ac:dyDescent="0.35">
      <c r="A2664" s="6" t="s">
        <v>2734</v>
      </c>
      <c r="B2664" s="19" t="s">
        <v>69</v>
      </c>
      <c r="C2664" s="19">
        <v>2</v>
      </c>
      <c r="D2664" s="20">
        <v>45702</v>
      </c>
      <c r="E2664" s="19" t="s">
        <v>68</v>
      </c>
      <c r="F2664" s="19" t="s">
        <v>26</v>
      </c>
      <c r="G2664" s="19" t="s">
        <v>21</v>
      </c>
      <c r="H2664" s="19" t="s">
        <v>28</v>
      </c>
      <c r="I2664" s="19">
        <v>24</v>
      </c>
      <c r="J2664" s="19">
        <v>0</v>
      </c>
      <c r="K2664" s="19">
        <v>4</v>
      </c>
      <c r="L2664" s="19" t="s">
        <v>17</v>
      </c>
      <c r="M2664" s="21">
        <v>26.9</v>
      </c>
      <c r="N2664">
        <f t="shared" si="41"/>
        <v>0</v>
      </c>
    </row>
    <row r="2665" spans="1:14" x14ac:dyDescent="0.35">
      <c r="A2665" s="22" t="s">
        <v>2735</v>
      </c>
      <c r="B2665" s="23" t="s">
        <v>49</v>
      </c>
      <c r="C2665" s="23">
        <v>6</v>
      </c>
      <c r="D2665" s="24">
        <v>45815</v>
      </c>
      <c r="E2665" s="23" t="s">
        <v>13</v>
      </c>
      <c r="F2665" s="23" t="s">
        <v>37</v>
      </c>
      <c r="G2665" s="23" t="s">
        <v>15</v>
      </c>
      <c r="H2665" s="23" t="s">
        <v>16</v>
      </c>
      <c r="I2665" s="23">
        <v>48</v>
      </c>
      <c r="J2665" s="23">
        <v>2</v>
      </c>
      <c r="K2665" s="23">
        <v>4</v>
      </c>
      <c r="L2665" s="23" t="s">
        <v>8363</v>
      </c>
      <c r="M2665" s="25">
        <v>18.100000000000001</v>
      </c>
      <c r="N2665">
        <f t="shared" si="41"/>
        <v>1</v>
      </c>
    </row>
    <row r="2666" spans="1:14" x14ac:dyDescent="0.35">
      <c r="A2666" s="6" t="s">
        <v>2736</v>
      </c>
      <c r="B2666" s="19" t="s">
        <v>41</v>
      </c>
      <c r="C2666" s="19">
        <v>2</v>
      </c>
      <c r="D2666" s="20">
        <v>45715</v>
      </c>
      <c r="E2666" s="19" t="s">
        <v>13</v>
      </c>
      <c r="F2666" s="19" t="s">
        <v>59</v>
      </c>
      <c r="G2666" s="19" t="s">
        <v>15</v>
      </c>
      <c r="H2666" s="19" t="s">
        <v>8364</v>
      </c>
      <c r="I2666" s="19">
        <v>8</v>
      </c>
      <c r="J2666" s="19">
        <v>0</v>
      </c>
      <c r="K2666" s="19">
        <v>4</v>
      </c>
      <c r="L2666" s="19" t="s">
        <v>55</v>
      </c>
      <c r="M2666" s="21">
        <v>4</v>
      </c>
      <c r="N2666">
        <f t="shared" si="41"/>
        <v>1</v>
      </c>
    </row>
    <row r="2667" spans="1:14" x14ac:dyDescent="0.35">
      <c r="A2667" s="22" t="s">
        <v>2737</v>
      </c>
      <c r="B2667" s="23" t="s">
        <v>41</v>
      </c>
      <c r="C2667" s="23">
        <v>8</v>
      </c>
      <c r="D2667" s="24">
        <v>45894</v>
      </c>
      <c r="E2667" s="23" t="s">
        <v>13</v>
      </c>
      <c r="F2667" s="23" t="s">
        <v>26</v>
      </c>
      <c r="G2667" s="23" t="s">
        <v>31</v>
      </c>
      <c r="H2667" s="23" t="s">
        <v>22</v>
      </c>
      <c r="I2667" s="23">
        <v>72</v>
      </c>
      <c r="J2667" s="23">
        <v>0</v>
      </c>
      <c r="K2667" s="23">
        <v>5</v>
      </c>
      <c r="L2667" s="23" t="s">
        <v>17</v>
      </c>
      <c r="M2667" s="25"/>
      <c r="N2667">
        <f t="shared" si="41"/>
        <v>1</v>
      </c>
    </row>
    <row r="2668" spans="1:14" x14ac:dyDescent="0.35">
      <c r="A2668" s="6" t="s">
        <v>2738</v>
      </c>
      <c r="B2668" s="19" t="s">
        <v>69</v>
      </c>
      <c r="C2668" s="19">
        <v>9</v>
      </c>
      <c r="D2668" s="20">
        <v>45926</v>
      </c>
      <c r="E2668" s="19" t="s">
        <v>8364</v>
      </c>
      <c r="F2668" s="19" t="s">
        <v>43</v>
      </c>
      <c r="G2668" s="19" t="s">
        <v>31</v>
      </c>
      <c r="H2668" s="19" t="s">
        <v>32</v>
      </c>
      <c r="I2668" s="19">
        <v>48</v>
      </c>
      <c r="J2668" s="19">
        <v>0</v>
      </c>
      <c r="K2668" s="19">
        <v>4</v>
      </c>
      <c r="L2668" s="19" t="s">
        <v>62</v>
      </c>
      <c r="M2668" s="21">
        <v>26.7</v>
      </c>
      <c r="N2668">
        <f t="shared" si="41"/>
        <v>1</v>
      </c>
    </row>
    <row r="2669" spans="1:14" x14ac:dyDescent="0.35">
      <c r="A2669" s="22" t="s">
        <v>2739</v>
      </c>
      <c r="B2669" s="23" t="s">
        <v>34</v>
      </c>
      <c r="C2669" s="23">
        <v>12</v>
      </c>
      <c r="D2669" s="24">
        <v>46015</v>
      </c>
      <c r="E2669" s="23" t="s">
        <v>13</v>
      </c>
      <c r="F2669" s="23" t="s">
        <v>59</v>
      </c>
      <c r="G2669" s="23" t="s">
        <v>31</v>
      </c>
      <c r="H2669" s="23" t="s">
        <v>32</v>
      </c>
      <c r="I2669" s="23">
        <v>4</v>
      </c>
      <c r="J2669" s="23">
        <v>0</v>
      </c>
      <c r="K2669" s="23">
        <v>5</v>
      </c>
      <c r="L2669" s="23" t="s">
        <v>17</v>
      </c>
      <c r="M2669" s="25">
        <v>10.6</v>
      </c>
      <c r="N2669">
        <f t="shared" si="41"/>
        <v>0</v>
      </c>
    </row>
    <row r="2670" spans="1:14" x14ac:dyDescent="0.35">
      <c r="A2670" s="6" t="s">
        <v>2740</v>
      </c>
      <c r="B2670" s="19" t="s">
        <v>89</v>
      </c>
      <c r="C2670" s="19">
        <v>8</v>
      </c>
      <c r="D2670" s="20">
        <v>45885</v>
      </c>
      <c r="E2670" s="19" t="s">
        <v>25</v>
      </c>
      <c r="F2670" s="19" t="s">
        <v>43</v>
      </c>
      <c r="G2670" s="19" t="s">
        <v>31</v>
      </c>
      <c r="H2670" s="19" t="s">
        <v>16</v>
      </c>
      <c r="I2670" s="19">
        <v>48</v>
      </c>
      <c r="J2670" s="19">
        <v>1</v>
      </c>
      <c r="K2670" s="19">
        <v>4</v>
      </c>
      <c r="L2670" s="19" t="s">
        <v>44</v>
      </c>
      <c r="M2670" s="21">
        <v>3.3</v>
      </c>
      <c r="N2670">
        <f t="shared" si="41"/>
        <v>1</v>
      </c>
    </row>
    <row r="2671" spans="1:14" x14ac:dyDescent="0.35">
      <c r="A2671" s="22" t="s">
        <v>2741</v>
      </c>
      <c r="B2671" s="23" t="s">
        <v>47</v>
      </c>
      <c r="C2671" s="23">
        <v>6</v>
      </c>
      <c r="D2671" s="24">
        <v>45836</v>
      </c>
      <c r="E2671" s="23" t="s">
        <v>36</v>
      </c>
      <c r="F2671" s="23" t="s">
        <v>37</v>
      </c>
      <c r="G2671" s="23" t="s">
        <v>31</v>
      </c>
      <c r="H2671" s="23" t="s">
        <v>32</v>
      </c>
      <c r="I2671" s="23">
        <v>72</v>
      </c>
      <c r="J2671" s="23">
        <v>0</v>
      </c>
      <c r="K2671" s="23">
        <v>5</v>
      </c>
      <c r="L2671" s="23" t="s">
        <v>62</v>
      </c>
      <c r="M2671" s="25">
        <v>11.2</v>
      </c>
      <c r="N2671">
        <f t="shared" si="41"/>
        <v>1</v>
      </c>
    </row>
    <row r="2672" spans="1:14" x14ac:dyDescent="0.35">
      <c r="A2672" s="6" t="s">
        <v>2742</v>
      </c>
      <c r="B2672" s="19" t="s">
        <v>97</v>
      </c>
      <c r="C2672" s="19">
        <v>6</v>
      </c>
      <c r="D2672" s="20">
        <v>45832</v>
      </c>
      <c r="E2672" s="19" t="s">
        <v>8364</v>
      </c>
      <c r="F2672" s="19" t="s">
        <v>59</v>
      </c>
      <c r="G2672" s="19" t="s">
        <v>27</v>
      </c>
      <c r="H2672" s="19" t="s">
        <v>22</v>
      </c>
      <c r="I2672" s="19">
        <v>48</v>
      </c>
      <c r="J2672" s="19">
        <v>0</v>
      </c>
      <c r="K2672" s="19">
        <v>3</v>
      </c>
      <c r="L2672" s="19" t="s">
        <v>44</v>
      </c>
      <c r="M2672" s="21"/>
      <c r="N2672">
        <f t="shared" si="41"/>
        <v>1</v>
      </c>
    </row>
    <row r="2673" spans="1:14" x14ac:dyDescent="0.35">
      <c r="A2673" s="22" t="s">
        <v>2743</v>
      </c>
      <c r="B2673" s="23" t="s">
        <v>143</v>
      </c>
      <c r="C2673" s="23">
        <v>3</v>
      </c>
      <c r="D2673" s="24">
        <v>45744</v>
      </c>
      <c r="E2673" s="23" t="s">
        <v>36</v>
      </c>
      <c r="F2673" s="23" t="s">
        <v>59</v>
      </c>
      <c r="G2673" s="23" t="s">
        <v>31</v>
      </c>
      <c r="H2673" s="23" t="s">
        <v>32</v>
      </c>
      <c r="I2673" s="23">
        <v>24</v>
      </c>
      <c r="J2673" s="23">
        <v>0</v>
      </c>
      <c r="K2673" s="23">
        <v>1</v>
      </c>
      <c r="L2673" s="23" t="s">
        <v>44</v>
      </c>
      <c r="M2673" s="25">
        <v>31</v>
      </c>
      <c r="N2673">
        <f t="shared" si="41"/>
        <v>0</v>
      </c>
    </row>
    <row r="2674" spans="1:14" x14ac:dyDescent="0.35">
      <c r="A2674" s="6" t="s">
        <v>2744</v>
      </c>
      <c r="B2674" s="19" t="s">
        <v>181</v>
      </c>
      <c r="C2674" s="19">
        <v>1</v>
      </c>
      <c r="D2674" s="20">
        <v>45687</v>
      </c>
      <c r="E2674" s="19" t="s">
        <v>68</v>
      </c>
      <c r="F2674" s="19" t="s">
        <v>37</v>
      </c>
      <c r="G2674" s="19" t="s">
        <v>27</v>
      </c>
      <c r="H2674" s="19" t="s">
        <v>32</v>
      </c>
      <c r="I2674" s="19">
        <v>24</v>
      </c>
      <c r="J2674" s="19">
        <v>0</v>
      </c>
      <c r="K2674" s="19">
        <v>5</v>
      </c>
      <c r="L2674" s="19" t="s">
        <v>8363</v>
      </c>
      <c r="M2674" s="21">
        <v>12.8</v>
      </c>
      <c r="N2674">
        <f t="shared" si="41"/>
        <v>1</v>
      </c>
    </row>
    <row r="2675" spans="1:14" x14ac:dyDescent="0.35">
      <c r="A2675" s="22" t="s">
        <v>2745</v>
      </c>
      <c r="B2675" s="23" t="s">
        <v>101</v>
      </c>
      <c r="C2675" s="23">
        <v>5</v>
      </c>
      <c r="D2675" s="24">
        <v>45793</v>
      </c>
      <c r="E2675" s="23" t="s">
        <v>36</v>
      </c>
      <c r="F2675" s="23" t="s">
        <v>14</v>
      </c>
      <c r="G2675" s="23" t="s">
        <v>27</v>
      </c>
      <c r="H2675" s="23" t="s">
        <v>22</v>
      </c>
      <c r="I2675" s="23">
        <v>48</v>
      </c>
      <c r="J2675" s="23">
        <v>0</v>
      </c>
      <c r="K2675" s="23">
        <v>2</v>
      </c>
      <c r="L2675" s="23" t="s">
        <v>8363</v>
      </c>
      <c r="M2675" s="25">
        <v>4.5</v>
      </c>
      <c r="N2675">
        <f t="shared" si="41"/>
        <v>1</v>
      </c>
    </row>
    <row r="2676" spans="1:14" x14ac:dyDescent="0.35">
      <c r="A2676" s="6" t="s">
        <v>2746</v>
      </c>
      <c r="B2676" s="19" t="s">
        <v>81</v>
      </c>
      <c r="C2676" s="19"/>
      <c r="D2676" s="20"/>
      <c r="E2676" s="19" t="s">
        <v>13</v>
      </c>
      <c r="F2676" s="19" t="s">
        <v>8364</v>
      </c>
      <c r="G2676" s="19" t="s">
        <v>27</v>
      </c>
      <c r="H2676" s="19" t="s">
        <v>22</v>
      </c>
      <c r="I2676" s="19">
        <v>4</v>
      </c>
      <c r="J2676" s="19">
        <v>0</v>
      </c>
      <c r="K2676" s="19"/>
      <c r="L2676" s="19" t="s">
        <v>17</v>
      </c>
      <c r="M2676" s="21">
        <v>3.1</v>
      </c>
      <c r="N2676">
        <f t="shared" si="41"/>
        <v>1</v>
      </c>
    </row>
    <row r="2677" spans="1:14" x14ac:dyDescent="0.35">
      <c r="A2677" s="22" t="s">
        <v>2747</v>
      </c>
      <c r="B2677" s="23" t="s">
        <v>89</v>
      </c>
      <c r="C2677" s="23">
        <v>7</v>
      </c>
      <c r="D2677" s="24">
        <v>45842</v>
      </c>
      <c r="E2677" s="23" t="s">
        <v>13</v>
      </c>
      <c r="F2677" s="23" t="s">
        <v>8364</v>
      </c>
      <c r="G2677" s="23" t="s">
        <v>21</v>
      </c>
      <c r="H2677" s="23" t="s">
        <v>28</v>
      </c>
      <c r="I2677" s="23">
        <v>48</v>
      </c>
      <c r="J2677" s="23">
        <v>0</v>
      </c>
      <c r="K2677" s="23">
        <v>4</v>
      </c>
      <c r="L2677" s="23" t="s">
        <v>55</v>
      </c>
      <c r="M2677" s="25">
        <v>14.3</v>
      </c>
      <c r="N2677">
        <f t="shared" si="41"/>
        <v>1</v>
      </c>
    </row>
    <row r="2678" spans="1:14" x14ac:dyDescent="0.35">
      <c r="A2678" s="6" t="s">
        <v>2748</v>
      </c>
      <c r="B2678" s="19" t="s">
        <v>51</v>
      </c>
      <c r="C2678" s="19">
        <v>9</v>
      </c>
      <c r="D2678" s="20">
        <v>45904</v>
      </c>
      <c r="E2678" s="19" t="s">
        <v>36</v>
      </c>
      <c r="F2678" s="19" t="s">
        <v>26</v>
      </c>
      <c r="G2678" s="19" t="s">
        <v>31</v>
      </c>
      <c r="H2678" s="19" t="s">
        <v>22</v>
      </c>
      <c r="I2678" s="19">
        <v>4</v>
      </c>
      <c r="J2678" s="19">
        <v>0</v>
      </c>
      <c r="K2678" s="19">
        <v>4</v>
      </c>
      <c r="L2678" s="19" t="s">
        <v>55</v>
      </c>
      <c r="M2678" s="21">
        <v>4.3</v>
      </c>
      <c r="N2678">
        <f t="shared" si="41"/>
        <v>0</v>
      </c>
    </row>
    <row r="2679" spans="1:14" x14ac:dyDescent="0.35">
      <c r="A2679" s="22" t="s">
        <v>2749</v>
      </c>
      <c r="B2679" s="23" t="s">
        <v>99</v>
      </c>
      <c r="C2679" s="23">
        <v>10</v>
      </c>
      <c r="D2679" s="24">
        <v>45934</v>
      </c>
      <c r="E2679" s="23" t="s">
        <v>13</v>
      </c>
      <c r="F2679" s="23" t="s">
        <v>59</v>
      </c>
      <c r="G2679" s="23" t="s">
        <v>31</v>
      </c>
      <c r="H2679" s="23" t="s">
        <v>8364</v>
      </c>
      <c r="I2679" s="23">
        <v>48</v>
      </c>
      <c r="J2679" s="23">
        <v>0</v>
      </c>
      <c r="K2679" s="23">
        <v>4</v>
      </c>
      <c r="L2679" s="23" t="s">
        <v>44</v>
      </c>
      <c r="M2679" s="25">
        <v>14.2</v>
      </c>
      <c r="N2679">
        <f t="shared" si="41"/>
        <v>1</v>
      </c>
    </row>
    <row r="2680" spans="1:14" x14ac:dyDescent="0.35">
      <c r="A2680" s="6" t="s">
        <v>2750</v>
      </c>
      <c r="B2680" s="19" t="s">
        <v>92</v>
      </c>
      <c r="C2680" s="19">
        <v>5</v>
      </c>
      <c r="D2680" s="20">
        <v>45788</v>
      </c>
      <c r="E2680" s="19" t="s">
        <v>36</v>
      </c>
      <c r="F2680" s="19" t="s">
        <v>8364</v>
      </c>
      <c r="G2680" s="19" t="s">
        <v>31</v>
      </c>
      <c r="H2680" s="19" t="s">
        <v>22</v>
      </c>
      <c r="I2680" s="19">
        <v>72</v>
      </c>
      <c r="J2680" s="19">
        <v>0</v>
      </c>
      <c r="K2680" s="19">
        <v>5</v>
      </c>
      <c r="L2680" s="19" t="s">
        <v>44</v>
      </c>
      <c r="M2680" s="21">
        <v>3.6</v>
      </c>
      <c r="N2680">
        <f t="shared" si="41"/>
        <v>1</v>
      </c>
    </row>
    <row r="2681" spans="1:14" x14ac:dyDescent="0.35">
      <c r="A2681" s="22" t="s">
        <v>2751</v>
      </c>
      <c r="B2681" s="23" t="s">
        <v>47</v>
      </c>
      <c r="C2681" s="23">
        <v>11</v>
      </c>
      <c r="D2681" s="24">
        <v>45989</v>
      </c>
      <c r="E2681" s="23" t="s">
        <v>25</v>
      </c>
      <c r="F2681" s="23" t="s">
        <v>40</v>
      </c>
      <c r="G2681" s="23" t="s">
        <v>8364</v>
      </c>
      <c r="H2681" s="23" t="s">
        <v>32</v>
      </c>
      <c r="I2681" s="23">
        <v>48</v>
      </c>
      <c r="J2681" s="23">
        <v>0</v>
      </c>
      <c r="K2681" s="23">
        <v>5</v>
      </c>
      <c r="L2681" s="23" t="s">
        <v>55</v>
      </c>
      <c r="M2681" s="25">
        <v>12.6</v>
      </c>
      <c r="N2681">
        <f t="shared" si="41"/>
        <v>1</v>
      </c>
    </row>
    <row r="2682" spans="1:14" x14ac:dyDescent="0.35">
      <c r="A2682" s="6" t="s">
        <v>2752</v>
      </c>
      <c r="B2682" s="19" t="s">
        <v>236</v>
      </c>
      <c r="C2682" s="19">
        <v>2</v>
      </c>
      <c r="D2682" s="20">
        <v>45699</v>
      </c>
      <c r="E2682" s="19" t="s">
        <v>20</v>
      </c>
      <c r="F2682" s="19" t="s">
        <v>14</v>
      </c>
      <c r="G2682" s="19" t="s">
        <v>27</v>
      </c>
      <c r="H2682" s="19" t="s">
        <v>22</v>
      </c>
      <c r="I2682" s="19">
        <v>24</v>
      </c>
      <c r="J2682" s="19">
        <v>0</v>
      </c>
      <c r="K2682" s="19">
        <v>5</v>
      </c>
      <c r="L2682" s="19" t="s">
        <v>17</v>
      </c>
      <c r="M2682" s="21">
        <v>9.6999999999999993</v>
      </c>
      <c r="N2682">
        <f t="shared" si="41"/>
        <v>1</v>
      </c>
    </row>
    <row r="2683" spans="1:14" x14ac:dyDescent="0.35">
      <c r="A2683" s="22" t="s">
        <v>2753</v>
      </c>
      <c r="B2683" s="23" t="s">
        <v>89</v>
      </c>
      <c r="C2683" s="23">
        <v>11</v>
      </c>
      <c r="D2683" s="24">
        <v>45963</v>
      </c>
      <c r="E2683" s="23" t="s">
        <v>25</v>
      </c>
      <c r="F2683" s="23" t="s">
        <v>14</v>
      </c>
      <c r="G2683" s="23" t="s">
        <v>27</v>
      </c>
      <c r="H2683" s="23" t="s">
        <v>32</v>
      </c>
      <c r="I2683" s="23">
        <v>8</v>
      </c>
      <c r="J2683" s="23">
        <v>0</v>
      </c>
      <c r="K2683" s="23">
        <v>4</v>
      </c>
      <c r="L2683" s="23" t="s">
        <v>8363</v>
      </c>
      <c r="M2683" s="25"/>
      <c r="N2683">
        <f t="shared" si="41"/>
        <v>1</v>
      </c>
    </row>
    <row r="2684" spans="1:14" x14ac:dyDescent="0.35">
      <c r="A2684" s="6" t="s">
        <v>2754</v>
      </c>
      <c r="B2684" s="19" t="s">
        <v>41</v>
      </c>
      <c r="C2684" s="19">
        <v>11</v>
      </c>
      <c r="D2684" s="20">
        <v>45973</v>
      </c>
      <c r="E2684" s="19" t="s">
        <v>36</v>
      </c>
      <c r="F2684" s="19" t="s">
        <v>43</v>
      </c>
      <c r="G2684" s="19" t="s">
        <v>21</v>
      </c>
      <c r="H2684" s="19" t="s">
        <v>8364</v>
      </c>
      <c r="I2684" s="19">
        <v>72</v>
      </c>
      <c r="J2684" s="19">
        <v>0</v>
      </c>
      <c r="K2684" s="19">
        <v>5</v>
      </c>
      <c r="L2684" s="19" t="s">
        <v>62</v>
      </c>
      <c r="M2684" s="21">
        <v>10.1</v>
      </c>
      <c r="N2684">
        <f t="shared" si="41"/>
        <v>1</v>
      </c>
    </row>
    <row r="2685" spans="1:14" x14ac:dyDescent="0.35">
      <c r="A2685" s="22" t="s">
        <v>2755</v>
      </c>
      <c r="B2685" s="23" t="s">
        <v>101</v>
      </c>
      <c r="C2685" s="23">
        <v>4</v>
      </c>
      <c r="D2685" s="24">
        <v>45777</v>
      </c>
      <c r="E2685" s="23" t="s">
        <v>20</v>
      </c>
      <c r="F2685" s="23" t="s">
        <v>43</v>
      </c>
      <c r="G2685" s="23" t="s">
        <v>15</v>
      </c>
      <c r="H2685" s="23" t="s">
        <v>32</v>
      </c>
      <c r="I2685" s="23">
        <v>72</v>
      </c>
      <c r="J2685" s="23">
        <v>0</v>
      </c>
      <c r="K2685" s="23">
        <v>4</v>
      </c>
      <c r="L2685" s="23" t="s">
        <v>75</v>
      </c>
      <c r="M2685" s="25">
        <v>14</v>
      </c>
      <c r="N2685">
        <f t="shared" si="41"/>
        <v>1</v>
      </c>
    </row>
    <row r="2686" spans="1:14" x14ac:dyDescent="0.35">
      <c r="A2686" s="6" t="s">
        <v>2756</v>
      </c>
      <c r="B2686" s="19" t="s">
        <v>23</v>
      </c>
      <c r="C2686" s="19">
        <v>10</v>
      </c>
      <c r="D2686" s="20">
        <v>45950</v>
      </c>
      <c r="E2686" s="19" t="s">
        <v>25</v>
      </c>
      <c r="F2686" s="19" t="s">
        <v>40</v>
      </c>
      <c r="G2686" s="19" t="s">
        <v>15</v>
      </c>
      <c r="H2686" s="19" t="s">
        <v>28</v>
      </c>
      <c r="I2686" s="19">
        <v>24</v>
      </c>
      <c r="J2686" s="19">
        <v>0</v>
      </c>
      <c r="K2686" s="19">
        <v>4</v>
      </c>
      <c r="L2686" s="19" t="s">
        <v>17</v>
      </c>
      <c r="M2686" s="21">
        <v>20.8</v>
      </c>
      <c r="N2686">
        <f t="shared" si="41"/>
        <v>1</v>
      </c>
    </row>
    <row r="2687" spans="1:14" x14ac:dyDescent="0.35">
      <c r="A2687" s="22" t="s">
        <v>2757</v>
      </c>
      <c r="B2687" s="23" t="s">
        <v>143</v>
      </c>
      <c r="C2687" s="23">
        <v>5</v>
      </c>
      <c r="D2687" s="24">
        <v>45793</v>
      </c>
      <c r="E2687" s="23" t="s">
        <v>36</v>
      </c>
      <c r="F2687" s="23" t="s">
        <v>43</v>
      </c>
      <c r="G2687" s="23" t="s">
        <v>31</v>
      </c>
      <c r="H2687" s="23" t="s">
        <v>8364</v>
      </c>
      <c r="I2687" s="23">
        <v>24</v>
      </c>
      <c r="J2687" s="23">
        <v>0</v>
      </c>
      <c r="K2687" s="23">
        <v>5</v>
      </c>
      <c r="L2687" s="23" t="s">
        <v>38</v>
      </c>
      <c r="M2687" s="25">
        <v>1.6</v>
      </c>
      <c r="N2687">
        <f t="shared" si="41"/>
        <v>1</v>
      </c>
    </row>
    <row r="2688" spans="1:14" x14ac:dyDescent="0.35">
      <c r="A2688" s="6" t="s">
        <v>2758</v>
      </c>
      <c r="B2688" s="19" t="s">
        <v>130</v>
      </c>
      <c r="C2688" s="19">
        <v>9</v>
      </c>
      <c r="D2688" s="20">
        <v>45926</v>
      </c>
      <c r="E2688" s="19" t="s">
        <v>36</v>
      </c>
      <c r="F2688" s="19" t="s">
        <v>43</v>
      </c>
      <c r="G2688" s="19" t="s">
        <v>31</v>
      </c>
      <c r="H2688" s="19" t="s">
        <v>32</v>
      </c>
      <c r="I2688" s="19">
        <v>24</v>
      </c>
      <c r="J2688" s="19">
        <v>2</v>
      </c>
      <c r="K2688" s="19">
        <v>3</v>
      </c>
      <c r="L2688" s="19" t="s">
        <v>17</v>
      </c>
      <c r="M2688" s="21"/>
      <c r="N2688">
        <f t="shared" si="41"/>
        <v>1</v>
      </c>
    </row>
    <row r="2689" spans="1:14" x14ac:dyDescent="0.35">
      <c r="A2689" s="22" t="s">
        <v>2759</v>
      </c>
      <c r="B2689" s="23" t="s">
        <v>97</v>
      </c>
      <c r="C2689" s="23">
        <v>2</v>
      </c>
      <c r="D2689" s="24">
        <v>45708</v>
      </c>
      <c r="E2689" s="23" t="s">
        <v>8364</v>
      </c>
      <c r="F2689" s="23" t="s">
        <v>43</v>
      </c>
      <c r="G2689" s="23" t="s">
        <v>15</v>
      </c>
      <c r="H2689" s="23" t="s">
        <v>22</v>
      </c>
      <c r="I2689" s="23">
        <v>72</v>
      </c>
      <c r="J2689" s="23">
        <v>0</v>
      </c>
      <c r="K2689" s="23">
        <v>3</v>
      </c>
      <c r="L2689" s="23" t="s">
        <v>55</v>
      </c>
      <c r="M2689" s="25">
        <v>5.8</v>
      </c>
      <c r="N2689">
        <f t="shared" si="41"/>
        <v>1</v>
      </c>
    </row>
    <row r="2690" spans="1:14" x14ac:dyDescent="0.35">
      <c r="A2690" s="6" t="s">
        <v>2760</v>
      </c>
      <c r="B2690" s="19" t="s">
        <v>181</v>
      </c>
      <c r="C2690" s="19">
        <v>8</v>
      </c>
      <c r="D2690" s="20">
        <v>45877</v>
      </c>
      <c r="E2690" s="19" t="s">
        <v>20</v>
      </c>
      <c r="F2690" s="19" t="s">
        <v>8364</v>
      </c>
      <c r="G2690" s="19" t="s">
        <v>31</v>
      </c>
      <c r="H2690" s="19" t="s">
        <v>32</v>
      </c>
      <c r="I2690" s="19">
        <v>24</v>
      </c>
      <c r="J2690" s="19">
        <v>0</v>
      </c>
      <c r="K2690" s="19">
        <v>4</v>
      </c>
      <c r="L2690" s="19" t="s">
        <v>44</v>
      </c>
      <c r="M2690" s="21">
        <v>5.6</v>
      </c>
      <c r="N2690">
        <f t="shared" si="41"/>
        <v>1</v>
      </c>
    </row>
    <row r="2691" spans="1:14" x14ac:dyDescent="0.35">
      <c r="A2691" s="22" t="s">
        <v>2761</v>
      </c>
      <c r="B2691" s="23" t="s">
        <v>143</v>
      </c>
      <c r="C2691" s="23">
        <v>4</v>
      </c>
      <c r="D2691" s="24">
        <v>45759</v>
      </c>
      <c r="E2691" s="23" t="s">
        <v>36</v>
      </c>
      <c r="F2691" s="23" t="s">
        <v>43</v>
      </c>
      <c r="G2691" s="23" t="s">
        <v>27</v>
      </c>
      <c r="H2691" s="23" t="s">
        <v>8364</v>
      </c>
      <c r="I2691" s="23">
        <v>48</v>
      </c>
      <c r="J2691" s="23">
        <v>1</v>
      </c>
      <c r="K2691" s="23">
        <v>5</v>
      </c>
      <c r="L2691" s="23" t="s">
        <v>8363</v>
      </c>
      <c r="M2691" s="25">
        <v>16.899999999999999</v>
      </c>
      <c r="N2691">
        <f t="shared" ref="N2691:N2754" si="42">IF(M2691 &lt;= I2691, 1, 0)</f>
        <v>1</v>
      </c>
    </row>
    <row r="2692" spans="1:14" x14ac:dyDescent="0.35">
      <c r="A2692" s="6" t="s">
        <v>2762</v>
      </c>
      <c r="B2692" s="19" t="s">
        <v>126</v>
      </c>
      <c r="C2692" s="19">
        <v>12</v>
      </c>
      <c r="D2692" s="20">
        <v>46013</v>
      </c>
      <c r="E2692" s="19" t="s">
        <v>25</v>
      </c>
      <c r="F2692" s="19" t="s">
        <v>43</v>
      </c>
      <c r="G2692" s="19" t="s">
        <v>27</v>
      </c>
      <c r="H2692" s="19" t="s">
        <v>28</v>
      </c>
      <c r="I2692" s="19">
        <v>4</v>
      </c>
      <c r="J2692" s="19">
        <v>1</v>
      </c>
      <c r="K2692" s="19">
        <v>3</v>
      </c>
      <c r="L2692" s="19" t="s">
        <v>33</v>
      </c>
      <c r="M2692" s="21">
        <v>13.4</v>
      </c>
      <c r="N2692">
        <f t="shared" si="42"/>
        <v>0</v>
      </c>
    </row>
    <row r="2693" spans="1:14" x14ac:dyDescent="0.35">
      <c r="A2693" s="22" t="s">
        <v>2763</v>
      </c>
      <c r="B2693" s="23" t="s">
        <v>130</v>
      </c>
      <c r="C2693" s="23">
        <v>12</v>
      </c>
      <c r="D2693" s="24">
        <v>46013</v>
      </c>
      <c r="E2693" s="23" t="s">
        <v>36</v>
      </c>
      <c r="F2693" s="23" t="s">
        <v>14</v>
      </c>
      <c r="G2693" s="23" t="s">
        <v>27</v>
      </c>
      <c r="H2693" s="23" t="s">
        <v>22</v>
      </c>
      <c r="I2693" s="23">
        <v>4</v>
      </c>
      <c r="J2693" s="23">
        <v>3</v>
      </c>
      <c r="K2693" s="23">
        <v>3</v>
      </c>
      <c r="L2693" s="23" t="s">
        <v>75</v>
      </c>
      <c r="M2693" s="25">
        <v>5.9</v>
      </c>
      <c r="N2693">
        <f t="shared" si="42"/>
        <v>0</v>
      </c>
    </row>
    <row r="2694" spans="1:14" x14ac:dyDescent="0.35">
      <c r="A2694" s="6" t="s">
        <v>2764</v>
      </c>
      <c r="B2694" s="19" t="s">
        <v>181</v>
      </c>
      <c r="C2694" s="19">
        <v>8</v>
      </c>
      <c r="D2694" s="20">
        <v>45881</v>
      </c>
      <c r="E2694" s="19" t="s">
        <v>8364</v>
      </c>
      <c r="F2694" s="19" t="s">
        <v>26</v>
      </c>
      <c r="G2694" s="19" t="s">
        <v>27</v>
      </c>
      <c r="H2694" s="19" t="s">
        <v>32</v>
      </c>
      <c r="I2694" s="19">
        <v>24</v>
      </c>
      <c r="J2694" s="19">
        <v>0</v>
      </c>
      <c r="K2694" s="19">
        <v>5</v>
      </c>
      <c r="L2694" s="19" t="s">
        <v>17</v>
      </c>
      <c r="M2694" s="21">
        <v>25.3</v>
      </c>
      <c r="N2694">
        <f t="shared" si="42"/>
        <v>0</v>
      </c>
    </row>
    <row r="2695" spans="1:14" x14ac:dyDescent="0.35">
      <c r="A2695" s="22" t="s">
        <v>2765</v>
      </c>
      <c r="B2695" s="23" t="s">
        <v>81</v>
      </c>
      <c r="C2695" s="23">
        <v>2</v>
      </c>
      <c r="D2695" s="24">
        <v>45695</v>
      </c>
      <c r="E2695" s="23" t="s">
        <v>13</v>
      </c>
      <c r="F2695" s="23" t="s">
        <v>8364</v>
      </c>
      <c r="G2695" s="23" t="s">
        <v>27</v>
      </c>
      <c r="H2695" s="23" t="s">
        <v>8364</v>
      </c>
      <c r="I2695" s="23">
        <v>48</v>
      </c>
      <c r="J2695" s="23">
        <v>1</v>
      </c>
      <c r="K2695" s="23">
        <v>3</v>
      </c>
      <c r="L2695" s="23" t="s">
        <v>33</v>
      </c>
      <c r="M2695" s="25">
        <v>6.3</v>
      </c>
      <c r="N2695">
        <f t="shared" si="42"/>
        <v>1</v>
      </c>
    </row>
    <row r="2696" spans="1:14" x14ac:dyDescent="0.35">
      <c r="A2696" s="6" t="s">
        <v>2766</v>
      </c>
      <c r="B2696" s="19" t="s">
        <v>99</v>
      </c>
      <c r="C2696" s="19">
        <v>11</v>
      </c>
      <c r="D2696" s="20">
        <v>45969</v>
      </c>
      <c r="E2696" s="19" t="s">
        <v>36</v>
      </c>
      <c r="F2696" s="19" t="s">
        <v>37</v>
      </c>
      <c r="G2696" s="19" t="s">
        <v>21</v>
      </c>
      <c r="H2696" s="19" t="s">
        <v>32</v>
      </c>
      <c r="I2696" s="19">
        <v>72</v>
      </c>
      <c r="J2696" s="19">
        <v>0</v>
      </c>
      <c r="K2696" s="19">
        <v>4</v>
      </c>
      <c r="L2696" s="19" t="s">
        <v>8363</v>
      </c>
      <c r="M2696" s="21">
        <v>23.6</v>
      </c>
      <c r="N2696">
        <f t="shared" si="42"/>
        <v>1</v>
      </c>
    </row>
    <row r="2697" spans="1:14" x14ac:dyDescent="0.35">
      <c r="A2697" s="22" t="s">
        <v>2767</v>
      </c>
      <c r="B2697" s="23" t="s">
        <v>45</v>
      </c>
      <c r="C2697" s="23">
        <v>12</v>
      </c>
      <c r="D2697" s="24">
        <v>46004</v>
      </c>
      <c r="E2697" s="23" t="s">
        <v>20</v>
      </c>
      <c r="F2697" s="23" t="s">
        <v>40</v>
      </c>
      <c r="G2697" s="23" t="s">
        <v>21</v>
      </c>
      <c r="H2697" s="23" t="s">
        <v>28</v>
      </c>
      <c r="I2697" s="23">
        <v>4</v>
      </c>
      <c r="J2697" s="23">
        <v>0</v>
      </c>
      <c r="K2697" s="23">
        <v>4</v>
      </c>
      <c r="L2697" s="23" t="s">
        <v>33</v>
      </c>
      <c r="M2697" s="25">
        <v>5.7</v>
      </c>
      <c r="N2697">
        <f t="shared" si="42"/>
        <v>0</v>
      </c>
    </row>
    <row r="2698" spans="1:14" x14ac:dyDescent="0.35">
      <c r="A2698" s="6" t="s">
        <v>2768</v>
      </c>
      <c r="B2698" s="19" t="s">
        <v>23</v>
      </c>
      <c r="C2698" s="19">
        <v>9</v>
      </c>
      <c r="D2698" s="20">
        <v>45909</v>
      </c>
      <c r="E2698" s="19" t="s">
        <v>13</v>
      </c>
      <c r="F2698" s="19" t="s">
        <v>43</v>
      </c>
      <c r="G2698" s="19" t="s">
        <v>31</v>
      </c>
      <c r="H2698" s="19" t="s">
        <v>22</v>
      </c>
      <c r="I2698" s="19">
        <v>24</v>
      </c>
      <c r="J2698" s="19">
        <v>0</v>
      </c>
      <c r="K2698" s="19">
        <v>3</v>
      </c>
      <c r="L2698" s="19" t="s">
        <v>62</v>
      </c>
      <c r="M2698" s="21">
        <v>10</v>
      </c>
      <c r="N2698">
        <f t="shared" si="42"/>
        <v>1</v>
      </c>
    </row>
    <row r="2699" spans="1:14" x14ac:dyDescent="0.35">
      <c r="A2699" s="22" t="s">
        <v>2769</v>
      </c>
      <c r="B2699" s="23" t="s">
        <v>89</v>
      </c>
      <c r="C2699" s="23">
        <v>1</v>
      </c>
      <c r="D2699" s="24">
        <v>45668</v>
      </c>
      <c r="E2699" s="23" t="s">
        <v>25</v>
      </c>
      <c r="F2699" s="23" t="s">
        <v>40</v>
      </c>
      <c r="G2699" s="23" t="s">
        <v>21</v>
      </c>
      <c r="H2699" s="23" t="s">
        <v>28</v>
      </c>
      <c r="I2699" s="23">
        <v>48</v>
      </c>
      <c r="J2699" s="23">
        <v>2</v>
      </c>
      <c r="K2699" s="23">
        <v>3</v>
      </c>
      <c r="L2699" s="23" t="s">
        <v>8363</v>
      </c>
      <c r="M2699" s="25">
        <v>3.6</v>
      </c>
      <c r="N2699">
        <f t="shared" si="42"/>
        <v>1</v>
      </c>
    </row>
    <row r="2700" spans="1:14" x14ac:dyDescent="0.35">
      <c r="A2700" s="6" t="s">
        <v>2770</v>
      </c>
      <c r="B2700" s="19" t="s">
        <v>53</v>
      </c>
      <c r="C2700" s="19">
        <v>8</v>
      </c>
      <c r="D2700" s="20">
        <v>45893</v>
      </c>
      <c r="E2700" s="19" t="s">
        <v>20</v>
      </c>
      <c r="F2700" s="19" t="s">
        <v>14</v>
      </c>
      <c r="G2700" s="19" t="s">
        <v>21</v>
      </c>
      <c r="H2700" s="19" t="s">
        <v>28</v>
      </c>
      <c r="I2700" s="19">
        <v>4</v>
      </c>
      <c r="J2700" s="19">
        <v>0</v>
      </c>
      <c r="K2700" s="19">
        <v>4</v>
      </c>
      <c r="L2700" s="19" t="s">
        <v>55</v>
      </c>
      <c r="M2700" s="21">
        <v>90</v>
      </c>
      <c r="N2700">
        <f t="shared" si="42"/>
        <v>0</v>
      </c>
    </row>
    <row r="2701" spans="1:14" x14ac:dyDescent="0.35">
      <c r="A2701" s="22" t="s">
        <v>2771</v>
      </c>
      <c r="B2701" s="23" t="s">
        <v>89</v>
      </c>
      <c r="C2701" s="23">
        <v>5</v>
      </c>
      <c r="D2701" s="24">
        <v>45789</v>
      </c>
      <c r="E2701" s="23" t="s">
        <v>13</v>
      </c>
      <c r="F2701" s="23" t="s">
        <v>14</v>
      </c>
      <c r="G2701" s="23" t="s">
        <v>27</v>
      </c>
      <c r="H2701" s="23" t="s">
        <v>22</v>
      </c>
      <c r="I2701" s="23">
        <v>4</v>
      </c>
      <c r="J2701" s="23">
        <v>0</v>
      </c>
      <c r="K2701" s="23">
        <v>4</v>
      </c>
      <c r="L2701" s="23" t="s">
        <v>33</v>
      </c>
      <c r="M2701" s="25">
        <v>12.4</v>
      </c>
      <c r="N2701">
        <f t="shared" si="42"/>
        <v>0</v>
      </c>
    </row>
    <row r="2702" spans="1:14" x14ac:dyDescent="0.35">
      <c r="A2702" s="6" t="s">
        <v>2772</v>
      </c>
      <c r="B2702" s="19" t="s">
        <v>92</v>
      </c>
      <c r="C2702" s="19">
        <v>11</v>
      </c>
      <c r="D2702" s="20">
        <v>45974</v>
      </c>
      <c r="E2702" s="19" t="s">
        <v>36</v>
      </c>
      <c r="F2702" s="19" t="s">
        <v>40</v>
      </c>
      <c r="G2702" s="19" t="s">
        <v>31</v>
      </c>
      <c r="H2702" s="19" t="s">
        <v>22</v>
      </c>
      <c r="I2702" s="19">
        <v>72</v>
      </c>
      <c r="J2702" s="19">
        <v>0</v>
      </c>
      <c r="K2702" s="19"/>
      <c r="L2702" s="19" t="s">
        <v>75</v>
      </c>
      <c r="M2702" s="21">
        <v>8.8000000000000007</v>
      </c>
      <c r="N2702">
        <f t="shared" si="42"/>
        <v>1</v>
      </c>
    </row>
    <row r="2703" spans="1:14" x14ac:dyDescent="0.35">
      <c r="A2703" s="22" t="s">
        <v>2773</v>
      </c>
      <c r="B2703" s="23" t="s">
        <v>126</v>
      </c>
      <c r="C2703" s="23">
        <v>6</v>
      </c>
      <c r="D2703" s="24">
        <v>45817</v>
      </c>
      <c r="E2703" s="23" t="s">
        <v>13</v>
      </c>
      <c r="F2703" s="23" t="s">
        <v>8364</v>
      </c>
      <c r="G2703" s="23" t="s">
        <v>8364</v>
      </c>
      <c r="H2703" s="23" t="s">
        <v>22</v>
      </c>
      <c r="I2703" s="23">
        <v>72</v>
      </c>
      <c r="J2703" s="23">
        <v>0</v>
      </c>
      <c r="K2703" s="23">
        <v>4</v>
      </c>
      <c r="L2703" s="23" t="s">
        <v>38</v>
      </c>
      <c r="M2703" s="25">
        <v>22.4</v>
      </c>
      <c r="N2703">
        <f t="shared" si="42"/>
        <v>1</v>
      </c>
    </row>
    <row r="2704" spans="1:14" x14ac:dyDescent="0.35">
      <c r="A2704" s="6" t="s">
        <v>2774</v>
      </c>
      <c r="B2704" s="19" t="s">
        <v>41</v>
      </c>
      <c r="C2704" s="19">
        <v>2</v>
      </c>
      <c r="D2704" s="20">
        <v>45715</v>
      </c>
      <c r="E2704" s="19" t="s">
        <v>25</v>
      </c>
      <c r="F2704" s="19" t="s">
        <v>14</v>
      </c>
      <c r="G2704" s="19" t="s">
        <v>31</v>
      </c>
      <c r="H2704" s="19" t="s">
        <v>22</v>
      </c>
      <c r="I2704" s="19">
        <v>4</v>
      </c>
      <c r="J2704" s="19">
        <v>2</v>
      </c>
      <c r="K2704" s="19">
        <v>4</v>
      </c>
      <c r="L2704" s="19" t="s">
        <v>38</v>
      </c>
      <c r="M2704" s="21">
        <v>8.5</v>
      </c>
      <c r="N2704">
        <f t="shared" si="42"/>
        <v>0</v>
      </c>
    </row>
    <row r="2705" spans="1:14" x14ac:dyDescent="0.35">
      <c r="A2705" s="22" t="s">
        <v>2775</v>
      </c>
      <c r="B2705" s="23" t="s">
        <v>92</v>
      </c>
      <c r="C2705" s="23">
        <v>8</v>
      </c>
      <c r="D2705" s="24">
        <v>45879</v>
      </c>
      <c r="E2705" s="23" t="s">
        <v>25</v>
      </c>
      <c r="F2705" s="23" t="s">
        <v>26</v>
      </c>
      <c r="G2705" s="23" t="s">
        <v>21</v>
      </c>
      <c r="H2705" s="23" t="s">
        <v>16</v>
      </c>
      <c r="I2705" s="23">
        <v>4</v>
      </c>
      <c r="J2705" s="23">
        <v>0</v>
      </c>
      <c r="K2705" s="23">
        <v>5</v>
      </c>
      <c r="L2705" s="23" t="s">
        <v>8363</v>
      </c>
      <c r="M2705" s="25">
        <v>18.899999999999999</v>
      </c>
      <c r="N2705">
        <f t="shared" si="42"/>
        <v>0</v>
      </c>
    </row>
    <row r="2706" spans="1:14" x14ac:dyDescent="0.35">
      <c r="A2706" s="6" t="s">
        <v>2776</v>
      </c>
      <c r="B2706" s="19" t="s">
        <v>104</v>
      </c>
      <c r="C2706" s="19">
        <v>11</v>
      </c>
      <c r="D2706" s="20">
        <v>45965</v>
      </c>
      <c r="E2706" s="19" t="s">
        <v>20</v>
      </c>
      <c r="F2706" s="19" t="s">
        <v>14</v>
      </c>
      <c r="G2706" s="19" t="s">
        <v>31</v>
      </c>
      <c r="H2706" s="19" t="s">
        <v>28</v>
      </c>
      <c r="I2706" s="19">
        <v>24</v>
      </c>
      <c r="J2706" s="19">
        <v>0</v>
      </c>
      <c r="K2706" s="19">
        <v>4</v>
      </c>
      <c r="L2706" s="19" t="s">
        <v>8363</v>
      </c>
      <c r="M2706" s="21">
        <v>11</v>
      </c>
      <c r="N2706">
        <f t="shared" si="42"/>
        <v>1</v>
      </c>
    </row>
    <row r="2707" spans="1:14" x14ac:dyDescent="0.35">
      <c r="A2707" s="22" t="s">
        <v>2777</v>
      </c>
      <c r="B2707" s="23" t="s">
        <v>126</v>
      </c>
      <c r="C2707" s="23">
        <v>11</v>
      </c>
      <c r="D2707" s="24">
        <v>45988</v>
      </c>
      <c r="E2707" s="23" t="s">
        <v>25</v>
      </c>
      <c r="F2707" s="23" t="s">
        <v>14</v>
      </c>
      <c r="G2707" s="23" t="s">
        <v>15</v>
      </c>
      <c r="H2707" s="23" t="s">
        <v>22</v>
      </c>
      <c r="I2707" s="23">
        <v>48</v>
      </c>
      <c r="J2707" s="23">
        <v>0</v>
      </c>
      <c r="K2707" s="23">
        <v>1</v>
      </c>
      <c r="L2707" s="23" t="s">
        <v>8363</v>
      </c>
      <c r="M2707" s="25">
        <v>20.100000000000001</v>
      </c>
      <c r="N2707">
        <f t="shared" si="42"/>
        <v>1</v>
      </c>
    </row>
    <row r="2708" spans="1:14" x14ac:dyDescent="0.35">
      <c r="A2708" s="6" t="s">
        <v>2778</v>
      </c>
      <c r="B2708" s="19" t="s">
        <v>87</v>
      </c>
      <c r="C2708" s="19">
        <v>1</v>
      </c>
      <c r="D2708" s="20">
        <v>45684</v>
      </c>
      <c r="E2708" s="19" t="s">
        <v>20</v>
      </c>
      <c r="F2708" s="19" t="s">
        <v>14</v>
      </c>
      <c r="G2708" s="19" t="s">
        <v>15</v>
      </c>
      <c r="H2708" s="19" t="s">
        <v>22</v>
      </c>
      <c r="I2708" s="19">
        <v>48</v>
      </c>
      <c r="J2708" s="19">
        <v>1</v>
      </c>
      <c r="K2708" s="19">
        <v>3</v>
      </c>
      <c r="L2708" s="19" t="s">
        <v>55</v>
      </c>
      <c r="M2708" s="21">
        <v>6.9</v>
      </c>
      <c r="N2708">
        <f t="shared" si="42"/>
        <v>1</v>
      </c>
    </row>
    <row r="2709" spans="1:14" x14ac:dyDescent="0.35">
      <c r="A2709" s="22" t="s">
        <v>2779</v>
      </c>
      <c r="B2709" s="23" t="s">
        <v>78</v>
      </c>
      <c r="C2709" s="23">
        <v>9</v>
      </c>
      <c r="D2709" s="24">
        <v>45919</v>
      </c>
      <c r="E2709" s="23" t="s">
        <v>68</v>
      </c>
      <c r="F2709" s="23" t="s">
        <v>14</v>
      </c>
      <c r="G2709" s="23" t="s">
        <v>31</v>
      </c>
      <c r="H2709" s="23" t="s">
        <v>22</v>
      </c>
      <c r="I2709" s="23">
        <v>8</v>
      </c>
      <c r="J2709" s="23">
        <v>0</v>
      </c>
      <c r="K2709" s="23">
        <v>5</v>
      </c>
      <c r="L2709" s="23" t="s">
        <v>38</v>
      </c>
      <c r="M2709" s="25">
        <v>16.3</v>
      </c>
      <c r="N2709">
        <f t="shared" si="42"/>
        <v>0</v>
      </c>
    </row>
    <row r="2710" spans="1:14" x14ac:dyDescent="0.35">
      <c r="A2710" s="6" t="s">
        <v>2780</v>
      </c>
      <c r="B2710" s="19" t="s">
        <v>41</v>
      </c>
      <c r="C2710" s="19"/>
      <c r="D2710" s="20"/>
      <c r="E2710" s="19" t="s">
        <v>8364</v>
      </c>
      <c r="F2710" s="19" t="s">
        <v>14</v>
      </c>
      <c r="G2710" s="19" t="s">
        <v>31</v>
      </c>
      <c r="H2710" s="19" t="s">
        <v>32</v>
      </c>
      <c r="I2710" s="19">
        <v>48</v>
      </c>
      <c r="J2710" s="19">
        <v>1</v>
      </c>
      <c r="K2710" s="19">
        <v>5</v>
      </c>
      <c r="L2710" s="19" t="s">
        <v>33</v>
      </c>
      <c r="M2710" s="21">
        <v>13.6</v>
      </c>
      <c r="N2710">
        <f t="shared" si="42"/>
        <v>1</v>
      </c>
    </row>
    <row r="2711" spans="1:14" x14ac:dyDescent="0.35">
      <c r="A2711" s="22" t="s">
        <v>2781</v>
      </c>
      <c r="B2711" s="23" t="s">
        <v>72</v>
      </c>
      <c r="C2711" s="23">
        <v>5</v>
      </c>
      <c r="D2711" s="24">
        <v>45804</v>
      </c>
      <c r="E2711" s="23" t="s">
        <v>13</v>
      </c>
      <c r="F2711" s="23" t="s">
        <v>14</v>
      </c>
      <c r="G2711" s="23" t="s">
        <v>31</v>
      </c>
      <c r="H2711" s="23" t="s">
        <v>22</v>
      </c>
      <c r="I2711" s="23">
        <v>8</v>
      </c>
      <c r="J2711" s="23">
        <v>0</v>
      </c>
      <c r="K2711" s="23">
        <v>4</v>
      </c>
      <c r="L2711" s="23" t="s">
        <v>8363</v>
      </c>
      <c r="M2711" s="25">
        <v>1.7</v>
      </c>
      <c r="N2711">
        <f t="shared" si="42"/>
        <v>1</v>
      </c>
    </row>
    <row r="2712" spans="1:14" x14ac:dyDescent="0.35">
      <c r="A2712" s="6" t="s">
        <v>2782</v>
      </c>
      <c r="B2712" s="19" t="s">
        <v>87</v>
      </c>
      <c r="C2712" s="19">
        <v>3</v>
      </c>
      <c r="D2712" s="20">
        <v>45723</v>
      </c>
      <c r="E2712" s="19" t="s">
        <v>25</v>
      </c>
      <c r="F2712" s="19" t="s">
        <v>14</v>
      </c>
      <c r="G2712" s="19" t="s">
        <v>31</v>
      </c>
      <c r="H2712" s="19" t="s">
        <v>22</v>
      </c>
      <c r="I2712" s="19">
        <v>48</v>
      </c>
      <c r="J2712" s="19">
        <v>0</v>
      </c>
      <c r="K2712" s="19">
        <v>3</v>
      </c>
      <c r="L2712" s="19" t="s">
        <v>75</v>
      </c>
      <c r="M2712" s="21">
        <v>17.8</v>
      </c>
      <c r="N2712">
        <f t="shared" si="42"/>
        <v>1</v>
      </c>
    </row>
    <row r="2713" spans="1:14" x14ac:dyDescent="0.35">
      <c r="A2713" s="22" t="s">
        <v>2783</v>
      </c>
      <c r="B2713" s="23" t="s">
        <v>139</v>
      </c>
      <c r="C2713" s="23">
        <v>6</v>
      </c>
      <c r="D2713" s="24">
        <v>45816</v>
      </c>
      <c r="E2713" s="23" t="s">
        <v>68</v>
      </c>
      <c r="F2713" s="23" t="s">
        <v>59</v>
      </c>
      <c r="G2713" s="23" t="s">
        <v>15</v>
      </c>
      <c r="H2713" s="23" t="s">
        <v>32</v>
      </c>
      <c r="I2713" s="23">
        <v>24</v>
      </c>
      <c r="J2713" s="23">
        <v>0</v>
      </c>
      <c r="K2713" s="23">
        <v>4</v>
      </c>
      <c r="L2713" s="23" t="s">
        <v>38</v>
      </c>
      <c r="M2713" s="25">
        <v>7.2</v>
      </c>
      <c r="N2713">
        <f t="shared" si="42"/>
        <v>1</v>
      </c>
    </row>
    <row r="2714" spans="1:14" x14ac:dyDescent="0.35">
      <c r="A2714" s="6" t="s">
        <v>2784</v>
      </c>
      <c r="B2714" s="19" t="s">
        <v>146</v>
      </c>
      <c r="C2714" s="19">
        <v>1</v>
      </c>
      <c r="D2714" s="20">
        <v>45673</v>
      </c>
      <c r="E2714" s="19" t="s">
        <v>25</v>
      </c>
      <c r="F2714" s="19" t="s">
        <v>43</v>
      </c>
      <c r="G2714" s="19" t="s">
        <v>27</v>
      </c>
      <c r="H2714" s="19" t="s">
        <v>22</v>
      </c>
      <c r="I2714" s="19">
        <v>8</v>
      </c>
      <c r="J2714" s="19">
        <v>0</v>
      </c>
      <c r="K2714" s="19">
        <v>4</v>
      </c>
      <c r="L2714" s="19" t="s">
        <v>38</v>
      </c>
      <c r="M2714" s="21">
        <v>9.6999999999999993</v>
      </c>
      <c r="N2714">
        <f t="shared" si="42"/>
        <v>0</v>
      </c>
    </row>
    <row r="2715" spans="1:14" x14ac:dyDescent="0.35">
      <c r="A2715" s="22" t="s">
        <v>2785</v>
      </c>
      <c r="B2715" s="23" t="s">
        <v>47</v>
      </c>
      <c r="C2715" s="23">
        <v>11</v>
      </c>
      <c r="D2715" s="24">
        <v>45972</v>
      </c>
      <c r="E2715" s="23" t="s">
        <v>36</v>
      </c>
      <c r="F2715" s="23" t="s">
        <v>43</v>
      </c>
      <c r="G2715" s="23" t="s">
        <v>31</v>
      </c>
      <c r="H2715" s="23" t="s">
        <v>22</v>
      </c>
      <c r="I2715" s="23">
        <v>48</v>
      </c>
      <c r="J2715" s="23"/>
      <c r="K2715" s="23">
        <v>4</v>
      </c>
      <c r="L2715" s="23" t="s">
        <v>17</v>
      </c>
      <c r="M2715" s="25">
        <v>13.5</v>
      </c>
      <c r="N2715">
        <f t="shared" si="42"/>
        <v>1</v>
      </c>
    </row>
    <row r="2716" spans="1:14" x14ac:dyDescent="0.35">
      <c r="A2716" s="6" t="s">
        <v>2786</v>
      </c>
      <c r="B2716" s="19" t="s">
        <v>97</v>
      </c>
      <c r="C2716" s="19">
        <v>11</v>
      </c>
      <c r="D2716" s="20">
        <v>45985</v>
      </c>
      <c r="E2716" s="19" t="s">
        <v>25</v>
      </c>
      <c r="F2716" s="19" t="s">
        <v>43</v>
      </c>
      <c r="G2716" s="19" t="s">
        <v>27</v>
      </c>
      <c r="H2716" s="19" t="s">
        <v>8364</v>
      </c>
      <c r="I2716" s="19">
        <v>24</v>
      </c>
      <c r="J2716" s="19">
        <v>0</v>
      </c>
      <c r="K2716" s="19">
        <v>4</v>
      </c>
      <c r="L2716" s="19" t="s">
        <v>62</v>
      </c>
      <c r="M2716" s="21">
        <v>10.199999999999999</v>
      </c>
      <c r="N2716">
        <f t="shared" si="42"/>
        <v>1</v>
      </c>
    </row>
    <row r="2717" spans="1:14" x14ac:dyDescent="0.35">
      <c r="A2717" s="22" t="s">
        <v>2787</v>
      </c>
      <c r="B2717" s="23" t="s">
        <v>143</v>
      </c>
      <c r="C2717" s="23">
        <v>11</v>
      </c>
      <c r="D2717" s="24">
        <v>45979</v>
      </c>
      <c r="E2717" s="23" t="s">
        <v>13</v>
      </c>
      <c r="F2717" s="23" t="s">
        <v>59</v>
      </c>
      <c r="G2717" s="23" t="s">
        <v>21</v>
      </c>
      <c r="H2717" s="23" t="s">
        <v>16</v>
      </c>
      <c r="I2717" s="23">
        <v>4</v>
      </c>
      <c r="J2717" s="23">
        <v>0</v>
      </c>
      <c r="K2717" s="23">
        <v>5</v>
      </c>
      <c r="L2717" s="23" t="s">
        <v>8363</v>
      </c>
      <c r="M2717" s="25">
        <v>3.9</v>
      </c>
      <c r="N2717">
        <f t="shared" si="42"/>
        <v>1</v>
      </c>
    </row>
    <row r="2718" spans="1:14" x14ac:dyDescent="0.35">
      <c r="A2718" s="6" t="s">
        <v>2788</v>
      </c>
      <c r="B2718" s="19" t="s">
        <v>143</v>
      </c>
      <c r="C2718" s="19"/>
      <c r="D2718" s="20"/>
      <c r="E2718" s="19" t="s">
        <v>20</v>
      </c>
      <c r="F2718" s="19" t="s">
        <v>14</v>
      </c>
      <c r="G2718" s="19" t="s">
        <v>8364</v>
      </c>
      <c r="H2718" s="19" t="s">
        <v>28</v>
      </c>
      <c r="I2718" s="19">
        <v>48</v>
      </c>
      <c r="J2718" s="19">
        <v>0</v>
      </c>
      <c r="K2718" s="19"/>
      <c r="L2718" s="19" t="s">
        <v>44</v>
      </c>
      <c r="M2718" s="21">
        <v>10.9</v>
      </c>
      <c r="N2718">
        <f t="shared" si="42"/>
        <v>1</v>
      </c>
    </row>
    <row r="2719" spans="1:14" x14ac:dyDescent="0.35">
      <c r="A2719" s="22" t="s">
        <v>2789</v>
      </c>
      <c r="B2719" s="23" t="s">
        <v>72</v>
      </c>
      <c r="C2719" s="23"/>
      <c r="D2719" s="24"/>
      <c r="E2719" s="23" t="s">
        <v>8364</v>
      </c>
      <c r="F2719" s="23" t="s">
        <v>59</v>
      </c>
      <c r="G2719" s="23" t="s">
        <v>15</v>
      </c>
      <c r="H2719" s="23" t="s">
        <v>8364</v>
      </c>
      <c r="I2719" s="23">
        <v>72</v>
      </c>
      <c r="J2719" s="23">
        <v>0</v>
      </c>
      <c r="K2719" s="23">
        <v>5</v>
      </c>
      <c r="L2719" s="23" t="s">
        <v>75</v>
      </c>
      <c r="M2719" s="25">
        <v>14.9</v>
      </c>
      <c r="N2719">
        <f t="shared" si="42"/>
        <v>1</v>
      </c>
    </row>
    <row r="2720" spans="1:14" x14ac:dyDescent="0.35">
      <c r="A2720" s="6" t="s">
        <v>2790</v>
      </c>
      <c r="B2720" s="19" t="s">
        <v>23</v>
      </c>
      <c r="C2720" s="19"/>
      <c r="D2720" s="20"/>
      <c r="E2720" s="19" t="s">
        <v>13</v>
      </c>
      <c r="F2720" s="19" t="s">
        <v>8364</v>
      </c>
      <c r="G2720" s="19" t="s">
        <v>31</v>
      </c>
      <c r="H2720" s="19" t="s">
        <v>28</v>
      </c>
      <c r="I2720" s="19">
        <v>8</v>
      </c>
      <c r="J2720" s="19">
        <v>0</v>
      </c>
      <c r="K2720" s="19">
        <v>4</v>
      </c>
      <c r="L2720" s="19" t="s">
        <v>8363</v>
      </c>
      <c r="M2720" s="21">
        <v>23.3</v>
      </c>
      <c r="N2720">
        <f t="shared" si="42"/>
        <v>0</v>
      </c>
    </row>
    <row r="2721" spans="1:14" x14ac:dyDescent="0.35">
      <c r="A2721" s="22" t="s">
        <v>2791</v>
      </c>
      <c r="B2721" s="23" t="s">
        <v>101</v>
      </c>
      <c r="C2721" s="23">
        <v>7</v>
      </c>
      <c r="D2721" s="24">
        <v>45847</v>
      </c>
      <c r="E2721" s="23" t="s">
        <v>25</v>
      </c>
      <c r="F2721" s="23" t="s">
        <v>26</v>
      </c>
      <c r="G2721" s="23" t="s">
        <v>21</v>
      </c>
      <c r="H2721" s="23" t="s">
        <v>22</v>
      </c>
      <c r="I2721" s="23">
        <v>72</v>
      </c>
      <c r="J2721" s="23">
        <v>0</v>
      </c>
      <c r="K2721" s="23">
        <v>5</v>
      </c>
      <c r="L2721" s="23" t="s">
        <v>8363</v>
      </c>
      <c r="M2721" s="25">
        <v>7</v>
      </c>
      <c r="N2721">
        <f t="shared" si="42"/>
        <v>1</v>
      </c>
    </row>
    <row r="2722" spans="1:14" x14ac:dyDescent="0.35">
      <c r="A2722" s="6" t="s">
        <v>2792</v>
      </c>
      <c r="B2722" s="19" t="s">
        <v>49</v>
      </c>
      <c r="C2722" s="19">
        <v>10</v>
      </c>
      <c r="D2722" s="20">
        <v>45961</v>
      </c>
      <c r="E2722" s="19" t="s">
        <v>13</v>
      </c>
      <c r="F2722" s="19" t="s">
        <v>43</v>
      </c>
      <c r="G2722" s="19" t="s">
        <v>27</v>
      </c>
      <c r="H2722" s="19" t="s">
        <v>28</v>
      </c>
      <c r="I2722" s="19">
        <v>4</v>
      </c>
      <c r="J2722" s="19">
        <v>1</v>
      </c>
      <c r="K2722" s="19">
        <v>3</v>
      </c>
      <c r="L2722" s="19" t="s">
        <v>38</v>
      </c>
      <c r="M2722" s="21">
        <v>7.8</v>
      </c>
      <c r="N2722">
        <f t="shared" si="42"/>
        <v>0</v>
      </c>
    </row>
    <row r="2723" spans="1:14" x14ac:dyDescent="0.35">
      <c r="A2723" s="22" t="s">
        <v>2793</v>
      </c>
      <c r="B2723" s="23" t="s">
        <v>39</v>
      </c>
      <c r="C2723" s="23">
        <v>3</v>
      </c>
      <c r="D2723" s="24">
        <v>45718</v>
      </c>
      <c r="E2723" s="23" t="s">
        <v>20</v>
      </c>
      <c r="F2723" s="23" t="s">
        <v>37</v>
      </c>
      <c r="G2723" s="23" t="s">
        <v>31</v>
      </c>
      <c r="H2723" s="23" t="s">
        <v>22</v>
      </c>
      <c r="I2723" s="23">
        <v>72</v>
      </c>
      <c r="J2723" s="23">
        <v>3</v>
      </c>
      <c r="K2723" s="23">
        <v>5</v>
      </c>
      <c r="L2723" s="23" t="s">
        <v>8363</v>
      </c>
      <c r="M2723" s="25">
        <v>5.8</v>
      </c>
      <c r="N2723">
        <f t="shared" si="42"/>
        <v>1</v>
      </c>
    </row>
    <row r="2724" spans="1:14" x14ac:dyDescent="0.35">
      <c r="A2724" s="6" t="s">
        <v>2794</v>
      </c>
      <c r="B2724" s="19" t="s">
        <v>69</v>
      </c>
      <c r="C2724" s="19">
        <v>3</v>
      </c>
      <c r="D2724" s="20">
        <v>45741</v>
      </c>
      <c r="E2724" s="19" t="s">
        <v>13</v>
      </c>
      <c r="F2724" s="19" t="s">
        <v>43</v>
      </c>
      <c r="G2724" s="19" t="s">
        <v>21</v>
      </c>
      <c r="H2724" s="19" t="s">
        <v>28</v>
      </c>
      <c r="I2724" s="19">
        <v>24</v>
      </c>
      <c r="J2724" s="19">
        <v>1</v>
      </c>
      <c r="K2724" s="19">
        <v>5</v>
      </c>
      <c r="L2724" s="19" t="s">
        <v>33</v>
      </c>
      <c r="M2724" s="21">
        <v>20</v>
      </c>
      <c r="N2724">
        <f t="shared" si="42"/>
        <v>1</v>
      </c>
    </row>
    <row r="2725" spans="1:14" x14ac:dyDescent="0.35">
      <c r="A2725" s="22" t="s">
        <v>2795</v>
      </c>
      <c r="B2725" s="23" t="s">
        <v>89</v>
      </c>
      <c r="C2725" s="23">
        <v>1</v>
      </c>
      <c r="D2725" s="24">
        <v>45680</v>
      </c>
      <c r="E2725" s="23" t="s">
        <v>68</v>
      </c>
      <c r="F2725" s="23" t="s">
        <v>59</v>
      </c>
      <c r="G2725" s="23" t="s">
        <v>31</v>
      </c>
      <c r="H2725" s="23" t="s">
        <v>22</v>
      </c>
      <c r="I2725" s="23">
        <v>48</v>
      </c>
      <c r="J2725" s="23">
        <v>0</v>
      </c>
      <c r="K2725" s="23">
        <v>2</v>
      </c>
      <c r="L2725" s="23" t="s">
        <v>8363</v>
      </c>
      <c r="M2725" s="25">
        <v>9.3000000000000007</v>
      </c>
      <c r="N2725">
        <f t="shared" si="42"/>
        <v>1</v>
      </c>
    </row>
    <row r="2726" spans="1:14" x14ac:dyDescent="0.35">
      <c r="A2726" s="6" t="s">
        <v>2796</v>
      </c>
      <c r="B2726" s="19" t="s">
        <v>23</v>
      </c>
      <c r="C2726" s="19">
        <v>4</v>
      </c>
      <c r="D2726" s="20">
        <v>45762</v>
      </c>
      <c r="E2726" s="19" t="s">
        <v>13</v>
      </c>
      <c r="F2726" s="19" t="s">
        <v>14</v>
      </c>
      <c r="G2726" s="19" t="s">
        <v>15</v>
      </c>
      <c r="H2726" s="19" t="s">
        <v>22</v>
      </c>
      <c r="I2726" s="19">
        <v>4</v>
      </c>
      <c r="J2726" s="19">
        <v>0</v>
      </c>
      <c r="K2726" s="19">
        <v>3</v>
      </c>
      <c r="L2726" s="19" t="s">
        <v>8363</v>
      </c>
      <c r="M2726" s="21">
        <v>23.4</v>
      </c>
      <c r="N2726">
        <f t="shared" si="42"/>
        <v>0</v>
      </c>
    </row>
    <row r="2727" spans="1:14" x14ac:dyDescent="0.35">
      <c r="A2727" s="22" t="s">
        <v>2797</v>
      </c>
      <c r="B2727" s="23" t="s">
        <v>57</v>
      </c>
      <c r="C2727" s="23"/>
      <c r="D2727" s="24"/>
      <c r="E2727" s="23" t="s">
        <v>25</v>
      </c>
      <c r="F2727" s="23" t="s">
        <v>37</v>
      </c>
      <c r="G2727" s="23" t="s">
        <v>31</v>
      </c>
      <c r="H2727" s="23" t="s">
        <v>32</v>
      </c>
      <c r="I2727" s="23">
        <v>8</v>
      </c>
      <c r="J2727" s="23">
        <v>1</v>
      </c>
      <c r="K2727" s="23">
        <v>4</v>
      </c>
      <c r="L2727" s="23" t="s">
        <v>8363</v>
      </c>
      <c r="M2727" s="25">
        <v>5</v>
      </c>
      <c r="N2727">
        <f t="shared" si="42"/>
        <v>1</v>
      </c>
    </row>
    <row r="2728" spans="1:14" x14ac:dyDescent="0.35">
      <c r="A2728" s="6" t="s">
        <v>2798</v>
      </c>
      <c r="B2728" s="19" t="s">
        <v>41</v>
      </c>
      <c r="C2728" s="19">
        <v>11</v>
      </c>
      <c r="D2728" s="20">
        <v>45974</v>
      </c>
      <c r="E2728" s="19" t="s">
        <v>8364</v>
      </c>
      <c r="F2728" s="19" t="s">
        <v>14</v>
      </c>
      <c r="G2728" s="19" t="s">
        <v>21</v>
      </c>
      <c r="H2728" s="19" t="s">
        <v>22</v>
      </c>
      <c r="I2728" s="19">
        <v>24</v>
      </c>
      <c r="J2728" s="19">
        <v>1</v>
      </c>
      <c r="K2728" s="19">
        <v>4</v>
      </c>
      <c r="L2728" s="19" t="s">
        <v>17</v>
      </c>
      <c r="M2728" s="21">
        <v>8.8000000000000007</v>
      </c>
      <c r="N2728">
        <f t="shared" si="42"/>
        <v>1</v>
      </c>
    </row>
    <row r="2729" spans="1:14" x14ac:dyDescent="0.35">
      <c r="A2729" s="22" t="s">
        <v>2799</v>
      </c>
      <c r="B2729" s="23" t="s">
        <v>81</v>
      </c>
      <c r="C2729" s="23">
        <v>3</v>
      </c>
      <c r="D2729" s="24">
        <v>45727</v>
      </c>
      <c r="E2729" s="23" t="s">
        <v>20</v>
      </c>
      <c r="F2729" s="23" t="s">
        <v>43</v>
      </c>
      <c r="G2729" s="23" t="s">
        <v>31</v>
      </c>
      <c r="H2729" s="23" t="s">
        <v>22</v>
      </c>
      <c r="I2729" s="23">
        <v>72</v>
      </c>
      <c r="J2729" s="23">
        <v>0</v>
      </c>
      <c r="K2729" s="23">
        <v>5</v>
      </c>
      <c r="L2729" s="23" t="s">
        <v>17</v>
      </c>
      <c r="M2729" s="25"/>
      <c r="N2729">
        <f t="shared" si="42"/>
        <v>1</v>
      </c>
    </row>
    <row r="2730" spans="1:14" x14ac:dyDescent="0.35">
      <c r="A2730" s="6" t="s">
        <v>2800</v>
      </c>
      <c r="B2730" s="19" t="s">
        <v>130</v>
      </c>
      <c r="C2730" s="19">
        <v>1</v>
      </c>
      <c r="D2730" s="20">
        <v>45670</v>
      </c>
      <c r="E2730" s="19" t="s">
        <v>36</v>
      </c>
      <c r="F2730" s="19" t="s">
        <v>43</v>
      </c>
      <c r="G2730" s="19" t="s">
        <v>8364</v>
      </c>
      <c r="H2730" s="19" t="s">
        <v>32</v>
      </c>
      <c r="I2730" s="19">
        <v>24</v>
      </c>
      <c r="J2730" s="19">
        <v>0</v>
      </c>
      <c r="K2730" s="19">
        <v>5</v>
      </c>
      <c r="L2730" s="19" t="s">
        <v>38</v>
      </c>
      <c r="M2730" s="21">
        <v>19.600000000000001</v>
      </c>
      <c r="N2730">
        <f t="shared" si="42"/>
        <v>1</v>
      </c>
    </row>
    <row r="2731" spans="1:14" x14ac:dyDescent="0.35">
      <c r="A2731" s="22" t="s">
        <v>2801</v>
      </c>
      <c r="B2731" s="23" t="s">
        <v>126</v>
      </c>
      <c r="C2731" s="23"/>
      <c r="D2731" s="24"/>
      <c r="E2731" s="23" t="s">
        <v>13</v>
      </c>
      <c r="F2731" s="23" t="s">
        <v>8364</v>
      </c>
      <c r="G2731" s="23" t="s">
        <v>15</v>
      </c>
      <c r="H2731" s="23" t="s">
        <v>32</v>
      </c>
      <c r="I2731" s="23">
        <v>4</v>
      </c>
      <c r="J2731" s="23">
        <v>0</v>
      </c>
      <c r="K2731" s="23"/>
      <c r="L2731" s="23" t="s">
        <v>55</v>
      </c>
      <c r="M2731" s="25">
        <v>2.2000000000000002</v>
      </c>
      <c r="N2731">
        <f t="shared" si="42"/>
        <v>1</v>
      </c>
    </row>
    <row r="2732" spans="1:14" x14ac:dyDescent="0.35">
      <c r="A2732" s="6" t="s">
        <v>2802</v>
      </c>
      <c r="B2732" s="19" t="s">
        <v>34</v>
      </c>
      <c r="C2732" s="19">
        <v>11</v>
      </c>
      <c r="D2732" s="20">
        <v>45977</v>
      </c>
      <c r="E2732" s="19" t="s">
        <v>25</v>
      </c>
      <c r="F2732" s="19" t="s">
        <v>14</v>
      </c>
      <c r="G2732" s="19" t="s">
        <v>27</v>
      </c>
      <c r="H2732" s="19" t="s">
        <v>32</v>
      </c>
      <c r="I2732" s="19">
        <v>48</v>
      </c>
      <c r="J2732" s="19">
        <v>1</v>
      </c>
      <c r="K2732" s="19">
        <v>4</v>
      </c>
      <c r="L2732" s="19" t="s">
        <v>75</v>
      </c>
      <c r="M2732" s="21">
        <v>8.6</v>
      </c>
      <c r="N2732">
        <f t="shared" si="42"/>
        <v>1</v>
      </c>
    </row>
    <row r="2733" spans="1:14" x14ac:dyDescent="0.35">
      <c r="A2733" s="22" t="s">
        <v>2803</v>
      </c>
      <c r="B2733" s="23" t="s">
        <v>158</v>
      </c>
      <c r="C2733" s="23">
        <v>6</v>
      </c>
      <c r="D2733" s="24">
        <v>45828</v>
      </c>
      <c r="E2733" s="23" t="s">
        <v>13</v>
      </c>
      <c r="F2733" s="23" t="s">
        <v>43</v>
      </c>
      <c r="G2733" s="23" t="s">
        <v>27</v>
      </c>
      <c r="H2733" s="23" t="s">
        <v>28</v>
      </c>
      <c r="I2733" s="23">
        <v>72</v>
      </c>
      <c r="J2733" s="23">
        <v>0</v>
      </c>
      <c r="K2733" s="23">
        <v>4</v>
      </c>
      <c r="L2733" s="23" t="s">
        <v>62</v>
      </c>
      <c r="M2733" s="25">
        <v>16.3</v>
      </c>
      <c r="N2733">
        <f t="shared" si="42"/>
        <v>1</v>
      </c>
    </row>
    <row r="2734" spans="1:14" x14ac:dyDescent="0.35">
      <c r="A2734" s="6" t="s">
        <v>2804</v>
      </c>
      <c r="B2734" s="19" t="s">
        <v>85</v>
      </c>
      <c r="C2734" s="19">
        <v>11</v>
      </c>
      <c r="D2734" s="20">
        <v>45984</v>
      </c>
      <c r="E2734" s="19" t="s">
        <v>25</v>
      </c>
      <c r="F2734" s="19" t="s">
        <v>26</v>
      </c>
      <c r="G2734" s="19" t="s">
        <v>8364</v>
      </c>
      <c r="H2734" s="19" t="s">
        <v>22</v>
      </c>
      <c r="I2734" s="19">
        <v>4</v>
      </c>
      <c r="J2734" s="19">
        <v>1</v>
      </c>
      <c r="K2734" s="19">
        <v>4</v>
      </c>
      <c r="L2734" s="19" t="s">
        <v>44</v>
      </c>
      <c r="M2734" s="21">
        <v>8.8000000000000007</v>
      </c>
      <c r="N2734">
        <f t="shared" si="42"/>
        <v>0</v>
      </c>
    </row>
    <row r="2735" spans="1:14" x14ac:dyDescent="0.35">
      <c r="A2735" s="22" t="s">
        <v>2805</v>
      </c>
      <c r="B2735" s="23" t="s">
        <v>65</v>
      </c>
      <c r="C2735" s="23">
        <v>4</v>
      </c>
      <c r="D2735" s="24">
        <v>45749</v>
      </c>
      <c r="E2735" s="23" t="s">
        <v>13</v>
      </c>
      <c r="F2735" s="23" t="s">
        <v>14</v>
      </c>
      <c r="G2735" s="23" t="s">
        <v>27</v>
      </c>
      <c r="H2735" s="23" t="s">
        <v>22</v>
      </c>
      <c r="I2735" s="23">
        <v>4</v>
      </c>
      <c r="J2735" s="23">
        <v>0</v>
      </c>
      <c r="K2735" s="23">
        <v>5</v>
      </c>
      <c r="L2735" s="23" t="s">
        <v>38</v>
      </c>
      <c r="M2735" s="25">
        <v>20.2</v>
      </c>
      <c r="N2735">
        <f t="shared" si="42"/>
        <v>0</v>
      </c>
    </row>
    <row r="2736" spans="1:14" x14ac:dyDescent="0.35">
      <c r="A2736" s="6" t="s">
        <v>2806</v>
      </c>
      <c r="B2736" s="19" t="s">
        <v>236</v>
      </c>
      <c r="C2736" s="19">
        <v>10</v>
      </c>
      <c r="D2736" s="20">
        <v>45944</v>
      </c>
      <c r="E2736" s="19" t="s">
        <v>13</v>
      </c>
      <c r="F2736" s="19" t="s">
        <v>14</v>
      </c>
      <c r="G2736" s="19" t="s">
        <v>27</v>
      </c>
      <c r="H2736" s="19" t="s">
        <v>8364</v>
      </c>
      <c r="I2736" s="19">
        <v>4</v>
      </c>
      <c r="J2736" s="19">
        <v>0</v>
      </c>
      <c r="K2736" s="19">
        <v>5</v>
      </c>
      <c r="L2736" s="19" t="s">
        <v>38</v>
      </c>
      <c r="M2736" s="21">
        <v>12.5</v>
      </c>
      <c r="N2736">
        <f t="shared" si="42"/>
        <v>0</v>
      </c>
    </row>
    <row r="2737" spans="1:14" x14ac:dyDescent="0.35">
      <c r="A2737" s="22" t="s">
        <v>2807</v>
      </c>
      <c r="B2737" s="23" t="s">
        <v>126</v>
      </c>
      <c r="C2737" s="23">
        <v>8</v>
      </c>
      <c r="D2737" s="24">
        <v>45872</v>
      </c>
      <c r="E2737" s="23" t="s">
        <v>20</v>
      </c>
      <c r="F2737" s="23" t="s">
        <v>8364</v>
      </c>
      <c r="G2737" s="23" t="s">
        <v>27</v>
      </c>
      <c r="H2737" s="23" t="s">
        <v>32</v>
      </c>
      <c r="I2737" s="23">
        <v>4</v>
      </c>
      <c r="J2737" s="23">
        <v>0</v>
      </c>
      <c r="K2737" s="23">
        <v>4</v>
      </c>
      <c r="L2737" s="23" t="s">
        <v>33</v>
      </c>
      <c r="M2737" s="25">
        <v>19.3</v>
      </c>
      <c r="N2737">
        <f t="shared" si="42"/>
        <v>0</v>
      </c>
    </row>
    <row r="2738" spans="1:14" x14ac:dyDescent="0.35">
      <c r="A2738" s="6" t="s">
        <v>2808</v>
      </c>
      <c r="B2738" s="19" t="s">
        <v>92</v>
      </c>
      <c r="C2738" s="19">
        <v>2</v>
      </c>
      <c r="D2738" s="20">
        <v>45707</v>
      </c>
      <c r="E2738" s="19" t="s">
        <v>13</v>
      </c>
      <c r="F2738" s="19" t="s">
        <v>14</v>
      </c>
      <c r="G2738" s="19" t="s">
        <v>21</v>
      </c>
      <c r="H2738" s="19" t="s">
        <v>8364</v>
      </c>
      <c r="I2738" s="19">
        <v>24</v>
      </c>
      <c r="J2738" s="19">
        <v>2</v>
      </c>
      <c r="K2738" s="19">
        <v>4</v>
      </c>
      <c r="L2738" s="19" t="s">
        <v>62</v>
      </c>
      <c r="M2738" s="21">
        <v>4.2</v>
      </c>
      <c r="N2738">
        <f t="shared" si="42"/>
        <v>1</v>
      </c>
    </row>
    <row r="2739" spans="1:14" x14ac:dyDescent="0.35">
      <c r="A2739" s="22" t="s">
        <v>2809</v>
      </c>
      <c r="B2739" s="23" t="s">
        <v>139</v>
      </c>
      <c r="C2739" s="23">
        <v>12</v>
      </c>
      <c r="D2739" s="24">
        <v>46021</v>
      </c>
      <c r="E2739" s="23" t="s">
        <v>20</v>
      </c>
      <c r="F2739" s="23" t="s">
        <v>59</v>
      </c>
      <c r="G2739" s="23" t="s">
        <v>27</v>
      </c>
      <c r="H2739" s="23" t="s">
        <v>32</v>
      </c>
      <c r="I2739" s="23">
        <v>8</v>
      </c>
      <c r="J2739" s="23">
        <v>0</v>
      </c>
      <c r="K2739" s="23"/>
      <c r="L2739" s="23" t="s">
        <v>8363</v>
      </c>
      <c r="M2739" s="25">
        <v>9.9</v>
      </c>
      <c r="N2739">
        <f t="shared" si="42"/>
        <v>0</v>
      </c>
    </row>
    <row r="2740" spans="1:14" x14ac:dyDescent="0.35">
      <c r="A2740" s="6" t="s">
        <v>2810</v>
      </c>
      <c r="B2740" s="19" t="s">
        <v>47</v>
      </c>
      <c r="C2740" s="19"/>
      <c r="D2740" s="20"/>
      <c r="E2740" s="19" t="s">
        <v>13</v>
      </c>
      <c r="F2740" s="19" t="s">
        <v>43</v>
      </c>
      <c r="G2740" s="19" t="s">
        <v>15</v>
      </c>
      <c r="H2740" s="19" t="s">
        <v>28</v>
      </c>
      <c r="I2740" s="19">
        <v>24</v>
      </c>
      <c r="J2740" s="19">
        <v>1</v>
      </c>
      <c r="K2740" s="19">
        <v>5</v>
      </c>
      <c r="L2740" s="19" t="s">
        <v>38</v>
      </c>
      <c r="M2740" s="21">
        <v>26.1</v>
      </c>
      <c r="N2740">
        <f t="shared" si="42"/>
        <v>0</v>
      </c>
    </row>
    <row r="2741" spans="1:14" x14ac:dyDescent="0.35">
      <c r="A2741" s="22" t="s">
        <v>2811</v>
      </c>
      <c r="B2741" s="23" t="s">
        <v>69</v>
      </c>
      <c r="C2741" s="23">
        <v>1</v>
      </c>
      <c r="D2741" s="24">
        <v>45687</v>
      </c>
      <c r="E2741" s="23" t="s">
        <v>13</v>
      </c>
      <c r="F2741" s="23" t="s">
        <v>43</v>
      </c>
      <c r="G2741" s="23" t="s">
        <v>21</v>
      </c>
      <c r="H2741" s="23" t="s">
        <v>22</v>
      </c>
      <c r="I2741" s="23">
        <v>48</v>
      </c>
      <c r="J2741" s="23">
        <v>0</v>
      </c>
      <c r="K2741" s="23">
        <v>4</v>
      </c>
      <c r="L2741" s="23" t="s">
        <v>62</v>
      </c>
      <c r="M2741" s="25">
        <v>5.9</v>
      </c>
      <c r="N2741">
        <f t="shared" si="42"/>
        <v>1</v>
      </c>
    </row>
    <row r="2742" spans="1:14" x14ac:dyDescent="0.35">
      <c r="A2742" s="6" t="s">
        <v>2812</v>
      </c>
      <c r="B2742" s="19" t="s">
        <v>139</v>
      </c>
      <c r="C2742" s="19">
        <v>5</v>
      </c>
      <c r="D2742" s="20">
        <v>45783</v>
      </c>
      <c r="E2742" s="19" t="s">
        <v>20</v>
      </c>
      <c r="F2742" s="19" t="s">
        <v>14</v>
      </c>
      <c r="G2742" s="19" t="s">
        <v>27</v>
      </c>
      <c r="H2742" s="19" t="s">
        <v>22</v>
      </c>
      <c r="I2742" s="19">
        <v>72</v>
      </c>
      <c r="J2742" s="19">
        <v>0</v>
      </c>
      <c r="K2742" s="19">
        <v>2</v>
      </c>
      <c r="L2742" s="19" t="s">
        <v>8363</v>
      </c>
      <c r="M2742" s="21">
        <v>6.7</v>
      </c>
      <c r="N2742">
        <f t="shared" si="42"/>
        <v>1</v>
      </c>
    </row>
    <row r="2743" spans="1:14" x14ac:dyDescent="0.35">
      <c r="A2743" s="22" t="s">
        <v>2813</v>
      </c>
      <c r="B2743" s="23" t="s">
        <v>18</v>
      </c>
      <c r="C2743" s="23">
        <v>9</v>
      </c>
      <c r="D2743" s="24">
        <v>45915</v>
      </c>
      <c r="E2743" s="23" t="s">
        <v>8364</v>
      </c>
      <c r="F2743" s="23" t="s">
        <v>14</v>
      </c>
      <c r="G2743" s="23" t="s">
        <v>8364</v>
      </c>
      <c r="H2743" s="23" t="s">
        <v>22</v>
      </c>
      <c r="I2743" s="23">
        <v>48</v>
      </c>
      <c r="J2743" s="23">
        <v>0</v>
      </c>
      <c r="K2743" s="23">
        <v>3</v>
      </c>
      <c r="L2743" s="23" t="s">
        <v>55</v>
      </c>
      <c r="M2743" s="25">
        <v>5.9</v>
      </c>
      <c r="N2743">
        <f t="shared" si="42"/>
        <v>1</v>
      </c>
    </row>
    <row r="2744" spans="1:14" x14ac:dyDescent="0.35">
      <c r="A2744" s="6" t="s">
        <v>2814</v>
      </c>
      <c r="B2744" s="19" t="s">
        <v>146</v>
      </c>
      <c r="C2744" s="19"/>
      <c r="D2744" s="20"/>
      <c r="E2744" s="19" t="s">
        <v>13</v>
      </c>
      <c r="F2744" s="19" t="s">
        <v>14</v>
      </c>
      <c r="G2744" s="19" t="s">
        <v>31</v>
      </c>
      <c r="H2744" s="19" t="s">
        <v>32</v>
      </c>
      <c r="I2744" s="19">
        <v>48</v>
      </c>
      <c r="J2744" s="19">
        <v>0</v>
      </c>
      <c r="K2744" s="19">
        <v>5</v>
      </c>
      <c r="L2744" s="19" t="s">
        <v>33</v>
      </c>
      <c r="M2744" s="21">
        <v>27.4</v>
      </c>
      <c r="N2744">
        <f t="shared" si="42"/>
        <v>1</v>
      </c>
    </row>
    <row r="2745" spans="1:14" x14ac:dyDescent="0.35">
      <c r="A2745" s="22" t="s">
        <v>2815</v>
      </c>
      <c r="B2745" s="23" t="s">
        <v>49</v>
      </c>
      <c r="C2745" s="23">
        <v>6</v>
      </c>
      <c r="D2745" s="24">
        <v>45810</v>
      </c>
      <c r="E2745" s="23" t="s">
        <v>20</v>
      </c>
      <c r="F2745" s="23" t="s">
        <v>37</v>
      </c>
      <c r="G2745" s="23" t="s">
        <v>15</v>
      </c>
      <c r="H2745" s="23" t="s">
        <v>32</v>
      </c>
      <c r="I2745" s="23">
        <v>24</v>
      </c>
      <c r="J2745" s="23">
        <v>0</v>
      </c>
      <c r="K2745" s="23">
        <v>4</v>
      </c>
      <c r="L2745" s="23" t="s">
        <v>62</v>
      </c>
      <c r="M2745" s="25">
        <v>3.2</v>
      </c>
      <c r="N2745">
        <f t="shared" si="42"/>
        <v>1</v>
      </c>
    </row>
    <row r="2746" spans="1:14" x14ac:dyDescent="0.35">
      <c r="A2746" s="6" t="s">
        <v>2816</v>
      </c>
      <c r="B2746" s="19" t="s">
        <v>236</v>
      </c>
      <c r="C2746" s="19">
        <v>4</v>
      </c>
      <c r="D2746" s="20">
        <v>45776</v>
      </c>
      <c r="E2746" s="19" t="s">
        <v>8364</v>
      </c>
      <c r="F2746" s="19" t="s">
        <v>8364</v>
      </c>
      <c r="G2746" s="19" t="s">
        <v>8364</v>
      </c>
      <c r="H2746" s="19" t="s">
        <v>32</v>
      </c>
      <c r="I2746" s="19">
        <v>4</v>
      </c>
      <c r="J2746" s="19">
        <v>2</v>
      </c>
      <c r="K2746" s="19">
        <v>1</v>
      </c>
      <c r="L2746" s="19" t="s">
        <v>44</v>
      </c>
      <c r="M2746" s="21">
        <v>3</v>
      </c>
      <c r="N2746">
        <f t="shared" si="42"/>
        <v>1</v>
      </c>
    </row>
    <row r="2747" spans="1:14" x14ac:dyDescent="0.35">
      <c r="A2747" s="22" t="s">
        <v>2817</v>
      </c>
      <c r="B2747" s="23" t="s">
        <v>41</v>
      </c>
      <c r="C2747" s="23">
        <v>10</v>
      </c>
      <c r="D2747" s="24">
        <v>45949</v>
      </c>
      <c r="E2747" s="23" t="s">
        <v>25</v>
      </c>
      <c r="F2747" s="23" t="s">
        <v>14</v>
      </c>
      <c r="G2747" s="23" t="s">
        <v>27</v>
      </c>
      <c r="H2747" s="23" t="s">
        <v>22</v>
      </c>
      <c r="I2747" s="23">
        <v>24</v>
      </c>
      <c r="J2747" s="23">
        <v>0</v>
      </c>
      <c r="K2747" s="23">
        <v>5</v>
      </c>
      <c r="L2747" s="23" t="s">
        <v>17</v>
      </c>
      <c r="M2747" s="25">
        <v>13.8</v>
      </c>
      <c r="N2747">
        <f t="shared" si="42"/>
        <v>1</v>
      </c>
    </row>
    <row r="2748" spans="1:14" x14ac:dyDescent="0.35">
      <c r="A2748" s="6" t="s">
        <v>2818</v>
      </c>
      <c r="B2748" s="19" t="s">
        <v>253</v>
      </c>
      <c r="C2748" s="19">
        <v>1</v>
      </c>
      <c r="D2748" s="20">
        <v>45673</v>
      </c>
      <c r="E2748" s="19" t="s">
        <v>13</v>
      </c>
      <c r="F2748" s="19" t="s">
        <v>43</v>
      </c>
      <c r="G2748" s="19" t="s">
        <v>31</v>
      </c>
      <c r="H2748" s="19" t="s">
        <v>22</v>
      </c>
      <c r="I2748" s="19">
        <v>72</v>
      </c>
      <c r="J2748" s="19">
        <v>0</v>
      </c>
      <c r="K2748" s="19">
        <v>4</v>
      </c>
      <c r="L2748" s="19" t="s">
        <v>17</v>
      </c>
      <c r="M2748" s="21">
        <v>10.9</v>
      </c>
      <c r="N2748">
        <f t="shared" si="42"/>
        <v>1</v>
      </c>
    </row>
    <row r="2749" spans="1:14" x14ac:dyDescent="0.35">
      <c r="A2749" s="22" t="s">
        <v>2819</v>
      </c>
      <c r="B2749" s="23" t="s">
        <v>65</v>
      </c>
      <c r="C2749" s="23">
        <v>4</v>
      </c>
      <c r="D2749" s="24">
        <v>45760</v>
      </c>
      <c r="E2749" s="23" t="s">
        <v>25</v>
      </c>
      <c r="F2749" s="23" t="s">
        <v>43</v>
      </c>
      <c r="G2749" s="23" t="s">
        <v>8364</v>
      </c>
      <c r="H2749" s="23" t="s">
        <v>32</v>
      </c>
      <c r="I2749" s="23">
        <v>48</v>
      </c>
      <c r="J2749" s="23">
        <v>0</v>
      </c>
      <c r="K2749" s="23">
        <v>3</v>
      </c>
      <c r="L2749" s="23" t="s">
        <v>8363</v>
      </c>
      <c r="M2749" s="25">
        <v>10.199999999999999</v>
      </c>
      <c r="N2749">
        <f t="shared" si="42"/>
        <v>1</v>
      </c>
    </row>
    <row r="2750" spans="1:14" x14ac:dyDescent="0.35">
      <c r="A2750" s="6" t="s">
        <v>2820</v>
      </c>
      <c r="B2750" s="19" t="s">
        <v>41</v>
      </c>
      <c r="C2750" s="19">
        <v>6</v>
      </c>
      <c r="D2750" s="20">
        <v>45829</v>
      </c>
      <c r="E2750" s="19" t="s">
        <v>36</v>
      </c>
      <c r="F2750" s="19" t="s">
        <v>40</v>
      </c>
      <c r="G2750" s="19" t="s">
        <v>31</v>
      </c>
      <c r="H2750" s="19" t="s">
        <v>22</v>
      </c>
      <c r="I2750" s="19">
        <v>72</v>
      </c>
      <c r="J2750" s="19">
        <v>0</v>
      </c>
      <c r="K2750" s="19">
        <v>5</v>
      </c>
      <c r="L2750" s="19" t="s">
        <v>33</v>
      </c>
      <c r="M2750" s="21">
        <v>3.4</v>
      </c>
      <c r="N2750">
        <f t="shared" si="42"/>
        <v>1</v>
      </c>
    </row>
    <row r="2751" spans="1:14" x14ac:dyDescent="0.35">
      <c r="A2751" s="22" t="s">
        <v>2821</v>
      </c>
      <c r="B2751" s="23" t="s">
        <v>236</v>
      </c>
      <c r="C2751" s="23">
        <v>5</v>
      </c>
      <c r="D2751" s="24">
        <v>45780</v>
      </c>
      <c r="E2751" s="23" t="s">
        <v>13</v>
      </c>
      <c r="F2751" s="23" t="s">
        <v>37</v>
      </c>
      <c r="G2751" s="23" t="s">
        <v>21</v>
      </c>
      <c r="H2751" s="23" t="s">
        <v>28</v>
      </c>
      <c r="I2751" s="23">
        <v>72</v>
      </c>
      <c r="J2751" s="23">
        <v>0</v>
      </c>
      <c r="K2751" s="23">
        <v>3</v>
      </c>
      <c r="L2751" s="23" t="s">
        <v>62</v>
      </c>
      <c r="M2751" s="25">
        <v>2.8</v>
      </c>
      <c r="N2751">
        <f t="shared" si="42"/>
        <v>1</v>
      </c>
    </row>
    <row r="2752" spans="1:14" x14ac:dyDescent="0.35">
      <c r="A2752" s="6" t="s">
        <v>2822</v>
      </c>
      <c r="B2752" s="19" t="s">
        <v>49</v>
      </c>
      <c r="C2752" s="19">
        <v>11</v>
      </c>
      <c r="D2752" s="20">
        <v>45975</v>
      </c>
      <c r="E2752" s="19" t="s">
        <v>13</v>
      </c>
      <c r="F2752" s="19" t="s">
        <v>14</v>
      </c>
      <c r="G2752" s="19" t="s">
        <v>27</v>
      </c>
      <c r="H2752" s="19" t="s">
        <v>22</v>
      </c>
      <c r="I2752" s="19">
        <v>8</v>
      </c>
      <c r="J2752" s="19">
        <v>0</v>
      </c>
      <c r="K2752" s="19">
        <v>1</v>
      </c>
      <c r="L2752" s="19" t="s">
        <v>75</v>
      </c>
      <c r="M2752" s="21">
        <v>27.5</v>
      </c>
      <c r="N2752">
        <f t="shared" si="42"/>
        <v>0</v>
      </c>
    </row>
    <row r="2753" spans="1:14" x14ac:dyDescent="0.35">
      <c r="A2753" s="22" t="s">
        <v>2823</v>
      </c>
      <c r="B2753" s="23" t="s">
        <v>97</v>
      </c>
      <c r="C2753" s="23">
        <v>11</v>
      </c>
      <c r="D2753" s="24">
        <v>45970</v>
      </c>
      <c r="E2753" s="23" t="s">
        <v>68</v>
      </c>
      <c r="F2753" s="23" t="s">
        <v>14</v>
      </c>
      <c r="G2753" s="23" t="s">
        <v>8364</v>
      </c>
      <c r="H2753" s="23" t="s">
        <v>32</v>
      </c>
      <c r="I2753" s="23">
        <v>4</v>
      </c>
      <c r="J2753" s="23">
        <v>0</v>
      </c>
      <c r="K2753" s="23">
        <v>5</v>
      </c>
      <c r="L2753" s="23" t="s">
        <v>62</v>
      </c>
      <c r="M2753" s="25">
        <v>4.5999999999999996</v>
      </c>
      <c r="N2753">
        <f t="shared" si="42"/>
        <v>0</v>
      </c>
    </row>
    <row r="2754" spans="1:14" x14ac:dyDescent="0.35">
      <c r="A2754" s="6" t="s">
        <v>2824</v>
      </c>
      <c r="B2754" s="19" t="s">
        <v>143</v>
      </c>
      <c r="C2754" s="19">
        <v>11</v>
      </c>
      <c r="D2754" s="20">
        <v>45986</v>
      </c>
      <c r="E2754" s="19" t="s">
        <v>20</v>
      </c>
      <c r="F2754" s="19" t="s">
        <v>40</v>
      </c>
      <c r="G2754" s="19" t="s">
        <v>8364</v>
      </c>
      <c r="H2754" s="19" t="s">
        <v>16</v>
      </c>
      <c r="I2754" s="19">
        <v>72</v>
      </c>
      <c r="J2754" s="19">
        <v>0</v>
      </c>
      <c r="K2754" s="19"/>
      <c r="L2754" s="19" t="s">
        <v>8363</v>
      </c>
      <c r="M2754" s="21">
        <v>8.4</v>
      </c>
      <c r="N2754">
        <f t="shared" si="42"/>
        <v>1</v>
      </c>
    </row>
    <row r="2755" spans="1:14" x14ac:dyDescent="0.35">
      <c r="A2755" s="22" t="s">
        <v>2825</v>
      </c>
      <c r="B2755" s="23" t="s">
        <v>97</v>
      </c>
      <c r="C2755" s="23">
        <v>9</v>
      </c>
      <c r="D2755" s="24">
        <v>45904</v>
      </c>
      <c r="E2755" s="23" t="s">
        <v>20</v>
      </c>
      <c r="F2755" s="23" t="s">
        <v>26</v>
      </c>
      <c r="G2755" s="23" t="s">
        <v>15</v>
      </c>
      <c r="H2755" s="23" t="s">
        <v>28</v>
      </c>
      <c r="I2755" s="23">
        <v>8</v>
      </c>
      <c r="J2755" s="23">
        <v>0</v>
      </c>
      <c r="K2755" s="23">
        <v>3</v>
      </c>
      <c r="L2755" s="23" t="s">
        <v>17</v>
      </c>
      <c r="M2755" s="25">
        <v>6.4</v>
      </c>
      <c r="N2755">
        <f t="shared" ref="N2755:N2818" si="43">IF(M2755 &lt;= I2755, 1, 0)</f>
        <v>1</v>
      </c>
    </row>
    <row r="2756" spans="1:14" x14ac:dyDescent="0.35">
      <c r="A2756" s="6" t="s">
        <v>2826</v>
      </c>
      <c r="B2756" s="19" t="s">
        <v>47</v>
      </c>
      <c r="C2756" s="19">
        <v>6</v>
      </c>
      <c r="D2756" s="20">
        <v>45825</v>
      </c>
      <c r="E2756" s="19" t="s">
        <v>36</v>
      </c>
      <c r="F2756" s="19" t="s">
        <v>40</v>
      </c>
      <c r="G2756" s="19" t="s">
        <v>31</v>
      </c>
      <c r="H2756" s="19" t="s">
        <v>22</v>
      </c>
      <c r="I2756" s="19">
        <v>8</v>
      </c>
      <c r="J2756" s="19">
        <v>0</v>
      </c>
      <c r="K2756" s="19">
        <v>4</v>
      </c>
      <c r="L2756" s="19" t="s">
        <v>38</v>
      </c>
      <c r="M2756" s="21">
        <v>13.7</v>
      </c>
      <c r="N2756">
        <f t="shared" si="43"/>
        <v>0</v>
      </c>
    </row>
    <row r="2757" spans="1:14" x14ac:dyDescent="0.35">
      <c r="A2757" s="22" t="s">
        <v>2827</v>
      </c>
      <c r="B2757" s="23" t="s">
        <v>126</v>
      </c>
      <c r="C2757" s="23">
        <v>5</v>
      </c>
      <c r="D2757" s="24">
        <v>45796</v>
      </c>
      <c r="E2757" s="23" t="s">
        <v>13</v>
      </c>
      <c r="F2757" s="23" t="s">
        <v>14</v>
      </c>
      <c r="G2757" s="23" t="s">
        <v>27</v>
      </c>
      <c r="H2757" s="23" t="s">
        <v>8364</v>
      </c>
      <c r="I2757" s="23">
        <v>4</v>
      </c>
      <c r="J2757" s="23">
        <v>1</v>
      </c>
      <c r="K2757" s="23">
        <v>5</v>
      </c>
      <c r="L2757" s="23" t="s">
        <v>8363</v>
      </c>
      <c r="M2757" s="25">
        <v>14.2</v>
      </c>
      <c r="N2757">
        <f t="shared" si="43"/>
        <v>0</v>
      </c>
    </row>
    <row r="2758" spans="1:14" x14ac:dyDescent="0.35">
      <c r="A2758" s="6" t="s">
        <v>2828</v>
      </c>
      <c r="B2758" s="19" t="s">
        <v>47</v>
      </c>
      <c r="C2758" s="19"/>
      <c r="D2758" s="20"/>
      <c r="E2758" s="19" t="s">
        <v>20</v>
      </c>
      <c r="F2758" s="19" t="s">
        <v>14</v>
      </c>
      <c r="G2758" s="19" t="s">
        <v>27</v>
      </c>
      <c r="H2758" s="19" t="s">
        <v>8364</v>
      </c>
      <c r="I2758" s="19">
        <v>24</v>
      </c>
      <c r="J2758" s="19">
        <v>0</v>
      </c>
      <c r="K2758" s="19"/>
      <c r="L2758" s="19" t="s">
        <v>8363</v>
      </c>
      <c r="M2758" s="21">
        <v>16.600000000000001</v>
      </c>
      <c r="N2758">
        <f t="shared" si="43"/>
        <v>1</v>
      </c>
    </row>
    <row r="2759" spans="1:14" x14ac:dyDescent="0.35">
      <c r="A2759" s="22" t="s">
        <v>2829</v>
      </c>
      <c r="B2759" s="23" t="s">
        <v>158</v>
      </c>
      <c r="C2759" s="23">
        <v>9</v>
      </c>
      <c r="D2759" s="24">
        <v>45921</v>
      </c>
      <c r="E2759" s="23" t="s">
        <v>20</v>
      </c>
      <c r="F2759" s="23" t="s">
        <v>14</v>
      </c>
      <c r="G2759" s="23" t="s">
        <v>31</v>
      </c>
      <c r="H2759" s="23" t="s">
        <v>22</v>
      </c>
      <c r="I2759" s="23">
        <v>48</v>
      </c>
      <c r="J2759" s="23">
        <v>0</v>
      </c>
      <c r="K2759" s="23">
        <v>5</v>
      </c>
      <c r="L2759" s="23" t="s">
        <v>8363</v>
      </c>
      <c r="M2759" s="25">
        <v>10.7</v>
      </c>
      <c r="N2759">
        <f t="shared" si="43"/>
        <v>1</v>
      </c>
    </row>
    <row r="2760" spans="1:14" x14ac:dyDescent="0.35">
      <c r="A2760" s="6" t="s">
        <v>2830</v>
      </c>
      <c r="B2760" s="19" t="s">
        <v>51</v>
      </c>
      <c r="C2760" s="19"/>
      <c r="D2760" s="20"/>
      <c r="E2760" s="19" t="s">
        <v>68</v>
      </c>
      <c r="F2760" s="19" t="s">
        <v>43</v>
      </c>
      <c r="G2760" s="19" t="s">
        <v>27</v>
      </c>
      <c r="H2760" s="19" t="s">
        <v>22</v>
      </c>
      <c r="I2760" s="19">
        <v>8</v>
      </c>
      <c r="J2760" s="19">
        <v>0</v>
      </c>
      <c r="K2760" s="19">
        <v>4</v>
      </c>
      <c r="L2760" s="19" t="s">
        <v>8363</v>
      </c>
      <c r="M2760" s="21">
        <v>36.6</v>
      </c>
      <c r="N2760">
        <f t="shared" si="43"/>
        <v>0</v>
      </c>
    </row>
    <row r="2761" spans="1:14" x14ac:dyDescent="0.35">
      <c r="A2761" s="22" t="s">
        <v>2831</v>
      </c>
      <c r="B2761" s="23" t="s">
        <v>126</v>
      </c>
      <c r="C2761" s="23">
        <v>11</v>
      </c>
      <c r="D2761" s="24">
        <v>45978</v>
      </c>
      <c r="E2761" s="23" t="s">
        <v>36</v>
      </c>
      <c r="F2761" s="23" t="s">
        <v>37</v>
      </c>
      <c r="G2761" s="23" t="s">
        <v>21</v>
      </c>
      <c r="H2761" s="23" t="s">
        <v>28</v>
      </c>
      <c r="I2761" s="23">
        <v>48</v>
      </c>
      <c r="J2761" s="23">
        <v>0</v>
      </c>
      <c r="K2761" s="23"/>
      <c r="L2761" s="23" t="s">
        <v>8363</v>
      </c>
      <c r="M2761" s="25">
        <v>2.4</v>
      </c>
      <c r="N2761">
        <f t="shared" si="43"/>
        <v>1</v>
      </c>
    </row>
    <row r="2762" spans="1:14" x14ac:dyDescent="0.35">
      <c r="A2762" s="6" t="s">
        <v>2832</v>
      </c>
      <c r="B2762" s="19" t="s">
        <v>104</v>
      </c>
      <c r="C2762" s="19">
        <v>6</v>
      </c>
      <c r="D2762" s="20">
        <v>45837</v>
      </c>
      <c r="E2762" s="19" t="s">
        <v>13</v>
      </c>
      <c r="F2762" s="19" t="s">
        <v>14</v>
      </c>
      <c r="G2762" s="19" t="s">
        <v>31</v>
      </c>
      <c r="H2762" s="19" t="s">
        <v>22</v>
      </c>
      <c r="I2762" s="19">
        <v>8</v>
      </c>
      <c r="J2762" s="19">
        <v>0</v>
      </c>
      <c r="K2762" s="19">
        <v>3</v>
      </c>
      <c r="L2762" s="19" t="s">
        <v>8363</v>
      </c>
      <c r="M2762" s="21">
        <v>9.1999999999999993</v>
      </c>
      <c r="N2762">
        <f t="shared" si="43"/>
        <v>0</v>
      </c>
    </row>
    <row r="2763" spans="1:14" x14ac:dyDescent="0.35">
      <c r="A2763" s="22" t="s">
        <v>2833</v>
      </c>
      <c r="B2763" s="23" t="s">
        <v>39</v>
      </c>
      <c r="C2763" s="23">
        <v>3</v>
      </c>
      <c r="D2763" s="24">
        <v>45735</v>
      </c>
      <c r="E2763" s="23" t="s">
        <v>20</v>
      </c>
      <c r="F2763" s="23" t="s">
        <v>14</v>
      </c>
      <c r="G2763" s="23" t="s">
        <v>31</v>
      </c>
      <c r="H2763" s="23" t="s">
        <v>22</v>
      </c>
      <c r="I2763" s="23">
        <v>24</v>
      </c>
      <c r="J2763" s="23">
        <v>0</v>
      </c>
      <c r="K2763" s="23">
        <v>3</v>
      </c>
      <c r="L2763" s="23" t="s">
        <v>8363</v>
      </c>
      <c r="M2763" s="25">
        <v>16</v>
      </c>
      <c r="N2763">
        <f t="shared" si="43"/>
        <v>1</v>
      </c>
    </row>
    <row r="2764" spans="1:14" x14ac:dyDescent="0.35">
      <c r="A2764" s="6" t="s">
        <v>2834</v>
      </c>
      <c r="B2764" s="19" t="s">
        <v>45</v>
      </c>
      <c r="C2764" s="19">
        <v>6</v>
      </c>
      <c r="D2764" s="20">
        <v>45818</v>
      </c>
      <c r="E2764" s="19" t="s">
        <v>68</v>
      </c>
      <c r="F2764" s="19" t="s">
        <v>43</v>
      </c>
      <c r="G2764" s="19" t="s">
        <v>31</v>
      </c>
      <c r="H2764" s="19" t="s">
        <v>28</v>
      </c>
      <c r="I2764" s="19">
        <v>24</v>
      </c>
      <c r="J2764" s="19">
        <v>0</v>
      </c>
      <c r="K2764" s="19">
        <v>5</v>
      </c>
      <c r="L2764" s="19" t="s">
        <v>75</v>
      </c>
      <c r="M2764" s="21">
        <v>6.1</v>
      </c>
      <c r="N2764">
        <f t="shared" si="43"/>
        <v>1</v>
      </c>
    </row>
    <row r="2765" spans="1:14" x14ac:dyDescent="0.35">
      <c r="A2765" s="22" t="s">
        <v>2835</v>
      </c>
      <c r="B2765" s="23" t="s">
        <v>143</v>
      </c>
      <c r="C2765" s="23">
        <v>8</v>
      </c>
      <c r="D2765" s="24">
        <v>45880</v>
      </c>
      <c r="E2765" s="23" t="s">
        <v>25</v>
      </c>
      <c r="F2765" s="23" t="s">
        <v>26</v>
      </c>
      <c r="G2765" s="23" t="s">
        <v>31</v>
      </c>
      <c r="H2765" s="23" t="s">
        <v>16</v>
      </c>
      <c r="I2765" s="23">
        <v>24</v>
      </c>
      <c r="J2765" s="23">
        <v>0</v>
      </c>
      <c r="K2765" s="23">
        <v>4</v>
      </c>
      <c r="L2765" s="23" t="s">
        <v>62</v>
      </c>
      <c r="M2765" s="25">
        <v>30.5</v>
      </c>
      <c r="N2765">
        <f t="shared" si="43"/>
        <v>0</v>
      </c>
    </row>
    <row r="2766" spans="1:14" x14ac:dyDescent="0.35">
      <c r="A2766" s="6" t="s">
        <v>2836</v>
      </c>
      <c r="B2766" s="19" t="s">
        <v>81</v>
      </c>
      <c r="C2766" s="19">
        <v>4</v>
      </c>
      <c r="D2766" s="20">
        <v>45753</v>
      </c>
      <c r="E2766" s="19" t="s">
        <v>13</v>
      </c>
      <c r="F2766" s="19" t="s">
        <v>26</v>
      </c>
      <c r="G2766" s="19" t="s">
        <v>31</v>
      </c>
      <c r="H2766" s="19" t="s">
        <v>32</v>
      </c>
      <c r="I2766" s="19">
        <v>4</v>
      </c>
      <c r="J2766" s="19">
        <v>0</v>
      </c>
      <c r="K2766" s="19">
        <v>5</v>
      </c>
      <c r="L2766" s="19" t="s">
        <v>44</v>
      </c>
      <c r="M2766" s="21">
        <v>16.3</v>
      </c>
      <c r="N2766">
        <f t="shared" si="43"/>
        <v>0</v>
      </c>
    </row>
    <row r="2767" spans="1:14" x14ac:dyDescent="0.35">
      <c r="A2767" s="22" t="s">
        <v>2837</v>
      </c>
      <c r="B2767" s="23" t="s">
        <v>126</v>
      </c>
      <c r="C2767" s="23">
        <v>8</v>
      </c>
      <c r="D2767" s="24">
        <v>45881</v>
      </c>
      <c r="E2767" s="23" t="s">
        <v>36</v>
      </c>
      <c r="F2767" s="23" t="s">
        <v>43</v>
      </c>
      <c r="G2767" s="23" t="s">
        <v>27</v>
      </c>
      <c r="H2767" s="23" t="s">
        <v>32</v>
      </c>
      <c r="I2767" s="23">
        <v>4</v>
      </c>
      <c r="J2767" s="23">
        <v>0</v>
      </c>
      <c r="K2767" s="23">
        <v>4</v>
      </c>
      <c r="L2767" s="23" t="s">
        <v>62</v>
      </c>
      <c r="M2767" s="25">
        <v>3.3</v>
      </c>
      <c r="N2767">
        <f t="shared" si="43"/>
        <v>1</v>
      </c>
    </row>
    <row r="2768" spans="1:14" x14ac:dyDescent="0.35">
      <c r="A2768" s="6" t="s">
        <v>2838</v>
      </c>
      <c r="B2768" s="19" t="s">
        <v>51</v>
      </c>
      <c r="C2768" s="19">
        <v>2</v>
      </c>
      <c r="D2768" s="20">
        <v>45704</v>
      </c>
      <c r="E2768" s="19" t="s">
        <v>25</v>
      </c>
      <c r="F2768" s="19" t="s">
        <v>8364</v>
      </c>
      <c r="G2768" s="19" t="s">
        <v>15</v>
      </c>
      <c r="H2768" s="19" t="s">
        <v>22</v>
      </c>
      <c r="I2768" s="19">
        <v>4</v>
      </c>
      <c r="J2768" s="19">
        <v>0</v>
      </c>
      <c r="K2768" s="19">
        <v>4</v>
      </c>
      <c r="L2768" s="19" t="s">
        <v>38</v>
      </c>
      <c r="M2768" s="21">
        <v>14.1</v>
      </c>
      <c r="N2768">
        <f t="shared" si="43"/>
        <v>0</v>
      </c>
    </row>
    <row r="2769" spans="1:14" x14ac:dyDescent="0.35">
      <c r="A2769" s="22" t="s">
        <v>2839</v>
      </c>
      <c r="B2769" s="23" t="s">
        <v>146</v>
      </c>
      <c r="C2769" s="23">
        <v>5</v>
      </c>
      <c r="D2769" s="24">
        <v>45792</v>
      </c>
      <c r="E2769" s="23" t="s">
        <v>8364</v>
      </c>
      <c r="F2769" s="23" t="s">
        <v>14</v>
      </c>
      <c r="G2769" s="23" t="s">
        <v>27</v>
      </c>
      <c r="H2769" s="23" t="s">
        <v>22</v>
      </c>
      <c r="I2769" s="23">
        <v>8</v>
      </c>
      <c r="J2769" s="23"/>
      <c r="K2769" s="23">
        <v>4</v>
      </c>
      <c r="L2769" s="23" t="s">
        <v>75</v>
      </c>
      <c r="M2769" s="25">
        <v>18</v>
      </c>
      <c r="N2769">
        <f t="shared" si="43"/>
        <v>0</v>
      </c>
    </row>
    <row r="2770" spans="1:14" x14ac:dyDescent="0.35">
      <c r="A2770" s="6" t="s">
        <v>2840</v>
      </c>
      <c r="B2770" s="19" t="s">
        <v>108</v>
      </c>
      <c r="C2770" s="19">
        <v>6</v>
      </c>
      <c r="D2770" s="20">
        <v>45835</v>
      </c>
      <c r="E2770" s="19" t="s">
        <v>25</v>
      </c>
      <c r="F2770" s="19" t="s">
        <v>40</v>
      </c>
      <c r="G2770" s="19" t="s">
        <v>21</v>
      </c>
      <c r="H2770" s="19" t="s">
        <v>28</v>
      </c>
      <c r="I2770" s="19">
        <v>4</v>
      </c>
      <c r="J2770" s="19">
        <v>0</v>
      </c>
      <c r="K2770" s="19">
        <v>5</v>
      </c>
      <c r="L2770" s="19" t="s">
        <v>44</v>
      </c>
      <c r="M2770" s="21">
        <v>7.6</v>
      </c>
      <c r="N2770">
        <f t="shared" si="43"/>
        <v>0</v>
      </c>
    </row>
    <row r="2771" spans="1:14" x14ac:dyDescent="0.35">
      <c r="A2771" s="22" t="s">
        <v>2841</v>
      </c>
      <c r="B2771" s="23" t="s">
        <v>253</v>
      </c>
      <c r="C2771" s="23"/>
      <c r="D2771" s="24"/>
      <c r="E2771" s="23" t="s">
        <v>36</v>
      </c>
      <c r="F2771" s="23" t="s">
        <v>43</v>
      </c>
      <c r="G2771" s="23" t="s">
        <v>31</v>
      </c>
      <c r="H2771" s="23" t="s">
        <v>32</v>
      </c>
      <c r="I2771" s="23">
        <v>8</v>
      </c>
      <c r="J2771" s="23">
        <v>2</v>
      </c>
      <c r="K2771" s="23">
        <v>2</v>
      </c>
      <c r="L2771" s="23" t="s">
        <v>75</v>
      </c>
      <c r="M2771" s="25">
        <v>7.7</v>
      </c>
      <c r="N2771">
        <f t="shared" si="43"/>
        <v>1</v>
      </c>
    </row>
    <row r="2772" spans="1:14" x14ac:dyDescent="0.35">
      <c r="A2772" s="6" t="s">
        <v>2842</v>
      </c>
      <c r="B2772" s="19" t="s">
        <v>87</v>
      </c>
      <c r="C2772" s="19">
        <v>3</v>
      </c>
      <c r="D2772" s="20">
        <v>45722</v>
      </c>
      <c r="E2772" s="19" t="s">
        <v>25</v>
      </c>
      <c r="F2772" s="19" t="s">
        <v>40</v>
      </c>
      <c r="G2772" s="19" t="s">
        <v>27</v>
      </c>
      <c r="H2772" s="19" t="s">
        <v>8364</v>
      </c>
      <c r="I2772" s="19">
        <v>4</v>
      </c>
      <c r="J2772" s="19">
        <v>1</v>
      </c>
      <c r="K2772" s="19"/>
      <c r="L2772" s="19" t="s">
        <v>62</v>
      </c>
      <c r="M2772" s="21">
        <v>11.1</v>
      </c>
      <c r="N2772">
        <f t="shared" si="43"/>
        <v>0</v>
      </c>
    </row>
    <row r="2773" spans="1:14" x14ac:dyDescent="0.35">
      <c r="A2773" s="22" t="s">
        <v>2843</v>
      </c>
      <c r="B2773" s="23" t="s">
        <v>236</v>
      </c>
      <c r="C2773" s="23">
        <v>5</v>
      </c>
      <c r="D2773" s="24">
        <v>45793</v>
      </c>
      <c r="E2773" s="23" t="s">
        <v>20</v>
      </c>
      <c r="F2773" s="23" t="s">
        <v>14</v>
      </c>
      <c r="G2773" s="23" t="s">
        <v>21</v>
      </c>
      <c r="H2773" s="23" t="s">
        <v>8364</v>
      </c>
      <c r="I2773" s="23">
        <v>4</v>
      </c>
      <c r="J2773" s="23">
        <v>0</v>
      </c>
      <c r="K2773" s="23">
        <v>5</v>
      </c>
      <c r="L2773" s="23" t="s">
        <v>38</v>
      </c>
      <c r="M2773" s="25">
        <v>23.9</v>
      </c>
      <c r="N2773">
        <f t="shared" si="43"/>
        <v>0</v>
      </c>
    </row>
    <row r="2774" spans="1:14" x14ac:dyDescent="0.35">
      <c r="A2774" s="6" t="s">
        <v>2844</v>
      </c>
      <c r="B2774" s="19" t="s">
        <v>81</v>
      </c>
      <c r="C2774" s="19">
        <v>7</v>
      </c>
      <c r="D2774" s="20">
        <v>45860</v>
      </c>
      <c r="E2774" s="19" t="s">
        <v>8364</v>
      </c>
      <c r="F2774" s="19" t="s">
        <v>40</v>
      </c>
      <c r="G2774" s="19" t="s">
        <v>15</v>
      </c>
      <c r="H2774" s="19" t="s">
        <v>22</v>
      </c>
      <c r="I2774" s="19">
        <v>8</v>
      </c>
      <c r="J2774" s="19">
        <v>0</v>
      </c>
      <c r="K2774" s="19"/>
      <c r="L2774" s="19" t="s">
        <v>55</v>
      </c>
      <c r="M2774" s="21">
        <v>31.2</v>
      </c>
      <c r="N2774">
        <f t="shared" si="43"/>
        <v>0</v>
      </c>
    </row>
    <row r="2775" spans="1:14" x14ac:dyDescent="0.35">
      <c r="A2775" s="22" t="s">
        <v>2845</v>
      </c>
      <c r="B2775" s="23" t="s">
        <v>85</v>
      </c>
      <c r="C2775" s="23">
        <v>6</v>
      </c>
      <c r="D2775" s="24">
        <v>45838</v>
      </c>
      <c r="E2775" s="23" t="s">
        <v>25</v>
      </c>
      <c r="F2775" s="23" t="s">
        <v>37</v>
      </c>
      <c r="G2775" s="23" t="s">
        <v>27</v>
      </c>
      <c r="H2775" s="23" t="s">
        <v>32</v>
      </c>
      <c r="I2775" s="23">
        <v>48</v>
      </c>
      <c r="J2775" s="23">
        <v>0</v>
      </c>
      <c r="K2775" s="23">
        <v>4</v>
      </c>
      <c r="L2775" s="23" t="s">
        <v>55</v>
      </c>
      <c r="M2775" s="25">
        <v>10.6</v>
      </c>
      <c r="N2775">
        <f t="shared" si="43"/>
        <v>1</v>
      </c>
    </row>
    <row r="2776" spans="1:14" x14ac:dyDescent="0.35">
      <c r="A2776" s="6" t="s">
        <v>2846</v>
      </c>
      <c r="B2776" s="19" t="s">
        <v>92</v>
      </c>
      <c r="C2776" s="19"/>
      <c r="D2776" s="20"/>
      <c r="E2776" s="19" t="s">
        <v>13</v>
      </c>
      <c r="F2776" s="19" t="s">
        <v>43</v>
      </c>
      <c r="G2776" s="19" t="s">
        <v>27</v>
      </c>
      <c r="H2776" s="19" t="s">
        <v>16</v>
      </c>
      <c r="I2776" s="19">
        <v>48</v>
      </c>
      <c r="J2776" s="19">
        <v>1</v>
      </c>
      <c r="K2776" s="19">
        <v>5</v>
      </c>
      <c r="L2776" s="19" t="s">
        <v>55</v>
      </c>
      <c r="M2776" s="21">
        <v>5.9</v>
      </c>
      <c r="N2776">
        <f t="shared" si="43"/>
        <v>1</v>
      </c>
    </row>
    <row r="2777" spans="1:14" x14ac:dyDescent="0.35">
      <c r="A2777" s="22" t="s">
        <v>2847</v>
      </c>
      <c r="B2777" s="23" t="s">
        <v>23</v>
      </c>
      <c r="C2777" s="23">
        <v>11</v>
      </c>
      <c r="D2777" s="24">
        <v>45974</v>
      </c>
      <c r="E2777" s="23" t="s">
        <v>8364</v>
      </c>
      <c r="F2777" s="23" t="s">
        <v>40</v>
      </c>
      <c r="G2777" s="23" t="s">
        <v>21</v>
      </c>
      <c r="H2777" s="23" t="s">
        <v>22</v>
      </c>
      <c r="I2777" s="23">
        <v>48</v>
      </c>
      <c r="J2777" s="23">
        <v>1</v>
      </c>
      <c r="K2777" s="23">
        <v>4</v>
      </c>
      <c r="L2777" s="23" t="s">
        <v>33</v>
      </c>
      <c r="M2777" s="25">
        <v>9.5</v>
      </c>
      <c r="N2777">
        <f t="shared" si="43"/>
        <v>1</v>
      </c>
    </row>
    <row r="2778" spans="1:14" x14ac:dyDescent="0.35">
      <c r="A2778" s="6" t="s">
        <v>2848</v>
      </c>
      <c r="B2778" s="19" t="s">
        <v>39</v>
      </c>
      <c r="C2778" s="19">
        <v>9</v>
      </c>
      <c r="D2778" s="20">
        <v>45902</v>
      </c>
      <c r="E2778" s="19" t="s">
        <v>8364</v>
      </c>
      <c r="F2778" s="19" t="s">
        <v>14</v>
      </c>
      <c r="G2778" s="19" t="s">
        <v>27</v>
      </c>
      <c r="H2778" s="19" t="s">
        <v>22</v>
      </c>
      <c r="I2778" s="19">
        <v>24</v>
      </c>
      <c r="J2778" s="19">
        <v>0</v>
      </c>
      <c r="K2778" s="19">
        <v>3</v>
      </c>
      <c r="L2778" s="19" t="s">
        <v>44</v>
      </c>
      <c r="M2778" s="21">
        <v>7.4</v>
      </c>
      <c r="N2778">
        <f t="shared" si="43"/>
        <v>1</v>
      </c>
    </row>
    <row r="2779" spans="1:14" x14ac:dyDescent="0.35">
      <c r="A2779" s="22" t="s">
        <v>2849</v>
      </c>
      <c r="B2779" s="23" t="s">
        <v>47</v>
      </c>
      <c r="C2779" s="23">
        <v>3</v>
      </c>
      <c r="D2779" s="24">
        <v>45734</v>
      </c>
      <c r="E2779" s="23" t="s">
        <v>25</v>
      </c>
      <c r="F2779" s="23" t="s">
        <v>43</v>
      </c>
      <c r="G2779" s="23" t="s">
        <v>27</v>
      </c>
      <c r="H2779" s="23" t="s">
        <v>32</v>
      </c>
      <c r="I2779" s="23">
        <v>24</v>
      </c>
      <c r="J2779" s="23">
        <v>0</v>
      </c>
      <c r="K2779" s="23">
        <v>2</v>
      </c>
      <c r="L2779" s="23" t="s">
        <v>17</v>
      </c>
      <c r="M2779" s="25">
        <v>6.3</v>
      </c>
      <c r="N2779">
        <f t="shared" si="43"/>
        <v>1</v>
      </c>
    </row>
    <row r="2780" spans="1:14" x14ac:dyDescent="0.35">
      <c r="A2780" s="6" t="s">
        <v>2850</v>
      </c>
      <c r="B2780" s="19" t="s">
        <v>181</v>
      </c>
      <c r="C2780" s="19"/>
      <c r="D2780" s="20"/>
      <c r="E2780" s="19" t="s">
        <v>20</v>
      </c>
      <c r="F2780" s="19" t="s">
        <v>14</v>
      </c>
      <c r="G2780" s="19" t="s">
        <v>21</v>
      </c>
      <c r="H2780" s="19" t="s">
        <v>16</v>
      </c>
      <c r="I2780" s="19">
        <v>4</v>
      </c>
      <c r="J2780" s="19">
        <v>0</v>
      </c>
      <c r="K2780" s="19"/>
      <c r="L2780" s="19" t="s">
        <v>38</v>
      </c>
      <c r="M2780" s="21">
        <v>4.5999999999999996</v>
      </c>
      <c r="N2780">
        <f t="shared" si="43"/>
        <v>0</v>
      </c>
    </row>
    <row r="2781" spans="1:14" x14ac:dyDescent="0.35">
      <c r="A2781" s="22" t="s">
        <v>2851</v>
      </c>
      <c r="B2781" s="23" t="s">
        <v>158</v>
      </c>
      <c r="C2781" s="23">
        <v>11</v>
      </c>
      <c r="D2781" s="24">
        <v>45979</v>
      </c>
      <c r="E2781" s="23" t="s">
        <v>13</v>
      </c>
      <c r="F2781" s="23" t="s">
        <v>43</v>
      </c>
      <c r="G2781" s="23" t="s">
        <v>27</v>
      </c>
      <c r="H2781" s="23" t="s">
        <v>28</v>
      </c>
      <c r="I2781" s="23">
        <v>8</v>
      </c>
      <c r="J2781" s="23">
        <v>0</v>
      </c>
      <c r="K2781" s="23">
        <v>3</v>
      </c>
      <c r="L2781" s="23" t="s">
        <v>8363</v>
      </c>
      <c r="M2781" s="25">
        <v>5.9</v>
      </c>
      <c r="N2781">
        <f t="shared" si="43"/>
        <v>1</v>
      </c>
    </row>
    <row r="2782" spans="1:14" x14ac:dyDescent="0.35">
      <c r="A2782" s="6" t="s">
        <v>2852</v>
      </c>
      <c r="B2782" s="19" t="s">
        <v>51</v>
      </c>
      <c r="C2782" s="19">
        <v>5</v>
      </c>
      <c r="D2782" s="20">
        <v>45778</v>
      </c>
      <c r="E2782" s="19" t="s">
        <v>13</v>
      </c>
      <c r="F2782" s="19" t="s">
        <v>14</v>
      </c>
      <c r="G2782" s="19" t="s">
        <v>27</v>
      </c>
      <c r="H2782" s="19" t="s">
        <v>22</v>
      </c>
      <c r="I2782" s="19">
        <v>24</v>
      </c>
      <c r="J2782" s="19">
        <v>2</v>
      </c>
      <c r="K2782" s="19">
        <v>2</v>
      </c>
      <c r="L2782" s="19" t="s">
        <v>62</v>
      </c>
      <c r="M2782" s="21">
        <v>2.5</v>
      </c>
      <c r="N2782">
        <f t="shared" si="43"/>
        <v>1</v>
      </c>
    </row>
    <row r="2783" spans="1:14" x14ac:dyDescent="0.35">
      <c r="A2783" s="22" t="s">
        <v>2853</v>
      </c>
      <c r="B2783" s="23" t="s">
        <v>130</v>
      </c>
      <c r="C2783" s="23">
        <v>5</v>
      </c>
      <c r="D2783" s="24">
        <v>45797</v>
      </c>
      <c r="E2783" s="23" t="s">
        <v>25</v>
      </c>
      <c r="F2783" s="23" t="s">
        <v>43</v>
      </c>
      <c r="G2783" s="23" t="s">
        <v>31</v>
      </c>
      <c r="H2783" s="23" t="s">
        <v>28</v>
      </c>
      <c r="I2783" s="23">
        <v>48</v>
      </c>
      <c r="J2783" s="23">
        <v>0</v>
      </c>
      <c r="K2783" s="23">
        <v>1</v>
      </c>
      <c r="L2783" s="23" t="s">
        <v>44</v>
      </c>
      <c r="M2783" s="25">
        <v>29.7</v>
      </c>
      <c r="N2783">
        <f t="shared" si="43"/>
        <v>1</v>
      </c>
    </row>
    <row r="2784" spans="1:14" x14ac:dyDescent="0.35">
      <c r="A2784" s="6" t="s">
        <v>2854</v>
      </c>
      <c r="B2784" s="19" t="s">
        <v>81</v>
      </c>
      <c r="C2784" s="19">
        <v>10</v>
      </c>
      <c r="D2784" s="20">
        <v>45934</v>
      </c>
      <c r="E2784" s="19" t="s">
        <v>25</v>
      </c>
      <c r="F2784" s="19" t="s">
        <v>8364</v>
      </c>
      <c r="G2784" s="19" t="s">
        <v>27</v>
      </c>
      <c r="H2784" s="19" t="s">
        <v>22</v>
      </c>
      <c r="I2784" s="19">
        <v>4</v>
      </c>
      <c r="J2784" s="19"/>
      <c r="K2784" s="19">
        <v>4</v>
      </c>
      <c r="L2784" s="19" t="s">
        <v>8363</v>
      </c>
      <c r="M2784" s="21">
        <v>4.4000000000000004</v>
      </c>
      <c r="N2784">
        <f t="shared" si="43"/>
        <v>0</v>
      </c>
    </row>
    <row r="2785" spans="1:14" x14ac:dyDescent="0.35">
      <c r="A2785" s="22" t="s">
        <v>2855</v>
      </c>
      <c r="B2785" s="23" t="s">
        <v>146</v>
      </c>
      <c r="C2785" s="23">
        <v>4</v>
      </c>
      <c r="D2785" s="24">
        <v>45759</v>
      </c>
      <c r="E2785" s="23" t="s">
        <v>20</v>
      </c>
      <c r="F2785" s="23" t="s">
        <v>59</v>
      </c>
      <c r="G2785" s="23" t="s">
        <v>27</v>
      </c>
      <c r="H2785" s="23" t="s">
        <v>8364</v>
      </c>
      <c r="I2785" s="23">
        <v>72</v>
      </c>
      <c r="J2785" s="23">
        <v>0</v>
      </c>
      <c r="K2785" s="23">
        <v>3</v>
      </c>
      <c r="L2785" s="23" t="s">
        <v>75</v>
      </c>
      <c r="M2785" s="25">
        <v>19.7</v>
      </c>
      <c r="N2785">
        <f t="shared" si="43"/>
        <v>1</v>
      </c>
    </row>
    <row r="2786" spans="1:14" x14ac:dyDescent="0.35">
      <c r="A2786" s="6" t="s">
        <v>2856</v>
      </c>
      <c r="B2786" s="19" t="s">
        <v>89</v>
      </c>
      <c r="C2786" s="19">
        <v>3</v>
      </c>
      <c r="D2786" s="20">
        <v>45736</v>
      </c>
      <c r="E2786" s="19" t="s">
        <v>68</v>
      </c>
      <c r="F2786" s="19" t="s">
        <v>37</v>
      </c>
      <c r="G2786" s="19" t="s">
        <v>31</v>
      </c>
      <c r="H2786" s="19" t="s">
        <v>32</v>
      </c>
      <c r="I2786" s="19">
        <v>48</v>
      </c>
      <c r="J2786" s="19">
        <v>0</v>
      </c>
      <c r="K2786" s="19">
        <v>3</v>
      </c>
      <c r="L2786" s="19" t="s">
        <v>44</v>
      </c>
      <c r="M2786" s="21">
        <v>26.1</v>
      </c>
      <c r="N2786">
        <f t="shared" si="43"/>
        <v>1</v>
      </c>
    </row>
    <row r="2787" spans="1:14" x14ac:dyDescent="0.35">
      <c r="A2787" s="22" t="s">
        <v>2857</v>
      </c>
      <c r="B2787" s="23" t="s">
        <v>65</v>
      </c>
      <c r="C2787" s="23">
        <v>2</v>
      </c>
      <c r="D2787" s="24">
        <v>45692</v>
      </c>
      <c r="E2787" s="23" t="s">
        <v>13</v>
      </c>
      <c r="F2787" s="23" t="s">
        <v>43</v>
      </c>
      <c r="G2787" s="23" t="s">
        <v>27</v>
      </c>
      <c r="H2787" s="23" t="s">
        <v>32</v>
      </c>
      <c r="I2787" s="23">
        <v>48</v>
      </c>
      <c r="J2787" s="23">
        <v>0</v>
      </c>
      <c r="K2787" s="23"/>
      <c r="L2787" s="23" t="s">
        <v>8363</v>
      </c>
      <c r="M2787" s="25">
        <v>14.3</v>
      </c>
      <c r="N2787">
        <f t="shared" si="43"/>
        <v>1</v>
      </c>
    </row>
    <row r="2788" spans="1:14" x14ac:dyDescent="0.35">
      <c r="A2788" s="6" t="s">
        <v>2858</v>
      </c>
      <c r="B2788" s="19" t="s">
        <v>236</v>
      </c>
      <c r="C2788" s="19">
        <v>2</v>
      </c>
      <c r="D2788" s="20">
        <v>45704</v>
      </c>
      <c r="E2788" s="19" t="s">
        <v>25</v>
      </c>
      <c r="F2788" s="19" t="s">
        <v>37</v>
      </c>
      <c r="G2788" s="19" t="s">
        <v>27</v>
      </c>
      <c r="H2788" s="19" t="s">
        <v>28</v>
      </c>
      <c r="I2788" s="19">
        <v>8</v>
      </c>
      <c r="J2788" s="19">
        <v>0</v>
      </c>
      <c r="K2788" s="19">
        <v>4</v>
      </c>
      <c r="L2788" s="19" t="s">
        <v>8363</v>
      </c>
      <c r="M2788" s="21">
        <v>20.3</v>
      </c>
      <c r="N2788">
        <f t="shared" si="43"/>
        <v>0</v>
      </c>
    </row>
    <row r="2789" spans="1:14" x14ac:dyDescent="0.35">
      <c r="A2789" s="22" t="s">
        <v>2859</v>
      </c>
      <c r="B2789" s="23" t="s">
        <v>69</v>
      </c>
      <c r="C2789" s="23">
        <v>7</v>
      </c>
      <c r="D2789" s="24">
        <v>45867</v>
      </c>
      <c r="E2789" s="23" t="s">
        <v>20</v>
      </c>
      <c r="F2789" s="23" t="s">
        <v>43</v>
      </c>
      <c r="G2789" s="23" t="s">
        <v>15</v>
      </c>
      <c r="H2789" s="23" t="s">
        <v>22</v>
      </c>
      <c r="I2789" s="23">
        <v>24</v>
      </c>
      <c r="J2789" s="23">
        <v>0</v>
      </c>
      <c r="K2789" s="23">
        <v>4</v>
      </c>
      <c r="L2789" s="23" t="s">
        <v>17</v>
      </c>
      <c r="M2789" s="25">
        <v>9.1999999999999993</v>
      </c>
      <c r="N2789">
        <f t="shared" si="43"/>
        <v>1</v>
      </c>
    </row>
    <row r="2790" spans="1:14" x14ac:dyDescent="0.35">
      <c r="A2790" s="6" t="s">
        <v>2860</v>
      </c>
      <c r="B2790" s="19" t="s">
        <v>130</v>
      </c>
      <c r="C2790" s="19">
        <v>1</v>
      </c>
      <c r="D2790" s="20">
        <v>45680</v>
      </c>
      <c r="E2790" s="19" t="s">
        <v>13</v>
      </c>
      <c r="F2790" s="19" t="s">
        <v>26</v>
      </c>
      <c r="G2790" s="19" t="s">
        <v>21</v>
      </c>
      <c r="H2790" s="19" t="s">
        <v>22</v>
      </c>
      <c r="I2790" s="19">
        <v>24</v>
      </c>
      <c r="J2790" s="19">
        <v>1</v>
      </c>
      <c r="K2790" s="19"/>
      <c r="L2790" s="19" t="s">
        <v>8363</v>
      </c>
      <c r="M2790" s="21">
        <v>6.9</v>
      </c>
      <c r="N2790">
        <f t="shared" si="43"/>
        <v>1</v>
      </c>
    </row>
    <row r="2791" spans="1:14" x14ac:dyDescent="0.35">
      <c r="A2791" s="22" t="s">
        <v>2861</v>
      </c>
      <c r="B2791" s="23" t="s">
        <v>143</v>
      </c>
      <c r="C2791" s="23">
        <v>11</v>
      </c>
      <c r="D2791" s="24">
        <v>45973</v>
      </c>
      <c r="E2791" s="23" t="s">
        <v>68</v>
      </c>
      <c r="F2791" s="23" t="s">
        <v>14</v>
      </c>
      <c r="G2791" s="23" t="s">
        <v>31</v>
      </c>
      <c r="H2791" s="23" t="s">
        <v>22</v>
      </c>
      <c r="I2791" s="23">
        <v>4</v>
      </c>
      <c r="J2791" s="23">
        <v>0</v>
      </c>
      <c r="K2791" s="23">
        <v>5</v>
      </c>
      <c r="L2791" s="23" t="s">
        <v>75</v>
      </c>
      <c r="M2791" s="25">
        <v>19.5</v>
      </c>
      <c r="N2791">
        <f t="shared" si="43"/>
        <v>0</v>
      </c>
    </row>
    <row r="2792" spans="1:14" x14ac:dyDescent="0.35">
      <c r="A2792" s="6" t="s">
        <v>2862</v>
      </c>
      <c r="B2792" s="19" t="s">
        <v>253</v>
      </c>
      <c r="C2792" s="19">
        <v>10</v>
      </c>
      <c r="D2792" s="20">
        <v>45939</v>
      </c>
      <c r="E2792" s="19" t="s">
        <v>68</v>
      </c>
      <c r="F2792" s="19" t="s">
        <v>14</v>
      </c>
      <c r="G2792" s="19" t="s">
        <v>21</v>
      </c>
      <c r="H2792" s="19" t="s">
        <v>16</v>
      </c>
      <c r="I2792" s="19">
        <v>8</v>
      </c>
      <c r="J2792" s="19">
        <v>0</v>
      </c>
      <c r="K2792" s="19">
        <v>5</v>
      </c>
      <c r="L2792" s="19" t="s">
        <v>62</v>
      </c>
      <c r="M2792" s="21">
        <v>9.4</v>
      </c>
      <c r="N2792">
        <f t="shared" si="43"/>
        <v>0</v>
      </c>
    </row>
    <row r="2793" spans="1:14" x14ac:dyDescent="0.35">
      <c r="A2793" s="22" t="s">
        <v>2863</v>
      </c>
      <c r="B2793" s="23" t="s">
        <v>57</v>
      </c>
      <c r="C2793" s="23">
        <v>12</v>
      </c>
      <c r="D2793" s="24">
        <v>46006</v>
      </c>
      <c r="E2793" s="23" t="s">
        <v>13</v>
      </c>
      <c r="F2793" s="23" t="s">
        <v>59</v>
      </c>
      <c r="G2793" s="23" t="s">
        <v>31</v>
      </c>
      <c r="H2793" s="23" t="s">
        <v>28</v>
      </c>
      <c r="I2793" s="23">
        <v>72</v>
      </c>
      <c r="J2793" s="23">
        <v>0</v>
      </c>
      <c r="K2793" s="23">
        <v>4</v>
      </c>
      <c r="L2793" s="23" t="s">
        <v>33</v>
      </c>
      <c r="M2793" s="25">
        <v>17.3</v>
      </c>
      <c r="N2793">
        <f t="shared" si="43"/>
        <v>1</v>
      </c>
    </row>
    <row r="2794" spans="1:14" x14ac:dyDescent="0.35">
      <c r="A2794" s="6" t="s">
        <v>2864</v>
      </c>
      <c r="B2794" s="19" t="s">
        <v>69</v>
      </c>
      <c r="C2794" s="19">
        <v>4</v>
      </c>
      <c r="D2794" s="20">
        <v>45765</v>
      </c>
      <c r="E2794" s="19" t="s">
        <v>68</v>
      </c>
      <c r="F2794" s="19" t="s">
        <v>26</v>
      </c>
      <c r="G2794" s="19" t="s">
        <v>8364</v>
      </c>
      <c r="H2794" s="19" t="s">
        <v>32</v>
      </c>
      <c r="I2794" s="19">
        <v>8</v>
      </c>
      <c r="J2794" s="19">
        <v>0</v>
      </c>
      <c r="K2794" s="19">
        <v>5</v>
      </c>
      <c r="L2794" s="19" t="s">
        <v>8363</v>
      </c>
      <c r="M2794" s="21"/>
      <c r="N2794">
        <f t="shared" si="43"/>
        <v>1</v>
      </c>
    </row>
    <row r="2795" spans="1:14" x14ac:dyDescent="0.35">
      <c r="A2795" s="22" t="s">
        <v>2865</v>
      </c>
      <c r="B2795" s="23" t="s">
        <v>89</v>
      </c>
      <c r="C2795" s="23">
        <v>12</v>
      </c>
      <c r="D2795" s="24">
        <v>46007</v>
      </c>
      <c r="E2795" s="23" t="s">
        <v>13</v>
      </c>
      <c r="F2795" s="23" t="s">
        <v>40</v>
      </c>
      <c r="G2795" s="23" t="s">
        <v>31</v>
      </c>
      <c r="H2795" s="23" t="s">
        <v>32</v>
      </c>
      <c r="I2795" s="23">
        <v>8</v>
      </c>
      <c r="J2795" s="23">
        <v>0</v>
      </c>
      <c r="K2795" s="23"/>
      <c r="L2795" s="23" t="s">
        <v>55</v>
      </c>
      <c r="M2795" s="25">
        <v>6</v>
      </c>
      <c r="N2795">
        <f t="shared" si="43"/>
        <v>1</v>
      </c>
    </row>
    <row r="2796" spans="1:14" x14ac:dyDescent="0.35">
      <c r="A2796" s="6" t="s">
        <v>2866</v>
      </c>
      <c r="B2796" s="19" t="s">
        <v>41</v>
      </c>
      <c r="C2796" s="19">
        <v>10</v>
      </c>
      <c r="D2796" s="20">
        <v>45933</v>
      </c>
      <c r="E2796" s="19" t="s">
        <v>20</v>
      </c>
      <c r="F2796" s="19" t="s">
        <v>8364</v>
      </c>
      <c r="G2796" s="19" t="s">
        <v>27</v>
      </c>
      <c r="H2796" s="19" t="s">
        <v>28</v>
      </c>
      <c r="I2796" s="19">
        <v>8</v>
      </c>
      <c r="J2796" s="19"/>
      <c r="K2796" s="19">
        <v>5</v>
      </c>
      <c r="L2796" s="19" t="s">
        <v>55</v>
      </c>
      <c r="M2796" s="21">
        <v>8.4</v>
      </c>
      <c r="N2796">
        <f t="shared" si="43"/>
        <v>0</v>
      </c>
    </row>
    <row r="2797" spans="1:14" x14ac:dyDescent="0.35">
      <c r="A2797" s="22" t="s">
        <v>2867</v>
      </c>
      <c r="B2797" s="23" t="s">
        <v>85</v>
      </c>
      <c r="C2797" s="23">
        <v>9</v>
      </c>
      <c r="D2797" s="24">
        <v>45925</v>
      </c>
      <c r="E2797" s="23" t="s">
        <v>25</v>
      </c>
      <c r="F2797" s="23" t="s">
        <v>40</v>
      </c>
      <c r="G2797" s="23" t="s">
        <v>31</v>
      </c>
      <c r="H2797" s="23" t="s">
        <v>32</v>
      </c>
      <c r="I2797" s="23">
        <v>8</v>
      </c>
      <c r="J2797" s="23">
        <v>0</v>
      </c>
      <c r="K2797" s="23">
        <v>4</v>
      </c>
      <c r="L2797" s="23" t="s">
        <v>17</v>
      </c>
      <c r="M2797" s="25">
        <v>8.1999999999999993</v>
      </c>
      <c r="N2797">
        <f t="shared" si="43"/>
        <v>0</v>
      </c>
    </row>
    <row r="2798" spans="1:14" x14ac:dyDescent="0.35">
      <c r="A2798" s="6" t="s">
        <v>2868</v>
      </c>
      <c r="B2798" s="19" t="s">
        <v>18</v>
      </c>
      <c r="C2798" s="19">
        <v>11</v>
      </c>
      <c r="D2798" s="20">
        <v>45971</v>
      </c>
      <c r="E2798" s="19" t="s">
        <v>25</v>
      </c>
      <c r="F2798" s="19" t="s">
        <v>40</v>
      </c>
      <c r="G2798" s="19" t="s">
        <v>27</v>
      </c>
      <c r="H2798" s="19" t="s">
        <v>22</v>
      </c>
      <c r="I2798" s="19">
        <v>8</v>
      </c>
      <c r="J2798" s="19">
        <v>1</v>
      </c>
      <c r="K2798" s="19">
        <v>2</v>
      </c>
      <c r="L2798" s="19" t="s">
        <v>17</v>
      </c>
      <c r="M2798" s="21">
        <v>2</v>
      </c>
      <c r="N2798">
        <f t="shared" si="43"/>
        <v>1</v>
      </c>
    </row>
    <row r="2799" spans="1:14" x14ac:dyDescent="0.35">
      <c r="A2799" s="22" t="s">
        <v>2869</v>
      </c>
      <c r="B2799" s="23" t="s">
        <v>34</v>
      </c>
      <c r="C2799" s="23">
        <v>6</v>
      </c>
      <c r="D2799" s="24">
        <v>45815</v>
      </c>
      <c r="E2799" s="23" t="s">
        <v>25</v>
      </c>
      <c r="F2799" s="23" t="s">
        <v>26</v>
      </c>
      <c r="G2799" s="23" t="s">
        <v>15</v>
      </c>
      <c r="H2799" s="23" t="s">
        <v>8364</v>
      </c>
      <c r="I2799" s="23">
        <v>72</v>
      </c>
      <c r="J2799" s="23">
        <v>0</v>
      </c>
      <c r="K2799" s="23">
        <v>2</v>
      </c>
      <c r="L2799" s="23" t="s">
        <v>44</v>
      </c>
      <c r="M2799" s="25">
        <v>6.4</v>
      </c>
      <c r="N2799">
        <f t="shared" si="43"/>
        <v>1</v>
      </c>
    </row>
    <row r="2800" spans="1:14" x14ac:dyDescent="0.35">
      <c r="A2800" s="6" t="s">
        <v>2870</v>
      </c>
      <c r="B2800" s="19" t="s">
        <v>143</v>
      </c>
      <c r="C2800" s="19">
        <v>2</v>
      </c>
      <c r="D2800" s="20">
        <v>45706</v>
      </c>
      <c r="E2800" s="19" t="s">
        <v>20</v>
      </c>
      <c r="F2800" s="19" t="s">
        <v>8364</v>
      </c>
      <c r="G2800" s="19" t="s">
        <v>15</v>
      </c>
      <c r="H2800" s="19" t="s">
        <v>8364</v>
      </c>
      <c r="I2800" s="19">
        <v>8</v>
      </c>
      <c r="J2800" s="19">
        <v>0</v>
      </c>
      <c r="K2800" s="19">
        <v>5</v>
      </c>
      <c r="L2800" s="19" t="s">
        <v>44</v>
      </c>
      <c r="M2800" s="21">
        <v>14.4</v>
      </c>
      <c r="N2800">
        <f t="shared" si="43"/>
        <v>0</v>
      </c>
    </row>
    <row r="2801" spans="1:14" x14ac:dyDescent="0.35">
      <c r="A2801" s="22" t="s">
        <v>2871</v>
      </c>
      <c r="B2801" s="23" t="s">
        <v>57</v>
      </c>
      <c r="C2801" s="23">
        <v>1</v>
      </c>
      <c r="D2801" s="24">
        <v>45681</v>
      </c>
      <c r="E2801" s="23" t="s">
        <v>25</v>
      </c>
      <c r="F2801" s="23" t="s">
        <v>43</v>
      </c>
      <c r="G2801" s="23" t="s">
        <v>15</v>
      </c>
      <c r="H2801" s="23" t="s">
        <v>8364</v>
      </c>
      <c r="I2801" s="23">
        <v>8</v>
      </c>
      <c r="J2801" s="23">
        <v>0</v>
      </c>
      <c r="K2801" s="23">
        <v>4</v>
      </c>
      <c r="L2801" s="23" t="s">
        <v>62</v>
      </c>
      <c r="M2801" s="25">
        <v>12.9</v>
      </c>
      <c r="N2801">
        <f t="shared" si="43"/>
        <v>0</v>
      </c>
    </row>
    <row r="2802" spans="1:14" x14ac:dyDescent="0.35">
      <c r="A2802" s="6" t="s">
        <v>2872</v>
      </c>
      <c r="B2802" s="19" t="s">
        <v>89</v>
      </c>
      <c r="C2802" s="19"/>
      <c r="D2802" s="20"/>
      <c r="E2802" s="19" t="s">
        <v>13</v>
      </c>
      <c r="F2802" s="19" t="s">
        <v>8364</v>
      </c>
      <c r="G2802" s="19" t="s">
        <v>8364</v>
      </c>
      <c r="H2802" s="19" t="s">
        <v>22</v>
      </c>
      <c r="I2802" s="19">
        <v>72</v>
      </c>
      <c r="J2802" s="19">
        <v>0</v>
      </c>
      <c r="K2802" s="19">
        <v>5</v>
      </c>
      <c r="L2802" s="19" t="s">
        <v>55</v>
      </c>
      <c r="M2802" s="21">
        <v>8.4</v>
      </c>
      <c r="N2802">
        <f t="shared" si="43"/>
        <v>1</v>
      </c>
    </row>
    <row r="2803" spans="1:14" x14ac:dyDescent="0.35">
      <c r="A2803" s="22" t="s">
        <v>2873</v>
      </c>
      <c r="B2803" s="23" t="s">
        <v>49</v>
      </c>
      <c r="C2803" s="23">
        <v>8</v>
      </c>
      <c r="D2803" s="24">
        <v>45874</v>
      </c>
      <c r="E2803" s="23" t="s">
        <v>13</v>
      </c>
      <c r="F2803" s="23" t="s">
        <v>14</v>
      </c>
      <c r="G2803" s="23" t="s">
        <v>15</v>
      </c>
      <c r="H2803" s="23" t="s">
        <v>28</v>
      </c>
      <c r="I2803" s="23">
        <v>48</v>
      </c>
      <c r="J2803" s="23">
        <v>0</v>
      </c>
      <c r="K2803" s="23">
        <v>4</v>
      </c>
      <c r="L2803" s="23" t="s">
        <v>38</v>
      </c>
      <c r="M2803" s="25">
        <v>19.399999999999999</v>
      </c>
      <c r="N2803">
        <f t="shared" si="43"/>
        <v>1</v>
      </c>
    </row>
    <row r="2804" spans="1:14" x14ac:dyDescent="0.35">
      <c r="A2804" s="6" t="s">
        <v>2874</v>
      </c>
      <c r="B2804" s="19" t="s">
        <v>65</v>
      </c>
      <c r="C2804" s="19">
        <v>4</v>
      </c>
      <c r="D2804" s="20">
        <v>45754</v>
      </c>
      <c r="E2804" s="19" t="s">
        <v>13</v>
      </c>
      <c r="F2804" s="19" t="s">
        <v>26</v>
      </c>
      <c r="G2804" s="19" t="s">
        <v>8364</v>
      </c>
      <c r="H2804" s="19" t="s">
        <v>32</v>
      </c>
      <c r="I2804" s="19">
        <v>4</v>
      </c>
      <c r="J2804" s="19">
        <v>1</v>
      </c>
      <c r="K2804" s="19">
        <v>3</v>
      </c>
      <c r="L2804" s="19" t="s">
        <v>38</v>
      </c>
      <c r="M2804" s="21">
        <v>9.6</v>
      </c>
      <c r="N2804">
        <f t="shared" si="43"/>
        <v>0</v>
      </c>
    </row>
    <row r="2805" spans="1:14" x14ac:dyDescent="0.35">
      <c r="A2805" s="22" t="s">
        <v>2875</v>
      </c>
      <c r="B2805" s="23" t="s">
        <v>34</v>
      </c>
      <c r="C2805" s="23">
        <v>7</v>
      </c>
      <c r="D2805" s="24">
        <v>45845</v>
      </c>
      <c r="E2805" s="23" t="s">
        <v>13</v>
      </c>
      <c r="F2805" s="23" t="s">
        <v>14</v>
      </c>
      <c r="G2805" s="23" t="s">
        <v>27</v>
      </c>
      <c r="H2805" s="23" t="s">
        <v>22</v>
      </c>
      <c r="I2805" s="23">
        <v>8</v>
      </c>
      <c r="J2805" s="23">
        <v>0</v>
      </c>
      <c r="K2805" s="23">
        <v>5</v>
      </c>
      <c r="L2805" s="23" t="s">
        <v>8363</v>
      </c>
      <c r="M2805" s="25">
        <v>11.6</v>
      </c>
      <c r="N2805">
        <f t="shared" si="43"/>
        <v>0</v>
      </c>
    </row>
    <row r="2806" spans="1:14" x14ac:dyDescent="0.35">
      <c r="A2806" s="6" t="s">
        <v>2876</v>
      </c>
      <c r="B2806" s="19" t="s">
        <v>146</v>
      </c>
      <c r="C2806" s="19">
        <v>5</v>
      </c>
      <c r="D2806" s="20">
        <v>45780</v>
      </c>
      <c r="E2806" s="19" t="s">
        <v>8364</v>
      </c>
      <c r="F2806" s="19" t="s">
        <v>59</v>
      </c>
      <c r="G2806" s="19" t="s">
        <v>27</v>
      </c>
      <c r="H2806" s="19" t="s">
        <v>8364</v>
      </c>
      <c r="I2806" s="19">
        <v>72</v>
      </c>
      <c r="J2806" s="19">
        <v>0</v>
      </c>
      <c r="K2806" s="19">
        <v>4</v>
      </c>
      <c r="L2806" s="19" t="s">
        <v>8363</v>
      </c>
      <c r="M2806" s="21">
        <v>2.7</v>
      </c>
      <c r="N2806">
        <f t="shared" si="43"/>
        <v>1</v>
      </c>
    </row>
    <row r="2807" spans="1:14" x14ac:dyDescent="0.35">
      <c r="A2807" s="22" t="s">
        <v>2877</v>
      </c>
      <c r="B2807" s="23" t="s">
        <v>69</v>
      </c>
      <c r="C2807" s="23">
        <v>1</v>
      </c>
      <c r="D2807" s="24">
        <v>45681</v>
      </c>
      <c r="E2807" s="23" t="s">
        <v>68</v>
      </c>
      <c r="F2807" s="23" t="s">
        <v>43</v>
      </c>
      <c r="G2807" s="23" t="s">
        <v>15</v>
      </c>
      <c r="H2807" s="23" t="s">
        <v>28</v>
      </c>
      <c r="I2807" s="23">
        <v>72</v>
      </c>
      <c r="J2807" s="23">
        <v>0</v>
      </c>
      <c r="K2807" s="23">
        <v>4</v>
      </c>
      <c r="L2807" s="23" t="s">
        <v>62</v>
      </c>
      <c r="M2807" s="25"/>
      <c r="N2807">
        <f t="shared" si="43"/>
        <v>1</v>
      </c>
    </row>
    <row r="2808" spans="1:14" x14ac:dyDescent="0.35">
      <c r="A2808" s="6" t="s">
        <v>2878</v>
      </c>
      <c r="B2808" s="19" t="s">
        <v>181</v>
      </c>
      <c r="C2808" s="19">
        <v>10</v>
      </c>
      <c r="D2808" s="20">
        <v>45936</v>
      </c>
      <c r="E2808" s="19" t="s">
        <v>25</v>
      </c>
      <c r="F2808" s="19" t="s">
        <v>26</v>
      </c>
      <c r="G2808" s="19" t="s">
        <v>27</v>
      </c>
      <c r="H2808" s="19" t="s">
        <v>8364</v>
      </c>
      <c r="I2808" s="19">
        <v>48</v>
      </c>
      <c r="J2808" s="19">
        <v>0</v>
      </c>
      <c r="K2808" s="19">
        <v>5</v>
      </c>
      <c r="L2808" s="19" t="s">
        <v>33</v>
      </c>
      <c r="M2808" s="21">
        <v>2.5</v>
      </c>
      <c r="N2808">
        <f t="shared" si="43"/>
        <v>1</v>
      </c>
    </row>
    <row r="2809" spans="1:14" x14ac:dyDescent="0.35">
      <c r="A2809" s="22" t="s">
        <v>2879</v>
      </c>
      <c r="B2809" s="23" t="s">
        <v>53</v>
      </c>
      <c r="C2809" s="23">
        <v>5</v>
      </c>
      <c r="D2809" s="24">
        <v>45783</v>
      </c>
      <c r="E2809" s="23" t="s">
        <v>13</v>
      </c>
      <c r="F2809" s="23" t="s">
        <v>26</v>
      </c>
      <c r="G2809" s="23" t="s">
        <v>31</v>
      </c>
      <c r="H2809" s="23" t="s">
        <v>8364</v>
      </c>
      <c r="I2809" s="23">
        <v>8</v>
      </c>
      <c r="J2809" s="23">
        <v>0</v>
      </c>
      <c r="K2809" s="23">
        <v>5</v>
      </c>
      <c r="L2809" s="23" t="s">
        <v>33</v>
      </c>
      <c r="M2809" s="25">
        <v>23.8</v>
      </c>
      <c r="N2809">
        <f t="shared" si="43"/>
        <v>0</v>
      </c>
    </row>
    <row r="2810" spans="1:14" x14ac:dyDescent="0.35">
      <c r="A2810" s="6" t="s">
        <v>2880</v>
      </c>
      <c r="B2810" s="19" t="s">
        <v>45</v>
      </c>
      <c r="C2810" s="19">
        <v>6</v>
      </c>
      <c r="D2810" s="20">
        <v>45810</v>
      </c>
      <c r="E2810" s="19" t="s">
        <v>25</v>
      </c>
      <c r="F2810" s="19" t="s">
        <v>37</v>
      </c>
      <c r="G2810" s="19" t="s">
        <v>8364</v>
      </c>
      <c r="H2810" s="19" t="s">
        <v>22</v>
      </c>
      <c r="I2810" s="19">
        <v>8</v>
      </c>
      <c r="J2810" s="19">
        <v>1</v>
      </c>
      <c r="K2810" s="19">
        <v>5</v>
      </c>
      <c r="L2810" s="19" t="s">
        <v>8363</v>
      </c>
      <c r="M2810" s="21">
        <v>7.9</v>
      </c>
      <c r="N2810">
        <f t="shared" si="43"/>
        <v>1</v>
      </c>
    </row>
    <row r="2811" spans="1:14" x14ac:dyDescent="0.35">
      <c r="A2811" s="22" t="s">
        <v>2881</v>
      </c>
      <c r="B2811" s="23" t="s">
        <v>69</v>
      </c>
      <c r="C2811" s="23">
        <v>9</v>
      </c>
      <c r="D2811" s="24">
        <v>45906</v>
      </c>
      <c r="E2811" s="23" t="s">
        <v>25</v>
      </c>
      <c r="F2811" s="23" t="s">
        <v>59</v>
      </c>
      <c r="G2811" s="23" t="s">
        <v>31</v>
      </c>
      <c r="H2811" s="23" t="s">
        <v>8364</v>
      </c>
      <c r="I2811" s="23">
        <v>48</v>
      </c>
      <c r="J2811" s="23">
        <v>0</v>
      </c>
      <c r="K2811" s="23">
        <v>3</v>
      </c>
      <c r="L2811" s="23" t="s">
        <v>38</v>
      </c>
      <c r="M2811" s="25">
        <v>4.8</v>
      </c>
      <c r="N2811">
        <f t="shared" si="43"/>
        <v>1</v>
      </c>
    </row>
    <row r="2812" spans="1:14" x14ac:dyDescent="0.35">
      <c r="A2812" s="6" t="s">
        <v>2882</v>
      </c>
      <c r="B2812" s="19" t="s">
        <v>101</v>
      </c>
      <c r="C2812" s="19">
        <v>4</v>
      </c>
      <c r="D2812" s="20">
        <v>45774</v>
      </c>
      <c r="E2812" s="19" t="s">
        <v>25</v>
      </c>
      <c r="F2812" s="19" t="s">
        <v>43</v>
      </c>
      <c r="G2812" s="19" t="s">
        <v>8364</v>
      </c>
      <c r="H2812" s="19" t="s">
        <v>22</v>
      </c>
      <c r="I2812" s="19">
        <v>72</v>
      </c>
      <c r="J2812" s="19">
        <v>1</v>
      </c>
      <c r="K2812" s="19">
        <v>3</v>
      </c>
      <c r="L2812" s="19" t="s">
        <v>38</v>
      </c>
      <c r="M2812" s="21">
        <v>16.899999999999999</v>
      </c>
      <c r="N2812">
        <f t="shared" si="43"/>
        <v>1</v>
      </c>
    </row>
    <row r="2813" spans="1:14" x14ac:dyDescent="0.35">
      <c r="A2813" s="22" t="s">
        <v>2883</v>
      </c>
      <c r="B2813" s="23" t="s">
        <v>72</v>
      </c>
      <c r="C2813" s="23">
        <v>12</v>
      </c>
      <c r="D2813" s="24">
        <v>46011</v>
      </c>
      <c r="E2813" s="23" t="s">
        <v>8364</v>
      </c>
      <c r="F2813" s="23" t="s">
        <v>8364</v>
      </c>
      <c r="G2813" s="23" t="s">
        <v>27</v>
      </c>
      <c r="H2813" s="23" t="s">
        <v>16</v>
      </c>
      <c r="I2813" s="23">
        <v>4</v>
      </c>
      <c r="J2813" s="23">
        <v>0</v>
      </c>
      <c r="K2813" s="23"/>
      <c r="L2813" s="23" t="s">
        <v>62</v>
      </c>
      <c r="M2813" s="25">
        <v>4</v>
      </c>
      <c r="N2813">
        <f t="shared" si="43"/>
        <v>1</v>
      </c>
    </row>
    <row r="2814" spans="1:14" x14ac:dyDescent="0.35">
      <c r="A2814" s="6" t="s">
        <v>2884</v>
      </c>
      <c r="B2814" s="19" t="s">
        <v>29</v>
      </c>
      <c r="C2814" s="19">
        <v>4</v>
      </c>
      <c r="D2814" s="20">
        <v>45776</v>
      </c>
      <c r="E2814" s="19" t="s">
        <v>8364</v>
      </c>
      <c r="F2814" s="19" t="s">
        <v>14</v>
      </c>
      <c r="G2814" s="19" t="s">
        <v>27</v>
      </c>
      <c r="H2814" s="19" t="s">
        <v>22</v>
      </c>
      <c r="I2814" s="19">
        <v>24</v>
      </c>
      <c r="J2814" s="19">
        <v>0</v>
      </c>
      <c r="K2814" s="19">
        <v>5</v>
      </c>
      <c r="L2814" s="19" t="s">
        <v>8363</v>
      </c>
      <c r="M2814" s="21">
        <v>6.2</v>
      </c>
      <c r="N2814">
        <f t="shared" si="43"/>
        <v>1</v>
      </c>
    </row>
    <row r="2815" spans="1:14" x14ac:dyDescent="0.35">
      <c r="A2815" s="22" t="s">
        <v>2885</v>
      </c>
      <c r="B2815" s="23" t="s">
        <v>65</v>
      </c>
      <c r="C2815" s="23">
        <v>1</v>
      </c>
      <c r="D2815" s="24">
        <v>45681</v>
      </c>
      <c r="E2815" s="23" t="s">
        <v>20</v>
      </c>
      <c r="F2815" s="23" t="s">
        <v>14</v>
      </c>
      <c r="G2815" s="23" t="s">
        <v>27</v>
      </c>
      <c r="H2815" s="23" t="s">
        <v>28</v>
      </c>
      <c r="I2815" s="23">
        <v>24</v>
      </c>
      <c r="J2815" s="23">
        <v>1</v>
      </c>
      <c r="K2815" s="23">
        <v>2</v>
      </c>
      <c r="L2815" s="23" t="s">
        <v>75</v>
      </c>
      <c r="M2815" s="25">
        <v>27.9</v>
      </c>
      <c r="N2815">
        <f t="shared" si="43"/>
        <v>0</v>
      </c>
    </row>
    <row r="2816" spans="1:14" x14ac:dyDescent="0.35">
      <c r="A2816" s="6" t="s">
        <v>2886</v>
      </c>
      <c r="B2816" s="19" t="s">
        <v>89</v>
      </c>
      <c r="C2816" s="19">
        <v>8</v>
      </c>
      <c r="D2816" s="20">
        <v>45876</v>
      </c>
      <c r="E2816" s="19" t="s">
        <v>20</v>
      </c>
      <c r="F2816" s="19" t="s">
        <v>14</v>
      </c>
      <c r="G2816" s="19" t="s">
        <v>21</v>
      </c>
      <c r="H2816" s="19" t="s">
        <v>22</v>
      </c>
      <c r="I2816" s="19">
        <v>48</v>
      </c>
      <c r="J2816" s="19">
        <v>0</v>
      </c>
      <c r="K2816" s="19">
        <v>3</v>
      </c>
      <c r="L2816" s="19" t="s">
        <v>75</v>
      </c>
      <c r="M2816" s="21">
        <v>24.4</v>
      </c>
      <c r="N2816">
        <f t="shared" si="43"/>
        <v>1</v>
      </c>
    </row>
    <row r="2817" spans="1:14" x14ac:dyDescent="0.35">
      <c r="A2817" s="22" t="s">
        <v>2887</v>
      </c>
      <c r="B2817" s="23" t="s">
        <v>65</v>
      </c>
      <c r="C2817" s="23">
        <v>12</v>
      </c>
      <c r="D2817" s="24">
        <v>45997</v>
      </c>
      <c r="E2817" s="23" t="s">
        <v>25</v>
      </c>
      <c r="F2817" s="23" t="s">
        <v>59</v>
      </c>
      <c r="G2817" s="23" t="s">
        <v>15</v>
      </c>
      <c r="H2817" s="23" t="s">
        <v>22</v>
      </c>
      <c r="I2817" s="23">
        <v>72</v>
      </c>
      <c r="J2817" s="23">
        <v>0</v>
      </c>
      <c r="K2817" s="23">
        <v>3</v>
      </c>
      <c r="L2817" s="23" t="s">
        <v>17</v>
      </c>
      <c r="M2817" s="25">
        <v>22.2</v>
      </c>
      <c r="N2817">
        <f t="shared" si="43"/>
        <v>1</v>
      </c>
    </row>
    <row r="2818" spans="1:14" x14ac:dyDescent="0.35">
      <c r="A2818" s="6" t="s">
        <v>2888</v>
      </c>
      <c r="B2818" s="19" t="s">
        <v>104</v>
      </c>
      <c r="C2818" s="19">
        <v>5</v>
      </c>
      <c r="D2818" s="20">
        <v>45803</v>
      </c>
      <c r="E2818" s="19" t="s">
        <v>36</v>
      </c>
      <c r="F2818" s="19" t="s">
        <v>14</v>
      </c>
      <c r="G2818" s="19" t="s">
        <v>27</v>
      </c>
      <c r="H2818" s="19" t="s">
        <v>32</v>
      </c>
      <c r="I2818" s="19">
        <v>48</v>
      </c>
      <c r="J2818" s="19">
        <v>0</v>
      </c>
      <c r="K2818" s="19">
        <v>2</v>
      </c>
      <c r="L2818" s="19" t="s">
        <v>55</v>
      </c>
      <c r="M2818" s="21">
        <v>0.9</v>
      </c>
      <c r="N2818">
        <f t="shared" si="43"/>
        <v>1</v>
      </c>
    </row>
    <row r="2819" spans="1:14" x14ac:dyDescent="0.35">
      <c r="A2819" s="22" t="s">
        <v>2889</v>
      </c>
      <c r="B2819" s="23" t="s">
        <v>65</v>
      </c>
      <c r="C2819" s="23">
        <v>11</v>
      </c>
      <c r="D2819" s="24">
        <v>45968</v>
      </c>
      <c r="E2819" s="23" t="s">
        <v>68</v>
      </c>
      <c r="F2819" s="23" t="s">
        <v>37</v>
      </c>
      <c r="G2819" s="23" t="s">
        <v>21</v>
      </c>
      <c r="H2819" s="23" t="s">
        <v>22</v>
      </c>
      <c r="I2819" s="23">
        <v>24</v>
      </c>
      <c r="J2819" s="23">
        <v>0</v>
      </c>
      <c r="K2819" s="23">
        <v>5</v>
      </c>
      <c r="L2819" s="23" t="s">
        <v>44</v>
      </c>
      <c r="M2819" s="25">
        <v>6.4</v>
      </c>
      <c r="N2819">
        <f t="shared" ref="N2819:N2882" si="44">IF(M2819 &lt;= I2819, 1, 0)</f>
        <v>1</v>
      </c>
    </row>
    <row r="2820" spans="1:14" x14ac:dyDescent="0.35">
      <c r="A2820" s="6" t="s">
        <v>2890</v>
      </c>
      <c r="B2820" s="19" t="s">
        <v>81</v>
      </c>
      <c r="C2820" s="19">
        <v>7</v>
      </c>
      <c r="D2820" s="20">
        <v>45844</v>
      </c>
      <c r="E2820" s="19" t="s">
        <v>25</v>
      </c>
      <c r="F2820" s="19" t="s">
        <v>37</v>
      </c>
      <c r="G2820" s="19" t="s">
        <v>8364</v>
      </c>
      <c r="H2820" s="19" t="s">
        <v>32</v>
      </c>
      <c r="I2820" s="19">
        <v>4</v>
      </c>
      <c r="J2820" s="19">
        <v>0</v>
      </c>
      <c r="K2820" s="19">
        <v>4</v>
      </c>
      <c r="L2820" s="19" t="s">
        <v>8363</v>
      </c>
      <c r="M2820" s="21">
        <v>5.2</v>
      </c>
      <c r="N2820">
        <f t="shared" si="44"/>
        <v>0</v>
      </c>
    </row>
    <row r="2821" spans="1:14" x14ac:dyDescent="0.35">
      <c r="A2821" s="22" t="s">
        <v>2891</v>
      </c>
      <c r="B2821" s="23" t="s">
        <v>72</v>
      </c>
      <c r="C2821" s="23">
        <v>8</v>
      </c>
      <c r="D2821" s="24">
        <v>45880</v>
      </c>
      <c r="E2821" s="23" t="s">
        <v>13</v>
      </c>
      <c r="F2821" s="23" t="s">
        <v>26</v>
      </c>
      <c r="G2821" s="23" t="s">
        <v>27</v>
      </c>
      <c r="H2821" s="23" t="s">
        <v>8364</v>
      </c>
      <c r="I2821" s="23">
        <v>8</v>
      </c>
      <c r="J2821" s="23">
        <v>1</v>
      </c>
      <c r="K2821" s="23">
        <v>4</v>
      </c>
      <c r="L2821" s="23" t="s">
        <v>17</v>
      </c>
      <c r="M2821" s="25">
        <v>4</v>
      </c>
      <c r="N2821">
        <f t="shared" si="44"/>
        <v>1</v>
      </c>
    </row>
    <row r="2822" spans="1:14" x14ac:dyDescent="0.35">
      <c r="A2822" s="6" t="s">
        <v>2892</v>
      </c>
      <c r="B2822" s="19" t="s">
        <v>89</v>
      </c>
      <c r="C2822" s="19">
        <v>6</v>
      </c>
      <c r="D2822" s="20">
        <v>45833</v>
      </c>
      <c r="E2822" s="19" t="s">
        <v>20</v>
      </c>
      <c r="F2822" s="19" t="s">
        <v>14</v>
      </c>
      <c r="G2822" s="19" t="s">
        <v>31</v>
      </c>
      <c r="H2822" s="19" t="s">
        <v>32</v>
      </c>
      <c r="I2822" s="19">
        <v>72</v>
      </c>
      <c r="J2822" s="19">
        <v>0</v>
      </c>
      <c r="K2822" s="19"/>
      <c r="L2822" s="19" t="s">
        <v>8363</v>
      </c>
      <c r="M2822" s="21">
        <v>6.3</v>
      </c>
      <c r="N2822">
        <f t="shared" si="44"/>
        <v>1</v>
      </c>
    </row>
    <row r="2823" spans="1:14" x14ac:dyDescent="0.35">
      <c r="A2823" s="22" t="s">
        <v>2893</v>
      </c>
      <c r="B2823" s="23" t="s">
        <v>23</v>
      </c>
      <c r="C2823" s="23">
        <v>7</v>
      </c>
      <c r="D2823" s="24">
        <v>45847</v>
      </c>
      <c r="E2823" s="23" t="s">
        <v>13</v>
      </c>
      <c r="F2823" s="23" t="s">
        <v>59</v>
      </c>
      <c r="G2823" s="23" t="s">
        <v>31</v>
      </c>
      <c r="H2823" s="23" t="s">
        <v>28</v>
      </c>
      <c r="I2823" s="23">
        <v>24</v>
      </c>
      <c r="J2823" s="23">
        <v>0</v>
      </c>
      <c r="K2823" s="23">
        <v>5</v>
      </c>
      <c r="L2823" s="23" t="s">
        <v>55</v>
      </c>
      <c r="M2823" s="25">
        <v>1.4</v>
      </c>
      <c r="N2823">
        <f t="shared" si="44"/>
        <v>1</v>
      </c>
    </row>
    <row r="2824" spans="1:14" x14ac:dyDescent="0.35">
      <c r="A2824" s="6" t="s">
        <v>2894</v>
      </c>
      <c r="B2824" s="19" t="s">
        <v>143</v>
      </c>
      <c r="C2824" s="19"/>
      <c r="D2824" s="20"/>
      <c r="E2824" s="19" t="s">
        <v>8364</v>
      </c>
      <c r="F2824" s="19" t="s">
        <v>43</v>
      </c>
      <c r="G2824" s="19" t="s">
        <v>31</v>
      </c>
      <c r="H2824" s="19" t="s">
        <v>32</v>
      </c>
      <c r="I2824" s="19">
        <v>24</v>
      </c>
      <c r="J2824" s="19">
        <v>0</v>
      </c>
      <c r="K2824" s="19">
        <v>5</v>
      </c>
      <c r="L2824" s="19" t="s">
        <v>75</v>
      </c>
      <c r="M2824" s="21">
        <v>20.100000000000001</v>
      </c>
      <c r="N2824">
        <f t="shared" si="44"/>
        <v>1</v>
      </c>
    </row>
    <row r="2825" spans="1:14" x14ac:dyDescent="0.35">
      <c r="A2825" s="22" t="s">
        <v>2895</v>
      </c>
      <c r="B2825" s="23" t="s">
        <v>81</v>
      </c>
      <c r="C2825" s="23">
        <v>5</v>
      </c>
      <c r="D2825" s="24">
        <v>45805</v>
      </c>
      <c r="E2825" s="23" t="s">
        <v>68</v>
      </c>
      <c r="F2825" s="23" t="s">
        <v>14</v>
      </c>
      <c r="G2825" s="23" t="s">
        <v>21</v>
      </c>
      <c r="H2825" s="23" t="s">
        <v>22</v>
      </c>
      <c r="I2825" s="23">
        <v>8</v>
      </c>
      <c r="J2825" s="23">
        <v>0</v>
      </c>
      <c r="K2825" s="23">
        <v>5</v>
      </c>
      <c r="L2825" s="23" t="s">
        <v>8363</v>
      </c>
      <c r="M2825" s="25">
        <v>19.600000000000001</v>
      </c>
      <c r="N2825">
        <f t="shared" si="44"/>
        <v>0</v>
      </c>
    </row>
    <row r="2826" spans="1:14" x14ac:dyDescent="0.35">
      <c r="A2826" s="6" t="s">
        <v>2896</v>
      </c>
      <c r="B2826" s="19" t="s">
        <v>69</v>
      </c>
      <c r="C2826" s="19">
        <v>1</v>
      </c>
      <c r="D2826" s="20">
        <v>45658</v>
      </c>
      <c r="E2826" s="19" t="s">
        <v>25</v>
      </c>
      <c r="F2826" s="19" t="s">
        <v>14</v>
      </c>
      <c r="G2826" s="19" t="s">
        <v>15</v>
      </c>
      <c r="H2826" s="19" t="s">
        <v>22</v>
      </c>
      <c r="I2826" s="19">
        <v>24</v>
      </c>
      <c r="J2826" s="19">
        <v>0</v>
      </c>
      <c r="K2826" s="19">
        <v>4</v>
      </c>
      <c r="L2826" s="19" t="s">
        <v>38</v>
      </c>
      <c r="M2826" s="21">
        <v>16.600000000000001</v>
      </c>
      <c r="N2826">
        <f t="shared" si="44"/>
        <v>1</v>
      </c>
    </row>
    <row r="2827" spans="1:14" x14ac:dyDescent="0.35">
      <c r="A2827" s="22" t="s">
        <v>2897</v>
      </c>
      <c r="B2827" s="23" t="s">
        <v>89</v>
      </c>
      <c r="C2827" s="23"/>
      <c r="D2827" s="24"/>
      <c r="E2827" s="23" t="s">
        <v>36</v>
      </c>
      <c r="F2827" s="23" t="s">
        <v>14</v>
      </c>
      <c r="G2827" s="23" t="s">
        <v>15</v>
      </c>
      <c r="H2827" s="23" t="s">
        <v>16</v>
      </c>
      <c r="I2827" s="23">
        <v>4</v>
      </c>
      <c r="J2827" s="23">
        <v>1</v>
      </c>
      <c r="K2827" s="23">
        <v>3</v>
      </c>
      <c r="L2827" s="23" t="s">
        <v>62</v>
      </c>
      <c r="M2827" s="25">
        <v>17.899999999999999</v>
      </c>
      <c r="N2827">
        <f t="shared" si="44"/>
        <v>0</v>
      </c>
    </row>
    <row r="2828" spans="1:14" x14ac:dyDescent="0.35">
      <c r="A2828" s="6" t="s">
        <v>2898</v>
      </c>
      <c r="B2828" s="19" t="s">
        <v>53</v>
      </c>
      <c r="C2828" s="19">
        <v>8</v>
      </c>
      <c r="D2828" s="20">
        <v>45875</v>
      </c>
      <c r="E2828" s="19" t="s">
        <v>13</v>
      </c>
      <c r="F2828" s="19" t="s">
        <v>43</v>
      </c>
      <c r="G2828" s="19" t="s">
        <v>21</v>
      </c>
      <c r="H2828" s="19" t="s">
        <v>16</v>
      </c>
      <c r="I2828" s="19">
        <v>24</v>
      </c>
      <c r="J2828" s="19">
        <v>0</v>
      </c>
      <c r="K2828" s="19">
        <v>5</v>
      </c>
      <c r="L2828" s="19" t="s">
        <v>38</v>
      </c>
      <c r="M2828" s="21">
        <v>15</v>
      </c>
      <c r="N2828">
        <f t="shared" si="44"/>
        <v>1</v>
      </c>
    </row>
    <row r="2829" spans="1:14" x14ac:dyDescent="0.35">
      <c r="A2829" s="22" t="s">
        <v>2899</v>
      </c>
      <c r="B2829" s="23" t="s">
        <v>69</v>
      </c>
      <c r="C2829" s="23">
        <v>5</v>
      </c>
      <c r="D2829" s="24">
        <v>45801</v>
      </c>
      <c r="E2829" s="23" t="s">
        <v>25</v>
      </c>
      <c r="F2829" s="23" t="s">
        <v>26</v>
      </c>
      <c r="G2829" s="23" t="s">
        <v>8364</v>
      </c>
      <c r="H2829" s="23" t="s">
        <v>28</v>
      </c>
      <c r="I2829" s="23">
        <v>72</v>
      </c>
      <c r="J2829" s="23">
        <v>0</v>
      </c>
      <c r="K2829" s="23">
        <v>4</v>
      </c>
      <c r="L2829" s="23" t="s">
        <v>38</v>
      </c>
      <c r="M2829" s="25">
        <v>16.100000000000001</v>
      </c>
      <c r="N2829">
        <f t="shared" si="44"/>
        <v>1</v>
      </c>
    </row>
    <row r="2830" spans="1:14" x14ac:dyDescent="0.35">
      <c r="A2830" s="6" t="s">
        <v>2900</v>
      </c>
      <c r="B2830" s="19" t="s">
        <v>53</v>
      </c>
      <c r="C2830" s="19">
        <v>10</v>
      </c>
      <c r="D2830" s="20">
        <v>45941</v>
      </c>
      <c r="E2830" s="19" t="s">
        <v>20</v>
      </c>
      <c r="F2830" s="19" t="s">
        <v>14</v>
      </c>
      <c r="G2830" s="19" t="s">
        <v>15</v>
      </c>
      <c r="H2830" s="19" t="s">
        <v>22</v>
      </c>
      <c r="I2830" s="19">
        <v>72</v>
      </c>
      <c r="J2830" s="19">
        <v>1</v>
      </c>
      <c r="K2830" s="19">
        <v>4</v>
      </c>
      <c r="L2830" s="19" t="s">
        <v>62</v>
      </c>
      <c r="M2830" s="21">
        <v>13.6</v>
      </c>
      <c r="N2830">
        <f t="shared" si="44"/>
        <v>1</v>
      </c>
    </row>
    <row r="2831" spans="1:14" x14ac:dyDescent="0.35">
      <c r="A2831" s="22" t="s">
        <v>2901</v>
      </c>
      <c r="B2831" s="23" t="s">
        <v>143</v>
      </c>
      <c r="C2831" s="23">
        <v>12</v>
      </c>
      <c r="D2831" s="24">
        <v>46020</v>
      </c>
      <c r="E2831" s="23" t="s">
        <v>25</v>
      </c>
      <c r="F2831" s="23" t="s">
        <v>59</v>
      </c>
      <c r="G2831" s="23" t="s">
        <v>15</v>
      </c>
      <c r="H2831" s="23" t="s">
        <v>32</v>
      </c>
      <c r="I2831" s="23">
        <v>72</v>
      </c>
      <c r="J2831" s="23">
        <v>2</v>
      </c>
      <c r="K2831" s="23">
        <v>5</v>
      </c>
      <c r="L2831" s="23" t="s">
        <v>62</v>
      </c>
      <c r="M2831" s="25">
        <v>7.7</v>
      </c>
      <c r="N2831">
        <f t="shared" si="44"/>
        <v>1</v>
      </c>
    </row>
    <row r="2832" spans="1:14" x14ac:dyDescent="0.35">
      <c r="A2832" s="6" t="s">
        <v>2902</v>
      </c>
      <c r="B2832" s="19" t="s">
        <v>158</v>
      </c>
      <c r="C2832" s="19"/>
      <c r="D2832" s="20"/>
      <c r="E2832" s="19" t="s">
        <v>20</v>
      </c>
      <c r="F2832" s="19" t="s">
        <v>14</v>
      </c>
      <c r="G2832" s="19" t="s">
        <v>27</v>
      </c>
      <c r="H2832" s="19" t="s">
        <v>28</v>
      </c>
      <c r="I2832" s="19">
        <v>4</v>
      </c>
      <c r="J2832" s="19">
        <v>2</v>
      </c>
      <c r="K2832" s="19">
        <v>5</v>
      </c>
      <c r="L2832" s="19" t="s">
        <v>75</v>
      </c>
      <c r="M2832" s="21">
        <v>14.9</v>
      </c>
      <c r="N2832">
        <f t="shared" si="44"/>
        <v>0</v>
      </c>
    </row>
    <row r="2833" spans="1:14" x14ac:dyDescent="0.35">
      <c r="A2833" s="22" t="s">
        <v>2903</v>
      </c>
      <c r="B2833" s="23" t="s">
        <v>47</v>
      </c>
      <c r="C2833" s="23">
        <v>11</v>
      </c>
      <c r="D2833" s="24">
        <v>45970</v>
      </c>
      <c r="E2833" s="23" t="s">
        <v>36</v>
      </c>
      <c r="F2833" s="23" t="s">
        <v>43</v>
      </c>
      <c r="G2833" s="23" t="s">
        <v>31</v>
      </c>
      <c r="H2833" s="23" t="s">
        <v>16</v>
      </c>
      <c r="I2833" s="23">
        <v>72</v>
      </c>
      <c r="J2833" s="23">
        <v>0</v>
      </c>
      <c r="K2833" s="23">
        <v>3</v>
      </c>
      <c r="L2833" s="23" t="s">
        <v>33</v>
      </c>
      <c r="M2833" s="25">
        <v>15.1</v>
      </c>
      <c r="N2833">
        <f t="shared" si="44"/>
        <v>1</v>
      </c>
    </row>
    <row r="2834" spans="1:14" x14ac:dyDescent="0.35">
      <c r="A2834" s="6" t="s">
        <v>2904</v>
      </c>
      <c r="B2834" s="19" t="s">
        <v>139</v>
      </c>
      <c r="C2834" s="19">
        <v>2</v>
      </c>
      <c r="D2834" s="20">
        <v>45709</v>
      </c>
      <c r="E2834" s="19" t="s">
        <v>20</v>
      </c>
      <c r="F2834" s="19" t="s">
        <v>37</v>
      </c>
      <c r="G2834" s="19" t="s">
        <v>15</v>
      </c>
      <c r="H2834" s="19" t="s">
        <v>16</v>
      </c>
      <c r="I2834" s="19">
        <v>8</v>
      </c>
      <c r="J2834" s="19">
        <v>0</v>
      </c>
      <c r="K2834" s="19">
        <v>4</v>
      </c>
      <c r="L2834" s="19" t="s">
        <v>33</v>
      </c>
      <c r="M2834" s="21">
        <v>7</v>
      </c>
      <c r="N2834">
        <f t="shared" si="44"/>
        <v>1</v>
      </c>
    </row>
    <row r="2835" spans="1:14" x14ac:dyDescent="0.35">
      <c r="A2835" s="22" t="s">
        <v>2905</v>
      </c>
      <c r="B2835" s="23" t="s">
        <v>57</v>
      </c>
      <c r="C2835" s="23">
        <v>8</v>
      </c>
      <c r="D2835" s="24">
        <v>45881</v>
      </c>
      <c r="E2835" s="23" t="s">
        <v>25</v>
      </c>
      <c r="F2835" s="23" t="s">
        <v>43</v>
      </c>
      <c r="G2835" s="23" t="s">
        <v>27</v>
      </c>
      <c r="H2835" s="23" t="s">
        <v>28</v>
      </c>
      <c r="I2835" s="23">
        <v>4</v>
      </c>
      <c r="J2835" s="23">
        <v>0</v>
      </c>
      <c r="K2835" s="23">
        <v>1</v>
      </c>
      <c r="L2835" s="23" t="s">
        <v>33</v>
      </c>
      <c r="M2835" s="25">
        <v>12.8</v>
      </c>
      <c r="N2835">
        <f t="shared" si="44"/>
        <v>0</v>
      </c>
    </row>
    <row r="2836" spans="1:14" x14ac:dyDescent="0.35">
      <c r="A2836" s="6" t="s">
        <v>2906</v>
      </c>
      <c r="B2836" s="19" t="s">
        <v>53</v>
      </c>
      <c r="C2836" s="19"/>
      <c r="D2836" s="20"/>
      <c r="E2836" s="19" t="s">
        <v>25</v>
      </c>
      <c r="F2836" s="19" t="s">
        <v>14</v>
      </c>
      <c r="G2836" s="19" t="s">
        <v>21</v>
      </c>
      <c r="H2836" s="19" t="s">
        <v>16</v>
      </c>
      <c r="I2836" s="19">
        <v>24</v>
      </c>
      <c r="J2836" s="19">
        <v>0</v>
      </c>
      <c r="K2836" s="19">
        <v>1</v>
      </c>
      <c r="L2836" s="19" t="s">
        <v>8363</v>
      </c>
      <c r="M2836" s="21">
        <v>1.2</v>
      </c>
      <c r="N2836">
        <f t="shared" si="44"/>
        <v>1</v>
      </c>
    </row>
    <row r="2837" spans="1:14" x14ac:dyDescent="0.35">
      <c r="A2837" s="22" t="s">
        <v>2907</v>
      </c>
      <c r="B2837" s="23" t="s">
        <v>108</v>
      </c>
      <c r="C2837" s="23">
        <v>5</v>
      </c>
      <c r="D2837" s="24">
        <v>45804</v>
      </c>
      <c r="E2837" s="23" t="s">
        <v>13</v>
      </c>
      <c r="F2837" s="23" t="s">
        <v>43</v>
      </c>
      <c r="G2837" s="23" t="s">
        <v>27</v>
      </c>
      <c r="H2837" s="23" t="s">
        <v>28</v>
      </c>
      <c r="I2837" s="23">
        <v>4</v>
      </c>
      <c r="J2837" s="23">
        <v>0</v>
      </c>
      <c r="K2837" s="23"/>
      <c r="L2837" s="23" t="s">
        <v>33</v>
      </c>
      <c r="M2837" s="25">
        <v>14.2</v>
      </c>
      <c r="N2837">
        <f t="shared" si="44"/>
        <v>0</v>
      </c>
    </row>
    <row r="2838" spans="1:14" x14ac:dyDescent="0.35">
      <c r="A2838" s="6" t="s">
        <v>2908</v>
      </c>
      <c r="B2838" s="19" t="s">
        <v>49</v>
      </c>
      <c r="C2838" s="19"/>
      <c r="D2838" s="20"/>
      <c r="E2838" s="19" t="s">
        <v>25</v>
      </c>
      <c r="F2838" s="19" t="s">
        <v>14</v>
      </c>
      <c r="G2838" s="19" t="s">
        <v>15</v>
      </c>
      <c r="H2838" s="19" t="s">
        <v>22</v>
      </c>
      <c r="I2838" s="19">
        <v>72</v>
      </c>
      <c r="J2838" s="19">
        <v>0</v>
      </c>
      <c r="K2838" s="19">
        <v>5</v>
      </c>
      <c r="L2838" s="19" t="s">
        <v>38</v>
      </c>
      <c r="M2838" s="21">
        <v>10</v>
      </c>
      <c r="N2838">
        <f t="shared" si="44"/>
        <v>1</v>
      </c>
    </row>
    <row r="2839" spans="1:14" x14ac:dyDescent="0.35">
      <c r="A2839" s="22" t="s">
        <v>2909</v>
      </c>
      <c r="B2839" s="23" t="s">
        <v>81</v>
      </c>
      <c r="C2839" s="23"/>
      <c r="D2839" s="24"/>
      <c r="E2839" s="23" t="s">
        <v>13</v>
      </c>
      <c r="F2839" s="23" t="s">
        <v>8364</v>
      </c>
      <c r="G2839" s="23" t="s">
        <v>31</v>
      </c>
      <c r="H2839" s="23" t="s">
        <v>22</v>
      </c>
      <c r="I2839" s="23">
        <v>8</v>
      </c>
      <c r="J2839" s="23">
        <v>1</v>
      </c>
      <c r="K2839" s="23">
        <v>5</v>
      </c>
      <c r="L2839" s="23" t="s">
        <v>62</v>
      </c>
      <c r="M2839" s="25">
        <v>8.6</v>
      </c>
      <c r="N2839">
        <f t="shared" si="44"/>
        <v>0</v>
      </c>
    </row>
    <row r="2840" spans="1:14" x14ac:dyDescent="0.35">
      <c r="A2840" s="6" t="s">
        <v>2910</v>
      </c>
      <c r="B2840" s="19" t="s">
        <v>18</v>
      </c>
      <c r="C2840" s="19">
        <v>6</v>
      </c>
      <c r="D2840" s="20">
        <v>45836</v>
      </c>
      <c r="E2840" s="19" t="s">
        <v>36</v>
      </c>
      <c r="F2840" s="19" t="s">
        <v>14</v>
      </c>
      <c r="G2840" s="19" t="s">
        <v>27</v>
      </c>
      <c r="H2840" s="19" t="s">
        <v>16</v>
      </c>
      <c r="I2840" s="19">
        <v>72</v>
      </c>
      <c r="J2840" s="19">
        <v>0</v>
      </c>
      <c r="K2840" s="19">
        <v>5</v>
      </c>
      <c r="L2840" s="19" t="s">
        <v>44</v>
      </c>
      <c r="M2840" s="21">
        <v>17.7</v>
      </c>
      <c r="N2840">
        <f t="shared" si="44"/>
        <v>1</v>
      </c>
    </row>
    <row r="2841" spans="1:14" x14ac:dyDescent="0.35">
      <c r="A2841" s="22" t="s">
        <v>2911</v>
      </c>
      <c r="B2841" s="23" t="s">
        <v>49</v>
      </c>
      <c r="C2841" s="23">
        <v>4</v>
      </c>
      <c r="D2841" s="24">
        <v>45771</v>
      </c>
      <c r="E2841" s="23" t="s">
        <v>25</v>
      </c>
      <c r="F2841" s="23" t="s">
        <v>8364</v>
      </c>
      <c r="G2841" s="23" t="s">
        <v>21</v>
      </c>
      <c r="H2841" s="23" t="s">
        <v>8364</v>
      </c>
      <c r="I2841" s="23">
        <v>4</v>
      </c>
      <c r="J2841" s="23">
        <v>0</v>
      </c>
      <c r="K2841" s="23">
        <v>5</v>
      </c>
      <c r="L2841" s="23" t="s">
        <v>75</v>
      </c>
      <c r="M2841" s="25">
        <v>8.9</v>
      </c>
      <c r="N2841">
        <f t="shared" si="44"/>
        <v>0</v>
      </c>
    </row>
    <row r="2842" spans="1:14" x14ac:dyDescent="0.35">
      <c r="A2842" s="6" t="s">
        <v>2912</v>
      </c>
      <c r="B2842" s="19" t="s">
        <v>97</v>
      </c>
      <c r="C2842" s="19"/>
      <c r="D2842" s="20"/>
      <c r="E2842" s="19" t="s">
        <v>25</v>
      </c>
      <c r="F2842" s="19" t="s">
        <v>14</v>
      </c>
      <c r="G2842" s="19" t="s">
        <v>8364</v>
      </c>
      <c r="H2842" s="19" t="s">
        <v>32</v>
      </c>
      <c r="I2842" s="19">
        <v>4</v>
      </c>
      <c r="J2842" s="19">
        <v>0</v>
      </c>
      <c r="K2842" s="19">
        <v>4</v>
      </c>
      <c r="L2842" s="19" t="s">
        <v>62</v>
      </c>
      <c r="M2842" s="21">
        <v>9.5</v>
      </c>
      <c r="N2842">
        <f t="shared" si="44"/>
        <v>0</v>
      </c>
    </row>
    <row r="2843" spans="1:14" x14ac:dyDescent="0.35">
      <c r="A2843" s="22" t="s">
        <v>2913</v>
      </c>
      <c r="B2843" s="23" t="s">
        <v>69</v>
      </c>
      <c r="C2843" s="23">
        <v>8</v>
      </c>
      <c r="D2843" s="24">
        <v>45872</v>
      </c>
      <c r="E2843" s="23" t="s">
        <v>68</v>
      </c>
      <c r="F2843" s="23" t="s">
        <v>59</v>
      </c>
      <c r="G2843" s="23" t="s">
        <v>31</v>
      </c>
      <c r="H2843" s="23" t="s">
        <v>8364</v>
      </c>
      <c r="I2843" s="23">
        <v>48</v>
      </c>
      <c r="J2843" s="23">
        <v>0</v>
      </c>
      <c r="K2843" s="23">
        <v>4</v>
      </c>
      <c r="L2843" s="23" t="s">
        <v>8363</v>
      </c>
      <c r="M2843" s="25">
        <v>12.1</v>
      </c>
      <c r="N2843">
        <f t="shared" si="44"/>
        <v>1</v>
      </c>
    </row>
    <row r="2844" spans="1:14" x14ac:dyDescent="0.35">
      <c r="A2844" s="6" t="s">
        <v>2914</v>
      </c>
      <c r="B2844" s="19" t="s">
        <v>41</v>
      </c>
      <c r="C2844" s="19">
        <v>8</v>
      </c>
      <c r="D2844" s="20">
        <v>45889</v>
      </c>
      <c r="E2844" s="19" t="s">
        <v>13</v>
      </c>
      <c r="F2844" s="19" t="s">
        <v>14</v>
      </c>
      <c r="G2844" s="19" t="s">
        <v>27</v>
      </c>
      <c r="H2844" s="19" t="s">
        <v>22</v>
      </c>
      <c r="I2844" s="19">
        <v>48</v>
      </c>
      <c r="J2844" s="19">
        <v>0</v>
      </c>
      <c r="K2844" s="19"/>
      <c r="L2844" s="19" t="s">
        <v>38</v>
      </c>
      <c r="M2844" s="21"/>
      <c r="N2844">
        <f t="shared" si="44"/>
        <v>1</v>
      </c>
    </row>
    <row r="2845" spans="1:14" x14ac:dyDescent="0.35">
      <c r="A2845" s="22" t="s">
        <v>2915</v>
      </c>
      <c r="B2845" s="23" t="s">
        <v>143</v>
      </c>
      <c r="C2845" s="23">
        <v>5</v>
      </c>
      <c r="D2845" s="24">
        <v>45786</v>
      </c>
      <c r="E2845" s="23" t="s">
        <v>20</v>
      </c>
      <c r="F2845" s="23" t="s">
        <v>59</v>
      </c>
      <c r="G2845" s="23" t="s">
        <v>27</v>
      </c>
      <c r="H2845" s="23" t="s">
        <v>22</v>
      </c>
      <c r="I2845" s="23">
        <v>48</v>
      </c>
      <c r="J2845" s="23">
        <v>0</v>
      </c>
      <c r="K2845" s="23">
        <v>4</v>
      </c>
      <c r="L2845" s="23" t="s">
        <v>8363</v>
      </c>
      <c r="M2845" s="25">
        <v>7.7</v>
      </c>
      <c r="N2845">
        <f t="shared" si="44"/>
        <v>1</v>
      </c>
    </row>
    <row r="2846" spans="1:14" x14ac:dyDescent="0.35">
      <c r="A2846" s="6" t="s">
        <v>2916</v>
      </c>
      <c r="B2846" s="19" t="s">
        <v>236</v>
      </c>
      <c r="C2846" s="19">
        <v>11</v>
      </c>
      <c r="D2846" s="20">
        <v>45967</v>
      </c>
      <c r="E2846" s="19" t="s">
        <v>8364</v>
      </c>
      <c r="F2846" s="19" t="s">
        <v>26</v>
      </c>
      <c r="G2846" s="19" t="s">
        <v>27</v>
      </c>
      <c r="H2846" s="19" t="s">
        <v>32</v>
      </c>
      <c r="I2846" s="19">
        <v>4</v>
      </c>
      <c r="J2846" s="19">
        <v>0</v>
      </c>
      <c r="K2846" s="19">
        <v>4</v>
      </c>
      <c r="L2846" s="19" t="s">
        <v>62</v>
      </c>
      <c r="M2846" s="21">
        <v>14.2</v>
      </c>
      <c r="N2846">
        <f t="shared" si="44"/>
        <v>0</v>
      </c>
    </row>
    <row r="2847" spans="1:14" x14ac:dyDescent="0.35">
      <c r="A2847" s="22" t="s">
        <v>2917</v>
      </c>
      <c r="B2847" s="23" t="s">
        <v>236</v>
      </c>
      <c r="C2847" s="23">
        <v>1</v>
      </c>
      <c r="D2847" s="24">
        <v>45679</v>
      </c>
      <c r="E2847" s="23" t="s">
        <v>8364</v>
      </c>
      <c r="F2847" s="23" t="s">
        <v>14</v>
      </c>
      <c r="G2847" s="23" t="s">
        <v>15</v>
      </c>
      <c r="H2847" s="23" t="s">
        <v>16</v>
      </c>
      <c r="I2847" s="23">
        <v>4</v>
      </c>
      <c r="J2847" s="23">
        <v>0</v>
      </c>
      <c r="K2847" s="23">
        <v>4</v>
      </c>
      <c r="L2847" s="23" t="s">
        <v>44</v>
      </c>
      <c r="M2847" s="25">
        <v>13.4</v>
      </c>
      <c r="N2847">
        <f t="shared" si="44"/>
        <v>0</v>
      </c>
    </row>
    <row r="2848" spans="1:14" x14ac:dyDescent="0.35">
      <c r="A2848" s="6" t="s">
        <v>2918</v>
      </c>
      <c r="B2848" s="19" t="s">
        <v>69</v>
      </c>
      <c r="C2848" s="19">
        <v>7</v>
      </c>
      <c r="D2848" s="20">
        <v>45849</v>
      </c>
      <c r="E2848" s="19" t="s">
        <v>8364</v>
      </c>
      <c r="F2848" s="19" t="s">
        <v>14</v>
      </c>
      <c r="G2848" s="19" t="s">
        <v>8364</v>
      </c>
      <c r="H2848" s="19" t="s">
        <v>28</v>
      </c>
      <c r="I2848" s="19">
        <v>48</v>
      </c>
      <c r="J2848" s="19">
        <v>1</v>
      </c>
      <c r="K2848" s="19">
        <v>5</v>
      </c>
      <c r="L2848" s="19" t="s">
        <v>33</v>
      </c>
      <c r="M2848" s="21">
        <v>9.4</v>
      </c>
      <c r="N2848">
        <f t="shared" si="44"/>
        <v>1</v>
      </c>
    </row>
    <row r="2849" spans="1:14" x14ac:dyDescent="0.35">
      <c r="A2849" s="22" t="s">
        <v>2919</v>
      </c>
      <c r="B2849" s="23" t="s">
        <v>41</v>
      </c>
      <c r="C2849" s="23">
        <v>12</v>
      </c>
      <c r="D2849" s="24">
        <v>46014</v>
      </c>
      <c r="E2849" s="23" t="s">
        <v>13</v>
      </c>
      <c r="F2849" s="23" t="s">
        <v>14</v>
      </c>
      <c r="G2849" s="23" t="s">
        <v>27</v>
      </c>
      <c r="H2849" s="23" t="s">
        <v>22</v>
      </c>
      <c r="I2849" s="23">
        <v>24</v>
      </c>
      <c r="J2849" s="23">
        <v>0</v>
      </c>
      <c r="K2849" s="23">
        <v>4</v>
      </c>
      <c r="L2849" s="23" t="s">
        <v>75</v>
      </c>
      <c r="M2849" s="25">
        <v>4.8</v>
      </c>
      <c r="N2849">
        <f t="shared" si="44"/>
        <v>1</v>
      </c>
    </row>
    <row r="2850" spans="1:14" x14ac:dyDescent="0.35">
      <c r="A2850" s="6" t="s">
        <v>2920</v>
      </c>
      <c r="B2850" s="19" t="s">
        <v>65</v>
      </c>
      <c r="C2850" s="19">
        <v>8</v>
      </c>
      <c r="D2850" s="20">
        <v>45885</v>
      </c>
      <c r="E2850" s="19" t="s">
        <v>8364</v>
      </c>
      <c r="F2850" s="19" t="s">
        <v>14</v>
      </c>
      <c r="G2850" s="19" t="s">
        <v>31</v>
      </c>
      <c r="H2850" s="19" t="s">
        <v>22</v>
      </c>
      <c r="I2850" s="19">
        <v>4</v>
      </c>
      <c r="J2850" s="19">
        <v>0</v>
      </c>
      <c r="K2850" s="19">
        <v>5</v>
      </c>
      <c r="L2850" s="19" t="s">
        <v>55</v>
      </c>
      <c r="M2850" s="21"/>
      <c r="N2850">
        <f t="shared" si="44"/>
        <v>1</v>
      </c>
    </row>
    <row r="2851" spans="1:14" x14ac:dyDescent="0.35">
      <c r="A2851" s="22" t="s">
        <v>2921</v>
      </c>
      <c r="B2851" s="23" t="s">
        <v>18</v>
      </c>
      <c r="C2851" s="23">
        <v>6</v>
      </c>
      <c r="D2851" s="24">
        <v>45824</v>
      </c>
      <c r="E2851" s="23" t="s">
        <v>8364</v>
      </c>
      <c r="F2851" s="23" t="s">
        <v>26</v>
      </c>
      <c r="G2851" s="23" t="s">
        <v>31</v>
      </c>
      <c r="H2851" s="23" t="s">
        <v>16</v>
      </c>
      <c r="I2851" s="23">
        <v>4</v>
      </c>
      <c r="J2851" s="23">
        <v>1</v>
      </c>
      <c r="K2851" s="23">
        <v>5</v>
      </c>
      <c r="L2851" s="23" t="s">
        <v>38</v>
      </c>
      <c r="M2851" s="25"/>
      <c r="N2851">
        <f t="shared" si="44"/>
        <v>1</v>
      </c>
    </row>
    <row r="2852" spans="1:14" x14ac:dyDescent="0.35">
      <c r="A2852" s="6" t="s">
        <v>2922</v>
      </c>
      <c r="B2852" s="19" t="s">
        <v>181</v>
      </c>
      <c r="C2852" s="19">
        <v>9</v>
      </c>
      <c r="D2852" s="20">
        <v>45915</v>
      </c>
      <c r="E2852" s="19" t="s">
        <v>25</v>
      </c>
      <c r="F2852" s="19" t="s">
        <v>8364</v>
      </c>
      <c r="G2852" s="19" t="s">
        <v>31</v>
      </c>
      <c r="H2852" s="19" t="s">
        <v>22</v>
      </c>
      <c r="I2852" s="19">
        <v>4</v>
      </c>
      <c r="J2852" s="19">
        <v>0</v>
      </c>
      <c r="K2852" s="19">
        <v>4</v>
      </c>
      <c r="L2852" s="19" t="s">
        <v>33</v>
      </c>
      <c r="M2852" s="21">
        <v>10.199999999999999</v>
      </c>
      <c r="N2852">
        <f t="shared" si="44"/>
        <v>0</v>
      </c>
    </row>
    <row r="2853" spans="1:14" x14ac:dyDescent="0.35">
      <c r="A2853" s="22" t="s">
        <v>2923</v>
      </c>
      <c r="B2853" s="23" t="s">
        <v>104</v>
      </c>
      <c r="C2853" s="23">
        <v>10</v>
      </c>
      <c r="D2853" s="24">
        <v>45937</v>
      </c>
      <c r="E2853" s="23" t="s">
        <v>13</v>
      </c>
      <c r="F2853" s="23" t="s">
        <v>43</v>
      </c>
      <c r="G2853" s="23" t="s">
        <v>31</v>
      </c>
      <c r="H2853" s="23" t="s">
        <v>22</v>
      </c>
      <c r="I2853" s="23">
        <v>8</v>
      </c>
      <c r="J2853" s="23">
        <v>2</v>
      </c>
      <c r="K2853" s="23">
        <v>4</v>
      </c>
      <c r="L2853" s="23" t="s">
        <v>38</v>
      </c>
      <c r="M2853" s="25">
        <v>8</v>
      </c>
      <c r="N2853">
        <f t="shared" si="44"/>
        <v>1</v>
      </c>
    </row>
    <row r="2854" spans="1:14" x14ac:dyDescent="0.35">
      <c r="A2854" s="6" t="s">
        <v>2924</v>
      </c>
      <c r="B2854" s="19" t="s">
        <v>81</v>
      </c>
      <c r="C2854" s="19">
        <v>10</v>
      </c>
      <c r="D2854" s="20">
        <v>45940</v>
      </c>
      <c r="E2854" s="19" t="s">
        <v>13</v>
      </c>
      <c r="F2854" s="19" t="s">
        <v>26</v>
      </c>
      <c r="G2854" s="19" t="s">
        <v>21</v>
      </c>
      <c r="H2854" s="19" t="s">
        <v>22</v>
      </c>
      <c r="I2854" s="19">
        <v>24</v>
      </c>
      <c r="J2854" s="19">
        <v>1</v>
      </c>
      <c r="K2854" s="19">
        <v>5</v>
      </c>
      <c r="L2854" s="19" t="s">
        <v>44</v>
      </c>
      <c r="M2854" s="21">
        <v>4.2</v>
      </c>
      <c r="N2854">
        <f t="shared" si="44"/>
        <v>1</v>
      </c>
    </row>
    <row r="2855" spans="1:14" x14ac:dyDescent="0.35">
      <c r="A2855" s="22" t="s">
        <v>2925</v>
      </c>
      <c r="B2855" s="23" t="s">
        <v>18</v>
      </c>
      <c r="C2855" s="23">
        <v>12</v>
      </c>
      <c r="D2855" s="24">
        <v>46014</v>
      </c>
      <c r="E2855" s="23" t="s">
        <v>25</v>
      </c>
      <c r="F2855" s="23" t="s">
        <v>43</v>
      </c>
      <c r="G2855" s="23" t="s">
        <v>27</v>
      </c>
      <c r="H2855" s="23" t="s">
        <v>22</v>
      </c>
      <c r="I2855" s="23">
        <v>4</v>
      </c>
      <c r="J2855" s="23">
        <v>0</v>
      </c>
      <c r="K2855" s="23">
        <v>4</v>
      </c>
      <c r="L2855" s="23" t="s">
        <v>75</v>
      </c>
      <c r="M2855" s="25">
        <v>9</v>
      </c>
      <c r="N2855">
        <f t="shared" si="44"/>
        <v>0</v>
      </c>
    </row>
    <row r="2856" spans="1:14" x14ac:dyDescent="0.35">
      <c r="A2856" s="6" t="s">
        <v>2926</v>
      </c>
      <c r="B2856" s="19" t="s">
        <v>108</v>
      </c>
      <c r="C2856" s="19">
        <v>12</v>
      </c>
      <c r="D2856" s="20">
        <v>46011</v>
      </c>
      <c r="E2856" s="19" t="s">
        <v>8364</v>
      </c>
      <c r="F2856" s="19" t="s">
        <v>43</v>
      </c>
      <c r="G2856" s="19" t="s">
        <v>21</v>
      </c>
      <c r="H2856" s="19" t="s">
        <v>32</v>
      </c>
      <c r="I2856" s="19">
        <v>24</v>
      </c>
      <c r="J2856" s="19">
        <v>0</v>
      </c>
      <c r="K2856" s="19"/>
      <c r="L2856" s="19" t="s">
        <v>44</v>
      </c>
      <c r="M2856" s="21">
        <v>4.0999999999999996</v>
      </c>
      <c r="N2856">
        <f t="shared" si="44"/>
        <v>1</v>
      </c>
    </row>
    <row r="2857" spans="1:14" x14ac:dyDescent="0.35">
      <c r="A2857" s="22" t="s">
        <v>2927</v>
      </c>
      <c r="B2857" s="23" t="s">
        <v>143</v>
      </c>
      <c r="C2857" s="23">
        <v>9</v>
      </c>
      <c r="D2857" s="24">
        <v>45916</v>
      </c>
      <c r="E2857" s="23" t="s">
        <v>25</v>
      </c>
      <c r="F2857" s="23" t="s">
        <v>40</v>
      </c>
      <c r="G2857" s="23" t="s">
        <v>21</v>
      </c>
      <c r="H2857" s="23" t="s">
        <v>22</v>
      </c>
      <c r="I2857" s="23">
        <v>24</v>
      </c>
      <c r="J2857" s="23">
        <v>1</v>
      </c>
      <c r="K2857" s="23">
        <v>3</v>
      </c>
      <c r="L2857" s="23" t="s">
        <v>44</v>
      </c>
      <c r="M2857" s="25"/>
      <c r="N2857">
        <f t="shared" si="44"/>
        <v>1</v>
      </c>
    </row>
    <row r="2858" spans="1:14" x14ac:dyDescent="0.35">
      <c r="A2858" s="6" t="s">
        <v>2928</v>
      </c>
      <c r="B2858" s="19" t="s">
        <v>104</v>
      </c>
      <c r="C2858" s="19">
        <v>3</v>
      </c>
      <c r="D2858" s="20">
        <v>45724</v>
      </c>
      <c r="E2858" s="19" t="s">
        <v>13</v>
      </c>
      <c r="F2858" s="19" t="s">
        <v>14</v>
      </c>
      <c r="G2858" s="19" t="s">
        <v>27</v>
      </c>
      <c r="H2858" s="19" t="s">
        <v>28</v>
      </c>
      <c r="I2858" s="19">
        <v>48</v>
      </c>
      <c r="J2858" s="19">
        <v>0</v>
      </c>
      <c r="K2858" s="19">
        <v>5</v>
      </c>
      <c r="L2858" s="19" t="s">
        <v>62</v>
      </c>
      <c r="M2858" s="21">
        <v>21.1</v>
      </c>
      <c r="N2858">
        <f t="shared" si="44"/>
        <v>1</v>
      </c>
    </row>
    <row r="2859" spans="1:14" x14ac:dyDescent="0.35">
      <c r="A2859" s="22" t="s">
        <v>2929</v>
      </c>
      <c r="B2859" s="23" t="s">
        <v>78</v>
      </c>
      <c r="C2859" s="23">
        <v>4</v>
      </c>
      <c r="D2859" s="24">
        <v>45770</v>
      </c>
      <c r="E2859" s="23" t="s">
        <v>68</v>
      </c>
      <c r="F2859" s="23" t="s">
        <v>8364</v>
      </c>
      <c r="G2859" s="23" t="s">
        <v>8364</v>
      </c>
      <c r="H2859" s="23" t="s">
        <v>28</v>
      </c>
      <c r="I2859" s="23">
        <v>4</v>
      </c>
      <c r="J2859" s="23">
        <v>3</v>
      </c>
      <c r="K2859" s="23">
        <v>2</v>
      </c>
      <c r="L2859" s="23" t="s">
        <v>17</v>
      </c>
      <c r="M2859" s="25">
        <v>6.1</v>
      </c>
      <c r="N2859">
        <f t="shared" si="44"/>
        <v>0</v>
      </c>
    </row>
    <row r="2860" spans="1:14" x14ac:dyDescent="0.35">
      <c r="A2860" s="6" t="s">
        <v>2930</v>
      </c>
      <c r="B2860" s="19" t="s">
        <v>57</v>
      </c>
      <c r="C2860" s="19">
        <v>4</v>
      </c>
      <c r="D2860" s="20">
        <v>45755</v>
      </c>
      <c r="E2860" s="19" t="s">
        <v>13</v>
      </c>
      <c r="F2860" s="19" t="s">
        <v>26</v>
      </c>
      <c r="G2860" s="19" t="s">
        <v>27</v>
      </c>
      <c r="H2860" s="19" t="s">
        <v>22</v>
      </c>
      <c r="I2860" s="19">
        <v>4</v>
      </c>
      <c r="J2860" s="19">
        <v>0</v>
      </c>
      <c r="K2860" s="19">
        <v>4</v>
      </c>
      <c r="L2860" s="19" t="s">
        <v>8363</v>
      </c>
      <c r="M2860" s="21">
        <v>6.3</v>
      </c>
      <c r="N2860">
        <f t="shared" si="44"/>
        <v>0</v>
      </c>
    </row>
    <row r="2861" spans="1:14" x14ac:dyDescent="0.35">
      <c r="A2861" s="22" t="s">
        <v>2931</v>
      </c>
      <c r="B2861" s="23" t="s">
        <v>29</v>
      </c>
      <c r="C2861" s="23">
        <v>7</v>
      </c>
      <c r="D2861" s="24">
        <v>45866</v>
      </c>
      <c r="E2861" s="23" t="s">
        <v>13</v>
      </c>
      <c r="F2861" s="23" t="s">
        <v>26</v>
      </c>
      <c r="G2861" s="23" t="s">
        <v>21</v>
      </c>
      <c r="H2861" s="23" t="s">
        <v>22</v>
      </c>
      <c r="I2861" s="23">
        <v>24</v>
      </c>
      <c r="J2861" s="23">
        <v>0</v>
      </c>
      <c r="K2861" s="23">
        <v>5</v>
      </c>
      <c r="L2861" s="23" t="s">
        <v>75</v>
      </c>
      <c r="M2861" s="25">
        <v>2.5</v>
      </c>
      <c r="N2861">
        <f t="shared" si="44"/>
        <v>1</v>
      </c>
    </row>
    <row r="2862" spans="1:14" x14ac:dyDescent="0.35">
      <c r="A2862" s="6" t="s">
        <v>2932</v>
      </c>
      <c r="B2862" s="19" t="s">
        <v>130</v>
      </c>
      <c r="C2862" s="19">
        <v>9</v>
      </c>
      <c r="D2862" s="20">
        <v>45904</v>
      </c>
      <c r="E2862" s="19" t="s">
        <v>68</v>
      </c>
      <c r="F2862" s="19" t="s">
        <v>40</v>
      </c>
      <c r="G2862" s="19" t="s">
        <v>15</v>
      </c>
      <c r="H2862" s="19" t="s">
        <v>28</v>
      </c>
      <c r="I2862" s="19">
        <v>8</v>
      </c>
      <c r="J2862" s="19">
        <v>0</v>
      </c>
      <c r="K2862" s="19">
        <v>4</v>
      </c>
      <c r="L2862" s="19" t="s">
        <v>62</v>
      </c>
      <c r="M2862" s="21">
        <v>4.4000000000000004</v>
      </c>
      <c r="N2862">
        <f t="shared" si="44"/>
        <v>1</v>
      </c>
    </row>
    <row r="2863" spans="1:14" x14ac:dyDescent="0.35">
      <c r="A2863" s="22" t="s">
        <v>2933</v>
      </c>
      <c r="B2863" s="23" t="s">
        <v>81</v>
      </c>
      <c r="C2863" s="23">
        <v>7</v>
      </c>
      <c r="D2863" s="24">
        <v>45847</v>
      </c>
      <c r="E2863" s="23" t="s">
        <v>8364</v>
      </c>
      <c r="F2863" s="23" t="s">
        <v>37</v>
      </c>
      <c r="G2863" s="23" t="s">
        <v>8364</v>
      </c>
      <c r="H2863" s="23" t="s">
        <v>22</v>
      </c>
      <c r="I2863" s="23">
        <v>4</v>
      </c>
      <c r="J2863" s="23">
        <v>0</v>
      </c>
      <c r="K2863" s="23">
        <v>4</v>
      </c>
      <c r="L2863" s="23" t="s">
        <v>38</v>
      </c>
      <c r="M2863" s="25">
        <v>6.8</v>
      </c>
      <c r="N2863">
        <f t="shared" si="44"/>
        <v>0</v>
      </c>
    </row>
    <row r="2864" spans="1:14" x14ac:dyDescent="0.35">
      <c r="A2864" s="6" t="s">
        <v>2934</v>
      </c>
      <c r="B2864" s="19" t="s">
        <v>23</v>
      </c>
      <c r="C2864" s="19">
        <v>9</v>
      </c>
      <c r="D2864" s="20">
        <v>45904</v>
      </c>
      <c r="E2864" s="19" t="s">
        <v>20</v>
      </c>
      <c r="F2864" s="19" t="s">
        <v>43</v>
      </c>
      <c r="G2864" s="19" t="s">
        <v>27</v>
      </c>
      <c r="H2864" s="19" t="s">
        <v>22</v>
      </c>
      <c r="I2864" s="19">
        <v>24</v>
      </c>
      <c r="J2864" s="19">
        <v>0</v>
      </c>
      <c r="K2864" s="19">
        <v>2</v>
      </c>
      <c r="L2864" s="19" t="s">
        <v>8363</v>
      </c>
      <c r="M2864" s="21">
        <v>32.9</v>
      </c>
      <c r="N2864">
        <f t="shared" si="44"/>
        <v>0</v>
      </c>
    </row>
    <row r="2865" spans="1:14" x14ac:dyDescent="0.35">
      <c r="A2865" s="22" t="s">
        <v>2935</v>
      </c>
      <c r="B2865" s="23" t="s">
        <v>47</v>
      </c>
      <c r="C2865" s="23">
        <v>5</v>
      </c>
      <c r="D2865" s="24">
        <v>45788</v>
      </c>
      <c r="E2865" s="23" t="s">
        <v>8364</v>
      </c>
      <c r="F2865" s="23" t="s">
        <v>37</v>
      </c>
      <c r="G2865" s="23" t="s">
        <v>31</v>
      </c>
      <c r="H2865" s="23" t="s">
        <v>28</v>
      </c>
      <c r="I2865" s="23">
        <v>8</v>
      </c>
      <c r="J2865" s="23">
        <v>0</v>
      </c>
      <c r="K2865" s="23">
        <v>4</v>
      </c>
      <c r="L2865" s="23" t="s">
        <v>44</v>
      </c>
      <c r="M2865" s="25">
        <v>14.2</v>
      </c>
      <c r="N2865">
        <f t="shared" si="44"/>
        <v>0</v>
      </c>
    </row>
    <row r="2866" spans="1:14" x14ac:dyDescent="0.35">
      <c r="A2866" s="6" t="s">
        <v>2936</v>
      </c>
      <c r="B2866" s="19" t="s">
        <v>51</v>
      </c>
      <c r="C2866" s="19">
        <v>4</v>
      </c>
      <c r="D2866" s="20">
        <v>45748</v>
      </c>
      <c r="E2866" s="19" t="s">
        <v>25</v>
      </c>
      <c r="F2866" s="19" t="s">
        <v>37</v>
      </c>
      <c r="G2866" s="19" t="s">
        <v>21</v>
      </c>
      <c r="H2866" s="19" t="s">
        <v>16</v>
      </c>
      <c r="I2866" s="19">
        <v>4</v>
      </c>
      <c r="J2866" s="19">
        <v>0</v>
      </c>
      <c r="K2866" s="19">
        <v>3</v>
      </c>
      <c r="L2866" s="19" t="s">
        <v>75</v>
      </c>
      <c r="M2866" s="21">
        <v>13.1</v>
      </c>
      <c r="N2866">
        <f t="shared" si="44"/>
        <v>0</v>
      </c>
    </row>
    <row r="2867" spans="1:14" x14ac:dyDescent="0.35">
      <c r="A2867" s="22" t="s">
        <v>2937</v>
      </c>
      <c r="B2867" s="23" t="s">
        <v>143</v>
      </c>
      <c r="C2867" s="23">
        <v>8</v>
      </c>
      <c r="D2867" s="24">
        <v>45873</v>
      </c>
      <c r="E2867" s="23" t="s">
        <v>25</v>
      </c>
      <c r="F2867" s="23" t="s">
        <v>26</v>
      </c>
      <c r="G2867" s="23" t="s">
        <v>21</v>
      </c>
      <c r="H2867" s="23" t="s">
        <v>22</v>
      </c>
      <c r="I2867" s="23">
        <v>4</v>
      </c>
      <c r="J2867" s="23">
        <v>0</v>
      </c>
      <c r="K2867" s="23">
        <v>4</v>
      </c>
      <c r="L2867" s="23" t="s">
        <v>55</v>
      </c>
      <c r="M2867" s="25">
        <v>6.9</v>
      </c>
      <c r="N2867">
        <f t="shared" si="44"/>
        <v>0</v>
      </c>
    </row>
    <row r="2868" spans="1:14" x14ac:dyDescent="0.35">
      <c r="A2868" s="6" t="s">
        <v>2938</v>
      </c>
      <c r="B2868" s="19" t="s">
        <v>139</v>
      </c>
      <c r="C2868" s="19">
        <v>4</v>
      </c>
      <c r="D2868" s="20">
        <v>45776</v>
      </c>
      <c r="E2868" s="19" t="s">
        <v>8364</v>
      </c>
      <c r="F2868" s="19" t="s">
        <v>40</v>
      </c>
      <c r="G2868" s="19" t="s">
        <v>8364</v>
      </c>
      <c r="H2868" s="19" t="s">
        <v>8364</v>
      </c>
      <c r="I2868" s="19">
        <v>48</v>
      </c>
      <c r="J2868" s="19">
        <v>0</v>
      </c>
      <c r="K2868" s="19">
        <v>5</v>
      </c>
      <c r="L2868" s="19" t="s">
        <v>44</v>
      </c>
      <c r="M2868" s="21">
        <v>3.4</v>
      </c>
      <c r="N2868">
        <f t="shared" si="44"/>
        <v>1</v>
      </c>
    </row>
    <row r="2869" spans="1:14" x14ac:dyDescent="0.35">
      <c r="A2869" s="22" t="s">
        <v>2939</v>
      </c>
      <c r="B2869" s="23" t="s">
        <v>99</v>
      </c>
      <c r="C2869" s="23">
        <v>7</v>
      </c>
      <c r="D2869" s="24">
        <v>45839</v>
      </c>
      <c r="E2869" s="23" t="s">
        <v>25</v>
      </c>
      <c r="F2869" s="23" t="s">
        <v>26</v>
      </c>
      <c r="G2869" s="23" t="s">
        <v>15</v>
      </c>
      <c r="H2869" s="23" t="s">
        <v>32</v>
      </c>
      <c r="I2869" s="23">
        <v>48</v>
      </c>
      <c r="J2869" s="23">
        <v>0</v>
      </c>
      <c r="K2869" s="23">
        <v>5</v>
      </c>
      <c r="L2869" s="23" t="s">
        <v>38</v>
      </c>
      <c r="M2869" s="25">
        <v>6.6</v>
      </c>
      <c r="N2869">
        <f t="shared" si="44"/>
        <v>1</v>
      </c>
    </row>
    <row r="2870" spans="1:14" x14ac:dyDescent="0.35">
      <c r="A2870" s="6" t="s">
        <v>2940</v>
      </c>
      <c r="B2870" s="19" t="s">
        <v>87</v>
      </c>
      <c r="C2870" s="19">
        <v>3</v>
      </c>
      <c r="D2870" s="20">
        <v>45736</v>
      </c>
      <c r="E2870" s="19" t="s">
        <v>25</v>
      </c>
      <c r="F2870" s="19" t="s">
        <v>37</v>
      </c>
      <c r="G2870" s="19" t="s">
        <v>21</v>
      </c>
      <c r="H2870" s="19" t="s">
        <v>32</v>
      </c>
      <c r="I2870" s="19">
        <v>48</v>
      </c>
      <c r="J2870" s="19">
        <v>0</v>
      </c>
      <c r="K2870" s="19">
        <v>2</v>
      </c>
      <c r="L2870" s="19" t="s">
        <v>75</v>
      </c>
      <c r="M2870" s="21">
        <v>13.2</v>
      </c>
      <c r="N2870">
        <f t="shared" si="44"/>
        <v>1</v>
      </c>
    </row>
    <row r="2871" spans="1:14" x14ac:dyDescent="0.35">
      <c r="A2871" s="22" t="s">
        <v>2941</v>
      </c>
      <c r="B2871" s="23" t="s">
        <v>18</v>
      </c>
      <c r="C2871" s="23">
        <v>3</v>
      </c>
      <c r="D2871" s="24">
        <v>45719</v>
      </c>
      <c r="E2871" s="23" t="s">
        <v>13</v>
      </c>
      <c r="F2871" s="23" t="s">
        <v>43</v>
      </c>
      <c r="G2871" s="23" t="s">
        <v>15</v>
      </c>
      <c r="H2871" s="23" t="s">
        <v>8364</v>
      </c>
      <c r="I2871" s="23">
        <v>24</v>
      </c>
      <c r="J2871" s="23">
        <v>0</v>
      </c>
      <c r="K2871" s="23">
        <v>5</v>
      </c>
      <c r="L2871" s="23" t="s">
        <v>33</v>
      </c>
      <c r="M2871" s="25">
        <v>13.7</v>
      </c>
      <c r="N2871">
        <f t="shared" si="44"/>
        <v>1</v>
      </c>
    </row>
    <row r="2872" spans="1:14" x14ac:dyDescent="0.35">
      <c r="A2872" s="6" t="s">
        <v>2942</v>
      </c>
      <c r="B2872" s="19" t="s">
        <v>49</v>
      </c>
      <c r="C2872" s="19">
        <v>8</v>
      </c>
      <c r="D2872" s="20">
        <v>45889</v>
      </c>
      <c r="E2872" s="19" t="s">
        <v>36</v>
      </c>
      <c r="F2872" s="19" t="s">
        <v>14</v>
      </c>
      <c r="G2872" s="19" t="s">
        <v>15</v>
      </c>
      <c r="H2872" s="19" t="s">
        <v>28</v>
      </c>
      <c r="I2872" s="19">
        <v>48</v>
      </c>
      <c r="J2872" s="19">
        <v>0</v>
      </c>
      <c r="K2872" s="19">
        <v>5</v>
      </c>
      <c r="L2872" s="19" t="s">
        <v>8363</v>
      </c>
      <c r="M2872" s="21">
        <v>19.600000000000001</v>
      </c>
      <c r="N2872">
        <f t="shared" si="44"/>
        <v>1</v>
      </c>
    </row>
    <row r="2873" spans="1:14" x14ac:dyDescent="0.35">
      <c r="A2873" s="22" t="s">
        <v>2943</v>
      </c>
      <c r="B2873" s="23" t="s">
        <v>53</v>
      </c>
      <c r="C2873" s="23">
        <v>2</v>
      </c>
      <c r="D2873" s="24">
        <v>45699</v>
      </c>
      <c r="E2873" s="23" t="s">
        <v>8364</v>
      </c>
      <c r="F2873" s="23" t="s">
        <v>37</v>
      </c>
      <c r="G2873" s="23" t="s">
        <v>15</v>
      </c>
      <c r="H2873" s="23" t="s">
        <v>32</v>
      </c>
      <c r="I2873" s="23">
        <v>24</v>
      </c>
      <c r="J2873" s="23">
        <v>0</v>
      </c>
      <c r="K2873" s="23">
        <v>1</v>
      </c>
      <c r="L2873" s="23" t="s">
        <v>62</v>
      </c>
      <c r="M2873" s="25">
        <v>22.4</v>
      </c>
      <c r="N2873">
        <f t="shared" si="44"/>
        <v>1</v>
      </c>
    </row>
    <row r="2874" spans="1:14" x14ac:dyDescent="0.35">
      <c r="A2874" s="6" t="s">
        <v>2944</v>
      </c>
      <c r="B2874" s="19" t="s">
        <v>69</v>
      </c>
      <c r="C2874" s="19">
        <v>12</v>
      </c>
      <c r="D2874" s="20">
        <v>45994</v>
      </c>
      <c r="E2874" s="19" t="s">
        <v>8364</v>
      </c>
      <c r="F2874" s="19" t="s">
        <v>43</v>
      </c>
      <c r="G2874" s="19" t="s">
        <v>21</v>
      </c>
      <c r="H2874" s="19" t="s">
        <v>32</v>
      </c>
      <c r="I2874" s="19">
        <v>48</v>
      </c>
      <c r="J2874" s="19">
        <v>0</v>
      </c>
      <c r="K2874" s="19">
        <v>4</v>
      </c>
      <c r="L2874" s="19" t="s">
        <v>44</v>
      </c>
      <c r="M2874" s="21">
        <v>13.6</v>
      </c>
      <c r="N2874">
        <f t="shared" si="44"/>
        <v>1</v>
      </c>
    </row>
    <row r="2875" spans="1:14" x14ac:dyDescent="0.35">
      <c r="A2875" s="22" t="s">
        <v>2945</v>
      </c>
      <c r="B2875" s="23" t="s">
        <v>87</v>
      </c>
      <c r="C2875" s="23">
        <v>11</v>
      </c>
      <c r="D2875" s="24">
        <v>45973</v>
      </c>
      <c r="E2875" s="23" t="s">
        <v>8364</v>
      </c>
      <c r="F2875" s="23" t="s">
        <v>43</v>
      </c>
      <c r="G2875" s="23" t="s">
        <v>21</v>
      </c>
      <c r="H2875" s="23" t="s">
        <v>22</v>
      </c>
      <c r="I2875" s="23">
        <v>72</v>
      </c>
      <c r="J2875" s="23">
        <v>0</v>
      </c>
      <c r="K2875" s="23">
        <v>4</v>
      </c>
      <c r="L2875" s="23" t="s">
        <v>8363</v>
      </c>
      <c r="M2875" s="25">
        <v>11.5</v>
      </c>
      <c r="N2875">
        <f t="shared" si="44"/>
        <v>1</v>
      </c>
    </row>
    <row r="2876" spans="1:14" x14ac:dyDescent="0.35">
      <c r="A2876" s="6" t="s">
        <v>2946</v>
      </c>
      <c r="B2876" s="19" t="s">
        <v>158</v>
      </c>
      <c r="C2876" s="19"/>
      <c r="D2876" s="20"/>
      <c r="E2876" s="19" t="s">
        <v>25</v>
      </c>
      <c r="F2876" s="19" t="s">
        <v>37</v>
      </c>
      <c r="G2876" s="19" t="s">
        <v>21</v>
      </c>
      <c r="H2876" s="19" t="s">
        <v>32</v>
      </c>
      <c r="I2876" s="19">
        <v>72</v>
      </c>
      <c r="J2876" s="19">
        <v>0</v>
      </c>
      <c r="K2876" s="19">
        <v>4</v>
      </c>
      <c r="L2876" s="19" t="s">
        <v>8363</v>
      </c>
      <c r="M2876" s="21">
        <v>11.5</v>
      </c>
      <c r="N2876">
        <f t="shared" si="44"/>
        <v>1</v>
      </c>
    </row>
    <row r="2877" spans="1:14" x14ac:dyDescent="0.35">
      <c r="A2877" s="22" t="s">
        <v>2947</v>
      </c>
      <c r="B2877" s="23" t="s">
        <v>126</v>
      </c>
      <c r="C2877" s="23">
        <v>5</v>
      </c>
      <c r="D2877" s="24">
        <v>45805</v>
      </c>
      <c r="E2877" s="23" t="s">
        <v>68</v>
      </c>
      <c r="F2877" s="23" t="s">
        <v>37</v>
      </c>
      <c r="G2877" s="23" t="s">
        <v>31</v>
      </c>
      <c r="H2877" s="23" t="s">
        <v>28</v>
      </c>
      <c r="I2877" s="23">
        <v>72</v>
      </c>
      <c r="J2877" s="23">
        <v>2</v>
      </c>
      <c r="K2877" s="23">
        <v>5</v>
      </c>
      <c r="L2877" s="23" t="s">
        <v>17</v>
      </c>
      <c r="M2877" s="25">
        <v>16.100000000000001</v>
      </c>
      <c r="N2877">
        <f t="shared" si="44"/>
        <v>1</v>
      </c>
    </row>
    <row r="2878" spans="1:14" x14ac:dyDescent="0.35">
      <c r="A2878" s="6" t="s">
        <v>2948</v>
      </c>
      <c r="B2878" s="19" t="s">
        <v>81</v>
      </c>
      <c r="C2878" s="19">
        <v>2</v>
      </c>
      <c r="D2878" s="20">
        <v>45701</v>
      </c>
      <c r="E2878" s="19" t="s">
        <v>20</v>
      </c>
      <c r="F2878" s="19" t="s">
        <v>43</v>
      </c>
      <c r="G2878" s="19" t="s">
        <v>8364</v>
      </c>
      <c r="H2878" s="19" t="s">
        <v>8364</v>
      </c>
      <c r="I2878" s="19">
        <v>8</v>
      </c>
      <c r="J2878" s="19">
        <v>0</v>
      </c>
      <c r="K2878" s="19">
        <v>3</v>
      </c>
      <c r="L2878" s="19" t="s">
        <v>62</v>
      </c>
      <c r="M2878" s="21"/>
      <c r="N2878">
        <f t="shared" si="44"/>
        <v>1</v>
      </c>
    </row>
    <row r="2879" spans="1:14" x14ac:dyDescent="0.35">
      <c r="A2879" s="22" t="s">
        <v>2949</v>
      </c>
      <c r="B2879" s="23" t="s">
        <v>97</v>
      </c>
      <c r="C2879" s="23">
        <v>6</v>
      </c>
      <c r="D2879" s="24">
        <v>45813</v>
      </c>
      <c r="E2879" s="23" t="s">
        <v>68</v>
      </c>
      <c r="F2879" s="23" t="s">
        <v>8364</v>
      </c>
      <c r="G2879" s="23" t="s">
        <v>27</v>
      </c>
      <c r="H2879" s="23" t="s">
        <v>8364</v>
      </c>
      <c r="I2879" s="23">
        <v>48</v>
      </c>
      <c r="J2879" s="23">
        <v>0</v>
      </c>
      <c r="K2879" s="23">
        <v>3</v>
      </c>
      <c r="L2879" s="23" t="s">
        <v>44</v>
      </c>
      <c r="M2879" s="25">
        <v>23.2</v>
      </c>
      <c r="N2879">
        <f t="shared" si="44"/>
        <v>1</v>
      </c>
    </row>
    <row r="2880" spans="1:14" x14ac:dyDescent="0.35">
      <c r="A2880" s="6" t="s">
        <v>2950</v>
      </c>
      <c r="B2880" s="19" t="s">
        <v>81</v>
      </c>
      <c r="C2880" s="19">
        <v>3</v>
      </c>
      <c r="D2880" s="20">
        <v>45717</v>
      </c>
      <c r="E2880" s="19" t="s">
        <v>68</v>
      </c>
      <c r="F2880" s="19" t="s">
        <v>26</v>
      </c>
      <c r="G2880" s="19" t="s">
        <v>31</v>
      </c>
      <c r="H2880" s="19" t="s">
        <v>32</v>
      </c>
      <c r="I2880" s="19">
        <v>48</v>
      </c>
      <c r="J2880" s="19">
        <v>3</v>
      </c>
      <c r="K2880" s="19">
        <v>3</v>
      </c>
      <c r="L2880" s="19" t="s">
        <v>17</v>
      </c>
      <c r="M2880" s="21">
        <v>10.8</v>
      </c>
      <c r="N2880">
        <f t="shared" si="44"/>
        <v>1</v>
      </c>
    </row>
    <row r="2881" spans="1:14" x14ac:dyDescent="0.35">
      <c r="A2881" s="22" t="s">
        <v>2951</v>
      </c>
      <c r="B2881" s="23" t="s">
        <v>236</v>
      </c>
      <c r="C2881" s="23">
        <v>10</v>
      </c>
      <c r="D2881" s="24">
        <v>45960</v>
      </c>
      <c r="E2881" s="23" t="s">
        <v>13</v>
      </c>
      <c r="F2881" s="23" t="s">
        <v>37</v>
      </c>
      <c r="G2881" s="23" t="s">
        <v>21</v>
      </c>
      <c r="H2881" s="23" t="s">
        <v>22</v>
      </c>
      <c r="I2881" s="23">
        <v>24</v>
      </c>
      <c r="J2881" s="23">
        <v>0</v>
      </c>
      <c r="K2881" s="23">
        <v>4</v>
      </c>
      <c r="L2881" s="23" t="s">
        <v>55</v>
      </c>
      <c r="M2881" s="25">
        <v>15.3</v>
      </c>
      <c r="N2881">
        <f t="shared" si="44"/>
        <v>1</v>
      </c>
    </row>
    <row r="2882" spans="1:14" x14ac:dyDescent="0.35">
      <c r="A2882" s="6" t="s">
        <v>2952</v>
      </c>
      <c r="B2882" s="19" t="s">
        <v>85</v>
      </c>
      <c r="C2882" s="19">
        <v>12</v>
      </c>
      <c r="D2882" s="20">
        <v>46009</v>
      </c>
      <c r="E2882" s="19" t="s">
        <v>36</v>
      </c>
      <c r="F2882" s="19" t="s">
        <v>59</v>
      </c>
      <c r="G2882" s="19" t="s">
        <v>27</v>
      </c>
      <c r="H2882" s="19" t="s">
        <v>32</v>
      </c>
      <c r="I2882" s="19">
        <v>48</v>
      </c>
      <c r="J2882" s="19">
        <v>0</v>
      </c>
      <c r="K2882" s="19">
        <v>5</v>
      </c>
      <c r="L2882" s="19" t="s">
        <v>8363</v>
      </c>
      <c r="M2882" s="21">
        <v>17</v>
      </c>
      <c r="N2882">
        <f t="shared" si="44"/>
        <v>1</v>
      </c>
    </row>
    <row r="2883" spans="1:14" x14ac:dyDescent="0.35">
      <c r="A2883" s="22" t="s">
        <v>2953</v>
      </c>
      <c r="B2883" s="23" t="s">
        <v>69</v>
      </c>
      <c r="C2883" s="23">
        <v>11</v>
      </c>
      <c r="D2883" s="24">
        <v>45989</v>
      </c>
      <c r="E2883" s="23" t="s">
        <v>13</v>
      </c>
      <c r="F2883" s="23" t="s">
        <v>37</v>
      </c>
      <c r="G2883" s="23" t="s">
        <v>8364</v>
      </c>
      <c r="H2883" s="23" t="s">
        <v>22</v>
      </c>
      <c r="I2883" s="23">
        <v>48</v>
      </c>
      <c r="J2883" s="23">
        <v>0</v>
      </c>
      <c r="K2883" s="23">
        <v>5</v>
      </c>
      <c r="L2883" s="23" t="s">
        <v>17</v>
      </c>
      <c r="M2883" s="25">
        <v>27.7</v>
      </c>
      <c r="N2883">
        <f t="shared" ref="N2883:N2946" si="45">IF(M2883 &lt;= I2883, 1, 0)</f>
        <v>1</v>
      </c>
    </row>
    <row r="2884" spans="1:14" x14ac:dyDescent="0.35">
      <c r="A2884" s="6" t="s">
        <v>2954</v>
      </c>
      <c r="B2884" s="19" t="s">
        <v>47</v>
      </c>
      <c r="C2884" s="19">
        <v>11</v>
      </c>
      <c r="D2884" s="20">
        <v>45966</v>
      </c>
      <c r="E2884" s="19" t="s">
        <v>13</v>
      </c>
      <c r="F2884" s="19" t="s">
        <v>14</v>
      </c>
      <c r="G2884" s="19" t="s">
        <v>31</v>
      </c>
      <c r="H2884" s="19" t="s">
        <v>32</v>
      </c>
      <c r="I2884" s="19">
        <v>4</v>
      </c>
      <c r="J2884" s="19">
        <v>1</v>
      </c>
      <c r="K2884" s="19">
        <v>5</v>
      </c>
      <c r="L2884" s="19" t="s">
        <v>8363</v>
      </c>
      <c r="M2884" s="21">
        <v>8.3000000000000007</v>
      </c>
      <c r="N2884">
        <f t="shared" si="45"/>
        <v>0</v>
      </c>
    </row>
    <row r="2885" spans="1:14" x14ac:dyDescent="0.35">
      <c r="A2885" s="22" t="s">
        <v>2955</v>
      </c>
      <c r="B2885" s="23" t="s">
        <v>29</v>
      </c>
      <c r="C2885" s="23">
        <v>11</v>
      </c>
      <c r="D2885" s="24">
        <v>45989</v>
      </c>
      <c r="E2885" s="23" t="s">
        <v>68</v>
      </c>
      <c r="F2885" s="23" t="s">
        <v>8364</v>
      </c>
      <c r="G2885" s="23" t="s">
        <v>31</v>
      </c>
      <c r="H2885" s="23" t="s">
        <v>22</v>
      </c>
      <c r="I2885" s="23">
        <v>8</v>
      </c>
      <c r="J2885" s="23">
        <v>0</v>
      </c>
      <c r="K2885" s="23">
        <v>1</v>
      </c>
      <c r="L2885" s="23" t="s">
        <v>33</v>
      </c>
      <c r="M2885" s="25">
        <v>15.7</v>
      </c>
      <c r="N2885">
        <f t="shared" si="45"/>
        <v>0</v>
      </c>
    </row>
    <row r="2886" spans="1:14" x14ac:dyDescent="0.35">
      <c r="A2886" s="6" t="s">
        <v>2956</v>
      </c>
      <c r="B2886" s="19" t="s">
        <v>104</v>
      </c>
      <c r="C2886" s="19">
        <v>5</v>
      </c>
      <c r="D2886" s="20">
        <v>45805</v>
      </c>
      <c r="E2886" s="19" t="s">
        <v>25</v>
      </c>
      <c r="F2886" s="19" t="s">
        <v>43</v>
      </c>
      <c r="G2886" s="19" t="s">
        <v>8364</v>
      </c>
      <c r="H2886" s="19" t="s">
        <v>22</v>
      </c>
      <c r="I2886" s="19">
        <v>24</v>
      </c>
      <c r="J2886" s="19">
        <v>0</v>
      </c>
      <c r="K2886" s="19">
        <v>5</v>
      </c>
      <c r="L2886" s="19" t="s">
        <v>44</v>
      </c>
      <c r="M2886" s="21">
        <v>4.8</v>
      </c>
      <c r="N2886">
        <f t="shared" si="45"/>
        <v>1</v>
      </c>
    </row>
    <row r="2887" spans="1:14" x14ac:dyDescent="0.35">
      <c r="A2887" s="22" t="s">
        <v>2957</v>
      </c>
      <c r="B2887" s="23" t="s">
        <v>89</v>
      </c>
      <c r="C2887" s="23">
        <v>7</v>
      </c>
      <c r="D2887" s="24">
        <v>45841</v>
      </c>
      <c r="E2887" s="23" t="s">
        <v>13</v>
      </c>
      <c r="F2887" s="23" t="s">
        <v>37</v>
      </c>
      <c r="G2887" s="23" t="s">
        <v>31</v>
      </c>
      <c r="H2887" s="23" t="s">
        <v>8364</v>
      </c>
      <c r="I2887" s="23">
        <v>48</v>
      </c>
      <c r="J2887" s="23">
        <v>1</v>
      </c>
      <c r="K2887" s="23">
        <v>5</v>
      </c>
      <c r="L2887" s="23" t="s">
        <v>17</v>
      </c>
      <c r="M2887" s="25">
        <v>3.9</v>
      </c>
      <c r="N2887">
        <f t="shared" si="45"/>
        <v>1</v>
      </c>
    </row>
    <row r="2888" spans="1:14" x14ac:dyDescent="0.35">
      <c r="A2888" s="6" t="s">
        <v>2958</v>
      </c>
      <c r="B2888" s="19" t="s">
        <v>97</v>
      </c>
      <c r="C2888" s="19">
        <v>5</v>
      </c>
      <c r="D2888" s="20">
        <v>45803</v>
      </c>
      <c r="E2888" s="19" t="s">
        <v>20</v>
      </c>
      <c r="F2888" s="19" t="s">
        <v>26</v>
      </c>
      <c r="G2888" s="19" t="s">
        <v>27</v>
      </c>
      <c r="H2888" s="19" t="s">
        <v>22</v>
      </c>
      <c r="I2888" s="19">
        <v>72</v>
      </c>
      <c r="J2888" s="19">
        <v>0</v>
      </c>
      <c r="K2888" s="19">
        <v>2</v>
      </c>
      <c r="L2888" s="19" t="s">
        <v>62</v>
      </c>
      <c r="M2888" s="21">
        <v>5.6</v>
      </c>
      <c r="N2888">
        <f t="shared" si="45"/>
        <v>1</v>
      </c>
    </row>
    <row r="2889" spans="1:14" x14ac:dyDescent="0.35">
      <c r="A2889" s="22" t="s">
        <v>2959</v>
      </c>
      <c r="B2889" s="23" t="s">
        <v>47</v>
      </c>
      <c r="C2889" s="23">
        <v>9</v>
      </c>
      <c r="D2889" s="24">
        <v>45909</v>
      </c>
      <c r="E2889" s="23" t="s">
        <v>25</v>
      </c>
      <c r="F2889" s="23" t="s">
        <v>14</v>
      </c>
      <c r="G2889" s="23" t="s">
        <v>21</v>
      </c>
      <c r="H2889" s="23" t="s">
        <v>22</v>
      </c>
      <c r="I2889" s="23">
        <v>8</v>
      </c>
      <c r="J2889" s="23">
        <v>0</v>
      </c>
      <c r="K2889" s="23">
        <v>4</v>
      </c>
      <c r="L2889" s="23" t="s">
        <v>17</v>
      </c>
      <c r="M2889" s="25">
        <v>12.5</v>
      </c>
      <c r="N2889">
        <f t="shared" si="45"/>
        <v>0</v>
      </c>
    </row>
    <row r="2890" spans="1:14" x14ac:dyDescent="0.35">
      <c r="A2890" s="6" t="s">
        <v>2960</v>
      </c>
      <c r="B2890" s="19" t="s">
        <v>49</v>
      </c>
      <c r="C2890" s="19"/>
      <c r="D2890" s="20"/>
      <c r="E2890" s="19" t="s">
        <v>25</v>
      </c>
      <c r="F2890" s="19" t="s">
        <v>43</v>
      </c>
      <c r="G2890" s="19" t="s">
        <v>27</v>
      </c>
      <c r="H2890" s="19" t="s">
        <v>32</v>
      </c>
      <c r="I2890" s="19">
        <v>48</v>
      </c>
      <c r="J2890" s="19">
        <v>0</v>
      </c>
      <c r="K2890" s="19">
        <v>4</v>
      </c>
      <c r="L2890" s="19" t="s">
        <v>8363</v>
      </c>
      <c r="M2890" s="21">
        <v>5.8</v>
      </c>
      <c r="N2890">
        <f t="shared" si="45"/>
        <v>1</v>
      </c>
    </row>
    <row r="2891" spans="1:14" x14ac:dyDescent="0.35">
      <c r="A2891" s="22" t="s">
        <v>2961</v>
      </c>
      <c r="B2891" s="23" t="s">
        <v>69</v>
      </c>
      <c r="C2891" s="23">
        <v>10</v>
      </c>
      <c r="D2891" s="24">
        <v>45945</v>
      </c>
      <c r="E2891" s="23" t="s">
        <v>25</v>
      </c>
      <c r="F2891" s="23" t="s">
        <v>26</v>
      </c>
      <c r="G2891" s="23" t="s">
        <v>27</v>
      </c>
      <c r="H2891" s="23" t="s">
        <v>28</v>
      </c>
      <c r="I2891" s="23">
        <v>8</v>
      </c>
      <c r="J2891" s="23">
        <v>0</v>
      </c>
      <c r="K2891" s="23"/>
      <c r="L2891" s="23" t="s">
        <v>75</v>
      </c>
      <c r="M2891" s="25">
        <v>24.2</v>
      </c>
      <c r="N2891">
        <f t="shared" si="45"/>
        <v>0</v>
      </c>
    </row>
    <row r="2892" spans="1:14" x14ac:dyDescent="0.35">
      <c r="A2892" s="6" t="s">
        <v>2962</v>
      </c>
      <c r="B2892" s="19" t="s">
        <v>89</v>
      </c>
      <c r="C2892" s="19">
        <v>6</v>
      </c>
      <c r="D2892" s="20">
        <v>45828</v>
      </c>
      <c r="E2892" s="19" t="s">
        <v>13</v>
      </c>
      <c r="F2892" s="19" t="s">
        <v>43</v>
      </c>
      <c r="G2892" s="19" t="s">
        <v>15</v>
      </c>
      <c r="H2892" s="19" t="s">
        <v>22</v>
      </c>
      <c r="I2892" s="19">
        <v>72</v>
      </c>
      <c r="J2892" s="19">
        <v>0</v>
      </c>
      <c r="K2892" s="19"/>
      <c r="L2892" s="19" t="s">
        <v>8363</v>
      </c>
      <c r="M2892" s="21">
        <v>2.8</v>
      </c>
      <c r="N2892">
        <f t="shared" si="45"/>
        <v>1</v>
      </c>
    </row>
    <row r="2893" spans="1:14" x14ac:dyDescent="0.35">
      <c r="A2893" s="22" t="s">
        <v>2963</v>
      </c>
      <c r="B2893" s="23" t="s">
        <v>158</v>
      </c>
      <c r="C2893" s="23">
        <v>5</v>
      </c>
      <c r="D2893" s="24">
        <v>45792</v>
      </c>
      <c r="E2893" s="23" t="s">
        <v>8364</v>
      </c>
      <c r="F2893" s="23" t="s">
        <v>8364</v>
      </c>
      <c r="G2893" s="23" t="s">
        <v>21</v>
      </c>
      <c r="H2893" s="23" t="s">
        <v>22</v>
      </c>
      <c r="I2893" s="23">
        <v>72</v>
      </c>
      <c r="J2893" s="23">
        <v>0</v>
      </c>
      <c r="K2893" s="23">
        <v>5</v>
      </c>
      <c r="L2893" s="23" t="s">
        <v>17</v>
      </c>
      <c r="M2893" s="25">
        <v>13.8</v>
      </c>
      <c r="N2893">
        <f t="shared" si="45"/>
        <v>1</v>
      </c>
    </row>
    <row r="2894" spans="1:14" x14ac:dyDescent="0.35">
      <c r="A2894" s="6" t="s">
        <v>2964</v>
      </c>
      <c r="B2894" s="19" t="s">
        <v>236</v>
      </c>
      <c r="C2894" s="19">
        <v>6</v>
      </c>
      <c r="D2894" s="20">
        <v>45834</v>
      </c>
      <c r="E2894" s="19" t="s">
        <v>25</v>
      </c>
      <c r="F2894" s="19" t="s">
        <v>14</v>
      </c>
      <c r="G2894" s="19" t="s">
        <v>31</v>
      </c>
      <c r="H2894" s="19" t="s">
        <v>8364</v>
      </c>
      <c r="I2894" s="19">
        <v>48</v>
      </c>
      <c r="J2894" s="19">
        <v>0</v>
      </c>
      <c r="K2894" s="19">
        <v>4</v>
      </c>
      <c r="L2894" s="19" t="s">
        <v>62</v>
      </c>
      <c r="M2894" s="21"/>
      <c r="N2894">
        <f t="shared" si="45"/>
        <v>1</v>
      </c>
    </row>
    <row r="2895" spans="1:14" x14ac:dyDescent="0.35">
      <c r="A2895" s="22" t="s">
        <v>2965</v>
      </c>
      <c r="B2895" s="23" t="s">
        <v>51</v>
      </c>
      <c r="C2895" s="23">
        <v>9</v>
      </c>
      <c r="D2895" s="24">
        <v>45919</v>
      </c>
      <c r="E2895" s="23" t="s">
        <v>25</v>
      </c>
      <c r="F2895" s="23" t="s">
        <v>37</v>
      </c>
      <c r="G2895" s="23" t="s">
        <v>27</v>
      </c>
      <c r="H2895" s="23" t="s">
        <v>22</v>
      </c>
      <c r="I2895" s="23">
        <v>4</v>
      </c>
      <c r="J2895" s="23">
        <v>1</v>
      </c>
      <c r="K2895" s="23">
        <v>2</v>
      </c>
      <c r="L2895" s="23" t="s">
        <v>17</v>
      </c>
      <c r="M2895" s="25">
        <v>9.1999999999999993</v>
      </c>
      <c r="N2895">
        <f t="shared" si="45"/>
        <v>0</v>
      </c>
    </row>
    <row r="2896" spans="1:14" x14ac:dyDescent="0.35">
      <c r="A2896" s="6" t="s">
        <v>2966</v>
      </c>
      <c r="B2896" s="19" t="s">
        <v>181</v>
      </c>
      <c r="C2896" s="19">
        <v>9</v>
      </c>
      <c r="D2896" s="20">
        <v>45917</v>
      </c>
      <c r="E2896" s="19" t="s">
        <v>13</v>
      </c>
      <c r="F2896" s="19" t="s">
        <v>14</v>
      </c>
      <c r="G2896" s="19" t="s">
        <v>21</v>
      </c>
      <c r="H2896" s="19" t="s">
        <v>22</v>
      </c>
      <c r="I2896" s="19">
        <v>72</v>
      </c>
      <c r="J2896" s="19">
        <v>0</v>
      </c>
      <c r="K2896" s="19">
        <v>1</v>
      </c>
      <c r="L2896" s="19" t="s">
        <v>55</v>
      </c>
      <c r="M2896" s="21">
        <v>8.5</v>
      </c>
      <c r="N2896">
        <f t="shared" si="45"/>
        <v>1</v>
      </c>
    </row>
    <row r="2897" spans="1:14" x14ac:dyDescent="0.35">
      <c r="A2897" s="22" t="s">
        <v>2967</v>
      </c>
      <c r="B2897" s="23" t="s">
        <v>81</v>
      </c>
      <c r="C2897" s="23">
        <v>5</v>
      </c>
      <c r="D2897" s="24">
        <v>45806</v>
      </c>
      <c r="E2897" s="23" t="s">
        <v>13</v>
      </c>
      <c r="F2897" s="23" t="s">
        <v>14</v>
      </c>
      <c r="G2897" s="23" t="s">
        <v>21</v>
      </c>
      <c r="H2897" s="23" t="s">
        <v>8364</v>
      </c>
      <c r="I2897" s="23">
        <v>24</v>
      </c>
      <c r="J2897" s="23">
        <v>0</v>
      </c>
      <c r="K2897" s="23">
        <v>2</v>
      </c>
      <c r="L2897" s="23" t="s">
        <v>8363</v>
      </c>
      <c r="M2897" s="25">
        <v>15.8</v>
      </c>
      <c r="N2897">
        <f t="shared" si="45"/>
        <v>1</v>
      </c>
    </row>
    <row r="2898" spans="1:14" x14ac:dyDescent="0.35">
      <c r="A2898" s="6" t="s">
        <v>2968</v>
      </c>
      <c r="B2898" s="19" t="s">
        <v>130</v>
      </c>
      <c r="C2898" s="19">
        <v>1</v>
      </c>
      <c r="D2898" s="20">
        <v>45664</v>
      </c>
      <c r="E2898" s="19" t="s">
        <v>20</v>
      </c>
      <c r="F2898" s="19" t="s">
        <v>8364</v>
      </c>
      <c r="G2898" s="19" t="s">
        <v>27</v>
      </c>
      <c r="H2898" s="19" t="s">
        <v>32</v>
      </c>
      <c r="I2898" s="19">
        <v>72</v>
      </c>
      <c r="J2898" s="19">
        <v>1</v>
      </c>
      <c r="K2898" s="19"/>
      <c r="L2898" s="19" t="s">
        <v>33</v>
      </c>
      <c r="M2898" s="21">
        <v>11.2</v>
      </c>
      <c r="N2898">
        <f t="shared" si="45"/>
        <v>1</v>
      </c>
    </row>
    <row r="2899" spans="1:14" x14ac:dyDescent="0.35">
      <c r="A2899" s="22" t="s">
        <v>2969</v>
      </c>
      <c r="B2899" s="23" t="s">
        <v>47</v>
      </c>
      <c r="C2899" s="23">
        <v>2</v>
      </c>
      <c r="D2899" s="24">
        <v>45689</v>
      </c>
      <c r="E2899" s="23" t="s">
        <v>13</v>
      </c>
      <c r="F2899" s="23" t="s">
        <v>14</v>
      </c>
      <c r="G2899" s="23" t="s">
        <v>31</v>
      </c>
      <c r="H2899" s="23" t="s">
        <v>28</v>
      </c>
      <c r="I2899" s="23">
        <v>8</v>
      </c>
      <c r="J2899" s="23">
        <v>0</v>
      </c>
      <c r="K2899" s="23">
        <v>5</v>
      </c>
      <c r="L2899" s="23" t="s">
        <v>8363</v>
      </c>
      <c r="M2899" s="25">
        <v>11.8</v>
      </c>
      <c r="N2899">
        <f t="shared" si="45"/>
        <v>0</v>
      </c>
    </row>
    <row r="2900" spans="1:14" x14ac:dyDescent="0.35">
      <c r="A2900" s="6" t="s">
        <v>2970</v>
      </c>
      <c r="B2900" s="19" t="s">
        <v>41</v>
      </c>
      <c r="C2900" s="19">
        <v>10</v>
      </c>
      <c r="D2900" s="20">
        <v>45934</v>
      </c>
      <c r="E2900" s="19" t="s">
        <v>13</v>
      </c>
      <c r="F2900" s="19" t="s">
        <v>14</v>
      </c>
      <c r="G2900" s="19" t="s">
        <v>27</v>
      </c>
      <c r="H2900" s="19" t="s">
        <v>22</v>
      </c>
      <c r="I2900" s="19">
        <v>72</v>
      </c>
      <c r="J2900" s="19">
        <v>0</v>
      </c>
      <c r="K2900" s="19">
        <v>4</v>
      </c>
      <c r="L2900" s="19" t="s">
        <v>75</v>
      </c>
      <c r="M2900" s="21">
        <v>3.4</v>
      </c>
      <c r="N2900">
        <f t="shared" si="45"/>
        <v>1</v>
      </c>
    </row>
    <row r="2901" spans="1:14" x14ac:dyDescent="0.35">
      <c r="A2901" s="22" t="s">
        <v>2971</v>
      </c>
      <c r="B2901" s="23" t="s">
        <v>87</v>
      </c>
      <c r="C2901" s="23">
        <v>8</v>
      </c>
      <c r="D2901" s="24">
        <v>45872</v>
      </c>
      <c r="E2901" s="23" t="s">
        <v>13</v>
      </c>
      <c r="F2901" s="23" t="s">
        <v>40</v>
      </c>
      <c r="G2901" s="23" t="s">
        <v>27</v>
      </c>
      <c r="H2901" s="23" t="s">
        <v>32</v>
      </c>
      <c r="I2901" s="23">
        <v>48</v>
      </c>
      <c r="J2901" s="23">
        <v>1</v>
      </c>
      <c r="K2901" s="23">
        <v>5</v>
      </c>
      <c r="L2901" s="23" t="s">
        <v>55</v>
      </c>
      <c r="M2901" s="25">
        <v>7.6</v>
      </c>
      <c r="N2901">
        <f t="shared" si="45"/>
        <v>1</v>
      </c>
    </row>
    <row r="2902" spans="1:14" x14ac:dyDescent="0.35">
      <c r="A2902" s="6" t="s">
        <v>2972</v>
      </c>
      <c r="B2902" s="19" t="s">
        <v>139</v>
      </c>
      <c r="C2902" s="19"/>
      <c r="D2902" s="20"/>
      <c r="E2902" s="19" t="s">
        <v>8364</v>
      </c>
      <c r="F2902" s="19" t="s">
        <v>14</v>
      </c>
      <c r="G2902" s="19" t="s">
        <v>21</v>
      </c>
      <c r="H2902" s="19" t="s">
        <v>32</v>
      </c>
      <c r="I2902" s="19">
        <v>4</v>
      </c>
      <c r="J2902" s="19">
        <v>0</v>
      </c>
      <c r="K2902" s="19">
        <v>1</v>
      </c>
      <c r="L2902" s="19" t="s">
        <v>8363</v>
      </c>
      <c r="M2902" s="21">
        <v>14.8</v>
      </c>
      <c r="N2902">
        <f t="shared" si="45"/>
        <v>0</v>
      </c>
    </row>
    <row r="2903" spans="1:14" x14ac:dyDescent="0.35">
      <c r="A2903" s="22" t="s">
        <v>2973</v>
      </c>
      <c r="B2903" s="23" t="s">
        <v>57</v>
      </c>
      <c r="C2903" s="23">
        <v>4</v>
      </c>
      <c r="D2903" s="24">
        <v>45755</v>
      </c>
      <c r="E2903" s="23" t="s">
        <v>8364</v>
      </c>
      <c r="F2903" s="23" t="s">
        <v>40</v>
      </c>
      <c r="G2903" s="23" t="s">
        <v>21</v>
      </c>
      <c r="H2903" s="23" t="s">
        <v>8364</v>
      </c>
      <c r="I2903" s="23">
        <v>8</v>
      </c>
      <c r="J2903" s="23">
        <v>0</v>
      </c>
      <c r="K2903" s="23">
        <v>4</v>
      </c>
      <c r="L2903" s="23" t="s">
        <v>33</v>
      </c>
      <c r="M2903" s="25">
        <v>4.9000000000000004</v>
      </c>
      <c r="N2903">
        <f t="shared" si="45"/>
        <v>1</v>
      </c>
    </row>
    <row r="2904" spans="1:14" x14ac:dyDescent="0.35">
      <c r="A2904" s="6" t="s">
        <v>2974</v>
      </c>
      <c r="B2904" s="19" t="s">
        <v>146</v>
      </c>
      <c r="C2904" s="19">
        <v>4</v>
      </c>
      <c r="D2904" s="20">
        <v>45761</v>
      </c>
      <c r="E2904" s="19" t="s">
        <v>13</v>
      </c>
      <c r="F2904" s="19" t="s">
        <v>59</v>
      </c>
      <c r="G2904" s="19" t="s">
        <v>27</v>
      </c>
      <c r="H2904" s="19" t="s">
        <v>22</v>
      </c>
      <c r="I2904" s="19">
        <v>72</v>
      </c>
      <c r="J2904" s="19">
        <v>1</v>
      </c>
      <c r="K2904" s="19">
        <v>5</v>
      </c>
      <c r="L2904" s="19" t="s">
        <v>33</v>
      </c>
      <c r="M2904" s="21">
        <v>49.1</v>
      </c>
      <c r="N2904">
        <f t="shared" si="45"/>
        <v>1</v>
      </c>
    </row>
    <row r="2905" spans="1:14" x14ac:dyDescent="0.35">
      <c r="A2905" s="22" t="s">
        <v>2975</v>
      </c>
      <c r="B2905" s="23" t="s">
        <v>18</v>
      </c>
      <c r="C2905" s="23">
        <v>5</v>
      </c>
      <c r="D2905" s="24">
        <v>45783</v>
      </c>
      <c r="E2905" s="23" t="s">
        <v>20</v>
      </c>
      <c r="F2905" s="23" t="s">
        <v>37</v>
      </c>
      <c r="G2905" s="23" t="s">
        <v>15</v>
      </c>
      <c r="H2905" s="23" t="s">
        <v>28</v>
      </c>
      <c r="I2905" s="23">
        <v>8</v>
      </c>
      <c r="J2905" s="23">
        <v>0</v>
      </c>
      <c r="K2905" s="23">
        <v>4</v>
      </c>
      <c r="L2905" s="23" t="s">
        <v>44</v>
      </c>
      <c r="M2905" s="25">
        <v>4.2</v>
      </c>
      <c r="N2905">
        <f t="shared" si="45"/>
        <v>1</v>
      </c>
    </row>
    <row r="2906" spans="1:14" x14ac:dyDescent="0.35">
      <c r="A2906" s="6" t="s">
        <v>2976</v>
      </c>
      <c r="B2906" s="19" t="s">
        <v>29</v>
      </c>
      <c r="C2906" s="19">
        <v>4</v>
      </c>
      <c r="D2906" s="20">
        <v>45773</v>
      </c>
      <c r="E2906" s="19" t="s">
        <v>25</v>
      </c>
      <c r="F2906" s="19" t="s">
        <v>14</v>
      </c>
      <c r="G2906" s="19" t="s">
        <v>8364</v>
      </c>
      <c r="H2906" s="19" t="s">
        <v>8364</v>
      </c>
      <c r="I2906" s="19">
        <v>72</v>
      </c>
      <c r="J2906" s="19">
        <v>0</v>
      </c>
      <c r="K2906" s="19">
        <v>5</v>
      </c>
      <c r="L2906" s="19" t="s">
        <v>55</v>
      </c>
      <c r="M2906" s="21">
        <v>10.5</v>
      </c>
      <c r="N2906">
        <f t="shared" si="45"/>
        <v>1</v>
      </c>
    </row>
    <row r="2907" spans="1:14" x14ac:dyDescent="0.35">
      <c r="A2907" s="22" t="s">
        <v>2977</v>
      </c>
      <c r="B2907" s="23" t="s">
        <v>146</v>
      </c>
      <c r="C2907" s="23">
        <v>8</v>
      </c>
      <c r="D2907" s="24">
        <v>45892</v>
      </c>
      <c r="E2907" s="23" t="s">
        <v>36</v>
      </c>
      <c r="F2907" s="23" t="s">
        <v>40</v>
      </c>
      <c r="G2907" s="23" t="s">
        <v>21</v>
      </c>
      <c r="H2907" s="23" t="s">
        <v>32</v>
      </c>
      <c r="I2907" s="23">
        <v>72</v>
      </c>
      <c r="J2907" s="23">
        <v>0</v>
      </c>
      <c r="K2907" s="23">
        <v>5</v>
      </c>
      <c r="L2907" s="23" t="s">
        <v>44</v>
      </c>
      <c r="M2907" s="25">
        <v>12.8</v>
      </c>
      <c r="N2907">
        <f t="shared" si="45"/>
        <v>1</v>
      </c>
    </row>
    <row r="2908" spans="1:14" x14ac:dyDescent="0.35">
      <c r="A2908" s="6" t="s">
        <v>2978</v>
      </c>
      <c r="B2908" s="19" t="s">
        <v>143</v>
      </c>
      <c r="C2908" s="19"/>
      <c r="D2908" s="20"/>
      <c r="E2908" s="19" t="s">
        <v>13</v>
      </c>
      <c r="F2908" s="19" t="s">
        <v>37</v>
      </c>
      <c r="G2908" s="19" t="s">
        <v>8364</v>
      </c>
      <c r="H2908" s="19" t="s">
        <v>22</v>
      </c>
      <c r="I2908" s="19">
        <v>8</v>
      </c>
      <c r="J2908" s="19">
        <v>2</v>
      </c>
      <c r="K2908" s="19"/>
      <c r="L2908" s="19" t="s">
        <v>62</v>
      </c>
      <c r="M2908" s="21">
        <v>9</v>
      </c>
      <c r="N2908">
        <f t="shared" si="45"/>
        <v>0</v>
      </c>
    </row>
    <row r="2909" spans="1:14" x14ac:dyDescent="0.35">
      <c r="A2909" s="22" t="s">
        <v>2979</v>
      </c>
      <c r="B2909" s="23" t="s">
        <v>34</v>
      </c>
      <c r="C2909" s="23">
        <v>12</v>
      </c>
      <c r="D2909" s="24">
        <v>45992</v>
      </c>
      <c r="E2909" s="23" t="s">
        <v>13</v>
      </c>
      <c r="F2909" s="23" t="s">
        <v>37</v>
      </c>
      <c r="G2909" s="23" t="s">
        <v>31</v>
      </c>
      <c r="H2909" s="23" t="s">
        <v>22</v>
      </c>
      <c r="I2909" s="23">
        <v>8</v>
      </c>
      <c r="J2909" s="23">
        <v>2</v>
      </c>
      <c r="K2909" s="23">
        <v>5</v>
      </c>
      <c r="L2909" s="23" t="s">
        <v>38</v>
      </c>
      <c r="M2909" s="25">
        <v>9.9</v>
      </c>
      <c r="N2909">
        <f t="shared" si="45"/>
        <v>0</v>
      </c>
    </row>
    <row r="2910" spans="1:14" x14ac:dyDescent="0.35">
      <c r="A2910" s="6" t="s">
        <v>2980</v>
      </c>
      <c r="B2910" s="19" t="s">
        <v>78</v>
      </c>
      <c r="C2910" s="19"/>
      <c r="D2910" s="20"/>
      <c r="E2910" s="19" t="s">
        <v>36</v>
      </c>
      <c r="F2910" s="19" t="s">
        <v>26</v>
      </c>
      <c r="G2910" s="19" t="s">
        <v>27</v>
      </c>
      <c r="H2910" s="19" t="s">
        <v>16</v>
      </c>
      <c r="I2910" s="19">
        <v>48</v>
      </c>
      <c r="J2910" s="19">
        <v>2</v>
      </c>
      <c r="K2910" s="19">
        <v>3</v>
      </c>
      <c r="L2910" s="19" t="s">
        <v>17</v>
      </c>
      <c r="M2910" s="21">
        <v>5.4</v>
      </c>
      <c r="N2910">
        <f t="shared" si="45"/>
        <v>1</v>
      </c>
    </row>
    <row r="2911" spans="1:14" x14ac:dyDescent="0.35">
      <c r="A2911" s="22" t="s">
        <v>2981</v>
      </c>
      <c r="B2911" s="23" t="s">
        <v>99</v>
      </c>
      <c r="C2911" s="23">
        <v>2</v>
      </c>
      <c r="D2911" s="24">
        <v>45691</v>
      </c>
      <c r="E2911" s="23" t="s">
        <v>8364</v>
      </c>
      <c r="F2911" s="23" t="s">
        <v>40</v>
      </c>
      <c r="G2911" s="23" t="s">
        <v>27</v>
      </c>
      <c r="H2911" s="23" t="s">
        <v>22</v>
      </c>
      <c r="I2911" s="23">
        <v>24</v>
      </c>
      <c r="J2911" s="23">
        <v>0</v>
      </c>
      <c r="K2911" s="23">
        <v>4</v>
      </c>
      <c r="L2911" s="23" t="s">
        <v>17</v>
      </c>
      <c r="M2911" s="25">
        <v>11.6</v>
      </c>
      <c r="N2911">
        <f t="shared" si="45"/>
        <v>1</v>
      </c>
    </row>
    <row r="2912" spans="1:14" x14ac:dyDescent="0.35">
      <c r="A2912" s="6" t="s">
        <v>2982</v>
      </c>
      <c r="B2912" s="19" t="s">
        <v>41</v>
      </c>
      <c r="C2912" s="19">
        <v>4</v>
      </c>
      <c r="D2912" s="20">
        <v>45761</v>
      </c>
      <c r="E2912" s="19" t="s">
        <v>20</v>
      </c>
      <c r="F2912" s="19" t="s">
        <v>8364</v>
      </c>
      <c r="G2912" s="19" t="s">
        <v>31</v>
      </c>
      <c r="H2912" s="19" t="s">
        <v>16</v>
      </c>
      <c r="I2912" s="19">
        <v>4</v>
      </c>
      <c r="J2912" s="19">
        <v>1</v>
      </c>
      <c r="K2912" s="19">
        <v>5</v>
      </c>
      <c r="L2912" s="19" t="s">
        <v>38</v>
      </c>
      <c r="M2912" s="21">
        <v>5.5</v>
      </c>
      <c r="N2912">
        <f t="shared" si="45"/>
        <v>0</v>
      </c>
    </row>
    <row r="2913" spans="1:14" x14ac:dyDescent="0.35">
      <c r="A2913" s="22" t="s">
        <v>2983</v>
      </c>
      <c r="B2913" s="23" t="s">
        <v>181</v>
      </c>
      <c r="C2913" s="23">
        <v>10</v>
      </c>
      <c r="D2913" s="24">
        <v>45959</v>
      </c>
      <c r="E2913" s="23" t="s">
        <v>20</v>
      </c>
      <c r="F2913" s="23" t="s">
        <v>8364</v>
      </c>
      <c r="G2913" s="23" t="s">
        <v>27</v>
      </c>
      <c r="H2913" s="23" t="s">
        <v>22</v>
      </c>
      <c r="I2913" s="23">
        <v>48</v>
      </c>
      <c r="J2913" s="23">
        <v>0</v>
      </c>
      <c r="K2913" s="23">
        <v>1</v>
      </c>
      <c r="L2913" s="23" t="s">
        <v>8363</v>
      </c>
      <c r="M2913" s="25">
        <v>7.6</v>
      </c>
      <c r="N2913">
        <f t="shared" si="45"/>
        <v>1</v>
      </c>
    </row>
    <row r="2914" spans="1:14" x14ac:dyDescent="0.35">
      <c r="A2914" s="6" t="s">
        <v>2984</v>
      </c>
      <c r="B2914" s="19" t="s">
        <v>51</v>
      </c>
      <c r="C2914" s="19">
        <v>1</v>
      </c>
      <c r="D2914" s="20">
        <v>45664</v>
      </c>
      <c r="E2914" s="19" t="s">
        <v>8364</v>
      </c>
      <c r="F2914" s="19" t="s">
        <v>37</v>
      </c>
      <c r="G2914" s="19" t="s">
        <v>15</v>
      </c>
      <c r="H2914" s="19" t="s">
        <v>28</v>
      </c>
      <c r="I2914" s="19">
        <v>24</v>
      </c>
      <c r="J2914" s="19">
        <v>1</v>
      </c>
      <c r="K2914" s="19"/>
      <c r="L2914" s="19" t="s">
        <v>8363</v>
      </c>
      <c r="M2914" s="21">
        <v>6</v>
      </c>
      <c r="N2914">
        <f t="shared" si="45"/>
        <v>1</v>
      </c>
    </row>
    <row r="2915" spans="1:14" x14ac:dyDescent="0.35">
      <c r="A2915" s="22" t="s">
        <v>2985</v>
      </c>
      <c r="B2915" s="23" t="s">
        <v>139</v>
      </c>
      <c r="C2915" s="23">
        <v>5</v>
      </c>
      <c r="D2915" s="24">
        <v>45789</v>
      </c>
      <c r="E2915" s="23" t="s">
        <v>8364</v>
      </c>
      <c r="F2915" s="23" t="s">
        <v>14</v>
      </c>
      <c r="G2915" s="23" t="s">
        <v>15</v>
      </c>
      <c r="H2915" s="23" t="s">
        <v>22</v>
      </c>
      <c r="I2915" s="23">
        <v>48</v>
      </c>
      <c r="J2915" s="23">
        <v>0</v>
      </c>
      <c r="K2915" s="23">
        <v>1</v>
      </c>
      <c r="L2915" s="23" t="s">
        <v>33</v>
      </c>
      <c r="M2915" s="25">
        <v>10.3</v>
      </c>
      <c r="N2915">
        <f t="shared" si="45"/>
        <v>1</v>
      </c>
    </row>
    <row r="2916" spans="1:14" x14ac:dyDescent="0.35">
      <c r="A2916" s="6" t="s">
        <v>2986</v>
      </c>
      <c r="B2916" s="19" t="s">
        <v>92</v>
      </c>
      <c r="C2916" s="19"/>
      <c r="D2916" s="20"/>
      <c r="E2916" s="19" t="s">
        <v>20</v>
      </c>
      <c r="F2916" s="19" t="s">
        <v>26</v>
      </c>
      <c r="G2916" s="19" t="s">
        <v>15</v>
      </c>
      <c r="H2916" s="19" t="s">
        <v>22</v>
      </c>
      <c r="I2916" s="19">
        <v>4</v>
      </c>
      <c r="J2916" s="19">
        <v>1</v>
      </c>
      <c r="K2916" s="19">
        <v>1</v>
      </c>
      <c r="L2916" s="19" t="s">
        <v>33</v>
      </c>
      <c r="M2916" s="21">
        <v>25.6</v>
      </c>
      <c r="N2916">
        <f t="shared" si="45"/>
        <v>0</v>
      </c>
    </row>
    <row r="2917" spans="1:14" x14ac:dyDescent="0.35">
      <c r="A2917" s="22" t="s">
        <v>2987</v>
      </c>
      <c r="B2917" s="23" t="s">
        <v>108</v>
      </c>
      <c r="C2917" s="23">
        <v>3</v>
      </c>
      <c r="D2917" s="24">
        <v>45736</v>
      </c>
      <c r="E2917" s="23" t="s">
        <v>36</v>
      </c>
      <c r="F2917" s="23" t="s">
        <v>8364</v>
      </c>
      <c r="G2917" s="23" t="s">
        <v>15</v>
      </c>
      <c r="H2917" s="23" t="s">
        <v>16</v>
      </c>
      <c r="I2917" s="23">
        <v>48</v>
      </c>
      <c r="J2917" s="23">
        <v>2</v>
      </c>
      <c r="K2917" s="23">
        <v>3</v>
      </c>
      <c r="L2917" s="23" t="s">
        <v>62</v>
      </c>
      <c r="M2917" s="25">
        <v>10.9</v>
      </c>
      <c r="N2917">
        <f t="shared" si="45"/>
        <v>1</v>
      </c>
    </row>
    <row r="2918" spans="1:14" x14ac:dyDescent="0.35">
      <c r="A2918" s="6" t="s">
        <v>2988</v>
      </c>
      <c r="B2918" s="19" t="s">
        <v>143</v>
      </c>
      <c r="C2918" s="19">
        <v>10</v>
      </c>
      <c r="D2918" s="20">
        <v>45952</v>
      </c>
      <c r="E2918" s="19" t="s">
        <v>8364</v>
      </c>
      <c r="F2918" s="19" t="s">
        <v>14</v>
      </c>
      <c r="G2918" s="19" t="s">
        <v>27</v>
      </c>
      <c r="H2918" s="19" t="s">
        <v>22</v>
      </c>
      <c r="I2918" s="19">
        <v>72</v>
      </c>
      <c r="J2918" s="19">
        <v>0</v>
      </c>
      <c r="K2918" s="19">
        <v>4</v>
      </c>
      <c r="L2918" s="19" t="s">
        <v>17</v>
      </c>
      <c r="M2918" s="21">
        <v>14.2</v>
      </c>
      <c r="N2918">
        <f t="shared" si="45"/>
        <v>1</v>
      </c>
    </row>
    <row r="2919" spans="1:14" x14ac:dyDescent="0.35">
      <c r="A2919" s="22" t="s">
        <v>2989</v>
      </c>
      <c r="B2919" s="23" t="s">
        <v>81</v>
      </c>
      <c r="C2919" s="23">
        <v>11</v>
      </c>
      <c r="D2919" s="24">
        <v>45967</v>
      </c>
      <c r="E2919" s="23" t="s">
        <v>36</v>
      </c>
      <c r="F2919" s="23" t="s">
        <v>26</v>
      </c>
      <c r="G2919" s="23" t="s">
        <v>21</v>
      </c>
      <c r="H2919" s="23" t="s">
        <v>8364</v>
      </c>
      <c r="I2919" s="23">
        <v>72</v>
      </c>
      <c r="J2919" s="23">
        <v>0</v>
      </c>
      <c r="K2919" s="23">
        <v>3</v>
      </c>
      <c r="L2919" s="23" t="s">
        <v>75</v>
      </c>
      <c r="M2919" s="25">
        <v>1.7</v>
      </c>
      <c r="N2919">
        <f t="shared" si="45"/>
        <v>1</v>
      </c>
    </row>
    <row r="2920" spans="1:14" x14ac:dyDescent="0.35">
      <c r="A2920" s="6" t="s">
        <v>2990</v>
      </c>
      <c r="B2920" s="19" t="s">
        <v>143</v>
      </c>
      <c r="C2920" s="19">
        <v>8</v>
      </c>
      <c r="D2920" s="20">
        <v>45872</v>
      </c>
      <c r="E2920" s="19" t="s">
        <v>68</v>
      </c>
      <c r="F2920" s="19" t="s">
        <v>26</v>
      </c>
      <c r="G2920" s="19" t="s">
        <v>27</v>
      </c>
      <c r="H2920" s="19" t="s">
        <v>22</v>
      </c>
      <c r="I2920" s="19">
        <v>24</v>
      </c>
      <c r="J2920" s="19">
        <v>0</v>
      </c>
      <c r="K2920" s="19">
        <v>3</v>
      </c>
      <c r="L2920" s="19" t="s">
        <v>62</v>
      </c>
      <c r="M2920" s="21">
        <v>2.2999999999999998</v>
      </c>
      <c r="N2920">
        <f t="shared" si="45"/>
        <v>1</v>
      </c>
    </row>
    <row r="2921" spans="1:14" x14ac:dyDescent="0.35">
      <c r="A2921" s="22" t="s">
        <v>2991</v>
      </c>
      <c r="B2921" s="23" t="s">
        <v>53</v>
      </c>
      <c r="C2921" s="23">
        <v>5</v>
      </c>
      <c r="D2921" s="24">
        <v>45780</v>
      </c>
      <c r="E2921" s="23" t="s">
        <v>36</v>
      </c>
      <c r="F2921" s="23" t="s">
        <v>40</v>
      </c>
      <c r="G2921" s="23" t="s">
        <v>8364</v>
      </c>
      <c r="H2921" s="23" t="s">
        <v>28</v>
      </c>
      <c r="I2921" s="23">
        <v>24</v>
      </c>
      <c r="J2921" s="23">
        <v>0</v>
      </c>
      <c r="K2921" s="23">
        <v>4</v>
      </c>
      <c r="L2921" s="23" t="s">
        <v>8363</v>
      </c>
      <c r="M2921" s="25">
        <v>10.4</v>
      </c>
      <c r="N2921">
        <f t="shared" si="45"/>
        <v>1</v>
      </c>
    </row>
    <row r="2922" spans="1:14" x14ac:dyDescent="0.35">
      <c r="A2922" s="6" t="s">
        <v>2992</v>
      </c>
      <c r="B2922" s="19" t="s">
        <v>49</v>
      </c>
      <c r="C2922" s="19">
        <v>3</v>
      </c>
      <c r="D2922" s="20">
        <v>45728</v>
      </c>
      <c r="E2922" s="19" t="s">
        <v>20</v>
      </c>
      <c r="F2922" s="19" t="s">
        <v>14</v>
      </c>
      <c r="G2922" s="19" t="s">
        <v>27</v>
      </c>
      <c r="H2922" s="19" t="s">
        <v>32</v>
      </c>
      <c r="I2922" s="19">
        <v>48</v>
      </c>
      <c r="J2922" s="19">
        <v>0</v>
      </c>
      <c r="K2922" s="19">
        <v>5</v>
      </c>
      <c r="L2922" s="19" t="s">
        <v>17</v>
      </c>
      <c r="M2922" s="21">
        <v>7.5</v>
      </c>
      <c r="N2922">
        <f t="shared" si="45"/>
        <v>1</v>
      </c>
    </row>
    <row r="2923" spans="1:14" x14ac:dyDescent="0.35">
      <c r="A2923" s="22" t="s">
        <v>2993</v>
      </c>
      <c r="B2923" s="23" t="s">
        <v>101</v>
      </c>
      <c r="C2923" s="23">
        <v>4</v>
      </c>
      <c r="D2923" s="24">
        <v>45766</v>
      </c>
      <c r="E2923" s="23" t="s">
        <v>25</v>
      </c>
      <c r="F2923" s="23" t="s">
        <v>40</v>
      </c>
      <c r="G2923" s="23" t="s">
        <v>31</v>
      </c>
      <c r="H2923" s="23" t="s">
        <v>8364</v>
      </c>
      <c r="I2923" s="23">
        <v>48</v>
      </c>
      <c r="J2923" s="23">
        <v>1</v>
      </c>
      <c r="K2923" s="23">
        <v>5</v>
      </c>
      <c r="L2923" s="23" t="s">
        <v>38</v>
      </c>
      <c r="M2923" s="25"/>
      <c r="N2923">
        <f t="shared" si="45"/>
        <v>1</v>
      </c>
    </row>
    <row r="2924" spans="1:14" x14ac:dyDescent="0.35">
      <c r="A2924" s="6" t="s">
        <v>2994</v>
      </c>
      <c r="B2924" s="19" t="s">
        <v>130</v>
      </c>
      <c r="C2924" s="19">
        <v>7</v>
      </c>
      <c r="D2924" s="20">
        <v>45858</v>
      </c>
      <c r="E2924" s="19" t="s">
        <v>13</v>
      </c>
      <c r="F2924" s="19" t="s">
        <v>14</v>
      </c>
      <c r="G2924" s="19" t="s">
        <v>27</v>
      </c>
      <c r="H2924" s="19" t="s">
        <v>8364</v>
      </c>
      <c r="I2924" s="19">
        <v>24</v>
      </c>
      <c r="J2924" s="19">
        <v>0</v>
      </c>
      <c r="K2924" s="19">
        <v>4</v>
      </c>
      <c r="L2924" s="19" t="s">
        <v>17</v>
      </c>
      <c r="M2924" s="21">
        <v>15.4</v>
      </c>
      <c r="N2924">
        <f t="shared" si="45"/>
        <v>1</v>
      </c>
    </row>
    <row r="2925" spans="1:14" x14ac:dyDescent="0.35">
      <c r="A2925" s="22" t="s">
        <v>2995</v>
      </c>
      <c r="B2925" s="23" t="s">
        <v>146</v>
      </c>
      <c r="C2925" s="23">
        <v>3</v>
      </c>
      <c r="D2925" s="24">
        <v>45737</v>
      </c>
      <c r="E2925" s="23" t="s">
        <v>36</v>
      </c>
      <c r="F2925" s="23" t="s">
        <v>43</v>
      </c>
      <c r="G2925" s="23" t="s">
        <v>27</v>
      </c>
      <c r="H2925" s="23" t="s">
        <v>28</v>
      </c>
      <c r="I2925" s="23">
        <v>72</v>
      </c>
      <c r="J2925" s="23">
        <v>1</v>
      </c>
      <c r="K2925" s="23">
        <v>5</v>
      </c>
      <c r="L2925" s="23" t="s">
        <v>38</v>
      </c>
      <c r="M2925" s="25">
        <v>11.9</v>
      </c>
      <c r="N2925">
        <f t="shared" si="45"/>
        <v>1</v>
      </c>
    </row>
    <row r="2926" spans="1:14" x14ac:dyDescent="0.35">
      <c r="A2926" s="6" t="s">
        <v>2996</v>
      </c>
      <c r="B2926" s="19" t="s">
        <v>51</v>
      </c>
      <c r="C2926" s="19">
        <v>8</v>
      </c>
      <c r="D2926" s="20">
        <v>45885</v>
      </c>
      <c r="E2926" s="19" t="s">
        <v>25</v>
      </c>
      <c r="F2926" s="19" t="s">
        <v>14</v>
      </c>
      <c r="G2926" s="19" t="s">
        <v>31</v>
      </c>
      <c r="H2926" s="19" t="s">
        <v>32</v>
      </c>
      <c r="I2926" s="19">
        <v>4</v>
      </c>
      <c r="J2926" s="19">
        <v>0</v>
      </c>
      <c r="K2926" s="19"/>
      <c r="L2926" s="19" t="s">
        <v>17</v>
      </c>
      <c r="M2926" s="21">
        <v>5.6</v>
      </c>
      <c r="N2926">
        <f t="shared" si="45"/>
        <v>0</v>
      </c>
    </row>
    <row r="2927" spans="1:14" x14ac:dyDescent="0.35">
      <c r="A2927" s="22" t="s">
        <v>2997</v>
      </c>
      <c r="B2927" s="23" t="s">
        <v>51</v>
      </c>
      <c r="C2927" s="23">
        <v>4</v>
      </c>
      <c r="D2927" s="24">
        <v>45773</v>
      </c>
      <c r="E2927" s="23" t="s">
        <v>13</v>
      </c>
      <c r="F2927" s="23" t="s">
        <v>43</v>
      </c>
      <c r="G2927" s="23" t="s">
        <v>27</v>
      </c>
      <c r="H2927" s="23" t="s">
        <v>22</v>
      </c>
      <c r="I2927" s="23">
        <v>4</v>
      </c>
      <c r="J2927" s="23">
        <v>0</v>
      </c>
      <c r="K2927" s="23"/>
      <c r="L2927" s="23" t="s">
        <v>33</v>
      </c>
      <c r="M2927" s="25">
        <v>17.7</v>
      </c>
      <c r="N2927">
        <f t="shared" si="45"/>
        <v>0</v>
      </c>
    </row>
    <row r="2928" spans="1:14" x14ac:dyDescent="0.35">
      <c r="A2928" s="6" t="s">
        <v>2998</v>
      </c>
      <c r="B2928" s="19" t="s">
        <v>51</v>
      </c>
      <c r="C2928" s="19">
        <v>11</v>
      </c>
      <c r="D2928" s="20">
        <v>45981</v>
      </c>
      <c r="E2928" s="19" t="s">
        <v>20</v>
      </c>
      <c r="F2928" s="19" t="s">
        <v>14</v>
      </c>
      <c r="G2928" s="19" t="s">
        <v>31</v>
      </c>
      <c r="H2928" s="19" t="s">
        <v>16</v>
      </c>
      <c r="I2928" s="19">
        <v>4</v>
      </c>
      <c r="J2928" s="19">
        <v>0</v>
      </c>
      <c r="K2928" s="19">
        <v>3</v>
      </c>
      <c r="L2928" s="19" t="s">
        <v>8363</v>
      </c>
      <c r="M2928" s="21">
        <v>16.2</v>
      </c>
      <c r="N2928">
        <f t="shared" si="45"/>
        <v>0</v>
      </c>
    </row>
    <row r="2929" spans="1:14" x14ac:dyDescent="0.35">
      <c r="A2929" s="22" t="s">
        <v>2999</v>
      </c>
      <c r="B2929" s="23" t="s">
        <v>101</v>
      </c>
      <c r="C2929" s="23">
        <v>7</v>
      </c>
      <c r="D2929" s="24">
        <v>45846</v>
      </c>
      <c r="E2929" s="23" t="s">
        <v>25</v>
      </c>
      <c r="F2929" s="23" t="s">
        <v>40</v>
      </c>
      <c r="G2929" s="23" t="s">
        <v>27</v>
      </c>
      <c r="H2929" s="23" t="s">
        <v>28</v>
      </c>
      <c r="I2929" s="23">
        <v>24</v>
      </c>
      <c r="J2929" s="23">
        <v>1</v>
      </c>
      <c r="K2929" s="23">
        <v>4</v>
      </c>
      <c r="L2929" s="23" t="s">
        <v>8363</v>
      </c>
      <c r="M2929" s="25">
        <v>0.8</v>
      </c>
      <c r="N2929">
        <f t="shared" si="45"/>
        <v>1</v>
      </c>
    </row>
    <row r="2930" spans="1:14" x14ac:dyDescent="0.35">
      <c r="A2930" s="6" t="s">
        <v>3000</v>
      </c>
      <c r="B2930" s="19" t="s">
        <v>45</v>
      </c>
      <c r="C2930" s="19">
        <v>6</v>
      </c>
      <c r="D2930" s="20">
        <v>45815</v>
      </c>
      <c r="E2930" s="19" t="s">
        <v>68</v>
      </c>
      <c r="F2930" s="19" t="s">
        <v>26</v>
      </c>
      <c r="G2930" s="19" t="s">
        <v>21</v>
      </c>
      <c r="H2930" s="19" t="s">
        <v>22</v>
      </c>
      <c r="I2930" s="19">
        <v>8</v>
      </c>
      <c r="J2930" s="19">
        <v>3</v>
      </c>
      <c r="K2930" s="19">
        <v>5</v>
      </c>
      <c r="L2930" s="19" t="s">
        <v>55</v>
      </c>
      <c r="M2930" s="21">
        <v>17.5</v>
      </c>
      <c r="N2930">
        <f t="shared" si="45"/>
        <v>0</v>
      </c>
    </row>
    <row r="2931" spans="1:14" x14ac:dyDescent="0.35">
      <c r="A2931" s="22" t="s">
        <v>3001</v>
      </c>
      <c r="B2931" s="23" t="s">
        <v>253</v>
      </c>
      <c r="C2931" s="23">
        <v>1</v>
      </c>
      <c r="D2931" s="24">
        <v>45669</v>
      </c>
      <c r="E2931" s="23" t="s">
        <v>20</v>
      </c>
      <c r="F2931" s="23" t="s">
        <v>14</v>
      </c>
      <c r="G2931" s="23" t="s">
        <v>27</v>
      </c>
      <c r="H2931" s="23" t="s">
        <v>8364</v>
      </c>
      <c r="I2931" s="23">
        <v>4</v>
      </c>
      <c r="J2931" s="23">
        <v>1</v>
      </c>
      <c r="K2931" s="23">
        <v>5</v>
      </c>
      <c r="L2931" s="23" t="s">
        <v>62</v>
      </c>
      <c r="M2931" s="25">
        <v>9.6</v>
      </c>
      <c r="N2931">
        <f t="shared" si="45"/>
        <v>0</v>
      </c>
    </row>
    <row r="2932" spans="1:14" x14ac:dyDescent="0.35">
      <c r="A2932" s="6" t="s">
        <v>3002</v>
      </c>
      <c r="B2932" s="19" t="s">
        <v>89</v>
      </c>
      <c r="C2932" s="19">
        <v>9</v>
      </c>
      <c r="D2932" s="20">
        <v>45908</v>
      </c>
      <c r="E2932" s="19" t="s">
        <v>25</v>
      </c>
      <c r="F2932" s="19" t="s">
        <v>14</v>
      </c>
      <c r="G2932" s="19" t="s">
        <v>15</v>
      </c>
      <c r="H2932" s="19" t="s">
        <v>32</v>
      </c>
      <c r="I2932" s="19">
        <v>4</v>
      </c>
      <c r="J2932" s="19">
        <v>0</v>
      </c>
      <c r="K2932" s="19"/>
      <c r="L2932" s="19" t="s">
        <v>33</v>
      </c>
      <c r="M2932" s="21">
        <v>19.7</v>
      </c>
      <c r="N2932">
        <f t="shared" si="45"/>
        <v>0</v>
      </c>
    </row>
    <row r="2933" spans="1:14" x14ac:dyDescent="0.35">
      <c r="A2933" s="22" t="s">
        <v>3003</v>
      </c>
      <c r="B2933" s="23" t="s">
        <v>53</v>
      </c>
      <c r="C2933" s="23">
        <v>5</v>
      </c>
      <c r="D2933" s="24">
        <v>45782</v>
      </c>
      <c r="E2933" s="23" t="s">
        <v>68</v>
      </c>
      <c r="F2933" s="23" t="s">
        <v>14</v>
      </c>
      <c r="G2933" s="23" t="s">
        <v>27</v>
      </c>
      <c r="H2933" s="23" t="s">
        <v>32</v>
      </c>
      <c r="I2933" s="23">
        <v>4</v>
      </c>
      <c r="J2933" s="23">
        <v>2</v>
      </c>
      <c r="K2933" s="23">
        <v>3</v>
      </c>
      <c r="L2933" s="23" t="s">
        <v>8363</v>
      </c>
      <c r="M2933" s="25">
        <v>5.8</v>
      </c>
      <c r="N2933">
        <f t="shared" si="45"/>
        <v>0</v>
      </c>
    </row>
    <row r="2934" spans="1:14" x14ac:dyDescent="0.35">
      <c r="A2934" s="6" t="s">
        <v>3004</v>
      </c>
      <c r="B2934" s="19" t="s">
        <v>49</v>
      </c>
      <c r="C2934" s="19">
        <v>2</v>
      </c>
      <c r="D2934" s="20">
        <v>45698</v>
      </c>
      <c r="E2934" s="19" t="s">
        <v>20</v>
      </c>
      <c r="F2934" s="19" t="s">
        <v>43</v>
      </c>
      <c r="G2934" s="19" t="s">
        <v>31</v>
      </c>
      <c r="H2934" s="19" t="s">
        <v>8364</v>
      </c>
      <c r="I2934" s="19">
        <v>8</v>
      </c>
      <c r="J2934" s="19">
        <v>0</v>
      </c>
      <c r="K2934" s="19"/>
      <c r="L2934" s="19" t="s">
        <v>8363</v>
      </c>
      <c r="M2934" s="21">
        <v>4.0999999999999996</v>
      </c>
      <c r="N2934">
        <f t="shared" si="45"/>
        <v>1</v>
      </c>
    </row>
    <row r="2935" spans="1:14" x14ac:dyDescent="0.35">
      <c r="A2935" s="22" t="s">
        <v>3005</v>
      </c>
      <c r="B2935" s="23" t="s">
        <v>47</v>
      </c>
      <c r="C2935" s="23"/>
      <c r="D2935" s="24"/>
      <c r="E2935" s="23" t="s">
        <v>13</v>
      </c>
      <c r="F2935" s="23" t="s">
        <v>14</v>
      </c>
      <c r="G2935" s="23" t="s">
        <v>21</v>
      </c>
      <c r="H2935" s="23" t="s">
        <v>22</v>
      </c>
      <c r="I2935" s="23">
        <v>8</v>
      </c>
      <c r="J2935" s="23">
        <v>1</v>
      </c>
      <c r="K2935" s="23">
        <v>5</v>
      </c>
      <c r="L2935" s="23" t="s">
        <v>62</v>
      </c>
      <c r="M2935" s="25"/>
      <c r="N2935">
        <f t="shared" si="45"/>
        <v>1</v>
      </c>
    </row>
    <row r="2936" spans="1:14" x14ac:dyDescent="0.35">
      <c r="A2936" s="6" t="s">
        <v>3006</v>
      </c>
      <c r="B2936" s="19" t="s">
        <v>18</v>
      </c>
      <c r="C2936" s="19">
        <v>4</v>
      </c>
      <c r="D2936" s="20">
        <v>45756</v>
      </c>
      <c r="E2936" s="19" t="s">
        <v>8364</v>
      </c>
      <c r="F2936" s="19" t="s">
        <v>43</v>
      </c>
      <c r="G2936" s="19" t="s">
        <v>27</v>
      </c>
      <c r="H2936" s="19" t="s">
        <v>22</v>
      </c>
      <c r="I2936" s="19">
        <v>24</v>
      </c>
      <c r="J2936" s="19">
        <v>0</v>
      </c>
      <c r="K2936" s="19">
        <v>5</v>
      </c>
      <c r="L2936" s="19" t="s">
        <v>75</v>
      </c>
      <c r="M2936" s="21">
        <v>31.8</v>
      </c>
      <c r="N2936">
        <f t="shared" si="45"/>
        <v>0</v>
      </c>
    </row>
    <row r="2937" spans="1:14" x14ac:dyDescent="0.35">
      <c r="A2937" s="22" t="s">
        <v>3007</v>
      </c>
      <c r="B2937" s="23" t="s">
        <v>47</v>
      </c>
      <c r="C2937" s="23">
        <v>11</v>
      </c>
      <c r="D2937" s="24">
        <v>45981</v>
      </c>
      <c r="E2937" s="23" t="s">
        <v>20</v>
      </c>
      <c r="F2937" s="23" t="s">
        <v>26</v>
      </c>
      <c r="G2937" s="23" t="s">
        <v>8364</v>
      </c>
      <c r="H2937" s="23" t="s">
        <v>28</v>
      </c>
      <c r="I2937" s="23">
        <v>8</v>
      </c>
      <c r="J2937" s="23">
        <v>0</v>
      </c>
      <c r="K2937" s="23">
        <v>3</v>
      </c>
      <c r="L2937" s="23" t="s">
        <v>38</v>
      </c>
      <c r="M2937" s="25">
        <v>16.100000000000001</v>
      </c>
      <c r="N2937">
        <f t="shared" si="45"/>
        <v>0</v>
      </c>
    </row>
    <row r="2938" spans="1:14" x14ac:dyDescent="0.35">
      <c r="A2938" s="6" t="s">
        <v>3008</v>
      </c>
      <c r="B2938" s="19" t="s">
        <v>39</v>
      </c>
      <c r="C2938" s="19">
        <v>4</v>
      </c>
      <c r="D2938" s="20">
        <v>45754</v>
      </c>
      <c r="E2938" s="19" t="s">
        <v>13</v>
      </c>
      <c r="F2938" s="19" t="s">
        <v>14</v>
      </c>
      <c r="G2938" s="19" t="s">
        <v>31</v>
      </c>
      <c r="H2938" s="19" t="s">
        <v>32</v>
      </c>
      <c r="I2938" s="19">
        <v>48</v>
      </c>
      <c r="J2938" s="19">
        <v>0</v>
      </c>
      <c r="K2938" s="19">
        <v>4</v>
      </c>
      <c r="L2938" s="19" t="s">
        <v>17</v>
      </c>
      <c r="M2938" s="21">
        <v>11.5</v>
      </c>
      <c r="N2938">
        <f t="shared" si="45"/>
        <v>1</v>
      </c>
    </row>
    <row r="2939" spans="1:14" x14ac:dyDescent="0.35">
      <c r="A2939" s="22" t="s">
        <v>3009</v>
      </c>
      <c r="B2939" s="23" t="s">
        <v>108</v>
      </c>
      <c r="C2939" s="23"/>
      <c r="D2939" s="24"/>
      <c r="E2939" s="23" t="s">
        <v>8364</v>
      </c>
      <c r="F2939" s="23" t="s">
        <v>8364</v>
      </c>
      <c r="G2939" s="23" t="s">
        <v>31</v>
      </c>
      <c r="H2939" s="23" t="s">
        <v>22</v>
      </c>
      <c r="I2939" s="23">
        <v>24</v>
      </c>
      <c r="J2939" s="23">
        <v>0</v>
      </c>
      <c r="K2939" s="23">
        <v>3</v>
      </c>
      <c r="L2939" s="23" t="s">
        <v>8363</v>
      </c>
      <c r="M2939" s="25">
        <v>17.899999999999999</v>
      </c>
      <c r="N2939">
        <f t="shared" si="45"/>
        <v>1</v>
      </c>
    </row>
    <row r="2940" spans="1:14" x14ac:dyDescent="0.35">
      <c r="A2940" s="6" t="s">
        <v>3010</v>
      </c>
      <c r="B2940" s="19" t="s">
        <v>92</v>
      </c>
      <c r="C2940" s="19">
        <v>7</v>
      </c>
      <c r="D2940" s="20">
        <v>45852</v>
      </c>
      <c r="E2940" s="19" t="s">
        <v>13</v>
      </c>
      <c r="F2940" s="19" t="s">
        <v>40</v>
      </c>
      <c r="G2940" s="19" t="s">
        <v>27</v>
      </c>
      <c r="H2940" s="19" t="s">
        <v>8364</v>
      </c>
      <c r="I2940" s="19">
        <v>72</v>
      </c>
      <c r="J2940" s="19">
        <v>0</v>
      </c>
      <c r="K2940" s="19">
        <v>3</v>
      </c>
      <c r="L2940" s="19" t="s">
        <v>38</v>
      </c>
      <c r="M2940" s="21">
        <v>23.9</v>
      </c>
      <c r="N2940">
        <f t="shared" si="45"/>
        <v>1</v>
      </c>
    </row>
    <row r="2941" spans="1:14" x14ac:dyDescent="0.35">
      <c r="A2941" s="22" t="s">
        <v>3011</v>
      </c>
      <c r="B2941" s="23" t="s">
        <v>143</v>
      </c>
      <c r="C2941" s="23">
        <v>5</v>
      </c>
      <c r="D2941" s="24">
        <v>45786</v>
      </c>
      <c r="E2941" s="23" t="s">
        <v>25</v>
      </c>
      <c r="F2941" s="23" t="s">
        <v>37</v>
      </c>
      <c r="G2941" s="23" t="s">
        <v>27</v>
      </c>
      <c r="H2941" s="23" t="s">
        <v>32</v>
      </c>
      <c r="I2941" s="23">
        <v>4</v>
      </c>
      <c r="J2941" s="23">
        <v>0</v>
      </c>
      <c r="K2941" s="23">
        <v>5</v>
      </c>
      <c r="L2941" s="23" t="s">
        <v>75</v>
      </c>
      <c r="M2941" s="25">
        <v>13.8</v>
      </c>
      <c r="N2941">
        <f t="shared" si="45"/>
        <v>0</v>
      </c>
    </row>
    <row r="2942" spans="1:14" x14ac:dyDescent="0.35">
      <c r="A2942" s="6" t="s">
        <v>3012</v>
      </c>
      <c r="B2942" s="19" t="s">
        <v>236</v>
      </c>
      <c r="C2942" s="19"/>
      <c r="D2942" s="20"/>
      <c r="E2942" s="19" t="s">
        <v>8364</v>
      </c>
      <c r="F2942" s="19" t="s">
        <v>26</v>
      </c>
      <c r="G2942" s="19" t="s">
        <v>31</v>
      </c>
      <c r="H2942" s="19" t="s">
        <v>32</v>
      </c>
      <c r="I2942" s="19">
        <v>48</v>
      </c>
      <c r="J2942" s="19">
        <v>0</v>
      </c>
      <c r="K2942" s="19">
        <v>1</v>
      </c>
      <c r="L2942" s="19" t="s">
        <v>38</v>
      </c>
      <c r="M2942" s="21">
        <v>3.9</v>
      </c>
      <c r="N2942">
        <f t="shared" si="45"/>
        <v>1</v>
      </c>
    </row>
    <row r="2943" spans="1:14" x14ac:dyDescent="0.35">
      <c r="A2943" s="22" t="s">
        <v>3013</v>
      </c>
      <c r="B2943" s="23" t="s">
        <v>143</v>
      </c>
      <c r="C2943" s="23">
        <v>4</v>
      </c>
      <c r="D2943" s="24">
        <v>45777</v>
      </c>
      <c r="E2943" s="23" t="s">
        <v>25</v>
      </c>
      <c r="F2943" s="23" t="s">
        <v>14</v>
      </c>
      <c r="G2943" s="23" t="s">
        <v>15</v>
      </c>
      <c r="H2943" s="23" t="s">
        <v>22</v>
      </c>
      <c r="I2943" s="23">
        <v>4</v>
      </c>
      <c r="J2943" s="23">
        <v>0</v>
      </c>
      <c r="K2943" s="23">
        <v>4</v>
      </c>
      <c r="L2943" s="23" t="s">
        <v>17</v>
      </c>
      <c r="M2943" s="25">
        <v>5</v>
      </c>
      <c r="N2943">
        <f t="shared" si="45"/>
        <v>0</v>
      </c>
    </row>
    <row r="2944" spans="1:14" x14ac:dyDescent="0.35">
      <c r="A2944" s="6" t="s">
        <v>3014</v>
      </c>
      <c r="B2944" s="19" t="s">
        <v>39</v>
      </c>
      <c r="C2944" s="19">
        <v>4</v>
      </c>
      <c r="D2944" s="20">
        <v>45765</v>
      </c>
      <c r="E2944" s="19" t="s">
        <v>36</v>
      </c>
      <c r="F2944" s="19" t="s">
        <v>8364</v>
      </c>
      <c r="G2944" s="19" t="s">
        <v>27</v>
      </c>
      <c r="H2944" s="19" t="s">
        <v>16</v>
      </c>
      <c r="I2944" s="19">
        <v>48</v>
      </c>
      <c r="J2944" s="19">
        <v>0</v>
      </c>
      <c r="K2944" s="19">
        <v>4</v>
      </c>
      <c r="L2944" s="19" t="s">
        <v>38</v>
      </c>
      <c r="M2944" s="21">
        <v>2.2999999999999998</v>
      </c>
      <c r="N2944">
        <f t="shared" si="45"/>
        <v>1</v>
      </c>
    </row>
    <row r="2945" spans="1:14" x14ac:dyDescent="0.35">
      <c r="A2945" s="22" t="s">
        <v>3015</v>
      </c>
      <c r="B2945" s="23" t="s">
        <v>104</v>
      </c>
      <c r="C2945" s="23"/>
      <c r="D2945" s="24"/>
      <c r="E2945" s="23" t="s">
        <v>25</v>
      </c>
      <c r="F2945" s="23" t="s">
        <v>43</v>
      </c>
      <c r="G2945" s="23" t="s">
        <v>15</v>
      </c>
      <c r="H2945" s="23" t="s">
        <v>28</v>
      </c>
      <c r="I2945" s="23">
        <v>72</v>
      </c>
      <c r="J2945" s="23">
        <v>0</v>
      </c>
      <c r="K2945" s="23">
        <v>4</v>
      </c>
      <c r="L2945" s="23" t="s">
        <v>8363</v>
      </c>
      <c r="M2945" s="25">
        <v>8.3000000000000007</v>
      </c>
      <c r="N2945">
        <f t="shared" si="45"/>
        <v>1</v>
      </c>
    </row>
    <row r="2946" spans="1:14" x14ac:dyDescent="0.35">
      <c r="A2946" s="6" t="s">
        <v>3016</v>
      </c>
      <c r="B2946" s="19" t="s">
        <v>47</v>
      </c>
      <c r="C2946" s="19">
        <v>1</v>
      </c>
      <c r="D2946" s="20">
        <v>45663</v>
      </c>
      <c r="E2946" s="19" t="s">
        <v>68</v>
      </c>
      <c r="F2946" s="19" t="s">
        <v>14</v>
      </c>
      <c r="G2946" s="19" t="s">
        <v>31</v>
      </c>
      <c r="H2946" s="19" t="s">
        <v>22</v>
      </c>
      <c r="I2946" s="19">
        <v>24</v>
      </c>
      <c r="J2946" s="19">
        <v>0</v>
      </c>
      <c r="K2946" s="19">
        <v>3</v>
      </c>
      <c r="L2946" s="19" t="s">
        <v>33</v>
      </c>
      <c r="M2946" s="21">
        <v>9.3000000000000007</v>
      </c>
      <c r="N2946">
        <f t="shared" si="45"/>
        <v>1</v>
      </c>
    </row>
    <row r="2947" spans="1:14" x14ac:dyDescent="0.35">
      <c r="A2947" s="22" t="s">
        <v>3017</v>
      </c>
      <c r="B2947" s="23" t="s">
        <v>104</v>
      </c>
      <c r="C2947" s="23">
        <v>5</v>
      </c>
      <c r="D2947" s="24">
        <v>45793</v>
      </c>
      <c r="E2947" s="23" t="s">
        <v>25</v>
      </c>
      <c r="F2947" s="23" t="s">
        <v>40</v>
      </c>
      <c r="G2947" s="23" t="s">
        <v>27</v>
      </c>
      <c r="H2947" s="23" t="s">
        <v>22</v>
      </c>
      <c r="I2947" s="23">
        <v>24</v>
      </c>
      <c r="J2947" s="23">
        <v>0</v>
      </c>
      <c r="K2947" s="23">
        <v>5</v>
      </c>
      <c r="L2947" s="23" t="s">
        <v>75</v>
      </c>
      <c r="M2947" s="25">
        <v>21.3</v>
      </c>
      <c r="N2947">
        <f t="shared" ref="N2947:N3010" si="46">IF(M2947 &lt;= I2947, 1, 0)</f>
        <v>1</v>
      </c>
    </row>
    <row r="2948" spans="1:14" x14ac:dyDescent="0.35">
      <c r="A2948" s="6" t="s">
        <v>3018</v>
      </c>
      <c r="B2948" s="19" t="s">
        <v>78</v>
      </c>
      <c r="C2948" s="19">
        <v>4</v>
      </c>
      <c r="D2948" s="20">
        <v>45774</v>
      </c>
      <c r="E2948" s="19" t="s">
        <v>68</v>
      </c>
      <c r="F2948" s="19" t="s">
        <v>43</v>
      </c>
      <c r="G2948" s="19" t="s">
        <v>8364</v>
      </c>
      <c r="H2948" s="19" t="s">
        <v>32</v>
      </c>
      <c r="I2948" s="19">
        <v>24</v>
      </c>
      <c r="J2948" s="19">
        <v>0</v>
      </c>
      <c r="K2948" s="19">
        <v>4</v>
      </c>
      <c r="L2948" s="19" t="s">
        <v>75</v>
      </c>
      <c r="M2948" s="21">
        <v>14.1</v>
      </c>
      <c r="N2948">
        <f t="shared" si="46"/>
        <v>1</v>
      </c>
    </row>
    <row r="2949" spans="1:14" x14ac:dyDescent="0.35">
      <c r="A2949" s="22" t="s">
        <v>3019</v>
      </c>
      <c r="B2949" s="23" t="s">
        <v>41</v>
      </c>
      <c r="C2949" s="23">
        <v>6</v>
      </c>
      <c r="D2949" s="24">
        <v>45815</v>
      </c>
      <c r="E2949" s="23" t="s">
        <v>13</v>
      </c>
      <c r="F2949" s="23" t="s">
        <v>40</v>
      </c>
      <c r="G2949" s="23" t="s">
        <v>21</v>
      </c>
      <c r="H2949" s="23" t="s">
        <v>8364</v>
      </c>
      <c r="I2949" s="23">
        <v>4</v>
      </c>
      <c r="J2949" s="23">
        <v>0</v>
      </c>
      <c r="K2949" s="23">
        <v>5</v>
      </c>
      <c r="L2949" s="23" t="s">
        <v>38</v>
      </c>
      <c r="M2949" s="25">
        <v>15</v>
      </c>
      <c r="N2949">
        <f t="shared" si="46"/>
        <v>0</v>
      </c>
    </row>
    <row r="2950" spans="1:14" x14ac:dyDescent="0.35">
      <c r="A2950" s="6" t="s">
        <v>3020</v>
      </c>
      <c r="B2950" s="19" t="s">
        <v>89</v>
      </c>
      <c r="C2950" s="19"/>
      <c r="D2950" s="20"/>
      <c r="E2950" s="19" t="s">
        <v>25</v>
      </c>
      <c r="F2950" s="19" t="s">
        <v>37</v>
      </c>
      <c r="G2950" s="19" t="s">
        <v>15</v>
      </c>
      <c r="H2950" s="19" t="s">
        <v>28</v>
      </c>
      <c r="I2950" s="19">
        <v>4</v>
      </c>
      <c r="J2950" s="19">
        <v>1</v>
      </c>
      <c r="K2950" s="19">
        <v>5</v>
      </c>
      <c r="L2950" s="19" t="s">
        <v>55</v>
      </c>
      <c r="M2950" s="21">
        <v>3.8</v>
      </c>
      <c r="N2950">
        <f t="shared" si="46"/>
        <v>1</v>
      </c>
    </row>
    <row r="2951" spans="1:14" x14ac:dyDescent="0.35">
      <c r="A2951" s="22" t="s">
        <v>3021</v>
      </c>
      <c r="B2951" s="23" t="s">
        <v>108</v>
      </c>
      <c r="C2951" s="23">
        <v>11</v>
      </c>
      <c r="D2951" s="24">
        <v>45973</v>
      </c>
      <c r="E2951" s="23" t="s">
        <v>36</v>
      </c>
      <c r="F2951" s="23" t="s">
        <v>43</v>
      </c>
      <c r="G2951" s="23" t="s">
        <v>15</v>
      </c>
      <c r="H2951" s="23" t="s">
        <v>32</v>
      </c>
      <c r="I2951" s="23">
        <v>8</v>
      </c>
      <c r="J2951" s="23">
        <v>0</v>
      </c>
      <c r="K2951" s="23">
        <v>3</v>
      </c>
      <c r="L2951" s="23" t="s">
        <v>55</v>
      </c>
      <c r="M2951" s="25">
        <v>34.4</v>
      </c>
      <c r="N2951">
        <f t="shared" si="46"/>
        <v>0</v>
      </c>
    </row>
    <row r="2952" spans="1:14" x14ac:dyDescent="0.35">
      <c r="A2952" s="6" t="s">
        <v>3022</v>
      </c>
      <c r="B2952" s="19" t="s">
        <v>85</v>
      </c>
      <c r="C2952" s="19">
        <v>11</v>
      </c>
      <c r="D2952" s="20">
        <v>45967</v>
      </c>
      <c r="E2952" s="19" t="s">
        <v>13</v>
      </c>
      <c r="F2952" s="19" t="s">
        <v>14</v>
      </c>
      <c r="G2952" s="19" t="s">
        <v>27</v>
      </c>
      <c r="H2952" s="19" t="s">
        <v>32</v>
      </c>
      <c r="I2952" s="19">
        <v>48</v>
      </c>
      <c r="J2952" s="19">
        <v>0</v>
      </c>
      <c r="K2952" s="19">
        <v>3</v>
      </c>
      <c r="L2952" s="19" t="s">
        <v>75</v>
      </c>
      <c r="M2952" s="21">
        <v>20.100000000000001</v>
      </c>
      <c r="N2952">
        <f t="shared" si="46"/>
        <v>1</v>
      </c>
    </row>
    <row r="2953" spans="1:14" x14ac:dyDescent="0.35">
      <c r="A2953" s="22" t="s">
        <v>3023</v>
      </c>
      <c r="B2953" s="23" t="s">
        <v>78</v>
      </c>
      <c r="C2953" s="23">
        <v>5</v>
      </c>
      <c r="D2953" s="24">
        <v>45806</v>
      </c>
      <c r="E2953" s="23" t="s">
        <v>13</v>
      </c>
      <c r="F2953" s="23" t="s">
        <v>59</v>
      </c>
      <c r="G2953" s="23" t="s">
        <v>31</v>
      </c>
      <c r="H2953" s="23" t="s">
        <v>16</v>
      </c>
      <c r="I2953" s="23">
        <v>4</v>
      </c>
      <c r="J2953" s="23">
        <v>0</v>
      </c>
      <c r="K2953" s="23">
        <v>4</v>
      </c>
      <c r="L2953" s="23" t="s">
        <v>55</v>
      </c>
      <c r="M2953" s="25">
        <v>12</v>
      </c>
      <c r="N2953">
        <f t="shared" si="46"/>
        <v>0</v>
      </c>
    </row>
    <row r="2954" spans="1:14" x14ac:dyDescent="0.35">
      <c r="A2954" s="6" t="s">
        <v>3024</v>
      </c>
      <c r="B2954" s="19" t="s">
        <v>57</v>
      </c>
      <c r="C2954" s="19">
        <v>9</v>
      </c>
      <c r="D2954" s="20">
        <v>45930</v>
      </c>
      <c r="E2954" s="19" t="s">
        <v>36</v>
      </c>
      <c r="F2954" s="19" t="s">
        <v>43</v>
      </c>
      <c r="G2954" s="19" t="s">
        <v>27</v>
      </c>
      <c r="H2954" s="19" t="s">
        <v>16</v>
      </c>
      <c r="I2954" s="19">
        <v>48</v>
      </c>
      <c r="J2954" s="19">
        <v>0</v>
      </c>
      <c r="K2954" s="19">
        <v>2</v>
      </c>
      <c r="L2954" s="19" t="s">
        <v>8363</v>
      </c>
      <c r="M2954" s="21">
        <v>8.1</v>
      </c>
      <c r="N2954">
        <f t="shared" si="46"/>
        <v>1</v>
      </c>
    </row>
    <row r="2955" spans="1:14" x14ac:dyDescent="0.35">
      <c r="A2955" s="22" t="s">
        <v>3025</v>
      </c>
      <c r="B2955" s="23" t="s">
        <v>78</v>
      </c>
      <c r="C2955" s="23"/>
      <c r="D2955" s="24"/>
      <c r="E2955" s="23" t="s">
        <v>25</v>
      </c>
      <c r="F2955" s="23" t="s">
        <v>43</v>
      </c>
      <c r="G2955" s="23" t="s">
        <v>8364</v>
      </c>
      <c r="H2955" s="23" t="s">
        <v>22</v>
      </c>
      <c r="I2955" s="23">
        <v>8</v>
      </c>
      <c r="J2955" s="23">
        <v>0</v>
      </c>
      <c r="K2955" s="23">
        <v>2</v>
      </c>
      <c r="L2955" s="23" t="s">
        <v>62</v>
      </c>
      <c r="M2955" s="25">
        <v>2.9</v>
      </c>
      <c r="N2955">
        <f t="shared" si="46"/>
        <v>1</v>
      </c>
    </row>
    <row r="2956" spans="1:14" x14ac:dyDescent="0.35">
      <c r="A2956" s="6" t="s">
        <v>3026</v>
      </c>
      <c r="B2956" s="19" t="s">
        <v>47</v>
      </c>
      <c r="C2956" s="19">
        <v>8</v>
      </c>
      <c r="D2956" s="20">
        <v>45893</v>
      </c>
      <c r="E2956" s="19" t="s">
        <v>8364</v>
      </c>
      <c r="F2956" s="19" t="s">
        <v>43</v>
      </c>
      <c r="G2956" s="19" t="s">
        <v>8364</v>
      </c>
      <c r="H2956" s="19" t="s">
        <v>22</v>
      </c>
      <c r="I2956" s="19">
        <v>4</v>
      </c>
      <c r="J2956" s="19">
        <v>0</v>
      </c>
      <c r="K2956" s="19">
        <v>3</v>
      </c>
      <c r="L2956" s="19" t="s">
        <v>33</v>
      </c>
      <c r="M2956" s="21">
        <v>13.7</v>
      </c>
      <c r="N2956">
        <f t="shared" si="46"/>
        <v>0</v>
      </c>
    </row>
    <row r="2957" spans="1:14" x14ac:dyDescent="0.35">
      <c r="A2957" s="22" t="s">
        <v>3027</v>
      </c>
      <c r="B2957" s="23" t="s">
        <v>89</v>
      </c>
      <c r="C2957" s="23">
        <v>10</v>
      </c>
      <c r="D2957" s="24">
        <v>45941</v>
      </c>
      <c r="E2957" s="23" t="s">
        <v>8364</v>
      </c>
      <c r="F2957" s="23" t="s">
        <v>26</v>
      </c>
      <c r="G2957" s="23" t="s">
        <v>27</v>
      </c>
      <c r="H2957" s="23" t="s">
        <v>8364</v>
      </c>
      <c r="I2957" s="23">
        <v>8</v>
      </c>
      <c r="J2957" s="23">
        <v>0</v>
      </c>
      <c r="K2957" s="23">
        <v>1</v>
      </c>
      <c r="L2957" s="23" t="s">
        <v>44</v>
      </c>
      <c r="M2957" s="25">
        <v>8.4</v>
      </c>
      <c r="N2957">
        <f t="shared" si="46"/>
        <v>0</v>
      </c>
    </row>
    <row r="2958" spans="1:14" x14ac:dyDescent="0.35">
      <c r="A2958" s="6" t="s">
        <v>3028</v>
      </c>
      <c r="B2958" s="19" t="s">
        <v>57</v>
      </c>
      <c r="C2958" s="19"/>
      <c r="D2958" s="20"/>
      <c r="E2958" s="19" t="s">
        <v>13</v>
      </c>
      <c r="F2958" s="19" t="s">
        <v>59</v>
      </c>
      <c r="G2958" s="19" t="s">
        <v>21</v>
      </c>
      <c r="H2958" s="19" t="s">
        <v>22</v>
      </c>
      <c r="I2958" s="19">
        <v>72</v>
      </c>
      <c r="J2958" s="19">
        <v>0</v>
      </c>
      <c r="K2958" s="19">
        <v>5</v>
      </c>
      <c r="L2958" s="19" t="s">
        <v>38</v>
      </c>
      <c r="M2958" s="21">
        <v>7.4</v>
      </c>
      <c r="N2958">
        <f t="shared" si="46"/>
        <v>1</v>
      </c>
    </row>
    <row r="2959" spans="1:14" x14ac:dyDescent="0.35">
      <c r="A2959" s="22" t="s">
        <v>3029</v>
      </c>
      <c r="B2959" s="23" t="s">
        <v>51</v>
      </c>
      <c r="C2959" s="23">
        <v>3</v>
      </c>
      <c r="D2959" s="24">
        <v>45734</v>
      </c>
      <c r="E2959" s="23" t="s">
        <v>20</v>
      </c>
      <c r="F2959" s="23" t="s">
        <v>14</v>
      </c>
      <c r="G2959" s="23" t="s">
        <v>31</v>
      </c>
      <c r="H2959" s="23" t="s">
        <v>28</v>
      </c>
      <c r="I2959" s="23">
        <v>24</v>
      </c>
      <c r="J2959" s="23">
        <v>2</v>
      </c>
      <c r="K2959" s="23">
        <v>3</v>
      </c>
      <c r="L2959" s="23" t="s">
        <v>17</v>
      </c>
      <c r="M2959" s="25">
        <v>18.7</v>
      </c>
      <c r="N2959">
        <f t="shared" si="46"/>
        <v>1</v>
      </c>
    </row>
    <row r="2960" spans="1:14" x14ac:dyDescent="0.35">
      <c r="A2960" s="6" t="s">
        <v>3030</v>
      </c>
      <c r="B2960" s="19" t="s">
        <v>108</v>
      </c>
      <c r="C2960" s="19">
        <v>8</v>
      </c>
      <c r="D2960" s="20">
        <v>45873</v>
      </c>
      <c r="E2960" s="19" t="s">
        <v>68</v>
      </c>
      <c r="F2960" s="19" t="s">
        <v>8364</v>
      </c>
      <c r="G2960" s="19" t="s">
        <v>8364</v>
      </c>
      <c r="H2960" s="19" t="s">
        <v>32</v>
      </c>
      <c r="I2960" s="19">
        <v>8</v>
      </c>
      <c r="J2960" s="19">
        <v>0</v>
      </c>
      <c r="K2960" s="19">
        <v>5</v>
      </c>
      <c r="L2960" s="19" t="s">
        <v>8363</v>
      </c>
      <c r="M2960" s="21">
        <v>11.7</v>
      </c>
      <c r="N2960">
        <f t="shared" si="46"/>
        <v>0</v>
      </c>
    </row>
    <row r="2961" spans="1:14" x14ac:dyDescent="0.35">
      <c r="A2961" s="22" t="s">
        <v>3031</v>
      </c>
      <c r="B2961" s="23" t="s">
        <v>39</v>
      </c>
      <c r="C2961" s="23">
        <v>12</v>
      </c>
      <c r="D2961" s="24">
        <v>46012</v>
      </c>
      <c r="E2961" s="23" t="s">
        <v>36</v>
      </c>
      <c r="F2961" s="23" t="s">
        <v>8364</v>
      </c>
      <c r="G2961" s="23" t="s">
        <v>15</v>
      </c>
      <c r="H2961" s="23" t="s">
        <v>22</v>
      </c>
      <c r="I2961" s="23">
        <v>4</v>
      </c>
      <c r="J2961" s="23">
        <v>0</v>
      </c>
      <c r="K2961" s="23">
        <v>1</v>
      </c>
      <c r="L2961" s="23" t="s">
        <v>75</v>
      </c>
      <c r="M2961" s="25">
        <v>4.5999999999999996</v>
      </c>
      <c r="N2961">
        <f t="shared" si="46"/>
        <v>0</v>
      </c>
    </row>
    <row r="2962" spans="1:14" x14ac:dyDescent="0.35">
      <c r="A2962" s="6" t="s">
        <v>3032</v>
      </c>
      <c r="B2962" s="19" t="s">
        <v>236</v>
      </c>
      <c r="C2962" s="19">
        <v>5</v>
      </c>
      <c r="D2962" s="20">
        <v>45801</v>
      </c>
      <c r="E2962" s="19" t="s">
        <v>36</v>
      </c>
      <c r="F2962" s="19" t="s">
        <v>14</v>
      </c>
      <c r="G2962" s="19" t="s">
        <v>27</v>
      </c>
      <c r="H2962" s="19" t="s">
        <v>22</v>
      </c>
      <c r="I2962" s="19">
        <v>8</v>
      </c>
      <c r="J2962" s="19">
        <v>0</v>
      </c>
      <c r="K2962" s="19"/>
      <c r="L2962" s="19" t="s">
        <v>75</v>
      </c>
      <c r="M2962" s="21">
        <v>6.2</v>
      </c>
      <c r="N2962">
        <f t="shared" si="46"/>
        <v>1</v>
      </c>
    </row>
    <row r="2963" spans="1:14" x14ac:dyDescent="0.35">
      <c r="A2963" s="22" t="s">
        <v>3033</v>
      </c>
      <c r="B2963" s="23" t="s">
        <v>29</v>
      </c>
      <c r="C2963" s="23">
        <v>5</v>
      </c>
      <c r="D2963" s="24">
        <v>45793</v>
      </c>
      <c r="E2963" s="23" t="s">
        <v>13</v>
      </c>
      <c r="F2963" s="23" t="s">
        <v>14</v>
      </c>
      <c r="G2963" s="23" t="s">
        <v>31</v>
      </c>
      <c r="H2963" s="23" t="s">
        <v>8364</v>
      </c>
      <c r="I2963" s="23">
        <v>4</v>
      </c>
      <c r="J2963" s="23">
        <v>0</v>
      </c>
      <c r="K2963" s="23">
        <v>3</v>
      </c>
      <c r="L2963" s="23" t="s">
        <v>33</v>
      </c>
      <c r="M2963" s="25">
        <v>10.3</v>
      </c>
      <c r="N2963">
        <f t="shared" si="46"/>
        <v>0</v>
      </c>
    </row>
    <row r="2964" spans="1:14" x14ac:dyDescent="0.35">
      <c r="A2964" s="6" t="s">
        <v>3034</v>
      </c>
      <c r="B2964" s="19" t="s">
        <v>69</v>
      </c>
      <c r="C2964" s="19">
        <v>11</v>
      </c>
      <c r="D2964" s="20">
        <v>45973</v>
      </c>
      <c r="E2964" s="19" t="s">
        <v>68</v>
      </c>
      <c r="F2964" s="19" t="s">
        <v>14</v>
      </c>
      <c r="G2964" s="19" t="s">
        <v>27</v>
      </c>
      <c r="H2964" s="19" t="s">
        <v>22</v>
      </c>
      <c r="I2964" s="19">
        <v>4</v>
      </c>
      <c r="J2964" s="19">
        <v>0</v>
      </c>
      <c r="K2964" s="19">
        <v>5</v>
      </c>
      <c r="L2964" s="19" t="s">
        <v>75</v>
      </c>
      <c r="M2964" s="21">
        <v>19.2</v>
      </c>
      <c r="N2964">
        <f t="shared" si="46"/>
        <v>0</v>
      </c>
    </row>
    <row r="2965" spans="1:14" x14ac:dyDescent="0.35">
      <c r="A2965" s="22" t="s">
        <v>3035</v>
      </c>
      <c r="B2965" s="23" t="s">
        <v>72</v>
      </c>
      <c r="C2965" s="23">
        <v>12</v>
      </c>
      <c r="D2965" s="24">
        <v>46011</v>
      </c>
      <c r="E2965" s="23" t="s">
        <v>8364</v>
      </c>
      <c r="F2965" s="23" t="s">
        <v>14</v>
      </c>
      <c r="G2965" s="23" t="s">
        <v>31</v>
      </c>
      <c r="H2965" s="23" t="s">
        <v>28</v>
      </c>
      <c r="I2965" s="23">
        <v>24</v>
      </c>
      <c r="J2965" s="23">
        <v>1</v>
      </c>
      <c r="K2965" s="23">
        <v>5</v>
      </c>
      <c r="L2965" s="23" t="s">
        <v>44</v>
      </c>
      <c r="M2965" s="25">
        <v>2.2999999999999998</v>
      </c>
      <c r="N2965">
        <f t="shared" si="46"/>
        <v>1</v>
      </c>
    </row>
    <row r="2966" spans="1:14" x14ac:dyDescent="0.35">
      <c r="A2966" s="6" t="s">
        <v>3036</v>
      </c>
      <c r="B2966" s="19" t="s">
        <v>89</v>
      </c>
      <c r="C2966" s="19">
        <v>11</v>
      </c>
      <c r="D2966" s="20">
        <v>45986</v>
      </c>
      <c r="E2966" s="19" t="s">
        <v>36</v>
      </c>
      <c r="F2966" s="19" t="s">
        <v>14</v>
      </c>
      <c r="G2966" s="19" t="s">
        <v>31</v>
      </c>
      <c r="H2966" s="19" t="s">
        <v>28</v>
      </c>
      <c r="I2966" s="19">
        <v>72</v>
      </c>
      <c r="J2966" s="19">
        <v>0</v>
      </c>
      <c r="K2966" s="19">
        <v>4</v>
      </c>
      <c r="L2966" s="19" t="s">
        <v>38</v>
      </c>
      <c r="M2966" s="21">
        <v>16.899999999999999</v>
      </c>
      <c r="N2966">
        <f t="shared" si="46"/>
        <v>1</v>
      </c>
    </row>
    <row r="2967" spans="1:14" x14ac:dyDescent="0.35">
      <c r="A2967" s="22" t="s">
        <v>3037</v>
      </c>
      <c r="B2967" s="23" t="s">
        <v>139</v>
      </c>
      <c r="C2967" s="23">
        <v>7</v>
      </c>
      <c r="D2967" s="24">
        <v>45841</v>
      </c>
      <c r="E2967" s="23" t="s">
        <v>13</v>
      </c>
      <c r="F2967" s="23" t="s">
        <v>59</v>
      </c>
      <c r="G2967" s="23" t="s">
        <v>21</v>
      </c>
      <c r="H2967" s="23" t="s">
        <v>32</v>
      </c>
      <c r="I2967" s="23">
        <v>8</v>
      </c>
      <c r="J2967" s="23">
        <v>0</v>
      </c>
      <c r="K2967" s="23">
        <v>5</v>
      </c>
      <c r="L2967" s="23" t="s">
        <v>75</v>
      </c>
      <c r="M2967" s="25">
        <v>15.1</v>
      </c>
      <c r="N2967">
        <f t="shared" si="46"/>
        <v>0</v>
      </c>
    </row>
    <row r="2968" spans="1:14" x14ac:dyDescent="0.35">
      <c r="A2968" s="6" t="s">
        <v>3038</v>
      </c>
      <c r="B2968" s="19" t="s">
        <v>18</v>
      </c>
      <c r="C2968" s="19">
        <v>5</v>
      </c>
      <c r="D2968" s="20">
        <v>45790</v>
      </c>
      <c r="E2968" s="19" t="s">
        <v>13</v>
      </c>
      <c r="F2968" s="19" t="s">
        <v>14</v>
      </c>
      <c r="G2968" s="19" t="s">
        <v>21</v>
      </c>
      <c r="H2968" s="19" t="s">
        <v>32</v>
      </c>
      <c r="I2968" s="19">
        <v>48</v>
      </c>
      <c r="J2968" s="19">
        <v>0</v>
      </c>
      <c r="K2968" s="19">
        <v>5</v>
      </c>
      <c r="L2968" s="19" t="s">
        <v>38</v>
      </c>
      <c r="M2968" s="21">
        <v>11.5</v>
      </c>
      <c r="N2968">
        <f t="shared" si="46"/>
        <v>1</v>
      </c>
    </row>
    <row r="2969" spans="1:14" x14ac:dyDescent="0.35">
      <c r="A2969" s="22" t="s">
        <v>3039</v>
      </c>
      <c r="B2969" s="23" t="s">
        <v>143</v>
      </c>
      <c r="C2969" s="23">
        <v>8</v>
      </c>
      <c r="D2969" s="24">
        <v>45891</v>
      </c>
      <c r="E2969" s="23" t="s">
        <v>25</v>
      </c>
      <c r="F2969" s="23" t="s">
        <v>40</v>
      </c>
      <c r="G2969" s="23" t="s">
        <v>8364</v>
      </c>
      <c r="H2969" s="23" t="s">
        <v>32</v>
      </c>
      <c r="I2969" s="23">
        <v>48</v>
      </c>
      <c r="J2969" s="23">
        <v>0</v>
      </c>
      <c r="K2969" s="23">
        <v>5</v>
      </c>
      <c r="L2969" s="23" t="s">
        <v>38</v>
      </c>
      <c r="M2969" s="25">
        <v>9.9</v>
      </c>
      <c r="N2969">
        <f t="shared" si="46"/>
        <v>1</v>
      </c>
    </row>
    <row r="2970" spans="1:14" x14ac:dyDescent="0.35">
      <c r="A2970" s="6" t="s">
        <v>3040</v>
      </c>
      <c r="B2970" s="19" t="s">
        <v>126</v>
      </c>
      <c r="C2970" s="19">
        <v>8</v>
      </c>
      <c r="D2970" s="20">
        <v>45882</v>
      </c>
      <c r="E2970" s="19" t="s">
        <v>25</v>
      </c>
      <c r="F2970" s="19" t="s">
        <v>40</v>
      </c>
      <c r="G2970" s="19" t="s">
        <v>31</v>
      </c>
      <c r="H2970" s="19" t="s">
        <v>28</v>
      </c>
      <c r="I2970" s="19">
        <v>4</v>
      </c>
      <c r="J2970" s="19">
        <v>0</v>
      </c>
      <c r="K2970" s="19">
        <v>5</v>
      </c>
      <c r="L2970" s="19" t="s">
        <v>55</v>
      </c>
      <c r="M2970" s="21">
        <v>3.6</v>
      </c>
      <c r="N2970">
        <f t="shared" si="46"/>
        <v>1</v>
      </c>
    </row>
    <row r="2971" spans="1:14" x14ac:dyDescent="0.35">
      <c r="A2971" s="22" t="s">
        <v>3041</v>
      </c>
      <c r="B2971" s="23" t="s">
        <v>47</v>
      </c>
      <c r="C2971" s="23">
        <v>4</v>
      </c>
      <c r="D2971" s="24">
        <v>45761</v>
      </c>
      <c r="E2971" s="23" t="s">
        <v>68</v>
      </c>
      <c r="F2971" s="23" t="s">
        <v>43</v>
      </c>
      <c r="G2971" s="23" t="s">
        <v>27</v>
      </c>
      <c r="H2971" s="23" t="s">
        <v>22</v>
      </c>
      <c r="I2971" s="23">
        <v>72</v>
      </c>
      <c r="J2971" s="23">
        <v>1</v>
      </c>
      <c r="K2971" s="23">
        <v>1</v>
      </c>
      <c r="L2971" s="23" t="s">
        <v>44</v>
      </c>
      <c r="M2971" s="25">
        <v>7</v>
      </c>
      <c r="N2971">
        <f t="shared" si="46"/>
        <v>1</v>
      </c>
    </row>
    <row r="2972" spans="1:14" x14ac:dyDescent="0.35">
      <c r="A2972" s="6" t="s">
        <v>3042</v>
      </c>
      <c r="B2972" s="19" t="s">
        <v>89</v>
      </c>
      <c r="C2972" s="19">
        <v>4</v>
      </c>
      <c r="D2972" s="20">
        <v>45752</v>
      </c>
      <c r="E2972" s="19" t="s">
        <v>68</v>
      </c>
      <c r="F2972" s="19" t="s">
        <v>26</v>
      </c>
      <c r="G2972" s="19" t="s">
        <v>27</v>
      </c>
      <c r="H2972" s="19" t="s">
        <v>8364</v>
      </c>
      <c r="I2972" s="19">
        <v>72</v>
      </c>
      <c r="J2972" s="19">
        <v>0</v>
      </c>
      <c r="K2972" s="19">
        <v>4</v>
      </c>
      <c r="L2972" s="19" t="s">
        <v>17</v>
      </c>
      <c r="M2972" s="21">
        <v>15.9</v>
      </c>
      <c r="N2972">
        <f t="shared" si="46"/>
        <v>1</v>
      </c>
    </row>
    <row r="2973" spans="1:14" x14ac:dyDescent="0.35">
      <c r="A2973" s="22" t="s">
        <v>3043</v>
      </c>
      <c r="B2973" s="23" t="s">
        <v>49</v>
      </c>
      <c r="C2973" s="23">
        <v>6</v>
      </c>
      <c r="D2973" s="24">
        <v>45812</v>
      </c>
      <c r="E2973" s="23" t="s">
        <v>25</v>
      </c>
      <c r="F2973" s="23" t="s">
        <v>43</v>
      </c>
      <c r="G2973" s="23" t="s">
        <v>15</v>
      </c>
      <c r="H2973" s="23" t="s">
        <v>32</v>
      </c>
      <c r="I2973" s="23">
        <v>4</v>
      </c>
      <c r="J2973" s="23">
        <v>0</v>
      </c>
      <c r="K2973" s="23">
        <v>4</v>
      </c>
      <c r="L2973" s="23" t="s">
        <v>17</v>
      </c>
      <c r="M2973" s="25">
        <v>3.3</v>
      </c>
      <c r="N2973">
        <f t="shared" si="46"/>
        <v>1</v>
      </c>
    </row>
    <row r="2974" spans="1:14" x14ac:dyDescent="0.35">
      <c r="A2974" s="6" t="s">
        <v>3044</v>
      </c>
      <c r="B2974" s="19" t="s">
        <v>47</v>
      </c>
      <c r="C2974" s="19">
        <v>1</v>
      </c>
      <c r="D2974" s="20">
        <v>45663</v>
      </c>
      <c r="E2974" s="19" t="s">
        <v>20</v>
      </c>
      <c r="F2974" s="19" t="s">
        <v>59</v>
      </c>
      <c r="G2974" s="19" t="s">
        <v>27</v>
      </c>
      <c r="H2974" s="19" t="s">
        <v>22</v>
      </c>
      <c r="I2974" s="19">
        <v>72</v>
      </c>
      <c r="J2974" s="19">
        <v>0</v>
      </c>
      <c r="K2974" s="19">
        <v>5</v>
      </c>
      <c r="L2974" s="19" t="s">
        <v>62</v>
      </c>
      <c r="M2974" s="21">
        <v>18.8</v>
      </c>
      <c r="N2974">
        <f t="shared" si="46"/>
        <v>1</v>
      </c>
    </row>
    <row r="2975" spans="1:14" x14ac:dyDescent="0.35">
      <c r="A2975" s="22" t="s">
        <v>3045</v>
      </c>
      <c r="B2975" s="23" t="s">
        <v>146</v>
      </c>
      <c r="C2975" s="23">
        <v>10</v>
      </c>
      <c r="D2975" s="24">
        <v>45936</v>
      </c>
      <c r="E2975" s="23" t="s">
        <v>25</v>
      </c>
      <c r="F2975" s="23" t="s">
        <v>43</v>
      </c>
      <c r="G2975" s="23" t="s">
        <v>8364</v>
      </c>
      <c r="H2975" s="23" t="s">
        <v>32</v>
      </c>
      <c r="I2975" s="23">
        <v>48</v>
      </c>
      <c r="J2975" s="23">
        <v>0</v>
      </c>
      <c r="K2975" s="23">
        <v>2</v>
      </c>
      <c r="L2975" s="23" t="s">
        <v>8363</v>
      </c>
      <c r="M2975" s="25">
        <v>6.7</v>
      </c>
      <c r="N2975">
        <f t="shared" si="46"/>
        <v>1</v>
      </c>
    </row>
    <row r="2976" spans="1:14" x14ac:dyDescent="0.35">
      <c r="A2976" s="6" t="s">
        <v>3046</v>
      </c>
      <c r="B2976" s="19" t="s">
        <v>87</v>
      </c>
      <c r="C2976" s="19">
        <v>10</v>
      </c>
      <c r="D2976" s="20">
        <v>45946</v>
      </c>
      <c r="E2976" s="19" t="s">
        <v>36</v>
      </c>
      <c r="F2976" s="19" t="s">
        <v>26</v>
      </c>
      <c r="G2976" s="19" t="s">
        <v>15</v>
      </c>
      <c r="H2976" s="19" t="s">
        <v>32</v>
      </c>
      <c r="I2976" s="19">
        <v>48</v>
      </c>
      <c r="J2976" s="19">
        <v>0</v>
      </c>
      <c r="K2976" s="19"/>
      <c r="L2976" s="19" t="s">
        <v>75</v>
      </c>
      <c r="M2976" s="21">
        <v>2.6</v>
      </c>
      <c r="N2976">
        <f t="shared" si="46"/>
        <v>1</v>
      </c>
    </row>
    <row r="2977" spans="1:14" x14ac:dyDescent="0.35">
      <c r="A2977" s="22" t="s">
        <v>3047</v>
      </c>
      <c r="B2977" s="23" t="s">
        <v>158</v>
      </c>
      <c r="C2977" s="23">
        <v>10</v>
      </c>
      <c r="D2977" s="24">
        <v>45943</v>
      </c>
      <c r="E2977" s="23" t="s">
        <v>25</v>
      </c>
      <c r="F2977" s="23" t="s">
        <v>14</v>
      </c>
      <c r="G2977" s="23" t="s">
        <v>8364</v>
      </c>
      <c r="H2977" s="23" t="s">
        <v>16</v>
      </c>
      <c r="I2977" s="23">
        <v>4</v>
      </c>
      <c r="J2977" s="23">
        <v>1</v>
      </c>
      <c r="K2977" s="23">
        <v>1</v>
      </c>
      <c r="L2977" s="23" t="s">
        <v>44</v>
      </c>
      <c r="M2977" s="25">
        <v>2.8</v>
      </c>
      <c r="N2977">
        <f t="shared" si="46"/>
        <v>1</v>
      </c>
    </row>
    <row r="2978" spans="1:14" x14ac:dyDescent="0.35">
      <c r="A2978" s="6" t="s">
        <v>3048</v>
      </c>
      <c r="B2978" s="19" t="s">
        <v>69</v>
      </c>
      <c r="C2978" s="19">
        <v>5</v>
      </c>
      <c r="D2978" s="20">
        <v>45785</v>
      </c>
      <c r="E2978" s="19" t="s">
        <v>8364</v>
      </c>
      <c r="F2978" s="19" t="s">
        <v>37</v>
      </c>
      <c r="G2978" s="19" t="s">
        <v>8364</v>
      </c>
      <c r="H2978" s="19" t="s">
        <v>22</v>
      </c>
      <c r="I2978" s="19">
        <v>24</v>
      </c>
      <c r="J2978" s="19">
        <v>0</v>
      </c>
      <c r="K2978" s="19">
        <v>4</v>
      </c>
      <c r="L2978" s="19" t="s">
        <v>8363</v>
      </c>
      <c r="M2978" s="21">
        <v>11.9</v>
      </c>
      <c r="N2978">
        <f t="shared" si="46"/>
        <v>1</v>
      </c>
    </row>
    <row r="2979" spans="1:14" x14ac:dyDescent="0.35">
      <c r="A2979" s="22" t="s">
        <v>3049</v>
      </c>
      <c r="B2979" s="23" t="s">
        <v>236</v>
      </c>
      <c r="C2979" s="23">
        <v>12</v>
      </c>
      <c r="D2979" s="24">
        <v>45994</v>
      </c>
      <c r="E2979" s="23" t="s">
        <v>25</v>
      </c>
      <c r="F2979" s="23" t="s">
        <v>14</v>
      </c>
      <c r="G2979" s="23" t="s">
        <v>27</v>
      </c>
      <c r="H2979" s="23" t="s">
        <v>22</v>
      </c>
      <c r="I2979" s="23">
        <v>24</v>
      </c>
      <c r="J2979" s="23">
        <v>0</v>
      </c>
      <c r="K2979" s="23">
        <v>1</v>
      </c>
      <c r="L2979" s="23" t="s">
        <v>44</v>
      </c>
      <c r="M2979" s="25">
        <v>12.3</v>
      </c>
      <c r="N2979">
        <f t="shared" si="46"/>
        <v>1</v>
      </c>
    </row>
    <row r="2980" spans="1:14" x14ac:dyDescent="0.35">
      <c r="A2980" s="6" t="s">
        <v>3050</v>
      </c>
      <c r="B2980" s="19" t="s">
        <v>23</v>
      </c>
      <c r="C2980" s="19">
        <v>7</v>
      </c>
      <c r="D2980" s="20">
        <v>45868</v>
      </c>
      <c r="E2980" s="19" t="s">
        <v>8364</v>
      </c>
      <c r="F2980" s="19" t="s">
        <v>43</v>
      </c>
      <c r="G2980" s="19" t="s">
        <v>31</v>
      </c>
      <c r="H2980" s="19" t="s">
        <v>28</v>
      </c>
      <c r="I2980" s="19">
        <v>24</v>
      </c>
      <c r="J2980" s="19">
        <v>0</v>
      </c>
      <c r="K2980" s="19">
        <v>4</v>
      </c>
      <c r="L2980" s="19" t="s">
        <v>75</v>
      </c>
      <c r="M2980" s="21">
        <v>3.4</v>
      </c>
      <c r="N2980">
        <f t="shared" si="46"/>
        <v>1</v>
      </c>
    </row>
    <row r="2981" spans="1:14" x14ac:dyDescent="0.35">
      <c r="A2981" s="22" t="s">
        <v>3051</v>
      </c>
      <c r="B2981" s="23" t="s">
        <v>65</v>
      </c>
      <c r="C2981" s="23"/>
      <c r="D2981" s="24"/>
      <c r="E2981" s="23" t="s">
        <v>13</v>
      </c>
      <c r="F2981" s="23" t="s">
        <v>8364</v>
      </c>
      <c r="G2981" s="23" t="s">
        <v>21</v>
      </c>
      <c r="H2981" s="23" t="s">
        <v>16</v>
      </c>
      <c r="I2981" s="23">
        <v>8</v>
      </c>
      <c r="J2981" s="23">
        <v>0</v>
      </c>
      <c r="K2981" s="23">
        <v>1</v>
      </c>
      <c r="L2981" s="23" t="s">
        <v>33</v>
      </c>
      <c r="M2981" s="25">
        <v>8.8000000000000007</v>
      </c>
      <c r="N2981">
        <f t="shared" si="46"/>
        <v>0</v>
      </c>
    </row>
    <row r="2982" spans="1:14" x14ac:dyDescent="0.35">
      <c r="A2982" s="6" t="s">
        <v>3052</v>
      </c>
      <c r="B2982" s="19" t="s">
        <v>23</v>
      </c>
      <c r="C2982" s="19">
        <v>2</v>
      </c>
      <c r="D2982" s="20">
        <v>45696</v>
      </c>
      <c r="E2982" s="19" t="s">
        <v>25</v>
      </c>
      <c r="F2982" s="19" t="s">
        <v>37</v>
      </c>
      <c r="G2982" s="19" t="s">
        <v>27</v>
      </c>
      <c r="H2982" s="19" t="s">
        <v>22</v>
      </c>
      <c r="I2982" s="19">
        <v>24</v>
      </c>
      <c r="J2982" s="19">
        <v>0</v>
      </c>
      <c r="K2982" s="19">
        <v>1</v>
      </c>
      <c r="L2982" s="19" t="s">
        <v>33</v>
      </c>
      <c r="M2982" s="21">
        <v>15.8</v>
      </c>
      <c r="N2982">
        <f t="shared" si="46"/>
        <v>1</v>
      </c>
    </row>
    <row r="2983" spans="1:14" x14ac:dyDescent="0.35">
      <c r="A2983" s="22" t="s">
        <v>3053</v>
      </c>
      <c r="B2983" s="23" t="s">
        <v>89</v>
      </c>
      <c r="C2983" s="23">
        <v>4</v>
      </c>
      <c r="D2983" s="24">
        <v>45758</v>
      </c>
      <c r="E2983" s="23" t="s">
        <v>20</v>
      </c>
      <c r="F2983" s="23" t="s">
        <v>26</v>
      </c>
      <c r="G2983" s="23" t="s">
        <v>27</v>
      </c>
      <c r="H2983" s="23" t="s">
        <v>28</v>
      </c>
      <c r="I2983" s="23">
        <v>8</v>
      </c>
      <c r="J2983" s="23">
        <v>0</v>
      </c>
      <c r="K2983" s="23">
        <v>3</v>
      </c>
      <c r="L2983" s="23" t="s">
        <v>38</v>
      </c>
      <c r="M2983" s="25">
        <v>10.6</v>
      </c>
      <c r="N2983">
        <f t="shared" si="46"/>
        <v>0</v>
      </c>
    </row>
    <row r="2984" spans="1:14" x14ac:dyDescent="0.35">
      <c r="A2984" s="6" t="s">
        <v>3054</v>
      </c>
      <c r="B2984" s="19" t="s">
        <v>236</v>
      </c>
      <c r="C2984" s="19">
        <v>11</v>
      </c>
      <c r="D2984" s="20">
        <v>45965</v>
      </c>
      <c r="E2984" s="19" t="s">
        <v>20</v>
      </c>
      <c r="F2984" s="19" t="s">
        <v>43</v>
      </c>
      <c r="G2984" s="19" t="s">
        <v>31</v>
      </c>
      <c r="H2984" s="19" t="s">
        <v>22</v>
      </c>
      <c r="I2984" s="19">
        <v>72</v>
      </c>
      <c r="J2984" s="19">
        <v>2</v>
      </c>
      <c r="K2984" s="19">
        <v>4</v>
      </c>
      <c r="L2984" s="19" t="s">
        <v>44</v>
      </c>
      <c r="M2984" s="21">
        <v>6.7</v>
      </c>
      <c r="N2984">
        <f t="shared" si="46"/>
        <v>1</v>
      </c>
    </row>
    <row r="2985" spans="1:14" x14ac:dyDescent="0.35">
      <c r="A2985" s="22" t="s">
        <v>3055</v>
      </c>
      <c r="B2985" s="23" t="s">
        <v>99</v>
      </c>
      <c r="C2985" s="23">
        <v>1</v>
      </c>
      <c r="D2985" s="24">
        <v>45669</v>
      </c>
      <c r="E2985" s="23" t="s">
        <v>25</v>
      </c>
      <c r="F2985" s="23" t="s">
        <v>40</v>
      </c>
      <c r="G2985" s="23" t="s">
        <v>27</v>
      </c>
      <c r="H2985" s="23" t="s">
        <v>28</v>
      </c>
      <c r="I2985" s="23">
        <v>72</v>
      </c>
      <c r="J2985" s="23">
        <v>2</v>
      </c>
      <c r="K2985" s="23">
        <v>3</v>
      </c>
      <c r="L2985" s="23" t="s">
        <v>17</v>
      </c>
      <c r="M2985" s="25">
        <v>34.5</v>
      </c>
      <c r="N2985">
        <f t="shared" si="46"/>
        <v>1</v>
      </c>
    </row>
    <row r="2986" spans="1:14" x14ac:dyDescent="0.35">
      <c r="A2986" s="6" t="s">
        <v>3056</v>
      </c>
      <c r="B2986" s="19" t="s">
        <v>39</v>
      </c>
      <c r="C2986" s="19"/>
      <c r="D2986" s="20"/>
      <c r="E2986" s="19" t="s">
        <v>25</v>
      </c>
      <c r="F2986" s="19" t="s">
        <v>40</v>
      </c>
      <c r="G2986" s="19" t="s">
        <v>31</v>
      </c>
      <c r="H2986" s="19" t="s">
        <v>32</v>
      </c>
      <c r="I2986" s="19">
        <v>4</v>
      </c>
      <c r="J2986" s="19">
        <v>0</v>
      </c>
      <c r="K2986" s="19">
        <v>1</v>
      </c>
      <c r="L2986" s="19" t="s">
        <v>8363</v>
      </c>
      <c r="M2986" s="21">
        <v>6</v>
      </c>
      <c r="N2986">
        <f t="shared" si="46"/>
        <v>0</v>
      </c>
    </row>
    <row r="2987" spans="1:14" x14ac:dyDescent="0.35">
      <c r="A2987" s="22" t="s">
        <v>3057</v>
      </c>
      <c r="B2987" s="23" t="s">
        <v>49</v>
      </c>
      <c r="C2987" s="23">
        <v>11</v>
      </c>
      <c r="D2987" s="24">
        <v>45971</v>
      </c>
      <c r="E2987" s="23" t="s">
        <v>68</v>
      </c>
      <c r="F2987" s="23" t="s">
        <v>8364</v>
      </c>
      <c r="G2987" s="23" t="s">
        <v>21</v>
      </c>
      <c r="H2987" s="23" t="s">
        <v>32</v>
      </c>
      <c r="I2987" s="23">
        <v>48</v>
      </c>
      <c r="J2987" s="23">
        <v>0</v>
      </c>
      <c r="K2987" s="23">
        <v>5</v>
      </c>
      <c r="L2987" s="23" t="s">
        <v>33</v>
      </c>
      <c r="M2987" s="25">
        <v>12.4</v>
      </c>
      <c r="N2987">
        <f t="shared" si="46"/>
        <v>1</v>
      </c>
    </row>
    <row r="2988" spans="1:14" x14ac:dyDescent="0.35">
      <c r="A2988" s="6" t="s">
        <v>3058</v>
      </c>
      <c r="B2988" s="19" t="s">
        <v>49</v>
      </c>
      <c r="C2988" s="19">
        <v>10</v>
      </c>
      <c r="D2988" s="20">
        <v>45936</v>
      </c>
      <c r="E2988" s="19" t="s">
        <v>20</v>
      </c>
      <c r="F2988" s="19" t="s">
        <v>40</v>
      </c>
      <c r="G2988" s="19" t="s">
        <v>8364</v>
      </c>
      <c r="H2988" s="19" t="s">
        <v>28</v>
      </c>
      <c r="I2988" s="19">
        <v>48</v>
      </c>
      <c r="J2988" s="19">
        <v>0</v>
      </c>
      <c r="K2988" s="19">
        <v>4</v>
      </c>
      <c r="L2988" s="19" t="s">
        <v>8363</v>
      </c>
      <c r="M2988" s="21">
        <v>4.0999999999999996</v>
      </c>
      <c r="N2988">
        <f t="shared" si="46"/>
        <v>1</v>
      </c>
    </row>
    <row r="2989" spans="1:14" x14ac:dyDescent="0.35">
      <c r="A2989" s="22" t="s">
        <v>3059</v>
      </c>
      <c r="B2989" s="23" t="s">
        <v>34</v>
      </c>
      <c r="C2989" s="23">
        <v>7</v>
      </c>
      <c r="D2989" s="24">
        <v>45840</v>
      </c>
      <c r="E2989" s="23" t="s">
        <v>25</v>
      </c>
      <c r="F2989" s="23" t="s">
        <v>8364</v>
      </c>
      <c r="G2989" s="23" t="s">
        <v>15</v>
      </c>
      <c r="H2989" s="23" t="s">
        <v>8364</v>
      </c>
      <c r="I2989" s="23">
        <v>48</v>
      </c>
      <c r="J2989" s="23">
        <v>1</v>
      </c>
      <c r="K2989" s="23">
        <v>1</v>
      </c>
      <c r="L2989" s="23" t="s">
        <v>8363</v>
      </c>
      <c r="M2989" s="25">
        <v>12</v>
      </c>
      <c r="N2989">
        <f t="shared" si="46"/>
        <v>1</v>
      </c>
    </row>
    <row r="2990" spans="1:14" x14ac:dyDescent="0.35">
      <c r="A2990" s="6" t="s">
        <v>3060</v>
      </c>
      <c r="B2990" s="19" t="s">
        <v>78</v>
      </c>
      <c r="C2990" s="19">
        <v>2</v>
      </c>
      <c r="D2990" s="20">
        <v>45697</v>
      </c>
      <c r="E2990" s="19" t="s">
        <v>20</v>
      </c>
      <c r="F2990" s="19" t="s">
        <v>43</v>
      </c>
      <c r="G2990" s="19" t="s">
        <v>15</v>
      </c>
      <c r="H2990" s="19" t="s">
        <v>32</v>
      </c>
      <c r="I2990" s="19">
        <v>72</v>
      </c>
      <c r="J2990" s="19">
        <v>0</v>
      </c>
      <c r="K2990" s="19">
        <v>4</v>
      </c>
      <c r="L2990" s="19" t="s">
        <v>44</v>
      </c>
      <c r="M2990" s="21">
        <v>2.6</v>
      </c>
      <c r="N2990">
        <f t="shared" si="46"/>
        <v>1</v>
      </c>
    </row>
    <row r="2991" spans="1:14" x14ac:dyDescent="0.35">
      <c r="A2991" s="22" t="s">
        <v>3061</v>
      </c>
      <c r="B2991" s="23" t="s">
        <v>49</v>
      </c>
      <c r="C2991" s="23">
        <v>4</v>
      </c>
      <c r="D2991" s="24">
        <v>45760</v>
      </c>
      <c r="E2991" s="23" t="s">
        <v>8364</v>
      </c>
      <c r="F2991" s="23" t="s">
        <v>59</v>
      </c>
      <c r="G2991" s="23" t="s">
        <v>31</v>
      </c>
      <c r="H2991" s="23" t="s">
        <v>16</v>
      </c>
      <c r="I2991" s="23">
        <v>48</v>
      </c>
      <c r="J2991" s="23">
        <v>0</v>
      </c>
      <c r="K2991" s="23">
        <v>5</v>
      </c>
      <c r="L2991" s="23" t="s">
        <v>8363</v>
      </c>
      <c r="M2991" s="25">
        <v>25.8</v>
      </c>
      <c r="N2991">
        <f t="shared" si="46"/>
        <v>1</v>
      </c>
    </row>
    <row r="2992" spans="1:14" x14ac:dyDescent="0.35">
      <c r="A2992" s="6" t="s">
        <v>3062</v>
      </c>
      <c r="B2992" s="19" t="s">
        <v>99</v>
      </c>
      <c r="C2992" s="19">
        <v>3</v>
      </c>
      <c r="D2992" s="20">
        <v>45721</v>
      </c>
      <c r="E2992" s="19" t="s">
        <v>13</v>
      </c>
      <c r="F2992" s="19" t="s">
        <v>14</v>
      </c>
      <c r="G2992" s="19" t="s">
        <v>27</v>
      </c>
      <c r="H2992" s="19" t="s">
        <v>32</v>
      </c>
      <c r="I2992" s="19">
        <v>4</v>
      </c>
      <c r="J2992" s="19">
        <v>1</v>
      </c>
      <c r="K2992" s="19">
        <v>4</v>
      </c>
      <c r="L2992" s="19" t="s">
        <v>38</v>
      </c>
      <c r="M2992" s="21">
        <v>14.4</v>
      </c>
      <c r="N2992">
        <f t="shared" si="46"/>
        <v>0</v>
      </c>
    </row>
    <row r="2993" spans="1:14" x14ac:dyDescent="0.35">
      <c r="A2993" s="22" t="s">
        <v>3063</v>
      </c>
      <c r="B2993" s="23" t="s">
        <v>47</v>
      </c>
      <c r="C2993" s="23">
        <v>6</v>
      </c>
      <c r="D2993" s="24">
        <v>45826</v>
      </c>
      <c r="E2993" s="23" t="s">
        <v>13</v>
      </c>
      <c r="F2993" s="23" t="s">
        <v>43</v>
      </c>
      <c r="G2993" s="23" t="s">
        <v>31</v>
      </c>
      <c r="H2993" s="23" t="s">
        <v>8364</v>
      </c>
      <c r="I2993" s="23">
        <v>4</v>
      </c>
      <c r="J2993" s="23">
        <v>0</v>
      </c>
      <c r="K2993" s="23">
        <v>4</v>
      </c>
      <c r="L2993" s="23" t="s">
        <v>55</v>
      </c>
      <c r="M2993" s="25">
        <v>1.9</v>
      </c>
      <c r="N2993">
        <f t="shared" si="46"/>
        <v>1</v>
      </c>
    </row>
    <row r="2994" spans="1:14" x14ac:dyDescent="0.35">
      <c r="A2994" s="6" t="s">
        <v>3064</v>
      </c>
      <c r="B2994" s="19" t="s">
        <v>143</v>
      </c>
      <c r="C2994" s="19">
        <v>9</v>
      </c>
      <c r="D2994" s="20">
        <v>45926</v>
      </c>
      <c r="E2994" s="19" t="s">
        <v>20</v>
      </c>
      <c r="F2994" s="19" t="s">
        <v>8364</v>
      </c>
      <c r="G2994" s="19" t="s">
        <v>31</v>
      </c>
      <c r="H2994" s="19" t="s">
        <v>28</v>
      </c>
      <c r="I2994" s="19">
        <v>4</v>
      </c>
      <c r="J2994" s="19">
        <v>0</v>
      </c>
      <c r="K2994" s="19"/>
      <c r="L2994" s="19" t="s">
        <v>62</v>
      </c>
      <c r="M2994" s="21">
        <v>11.9</v>
      </c>
      <c r="N2994">
        <f t="shared" si="46"/>
        <v>0</v>
      </c>
    </row>
    <row r="2995" spans="1:14" x14ac:dyDescent="0.35">
      <c r="A2995" s="22" t="s">
        <v>3065</v>
      </c>
      <c r="B2995" s="23" t="s">
        <v>89</v>
      </c>
      <c r="C2995" s="23">
        <v>2</v>
      </c>
      <c r="D2995" s="24">
        <v>45709</v>
      </c>
      <c r="E2995" s="23" t="s">
        <v>25</v>
      </c>
      <c r="F2995" s="23" t="s">
        <v>14</v>
      </c>
      <c r="G2995" s="23" t="s">
        <v>31</v>
      </c>
      <c r="H2995" s="23" t="s">
        <v>28</v>
      </c>
      <c r="I2995" s="23">
        <v>24</v>
      </c>
      <c r="J2995" s="23">
        <v>0</v>
      </c>
      <c r="K2995" s="23">
        <v>2</v>
      </c>
      <c r="L2995" s="23" t="s">
        <v>17</v>
      </c>
      <c r="M2995" s="25">
        <v>7</v>
      </c>
      <c r="N2995">
        <f t="shared" si="46"/>
        <v>1</v>
      </c>
    </row>
    <row r="2996" spans="1:14" x14ac:dyDescent="0.35">
      <c r="A2996" s="6" t="s">
        <v>3066</v>
      </c>
      <c r="B2996" s="19" t="s">
        <v>87</v>
      </c>
      <c r="C2996" s="19">
        <v>3</v>
      </c>
      <c r="D2996" s="20">
        <v>45739</v>
      </c>
      <c r="E2996" s="19" t="s">
        <v>36</v>
      </c>
      <c r="F2996" s="19" t="s">
        <v>14</v>
      </c>
      <c r="G2996" s="19" t="s">
        <v>15</v>
      </c>
      <c r="H2996" s="19" t="s">
        <v>32</v>
      </c>
      <c r="I2996" s="19">
        <v>48</v>
      </c>
      <c r="J2996" s="19">
        <v>1</v>
      </c>
      <c r="K2996" s="19">
        <v>4</v>
      </c>
      <c r="L2996" s="19" t="s">
        <v>8363</v>
      </c>
      <c r="M2996" s="21">
        <v>15.9</v>
      </c>
      <c r="N2996">
        <f t="shared" si="46"/>
        <v>1</v>
      </c>
    </row>
    <row r="2997" spans="1:14" x14ac:dyDescent="0.35">
      <c r="A2997" s="22" t="s">
        <v>3067</v>
      </c>
      <c r="B2997" s="23" t="s">
        <v>41</v>
      </c>
      <c r="C2997" s="23">
        <v>6</v>
      </c>
      <c r="D2997" s="24">
        <v>45812</v>
      </c>
      <c r="E2997" s="23" t="s">
        <v>68</v>
      </c>
      <c r="F2997" s="23" t="s">
        <v>14</v>
      </c>
      <c r="G2997" s="23" t="s">
        <v>21</v>
      </c>
      <c r="H2997" s="23" t="s">
        <v>22</v>
      </c>
      <c r="I2997" s="23">
        <v>72</v>
      </c>
      <c r="J2997" s="23">
        <v>1</v>
      </c>
      <c r="K2997" s="23">
        <v>3</v>
      </c>
      <c r="L2997" s="23" t="s">
        <v>44</v>
      </c>
      <c r="M2997" s="25">
        <v>2.6</v>
      </c>
      <c r="N2997">
        <f t="shared" si="46"/>
        <v>1</v>
      </c>
    </row>
    <row r="2998" spans="1:14" x14ac:dyDescent="0.35">
      <c r="A2998" s="6" t="s">
        <v>3068</v>
      </c>
      <c r="B2998" s="19" t="s">
        <v>47</v>
      </c>
      <c r="C2998" s="19">
        <v>8</v>
      </c>
      <c r="D2998" s="20">
        <v>45899</v>
      </c>
      <c r="E2998" s="19" t="s">
        <v>13</v>
      </c>
      <c r="F2998" s="19" t="s">
        <v>43</v>
      </c>
      <c r="G2998" s="19" t="s">
        <v>21</v>
      </c>
      <c r="H2998" s="19" t="s">
        <v>22</v>
      </c>
      <c r="I2998" s="19">
        <v>72</v>
      </c>
      <c r="J2998" s="19">
        <v>2</v>
      </c>
      <c r="K2998" s="19">
        <v>3</v>
      </c>
      <c r="L2998" s="19" t="s">
        <v>75</v>
      </c>
      <c r="M2998" s="21">
        <v>0.6</v>
      </c>
      <c r="N2998">
        <f t="shared" si="46"/>
        <v>1</v>
      </c>
    </row>
    <row r="2999" spans="1:14" x14ac:dyDescent="0.35">
      <c r="A2999" s="22" t="s">
        <v>3069</v>
      </c>
      <c r="B2999" s="23" t="s">
        <v>69</v>
      </c>
      <c r="C2999" s="23">
        <v>8</v>
      </c>
      <c r="D2999" s="24">
        <v>45898</v>
      </c>
      <c r="E2999" s="23" t="s">
        <v>8364</v>
      </c>
      <c r="F2999" s="23" t="s">
        <v>59</v>
      </c>
      <c r="G2999" s="23" t="s">
        <v>31</v>
      </c>
      <c r="H2999" s="23" t="s">
        <v>22</v>
      </c>
      <c r="I2999" s="23">
        <v>24</v>
      </c>
      <c r="J2999" s="23">
        <v>0</v>
      </c>
      <c r="K2999" s="23">
        <v>3</v>
      </c>
      <c r="L2999" s="23" t="s">
        <v>75</v>
      </c>
      <c r="M2999" s="25">
        <v>7.4</v>
      </c>
      <c r="N2999">
        <f t="shared" si="46"/>
        <v>1</v>
      </c>
    </row>
    <row r="3000" spans="1:14" x14ac:dyDescent="0.35">
      <c r="A3000" s="6" t="s">
        <v>3070</v>
      </c>
      <c r="B3000" s="19" t="s">
        <v>78</v>
      </c>
      <c r="C3000" s="19">
        <v>11</v>
      </c>
      <c r="D3000" s="20">
        <v>45989</v>
      </c>
      <c r="E3000" s="19" t="s">
        <v>25</v>
      </c>
      <c r="F3000" s="19" t="s">
        <v>14</v>
      </c>
      <c r="G3000" s="19" t="s">
        <v>15</v>
      </c>
      <c r="H3000" s="19" t="s">
        <v>32</v>
      </c>
      <c r="I3000" s="19">
        <v>8</v>
      </c>
      <c r="J3000" s="19">
        <v>0</v>
      </c>
      <c r="K3000" s="19">
        <v>2</v>
      </c>
      <c r="L3000" s="19" t="s">
        <v>62</v>
      </c>
      <c r="M3000" s="21">
        <v>15.1</v>
      </c>
      <c r="N3000">
        <f t="shared" si="46"/>
        <v>0</v>
      </c>
    </row>
    <row r="3001" spans="1:14" x14ac:dyDescent="0.35">
      <c r="A3001" s="22" t="s">
        <v>3071</v>
      </c>
      <c r="B3001" s="23" t="s">
        <v>89</v>
      </c>
      <c r="C3001" s="23">
        <v>1</v>
      </c>
      <c r="D3001" s="24">
        <v>45680</v>
      </c>
      <c r="E3001" s="23" t="s">
        <v>36</v>
      </c>
      <c r="F3001" s="23" t="s">
        <v>40</v>
      </c>
      <c r="G3001" s="23" t="s">
        <v>15</v>
      </c>
      <c r="H3001" s="23" t="s">
        <v>32</v>
      </c>
      <c r="I3001" s="23">
        <v>4</v>
      </c>
      <c r="J3001" s="23">
        <v>0</v>
      </c>
      <c r="K3001" s="23">
        <v>5</v>
      </c>
      <c r="L3001" s="23" t="s">
        <v>55</v>
      </c>
      <c r="M3001" s="25">
        <v>7.5</v>
      </c>
      <c r="N3001">
        <f t="shared" si="46"/>
        <v>0</v>
      </c>
    </row>
    <row r="3002" spans="1:14" x14ac:dyDescent="0.35">
      <c r="A3002" s="6" t="s">
        <v>3072</v>
      </c>
      <c r="B3002" s="19" t="s">
        <v>87</v>
      </c>
      <c r="C3002" s="19">
        <v>5</v>
      </c>
      <c r="D3002" s="20">
        <v>45804</v>
      </c>
      <c r="E3002" s="19" t="s">
        <v>13</v>
      </c>
      <c r="F3002" s="19" t="s">
        <v>8364</v>
      </c>
      <c r="G3002" s="19" t="s">
        <v>27</v>
      </c>
      <c r="H3002" s="19" t="s">
        <v>22</v>
      </c>
      <c r="I3002" s="19">
        <v>8</v>
      </c>
      <c r="J3002" s="19">
        <v>1</v>
      </c>
      <c r="K3002" s="19">
        <v>4</v>
      </c>
      <c r="L3002" s="19" t="s">
        <v>75</v>
      </c>
      <c r="M3002" s="21">
        <v>12.8</v>
      </c>
      <c r="N3002">
        <f t="shared" si="46"/>
        <v>0</v>
      </c>
    </row>
    <row r="3003" spans="1:14" x14ac:dyDescent="0.35">
      <c r="A3003" s="22" t="s">
        <v>3073</v>
      </c>
      <c r="B3003" s="23" t="s">
        <v>57</v>
      </c>
      <c r="C3003" s="23">
        <v>12</v>
      </c>
      <c r="D3003" s="24">
        <v>45997</v>
      </c>
      <c r="E3003" s="23" t="s">
        <v>13</v>
      </c>
      <c r="F3003" s="23" t="s">
        <v>14</v>
      </c>
      <c r="G3003" s="23" t="s">
        <v>27</v>
      </c>
      <c r="H3003" s="23" t="s">
        <v>8364</v>
      </c>
      <c r="I3003" s="23">
        <v>72</v>
      </c>
      <c r="J3003" s="23">
        <v>0</v>
      </c>
      <c r="K3003" s="23">
        <v>4</v>
      </c>
      <c r="L3003" s="23" t="s">
        <v>8363</v>
      </c>
      <c r="M3003" s="25">
        <v>4.7</v>
      </c>
      <c r="N3003">
        <f t="shared" si="46"/>
        <v>1</v>
      </c>
    </row>
    <row r="3004" spans="1:14" x14ac:dyDescent="0.35">
      <c r="A3004" s="6" t="s">
        <v>3074</v>
      </c>
      <c r="B3004" s="19" t="s">
        <v>18</v>
      </c>
      <c r="C3004" s="19">
        <v>1</v>
      </c>
      <c r="D3004" s="20">
        <v>45687</v>
      </c>
      <c r="E3004" s="19" t="s">
        <v>20</v>
      </c>
      <c r="F3004" s="19" t="s">
        <v>14</v>
      </c>
      <c r="G3004" s="19" t="s">
        <v>31</v>
      </c>
      <c r="H3004" s="19" t="s">
        <v>28</v>
      </c>
      <c r="I3004" s="19">
        <v>8</v>
      </c>
      <c r="J3004" s="19">
        <v>0</v>
      </c>
      <c r="K3004" s="19">
        <v>3</v>
      </c>
      <c r="L3004" s="19" t="s">
        <v>55</v>
      </c>
      <c r="M3004" s="21">
        <v>23.1</v>
      </c>
      <c r="N3004">
        <f t="shared" si="46"/>
        <v>0</v>
      </c>
    </row>
    <row r="3005" spans="1:14" x14ac:dyDescent="0.35">
      <c r="A3005" s="22" t="s">
        <v>3075</v>
      </c>
      <c r="B3005" s="23" t="s">
        <v>69</v>
      </c>
      <c r="C3005" s="23"/>
      <c r="D3005" s="24"/>
      <c r="E3005" s="23" t="s">
        <v>25</v>
      </c>
      <c r="F3005" s="23" t="s">
        <v>43</v>
      </c>
      <c r="G3005" s="23" t="s">
        <v>31</v>
      </c>
      <c r="H3005" s="23" t="s">
        <v>22</v>
      </c>
      <c r="I3005" s="23">
        <v>8</v>
      </c>
      <c r="J3005" s="23">
        <v>0</v>
      </c>
      <c r="K3005" s="23">
        <v>4</v>
      </c>
      <c r="L3005" s="23" t="s">
        <v>17</v>
      </c>
      <c r="M3005" s="25">
        <v>15.1</v>
      </c>
      <c r="N3005">
        <f t="shared" si="46"/>
        <v>0</v>
      </c>
    </row>
    <row r="3006" spans="1:14" x14ac:dyDescent="0.35">
      <c r="A3006" s="6" t="s">
        <v>3076</v>
      </c>
      <c r="B3006" s="19" t="s">
        <v>253</v>
      </c>
      <c r="C3006" s="19">
        <v>8</v>
      </c>
      <c r="D3006" s="20">
        <v>45894</v>
      </c>
      <c r="E3006" s="19" t="s">
        <v>25</v>
      </c>
      <c r="F3006" s="19" t="s">
        <v>43</v>
      </c>
      <c r="G3006" s="19" t="s">
        <v>21</v>
      </c>
      <c r="H3006" s="19" t="s">
        <v>8364</v>
      </c>
      <c r="I3006" s="19">
        <v>24</v>
      </c>
      <c r="J3006" s="19">
        <v>1</v>
      </c>
      <c r="K3006" s="19"/>
      <c r="L3006" s="19" t="s">
        <v>8363</v>
      </c>
      <c r="M3006" s="21">
        <v>10.7</v>
      </c>
      <c r="N3006">
        <f t="shared" si="46"/>
        <v>1</v>
      </c>
    </row>
    <row r="3007" spans="1:14" x14ac:dyDescent="0.35">
      <c r="A3007" s="22" t="s">
        <v>3077</v>
      </c>
      <c r="B3007" s="23" t="s">
        <v>47</v>
      </c>
      <c r="C3007" s="23">
        <v>12</v>
      </c>
      <c r="D3007" s="24">
        <v>46005</v>
      </c>
      <c r="E3007" s="23" t="s">
        <v>25</v>
      </c>
      <c r="F3007" s="23" t="s">
        <v>40</v>
      </c>
      <c r="G3007" s="23" t="s">
        <v>21</v>
      </c>
      <c r="H3007" s="23" t="s">
        <v>16</v>
      </c>
      <c r="I3007" s="23">
        <v>72</v>
      </c>
      <c r="J3007" s="23">
        <v>0</v>
      </c>
      <c r="K3007" s="23">
        <v>5</v>
      </c>
      <c r="L3007" s="23" t="s">
        <v>33</v>
      </c>
      <c r="M3007" s="25">
        <v>6.6</v>
      </c>
      <c r="N3007">
        <f t="shared" si="46"/>
        <v>1</v>
      </c>
    </row>
    <row r="3008" spans="1:14" x14ac:dyDescent="0.35">
      <c r="A3008" s="6" t="s">
        <v>3078</v>
      </c>
      <c r="B3008" s="19" t="s">
        <v>146</v>
      </c>
      <c r="C3008" s="19">
        <v>4</v>
      </c>
      <c r="D3008" s="20">
        <v>45748</v>
      </c>
      <c r="E3008" s="19" t="s">
        <v>13</v>
      </c>
      <c r="F3008" s="19" t="s">
        <v>43</v>
      </c>
      <c r="G3008" s="19" t="s">
        <v>21</v>
      </c>
      <c r="H3008" s="19" t="s">
        <v>22</v>
      </c>
      <c r="I3008" s="19">
        <v>72</v>
      </c>
      <c r="J3008" s="19">
        <v>1</v>
      </c>
      <c r="K3008" s="19">
        <v>2</v>
      </c>
      <c r="L3008" s="19" t="s">
        <v>8363</v>
      </c>
      <c r="M3008" s="21">
        <v>11.5</v>
      </c>
      <c r="N3008">
        <f t="shared" si="46"/>
        <v>1</v>
      </c>
    </row>
    <row r="3009" spans="1:14" x14ac:dyDescent="0.35">
      <c r="A3009" s="22" t="s">
        <v>3079</v>
      </c>
      <c r="B3009" s="23" t="s">
        <v>85</v>
      </c>
      <c r="C3009" s="23">
        <v>3</v>
      </c>
      <c r="D3009" s="24">
        <v>45721</v>
      </c>
      <c r="E3009" s="23" t="s">
        <v>36</v>
      </c>
      <c r="F3009" s="23" t="s">
        <v>14</v>
      </c>
      <c r="G3009" s="23" t="s">
        <v>31</v>
      </c>
      <c r="H3009" s="23" t="s">
        <v>8364</v>
      </c>
      <c r="I3009" s="23">
        <v>72</v>
      </c>
      <c r="J3009" s="23">
        <v>0</v>
      </c>
      <c r="K3009" s="23">
        <v>4</v>
      </c>
      <c r="L3009" s="23" t="s">
        <v>8363</v>
      </c>
      <c r="M3009" s="25">
        <v>1.7</v>
      </c>
      <c r="N3009">
        <f t="shared" si="46"/>
        <v>1</v>
      </c>
    </row>
    <row r="3010" spans="1:14" x14ac:dyDescent="0.35">
      <c r="A3010" s="6" t="s">
        <v>3080</v>
      </c>
      <c r="B3010" s="19" t="s">
        <v>72</v>
      </c>
      <c r="C3010" s="19">
        <v>6</v>
      </c>
      <c r="D3010" s="20">
        <v>45816</v>
      </c>
      <c r="E3010" s="19" t="s">
        <v>8364</v>
      </c>
      <c r="F3010" s="19" t="s">
        <v>59</v>
      </c>
      <c r="G3010" s="19" t="s">
        <v>31</v>
      </c>
      <c r="H3010" s="19" t="s">
        <v>16</v>
      </c>
      <c r="I3010" s="19">
        <v>4</v>
      </c>
      <c r="J3010" s="19">
        <v>1</v>
      </c>
      <c r="K3010" s="19">
        <v>2</v>
      </c>
      <c r="L3010" s="19" t="s">
        <v>55</v>
      </c>
      <c r="M3010" s="21">
        <v>12.2</v>
      </c>
      <c r="N3010">
        <f t="shared" si="46"/>
        <v>0</v>
      </c>
    </row>
    <row r="3011" spans="1:14" x14ac:dyDescent="0.35">
      <c r="A3011" s="22" t="s">
        <v>3081</v>
      </c>
      <c r="B3011" s="23" t="s">
        <v>57</v>
      </c>
      <c r="C3011" s="23">
        <v>2</v>
      </c>
      <c r="D3011" s="24">
        <v>45716</v>
      </c>
      <c r="E3011" s="23" t="s">
        <v>13</v>
      </c>
      <c r="F3011" s="23" t="s">
        <v>8364</v>
      </c>
      <c r="G3011" s="23" t="s">
        <v>21</v>
      </c>
      <c r="H3011" s="23" t="s">
        <v>22</v>
      </c>
      <c r="I3011" s="23">
        <v>24</v>
      </c>
      <c r="J3011" s="23">
        <v>0</v>
      </c>
      <c r="K3011" s="23">
        <v>5</v>
      </c>
      <c r="L3011" s="23" t="s">
        <v>8363</v>
      </c>
      <c r="M3011" s="25">
        <v>19.100000000000001</v>
      </c>
      <c r="N3011">
        <f t="shared" ref="N3011:N3074" si="47">IF(M3011 &lt;= I3011, 1, 0)</f>
        <v>1</v>
      </c>
    </row>
    <row r="3012" spans="1:14" x14ac:dyDescent="0.35">
      <c r="A3012" s="6" t="s">
        <v>3082</v>
      </c>
      <c r="B3012" s="19" t="s">
        <v>29</v>
      </c>
      <c r="C3012" s="19">
        <v>11</v>
      </c>
      <c r="D3012" s="20">
        <v>45972</v>
      </c>
      <c r="E3012" s="19" t="s">
        <v>25</v>
      </c>
      <c r="F3012" s="19" t="s">
        <v>14</v>
      </c>
      <c r="G3012" s="19" t="s">
        <v>21</v>
      </c>
      <c r="H3012" s="19" t="s">
        <v>22</v>
      </c>
      <c r="I3012" s="19">
        <v>48</v>
      </c>
      <c r="J3012" s="19">
        <v>2</v>
      </c>
      <c r="K3012" s="19">
        <v>3</v>
      </c>
      <c r="L3012" s="19" t="s">
        <v>75</v>
      </c>
      <c r="M3012" s="21">
        <v>19.100000000000001</v>
      </c>
      <c r="N3012">
        <f t="shared" si="47"/>
        <v>1</v>
      </c>
    </row>
    <row r="3013" spans="1:14" x14ac:dyDescent="0.35">
      <c r="A3013" s="22" t="s">
        <v>3083</v>
      </c>
      <c r="B3013" s="23" t="s">
        <v>69</v>
      </c>
      <c r="C3013" s="23">
        <v>1</v>
      </c>
      <c r="D3013" s="24">
        <v>45680</v>
      </c>
      <c r="E3013" s="23" t="s">
        <v>36</v>
      </c>
      <c r="F3013" s="23" t="s">
        <v>14</v>
      </c>
      <c r="G3013" s="23" t="s">
        <v>27</v>
      </c>
      <c r="H3013" s="23" t="s">
        <v>8364</v>
      </c>
      <c r="I3013" s="23">
        <v>24</v>
      </c>
      <c r="J3013" s="23">
        <v>0</v>
      </c>
      <c r="K3013" s="23">
        <v>2</v>
      </c>
      <c r="L3013" s="23" t="s">
        <v>38</v>
      </c>
      <c r="M3013" s="25">
        <v>1.9</v>
      </c>
      <c r="N3013">
        <f t="shared" si="47"/>
        <v>1</v>
      </c>
    </row>
    <row r="3014" spans="1:14" x14ac:dyDescent="0.35">
      <c r="A3014" s="6" t="s">
        <v>3084</v>
      </c>
      <c r="B3014" s="19" t="s">
        <v>69</v>
      </c>
      <c r="C3014" s="19">
        <v>8</v>
      </c>
      <c r="D3014" s="20">
        <v>45871</v>
      </c>
      <c r="E3014" s="19" t="s">
        <v>13</v>
      </c>
      <c r="F3014" s="19" t="s">
        <v>40</v>
      </c>
      <c r="G3014" s="19" t="s">
        <v>8364</v>
      </c>
      <c r="H3014" s="19" t="s">
        <v>28</v>
      </c>
      <c r="I3014" s="19">
        <v>8</v>
      </c>
      <c r="J3014" s="19">
        <v>0</v>
      </c>
      <c r="K3014" s="19">
        <v>4</v>
      </c>
      <c r="L3014" s="19" t="s">
        <v>55</v>
      </c>
      <c r="M3014" s="21">
        <v>22.3</v>
      </c>
      <c r="N3014">
        <f t="shared" si="47"/>
        <v>0</v>
      </c>
    </row>
    <row r="3015" spans="1:14" x14ac:dyDescent="0.35">
      <c r="A3015" s="22" t="s">
        <v>3085</v>
      </c>
      <c r="B3015" s="23" t="s">
        <v>72</v>
      </c>
      <c r="C3015" s="23">
        <v>5</v>
      </c>
      <c r="D3015" s="24">
        <v>45800</v>
      </c>
      <c r="E3015" s="23" t="s">
        <v>13</v>
      </c>
      <c r="F3015" s="23" t="s">
        <v>40</v>
      </c>
      <c r="G3015" s="23" t="s">
        <v>21</v>
      </c>
      <c r="H3015" s="23" t="s">
        <v>16</v>
      </c>
      <c r="I3015" s="23">
        <v>4</v>
      </c>
      <c r="J3015" s="23">
        <v>0</v>
      </c>
      <c r="K3015" s="23">
        <v>3</v>
      </c>
      <c r="L3015" s="23" t="s">
        <v>62</v>
      </c>
      <c r="M3015" s="25">
        <v>14.5</v>
      </c>
      <c r="N3015">
        <f t="shared" si="47"/>
        <v>0</v>
      </c>
    </row>
    <row r="3016" spans="1:14" x14ac:dyDescent="0.35">
      <c r="A3016" s="6" t="s">
        <v>3086</v>
      </c>
      <c r="B3016" s="19" t="s">
        <v>108</v>
      </c>
      <c r="C3016" s="19">
        <v>6</v>
      </c>
      <c r="D3016" s="20">
        <v>45823</v>
      </c>
      <c r="E3016" s="19" t="s">
        <v>36</v>
      </c>
      <c r="F3016" s="19" t="s">
        <v>37</v>
      </c>
      <c r="G3016" s="19" t="s">
        <v>15</v>
      </c>
      <c r="H3016" s="19" t="s">
        <v>32</v>
      </c>
      <c r="I3016" s="19">
        <v>4</v>
      </c>
      <c r="J3016" s="19">
        <v>2</v>
      </c>
      <c r="K3016" s="19">
        <v>4</v>
      </c>
      <c r="L3016" s="19" t="s">
        <v>33</v>
      </c>
      <c r="M3016" s="21">
        <v>14.1</v>
      </c>
      <c r="N3016">
        <f t="shared" si="47"/>
        <v>0</v>
      </c>
    </row>
    <row r="3017" spans="1:14" x14ac:dyDescent="0.35">
      <c r="A3017" s="22" t="s">
        <v>3087</v>
      </c>
      <c r="B3017" s="23" t="s">
        <v>89</v>
      </c>
      <c r="C3017" s="23">
        <v>4</v>
      </c>
      <c r="D3017" s="24">
        <v>45766</v>
      </c>
      <c r="E3017" s="23" t="s">
        <v>20</v>
      </c>
      <c r="F3017" s="23" t="s">
        <v>14</v>
      </c>
      <c r="G3017" s="23" t="s">
        <v>15</v>
      </c>
      <c r="H3017" s="23" t="s">
        <v>8364</v>
      </c>
      <c r="I3017" s="23">
        <v>8</v>
      </c>
      <c r="J3017" s="23">
        <v>0</v>
      </c>
      <c r="K3017" s="23">
        <v>5</v>
      </c>
      <c r="L3017" s="23" t="s">
        <v>33</v>
      </c>
      <c r="M3017" s="25">
        <v>9</v>
      </c>
      <c r="N3017">
        <f t="shared" si="47"/>
        <v>0</v>
      </c>
    </row>
    <row r="3018" spans="1:14" x14ac:dyDescent="0.35">
      <c r="A3018" s="6" t="s">
        <v>3088</v>
      </c>
      <c r="B3018" s="19" t="s">
        <v>253</v>
      </c>
      <c r="C3018" s="19">
        <v>8</v>
      </c>
      <c r="D3018" s="20">
        <v>45890</v>
      </c>
      <c r="E3018" s="19" t="s">
        <v>13</v>
      </c>
      <c r="F3018" s="19" t="s">
        <v>14</v>
      </c>
      <c r="G3018" s="19" t="s">
        <v>27</v>
      </c>
      <c r="H3018" s="19" t="s">
        <v>22</v>
      </c>
      <c r="I3018" s="19">
        <v>48</v>
      </c>
      <c r="J3018" s="19">
        <v>0</v>
      </c>
      <c r="K3018" s="19">
        <v>1</v>
      </c>
      <c r="L3018" s="19" t="s">
        <v>75</v>
      </c>
      <c r="M3018" s="21">
        <v>6.3</v>
      </c>
      <c r="N3018">
        <f t="shared" si="47"/>
        <v>1</v>
      </c>
    </row>
    <row r="3019" spans="1:14" x14ac:dyDescent="0.35">
      <c r="A3019" s="22" t="s">
        <v>3089</v>
      </c>
      <c r="B3019" s="23" t="s">
        <v>89</v>
      </c>
      <c r="C3019" s="23">
        <v>4</v>
      </c>
      <c r="D3019" s="24">
        <v>45753</v>
      </c>
      <c r="E3019" s="23" t="s">
        <v>20</v>
      </c>
      <c r="F3019" s="23" t="s">
        <v>14</v>
      </c>
      <c r="G3019" s="23" t="s">
        <v>27</v>
      </c>
      <c r="H3019" s="23" t="s">
        <v>8364</v>
      </c>
      <c r="I3019" s="23">
        <v>48</v>
      </c>
      <c r="J3019" s="23">
        <v>0</v>
      </c>
      <c r="K3019" s="23">
        <v>5</v>
      </c>
      <c r="L3019" s="23" t="s">
        <v>44</v>
      </c>
      <c r="M3019" s="25">
        <v>6.1</v>
      </c>
      <c r="N3019">
        <f t="shared" si="47"/>
        <v>1</v>
      </c>
    </row>
    <row r="3020" spans="1:14" x14ac:dyDescent="0.35">
      <c r="A3020" s="6" t="s">
        <v>3090</v>
      </c>
      <c r="B3020" s="19" t="s">
        <v>236</v>
      </c>
      <c r="C3020" s="19">
        <v>10</v>
      </c>
      <c r="D3020" s="20">
        <v>45938</v>
      </c>
      <c r="E3020" s="19" t="s">
        <v>8364</v>
      </c>
      <c r="F3020" s="19" t="s">
        <v>8364</v>
      </c>
      <c r="G3020" s="19" t="s">
        <v>27</v>
      </c>
      <c r="H3020" s="19" t="s">
        <v>28</v>
      </c>
      <c r="I3020" s="19">
        <v>8</v>
      </c>
      <c r="J3020" s="19">
        <v>2</v>
      </c>
      <c r="K3020" s="19">
        <v>5</v>
      </c>
      <c r="L3020" s="19" t="s">
        <v>17</v>
      </c>
      <c r="M3020" s="21">
        <v>3.4</v>
      </c>
      <c r="N3020">
        <f t="shared" si="47"/>
        <v>1</v>
      </c>
    </row>
    <row r="3021" spans="1:14" x14ac:dyDescent="0.35">
      <c r="A3021" s="22" t="s">
        <v>3091</v>
      </c>
      <c r="B3021" s="23" t="s">
        <v>53</v>
      </c>
      <c r="C3021" s="23">
        <v>5</v>
      </c>
      <c r="D3021" s="24">
        <v>45795</v>
      </c>
      <c r="E3021" s="23" t="s">
        <v>20</v>
      </c>
      <c r="F3021" s="23" t="s">
        <v>43</v>
      </c>
      <c r="G3021" s="23" t="s">
        <v>8364</v>
      </c>
      <c r="H3021" s="23" t="s">
        <v>8364</v>
      </c>
      <c r="I3021" s="23">
        <v>8</v>
      </c>
      <c r="J3021" s="23">
        <v>0</v>
      </c>
      <c r="K3021" s="23">
        <v>5</v>
      </c>
      <c r="L3021" s="23" t="s">
        <v>62</v>
      </c>
      <c r="M3021" s="25">
        <v>1.9</v>
      </c>
      <c r="N3021">
        <f t="shared" si="47"/>
        <v>1</v>
      </c>
    </row>
    <row r="3022" spans="1:14" x14ac:dyDescent="0.35">
      <c r="A3022" s="6" t="s">
        <v>3092</v>
      </c>
      <c r="B3022" s="19" t="s">
        <v>126</v>
      </c>
      <c r="C3022" s="19">
        <v>12</v>
      </c>
      <c r="D3022" s="20">
        <v>46017</v>
      </c>
      <c r="E3022" s="19" t="s">
        <v>8364</v>
      </c>
      <c r="F3022" s="19" t="s">
        <v>14</v>
      </c>
      <c r="G3022" s="19" t="s">
        <v>31</v>
      </c>
      <c r="H3022" s="19" t="s">
        <v>28</v>
      </c>
      <c r="I3022" s="19">
        <v>24</v>
      </c>
      <c r="J3022" s="19">
        <v>0</v>
      </c>
      <c r="K3022" s="19">
        <v>5</v>
      </c>
      <c r="L3022" s="19" t="s">
        <v>38</v>
      </c>
      <c r="M3022" s="21">
        <v>8.1999999999999993</v>
      </c>
      <c r="N3022">
        <f t="shared" si="47"/>
        <v>1</v>
      </c>
    </row>
    <row r="3023" spans="1:14" x14ac:dyDescent="0.35">
      <c r="A3023" s="22" t="s">
        <v>3093</v>
      </c>
      <c r="B3023" s="23" t="s">
        <v>57</v>
      </c>
      <c r="C3023" s="23">
        <v>10</v>
      </c>
      <c r="D3023" s="24">
        <v>45943</v>
      </c>
      <c r="E3023" s="23" t="s">
        <v>20</v>
      </c>
      <c r="F3023" s="23" t="s">
        <v>14</v>
      </c>
      <c r="G3023" s="23" t="s">
        <v>15</v>
      </c>
      <c r="H3023" s="23" t="s">
        <v>8364</v>
      </c>
      <c r="I3023" s="23">
        <v>8</v>
      </c>
      <c r="J3023" s="23">
        <v>0</v>
      </c>
      <c r="K3023" s="23">
        <v>4</v>
      </c>
      <c r="L3023" s="23" t="s">
        <v>8363</v>
      </c>
      <c r="M3023" s="25">
        <v>8.9</v>
      </c>
      <c r="N3023">
        <f t="shared" si="47"/>
        <v>0</v>
      </c>
    </row>
    <row r="3024" spans="1:14" x14ac:dyDescent="0.35">
      <c r="A3024" s="6" t="s">
        <v>3094</v>
      </c>
      <c r="B3024" s="19" t="s">
        <v>104</v>
      </c>
      <c r="C3024" s="19">
        <v>2</v>
      </c>
      <c r="D3024" s="20">
        <v>45710</v>
      </c>
      <c r="E3024" s="19" t="s">
        <v>8364</v>
      </c>
      <c r="F3024" s="19" t="s">
        <v>14</v>
      </c>
      <c r="G3024" s="19" t="s">
        <v>31</v>
      </c>
      <c r="H3024" s="19" t="s">
        <v>28</v>
      </c>
      <c r="I3024" s="19">
        <v>24</v>
      </c>
      <c r="J3024" s="19">
        <v>0</v>
      </c>
      <c r="K3024" s="19">
        <v>4</v>
      </c>
      <c r="L3024" s="19" t="s">
        <v>55</v>
      </c>
      <c r="M3024" s="21">
        <v>3.4</v>
      </c>
      <c r="N3024">
        <f t="shared" si="47"/>
        <v>1</v>
      </c>
    </row>
    <row r="3025" spans="1:14" x14ac:dyDescent="0.35">
      <c r="A3025" s="22" t="s">
        <v>3095</v>
      </c>
      <c r="B3025" s="23" t="s">
        <v>97</v>
      </c>
      <c r="C3025" s="23">
        <v>6</v>
      </c>
      <c r="D3025" s="24">
        <v>45834</v>
      </c>
      <c r="E3025" s="23" t="s">
        <v>36</v>
      </c>
      <c r="F3025" s="23" t="s">
        <v>8364</v>
      </c>
      <c r="G3025" s="23" t="s">
        <v>31</v>
      </c>
      <c r="H3025" s="23" t="s">
        <v>22</v>
      </c>
      <c r="I3025" s="23">
        <v>72</v>
      </c>
      <c r="J3025" s="23">
        <v>1</v>
      </c>
      <c r="K3025" s="23">
        <v>4</v>
      </c>
      <c r="L3025" s="23" t="s">
        <v>38</v>
      </c>
      <c r="M3025" s="25">
        <v>8.6</v>
      </c>
      <c r="N3025">
        <f t="shared" si="47"/>
        <v>1</v>
      </c>
    </row>
    <row r="3026" spans="1:14" x14ac:dyDescent="0.35">
      <c r="A3026" s="6" t="s">
        <v>3096</v>
      </c>
      <c r="B3026" s="19" t="s">
        <v>51</v>
      </c>
      <c r="C3026" s="19">
        <v>2</v>
      </c>
      <c r="D3026" s="20">
        <v>45692</v>
      </c>
      <c r="E3026" s="19" t="s">
        <v>20</v>
      </c>
      <c r="F3026" s="19" t="s">
        <v>37</v>
      </c>
      <c r="G3026" s="19" t="s">
        <v>27</v>
      </c>
      <c r="H3026" s="19" t="s">
        <v>8364</v>
      </c>
      <c r="I3026" s="19">
        <v>8</v>
      </c>
      <c r="J3026" s="19">
        <v>2</v>
      </c>
      <c r="K3026" s="19">
        <v>4</v>
      </c>
      <c r="L3026" s="19" t="s">
        <v>8363</v>
      </c>
      <c r="M3026" s="21">
        <v>10.8</v>
      </c>
      <c r="N3026">
        <f t="shared" si="47"/>
        <v>0</v>
      </c>
    </row>
    <row r="3027" spans="1:14" x14ac:dyDescent="0.35">
      <c r="A3027" s="22" t="s">
        <v>3097</v>
      </c>
      <c r="B3027" s="23" t="s">
        <v>47</v>
      </c>
      <c r="C3027" s="23">
        <v>11</v>
      </c>
      <c r="D3027" s="24">
        <v>45976</v>
      </c>
      <c r="E3027" s="23" t="s">
        <v>13</v>
      </c>
      <c r="F3027" s="23" t="s">
        <v>43</v>
      </c>
      <c r="G3027" s="23" t="s">
        <v>27</v>
      </c>
      <c r="H3027" s="23" t="s">
        <v>22</v>
      </c>
      <c r="I3027" s="23">
        <v>24</v>
      </c>
      <c r="J3027" s="23">
        <v>0</v>
      </c>
      <c r="K3027" s="23">
        <v>4</v>
      </c>
      <c r="L3027" s="23" t="s">
        <v>38</v>
      </c>
      <c r="M3027" s="25">
        <v>21.9</v>
      </c>
      <c r="N3027">
        <f t="shared" si="47"/>
        <v>1</v>
      </c>
    </row>
    <row r="3028" spans="1:14" x14ac:dyDescent="0.35">
      <c r="A3028" s="6" t="s">
        <v>3098</v>
      </c>
      <c r="B3028" s="19" t="s">
        <v>253</v>
      </c>
      <c r="C3028" s="19">
        <v>4</v>
      </c>
      <c r="D3028" s="20">
        <v>45751</v>
      </c>
      <c r="E3028" s="19" t="s">
        <v>8364</v>
      </c>
      <c r="F3028" s="19" t="s">
        <v>43</v>
      </c>
      <c r="G3028" s="19" t="s">
        <v>27</v>
      </c>
      <c r="H3028" s="19" t="s">
        <v>32</v>
      </c>
      <c r="I3028" s="19">
        <v>4</v>
      </c>
      <c r="J3028" s="19">
        <v>2</v>
      </c>
      <c r="K3028" s="19">
        <v>4</v>
      </c>
      <c r="L3028" s="19" t="s">
        <v>44</v>
      </c>
      <c r="M3028" s="21">
        <v>16.100000000000001</v>
      </c>
      <c r="N3028">
        <f t="shared" si="47"/>
        <v>0</v>
      </c>
    </row>
    <row r="3029" spans="1:14" x14ac:dyDescent="0.35">
      <c r="A3029" s="22" t="s">
        <v>3099</v>
      </c>
      <c r="B3029" s="23" t="s">
        <v>78</v>
      </c>
      <c r="C3029" s="23">
        <v>7</v>
      </c>
      <c r="D3029" s="24">
        <v>45839</v>
      </c>
      <c r="E3029" s="23" t="s">
        <v>8364</v>
      </c>
      <c r="F3029" s="23" t="s">
        <v>14</v>
      </c>
      <c r="G3029" s="23" t="s">
        <v>15</v>
      </c>
      <c r="H3029" s="23" t="s">
        <v>28</v>
      </c>
      <c r="I3029" s="23">
        <v>72</v>
      </c>
      <c r="J3029" s="23">
        <v>0</v>
      </c>
      <c r="K3029" s="23">
        <v>3</v>
      </c>
      <c r="L3029" s="23" t="s">
        <v>55</v>
      </c>
      <c r="M3029" s="25">
        <v>35.200000000000003</v>
      </c>
      <c r="N3029">
        <f t="shared" si="47"/>
        <v>1</v>
      </c>
    </row>
    <row r="3030" spans="1:14" x14ac:dyDescent="0.35">
      <c r="A3030" s="6" t="s">
        <v>3100</v>
      </c>
      <c r="B3030" s="19" t="s">
        <v>29</v>
      </c>
      <c r="C3030" s="19">
        <v>3</v>
      </c>
      <c r="D3030" s="20">
        <v>45746</v>
      </c>
      <c r="E3030" s="19" t="s">
        <v>25</v>
      </c>
      <c r="F3030" s="19" t="s">
        <v>26</v>
      </c>
      <c r="G3030" s="19" t="s">
        <v>21</v>
      </c>
      <c r="H3030" s="19" t="s">
        <v>22</v>
      </c>
      <c r="I3030" s="19">
        <v>48</v>
      </c>
      <c r="J3030" s="19">
        <v>0</v>
      </c>
      <c r="K3030" s="19">
        <v>3</v>
      </c>
      <c r="L3030" s="19" t="s">
        <v>17</v>
      </c>
      <c r="M3030" s="21">
        <v>13.3</v>
      </c>
      <c r="N3030">
        <f t="shared" si="47"/>
        <v>1</v>
      </c>
    </row>
    <row r="3031" spans="1:14" x14ac:dyDescent="0.35">
      <c r="A3031" s="22" t="s">
        <v>3101</v>
      </c>
      <c r="B3031" s="23" t="s">
        <v>101</v>
      </c>
      <c r="C3031" s="23"/>
      <c r="D3031" s="24"/>
      <c r="E3031" s="23" t="s">
        <v>68</v>
      </c>
      <c r="F3031" s="23" t="s">
        <v>37</v>
      </c>
      <c r="G3031" s="23" t="s">
        <v>27</v>
      </c>
      <c r="H3031" s="23" t="s">
        <v>22</v>
      </c>
      <c r="I3031" s="23">
        <v>4</v>
      </c>
      <c r="J3031" s="23">
        <v>2</v>
      </c>
      <c r="K3031" s="23">
        <v>5</v>
      </c>
      <c r="L3031" s="23" t="s">
        <v>38</v>
      </c>
      <c r="M3031" s="25">
        <v>29.8</v>
      </c>
      <c r="N3031">
        <f t="shared" si="47"/>
        <v>0</v>
      </c>
    </row>
    <row r="3032" spans="1:14" x14ac:dyDescent="0.35">
      <c r="A3032" s="6" t="s">
        <v>3102</v>
      </c>
      <c r="B3032" s="19" t="s">
        <v>126</v>
      </c>
      <c r="C3032" s="19"/>
      <c r="D3032" s="20"/>
      <c r="E3032" s="19" t="s">
        <v>13</v>
      </c>
      <c r="F3032" s="19" t="s">
        <v>14</v>
      </c>
      <c r="G3032" s="19" t="s">
        <v>31</v>
      </c>
      <c r="H3032" s="19" t="s">
        <v>22</v>
      </c>
      <c r="I3032" s="19">
        <v>48</v>
      </c>
      <c r="J3032" s="19">
        <v>2</v>
      </c>
      <c r="K3032" s="19">
        <v>5</v>
      </c>
      <c r="L3032" s="19" t="s">
        <v>8363</v>
      </c>
      <c r="M3032" s="21">
        <v>7</v>
      </c>
      <c r="N3032">
        <f t="shared" si="47"/>
        <v>1</v>
      </c>
    </row>
    <row r="3033" spans="1:14" x14ac:dyDescent="0.35">
      <c r="A3033" s="22" t="s">
        <v>3103</v>
      </c>
      <c r="B3033" s="23" t="s">
        <v>253</v>
      </c>
      <c r="C3033" s="23">
        <v>9</v>
      </c>
      <c r="D3033" s="24">
        <v>45927</v>
      </c>
      <c r="E3033" s="23" t="s">
        <v>8364</v>
      </c>
      <c r="F3033" s="23" t="s">
        <v>14</v>
      </c>
      <c r="G3033" s="23" t="s">
        <v>27</v>
      </c>
      <c r="H3033" s="23" t="s">
        <v>22</v>
      </c>
      <c r="I3033" s="23">
        <v>48</v>
      </c>
      <c r="J3033" s="23">
        <v>0</v>
      </c>
      <c r="K3033" s="23">
        <v>5</v>
      </c>
      <c r="L3033" s="23" t="s">
        <v>62</v>
      </c>
      <c r="M3033" s="25">
        <v>54</v>
      </c>
      <c r="N3033">
        <f t="shared" si="47"/>
        <v>0</v>
      </c>
    </row>
    <row r="3034" spans="1:14" x14ac:dyDescent="0.35">
      <c r="A3034" s="6" t="s">
        <v>3104</v>
      </c>
      <c r="B3034" s="19" t="s">
        <v>158</v>
      </c>
      <c r="C3034" s="19">
        <v>12</v>
      </c>
      <c r="D3034" s="20">
        <v>46016</v>
      </c>
      <c r="E3034" s="19" t="s">
        <v>36</v>
      </c>
      <c r="F3034" s="19" t="s">
        <v>59</v>
      </c>
      <c r="G3034" s="19" t="s">
        <v>15</v>
      </c>
      <c r="H3034" s="19" t="s">
        <v>22</v>
      </c>
      <c r="I3034" s="19">
        <v>8</v>
      </c>
      <c r="J3034" s="19">
        <v>0</v>
      </c>
      <c r="K3034" s="19">
        <v>5</v>
      </c>
      <c r="L3034" s="19" t="s">
        <v>8363</v>
      </c>
      <c r="M3034" s="21">
        <v>10</v>
      </c>
      <c r="N3034">
        <f t="shared" si="47"/>
        <v>0</v>
      </c>
    </row>
    <row r="3035" spans="1:14" x14ac:dyDescent="0.35">
      <c r="A3035" s="22" t="s">
        <v>3105</v>
      </c>
      <c r="B3035" s="23" t="s">
        <v>143</v>
      </c>
      <c r="C3035" s="23">
        <v>5</v>
      </c>
      <c r="D3035" s="24">
        <v>45793</v>
      </c>
      <c r="E3035" s="23" t="s">
        <v>25</v>
      </c>
      <c r="F3035" s="23" t="s">
        <v>14</v>
      </c>
      <c r="G3035" s="23" t="s">
        <v>15</v>
      </c>
      <c r="H3035" s="23" t="s">
        <v>22</v>
      </c>
      <c r="I3035" s="23">
        <v>72</v>
      </c>
      <c r="J3035" s="23">
        <v>1</v>
      </c>
      <c r="K3035" s="23">
        <v>4</v>
      </c>
      <c r="L3035" s="23" t="s">
        <v>17</v>
      </c>
      <c r="M3035" s="25">
        <v>21.6</v>
      </c>
      <c r="N3035">
        <f t="shared" si="47"/>
        <v>1</v>
      </c>
    </row>
    <row r="3036" spans="1:14" x14ac:dyDescent="0.35">
      <c r="A3036" s="6" t="s">
        <v>3106</v>
      </c>
      <c r="B3036" s="19" t="s">
        <v>81</v>
      </c>
      <c r="C3036" s="19">
        <v>8</v>
      </c>
      <c r="D3036" s="20">
        <v>45878</v>
      </c>
      <c r="E3036" s="19" t="s">
        <v>68</v>
      </c>
      <c r="F3036" s="19" t="s">
        <v>59</v>
      </c>
      <c r="G3036" s="19" t="s">
        <v>15</v>
      </c>
      <c r="H3036" s="19" t="s">
        <v>28</v>
      </c>
      <c r="I3036" s="19">
        <v>24</v>
      </c>
      <c r="J3036" s="19">
        <v>0</v>
      </c>
      <c r="K3036" s="19">
        <v>4</v>
      </c>
      <c r="L3036" s="19" t="s">
        <v>17</v>
      </c>
      <c r="M3036" s="21">
        <v>7.2</v>
      </c>
      <c r="N3036">
        <f t="shared" si="47"/>
        <v>1</v>
      </c>
    </row>
    <row r="3037" spans="1:14" x14ac:dyDescent="0.35">
      <c r="A3037" s="22" t="s">
        <v>3107</v>
      </c>
      <c r="B3037" s="23" t="s">
        <v>253</v>
      </c>
      <c r="C3037" s="23">
        <v>7</v>
      </c>
      <c r="D3037" s="24">
        <v>45844</v>
      </c>
      <c r="E3037" s="23" t="s">
        <v>8364</v>
      </c>
      <c r="F3037" s="23" t="s">
        <v>14</v>
      </c>
      <c r="G3037" s="23" t="s">
        <v>31</v>
      </c>
      <c r="H3037" s="23" t="s">
        <v>16</v>
      </c>
      <c r="I3037" s="23">
        <v>24</v>
      </c>
      <c r="J3037" s="23">
        <v>0</v>
      </c>
      <c r="K3037" s="23"/>
      <c r="L3037" s="23" t="s">
        <v>8363</v>
      </c>
      <c r="M3037" s="25">
        <v>3.3</v>
      </c>
      <c r="N3037">
        <f t="shared" si="47"/>
        <v>1</v>
      </c>
    </row>
    <row r="3038" spans="1:14" x14ac:dyDescent="0.35">
      <c r="A3038" s="6" t="s">
        <v>3108</v>
      </c>
      <c r="B3038" s="19" t="s">
        <v>34</v>
      </c>
      <c r="C3038" s="19">
        <v>8</v>
      </c>
      <c r="D3038" s="20">
        <v>45893</v>
      </c>
      <c r="E3038" s="19" t="s">
        <v>36</v>
      </c>
      <c r="F3038" s="19" t="s">
        <v>8364</v>
      </c>
      <c r="G3038" s="19" t="s">
        <v>27</v>
      </c>
      <c r="H3038" s="19" t="s">
        <v>22</v>
      </c>
      <c r="I3038" s="19">
        <v>48</v>
      </c>
      <c r="J3038" s="19">
        <v>0</v>
      </c>
      <c r="K3038" s="19">
        <v>5</v>
      </c>
      <c r="L3038" s="19" t="s">
        <v>8363</v>
      </c>
      <c r="M3038" s="21">
        <v>7.6</v>
      </c>
      <c r="N3038">
        <f t="shared" si="47"/>
        <v>1</v>
      </c>
    </row>
    <row r="3039" spans="1:14" x14ac:dyDescent="0.35">
      <c r="A3039" s="22" t="s">
        <v>3109</v>
      </c>
      <c r="B3039" s="23" t="s">
        <v>51</v>
      </c>
      <c r="C3039" s="23">
        <v>1</v>
      </c>
      <c r="D3039" s="24">
        <v>45676</v>
      </c>
      <c r="E3039" s="23" t="s">
        <v>25</v>
      </c>
      <c r="F3039" s="23" t="s">
        <v>40</v>
      </c>
      <c r="G3039" s="23" t="s">
        <v>31</v>
      </c>
      <c r="H3039" s="23" t="s">
        <v>28</v>
      </c>
      <c r="I3039" s="23">
        <v>4</v>
      </c>
      <c r="J3039" s="23">
        <v>0</v>
      </c>
      <c r="K3039" s="23">
        <v>4</v>
      </c>
      <c r="L3039" s="23" t="s">
        <v>75</v>
      </c>
      <c r="M3039" s="25">
        <v>13.7</v>
      </c>
      <c r="N3039">
        <f t="shared" si="47"/>
        <v>0</v>
      </c>
    </row>
    <row r="3040" spans="1:14" x14ac:dyDescent="0.35">
      <c r="A3040" s="6" t="s">
        <v>3110</v>
      </c>
      <c r="B3040" s="19" t="s">
        <v>146</v>
      </c>
      <c r="C3040" s="19">
        <v>12</v>
      </c>
      <c r="D3040" s="20">
        <v>46014</v>
      </c>
      <c r="E3040" s="19" t="s">
        <v>13</v>
      </c>
      <c r="F3040" s="19" t="s">
        <v>14</v>
      </c>
      <c r="G3040" s="19" t="s">
        <v>27</v>
      </c>
      <c r="H3040" s="19" t="s">
        <v>22</v>
      </c>
      <c r="I3040" s="19">
        <v>48</v>
      </c>
      <c r="J3040" s="19">
        <v>0</v>
      </c>
      <c r="K3040" s="19">
        <v>5</v>
      </c>
      <c r="L3040" s="19" t="s">
        <v>44</v>
      </c>
      <c r="M3040" s="21">
        <v>7.3</v>
      </c>
      <c r="N3040">
        <f t="shared" si="47"/>
        <v>1</v>
      </c>
    </row>
    <row r="3041" spans="1:14" x14ac:dyDescent="0.35">
      <c r="A3041" s="22" t="s">
        <v>3111</v>
      </c>
      <c r="B3041" s="23" t="s">
        <v>39</v>
      </c>
      <c r="C3041" s="23">
        <v>8</v>
      </c>
      <c r="D3041" s="24">
        <v>45887</v>
      </c>
      <c r="E3041" s="23" t="s">
        <v>36</v>
      </c>
      <c r="F3041" s="23" t="s">
        <v>40</v>
      </c>
      <c r="G3041" s="23" t="s">
        <v>27</v>
      </c>
      <c r="H3041" s="23" t="s">
        <v>16</v>
      </c>
      <c r="I3041" s="23">
        <v>24</v>
      </c>
      <c r="J3041" s="23">
        <v>1</v>
      </c>
      <c r="K3041" s="23">
        <v>3</v>
      </c>
      <c r="L3041" s="23" t="s">
        <v>33</v>
      </c>
      <c r="M3041" s="25">
        <v>2.5</v>
      </c>
      <c r="N3041">
        <f t="shared" si="47"/>
        <v>1</v>
      </c>
    </row>
    <row r="3042" spans="1:14" x14ac:dyDescent="0.35">
      <c r="A3042" s="6" t="s">
        <v>3112</v>
      </c>
      <c r="B3042" s="19" t="s">
        <v>72</v>
      </c>
      <c r="C3042" s="19"/>
      <c r="D3042" s="20"/>
      <c r="E3042" s="19" t="s">
        <v>8364</v>
      </c>
      <c r="F3042" s="19" t="s">
        <v>43</v>
      </c>
      <c r="G3042" s="19" t="s">
        <v>31</v>
      </c>
      <c r="H3042" s="19" t="s">
        <v>8364</v>
      </c>
      <c r="I3042" s="19">
        <v>4</v>
      </c>
      <c r="J3042" s="19"/>
      <c r="K3042" s="19">
        <v>5</v>
      </c>
      <c r="L3042" s="19" t="s">
        <v>55</v>
      </c>
      <c r="M3042" s="21">
        <v>3.5</v>
      </c>
      <c r="N3042">
        <f t="shared" si="47"/>
        <v>1</v>
      </c>
    </row>
    <row r="3043" spans="1:14" x14ac:dyDescent="0.35">
      <c r="A3043" s="22" t="s">
        <v>3113</v>
      </c>
      <c r="B3043" s="23" t="s">
        <v>69</v>
      </c>
      <c r="C3043" s="23"/>
      <c r="D3043" s="24"/>
      <c r="E3043" s="23" t="s">
        <v>25</v>
      </c>
      <c r="F3043" s="23" t="s">
        <v>26</v>
      </c>
      <c r="G3043" s="23" t="s">
        <v>31</v>
      </c>
      <c r="H3043" s="23" t="s">
        <v>28</v>
      </c>
      <c r="I3043" s="23">
        <v>72</v>
      </c>
      <c r="J3043" s="23">
        <v>1</v>
      </c>
      <c r="K3043" s="23">
        <v>4</v>
      </c>
      <c r="L3043" s="23" t="s">
        <v>62</v>
      </c>
      <c r="M3043" s="25">
        <v>2.2000000000000002</v>
      </c>
      <c r="N3043">
        <f t="shared" si="47"/>
        <v>1</v>
      </c>
    </row>
    <row r="3044" spans="1:14" x14ac:dyDescent="0.35">
      <c r="A3044" s="6" t="s">
        <v>3114</v>
      </c>
      <c r="B3044" s="19" t="s">
        <v>41</v>
      </c>
      <c r="C3044" s="19">
        <v>8</v>
      </c>
      <c r="D3044" s="20">
        <v>45898</v>
      </c>
      <c r="E3044" s="19" t="s">
        <v>68</v>
      </c>
      <c r="F3044" s="19" t="s">
        <v>14</v>
      </c>
      <c r="G3044" s="19" t="s">
        <v>27</v>
      </c>
      <c r="H3044" s="19" t="s">
        <v>8364</v>
      </c>
      <c r="I3044" s="19">
        <v>24</v>
      </c>
      <c r="J3044" s="19">
        <v>0</v>
      </c>
      <c r="K3044" s="19">
        <v>5</v>
      </c>
      <c r="L3044" s="19" t="s">
        <v>8363</v>
      </c>
      <c r="M3044" s="21">
        <v>14.4</v>
      </c>
      <c r="N3044">
        <f t="shared" si="47"/>
        <v>1</v>
      </c>
    </row>
    <row r="3045" spans="1:14" x14ac:dyDescent="0.35">
      <c r="A3045" s="22" t="s">
        <v>3115</v>
      </c>
      <c r="B3045" s="23" t="s">
        <v>92</v>
      </c>
      <c r="C3045" s="23">
        <v>1</v>
      </c>
      <c r="D3045" s="24">
        <v>45680</v>
      </c>
      <c r="E3045" s="23" t="s">
        <v>36</v>
      </c>
      <c r="F3045" s="23" t="s">
        <v>8364</v>
      </c>
      <c r="G3045" s="23" t="s">
        <v>15</v>
      </c>
      <c r="H3045" s="23" t="s">
        <v>22</v>
      </c>
      <c r="I3045" s="23">
        <v>48</v>
      </c>
      <c r="J3045" s="23">
        <v>0</v>
      </c>
      <c r="K3045" s="23">
        <v>3</v>
      </c>
      <c r="L3045" s="23" t="s">
        <v>17</v>
      </c>
      <c r="M3045" s="25">
        <v>18.7</v>
      </c>
      <c r="N3045">
        <f t="shared" si="47"/>
        <v>1</v>
      </c>
    </row>
    <row r="3046" spans="1:14" x14ac:dyDescent="0.35">
      <c r="A3046" s="6" t="s">
        <v>3116</v>
      </c>
      <c r="B3046" s="19" t="s">
        <v>29</v>
      </c>
      <c r="C3046" s="19">
        <v>7</v>
      </c>
      <c r="D3046" s="20">
        <v>45847</v>
      </c>
      <c r="E3046" s="19" t="s">
        <v>13</v>
      </c>
      <c r="F3046" s="19" t="s">
        <v>43</v>
      </c>
      <c r="G3046" s="19" t="s">
        <v>8364</v>
      </c>
      <c r="H3046" s="19" t="s">
        <v>22</v>
      </c>
      <c r="I3046" s="19">
        <v>72</v>
      </c>
      <c r="J3046" s="19">
        <v>0</v>
      </c>
      <c r="K3046" s="19">
        <v>2</v>
      </c>
      <c r="L3046" s="19" t="s">
        <v>8363</v>
      </c>
      <c r="M3046" s="21">
        <v>10.6</v>
      </c>
      <c r="N3046">
        <f t="shared" si="47"/>
        <v>1</v>
      </c>
    </row>
    <row r="3047" spans="1:14" x14ac:dyDescent="0.35">
      <c r="A3047" s="22" t="s">
        <v>3117</v>
      </c>
      <c r="B3047" s="23" t="s">
        <v>23</v>
      </c>
      <c r="C3047" s="23">
        <v>12</v>
      </c>
      <c r="D3047" s="24">
        <v>46000</v>
      </c>
      <c r="E3047" s="23" t="s">
        <v>13</v>
      </c>
      <c r="F3047" s="23" t="s">
        <v>14</v>
      </c>
      <c r="G3047" s="23" t="s">
        <v>27</v>
      </c>
      <c r="H3047" s="23" t="s">
        <v>22</v>
      </c>
      <c r="I3047" s="23">
        <v>48</v>
      </c>
      <c r="J3047" s="23">
        <v>2</v>
      </c>
      <c r="K3047" s="23">
        <v>5</v>
      </c>
      <c r="L3047" s="23" t="s">
        <v>38</v>
      </c>
      <c r="M3047" s="25">
        <v>6.9</v>
      </c>
      <c r="N3047">
        <f t="shared" si="47"/>
        <v>1</v>
      </c>
    </row>
    <row r="3048" spans="1:14" x14ac:dyDescent="0.35">
      <c r="A3048" s="6" t="s">
        <v>3118</v>
      </c>
      <c r="B3048" s="19" t="s">
        <v>253</v>
      </c>
      <c r="C3048" s="19">
        <v>4</v>
      </c>
      <c r="D3048" s="20">
        <v>45757</v>
      </c>
      <c r="E3048" s="19" t="s">
        <v>25</v>
      </c>
      <c r="F3048" s="19" t="s">
        <v>43</v>
      </c>
      <c r="G3048" s="19" t="s">
        <v>31</v>
      </c>
      <c r="H3048" s="19" t="s">
        <v>32</v>
      </c>
      <c r="I3048" s="19">
        <v>24</v>
      </c>
      <c r="J3048" s="19">
        <v>2</v>
      </c>
      <c r="K3048" s="19">
        <v>5</v>
      </c>
      <c r="L3048" s="19" t="s">
        <v>44</v>
      </c>
      <c r="M3048" s="21">
        <v>7.9</v>
      </c>
      <c r="N3048">
        <f t="shared" si="47"/>
        <v>1</v>
      </c>
    </row>
    <row r="3049" spans="1:14" x14ac:dyDescent="0.35">
      <c r="A3049" s="22" t="s">
        <v>3119</v>
      </c>
      <c r="B3049" s="23" t="s">
        <v>92</v>
      </c>
      <c r="C3049" s="23">
        <v>11</v>
      </c>
      <c r="D3049" s="24">
        <v>45981</v>
      </c>
      <c r="E3049" s="23" t="s">
        <v>20</v>
      </c>
      <c r="F3049" s="23" t="s">
        <v>43</v>
      </c>
      <c r="G3049" s="23" t="s">
        <v>27</v>
      </c>
      <c r="H3049" s="23" t="s">
        <v>22</v>
      </c>
      <c r="I3049" s="23">
        <v>48</v>
      </c>
      <c r="J3049" s="23">
        <v>0</v>
      </c>
      <c r="K3049" s="23">
        <v>2</v>
      </c>
      <c r="L3049" s="23" t="s">
        <v>17</v>
      </c>
      <c r="M3049" s="25">
        <v>5.0999999999999996</v>
      </c>
      <c r="N3049">
        <f t="shared" si="47"/>
        <v>1</v>
      </c>
    </row>
    <row r="3050" spans="1:14" x14ac:dyDescent="0.35">
      <c r="A3050" s="6" t="s">
        <v>3120</v>
      </c>
      <c r="B3050" s="19" t="s">
        <v>92</v>
      </c>
      <c r="C3050" s="19">
        <v>4</v>
      </c>
      <c r="D3050" s="20">
        <v>45770</v>
      </c>
      <c r="E3050" s="19" t="s">
        <v>68</v>
      </c>
      <c r="F3050" s="19" t="s">
        <v>14</v>
      </c>
      <c r="G3050" s="19" t="s">
        <v>8364</v>
      </c>
      <c r="H3050" s="19" t="s">
        <v>16</v>
      </c>
      <c r="I3050" s="19">
        <v>48</v>
      </c>
      <c r="J3050" s="19">
        <v>0</v>
      </c>
      <c r="K3050" s="19">
        <v>5</v>
      </c>
      <c r="L3050" s="19" t="s">
        <v>8363</v>
      </c>
      <c r="M3050" s="21">
        <v>3.3</v>
      </c>
      <c r="N3050">
        <f t="shared" si="47"/>
        <v>1</v>
      </c>
    </row>
    <row r="3051" spans="1:14" x14ac:dyDescent="0.35">
      <c r="A3051" s="22" t="s">
        <v>3121</v>
      </c>
      <c r="B3051" s="23" t="s">
        <v>126</v>
      </c>
      <c r="C3051" s="23">
        <v>7</v>
      </c>
      <c r="D3051" s="24">
        <v>45844</v>
      </c>
      <c r="E3051" s="23" t="s">
        <v>25</v>
      </c>
      <c r="F3051" s="23" t="s">
        <v>14</v>
      </c>
      <c r="G3051" s="23" t="s">
        <v>27</v>
      </c>
      <c r="H3051" s="23" t="s">
        <v>22</v>
      </c>
      <c r="I3051" s="23">
        <v>72</v>
      </c>
      <c r="J3051" s="23">
        <v>0</v>
      </c>
      <c r="K3051" s="23">
        <v>5</v>
      </c>
      <c r="L3051" s="23" t="s">
        <v>38</v>
      </c>
      <c r="M3051" s="25">
        <v>10.7</v>
      </c>
      <c r="N3051">
        <f t="shared" si="47"/>
        <v>1</v>
      </c>
    </row>
    <row r="3052" spans="1:14" x14ac:dyDescent="0.35">
      <c r="A3052" s="6" t="s">
        <v>3122</v>
      </c>
      <c r="B3052" s="19" t="s">
        <v>158</v>
      </c>
      <c r="C3052" s="19">
        <v>5</v>
      </c>
      <c r="D3052" s="20">
        <v>45788</v>
      </c>
      <c r="E3052" s="19" t="s">
        <v>20</v>
      </c>
      <c r="F3052" s="19" t="s">
        <v>37</v>
      </c>
      <c r="G3052" s="19" t="s">
        <v>8364</v>
      </c>
      <c r="H3052" s="19" t="s">
        <v>32</v>
      </c>
      <c r="I3052" s="19">
        <v>72</v>
      </c>
      <c r="J3052" s="19">
        <v>1</v>
      </c>
      <c r="K3052" s="19">
        <v>1</v>
      </c>
      <c r="L3052" s="19" t="s">
        <v>55</v>
      </c>
      <c r="M3052" s="21">
        <v>7.5</v>
      </c>
      <c r="N3052">
        <f t="shared" si="47"/>
        <v>1</v>
      </c>
    </row>
    <row r="3053" spans="1:14" x14ac:dyDescent="0.35">
      <c r="A3053" s="22" t="s">
        <v>3123</v>
      </c>
      <c r="B3053" s="23" t="s">
        <v>158</v>
      </c>
      <c r="C3053" s="23">
        <v>3</v>
      </c>
      <c r="D3053" s="24">
        <v>45722</v>
      </c>
      <c r="E3053" s="23" t="s">
        <v>25</v>
      </c>
      <c r="F3053" s="23" t="s">
        <v>37</v>
      </c>
      <c r="G3053" s="23" t="s">
        <v>27</v>
      </c>
      <c r="H3053" s="23" t="s">
        <v>16</v>
      </c>
      <c r="I3053" s="23">
        <v>4</v>
      </c>
      <c r="J3053" s="23">
        <v>0</v>
      </c>
      <c r="K3053" s="23">
        <v>4</v>
      </c>
      <c r="L3053" s="23" t="s">
        <v>17</v>
      </c>
      <c r="M3053" s="25">
        <v>33.700000000000003</v>
      </c>
      <c r="N3053">
        <f t="shared" si="47"/>
        <v>0</v>
      </c>
    </row>
    <row r="3054" spans="1:14" x14ac:dyDescent="0.35">
      <c r="A3054" s="6" t="s">
        <v>3124</v>
      </c>
      <c r="B3054" s="19" t="s">
        <v>108</v>
      </c>
      <c r="C3054" s="19">
        <v>10</v>
      </c>
      <c r="D3054" s="20">
        <v>45945</v>
      </c>
      <c r="E3054" s="19" t="s">
        <v>13</v>
      </c>
      <c r="F3054" s="19" t="s">
        <v>43</v>
      </c>
      <c r="G3054" s="19" t="s">
        <v>27</v>
      </c>
      <c r="H3054" s="19" t="s">
        <v>28</v>
      </c>
      <c r="I3054" s="19">
        <v>24</v>
      </c>
      <c r="J3054" s="19">
        <v>0</v>
      </c>
      <c r="K3054" s="19">
        <v>4</v>
      </c>
      <c r="L3054" s="19" t="s">
        <v>8363</v>
      </c>
      <c r="M3054" s="21">
        <v>4.3</v>
      </c>
      <c r="N3054">
        <f t="shared" si="47"/>
        <v>1</v>
      </c>
    </row>
    <row r="3055" spans="1:14" x14ac:dyDescent="0.35">
      <c r="A3055" s="22" t="s">
        <v>3125</v>
      </c>
      <c r="B3055" s="23" t="s">
        <v>34</v>
      </c>
      <c r="C3055" s="23">
        <v>5</v>
      </c>
      <c r="D3055" s="24">
        <v>45807</v>
      </c>
      <c r="E3055" s="23" t="s">
        <v>13</v>
      </c>
      <c r="F3055" s="23" t="s">
        <v>26</v>
      </c>
      <c r="G3055" s="23" t="s">
        <v>21</v>
      </c>
      <c r="H3055" s="23" t="s">
        <v>32</v>
      </c>
      <c r="I3055" s="23">
        <v>4</v>
      </c>
      <c r="J3055" s="23">
        <v>0</v>
      </c>
      <c r="K3055" s="23">
        <v>4</v>
      </c>
      <c r="L3055" s="23" t="s">
        <v>38</v>
      </c>
      <c r="M3055" s="25">
        <v>29.7</v>
      </c>
      <c r="N3055">
        <f t="shared" si="47"/>
        <v>0</v>
      </c>
    </row>
    <row r="3056" spans="1:14" x14ac:dyDescent="0.35">
      <c r="A3056" s="6" t="s">
        <v>3126</v>
      </c>
      <c r="B3056" s="19" t="s">
        <v>78</v>
      </c>
      <c r="C3056" s="19">
        <v>3</v>
      </c>
      <c r="D3056" s="20">
        <v>45746</v>
      </c>
      <c r="E3056" s="19" t="s">
        <v>8364</v>
      </c>
      <c r="F3056" s="19" t="s">
        <v>8364</v>
      </c>
      <c r="G3056" s="19" t="s">
        <v>21</v>
      </c>
      <c r="H3056" s="19" t="s">
        <v>32</v>
      </c>
      <c r="I3056" s="19">
        <v>24</v>
      </c>
      <c r="J3056" s="19">
        <v>0</v>
      </c>
      <c r="K3056" s="19">
        <v>5</v>
      </c>
      <c r="L3056" s="19" t="s">
        <v>55</v>
      </c>
      <c r="M3056" s="21">
        <v>3.1</v>
      </c>
      <c r="N3056">
        <f t="shared" si="47"/>
        <v>1</v>
      </c>
    </row>
    <row r="3057" spans="1:14" x14ac:dyDescent="0.35">
      <c r="A3057" s="22" t="s">
        <v>3127</v>
      </c>
      <c r="B3057" s="23" t="s">
        <v>69</v>
      </c>
      <c r="C3057" s="23">
        <v>2</v>
      </c>
      <c r="D3057" s="24">
        <v>45713</v>
      </c>
      <c r="E3057" s="23" t="s">
        <v>36</v>
      </c>
      <c r="F3057" s="23" t="s">
        <v>37</v>
      </c>
      <c r="G3057" s="23" t="s">
        <v>27</v>
      </c>
      <c r="H3057" s="23" t="s">
        <v>32</v>
      </c>
      <c r="I3057" s="23">
        <v>4</v>
      </c>
      <c r="J3057" s="23">
        <v>2</v>
      </c>
      <c r="K3057" s="23">
        <v>5</v>
      </c>
      <c r="L3057" s="23" t="s">
        <v>8363</v>
      </c>
      <c r="M3057" s="25">
        <v>15.9</v>
      </c>
      <c r="N3057">
        <f t="shared" si="47"/>
        <v>0</v>
      </c>
    </row>
    <row r="3058" spans="1:14" x14ac:dyDescent="0.35">
      <c r="A3058" s="6" t="s">
        <v>3128</v>
      </c>
      <c r="B3058" s="19" t="s">
        <v>81</v>
      </c>
      <c r="C3058" s="19">
        <v>11</v>
      </c>
      <c r="D3058" s="20">
        <v>45974</v>
      </c>
      <c r="E3058" s="19" t="s">
        <v>68</v>
      </c>
      <c r="F3058" s="19" t="s">
        <v>14</v>
      </c>
      <c r="G3058" s="19" t="s">
        <v>31</v>
      </c>
      <c r="H3058" s="19" t="s">
        <v>28</v>
      </c>
      <c r="I3058" s="19">
        <v>24</v>
      </c>
      <c r="J3058" s="19">
        <v>0</v>
      </c>
      <c r="K3058" s="19"/>
      <c r="L3058" s="19" t="s">
        <v>8363</v>
      </c>
      <c r="M3058" s="21">
        <v>2.7</v>
      </c>
      <c r="N3058">
        <f t="shared" si="47"/>
        <v>1</v>
      </c>
    </row>
    <row r="3059" spans="1:14" x14ac:dyDescent="0.35">
      <c r="A3059" s="22" t="s">
        <v>3129</v>
      </c>
      <c r="B3059" s="23" t="s">
        <v>23</v>
      </c>
      <c r="C3059" s="23">
        <v>11</v>
      </c>
      <c r="D3059" s="24">
        <v>45987</v>
      </c>
      <c r="E3059" s="23" t="s">
        <v>13</v>
      </c>
      <c r="F3059" s="23" t="s">
        <v>59</v>
      </c>
      <c r="G3059" s="23" t="s">
        <v>27</v>
      </c>
      <c r="H3059" s="23" t="s">
        <v>28</v>
      </c>
      <c r="I3059" s="23">
        <v>4</v>
      </c>
      <c r="J3059" s="23">
        <v>0</v>
      </c>
      <c r="K3059" s="23">
        <v>4</v>
      </c>
      <c r="L3059" s="23" t="s">
        <v>55</v>
      </c>
      <c r="M3059" s="25">
        <v>32.1</v>
      </c>
      <c r="N3059">
        <f t="shared" si="47"/>
        <v>0</v>
      </c>
    </row>
    <row r="3060" spans="1:14" x14ac:dyDescent="0.35">
      <c r="A3060" s="6" t="s">
        <v>3130</v>
      </c>
      <c r="B3060" s="19" t="s">
        <v>47</v>
      </c>
      <c r="C3060" s="19">
        <v>3</v>
      </c>
      <c r="D3060" s="20">
        <v>45732</v>
      </c>
      <c r="E3060" s="19" t="s">
        <v>36</v>
      </c>
      <c r="F3060" s="19" t="s">
        <v>8364</v>
      </c>
      <c r="G3060" s="19" t="s">
        <v>15</v>
      </c>
      <c r="H3060" s="19" t="s">
        <v>28</v>
      </c>
      <c r="I3060" s="19">
        <v>4</v>
      </c>
      <c r="J3060" s="19">
        <v>0</v>
      </c>
      <c r="K3060" s="19">
        <v>4</v>
      </c>
      <c r="L3060" s="19" t="s">
        <v>75</v>
      </c>
      <c r="M3060" s="21">
        <v>13.6</v>
      </c>
      <c r="N3060">
        <f t="shared" si="47"/>
        <v>0</v>
      </c>
    </row>
    <row r="3061" spans="1:14" x14ac:dyDescent="0.35">
      <c r="A3061" s="22" t="s">
        <v>3131</v>
      </c>
      <c r="B3061" s="23" t="s">
        <v>104</v>
      </c>
      <c r="C3061" s="23">
        <v>3</v>
      </c>
      <c r="D3061" s="24">
        <v>45734</v>
      </c>
      <c r="E3061" s="23" t="s">
        <v>36</v>
      </c>
      <c r="F3061" s="23" t="s">
        <v>59</v>
      </c>
      <c r="G3061" s="23" t="s">
        <v>31</v>
      </c>
      <c r="H3061" s="23" t="s">
        <v>32</v>
      </c>
      <c r="I3061" s="23">
        <v>8</v>
      </c>
      <c r="J3061" s="23">
        <v>1</v>
      </c>
      <c r="K3061" s="23">
        <v>2</v>
      </c>
      <c r="L3061" s="23" t="s">
        <v>55</v>
      </c>
      <c r="M3061" s="25">
        <v>26.2</v>
      </c>
      <c r="N3061">
        <f t="shared" si="47"/>
        <v>0</v>
      </c>
    </row>
    <row r="3062" spans="1:14" x14ac:dyDescent="0.35">
      <c r="A3062" s="6" t="s">
        <v>3132</v>
      </c>
      <c r="B3062" s="19" t="s">
        <v>47</v>
      </c>
      <c r="C3062" s="19">
        <v>12</v>
      </c>
      <c r="D3062" s="20">
        <v>45992</v>
      </c>
      <c r="E3062" s="19" t="s">
        <v>68</v>
      </c>
      <c r="F3062" s="19" t="s">
        <v>14</v>
      </c>
      <c r="G3062" s="19" t="s">
        <v>31</v>
      </c>
      <c r="H3062" s="19" t="s">
        <v>28</v>
      </c>
      <c r="I3062" s="19">
        <v>4</v>
      </c>
      <c r="J3062" s="19">
        <v>0</v>
      </c>
      <c r="K3062" s="19">
        <v>5</v>
      </c>
      <c r="L3062" s="19" t="s">
        <v>8363</v>
      </c>
      <c r="M3062" s="21">
        <v>9.9</v>
      </c>
      <c r="N3062">
        <f t="shared" si="47"/>
        <v>0</v>
      </c>
    </row>
    <row r="3063" spans="1:14" x14ac:dyDescent="0.35">
      <c r="A3063" s="22" t="s">
        <v>3133</v>
      </c>
      <c r="B3063" s="23" t="s">
        <v>85</v>
      </c>
      <c r="C3063" s="23">
        <v>2</v>
      </c>
      <c r="D3063" s="24">
        <v>45689</v>
      </c>
      <c r="E3063" s="23" t="s">
        <v>13</v>
      </c>
      <c r="F3063" s="23" t="s">
        <v>14</v>
      </c>
      <c r="G3063" s="23" t="s">
        <v>31</v>
      </c>
      <c r="H3063" s="23" t="s">
        <v>28</v>
      </c>
      <c r="I3063" s="23">
        <v>8</v>
      </c>
      <c r="J3063" s="23">
        <v>0</v>
      </c>
      <c r="K3063" s="23">
        <v>5</v>
      </c>
      <c r="L3063" s="23" t="s">
        <v>8363</v>
      </c>
      <c r="M3063" s="25">
        <v>19.100000000000001</v>
      </c>
      <c r="N3063">
        <f t="shared" si="47"/>
        <v>0</v>
      </c>
    </row>
    <row r="3064" spans="1:14" x14ac:dyDescent="0.35">
      <c r="A3064" s="6" t="s">
        <v>3134</v>
      </c>
      <c r="B3064" s="19" t="s">
        <v>69</v>
      </c>
      <c r="C3064" s="19"/>
      <c r="D3064" s="20"/>
      <c r="E3064" s="19" t="s">
        <v>20</v>
      </c>
      <c r="F3064" s="19" t="s">
        <v>26</v>
      </c>
      <c r="G3064" s="19" t="s">
        <v>15</v>
      </c>
      <c r="H3064" s="19" t="s">
        <v>8364</v>
      </c>
      <c r="I3064" s="19">
        <v>72</v>
      </c>
      <c r="J3064" s="19">
        <v>3</v>
      </c>
      <c r="K3064" s="19">
        <v>5</v>
      </c>
      <c r="L3064" s="19" t="s">
        <v>17</v>
      </c>
      <c r="M3064" s="21">
        <v>9</v>
      </c>
      <c r="N3064">
        <f t="shared" si="47"/>
        <v>1</v>
      </c>
    </row>
    <row r="3065" spans="1:14" x14ac:dyDescent="0.35">
      <c r="A3065" s="22" t="s">
        <v>3135</v>
      </c>
      <c r="B3065" s="23" t="s">
        <v>18</v>
      </c>
      <c r="C3065" s="23">
        <v>7</v>
      </c>
      <c r="D3065" s="24">
        <v>45856</v>
      </c>
      <c r="E3065" s="23" t="s">
        <v>13</v>
      </c>
      <c r="F3065" s="23" t="s">
        <v>8364</v>
      </c>
      <c r="G3065" s="23" t="s">
        <v>15</v>
      </c>
      <c r="H3065" s="23" t="s">
        <v>22</v>
      </c>
      <c r="I3065" s="23">
        <v>72</v>
      </c>
      <c r="J3065" s="23">
        <v>0</v>
      </c>
      <c r="K3065" s="23">
        <v>3</v>
      </c>
      <c r="L3065" s="23" t="s">
        <v>33</v>
      </c>
      <c r="M3065" s="25">
        <v>32.9</v>
      </c>
      <c r="N3065">
        <f t="shared" si="47"/>
        <v>1</v>
      </c>
    </row>
    <row r="3066" spans="1:14" x14ac:dyDescent="0.35">
      <c r="A3066" s="6" t="s">
        <v>3136</v>
      </c>
      <c r="B3066" s="19" t="s">
        <v>39</v>
      </c>
      <c r="C3066" s="19">
        <v>1</v>
      </c>
      <c r="D3066" s="20">
        <v>45667</v>
      </c>
      <c r="E3066" s="19" t="s">
        <v>13</v>
      </c>
      <c r="F3066" s="19" t="s">
        <v>26</v>
      </c>
      <c r="G3066" s="19" t="s">
        <v>27</v>
      </c>
      <c r="H3066" s="19" t="s">
        <v>32</v>
      </c>
      <c r="I3066" s="19">
        <v>8</v>
      </c>
      <c r="J3066" s="19">
        <v>0</v>
      </c>
      <c r="K3066" s="19">
        <v>5</v>
      </c>
      <c r="L3066" s="19" t="s">
        <v>44</v>
      </c>
      <c r="M3066" s="21">
        <v>5.3</v>
      </c>
      <c r="N3066">
        <f t="shared" si="47"/>
        <v>1</v>
      </c>
    </row>
    <row r="3067" spans="1:14" x14ac:dyDescent="0.35">
      <c r="A3067" s="22" t="s">
        <v>3137</v>
      </c>
      <c r="B3067" s="23" t="s">
        <v>108</v>
      </c>
      <c r="C3067" s="23">
        <v>9</v>
      </c>
      <c r="D3067" s="24">
        <v>45917</v>
      </c>
      <c r="E3067" s="23" t="s">
        <v>13</v>
      </c>
      <c r="F3067" s="23" t="s">
        <v>14</v>
      </c>
      <c r="G3067" s="23" t="s">
        <v>21</v>
      </c>
      <c r="H3067" s="23" t="s">
        <v>8364</v>
      </c>
      <c r="I3067" s="23">
        <v>48</v>
      </c>
      <c r="J3067" s="23">
        <v>3</v>
      </c>
      <c r="K3067" s="23">
        <v>5</v>
      </c>
      <c r="L3067" s="23" t="s">
        <v>17</v>
      </c>
      <c r="M3067" s="25">
        <v>17</v>
      </c>
      <c r="N3067">
        <f t="shared" si="47"/>
        <v>1</v>
      </c>
    </row>
    <row r="3068" spans="1:14" x14ac:dyDescent="0.35">
      <c r="A3068" s="6" t="s">
        <v>3138</v>
      </c>
      <c r="B3068" s="19" t="s">
        <v>236</v>
      </c>
      <c r="C3068" s="19"/>
      <c r="D3068" s="20"/>
      <c r="E3068" s="19" t="s">
        <v>25</v>
      </c>
      <c r="F3068" s="19" t="s">
        <v>40</v>
      </c>
      <c r="G3068" s="19" t="s">
        <v>21</v>
      </c>
      <c r="H3068" s="19" t="s">
        <v>16</v>
      </c>
      <c r="I3068" s="19">
        <v>72</v>
      </c>
      <c r="J3068" s="19">
        <v>0</v>
      </c>
      <c r="K3068" s="19">
        <v>5</v>
      </c>
      <c r="L3068" s="19" t="s">
        <v>33</v>
      </c>
      <c r="M3068" s="21">
        <v>6.1</v>
      </c>
      <c r="N3068">
        <f t="shared" si="47"/>
        <v>1</v>
      </c>
    </row>
    <row r="3069" spans="1:14" x14ac:dyDescent="0.35">
      <c r="A3069" s="22" t="s">
        <v>3139</v>
      </c>
      <c r="B3069" s="23" t="s">
        <v>85</v>
      </c>
      <c r="C3069" s="23">
        <v>10</v>
      </c>
      <c r="D3069" s="24">
        <v>45941</v>
      </c>
      <c r="E3069" s="23" t="s">
        <v>13</v>
      </c>
      <c r="F3069" s="23" t="s">
        <v>43</v>
      </c>
      <c r="G3069" s="23" t="s">
        <v>31</v>
      </c>
      <c r="H3069" s="23" t="s">
        <v>32</v>
      </c>
      <c r="I3069" s="23">
        <v>24</v>
      </c>
      <c r="J3069" s="23">
        <v>0</v>
      </c>
      <c r="K3069" s="23">
        <v>5</v>
      </c>
      <c r="L3069" s="23" t="s">
        <v>17</v>
      </c>
      <c r="M3069" s="25">
        <v>11.2</v>
      </c>
      <c r="N3069">
        <f t="shared" si="47"/>
        <v>1</v>
      </c>
    </row>
    <row r="3070" spans="1:14" x14ac:dyDescent="0.35">
      <c r="A3070" s="6" t="s">
        <v>3140</v>
      </c>
      <c r="B3070" s="19" t="s">
        <v>45</v>
      </c>
      <c r="C3070" s="19">
        <v>12</v>
      </c>
      <c r="D3070" s="20">
        <v>46018</v>
      </c>
      <c r="E3070" s="19" t="s">
        <v>13</v>
      </c>
      <c r="F3070" s="19" t="s">
        <v>37</v>
      </c>
      <c r="G3070" s="19" t="s">
        <v>27</v>
      </c>
      <c r="H3070" s="19" t="s">
        <v>22</v>
      </c>
      <c r="I3070" s="19">
        <v>48</v>
      </c>
      <c r="J3070" s="19">
        <v>0</v>
      </c>
      <c r="K3070" s="19">
        <v>4</v>
      </c>
      <c r="L3070" s="19" t="s">
        <v>8363</v>
      </c>
      <c r="M3070" s="21">
        <v>3.8</v>
      </c>
      <c r="N3070">
        <f t="shared" si="47"/>
        <v>1</v>
      </c>
    </row>
    <row r="3071" spans="1:14" x14ac:dyDescent="0.35">
      <c r="A3071" s="22" t="s">
        <v>3141</v>
      </c>
      <c r="B3071" s="23" t="s">
        <v>143</v>
      </c>
      <c r="C3071" s="23">
        <v>7</v>
      </c>
      <c r="D3071" s="24">
        <v>45845</v>
      </c>
      <c r="E3071" s="23" t="s">
        <v>25</v>
      </c>
      <c r="F3071" s="23" t="s">
        <v>14</v>
      </c>
      <c r="G3071" s="23" t="s">
        <v>31</v>
      </c>
      <c r="H3071" s="23" t="s">
        <v>28</v>
      </c>
      <c r="I3071" s="23">
        <v>48</v>
      </c>
      <c r="J3071" s="23">
        <v>3</v>
      </c>
      <c r="K3071" s="23">
        <v>2</v>
      </c>
      <c r="L3071" s="23" t="s">
        <v>44</v>
      </c>
      <c r="M3071" s="25">
        <v>3.4</v>
      </c>
      <c r="N3071">
        <f t="shared" si="47"/>
        <v>1</v>
      </c>
    </row>
    <row r="3072" spans="1:14" x14ac:dyDescent="0.35">
      <c r="A3072" s="6" t="s">
        <v>3142</v>
      </c>
      <c r="B3072" s="19" t="s">
        <v>104</v>
      </c>
      <c r="C3072" s="19">
        <v>7</v>
      </c>
      <c r="D3072" s="20">
        <v>45858</v>
      </c>
      <c r="E3072" s="19" t="s">
        <v>8364</v>
      </c>
      <c r="F3072" s="19" t="s">
        <v>14</v>
      </c>
      <c r="G3072" s="19" t="s">
        <v>27</v>
      </c>
      <c r="H3072" s="19" t="s">
        <v>22</v>
      </c>
      <c r="I3072" s="19">
        <v>72</v>
      </c>
      <c r="J3072" s="19">
        <v>0</v>
      </c>
      <c r="K3072" s="19">
        <v>4</v>
      </c>
      <c r="L3072" s="19" t="s">
        <v>55</v>
      </c>
      <c r="M3072" s="21">
        <v>10.199999999999999</v>
      </c>
      <c r="N3072">
        <f t="shared" si="47"/>
        <v>1</v>
      </c>
    </row>
    <row r="3073" spans="1:14" x14ac:dyDescent="0.35">
      <c r="A3073" s="22" t="s">
        <v>3143</v>
      </c>
      <c r="B3073" s="23" t="s">
        <v>72</v>
      </c>
      <c r="C3073" s="23">
        <v>5</v>
      </c>
      <c r="D3073" s="24">
        <v>45780</v>
      </c>
      <c r="E3073" s="23" t="s">
        <v>8364</v>
      </c>
      <c r="F3073" s="23" t="s">
        <v>59</v>
      </c>
      <c r="G3073" s="23" t="s">
        <v>21</v>
      </c>
      <c r="H3073" s="23" t="s">
        <v>28</v>
      </c>
      <c r="I3073" s="23">
        <v>4</v>
      </c>
      <c r="J3073" s="23">
        <v>0</v>
      </c>
      <c r="K3073" s="23">
        <v>3</v>
      </c>
      <c r="L3073" s="23" t="s">
        <v>55</v>
      </c>
      <c r="M3073" s="25">
        <v>14.8</v>
      </c>
      <c r="N3073">
        <f t="shared" si="47"/>
        <v>0</v>
      </c>
    </row>
    <row r="3074" spans="1:14" x14ac:dyDescent="0.35">
      <c r="A3074" s="6" t="s">
        <v>3144</v>
      </c>
      <c r="B3074" s="19" t="s">
        <v>65</v>
      </c>
      <c r="C3074" s="19">
        <v>7</v>
      </c>
      <c r="D3074" s="20">
        <v>45869</v>
      </c>
      <c r="E3074" s="19" t="s">
        <v>13</v>
      </c>
      <c r="F3074" s="19" t="s">
        <v>14</v>
      </c>
      <c r="G3074" s="19" t="s">
        <v>27</v>
      </c>
      <c r="H3074" s="19" t="s">
        <v>32</v>
      </c>
      <c r="I3074" s="19">
        <v>4</v>
      </c>
      <c r="J3074" s="19">
        <v>0</v>
      </c>
      <c r="K3074" s="19">
        <v>4</v>
      </c>
      <c r="L3074" s="19" t="s">
        <v>55</v>
      </c>
      <c r="M3074" s="21">
        <v>7.9</v>
      </c>
      <c r="N3074">
        <f t="shared" si="47"/>
        <v>0</v>
      </c>
    </row>
    <row r="3075" spans="1:14" x14ac:dyDescent="0.35">
      <c r="A3075" s="22" t="s">
        <v>3145</v>
      </c>
      <c r="B3075" s="23" t="s">
        <v>53</v>
      </c>
      <c r="C3075" s="23">
        <v>11</v>
      </c>
      <c r="D3075" s="24">
        <v>45964</v>
      </c>
      <c r="E3075" s="23" t="s">
        <v>68</v>
      </c>
      <c r="F3075" s="23" t="s">
        <v>26</v>
      </c>
      <c r="G3075" s="23" t="s">
        <v>27</v>
      </c>
      <c r="H3075" s="23" t="s">
        <v>22</v>
      </c>
      <c r="I3075" s="23">
        <v>8</v>
      </c>
      <c r="J3075" s="23">
        <v>0</v>
      </c>
      <c r="K3075" s="23">
        <v>3</v>
      </c>
      <c r="L3075" s="23" t="s">
        <v>55</v>
      </c>
      <c r="M3075" s="25">
        <v>6.9</v>
      </c>
      <c r="N3075">
        <f t="shared" ref="N3075:N3138" si="48">IF(M3075 &lt;= I3075, 1, 0)</f>
        <v>1</v>
      </c>
    </row>
    <row r="3076" spans="1:14" x14ac:dyDescent="0.35">
      <c r="A3076" s="6" t="s">
        <v>3146</v>
      </c>
      <c r="B3076" s="19" t="s">
        <v>99</v>
      </c>
      <c r="C3076" s="19">
        <v>1</v>
      </c>
      <c r="D3076" s="20">
        <v>45679</v>
      </c>
      <c r="E3076" s="19" t="s">
        <v>13</v>
      </c>
      <c r="F3076" s="19" t="s">
        <v>8364</v>
      </c>
      <c r="G3076" s="19" t="s">
        <v>31</v>
      </c>
      <c r="H3076" s="19" t="s">
        <v>8364</v>
      </c>
      <c r="I3076" s="19">
        <v>72</v>
      </c>
      <c r="J3076" s="19">
        <v>2</v>
      </c>
      <c r="K3076" s="19">
        <v>1</v>
      </c>
      <c r="L3076" s="19" t="s">
        <v>17</v>
      </c>
      <c r="M3076" s="21">
        <v>3.2</v>
      </c>
      <c r="N3076">
        <f t="shared" si="48"/>
        <v>1</v>
      </c>
    </row>
    <row r="3077" spans="1:14" x14ac:dyDescent="0.35">
      <c r="A3077" s="22" t="s">
        <v>3147</v>
      </c>
      <c r="B3077" s="23" t="s">
        <v>236</v>
      </c>
      <c r="C3077" s="23">
        <v>10</v>
      </c>
      <c r="D3077" s="24">
        <v>45932</v>
      </c>
      <c r="E3077" s="23" t="s">
        <v>68</v>
      </c>
      <c r="F3077" s="23" t="s">
        <v>8364</v>
      </c>
      <c r="G3077" s="23" t="s">
        <v>27</v>
      </c>
      <c r="H3077" s="23" t="s">
        <v>32</v>
      </c>
      <c r="I3077" s="23">
        <v>72</v>
      </c>
      <c r="J3077" s="23">
        <v>0</v>
      </c>
      <c r="K3077" s="23">
        <v>5</v>
      </c>
      <c r="L3077" s="23" t="s">
        <v>62</v>
      </c>
      <c r="M3077" s="25">
        <v>20.3</v>
      </c>
      <c r="N3077">
        <f t="shared" si="48"/>
        <v>1</v>
      </c>
    </row>
    <row r="3078" spans="1:14" x14ac:dyDescent="0.35">
      <c r="A3078" s="6" t="s">
        <v>3148</v>
      </c>
      <c r="B3078" s="19" t="s">
        <v>57</v>
      </c>
      <c r="C3078" s="19">
        <v>10</v>
      </c>
      <c r="D3078" s="20">
        <v>45947</v>
      </c>
      <c r="E3078" s="19" t="s">
        <v>25</v>
      </c>
      <c r="F3078" s="19" t="s">
        <v>14</v>
      </c>
      <c r="G3078" s="19" t="s">
        <v>27</v>
      </c>
      <c r="H3078" s="19" t="s">
        <v>22</v>
      </c>
      <c r="I3078" s="19">
        <v>4</v>
      </c>
      <c r="J3078" s="19">
        <v>0</v>
      </c>
      <c r="K3078" s="19">
        <v>5</v>
      </c>
      <c r="L3078" s="19" t="s">
        <v>17</v>
      </c>
      <c r="M3078" s="21">
        <v>9.3000000000000007</v>
      </c>
      <c r="N3078">
        <f t="shared" si="48"/>
        <v>0</v>
      </c>
    </row>
    <row r="3079" spans="1:14" x14ac:dyDescent="0.35">
      <c r="A3079" s="22" t="s">
        <v>3149</v>
      </c>
      <c r="B3079" s="23" t="s">
        <v>146</v>
      </c>
      <c r="C3079" s="23">
        <v>6</v>
      </c>
      <c r="D3079" s="24">
        <v>45832</v>
      </c>
      <c r="E3079" s="23" t="s">
        <v>25</v>
      </c>
      <c r="F3079" s="23" t="s">
        <v>40</v>
      </c>
      <c r="G3079" s="23" t="s">
        <v>15</v>
      </c>
      <c r="H3079" s="23" t="s">
        <v>8364</v>
      </c>
      <c r="I3079" s="23">
        <v>8</v>
      </c>
      <c r="J3079" s="23">
        <v>0</v>
      </c>
      <c r="K3079" s="23">
        <v>2</v>
      </c>
      <c r="L3079" s="23" t="s">
        <v>55</v>
      </c>
      <c r="M3079" s="25">
        <v>31.9</v>
      </c>
      <c r="N3079">
        <f t="shared" si="48"/>
        <v>0</v>
      </c>
    </row>
    <row r="3080" spans="1:14" x14ac:dyDescent="0.35">
      <c r="A3080" s="6" t="s">
        <v>3150</v>
      </c>
      <c r="B3080" s="19" t="s">
        <v>139</v>
      </c>
      <c r="C3080" s="19">
        <v>3</v>
      </c>
      <c r="D3080" s="20">
        <v>45734</v>
      </c>
      <c r="E3080" s="19" t="s">
        <v>13</v>
      </c>
      <c r="F3080" s="19" t="s">
        <v>37</v>
      </c>
      <c r="G3080" s="19" t="s">
        <v>15</v>
      </c>
      <c r="H3080" s="19" t="s">
        <v>16</v>
      </c>
      <c r="I3080" s="19">
        <v>72</v>
      </c>
      <c r="J3080" s="19">
        <v>0</v>
      </c>
      <c r="K3080" s="19">
        <v>5</v>
      </c>
      <c r="L3080" s="19" t="s">
        <v>33</v>
      </c>
      <c r="M3080" s="21">
        <v>12.1</v>
      </c>
      <c r="N3080">
        <f t="shared" si="48"/>
        <v>1</v>
      </c>
    </row>
    <row r="3081" spans="1:14" x14ac:dyDescent="0.35">
      <c r="A3081" s="22" t="s">
        <v>3151</v>
      </c>
      <c r="B3081" s="23" t="s">
        <v>47</v>
      </c>
      <c r="C3081" s="23">
        <v>4</v>
      </c>
      <c r="D3081" s="24">
        <v>45777</v>
      </c>
      <c r="E3081" s="23" t="s">
        <v>13</v>
      </c>
      <c r="F3081" s="23" t="s">
        <v>37</v>
      </c>
      <c r="G3081" s="23" t="s">
        <v>15</v>
      </c>
      <c r="H3081" s="23" t="s">
        <v>28</v>
      </c>
      <c r="I3081" s="23">
        <v>72</v>
      </c>
      <c r="J3081" s="23">
        <v>0</v>
      </c>
      <c r="K3081" s="23">
        <v>4</v>
      </c>
      <c r="L3081" s="23" t="s">
        <v>17</v>
      </c>
      <c r="M3081" s="25">
        <v>14.2</v>
      </c>
      <c r="N3081">
        <f t="shared" si="48"/>
        <v>1</v>
      </c>
    </row>
    <row r="3082" spans="1:14" x14ac:dyDescent="0.35">
      <c r="A3082" s="6" t="s">
        <v>3152</v>
      </c>
      <c r="B3082" s="19" t="s">
        <v>92</v>
      </c>
      <c r="C3082" s="19">
        <v>12</v>
      </c>
      <c r="D3082" s="20">
        <v>45992</v>
      </c>
      <c r="E3082" s="19" t="s">
        <v>13</v>
      </c>
      <c r="F3082" s="19" t="s">
        <v>40</v>
      </c>
      <c r="G3082" s="19" t="s">
        <v>31</v>
      </c>
      <c r="H3082" s="19" t="s">
        <v>22</v>
      </c>
      <c r="I3082" s="19">
        <v>4</v>
      </c>
      <c r="J3082" s="19">
        <v>1</v>
      </c>
      <c r="K3082" s="19">
        <v>4</v>
      </c>
      <c r="L3082" s="19" t="s">
        <v>8363</v>
      </c>
      <c r="M3082" s="21">
        <v>15.2</v>
      </c>
      <c r="N3082">
        <f t="shared" si="48"/>
        <v>0</v>
      </c>
    </row>
    <row r="3083" spans="1:14" x14ac:dyDescent="0.35">
      <c r="A3083" s="22" t="s">
        <v>3153</v>
      </c>
      <c r="B3083" s="23" t="s">
        <v>47</v>
      </c>
      <c r="C3083" s="23">
        <v>8</v>
      </c>
      <c r="D3083" s="24">
        <v>45881</v>
      </c>
      <c r="E3083" s="23" t="s">
        <v>25</v>
      </c>
      <c r="F3083" s="23" t="s">
        <v>37</v>
      </c>
      <c r="G3083" s="23" t="s">
        <v>21</v>
      </c>
      <c r="H3083" s="23" t="s">
        <v>22</v>
      </c>
      <c r="I3083" s="23">
        <v>72</v>
      </c>
      <c r="J3083" s="23">
        <v>0</v>
      </c>
      <c r="K3083" s="23">
        <v>3</v>
      </c>
      <c r="L3083" s="23" t="s">
        <v>33</v>
      </c>
      <c r="M3083" s="25">
        <v>10.5</v>
      </c>
      <c r="N3083">
        <f t="shared" si="48"/>
        <v>1</v>
      </c>
    </row>
    <row r="3084" spans="1:14" x14ac:dyDescent="0.35">
      <c r="A3084" s="6" t="s">
        <v>3154</v>
      </c>
      <c r="B3084" s="19" t="s">
        <v>104</v>
      </c>
      <c r="C3084" s="19">
        <v>7</v>
      </c>
      <c r="D3084" s="20">
        <v>45840</v>
      </c>
      <c r="E3084" s="19" t="s">
        <v>36</v>
      </c>
      <c r="F3084" s="19" t="s">
        <v>43</v>
      </c>
      <c r="G3084" s="19" t="s">
        <v>21</v>
      </c>
      <c r="H3084" s="19" t="s">
        <v>22</v>
      </c>
      <c r="I3084" s="19">
        <v>24</v>
      </c>
      <c r="J3084" s="19">
        <v>0</v>
      </c>
      <c r="K3084" s="19">
        <v>4</v>
      </c>
      <c r="L3084" s="19" t="s">
        <v>55</v>
      </c>
      <c r="M3084" s="21">
        <v>10.3</v>
      </c>
      <c r="N3084">
        <f t="shared" si="48"/>
        <v>1</v>
      </c>
    </row>
    <row r="3085" spans="1:14" x14ac:dyDescent="0.35">
      <c r="A3085" s="22" t="s">
        <v>3155</v>
      </c>
      <c r="B3085" s="23" t="s">
        <v>158</v>
      </c>
      <c r="C3085" s="23">
        <v>11</v>
      </c>
      <c r="D3085" s="24">
        <v>45988</v>
      </c>
      <c r="E3085" s="23" t="s">
        <v>36</v>
      </c>
      <c r="F3085" s="23" t="s">
        <v>14</v>
      </c>
      <c r="G3085" s="23" t="s">
        <v>27</v>
      </c>
      <c r="H3085" s="23" t="s">
        <v>8364</v>
      </c>
      <c r="I3085" s="23">
        <v>72</v>
      </c>
      <c r="J3085" s="23">
        <v>0</v>
      </c>
      <c r="K3085" s="23">
        <v>4</v>
      </c>
      <c r="L3085" s="23" t="s">
        <v>8363</v>
      </c>
      <c r="M3085" s="25">
        <v>21.4</v>
      </c>
      <c r="N3085">
        <f t="shared" si="48"/>
        <v>1</v>
      </c>
    </row>
    <row r="3086" spans="1:14" x14ac:dyDescent="0.35">
      <c r="A3086" s="6" t="s">
        <v>3156</v>
      </c>
      <c r="B3086" s="19" t="s">
        <v>158</v>
      </c>
      <c r="C3086" s="19"/>
      <c r="D3086" s="20"/>
      <c r="E3086" s="19" t="s">
        <v>25</v>
      </c>
      <c r="F3086" s="19" t="s">
        <v>40</v>
      </c>
      <c r="G3086" s="19" t="s">
        <v>15</v>
      </c>
      <c r="H3086" s="19" t="s">
        <v>22</v>
      </c>
      <c r="I3086" s="19">
        <v>4</v>
      </c>
      <c r="J3086" s="19">
        <v>1</v>
      </c>
      <c r="K3086" s="19">
        <v>1</v>
      </c>
      <c r="L3086" s="19" t="s">
        <v>38</v>
      </c>
      <c r="M3086" s="21">
        <v>16.3</v>
      </c>
      <c r="N3086">
        <f t="shared" si="48"/>
        <v>0</v>
      </c>
    </row>
    <row r="3087" spans="1:14" x14ac:dyDescent="0.35">
      <c r="A3087" s="22" t="s">
        <v>3157</v>
      </c>
      <c r="B3087" s="23" t="s">
        <v>51</v>
      </c>
      <c r="C3087" s="23">
        <v>12</v>
      </c>
      <c r="D3087" s="24">
        <v>45999</v>
      </c>
      <c r="E3087" s="23" t="s">
        <v>25</v>
      </c>
      <c r="F3087" s="23" t="s">
        <v>43</v>
      </c>
      <c r="G3087" s="23" t="s">
        <v>31</v>
      </c>
      <c r="H3087" s="23" t="s">
        <v>28</v>
      </c>
      <c r="I3087" s="23">
        <v>48</v>
      </c>
      <c r="J3087" s="23">
        <v>0</v>
      </c>
      <c r="K3087" s="23">
        <v>3</v>
      </c>
      <c r="L3087" s="23" t="s">
        <v>17</v>
      </c>
      <c r="M3087" s="25">
        <v>10.4</v>
      </c>
      <c r="N3087">
        <f t="shared" si="48"/>
        <v>1</v>
      </c>
    </row>
    <row r="3088" spans="1:14" x14ac:dyDescent="0.35">
      <c r="A3088" s="6" t="s">
        <v>3158</v>
      </c>
      <c r="B3088" s="19" t="s">
        <v>89</v>
      </c>
      <c r="C3088" s="19">
        <v>12</v>
      </c>
      <c r="D3088" s="20">
        <v>46006</v>
      </c>
      <c r="E3088" s="19" t="s">
        <v>25</v>
      </c>
      <c r="F3088" s="19" t="s">
        <v>8364</v>
      </c>
      <c r="G3088" s="19" t="s">
        <v>15</v>
      </c>
      <c r="H3088" s="19" t="s">
        <v>22</v>
      </c>
      <c r="I3088" s="19">
        <v>72</v>
      </c>
      <c r="J3088" s="19">
        <v>0</v>
      </c>
      <c r="K3088" s="19">
        <v>4</v>
      </c>
      <c r="L3088" s="19" t="s">
        <v>44</v>
      </c>
      <c r="M3088" s="21">
        <v>21.9</v>
      </c>
      <c r="N3088">
        <f t="shared" si="48"/>
        <v>1</v>
      </c>
    </row>
    <row r="3089" spans="1:14" x14ac:dyDescent="0.35">
      <c r="A3089" s="22" t="s">
        <v>3159</v>
      </c>
      <c r="B3089" s="23" t="s">
        <v>65</v>
      </c>
      <c r="C3089" s="23">
        <v>11</v>
      </c>
      <c r="D3089" s="24">
        <v>45990</v>
      </c>
      <c r="E3089" s="23" t="s">
        <v>20</v>
      </c>
      <c r="F3089" s="23" t="s">
        <v>43</v>
      </c>
      <c r="G3089" s="23" t="s">
        <v>31</v>
      </c>
      <c r="H3089" s="23" t="s">
        <v>32</v>
      </c>
      <c r="I3089" s="23">
        <v>24</v>
      </c>
      <c r="J3089" s="23">
        <v>0</v>
      </c>
      <c r="K3089" s="23">
        <v>4</v>
      </c>
      <c r="L3089" s="23" t="s">
        <v>8363</v>
      </c>
      <c r="M3089" s="25"/>
      <c r="N3089">
        <f t="shared" si="48"/>
        <v>1</v>
      </c>
    </row>
    <row r="3090" spans="1:14" x14ac:dyDescent="0.35">
      <c r="A3090" s="6" t="s">
        <v>3160</v>
      </c>
      <c r="B3090" s="19" t="s">
        <v>236</v>
      </c>
      <c r="C3090" s="19">
        <v>1</v>
      </c>
      <c r="D3090" s="20">
        <v>45675</v>
      </c>
      <c r="E3090" s="19" t="s">
        <v>13</v>
      </c>
      <c r="F3090" s="19" t="s">
        <v>26</v>
      </c>
      <c r="G3090" s="19" t="s">
        <v>15</v>
      </c>
      <c r="H3090" s="19" t="s">
        <v>32</v>
      </c>
      <c r="I3090" s="19">
        <v>4</v>
      </c>
      <c r="J3090" s="19">
        <v>0</v>
      </c>
      <c r="K3090" s="19">
        <v>4</v>
      </c>
      <c r="L3090" s="19" t="s">
        <v>33</v>
      </c>
      <c r="M3090" s="21">
        <v>15</v>
      </c>
      <c r="N3090">
        <f t="shared" si="48"/>
        <v>0</v>
      </c>
    </row>
    <row r="3091" spans="1:14" x14ac:dyDescent="0.35">
      <c r="A3091" s="22" t="s">
        <v>3161</v>
      </c>
      <c r="B3091" s="23" t="s">
        <v>104</v>
      </c>
      <c r="C3091" s="23">
        <v>12</v>
      </c>
      <c r="D3091" s="24">
        <v>46017</v>
      </c>
      <c r="E3091" s="23" t="s">
        <v>20</v>
      </c>
      <c r="F3091" s="23" t="s">
        <v>40</v>
      </c>
      <c r="G3091" s="23" t="s">
        <v>15</v>
      </c>
      <c r="H3091" s="23" t="s">
        <v>16</v>
      </c>
      <c r="I3091" s="23">
        <v>8</v>
      </c>
      <c r="J3091" s="23">
        <v>0</v>
      </c>
      <c r="K3091" s="23">
        <v>5</v>
      </c>
      <c r="L3091" s="23" t="s">
        <v>8363</v>
      </c>
      <c r="M3091" s="25">
        <v>4.3</v>
      </c>
      <c r="N3091">
        <f t="shared" si="48"/>
        <v>1</v>
      </c>
    </row>
    <row r="3092" spans="1:14" x14ac:dyDescent="0.35">
      <c r="A3092" s="6" t="s">
        <v>3162</v>
      </c>
      <c r="B3092" s="19" t="s">
        <v>72</v>
      </c>
      <c r="C3092" s="19">
        <v>2</v>
      </c>
      <c r="D3092" s="20">
        <v>45706</v>
      </c>
      <c r="E3092" s="19" t="s">
        <v>13</v>
      </c>
      <c r="F3092" s="19" t="s">
        <v>43</v>
      </c>
      <c r="G3092" s="19" t="s">
        <v>31</v>
      </c>
      <c r="H3092" s="19" t="s">
        <v>28</v>
      </c>
      <c r="I3092" s="19">
        <v>4</v>
      </c>
      <c r="J3092" s="19">
        <v>2</v>
      </c>
      <c r="K3092" s="19">
        <v>5</v>
      </c>
      <c r="L3092" s="19" t="s">
        <v>33</v>
      </c>
      <c r="M3092" s="21">
        <v>24</v>
      </c>
      <c r="N3092">
        <f t="shared" si="48"/>
        <v>0</v>
      </c>
    </row>
    <row r="3093" spans="1:14" x14ac:dyDescent="0.35">
      <c r="A3093" s="22" t="s">
        <v>3163</v>
      </c>
      <c r="B3093" s="23" t="s">
        <v>39</v>
      </c>
      <c r="C3093" s="23">
        <v>12</v>
      </c>
      <c r="D3093" s="24">
        <v>45996</v>
      </c>
      <c r="E3093" s="23" t="s">
        <v>25</v>
      </c>
      <c r="F3093" s="23" t="s">
        <v>14</v>
      </c>
      <c r="G3093" s="23" t="s">
        <v>27</v>
      </c>
      <c r="H3093" s="23" t="s">
        <v>8364</v>
      </c>
      <c r="I3093" s="23">
        <v>48</v>
      </c>
      <c r="J3093" s="23">
        <v>0</v>
      </c>
      <c r="K3093" s="23">
        <v>5</v>
      </c>
      <c r="L3093" s="23" t="s">
        <v>8363</v>
      </c>
      <c r="M3093" s="25">
        <v>3.1</v>
      </c>
      <c r="N3093">
        <f t="shared" si="48"/>
        <v>1</v>
      </c>
    </row>
    <row r="3094" spans="1:14" x14ac:dyDescent="0.35">
      <c r="A3094" s="6" t="s">
        <v>3164</v>
      </c>
      <c r="B3094" s="19" t="s">
        <v>89</v>
      </c>
      <c r="C3094" s="19">
        <v>7</v>
      </c>
      <c r="D3094" s="20">
        <v>45846</v>
      </c>
      <c r="E3094" s="19" t="s">
        <v>8364</v>
      </c>
      <c r="F3094" s="19" t="s">
        <v>26</v>
      </c>
      <c r="G3094" s="19" t="s">
        <v>31</v>
      </c>
      <c r="H3094" s="19" t="s">
        <v>22</v>
      </c>
      <c r="I3094" s="19">
        <v>8</v>
      </c>
      <c r="J3094" s="19">
        <v>0</v>
      </c>
      <c r="K3094" s="19">
        <v>1</v>
      </c>
      <c r="L3094" s="19" t="s">
        <v>62</v>
      </c>
      <c r="M3094" s="21">
        <v>16.2</v>
      </c>
      <c r="N3094">
        <f t="shared" si="48"/>
        <v>0</v>
      </c>
    </row>
    <row r="3095" spans="1:14" x14ac:dyDescent="0.35">
      <c r="A3095" s="22" t="s">
        <v>3165</v>
      </c>
      <c r="B3095" s="23" t="s">
        <v>85</v>
      </c>
      <c r="C3095" s="23"/>
      <c r="D3095" s="24"/>
      <c r="E3095" s="23" t="s">
        <v>20</v>
      </c>
      <c r="F3095" s="23" t="s">
        <v>8364</v>
      </c>
      <c r="G3095" s="23" t="s">
        <v>27</v>
      </c>
      <c r="H3095" s="23" t="s">
        <v>22</v>
      </c>
      <c r="I3095" s="23">
        <v>48</v>
      </c>
      <c r="J3095" s="23">
        <v>0</v>
      </c>
      <c r="K3095" s="23">
        <v>4</v>
      </c>
      <c r="L3095" s="23" t="s">
        <v>17</v>
      </c>
      <c r="M3095" s="25">
        <v>8.6999999999999993</v>
      </c>
      <c r="N3095">
        <f t="shared" si="48"/>
        <v>1</v>
      </c>
    </row>
    <row r="3096" spans="1:14" x14ac:dyDescent="0.35">
      <c r="A3096" s="6" t="s">
        <v>3166</v>
      </c>
      <c r="B3096" s="19" t="s">
        <v>139</v>
      </c>
      <c r="C3096" s="19">
        <v>1</v>
      </c>
      <c r="D3096" s="20">
        <v>45683</v>
      </c>
      <c r="E3096" s="19" t="s">
        <v>20</v>
      </c>
      <c r="F3096" s="19" t="s">
        <v>37</v>
      </c>
      <c r="G3096" s="19" t="s">
        <v>21</v>
      </c>
      <c r="H3096" s="19" t="s">
        <v>28</v>
      </c>
      <c r="I3096" s="19">
        <v>72</v>
      </c>
      <c r="J3096" s="19">
        <v>0</v>
      </c>
      <c r="K3096" s="19"/>
      <c r="L3096" s="19" t="s">
        <v>55</v>
      </c>
      <c r="M3096" s="21">
        <v>8.1</v>
      </c>
      <c r="N3096">
        <f t="shared" si="48"/>
        <v>1</v>
      </c>
    </row>
    <row r="3097" spans="1:14" x14ac:dyDescent="0.35">
      <c r="A3097" s="22" t="s">
        <v>3167</v>
      </c>
      <c r="B3097" s="23" t="s">
        <v>34</v>
      </c>
      <c r="C3097" s="23">
        <v>1</v>
      </c>
      <c r="D3097" s="24">
        <v>45685</v>
      </c>
      <c r="E3097" s="23" t="s">
        <v>25</v>
      </c>
      <c r="F3097" s="23" t="s">
        <v>43</v>
      </c>
      <c r="G3097" s="23" t="s">
        <v>8364</v>
      </c>
      <c r="H3097" s="23" t="s">
        <v>22</v>
      </c>
      <c r="I3097" s="23">
        <v>8</v>
      </c>
      <c r="J3097" s="23">
        <v>2</v>
      </c>
      <c r="K3097" s="23">
        <v>1</v>
      </c>
      <c r="L3097" s="23" t="s">
        <v>44</v>
      </c>
      <c r="M3097" s="25">
        <v>8.1999999999999993</v>
      </c>
      <c r="N3097">
        <f t="shared" si="48"/>
        <v>0</v>
      </c>
    </row>
    <row r="3098" spans="1:14" x14ac:dyDescent="0.35">
      <c r="A3098" s="6" t="s">
        <v>3168</v>
      </c>
      <c r="B3098" s="19" t="s">
        <v>57</v>
      </c>
      <c r="C3098" s="19">
        <v>5</v>
      </c>
      <c r="D3098" s="20">
        <v>45806</v>
      </c>
      <c r="E3098" s="19" t="s">
        <v>8364</v>
      </c>
      <c r="F3098" s="19" t="s">
        <v>8364</v>
      </c>
      <c r="G3098" s="19" t="s">
        <v>31</v>
      </c>
      <c r="H3098" s="19" t="s">
        <v>8364</v>
      </c>
      <c r="I3098" s="19">
        <v>24</v>
      </c>
      <c r="J3098" s="19">
        <v>0</v>
      </c>
      <c r="K3098" s="19">
        <v>5</v>
      </c>
      <c r="L3098" s="19" t="s">
        <v>38</v>
      </c>
      <c r="M3098" s="21">
        <v>3.9</v>
      </c>
      <c r="N3098">
        <f t="shared" si="48"/>
        <v>1</v>
      </c>
    </row>
    <row r="3099" spans="1:14" x14ac:dyDescent="0.35">
      <c r="A3099" s="22" t="s">
        <v>3169</v>
      </c>
      <c r="B3099" s="23" t="s">
        <v>143</v>
      </c>
      <c r="C3099" s="23">
        <v>11</v>
      </c>
      <c r="D3099" s="24">
        <v>45984</v>
      </c>
      <c r="E3099" s="23" t="s">
        <v>8364</v>
      </c>
      <c r="F3099" s="23" t="s">
        <v>43</v>
      </c>
      <c r="G3099" s="23" t="s">
        <v>21</v>
      </c>
      <c r="H3099" s="23" t="s">
        <v>22</v>
      </c>
      <c r="I3099" s="23">
        <v>8</v>
      </c>
      <c r="J3099" s="23">
        <v>0</v>
      </c>
      <c r="K3099" s="23">
        <v>2</v>
      </c>
      <c r="L3099" s="23" t="s">
        <v>8363</v>
      </c>
      <c r="M3099" s="25">
        <v>9.6999999999999993</v>
      </c>
      <c r="N3099">
        <f t="shared" si="48"/>
        <v>0</v>
      </c>
    </row>
    <row r="3100" spans="1:14" x14ac:dyDescent="0.35">
      <c r="A3100" s="6" t="s">
        <v>3170</v>
      </c>
      <c r="B3100" s="19" t="s">
        <v>81</v>
      </c>
      <c r="C3100" s="19">
        <v>7</v>
      </c>
      <c r="D3100" s="20">
        <v>45847</v>
      </c>
      <c r="E3100" s="19" t="s">
        <v>68</v>
      </c>
      <c r="F3100" s="19" t="s">
        <v>43</v>
      </c>
      <c r="G3100" s="19" t="s">
        <v>8364</v>
      </c>
      <c r="H3100" s="19" t="s">
        <v>28</v>
      </c>
      <c r="I3100" s="19">
        <v>48</v>
      </c>
      <c r="J3100" s="19">
        <v>0</v>
      </c>
      <c r="K3100" s="19">
        <v>5</v>
      </c>
      <c r="L3100" s="19" t="s">
        <v>8363</v>
      </c>
      <c r="M3100" s="21">
        <v>17.600000000000001</v>
      </c>
      <c r="N3100">
        <f t="shared" si="48"/>
        <v>1</v>
      </c>
    </row>
    <row r="3101" spans="1:14" x14ac:dyDescent="0.35">
      <c r="A3101" s="22" t="s">
        <v>3171</v>
      </c>
      <c r="B3101" s="23" t="s">
        <v>65</v>
      </c>
      <c r="C3101" s="23"/>
      <c r="D3101" s="24"/>
      <c r="E3101" s="23" t="s">
        <v>68</v>
      </c>
      <c r="F3101" s="23" t="s">
        <v>43</v>
      </c>
      <c r="G3101" s="23" t="s">
        <v>21</v>
      </c>
      <c r="H3101" s="23" t="s">
        <v>22</v>
      </c>
      <c r="I3101" s="23">
        <v>24</v>
      </c>
      <c r="J3101" s="23">
        <v>0</v>
      </c>
      <c r="K3101" s="23">
        <v>5</v>
      </c>
      <c r="L3101" s="23" t="s">
        <v>33</v>
      </c>
      <c r="M3101" s="25">
        <v>17.5</v>
      </c>
      <c r="N3101">
        <f t="shared" si="48"/>
        <v>1</v>
      </c>
    </row>
    <row r="3102" spans="1:14" x14ac:dyDescent="0.35">
      <c r="A3102" s="6" t="s">
        <v>3172</v>
      </c>
      <c r="B3102" s="19" t="s">
        <v>89</v>
      </c>
      <c r="C3102" s="19">
        <v>12</v>
      </c>
      <c r="D3102" s="20">
        <v>46008</v>
      </c>
      <c r="E3102" s="19" t="s">
        <v>25</v>
      </c>
      <c r="F3102" s="19" t="s">
        <v>14</v>
      </c>
      <c r="G3102" s="19" t="s">
        <v>27</v>
      </c>
      <c r="H3102" s="19" t="s">
        <v>22</v>
      </c>
      <c r="I3102" s="19">
        <v>24</v>
      </c>
      <c r="J3102" s="19">
        <v>2</v>
      </c>
      <c r="K3102" s="19">
        <v>2</v>
      </c>
      <c r="L3102" s="19" t="s">
        <v>8363</v>
      </c>
      <c r="M3102" s="21">
        <v>11.5</v>
      </c>
      <c r="N3102">
        <f t="shared" si="48"/>
        <v>1</v>
      </c>
    </row>
    <row r="3103" spans="1:14" x14ac:dyDescent="0.35">
      <c r="A3103" s="22" t="s">
        <v>3173</v>
      </c>
      <c r="B3103" s="23" t="s">
        <v>78</v>
      </c>
      <c r="C3103" s="23">
        <v>5</v>
      </c>
      <c r="D3103" s="24">
        <v>45778</v>
      </c>
      <c r="E3103" s="23" t="s">
        <v>36</v>
      </c>
      <c r="F3103" s="23" t="s">
        <v>40</v>
      </c>
      <c r="G3103" s="23" t="s">
        <v>27</v>
      </c>
      <c r="H3103" s="23" t="s">
        <v>22</v>
      </c>
      <c r="I3103" s="23">
        <v>72</v>
      </c>
      <c r="J3103" s="23">
        <v>0</v>
      </c>
      <c r="K3103" s="23">
        <v>5</v>
      </c>
      <c r="L3103" s="23" t="s">
        <v>33</v>
      </c>
      <c r="M3103" s="25">
        <v>3.4</v>
      </c>
      <c r="N3103">
        <f t="shared" si="48"/>
        <v>1</v>
      </c>
    </row>
    <row r="3104" spans="1:14" x14ac:dyDescent="0.35">
      <c r="A3104" s="6" t="s">
        <v>3174</v>
      </c>
      <c r="B3104" s="19" t="s">
        <v>41</v>
      </c>
      <c r="C3104" s="19">
        <v>6</v>
      </c>
      <c r="D3104" s="20">
        <v>45825</v>
      </c>
      <c r="E3104" s="19" t="s">
        <v>20</v>
      </c>
      <c r="F3104" s="19" t="s">
        <v>8364</v>
      </c>
      <c r="G3104" s="19" t="s">
        <v>8364</v>
      </c>
      <c r="H3104" s="19" t="s">
        <v>8364</v>
      </c>
      <c r="I3104" s="19">
        <v>24</v>
      </c>
      <c r="J3104" s="19">
        <v>0</v>
      </c>
      <c r="K3104" s="19">
        <v>3</v>
      </c>
      <c r="L3104" s="19" t="s">
        <v>44</v>
      </c>
      <c r="M3104" s="21"/>
      <c r="N3104">
        <f t="shared" si="48"/>
        <v>1</v>
      </c>
    </row>
    <row r="3105" spans="1:14" x14ac:dyDescent="0.35">
      <c r="A3105" s="22" t="s">
        <v>3175</v>
      </c>
      <c r="B3105" s="23" t="s">
        <v>53</v>
      </c>
      <c r="C3105" s="23">
        <v>8</v>
      </c>
      <c r="D3105" s="24">
        <v>45899</v>
      </c>
      <c r="E3105" s="23" t="s">
        <v>13</v>
      </c>
      <c r="F3105" s="23" t="s">
        <v>43</v>
      </c>
      <c r="G3105" s="23" t="s">
        <v>21</v>
      </c>
      <c r="H3105" s="23" t="s">
        <v>22</v>
      </c>
      <c r="I3105" s="23">
        <v>8</v>
      </c>
      <c r="J3105" s="23">
        <v>0</v>
      </c>
      <c r="K3105" s="23"/>
      <c r="L3105" s="23" t="s">
        <v>33</v>
      </c>
      <c r="M3105" s="25">
        <v>7.4</v>
      </c>
      <c r="N3105">
        <f t="shared" si="48"/>
        <v>1</v>
      </c>
    </row>
    <row r="3106" spans="1:14" x14ac:dyDescent="0.35">
      <c r="A3106" s="6" t="s">
        <v>3176</v>
      </c>
      <c r="B3106" s="19" t="s">
        <v>53</v>
      </c>
      <c r="C3106" s="19">
        <v>3</v>
      </c>
      <c r="D3106" s="20">
        <v>45720</v>
      </c>
      <c r="E3106" s="19" t="s">
        <v>13</v>
      </c>
      <c r="F3106" s="19" t="s">
        <v>43</v>
      </c>
      <c r="G3106" s="19" t="s">
        <v>27</v>
      </c>
      <c r="H3106" s="19" t="s">
        <v>22</v>
      </c>
      <c r="I3106" s="19">
        <v>4</v>
      </c>
      <c r="J3106" s="19">
        <v>2</v>
      </c>
      <c r="K3106" s="19">
        <v>4</v>
      </c>
      <c r="L3106" s="19" t="s">
        <v>55</v>
      </c>
      <c r="M3106" s="21">
        <v>8.1999999999999993</v>
      </c>
      <c r="N3106">
        <f t="shared" si="48"/>
        <v>0</v>
      </c>
    </row>
    <row r="3107" spans="1:14" x14ac:dyDescent="0.35">
      <c r="A3107" s="22" t="s">
        <v>3177</v>
      </c>
      <c r="B3107" s="23" t="s">
        <v>99</v>
      </c>
      <c r="C3107" s="23">
        <v>7</v>
      </c>
      <c r="D3107" s="24">
        <v>45850</v>
      </c>
      <c r="E3107" s="23" t="s">
        <v>68</v>
      </c>
      <c r="F3107" s="23" t="s">
        <v>14</v>
      </c>
      <c r="G3107" s="23" t="s">
        <v>15</v>
      </c>
      <c r="H3107" s="23" t="s">
        <v>22</v>
      </c>
      <c r="I3107" s="23">
        <v>72</v>
      </c>
      <c r="J3107" s="23">
        <v>1</v>
      </c>
      <c r="K3107" s="23"/>
      <c r="L3107" s="23" t="s">
        <v>44</v>
      </c>
      <c r="M3107" s="25">
        <v>13</v>
      </c>
      <c r="N3107">
        <f t="shared" si="48"/>
        <v>1</v>
      </c>
    </row>
    <row r="3108" spans="1:14" x14ac:dyDescent="0.35">
      <c r="A3108" s="6" t="s">
        <v>3178</v>
      </c>
      <c r="B3108" s="19" t="s">
        <v>47</v>
      </c>
      <c r="C3108" s="19">
        <v>6</v>
      </c>
      <c r="D3108" s="20">
        <v>45812</v>
      </c>
      <c r="E3108" s="19" t="s">
        <v>36</v>
      </c>
      <c r="F3108" s="19" t="s">
        <v>8364</v>
      </c>
      <c r="G3108" s="19" t="s">
        <v>21</v>
      </c>
      <c r="H3108" s="19" t="s">
        <v>32</v>
      </c>
      <c r="I3108" s="19">
        <v>24</v>
      </c>
      <c r="J3108" s="19">
        <v>0</v>
      </c>
      <c r="K3108" s="19">
        <v>3</v>
      </c>
      <c r="L3108" s="19" t="s">
        <v>75</v>
      </c>
      <c r="M3108" s="21">
        <v>17.7</v>
      </c>
      <c r="N3108">
        <f t="shared" si="48"/>
        <v>1</v>
      </c>
    </row>
    <row r="3109" spans="1:14" x14ac:dyDescent="0.35">
      <c r="A3109" s="22" t="s">
        <v>3179</v>
      </c>
      <c r="B3109" s="23" t="s">
        <v>89</v>
      </c>
      <c r="C3109" s="23">
        <v>8</v>
      </c>
      <c r="D3109" s="24">
        <v>45883</v>
      </c>
      <c r="E3109" s="23" t="s">
        <v>20</v>
      </c>
      <c r="F3109" s="23" t="s">
        <v>43</v>
      </c>
      <c r="G3109" s="23" t="s">
        <v>27</v>
      </c>
      <c r="H3109" s="23" t="s">
        <v>22</v>
      </c>
      <c r="I3109" s="23">
        <v>48</v>
      </c>
      <c r="J3109" s="23">
        <v>0</v>
      </c>
      <c r="K3109" s="23">
        <v>4</v>
      </c>
      <c r="L3109" s="23" t="s">
        <v>17</v>
      </c>
      <c r="M3109" s="25">
        <v>10.6</v>
      </c>
      <c r="N3109">
        <f t="shared" si="48"/>
        <v>1</v>
      </c>
    </row>
    <row r="3110" spans="1:14" x14ac:dyDescent="0.35">
      <c r="A3110" s="6" t="s">
        <v>3180</v>
      </c>
      <c r="B3110" s="19" t="s">
        <v>92</v>
      </c>
      <c r="C3110" s="19">
        <v>3</v>
      </c>
      <c r="D3110" s="20">
        <v>45745</v>
      </c>
      <c r="E3110" s="19" t="s">
        <v>8364</v>
      </c>
      <c r="F3110" s="19" t="s">
        <v>26</v>
      </c>
      <c r="G3110" s="19" t="s">
        <v>15</v>
      </c>
      <c r="H3110" s="19" t="s">
        <v>22</v>
      </c>
      <c r="I3110" s="19">
        <v>4</v>
      </c>
      <c r="J3110" s="19">
        <v>0</v>
      </c>
      <c r="K3110" s="19">
        <v>5</v>
      </c>
      <c r="L3110" s="19" t="s">
        <v>55</v>
      </c>
      <c r="M3110" s="21">
        <v>1.7</v>
      </c>
      <c r="N3110">
        <f t="shared" si="48"/>
        <v>1</v>
      </c>
    </row>
    <row r="3111" spans="1:14" x14ac:dyDescent="0.35">
      <c r="A3111" s="22" t="s">
        <v>3181</v>
      </c>
      <c r="B3111" s="23" t="s">
        <v>47</v>
      </c>
      <c r="C3111" s="23">
        <v>6</v>
      </c>
      <c r="D3111" s="24">
        <v>45809</v>
      </c>
      <c r="E3111" s="23" t="s">
        <v>20</v>
      </c>
      <c r="F3111" s="23" t="s">
        <v>8364</v>
      </c>
      <c r="G3111" s="23" t="s">
        <v>31</v>
      </c>
      <c r="H3111" s="23" t="s">
        <v>16</v>
      </c>
      <c r="I3111" s="23">
        <v>48</v>
      </c>
      <c r="J3111" s="23">
        <v>0</v>
      </c>
      <c r="K3111" s="23">
        <v>4</v>
      </c>
      <c r="L3111" s="23" t="s">
        <v>33</v>
      </c>
      <c r="M3111" s="25">
        <v>13.3</v>
      </c>
      <c r="N3111">
        <f t="shared" si="48"/>
        <v>1</v>
      </c>
    </row>
    <row r="3112" spans="1:14" x14ac:dyDescent="0.35">
      <c r="A3112" s="6" t="s">
        <v>3182</v>
      </c>
      <c r="B3112" s="19" t="s">
        <v>57</v>
      </c>
      <c r="C3112" s="19">
        <v>10</v>
      </c>
      <c r="D3112" s="20">
        <v>45939</v>
      </c>
      <c r="E3112" s="19" t="s">
        <v>20</v>
      </c>
      <c r="F3112" s="19" t="s">
        <v>37</v>
      </c>
      <c r="G3112" s="19" t="s">
        <v>31</v>
      </c>
      <c r="H3112" s="19" t="s">
        <v>32</v>
      </c>
      <c r="I3112" s="19">
        <v>4</v>
      </c>
      <c r="J3112" s="19">
        <v>0</v>
      </c>
      <c r="K3112" s="19">
        <v>5</v>
      </c>
      <c r="L3112" s="19" t="s">
        <v>38</v>
      </c>
      <c r="M3112" s="21">
        <v>21.6</v>
      </c>
      <c r="N3112">
        <f t="shared" si="48"/>
        <v>0</v>
      </c>
    </row>
    <row r="3113" spans="1:14" x14ac:dyDescent="0.35">
      <c r="A3113" s="22" t="s">
        <v>3183</v>
      </c>
      <c r="B3113" s="23" t="s">
        <v>72</v>
      </c>
      <c r="C3113" s="23">
        <v>7</v>
      </c>
      <c r="D3113" s="24">
        <v>45848</v>
      </c>
      <c r="E3113" s="23" t="s">
        <v>8364</v>
      </c>
      <c r="F3113" s="23" t="s">
        <v>8364</v>
      </c>
      <c r="G3113" s="23" t="s">
        <v>27</v>
      </c>
      <c r="H3113" s="23" t="s">
        <v>28</v>
      </c>
      <c r="I3113" s="23">
        <v>48</v>
      </c>
      <c r="J3113" s="23">
        <v>0</v>
      </c>
      <c r="K3113" s="23">
        <v>5</v>
      </c>
      <c r="L3113" s="23" t="s">
        <v>55</v>
      </c>
      <c r="M3113" s="25">
        <v>8.3000000000000007</v>
      </c>
      <c r="N3113">
        <f t="shared" si="48"/>
        <v>1</v>
      </c>
    </row>
    <row r="3114" spans="1:14" x14ac:dyDescent="0.35">
      <c r="A3114" s="6" t="s">
        <v>3184</v>
      </c>
      <c r="B3114" s="19" t="s">
        <v>18</v>
      </c>
      <c r="C3114" s="19">
        <v>6</v>
      </c>
      <c r="D3114" s="20">
        <v>45818</v>
      </c>
      <c r="E3114" s="19" t="s">
        <v>20</v>
      </c>
      <c r="F3114" s="19" t="s">
        <v>37</v>
      </c>
      <c r="G3114" s="19" t="s">
        <v>27</v>
      </c>
      <c r="H3114" s="19" t="s">
        <v>8364</v>
      </c>
      <c r="I3114" s="19">
        <v>48</v>
      </c>
      <c r="J3114" s="19">
        <v>1</v>
      </c>
      <c r="K3114" s="19">
        <v>5</v>
      </c>
      <c r="L3114" s="19" t="s">
        <v>8363</v>
      </c>
      <c r="M3114" s="21">
        <v>9.4</v>
      </c>
      <c r="N3114">
        <f t="shared" si="48"/>
        <v>1</v>
      </c>
    </row>
    <row r="3115" spans="1:14" x14ac:dyDescent="0.35">
      <c r="A3115" s="22" t="s">
        <v>3185</v>
      </c>
      <c r="B3115" s="23" t="s">
        <v>65</v>
      </c>
      <c r="C3115" s="23">
        <v>7</v>
      </c>
      <c r="D3115" s="24">
        <v>45843</v>
      </c>
      <c r="E3115" s="23" t="s">
        <v>25</v>
      </c>
      <c r="F3115" s="23" t="s">
        <v>37</v>
      </c>
      <c r="G3115" s="23" t="s">
        <v>8364</v>
      </c>
      <c r="H3115" s="23" t="s">
        <v>22</v>
      </c>
      <c r="I3115" s="23">
        <v>24</v>
      </c>
      <c r="J3115" s="23">
        <v>0</v>
      </c>
      <c r="K3115" s="23">
        <v>5</v>
      </c>
      <c r="L3115" s="23" t="s">
        <v>17</v>
      </c>
      <c r="M3115" s="25">
        <v>11.3</v>
      </c>
      <c r="N3115">
        <f t="shared" si="48"/>
        <v>1</v>
      </c>
    </row>
    <row r="3116" spans="1:14" x14ac:dyDescent="0.35">
      <c r="A3116" s="6" t="s">
        <v>3186</v>
      </c>
      <c r="B3116" s="19" t="s">
        <v>51</v>
      </c>
      <c r="C3116" s="19">
        <v>6</v>
      </c>
      <c r="D3116" s="20">
        <v>45815</v>
      </c>
      <c r="E3116" s="19" t="s">
        <v>36</v>
      </c>
      <c r="F3116" s="19" t="s">
        <v>59</v>
      </c>
      <c r="G3116" s="19" t="s">
        <v>31</v>
      </c>
      <c r="H3116" s="19" t="s">
        <v>22</v>
      </c>
      <c r="I3116" s="19">
        <v>72</v>
      </c>
      <c r="J3116" s="19">
        <v>0</v>
      </c>
      <c r="K3116" s="19">
        <v>4</v>
      </c>
      <c r="L3116" s="19" t="s">
        <v>38</v>
      </c>
      <c r="M3116" s="21">
        <v>18.5</v>
      </c>
      <c r="N3116">
        <f t="shared" si="48"/>
        <v>1</v>
      </c>
    </row>
    <row r="3117" spans="1:14" x14ac:dyDescent="0.35">
      <c r="A3117" s="22" t="s">
        <v>3187</v>
      </c>
      <c r="B3117" s="23" t="s">
        <v>143</v>
      </c>
      <c r="C3117" s="23">
        <v>4</v>
      </c>
      <c r="D3117" s="24">
        <v>45768</v>
      </c>
      <c r="E3117" s="23" t="s">
        <v>8364</v>
      </c>
      <c r="F3117" s="23" t="s">
        <v>14</v>
      </c>
      <c r="G3117" s="23" t="s">
        <v>15</v>
      </c>
      <c r="H3117" s="23" t="s">
        <v>8364</v>
      </c>
      <c r="I3117" s="23">
        <v>8</v>
      </c>
      <c r="J3117" s="23">
        <v>0</v>
      </c>
      <c r="K3117" s="23">
        <v>3</v>
      </c>
      <c r="L3117" s="23" t="s">
        <v>8363</v>
      </c>
      <c r="M3117" s="25">
        <v>4.5999999999999996</v>
      </c>
      <c r="N3117">
        <f t="shared" si="48"/>
        <v>1</v>
      </c>
    </row>
    <row r="3118" spans="1:14" x14ac:dyDescent="0.35">
      <c r="A3118" s="6" t="s">
        <v>3188</v>
      </c>
      <c r="B3118" s="19" t="s">
        <v>92</v>
      </c>
      <c r="C3118" s="19">
        <v>8</v>
      </c>
      <c r="D3118" s="20">
        <v>45877</v>
      </c>
      <c r="E3118" s="19" t="s">
        <v>13</v>
      </c>
      <c r="F3118" s="19" t="s">
        <v>14</v>
      </c>
      <c r="G3118" s="19" t="s">
        <v>15</v>
      </c>
      <c r="H3118" s="19" t="s">
        <v>28</v>
      </c>
      <c r="I3118" s="19">
        <v>72</v>
      </c>
      <c r="J3118" s="19">
        <v>0</v>
      </c>
      <c r="K3118" s="19">
        <v>5</v>
      </c>
      <c r="L3118" s="19" t="s">
        <v>8363</v>
      </c>
      <c r="M3118" s="21">
        <v>13</v>
      </c>
      <c r="N3118">
        <f t="shared" si="48"/>
        <v>1</v>
      </c>
    </row>
    <row r="3119" spans="1:14" x14ac:dyDescent="0.35">
      <c r="A3119" s="22" t="s">
        <v>3189</v>
      </c>
      <c r="B3119" s="23" t="s">
        <v>236</v>
      </c>
      <c r="C3119" s="23">
        <v>6</v>
      </c>
      <c r="D3119" s="24">
        <v>45837</v>
      </c>
      <c r="E3119" s="23" t="s">
        <v>13</v>
      </c>
      <c r="F3119" s="23" t="s">
        <v>26</v>
      </c>
      <c r="G3119" s="23" t="s">
        <v>31</v>
      </c>
      <c r="H3119" s="23" t="s">
        <v>28</v>
      </c>
      <c r="I3119" s="23">
        <v>4</v>
      </c>
      <c r="J3119" s="23">
        <v>0</v>
      </c>
      <c r="K3119" s="23">
        <v>5</v>
      </c>
      <c r="L3119" s="23" t="s">
        <v>75</v>
      </c>
      <c r="M3119" s="25">
        <v>2</v>
      </c>
      <c r="N3119">
        <f t="shared" si="48"/>
        <v>1</v>
      </c>
    </row>
    <row r="3120" spans="1:14" x14ac:dyDescent="0.35">
      <c r="A3120" s="6" t="s">
        <v>3190</v>
      </c>
      <c r="B3120" s="19" t="s">
        <v>69</v>
      </c>
      <c r="C3120" s="19">
        <v>4</v>
      </c>
      <c r="D3120" s="20">
        <v>45773</v>
      </c>
      <c r="E3120" s="19" t="s">
        <v>25</v>
      </c>
      <c r="F3120" s="19" t="s">
        <v>43</v>
      </c>
      <c r="G3120" s="19" t="s">
        <v>21</v>
      </c>
      <c r="H3120" s="19" t="s">
        <v>22</v>
      </c>
      <c r="I3120" s="19">
        <v>8</v>
      </c>
      <c r="J3120" s="19">
        <v>0</v>
      </c>
      <c r="K3120" s="19">
        <v>5</v>
      </c>
      <c r="L3120" s="19" t="s">
        <v>55</v>
      </c>
      <c r="M3120" s="21">
        <v>23.7</v>
      </c>
      <c r="N3120">
        <f t="shared" si="48"/>
        <v>0</v>
      </c>
    </row>
    <row r="3121" spans="1:14" x14ac:dyDescent="0.35">
      <c r="A3121" s="22" t="s">
        <v>3191</v>
      </c>
      <c r="B3121" s="23" t="s">
        <v>104</v>
      </c>
      <c r="C3121" s="23">
        <v>4</v>
      </c>
      <c r="D3121" s="24">
        <v>45754</v>
      </c>
      <c r="E3121" s="23" t="s">
        <v>8364</v>
      </c>
      <c r="F3121" s="23" t="s">
        <v>37</v>
      </c>
      <c r="G3121" s="23" t="s">
        <v>27</v>
      </c>
      <c r="H3121" s="23" t="s">
        <v>22</v>
      </c>
      <c r="I3121" s="23">
        <v>48</v>
      </c>
      <c r="J3121" s="23">
        <v>2</v>
      </c>
      <c r="K3121" s="23">
        <v>4</v>
      </c>
      <c r="L3121" s="23" t="s">
        <v>38</v>
      </c>
      <c r="M3121" s="25"/>
      <c r="N3121">
        <f t="shared" si="48"/>
        <v>1</v>
      </c>
    </row>
    <row r="3122" spans="1:14" x14ac:dyDescent="0.35">
      <c r="A3122" s="6" t="s">
        <v>3192</v>
      </c>
      <c r="B3122" s="19" t="s">
        <v>39</v>
      </c>
      <c r="C3122" s="19">
        <v>4</v>
      </c>
      <c r="D3122" s="20">
        <v>45765</v>
      </c>
      <c r="E3122" s="19" t="s">
        <v>8364</v>
      </c>
      <c r="F3122" s="19" t="s">
        <v>43</v>
      </c>
      <c r="G3122" s="19" t="s">
        <v>31</v>
      </c>
      <c r="H3122" s="19" t="s">
        <v>8364</v>
      </c>
      <c r="I3122" s="19">
        <v>48</v>
      </c>
      <c r="J3122" s="19">
        <v>0</v>
      </c>
      <c r="K3122" s="19"/>
      <c r="L3122" s="19" t="s">
        <v>38</v>
      </c>
      <c r="M3122" s="21">
        <v>1.8</v>
      </c>
      <c r="N3122">
        <f t="shared" si="48"/>
        <v>1</v>
      </c>
    </row>
    <row r="3123" spans="1:14" x14ac:dyDescent="0.35">
      <c r="A3123" s="22" t="s">
        <v>3193</v>
      </c>
      <c r="B3123" s="23" t="s">
        <v>45</v>
      </c>
      <c r="C3123" s="23"/>
      <c r="D3123" s="24"/>
      <c r="E3123" s="23" t="s">
        <v>25</v>
      </c>
      <c r="F3123" s="23" t="s">
        <v>8364</v>
      </c>
      <c r="G3123" s="23" t="s">
        <v>27</v>
      </c>
      <c r="H3123" s="23" t="s">
        <v>32</v>
      </c>
      <c r="I3123" s="23">
        <v>48</v>
      </c>
      <c r="J3123" s="23">
        <v>0</v>
      </c>
      <c r="K3123" s="23">
        <v>5</v>
      </c>
      <c r="L3123" s="23" t="s">
        <v>38</v>
      </c>
      <c r="M3123" s="25">
        <v>6.4</v>
      </c>
      <c r="N3123">
        <f t="shared" si="48"/>
        <v>1</v>
      </c>
    </row>
    <row r="3124" spans="1:14" x14ac:dyDescent="0.35">
      <c r="A3124" s="6" t="s">
        <v>3194</v>
      </c>
      <c r="B3124" s="19" t="s">
        <v>81</v>
      </c>
      <c r="C3124" s="19">
        <v>11</v>
      </c>
      <c r="D3124" s="20">
        <v>45979</v>
      </c>
      <c r="E3124" s="19" t="s">
        <v>25</v>
      </c>
      <c r="F3124" s="19" t="s">
        <v>14</v>
      </c>
      <c r="G3124" s="19" t="s">
        <v>8364</v>
      </c>
      <c r="H3124" s="19" t="s">
        <v>32</v>
      </c>
      <c r="I3124" s="19">
        <v>24</v>
      </c>
      <c r="J3124" s="19">
        <v>0</v>
      </c>
      <c r="K3124" s="19">
        <v>2</v>
      </c>
      <c r="L3124" s="19" t="s">
        <v>38</v>
      </c>
      <c r="M3124" s="21"/>
      <c r="N3124">
        <f t="shared" si="48"/>
        <v>1</v>
      </c>
    </row>
    <row r="3125" spans="1:14" x14ac:dyDescent="0.35">
      <c r="A3125" s="22" t="s">
        <v>3195</v>
      </c>
      <c r="B3125" s="23" t="s">
        <v>47</v>
      </c>
      <c r="C3125" s="23">
        <v>5</v>
      </c>
      <c r="D3125" s="24">
        <v>45781</v>
      </c>
      <c r="E3125" s="23" t="s">
        <v>8364</v>
      </c>
      <c r="F3125" s="23" t="s">
        <v>8364</v>
      </c>
      <c r="G3125" s="23" t="s">
        <v>31</v>
      </c>
      <c r="H3125" s="23" t="s">
        <v>16</v>
      </c>
      <c r="I3125" s="23">
        <v>8</v>
      </c>
      <c r="J3125" s="23">
        <v>1</v>
      </c>
      <c r="K3125" s="23">
        <v>5</v>
      </c>
      <c r="L3125" s="23" t="s">
        <v>55</v>
      </c>
      <c r="M3125" s="25">
        <v>25.9</v>
      </c>
      <c r="N3125">
        <f t="shared" si="48"/>
        <v>0</v>
      </c>
    </row>
    <row r="3126" spans="1:14" x14ac:dyDescent="0.35">
      <c r="A3126" s="6" t="s">
        <v>3196</v>
      </c>
      <c r="B3126" s="19" t="s">
        <v>143</v>
      </c>
      <c r="C3126" s="19">
        <v>10</v>
      </c>
      <c r="D3126" s="20">
        <v>45955</v>
      </c>
      <c r="E3126" s="19" t="s">
        <v>13</v>
      </c>
      <c r="F3126" s="19" t="s">
        <v>14</v>
      </c>
      <c r="G3126" s="19" t="s">
        <v>31</v>
      </c>
      <c r="H3126" s="19" t="s">
        <v>22</v>
      </c>
      <c r="I3126" s="19">
        <v>72</v>
      </c>
      <c r="J3126" s="19">
        <v>0</v>
      </c>
      <c r="K3126" s="19">
        <v>1</v>
      </c>
      <c r="L3126" s="19" t="s">
        <v>44</v>
      </c>
      <c r="M3126" s="21">
        <v>23.8</v>
      </c>
      <c r="N3126">
        <f t="shared" si="48"/>
        <v>1</v>
      </c>
    </row>
    <row r="3127" spans="1:14" x14ac:dyDescent="0.35">
      <c r="A3127" s="22" t="s">
        <v>3197</v>
      </c>
      <c r="B3127" s="23" t="s">
        <v>39</v>
      </c>
      <c r="C3127" s="23">
        <v>4</v>
      </c>
      <c r="D3127" s="24">
        <v>45776</v>
      </c>
      <c r="E3127" s="23" t="s">
        <v>25</v>
      </c>
      <c r="F3127" s="23" t="s">
        <v>14</v>
      </c>
      <c r="G3127" s="23" t="s">
        <v>27</v>
      </c>
      <c r="H3127" s="23" t="s">
        <v>16</v>
      </c>
      <c r="I3127" s="23">
        <v>72</v>
      </c>
      <c r="J3127" s="23">
        <v>0</v>
      </c>
      <c r="K3127" s="23">
        <v>5</v>
      </c>
      <c r="L3127" s="23" t="s">
        <v>62</v>
      </c>
      <c r="M3127" s="25">
        <v>27.4</v>
      </c>
      <c r="N3127">
        <f t="shared" si="48"/>
        <v>1</v>
      </c>
    </row>
    <row r="3128" spans="1:14" x14ac:dyDescent="0.35">
      <c r="A3128" s="6" t="s">
        <v>3198</v>
      </c>
      <c r="B3128" s="19" t="s">
        <v>34</v>
      </c>
      <c r="C3128" s="19">
        <v>7</v>
      </c>
      <c r="D3128" s="20">
        <v>45850</v>
      </c>
      <c r="E3128" s="19" t="s">
        <v>13</v>
      </c>
      <c r="F3128" s="19" t="s">
        <v>14</v>
      </c>
      <c r="G3128" s="19" t="s">
        <v>21</v>
      </c>
      <c r="H3128" s="19" t="s">
        <v>32</v>
      </c>
      <c r="I3128" s="19">
        <v>24</v>
      </c>
      <c r="J3128" s="19">
        <v>0</v>
      </c>
      <c r="K3128" s="19">
        <v>5</v>
      </c>
      <c r="L3128" s="19" t="s">
        <v>8363</v>
      </c>
      <c r="M3128" s="21">
        <v>17.3</v>
      </c>
      <c r="N3128">
        <f t="shared" si="48"/>
        <v>1</v>
      </c>
    </row>
    <row r="3129" spans="1:14" x14ac:dyDescent="0.35">
      <c r="A3129" s="22" t="s">
        <v>3199</v>
      </c>
      <c r="B3129" s="23" t="s">
        <v>41</v>
      </c>
      <c r="C3129" s="23">
        <v>6</v>
      </c>
      <c r="D3129" s="24">
        <v>45814</v>
      </c>
      <c r="E3129" s="23" t="s">
        <v>25</v>
      </c>
      <c r="F3129" s="23" t="s">
        <v>59</v>
      </c>
      <c r="G3129" s="23" t="s">
        <v>27</v>
      </c>
      <c r="H3129" s="23" t="s">
        <v>22</v>
      </c>
      <c r="I3129" s="23">
        <v>8</v>
      </c>
      <c r="J3129" s="23">
        <v>0</v>
      </c>
      <c r="K3129" s="23">
        <v>4</v>
      </c>
      <c r="L3129" s="23" t="s">
        <v>75</v>
      </c>
      <c r="M3129" s="25">
        <v>4.0999999999999996</v>
      </c>
      <c r="N3129">
        <f t="shared" si="48"/>
        <v>1</v>
      </c>
    </row>
    <row r="3130" spans="1:14" x14ac:dyDescent="0.35">
      <c r="A3130" s="6" t="s">
        <v>3200</v>
      </c>
      <c r="B3130" s="19" t="s">
        <v>41</v>
      </c>
      <c r="C3130" s="19">
        <v>1</v>
      </c>
      <c r="D3130" s="20">
        <v>45668</v>
      </c>
      <c r="E3130" s="19" t="s">
        <v>8364</v>
      </c>
      <c r="F3130" s="19" t="s">
        <v>26</v>
      </c>
      <c r="G3130" s="19" t="s">
        <v>27</v>
      </c>
      <c r="H3130" s="19" t="s">
        <v>22</v>
      </c>
      <c r="I3130" s="19">
        <v>24</v>
      </c>
      <c r="J3130" s="19">
        <v>0</v>
      </c>
      <c r="K3130" s="19">
        <v>5</v>
      </c>
      <c r="L3130" s="19" t="s">
        <v>62</v>
      </c>
      <c r="M3130" s="21">
        <v>21</v>
      </c>
      <c r="N3130">
        <f t="shared" si="48"/>
        <v>1</v>
      </c>
    </row>
    <row r="3131" spans="1:14" x14ac:dyDescent="0.35">
      <c r="A3131" s="22" t="s">
        <v>3201</v>
      </c>
      <c r="B3131" s="23" t="s">
        <v>47</v>
      </c>
      <c r="C3131" s="23">
        <v>8</v>
      </c>
      <c r="D3131" s="24">
        <v>45889</v>
      </c>
      <c r="E3131" s="23" t="s">
        <v>13</v>
      </c>
      <c r="F3131" s="23" t="s">
        <v>26</v>
      </c>
      <c r="G3131" s="23" t="s">
        <v>27</v>
      </c>
      <c r="H3131" s="23" t="s">
        <v>32</v>
      </c>
      <c r="I3131" s="23">
        <v>72</v>
      </c>
      <c r="J3131" s="23">
        <v>0</v>
      </c>
      <c r="K3131" s="23">
        <v>4</v>
      </c>
      <c r="L3131" s="23" t="s">
        <v>8363</v>
      </c>
      <c r="M3131" s="25">
        <v>21.3</v>
      </c>
      <c r="N3131">
        <f t="shared" si="48"/>
        <v>1</v>
      </c>
    </row>
    <row r="3132" spans="1:14" x14ac:dyDescent="0.35">
      <c r="A3132" s="6" t="s">
        <v>3202</v>
      </c>
      <c r="B3132" s="19" t="s">
        <v>99</v>
      </c>
      <c r="C3132" s="19"/>
      <c r="D3132" s="20"/>
      <c r="E3132" s="19" t="s">
        <v>25</v>
      </c>
      <c r="F3132" s="19" t="s">
        <v>14</v>
      </c>
      <c r="G3132" s="19" t="s">
        <v>31</v>
      </c>
      <c r="H3132" s="19" t="s">
        <v>22</v>
      </c>
      <c r="I3132" s="19">
        <v>4</v>
      </c>
      <c r="J3132" s="19">
        <v>0</v>
      </c>
      <c r="K3132" s="19">
        <v>3</v>
      </c>
      <c r="L3132" s="19" t="s">
        <v>44</v>
      </c>
      <c r="M3132" s="21">
        <v>16.7</v>
      </c>
      <c r="N3132">
        <f t="shared" si="48"/>
        <v>0</v>
      </c>
    </row>
    <row r="3133" spans="1:14" x14ac:dyDescent="0.35">
      <c r="A3133" s="22" t="s">
        <v>3203</v>
      </c>
      <c r="B3133" s="23" t="s">
        <v>97</v>
      </c>
      <c r="C3133" s="23">
        <v>6</v>
      </c>
      <c r="D3133" s="24">
        <v>45809</v>
      </c>
      <c r="E3133" s="23" t="s">
        <v>36</v>
      </c>
      <c r="F3133" s="23" t="s">
        <v>14</v>
      </c>
      <c r="G3133" s="23" t="s">
        <v>8364</v>
      </c>
      <c r="H3133" s="23" t="s">
        <v>16</v>
      </c>
      <c r="I3133" s="23">
        <v>72</v>
      </c>
      <c r="J3133" s="23">
        <v>0</v>
      </c>
      <c r="K3133" s="23">
        <v>4</v>
      </c>
      <c r="L3133" s="23" t="s">
        <v>75</v>
      </c>
      <c r="M3133" s="25">
        <v>10</v>
      </c>
      <c r="N3133">
        <f t="shared" si="48"/>
        <v>1</v>
      </c>
    </row>
    <row r="3134" spans="1:14" x14ac:dyDescent="0.35">
      <c r="A3134" s="6" t="s">
        <v>3204</v>
      </c>
      <c r="B3134" s="19" t="s">
        <v>18</v>
      </c>
      <c r="C3134" s="19">
        <v>9</v>
      </c>
      <c r="D3134" s="20">
        <v>45918</v>
      </c>
      <c r="E3134" s="19" t="s">
        <v>13</v>
      </c>
      <c r="F3134" s="19" t="s">
        <v>40</v>
      </c>
      <c r="G3134" s="19" t="s">
        <v>8364</v>
      </c>
      <c r="H3134" s="19" t="s">
        <v>16</v>
      </c>
      <c r="I3134" s="19">
        <v>8</v>
      </c>
      <c r="J3134" s="19">
        <v>0</v>
      </c>
      <c r="K3134" s="19">
        <v>3</v>
      </c>
      <c r="L3134" s="19" t="s">
        <v>62</v>
      </c>
      <c r="M3134" s="21">
        <v>19.600000000000001</v>
      </c>
      <c r="N3134">
        <f t="shared" si="48"/>
        <v>0</v>
      </c>
    </row>
    <row r="3135" spans="1:14" x14ac:dyDescent="0.35">
      <c r="A3135" s="22" t="s">
        <v>3205</v>
      </c>
      <c r="B3135" s="23" t="s">
        <v>47</v>
      </c>
      <c r="C3135" s="23">
        <v>1</v>
      </c>
      <c r="D3135" s="24">
        <v>45672</v>
      </c>
      <c r="E3135" s="23" t="s">
        <v>8364</v>
      </c>
      <c r="F3135" s="23" t="s">
        <v>26</v>
      </c>
      <c r="G3135" s="23" t="s">
        <v>27</v>
      </c>
      <c r="H3135" s="23" t="s">
        <v>32</v>
      </c>
      <c r="I3135" s="23">
        <v>8</v>
      </c>
      <c r="J3135" s="23">
        <v>1</v>
      </c>
      <c r="K3135" s="23">
        <v>5</v>
      </c>
      <c r="L3135" s="23" t="s">
        <v>62</v>
      </c>
      <c r="M3135" s="25">
        <v>35.1</v>
      </c>
      <c r="N3135">
        <f t="shared" si="48"/>
        <v>0</v>
      </c>
    </row>
    <row r="3136" spans="1:14" x14ac:dyDescent="0.35">
      <c r="A3136" s="6" t="s">
        <v>3206</v>
      </c>
      <c r="B3136" s="19" t="s">
        <v>47</v>
      </c>
      <c r="C3136" s="19">
        <v>3</v>
      </c>
      <c r="D3136" s="20">
        <v>45720</v>
      </c>
      <c r="E3136" s="19" t="s">
        <v>20</v>
      </c>
      <c r="F3136" s="19" t="s">
        <v>37</v>
      </c>
      <c r="G3136" s="19" t="s">
        <v>8364</v>
      </c>
      <c r="H3136" s="19" t="s">
        <v>22</v>
      </c>
      <c r="I3136" s="19">
        <v>8</v>
      </c>
      <c r="J3136" s="19">
        <v>0</v>
      </c>
      <c r="K3136" s="19">
        <v>5</v>
      </c>
      <c r="L3136" s="19" t="s">
        <v>44</v>
      </c>
      <c r="M3136" s="21"/>
      <c r="N3136">
        <f t="shared" si="48"/>
        <v>1</v>
      </c>
    </row>
    <row r="3137" spans="1:14" x14ac:dyDescent="0.35">
      <c r="A3137" s="22" t="s">
        <v>3207</v>
      </c>
      <c r="B3137" s="23" t="s">
        <v>47</v>
      </c>
      <c r="C3137" s="23">
        <v>10</v>
      </c>
      <c r="D3137" s="24">
        <v>45936</v>
      </c>
      <c r="E3137" s="23" t="s">
        <v>8364</v>
      </c>
      <c r="F3137" s="23" t="s">
        <v>14</v>
      </c>
      <c r="G3137" s="23" t="s">
        <v>31</v>
      </c>
      <c r="H3137" s="23" t="s">
        <v>28</v>
      </c>
      <c r="I3137" s="23">
        <v>8</v>
      </c>
      <c r="J3137" s="23">
        <v>0</v>
      </c>
      <c r="K3137" s="23">
        <v>5</v>
      </c>
      <c r="L3137" s="23" t="s">
        <v>33</v>
      </c>
      <c r="M3137" s="25">
        <v>4.5999999999999996</v>
      </c>
      <c r="N3137">
        <f t="shared" si="48"/>
        <v>1</v>
      </c>
    </row>
    <row r="3138" spans="1:14" x14ac:dyDescent="0.35">
      <c r="A3138" s="6" t="s">
        <v>3208</v>
      </c>
      <c r="B3138" s="19" t="s">
        <v>41</v>
      </c>
      <c r="C3138" s="19">
        <v>12</v>
      </c>
      <c r="D3138" s="20">
        <v>46016</v>
      </c>
      <c r="E3138" s="19" t="s">
        <v>25</v>
      </c>
      <c r="F3138" s="19" t="s">
        <v>37</v>
      </c>
      <c r="G3138" s="19" t="s">
        <v>27</v>
      </c>
      <c r="H3138" s="19" t="s">
        <v>22</v>
      </c>
      <c r="I3138" s="19">
        <v>8</v>
      </c>
      <c r="J3138" s="19">
        <v>0</v>
      </c>
      <c r="K3138" s="19">
        <v>2</v>
      </c>
      <c r="L3138" s="19" t="s">
        <v>8363</v>
      </c>
      <c r="M3138" s="21">
        <v>4.8</v>
      </c>
      <c r="N3138">
        <f t="shared" si="48"/>
        <v>1</v>
      </c>
    </row>
    <row r="3139" spans="1:14" x14ac:dyDescent="0.35">
      <c r="A3139" s="22" t="s">
        <v>3209</v>
      </c>
      <c r="B3139" s="23" t="s">
        <v>69</v>
      </c>
      <c r="C3139" s="23">
        <v>3</v>
      </c>
      <c r="D3139" s="24">
        <v>45737</v>
      </c>
      <c r="E3139" s="23" t="s">
        <v>13</v>
      </c>
      <c r="F3139" s="23" t="s">
        <v>14</v>
      </c>
      <c r="G3139" s="23" t="s">
        <v>27</v>
      </c>
      <c r="H3139" s="23" t="s">
        <v>8364</v>
      </c>
      <c r="I3139" s="23">
        <v>8</v>
      </c>
      <c r="J3139" s="23">
        <v>3</v>
      </c>
      <c r="K3139" s="23">
        <v>5</v>
      </c>
      <c r="L3139" s="23" t="s">
        <v>8363</v>
      </c>
      <c r="M3139" s="25">
        <v>2.8</v>
      </c>
      <c r="N3139">
        <f t="shared" ref="N3139:N3202" si="49">IF(M3139 &lt;= I3139, 1, 0)</f>
        <v>1</v>
      </c>
    </row>
    <row r="3140" spans="1:14" x14ac:dyDescent="0.35">
      <c r="A3140" s="6" t="s">
        <v>3210</v>
      </c>
      <c r="B3140" s="19" t="s">
        <v>89</v>
      </c>
      <c r="C3140" s="19">
        <v>3</v>
      </c>
      <c r="D3140" s="20">
        <v>45747</v>
      </c>
      <c r="E3140" s="19" t="s">
        <v>36</v>
      </c>
      <c r="F3140" s="19" t="s">
        <v>37</v>
      </c>
      <c r="G3140" s="19" t="s">
        <v>27</v>
      </c>
      <c r="H3140" s="19" t="s">
        <v>32</v>
      </c>
      <c r="I3140" s="19">
        <v>48</v>
      </c>
      <c r="J3140" s="19">
        <v>0</v>
      </c>
      <c r="K3140" s="19">
        <v>4</v>
      </c>
      <c r="L3140" s="19" t="s">
        <v>38</v>
      </c>
      <c r="M3140" s="21">
        <v>5.7</v>
      </c>
      <c r="N3140">
        <f t="shared" si="49"/>
        <v>1</v>
      </c>
    </row>
    <row r="3141" spans="1:14" x14ac:dyDescent="0.35">
      <c r="A3141" s="22" t="s">
        <v>3211</v>
      </c>
      <c r="B3141" s="23" t="s">
        <v>53</v>
      </c>
      <c r="C3141" s="23"/>
      <c r="D3141" s="24"/>
      <c r="E3141" s="23" t="s">
        <v>68</v>
      </c>
      <c r="F3141" s="23" t="s">
        <v>14</v>
      </c>
      <c r="G3141" s="23" t="s">
        <v>31</v>
      </c>
      <c r="H3141" s="23" t="s">
        <v>28</v>
      </c>
      <c r="I3141" s="23">
        <v>8</v>
      </c>
      <c r="J3141" s="23">
        <v>0</v>
      </c>
      <c r="K3141" s="23">
        <v>2</v>
      </c>
      <c r="L3141" s="23" t="s">
        <v>44</v>
      </c>
      <c r="M3141" s="25">
        <v>2.5</v>
      </c>
      <c r="N3141">
        <f t="shared" si="49"/>
        <v>1</v>
      </c>
    </row>
    <row r="3142" spans="1:14" x14ac:dyDescent="0.35">
      <c r="A3142" s="6" t="s">
        <v>3212</v>
      </c>
      <c r="B3142" s="19" t="s">
        <v>97</v>
      </c>
      <c r="C3142" s="19">
        <v>10</v>
      </c>
      <c r="D3142" s="20">
        <v>45953</v>
      </c>
      <c r="E3142" s="19" t="s">
        <v>13</v>
      </c>
      <c r="F3142" s="19" t="s">
        <v>37</v>
      </c>
      <c r="G3142" s="19" t="s">
        <v>27</v>
      </c>
      <c r="H3142" s="19" t="s">
        <v>22</v>
      </c>
      <c r="I3142" s="19">
        <v>72</v>
      </c>
      <c r="J3142" s="19"/>
      <c r="K3142" s="19">
        <v>4</v>
      </c>
      <c r="L3142" s="19" t="s">
        <v>44</v>
      </c>
      <c r="M3142" s="21">
        <v>11</v>
      </c>
      <c r="N3142">
        <f t="shared" si="49"/>
        <v>1</v>
      </c>
    </row>
    <row r="3143" spans="1:14" x14ac:dyDescent="0.35">
      <c r="A3143" s="22" t="s">
        <v>3213</v>
      </c>
      <c r="B3143" s="23" t="s">
        <v>65</v>
      </c>
      <c r="C3143" s="23">
        <v>2</v>
      </c>
      <c r="D3143" s="24">
        <v>45707</v>
      </c>
      <c r="E3143" s="23" t="s">
        <v>68</v>
      </c>
      <c r="F3143" s="23" t="s">
        <v>14</v>
      </c>
      <c r="G3143" s="23" t="s">
        <v>21</v>
      </c>
      <c r="H3143" s="23" t="s">
        <v>8364</v>
      </c>
      <c r="I3143" s="23">
        <v>24</v>
      </c>
      <c r="J3143" s="23">
        <v>0</v>
      </c>
      <c r="K3143" s="23">
        <v>4</v>
      </c>
      <c r="L3143" s="23" t="s">
        <v>75</v>
      </c>
      <c r="M3143" s="25">
        <v>13.6</v>
      </c>
      <c r="N3143">
        <f t="shared" si="49"/>
        <v>1</v>
      </c>
    </row>
    <row r="3144" spans="1:14" x14ac:dyDescent="0.35">
      <c r="A3144" s="6" t="s">
        <v>3214</v>
      </c>
      <c r="B3144" s="19" t="s">
        <v>57</v>
      </c>
      <c r="C3144" s="19">
        <v>12</v>
      </c>
      <c r="D3144" s="20">
        <v>46018</v>
      </c>
      <c r="E3144" s="19" t="s">
        <v>25</v>
      </c>
      <c r="F3144" s="19" t="s">
        <v>59</v>
      </c>
      <c r="G3144" s="19" t="s">
        <v>27</v>
      </c>
      <c r="H3144" s="19" t="s">
        <v>22</v>
      </c>
      <c r="I3144" s="19">
        <v>4</v>
      </c>
      <c r="J3144" s="19">
        <v>0</v>
      </c>
      <c r="K3144" s="19">
        <v>4</v>
      </c>
      <c r="L3144" s="19" t="s">
        <v>55</v>
      </c>
      <c r="M3144" s="21">
        <v>9.5</v>
      </c>
      <c r="N3144">
        <f t="shared" si="49"/>
        <v>0</v>
      </c>
    </row>
    <row r="3145" spans="1:14" x14ac:dyDescent="0.35">
      <c r="A3145" s="22" t="s">
        <v>3215</v>
      </c>
      <c r="B3145" s="23" t="s">
        <v>23</v>
      </c>
      <c r="C3145" s="23">
        <v>7</v>
      </c>
      <c r="D3145" s="24">
        <v>45848</v>
      </c>
      <c r="E3145" s="23" t="s">
        <v>8364</v>
      </c>
      <c r="F3145" s="23" t="s">
        <v>14</v>
      </c>
      <c r="G3145" s="23" t="s">
        <v>31</v>
      </c>
      <c r="H3145" s="23" t="s">
        <v>8364</v>
      </c>
      <c r="I3145" s="23">
        <v>24</v>
      </c>
      <c r="J3145" s="23">
        <v>1</v>
      </c>
      <c r="K3145" s="23">
        <v>5</v>
      </c>
      <c r="L3145" s="23" t="s">
        <v>8363</v>
      </c>
      <c r="M3145" s="25">
        <v>13.7</v>
      </c>
      <c r="N3145">
        <f t="shared" si="49"/>
        <v>1</v>
      </c>
    </row>
    <row r="3146" spans="1:14" x14ac:dyDescent="0.35">
      <c r="A3146" s="6" t="s">
        <v>3216</v>
      </c>
      <c r="B3146" s="19" t="s">
        <v>78</v>
      </c>
      <c r="C3146" s="19">
        <v>5</v>
      </c>
      <c r="D3146" s="20">
        <v>45782</v>
      </c>
      <c r="E3146" s="19" t="s">
        <v>25</v>
      </c>
      <c r="F3146" s="19" t="s">
        <v>8364</v>
      </c>
      <c r="G3146" s="19" t="s">
        <v>27</v>
      </c>
      <c r="H3146" s="19" t="s">
        <v>28</v>
      </c>
      <c r="I3146" s="19">
        <v>24</v>
      </c>
      <c r="J3146" s="19">
        <v>1</v>
      </c>
      <c r="K3146" s="19">
        <v>5</v>
      </c>
      <c r="L3146" s="19" t="s">
        <v>38</v>
      </c>
      <c r="M3146" s="21">
        <v>10</v>
      </c>
      <c r="N3146">
        <f t="shared" si="49"/>
        <v>1</v>
      </c>
    </row>
    <row r="3147" spans="1:14" x14ac:dyDescent="0.35">
      <c r="A3147" s="22" t="s">
        <v>3217</v>
      </c>
      <c r="B3147" s="23" t="s">
        <v>81</v>
      </c>
      <c r="C3147" s="23">
        <v>12</v>
      </c>
      <c r="D3147" s="24">
        <v>46012</v>
      </c>
      <c r="E3147" s="23" t="s">
        <v>25</v>
      </c>
      <c r="F3147" s="23" t="s">
        <v>37</v>
      </c>
      <c r="G3147" s="23" t="s">
        <v>27</v>
      </c>
      <c r="H3147" s="23" t="s">
        <v>22</v>
      </c>
      <c r="I3147" s="23">
        <v>8</v>
      </c>
      <c r="J3147" s="23">
        <v>0</v>
      </c>
      <c r="K3147" s="23">
        <v>5</v>
      </c>
      <c r="L3147" s="23" t="s">
        <v>33</v>
      </c>
      <c r="M3147" s="25">
        <v>11.3</v>
      </c>
      <c r="N3147">
        <f t="shared" si="49"/>
        <v>0</v>
      </c>
    </row>
    <row r="3148" spans="1:14" x14ac:dyDescent="0.35">
      <c r="A3148" s="6" t="s">
        <v>3218</v>
      </c>
      <c r="B3148" s="19" t="s">
        <v>146</v>
      </c>
      <c r="C3148" s="19">
        <v>9</v>
      </c>
      <c r="D3148" s="20">
        <v>45915</v>
      </c>
      <c r="E3148" s="19" t="s">
        <v>68</v>
      </c>
      <c r="F3148" s="19" t="s">
        <v>40</v>
      </c>
      <c r="G3148" s="19" t="s">
        <v>31</v>
      </c>
      <c r="H3148" s="19" t="s">
        <v>8364</v>
      </c>
      <c r="I3148" s="19">
        <v>24</v>
      </c>
      <c r="J3148" s="19">
        <v>0</v>
      </c>
      <c r="K3148" s="19">
        <v>5</v>
      </c>
      <c r="L3148" s="19" t="s">
        <v>8363</v>
      </c>
      <c r="M3148" s="21">
        <v>14.5</v>
      </c>
      <c r="N3148">
        <f t="shared" si="49"/>
        <v>1</v>
      </c>
    </row>
    <row r="3149" spans="1:14" x14ac:dyDescent="0.35">
      <c r="A3149" s="22" t="s">
        <v>3219</v>
      </c>
      <c r="B3149" s="23" t="s">
        <v>47</v>
      </c>
      <c r="C3149" s="23">
        <v>3</v>
      </c>
      <c r="D3149" s="24">
        <v>45730</v>
      </c>
      <c r="E3149" s="23" t="s">
        <v>20</v>
      </c>
      <c r="F3149" s="23" t="s">
        <v>59</v>
      </c>
      <c r="G3149" s="23" t="s">
        <v>8364</v>
      </c>
      <c r="H3149" s="23" t="s">
        <v>22</v>
      </c>
      <c r="I3149" s="23">
        <v>48</v>
      </c>
      <c r="J3149" s="23">
        <v>0</v>
      </c>
      <c r="K3149" s="23">
        <v>5</v>
      </c>
      <c r="L3149" s="23" t="s">
        <v>33</v>
      </c>
      <c r="M3149" s="25">
        <v>8.3000000000000007</v>
      </c>
      <c r="N3149">
        <f t="shared" si="49"/>
        <v>1</v>
      </c>
    </row>
    <row r="3150" spans="1:14" x14ac:dyDescent="0.35">
      <c r="A3150" s="6" t="s">
        <v>3220</v>
      </c>
      <c r="B3150" s="19" t="s">
        <v>78</v>
      </c>
      <c r="C3150" s="19">
        <v>6</v>
      </c>
      <c r="D3150" s="20">
        <v>45810</v>
      </c>
      <c r="E3150" s="19" t="s">
        <v>25</v>
      </c>
      <c r="F3150" s="19" t="s">
        <v>26</v>
      </c>
      <c r="G3150" s="19" t="s">
        <v>21</v>
      </c>
      <c r="H3150" s="19" t="s">
        <v>32</v>
      </c>
      <c r="I3150" s="19">
        <v>48</v>
      </c>
      <c r="J3150" s="19">
        <v>0</v>
      </c>
      <c r="K3150" s="19"/>
      <c r="L3150" s="19" t="s">
        <v>8363</v>
      </c>
      <c r="M3150" s="21">
        <v>2.4</v>
      </c>
      <c r="N3150">
        <f t="shared" si="49"/>
        <v>1</v>
      </c>
    </row>
    <row r="3151" spans="1:14" x14ac:dyDescent="0.35">
      <c r="A3151" s="22" t="s">
        <v>3221</v>
      </c>
      <c r="B3151" s="23" t="s">
        <v>126</v>
      </c>
      <c r="C3151" s="23">
        <v>8</v>
      </c>
      <c r="D3151" s="24">
        <v>45897</v>
      </c>
      <c r="E3151" s="23" t="s">
        <v>36</v>
      </c>
      <c r="F3151" s="23" t="s">
        <v>26</v>
      </c>
      <c r="G3151" s="23" t="s">
        <v>31</v>
      </c>
      <c r="H3151" s="23" t="s">
        <v>22</v>
      </c>
      <c r="I3151" s="23">
        <v>24</v>
      </c>
      <c r="J3151" s="23">
        <v>0</v>
      </c>
      <c r="K3151" s="23">
        <v>4</v>
      </c>
      <c r="L3151" s="23" t="s">
        <v>8363</v>
      </c>
      <c r="M3151" s="25">
        <v>3</v>
      </c>
      <c r="N3151">
        <f t="shared" si="49"/>
        <v>1</v>
      </c>
    </row>
    <row r="3152" spans="1:14" x14ac:dyDescent="0.35">
      <c r="A3152" s="6" t="s">
        <v>3222</v>
      </c>
      <c r="B3152" s="19" t="s">
        <v>97</v>
      </c>
      <c r="C3152" s="19"/>
      <c r="D3152" s="20"/>
      <c r="E3152" s="19" t="s">
        <v>68</v>
      </c>
      <c r="F3152" s="19" t="s">
        <v>14</v>
      </c>
      <c r="G3152" s="19" t="s">
        <v>21</v>
      </c>
      <c r="H3152" s="19" t="s">
        <v>22</v>
      </c>
      <c r="I3152" s="19">
        <v>48</v>
      </c>
      <c r="J3152" s="19">
        <v>2</v>
      </c>
      <c r="K3152" s="19">
        <v>3</v>
      </c>
      <c r="L3152" s="19" t="s">
        <v>17</v>
      </c>
      <c r="M3152" s="21">
        <v>7.2</v>
      </c>
      <c r="N3152">
        <f t="shared" si="49"/>
        <v>1</v>
      </c>
    </row>
    <row r="3153" spans="1:14" x14ac:dyDescent="0.35">
      <c r="A3153" s="22" t="s">
        <v>3223</v>
      </c>
      <c r="B3153" s="23" t="s">
        <v>81</v>
      </c>
      <c r="C3153" s="23">
        <v>2</v>
      </c>
      <c r="D3153" s="24">
        <v>45691</v>
      </c>
      <c r="E3153" s="23" t="s">
        <v>36</v>
      </c>
      <c r="F3153" s="23" t="s">
        <v>37</v>
      </c>
      <c r="G3153" s="23" t="s">
        <v>27</v>
      </c>
      <c r="H3153" s="23" t="s">
        <v>16</v>
      </c>
      <c r="I3153" s="23">
        <v>72</v>
      </c>
      <c r="J3153" s="23">
        <v>1</v>
      </c>
      <c r="K3153" s="23">
        <v>5</v>
      </c>
      <c r="L3153" s="23" t="s">
        <v>38</v>
      </c>
      <c r="M3153" s="25">
        <v>23.6</v>
      </c>
      <c r="N3153">
        <f t="shared" si="49"/>
        <v>1</v>
      </c>
    </row>
    <row r="3154" spans="1:14" x14ac:dyDescent="0.35">
      <c r="A3154" s="6" t="s">
        <v>3224</v>
      </c>
      <c r="B3154" s="19" t="s">
        <v>23</v>
      </c>
      <c r="C3154" s="19"/>
      <c r="D3154" s="20"/>
      <c r="E3154" s="19" t="s">
        <v>13</v>
      </c>
      <c r="F3154" s="19" t="s">
        <v>43</v>
      </c>
      <c r="G3154" s="19" t="s">
        <v>31</v>
      </c>
      <c r="H3154" s="19" t="s">
        <v>28</v>
      </c>
      <c r="I3154" s="19">
        <v>72</v>
      </c>
      <c r="J3154" s="19">
        <v>2</v>
      </c>
      <c r="K3154" s="19">
        <v>4</v>
      </c>
      <c r="L3154" s="19" t="s">
        <v>33</v>
      </c>
      <c r="M3154" s="21">
        <v>3.3</v>
      </c>
      <c r="N3154">
        <f t="shared" si="49"/>
        <v>1</v>
      </c>
    </row>
    <row r="3155" spans="1:14" x14ac:dyDescent="0.35">
      <c r="A3155" s="22" t="s">
        <v>3225</v>
      </c>
      <c r="B3155" s="23" t="s">
        <v>181</v>
      </c>
      <c r="C3155" s="23">
        <v>9</v>
      </c>
      <c r="D3155" s="24">
        <v>45912</v>
      </c>
      <c r="E3155" s="23" t="s">
        <v>25</v>
      </c>
      <c r="F3155" s="23" t="s">
        <v>14</v>
      </c>
      <c r="G3155" s="23" t="s">
        <v>8364</v>
      </c>
      <c r="H3155" s="23" t="s">
        <v>8364</v>
      </c>
      <c r="I3155" s="23">
        <v>24</v>
      </c>
      <c r="J3155" s="23">
        <v>0</v>
      </c>
      <c r="K3155" s="23">
        <v>1</v>
      </c>
      <c r="L3155" s="23" t="s">
        <v>75</v>
      </c>
      <c r="M3155" s="25">
        <v>20.5</v>
      </c>
      <c r="N3155">
        <f t="shared" si="49"/>
        <v>1</v>
      </c>
    </row>
    <row r="3156" spans="1:14" x14ac:dyDescent="0.35">
      <c r="A3156" s="6" t="s">
        <v>3226</v>
      </c>
      <c r="B3156" s="19" t="s">
        <v>89</v>
      </c>
      <c r="C3156" s="19">
        <v>5</v>
      </c>
      <c r="D3156" s="20">
        <v>45785</v>
      </c>
      <c r="E3156" s="19" t="s">
        <v>68</v>
      </c>
      <c r="F3156" s="19" t="s">
        <v>43</v>
      </c>
      <c r="G3156" s="19" t="s">
        <v>21</v>
      </c>
      <c r="H3156" s="19" t="s">
        <v>22</v>
      </c>
      <c r="I3156" s="19">
        <v>4</v>
      </c>
      <c r="J3156" s="19">
        <v>0</v>
      </c>
      <c r="K3156" s="19">
        <v>1</v>
      </c>
      <c r="L3156" s="19" t="s">
        <v>44</v>
      </c>
      <c r="M3156" s="21">
        <v>5</v>
      </c>
      <c r="N3156">
        <f t="shared" si="49"/>
        <v>0</v>
      </c>
    </row>
    <row r="3157" spans="1:14" x14ac:dyDescent="0.35">
      <c r="A3157" s="22" t="s">
        <v>3227</v>
      </c>
      <c r="B3157" s="23" t="s">
        <v>81</v>
      </c>
      <c r="C3157" s="23">
        <v>7</v>
      </c>
      <c r="D3157" s="24">
        <v>45839</v>
      </c>
      <c r="E3157" s="23" t="s">
        <v>25</v>
      </c>
      <c r="F3157" s="23" t="s">
        <v>40</v>
      </c>
      <c r="G3157" s="23" t="s">
        <v>31</v>
      </c>
      <c r="H3157" s="23" t="s">
        <v>32</v>
      </c>
      <c r="I3157" s="23">
        <v>24</v>
      </c>
      <c r="J3157" s="23">
        <v>2</v>
      </c>
      <c r="K3157" s="23">
        <v>2</v>
      </c>
      <c r="L3157" s="23" t="s">
        <v>17</v>
      </c>
      <c r="M3157" s="25">
        <v>12</v>
      </c>
      <c r="N3157">
        <f t="shared" si="49"/>
        <v>1</v>
      </c>
    </row>
    <row r="3158" spans="1:14" x14ac:dyDescent="0.35">
      <c r="A3158" s="6" t="s">
        <v>3228</v>
      </c>
      <c r="B3158" s="19" t="s">
        <v>47</v>
      </c>
      <c r="C3158" s="19">
        <v>9</v>
      </c>
      <c r="D3158" s="20">
        <v>45909</v>
      </c>
      <c r="E3158" s="19" t="s">
        <v>25</v>
      </c>
      <c r="F3158" s="19" t="s">
        <v>14</v>
      </c>
      <c r="G3158" s="19" t="s">
        <v>21</v>
      </c>
      <c r="H3158" s="19" t="s">
        <v>32</v>
      </c>
      <c r="I3158" s="19">
        <v>72</v>
      </c>
      <c r="J3158" s="19">
        <v>2</v>
      </c>
      <c r="K3158" s="19">
        <v>5</v>
      </c>
      <c r="L3158" s="19" t="s">
        <v>55</v>
      </c>
      <c r="M3158" s="21"/>
      <c r="N3158">
        <f t="shared" si="49"/>
        <v>1</v>
      </c>
    </row>
    <row r="3159" spans="1:14" x14ac:dyDescent="0.35">
      <c r="A3159" s="22" t="s">
        <v>3229</v>
      </c>
      <c r="B3159" s="23" t="s">
        <v>39</v>
      </c>
      <c r="C3159" s="23">
        <v>2</v>
      </c>
      <c r="D3159" s="24">
        <v>45705</v>
      </c>
      <c r="E3159" s="23" t="s">
        <v>36</v>
      </c>
      <c r="F3159" s="23" t="s">
        <v>43</v>
      </c>
      <c r="G3159" s="23" t="s">
        <v>15</v>
      </c>
      <c r="H3159" s="23" t="s">
        <v>8364</v>
      </c>
      <c r="I3159" s="23">
        <v>72</v>
      </c>
      <c r="J3159" s="23">
        <v>1</v>
      </c>
      <c r="K3159" s="23">
        <v>3</v>
      </c>
      <c r="L3159" s="23" t="s">
        <v>8363</v>
      </c>
      <c r="M3159" s="25">
        <v>2.1</v>
      </c>
      <c r="N3159">
        <f t="shared" si="49"/>
        <v>1</v>
      </c>
    </row>
    <row r="3160" spans="1:14" x14ac:dyDescent="0.35">
      <c r="A3160" s="6" t="s">
        <v>3230</v>
      </c>
      <c r="B3160" s="19" t="s">
        <v>69</v>
      </c>
      <c r="C3160" s="19">
        <v>3</v>
      </c>
      <c r="D3160" s="20">
        <v>45747</v>
      </c>
      <c r="E3160" s="19" t="s">
        <v>68</v>
      </c>
      <c r="F3160" s="19" t="s">
        <v>40</v>
      </c>
      <c r="G3160" s="19" t="s">
        <v>15</v>
      </c>
      <c r="H3160" s="19" t="s">
        <v>22</v>
      </c>
      <c r="I3160" s="19">
        <v>4</v>
      </c>
      <c r="J3160" s="19">
        <v>0</v>
      </c>
      <c r="K3160" s="19">
        <v>2</v>
      </c>
      <c r="L3160" s="19" t="s">
        <v>38</v>
      </c>
      <c r="M3160" s="21">
        <v>8.4</v>
      </c>
      <c r="N3160">
        <f t="shared" si="49"/>
        <v>0</v>
      </c>
    </row>
    <row r="3161" spans="1:14" x14ac:dyDescent="0.35">
      <c r="A3161" s="22" t="s">
        <v>3231</v>
      </c>
      <c r="B3161" s="23" t="s">
        <v>253</v>
      </c>
      <c r="C3161" s="23">
        <v>3</v>
      </c>
      <c r="D3161" s="24">
        <v>45727</v>
      </c>
      <c r="E3161" s="23" t="s">
        <v>68</v>
      </c>
      <c r="F3161" s="23" t="s">
        <v>43</v>
      </c>
      <c r="G3161" s="23" t="s">
        <v>21</v>
      </c>
      <c r="H3161" s="23" t="s">
        <v>22</v>
      </c>
      <c r="I3161" s="23">
        <v>24</v>
      </c>
      <c r="J3161" s="23">
        <v>3</v>
      </c>
      <c r="K3161" s="23">
        <v>4</v>
      </c>
      <c r="L3161" s="23" t="s">
        <v>33</v>
      </c>
      <c r="M3161" s="25">
        <v>6.6</v>
      </c>
      <c r="N3161">
        <f t="shared" si="49"/>
        <v>1</v>
      </c>
    </row>
    <row r="3162" spans="1:14" x14ac:dyDescent="0.35">
      <c r="A3162" s="6" t="s">
        <v>3232</v>
      </c>
      <c r="B3162" s="19" t="s">
        <v>41</v>
      </c>
      <c r="C3162" s="19">
        <v>8</v>
      </c>
      <c r="D3162" s="20">
        <v>45870</v>
      </c>
      <c r="E3162" s="19" t="s">
        <v>68</v>
      </c>
      <c r="F3162" s="19" t="s">
        <v>37</v>
      </c>
      <c r="G3162" s="19" t="s">
        <v>31</v>
      </c>
      <c r="H3162" s="19" t="s">
        <v>32</v>
      </c>
      <c r="I3162" s="19">
        <v>24</v>
      </c>
      <c r="J3162" s="19">
        <v>0</v>
      </c>
      <c r="K3162" s="19">
        <v>2</v>
      </c>
      <c r="L3162" s="19" t="s">
        <v>8363</v>
      </c>
      <c r="M3162" s="21">
        <v>6.9</v>
      </c>
      <c r="N3162">
        <f t="shared" si="49"/>
        <v>1</v>
      </c>
    </row>
    <row r="3163" spans="1:14" x14ac:dyDescent="0.35">
      <c r="A3163" s="22" t="s">
        <v>3233</v>
      </c>
      <c r="B3163" s="23" t="s">
        <v>41</v>
      </c>
      <c r="C3163" s="23">
        <v>10</v>
      </c>
      <c r="D3163" s="24">
        <v>45953</v>
      </c>
      <c r="E3163" s="23" t="s">
        <v>20</v>
      </c>
      <c r="F3163" s="23" t="s">
        <v>59</v>
      </c>
      <c r="G3163" s="23" t="s">
        <v>27</v>
      </c>
      <c r="H3163" s="23" t="s">
        <v>28</v>
      </c>
      <c r="I3163" s="23">
        <v>8</v>
      </c>
      <c r="J3163" s="23">
        <v>1</v>
      </c>
      <c r="K3163" s="23">
        <v>5</v>
      </c>
      <c r="L3163" s="23" t="s">
        <v>44</v>
      </c>
      <c r="M3163" s="25"/>
      <c r="N3163">
        <f t="shared" si="49"/>
        <v>1</v>
      </c>
    </row>
    <row r="3164" spans="1:14" x14ac:dyDescent="0.35">
      <c r="A3164" s="6" t="s">
        <v>3234</v>
      </c>
      <c r="B3164" s="19" t="s">
        <v>104</v>
      </c>
      <c r="C3164" s="19">
        <v>4</v>
      </c>
      <c r="D3164" s="20">
        <v>45755</v>
      </c>
      <c r="E3164" s="19" t="s">
        <v>36</v>
      </c>
      <c r="F3164" s="19" t="s">
        <v>14</v>
      </c>
      <c r="G3164" s="19" t="s">
        <v>21</v>
      </c>
      <c r="H3164" s="19" t="s">
        <v>22</v>
      </c>
      <c r="I3164" s="19">
        <v>4</v>
      </c>
      <c r="J3164" s="19">
        <v>0</v>
      </c>
      <c r="K3164" s="19">
        <v>5</v>
      </c>
      <c r="L3164" s="19" t="s">
        <v>62</v>
      </c>
      <c r="M3164" s="21">
        <v>22</v>
      </c>
      <c r="N3164">
        <f t="shared" si="49"/>
        <v>0</v>
      </c>
    </row>
    <row r="3165" spans="1:14" x14ac:dyDescent="0.35">
      <c r="A3165" s="22" t="s">
        <v>3235</v>
      </c>
      <c r="B3165" s="23" t="s">
        <v>51</v>
      </c>
      <c r="C3165" s="23">
        <v>7</v>
      </c>
      <c r="D3165" s="24">
        <v>45858</v>
      </c>
      <c r="E3165" s="23" t="s">
        <v>13</v>
      </c>
      <c r="F3165" s="23" t="s">
        <v>14</v>
      </c>
      <c r="G3165" s="23" t="s">
        <v>15</v>
      </c>
      <c r="H3165" s="23" t="s">
        <v>22</v>
      </c>
      <c r="I3165" s="23">
        <v>72</v>
      </c>
      <c r="J3165" s="23">
        <v>0</v>
      </c>
      <c r="K3165" s="23"/>
      <c r="L3165" s="23" t="s">
        <v>38</v>
      </c>
      <c r="M3165" s="25"/>
      <c r="N3165">
        <f t="shared" si="49"/>
        <v>1</v>
      </c>
    </row>
    <row r="3166" spans="1:14" x14ac:dyDescent="0.35">
      <c r="A3166" s="6" t="s">
        <v>3236</v>
      </c>
      <c r="B3166" s="19" t="s">
        <v>99</v>
      </c>
      <c r="C3166" s="19">
        <v>12</v>
      </c>
      <c r="D3166" s="20">
        <v>45998</v>
      </c>
      <c r="E3166" s="19" t="s">
        <v>8364</v>
      </c>
      <c r="F3166" s="19" t="s">
        <v>43</v>
      </c>
      <c r="G3166" s="19" t="s">
        <v>27</v>
      </c>
      <c r="H3166" s="19" t="s">
        <v>8364</v>
      </c>
      <c r="I3166" s="19">
        <v>8</v>
      </c>
      <c r="J3166" s="19">
        <v>2</v>
      </c>
      <c r="K3166" s="19">
        <v>5</v>
      </c>
      <c r="L3166" s="19" t="s">
        <v>38</v>
      </c>
      <c r="M3166" s="21">
        <v>24.2</v>
      </c>
      <c r="N3166">
        <f t="shared" si="49"/>
        <v>0</v>
      </c>
    </row>
    <row r="3167" spans="1:14" x14ac:dyDescent="0.35">
      <c r="A3167" s="22" t="s">
        <v>3237</v>
      </c>
      <c r="B3167" s="23" t="s">
        <v>85</v>
      </c>
      <c r="C3167" s="23">
        <v>2</v>
      </c>
      <c r="D3167" s="24">
        <v>45709</v>
      </c>
      <c r="E3167" s="23" t="s">
        <v>13</v>
      </c>
      <c r="F3167" s="23" t="s">
        <v>26</v>
      </c>
      <c r="G3167" s="23" t="s">
        <v>27</v>
      </c>
      <c r="H3167" s="23" t="s">
        <v>28</v>
      </c>
      <c r="I3167" s="23">
        <v>8</v>
      </c>
      <c r="J3167" s="23">
        <v>0</v>
      </c>
      <c r="K3167" s="23">
        <v>4</v>
      </c>
      <c r="L3167" s="23" t="s">
        <v>17</v>
      </c>
      <c r="M3167" s="25">
        <v>11.6</v>
      </c>
      <c r="N3167">
        <f t="shared" si="49"/>
        <v>0</v>
      </c>
    </row>
    <row r="3168" spans="1:14" x14ac:dyDescent="0.35">
      <c r="A3168" s="6" t="s">
        <v>3238</v>
      </c>
      <c r="B3168" s="19" t="s">
        <v>47</v>
      </c>
      <c r="C3168" s="19"/>
      <c r="D3168" s="20"/>
      <c r="E3168" s="19" t="s">
        <v>8364</v>
      </c>
      <c r="F3168" s="19" t="s">
        <v>14</v>
      </c>
      <c r="G3168" s="19" t="s">
        <v>27</v>
      </c>
      <c r="H3168" s="19" t="s">
        <v>22</v>
      </c>
      <c r="I3168" s="19">
        <v>4</v>
      </c>
      <c r="J3168" s="19">
        <v>0</v>
      </c>
      <c r="K3168" s="19">
        <v>2</v>
      </c>
      <c r="L3168" s="19" t="s">
        <v>62</v>
      </c>
      <c r="M3168" s="21">
        <v>24.1</v>
      </c>
      <c r="N3168">
        <f t="shared" si="49"/>
        <v>0</v>
      </c>
    </row>
    <row r="3169" spans="1:14" x14ac:dyDescent="0.35">
      <c r="A3169" s="22" t="s">
        <v>3239</v>
      </c>
      <c r="B3169" s="23" t="s">
        <v>18</v>
      </c>
      <c r="C3169" s="23">
        <v>12</v>
      </c>
      <c r="D3169" s="24">
        <v>46010</v>
      </c>
      <c r="E3169" s="23" t="s">
        <v>25</v>
      </c>
      <c r="F3169" s="23" t="s">
        <v>43</v>
      </c>
      <c r="G3169" s="23" t="s">
        <v>31</v>
      </c>
      <c r="H3169" s="23" t="s">
        <v>28</v>
      </c>
      <c r="I3169" s="23">
        <v>72</v>
      </c>
      <c r="J3169" s="23">
        <v>0</v>
      </c>
      <c r="K3169" s="23">
        <v>2</v>
      </c>
      <c r="L3169" s="23" t="s">
        <v>8363</v>
      </c>
      <c r="M3169" s="25">
        <v>3.1</v>
      </c>
      <c r="N3169">
        <f t="shared" si="49"/>
        <v>1</v>
      </c>
    </row>
    <row r="3170" spans="1:14" x14ac:dyDescent="0.35">
      <c r="A3170" s="6" t="s">
        <v>3240</v>
      </c>
      <c r="B3170" s="19" t="s">
        <v>78</v>
      </c>
      <c r="C3170" s="19">
        <v>4</v>
      </c>
      <c r="D3170" s="20">
        <v>45760</v>
      </c>
      <c r="E3170" s="19" t="s">
        <v>25</v>
      </c>
      <c r="F3170" s="19" t="s">
        <v>59</v>
      </c>
      <c r="G3170" s="19" t="s">
        <v>31</v>
      </c>
      <c r="H3170" s="19" t="s">
        <v>22</v>
      </c>
      <c r="I3170" s="19">
        <v>4</v>
      </c>
      <c r="J3170" s="19">
        <v>0</v>
      </c>
      <c r="K3170" s="19">
        <v>5</v>
      </c>
      <c r="L3170" s="19" t="s">
        <v>55</v>
      </c>
      <c r="M3170" s="21">
        <v>6.5</v>
      </c>
      <c r="N3170">
        <f t="shared" si="49"/>
        <v>0</v>
      </c>
    </row>
    <row r="3171" spans="1:14" x14ac:dyDescent="0.35">
      <c r="A3171" s="22" t="s">
        <v>3241</v>
      </c>
      <c r="B3171" s="23" t="s">
        <v>104</v>
      </c>
      <c r="C3171" s="23">
        <v>10</v>
      </c>
      <c r="D3171" s="24">
        <v>45942</v>
      </c>
      <c r="E3171" s="23" t="s">
        <v>25</v>
      </c>
      <c r="F3171" s="23" t="s">
        <v>37</v>
      </c>
      <c r="G3171" s="23" t="s">
        <v>27</v>
      </c>
      <c r="H3171" s="23" t="s">
        <v>32</v>
      </c>
      <c r="I3171" s="23">
        <v>24</v>
      </c>
      <c r="J3171" s="23">
        <v>0</v>
      </c>
      <c r="K3171" s="23"/>
      <c r="L3171" s="23" t="s">
        <v>75</v>
      </c>
      <c r="M3171" s="25">
        <v>2.6</v>
      </c>
      <c r="N3171">
        <f t="shared" si="49"/>
        <v>1</v>
      </c>
    </row>
    <row r="3172" spans="1:14" x14ac:dyDescent="0.35">
      <c r="A3172" s="6" t="s">
        <v>3242</v>
      </c>
      <c r="B3172" s="19" t="s">
        <v>69</v>
      </c>
      <c r="C3172" s="19">
        <v>8</v>
      </c>
      <c r="D3172" s="20">
        <v>45871</v>
      </c>
      <c r="E3172" s="19" t="s">
        <v>25</v>
      </c>
      <c r="F3172" s="19" t="s">
        <v>26</v>
      </c>
      <c r="G3172" s="19" t="s">
        <v>27</v>
      </c>
      <c r="H3172" s="19" t="s">
        <v>22</v>
      </c>
      <c r="I3172" s="19">
        <v>48</v>
      </c>
      <c r="J3172" s="19">
        <v>0</v>
      </c>
      <c r="K3172" s="19">
        <v>4</v>
      </c>
      <c r="L3172" s="19" t="s">
        <v>62</v>
      </c>
      <c r="M3172" s="21">
        <v>9.9</v>
      </c>
      <c r="N3172">
        <f t="shared" si="49"/>
        <v>1</v>
      </c>
    </row>
    <row r="3173" spans="1:14" x14ac:dyDescent="0.35">
      <c r="A3173" s="22" t="s">
        <v>3243</v>
      </c>
      <c r="B3173" s="23" t="s">
        <v>85</v>
      </c>
      <c r="C3173" s="23">
        <v>5</v>
      </c>
      <c r="D3173" s="24">
        <v>45792</v>
      </c>
      <c r="E3173" s="23" t="s">
        <v>36</v>
      </c>
      <c r="F3173" s="23" t="s">
        <v>14</v>
      </c>
      <c r="G3173" s="23" t="s">
        <v>21</v>
      </c>
      <c r="H3173" s="23" t="s">
        <v>28</v>
      </c>
      <c r="I3173" s="23">
        <v>24</v>
      </c>
      <c r="J3173" s="23">
        <v>0</v>
      </c>
      <c r="K3173" s="23"/>
      <c r="L3173" s="23" t="s">
        <v>8363</v>
      </c>
      <c r="M3173" s="25">
        <v>10</v>
      </c>
      <c r="N3173">
        <f t="shared" si="49"/>
        <v>1</v>
      </c>
    </row>
    <row r="3174" spans="1:14" x14ac:dyDescent="0.35">
      <c r="A3174" s="6" t="s">
        <v>3244</v>
      </c>
      <c r="B3174" s="19" t="s">
        <v>85</v>
      </c>
      <c r="C3174" s="19">
        <v>4</v>
      </c>
      <c r="D3174" s="20">
        <v>45749</v>
      </c>
      <c r="E3174" s="19" t="s">
        <v>13</v>
      </c>
      <c r="F3174" s="19" t="s">
        <v>26</v>
      </c>
      <c r="G3174" s="19" t="s">
        <v>8364</v>
      </c>
      <c r="H3174" s="19" t="s">
        <v>28</v>
      </c>
      <c r="I3174" s="19">
        <v>8</v>
      </c>
      <c r="J3174" s="19">
        <v>1</v>
      </c>
      <c r="K3174" s="19">
        <v>4</v>
      </c>
      <c r="L3174" s="19" t="s">
        <v>62</v>
      </c>
      <c r="M3174" s="21">
        <v>0.3</v>
      </c>
      <c r="N3174">
        <f t="shared" si="49"/>
        <v>1</v>
      </c>
    </row>
    <row r="3175" spans="1:14" x14ac:dyDescent="0.35">
      <c r="A3175" s="22" t="s">
        <v>3245</v>
      </c>
      <c r="B3175" s="23" t="s">
        <v>57</v>
      </c>
      <c r="C3175" s="23">
        <v>1</v>
      </c>
      <c r="D3175" s="24">
        <v>45659</v>
      </c>
      <c r="E3175" s="23" t="s">
        <v>36</v>
      </c>
      <c r="F3175" s="23" t="s">
        <v>26</v>
      </c>
      <c r="G3175" s="23" t="s">
        <v>8364</v>
      </c>
      <c r="H3175" s="23" t="s">
        <v>32</v>
      </c>
      <c r="I3175" s="23">
        <v>24</v>
      </c>
      <c r="J3175" s="23">
        <v>0</v>
      </c>
      <c r="K3175" s="23">
        <v>5</v>
      </c>
      <c r="L3175" s="23" t="s">
        <v>62</v>
      </c>
      <c r="M3175" s="25">
        <v>18.5</v>
      </c>
      <c r="N3175">
        <f t="shared" si="49"/>
        <v>1</v>
      </c>
    </row>
    <row r="3176" spans="1:14" x14ac:dyDescent="0.35">
      <c r="A3176" s="6" t="s">
        <v>3246</v>
      </c>
      <c r="B3176" s="19" t="s">
        <v>130</v>
      </c>
      <c r="C3176" s="19">
        <v>8</v>
      </c>
      <c r="D3176" s="20">
        <v>45893</v>
      </c>
      <c r="E3176" s="19" t="s">
        <v>36</v>
      </c>
      <c r="F3176" s="19" t="s">
        <v>26</v>
      </c>
      <c r="G3176" s="19" t="s">
        <v>21</v>
      </c>
      <c r="H3176" s="19" t="s">
        <v>8364</v>
      </c>
      <c r="I3176" s="19">
        <v>8</v>
      </c>
      <c r="J3176" s="19">
        <v>0</v>
      </c>
      <c r="K3176" s="19">
        <v>4</v>
      </c>
      <c r="L3176" s="19" t="s">
        <v>8363</v>
      </c>
      <c r="M3176" s="21">
        <v>8.4</v>
      </c>
      <c r="N3176">
        <f t="shared" si="49"/>
        <v>0</v>
      </c>
    </row>
    <row r="3177" spans="1:14" x14ac:dyDescent="0.35">
      <c r="A3177" s="22" t="s">
        <v>3247</v>
      </c>
      <c r="B3177" s="23" t="s">
        <v>18</v>
      </c>
      <c r="C3177" s="23">
        <v>11</v>
      </c>
      <c r="D3177" s="24">
        <v>45968</v>
      </c>
      <c r="E3177" s="23" t="s">
        <v>13</v>
      </c>
      <c r="F3177" s="23" t="s">
        <v>59</v>
      </c>
      <c r="G3177" s="23" t="s">
        <v>21</v>
      </c>
      <c r="H3177" s="23" t="s">
        <v>28</v>
      </c>
      <c r="I3177" s="23">
        <v>4</v>
      </c>
      <c r="J3177" s="23">
        <v>0</v>
      </c>
      <c r="K3177" s="23">
        <v>4</v>
      </c>
      <c r="L3177" s="23" t="s">
        <v>75</v>
      </c>
      <c r="M3177" s="25">
        <v>4.9000000000000004</v>
      </c>
      <c r="N3177">
        <f t="shared" si="49"/>
        <v>0</v>
      </c>
    </row>
    <row r="3178" spans="1:14" x14ac:dyDescent="0.35">
      <c r="A3178" s="6" t="s">
        <v>3248</v>
      </c>
      <c r="B3178" s="19" t="s">
        <v>29</v>
      </c>
      <c r="C3178" s="19">
        <v>7</v>
      </c>
      <c r="D3178" s="20">
        <v>45863</v>
      </c>
      <c r="E3178" s="19" t="s">
        <v>25</v>
      </c>
      <c r="F3178" s="19" t="s">
        <v>43</v>
      </c>
      <c r="G3178" s="19" t="s">
        <v>21</v>
      </c>
      <c r="H3178" s="19" t="s">
        <v>28</v>
      </c>
      <c r="I3178" s="19">
        <v>48</v>
      </c>
      <c r="J3178" s="19">
        <v>0</v>
      </c>
      <c r="K3178" s="19">
        <v>4</v>
      </c>
      <c r="L3178" s="19" t="s">
        <v>75</v>
      </c>
      <c r="M3178" s="21">
        <v>8.1999999999999993</v>
      </c>
      <c r="N3178">
        <f t="shared" si="49"/>
        <v>1</v>
      </c>
    </row>
    <row r="3179" spans="1:14" x14ac:dyDescent="0.35">
      <c r="A3179" s="22" t="s">
        <v>3249</v>
      </c>
      <c r="B3179" s="23" t="s">
        <v>143</v>
      </c>
      <c r="C3179" s="23">
        <v>8</v>
      </c>
      <c r="D3179" s="24">
        <v>45872</v>
      </c>
      <c r="E3179" s="23" t="s">
        <v>25</v>
      </c>
      <c r="F3179" s="23" t="s">
        <v>37</v>
      </c>
      <c r="G3179" s="23" t="s">
        <v>15</v>
      </c>
      <c r="H3179" s="23" t="s">
        <v>16</v>
      </c>
      <c r="I3179" s="23">
        <v>24</v>
      </c>
      <c r="J3179" s="23">
        <v>0</v>
      </c>
      <c r="K3179" s="23">
        <v>5</v>
      </c>
      <c r="L3179" s="23" t="s">
        <v>75</v>
      </c>
      <c r="M3179" s="25">
        <v>12</v>
      </c>
      <c r="N3179">
        <f t="shared" si="49"/>
        <v>1</v>
      </c>
    </row>
    <row r="3180" spans="1:14" x14ac:dyDescent="0.35">
      <c r="A3180" s="6" t="s">
        <v>3250</v>
      </c>
      <c r="B3180" s="19" t="s">
        <v>69</v>
      </c>
      <c r="C3180" s="19">
        <v>1</v>
      </c>
      <c r="D3180" s="20">
        <v>45679</v>
      </c>
      <c r="E3180" s="19" t="s">
        <v>25</v>
      </c>
      <c r="F3180" s="19" t="s">
        <v>26</v>
      </c>
      <c r="G3180" s="19" t="s">
        <v>31</v>
      </c>
      <c r="H3180" s="19" t="s">
        <v>16</v>
      </c>
      <c r="I3180" s="19">
        <v>72</v>
      </c>
      <c r="J3180" s="19">
        <v>3</v>
      </c>
      <c r="K3180" s="19">
        <v>4</v>
      </c>
      <c r="L3180" s="19" t="s">
        <v>8363</v>
      </c>
      <c r="M3180" s="21">
        <v>6</v>
      </c>
      <c r="N3180">
        <f t="shared" si="49"/>
        <v>1</v>
      </c>
    </row>
    <row r="3181" spans="1:14" x14ac:dyDescent="0.35">
      <c r="A3181" s="22" t="s">
        <v>3251</v>
      </c>
      <c r="B3181" s="23" t="s">
        <v>92</v>
      </c>
      <c r="C3181" s="23">
        <v>8</v>
      </c>
      <c r="D3181" s="24">
        <v>45881</v>
      </c>
      <c r="E3181" s="23" t="s">
        <v>36</v>
      </c>
      <c r="F3181" s="23" t="s">
        <v>8364</v>
      </c>
      <c r="G3181" s="23" t="s">
        <v>15</v>
      </c>
      <c r="H3181" s="23" t="s">
        <v>28</v>
      </c>
      <c r="I3181" s="23">
        <v>8</v>
      </c>
      <c r="J3181" s="23">
        <v>0</v>
      </c>
      <c r="K3181" s="23">
        <v>4</v>
      </c>
      <c r="L3181" s="23" t="s">
        <v>17</v>
      </c>
      <c r="M3181" s="25">
        <v>9.4</v>
      </c>
      <c r="N3181">
        <f t="shared" si="49"/>
        <v>0</v>
      </c>
    </row>
    <row r="3182" spans="1:14" x14ac:dyDescent="0.35">
      <c r="A3182" s="6" t="s">
        <v>3252</v>
      </c>
      <c r="B3182" s="19" t="s">
        <v>18</v>
      </c>
      <c r="C3182" s="19">
        <v>1</v>
      </c>
      <c r="D3182" s="20">
        <v>45671</v>
      </c>
      <c r="E3182" s="19" t="s">
        <v>68</v>
      </c>
      <c r="F3182" s="19" t="s">
        <v>40</v>
      </c>
      <c r="G3182" s="19" t="s">
        <v>27</v>
      </c>
      <c r="H3182" s="19" t="s">
        <v>28</v>
      </c>
      <c r="I3182" s="19">
        <v>4</v>
      </c>
      <c r="J3182" s="19">
        <v>1</v>
      </c>
      <c r="K3182" s="19">
        <v>5</v>
      </c>
      <c r="L3182" s="19" t="s">
        <v>17</v>
      </c>
      <c r="M3182" s="21">
        <v>10.9</v>
      </c>
      <c r="N3182">
        <f t="shared" si="49"/>
        <v>0</v>
      </c>
    </row>
    <row r="3183" spans="1:14" x14ac:dyDescent="0.35">
      <c r="A3183" s="22" t="s">
        <v>3253</v>
      </c>
      <c r="B3183" s="23" t="s">
        <v>47</v>
      </c>
      <c r="C3183" s="23">
        <v>3</v>
      </c>
      <c r="D3183" s="24">
        <v>45726</v>
      </c>
      <c r="E3183" s="23" t="s">
        <v>36</v>
      </c>
      <c r="F3183" s="23" t="s">
        <v>14</v>
      </c>
      <c r="G3183" s="23" t="s">
        <v>15</v>
      </c>
      <c r="H3183" s="23" t="s">
        <v>32</v>
      </c>
      <c r="I3183" s="23">
        <v>48</v>
      </c>
      <c r="J3183" s="23">
        <v>0</v>
      </c>
      <c r="K3183" s="23">
        <v>1</v>
      </c>
      <c r="L3183" s="23" t="s">
        <v>75</v>
      </c>
      <c r="M3183" s="25">
        <v>7</v>
      </c>
      <c r="N3183">
        <f t="shared" si="49"/>
        <v>1</v>
      </c>
    </row>
    <row r="3184" spans="1:14" x14ac:dyDescent="0.35">
      <c r="A3184" s="6" t="s">
        <v>3254</v>
      </c>
      <c r="B3184" s="19" t="s">
        <v>69</v>
      </c>
      <c r="C3184" s="19">
        <v>6</v>
      </c>
      <c r="D3184" s="20">
        <v>45820</v>
      </c>
      <c r="E3184" s="19" t="s">
        <v>25</v>
      </c>
      <c r="F3184" s="19" t="s">
        <v>59</v>
      </c>
      <c r="G3184" s="19" t="s">
        <v>31</v>
      </c>
      <c r="H3184" s="19" t="s">
        <v>22</v>
      </c>
      <c r="I3184" s="19">
        <v>72</v>
      </c>
      <c r="J3184" s="19">
        <v>2</v>
      </c>
      <c r="K3184" s="19">
        <v>4</v>
      </c>
      <c r="L3184" s="19" t="s">
        <v>8363</v>
      </c>
      <c r="M3184" s="21">
        <v>2.6</v>
      </c>
      <c r="N3184">
        <f t="shared" si="49"/>
        <v>1</v>
      </c>
    </row>
    <row r="3185" spans="1:14" x14ac:dyDescent="0.35">
      <c r="A3185" s="22" t="s">
        <v>3255</v>
      </c>
      <c r="B3185" s="23" t="s">
        <v>29</v>
      </c>
      <c r="C3185" s="23">
        <v>8</v>
      </c>
      <c r="D3185" s="24">
        <v>45889</v>
      </c>
      <c r="E3185" s="23" t="s">
        <v>36</v>
      </c>
      <c r="F3185" s="23" t="s">
        <v>26</v>
      </c>
      <c r="G3185" s="23" t="s">
        <v>15</v>
      </c>
      <c r="H3185" s="23" t="s">
        <v>28</v>
      </c>
      <c r="I3185" s="23">
        <v>24</v>
      </c>
      <c r="J3185" s="23">
        <v>0</v>
      </c>
      <c r="K3185" s="23">
        <v>3</v>
      </c>
      <c r="L3185" s="23" t="s">
        <v>38</v>
      </c>
      <c r="M3185" s="25">
        <v>16.7</v>
      </c>
      <c r="N3185">
        <f t="shared" si="49"/>
        <v>1</v>
      </c>
    </row>
    <row r="3186" spans="1:14" x14ac:dyDescent="0.35">
      <c r="A3186" s="6" t="s">
        <v>3256</v>
      </c>
      <c r="B3186" s="19" t="s">
        <v>130</v>
      </c>
      <c r="C3186" s="19">
        <v>5</v>
      </c>
      <c r="D3186" s="20">
        <v>45789</v>
      </c>
      <c r="E3186" s="19" t="s">
        <v>25</v>
      </c>
      <c r="F3186" s="19" t="s">
        <v>14</v>
      </c>
      <c r="G3186" s="19" t="s">
        <v>31</v>
      </c>
      <c r="H3186" s="19" t="s">
        <v>16</v>
      </c>
      <c r="I3186" s="19">
        <v>72</v>
      </c>
      <c r="J3186" s="19">
        <v>1</v>
      </c>
      <c r="K3186" s="19">
        <v>5</v>
      </c>
      <c r="L3186" s="19" t="s">
        <v>33</v>
      </c>
      <c r="M3186" s="21">
        <v>6.7</v>
      </c>
      <c r="N3186">
        <f t="shared" si="49"/>
        <v>1</v>
      </c>
    </row>
    <row r="3187" spans="1:14" x14ac:dyDescent="0.35">
      <c r="A3187" s="22" t="s">
        <v>3257</v>
      </c>
      <c r="B3187" s="23" t="s">
        <v>72</v>
      </c>
      <c r="C3187" s="23">
        <v>3</v>
      </c>
      <c r="D3187" s="24">
        <v>45745</v>
      </c>
      <c r="E3187" s="23" t="s">
        <v>25</v>
      </c>
      <c r="F3187" s="23" t="s">
        <v>26</v>
      </c>
      <c r="G3187" s="23" t="s">
        <v>27</v>
      </c>
      <c r="H3187" s="23" t="s">
        <v>32</v>
      </c>
      <c r="I3187" s="23">
        <v>24</v>
      </c>
      <c r="J3187" s="23">
        <v>0</v>
      </c>
      <c r="K3187" s="23">
        <v>3</v>
      </c>
      <c r="L3187" s="23" t="s">
        <v>8363</v>
      </c>
      <c r="M3187" s="25">
        <v>25</v>
      </c>
      <c r="N3187">
        <f t="shared" si="49"/>
        <v>0</v>
      </c>
    </row>
    <row r="3188" spans="1:14" x14ac:dyDescent="0.35">
      <c r="A3188" s="6" t="s">
        <v>3258</v>
      </c>
      <c r="B3188" s="19" t="s">
        <v>143</v>
      </c>
      <c r="C3188" s="19"/>
      <c r="D3188" s="20"/>
      <c r="E3188" s="19" t="s">
        <v>8364</v>
      </c>
      <c r="F3188" s="19" t="s">
        <v>26</v>
      </c>
      <c r="G3188" s="19" t="s">
        <v>27</v>
      </c>
      <c r="H3188" s="19" t="s">
        <v>22</v>
      </c>
      <c r="I3188" s="19">
        <v>48</v>
      </c>
      <c r="J3188" s="19">
        <v>0</v>
      </c>
      <c r="K3188" s="19">
        <v>5</v>
      </c>
      <c r="L3188" s="19" t="s">
        <v>38</v>
      </c>
      <c r="M3188" s="21">
        <v>8.9</v>
      </c>
      <c r="N3188">
        <f t="shared" si="49"/>
        <v>1</v>
      </c>
    </row>
    <row r="3189" spans="1:14" x14ac:dyDescent="0.35">
      <c r="A3189" s="22" t="s">
        <v>3259</v>
      </c>
      <c r="B3189" s="23" t="s">
        <v>51</v>
      </c>
      <c r="C3189" s="23">
        <v>11</v>
      </c>
      <c r="D3189" s="24">
        <v>45968</v>
      </c>
      <c r="E3189" s="23" t="s">
        <v>13</v>
      </c>
      <c r="F3189" s="23" t="s">
        <v>14</v>
      </c>
      <c r="G3189" s="23" t="s">
        <v>15</v>
      </c>
      <c r="H3189" s="23" t="s">
        <v>22</v>
      </c>
      <c r="I3189" s="23">
        <v>8</v>
      </c>
      <c r="J3189" s="23">
        <v>0</v>
      </c>
      <c r="K3189" s="23">
        <v>5</v>
      </c>
      <c r="L3189" s="23" t="s">
        <v>8363</v>
      </c>
      <c r="M3189" s="25">
        <v>8.6</v>
      </c>
      <c r="N3189">
        <f t="shared" si="49"/>
        <v>0</v>
      </c>
    </row>
    <row r="3190" spans="1:14" x14ac:dyDescent="0.35">
      <c r="A3190" s="6" t="s">
        <v>3260</v>
      </c>
      <c r="B3190" s="19" t="s">
        <v>92</v>
      </c>
      <c r="C3190" s="19">
        <v>1</v>
      </c>
      <c r="D3190" s="20">
        <v>45673</v>
      </c>
      <c r="E3190" s="19" t="s">
        <v>20</v>
      </c>
      <c r="F3190" s="19" t="s">
        <v>37</v>
      </c>
      <c r="G3190" s="19" t="s">
        <v>31</v>
      </c>
      <c r="H3190" s="19" t="s">
        <v>8364</v>
      </c>
      <c r="I3190" s="19">
        <v>24</v>
      </c>
      <c r="J3190" s="19">
        <v>0</v>
      </c>
      <c r="K3190" s="19">
        <v>5</v>
      </c>
      <c r="L3190" s="19" t="s">
        <v>8363</v>
      </c>
      <c r="M3190" s="21">
        <v>7.4</v>
      </c>
      <c r="N3190">
        <f t="shared" si="49"/>
        <v>1</v>
      </c>
    </row>
    <row r="3191" spans="1:14" x14ac:dyDescent="0.35">
      <c r="A3191" s="22" t="s">
        <v>3261</v>
      </c>
      <c r="B3191" s="23" t="s">
        <v>23</v>
      </c>
      <c r="C3191" s="23">
        <v>3</v>
      </c>
      <c r="D3191" s="24">
        <v>45719</v>
      </c>
      <c r="E3191" s="23" t="s">
        <v>68</v>
      </c>
      <c r="F3191" s="23" t="s">
        <v>26</v>
      </c>
      <c r="G3191" s="23" t="s">
        <v>21</v>
      </c>
      <c r="H3191" s="23" t="s">
        <v>22</v>
      </c>
      <c r="I3191" s="23">
        <v>24</v>
      </c>
      <c r="J3191" s="23">
        <v>0</v>
      </c>
      <c r="K3191" s="23">
        <v>1</v>
      </c>
      <c r="L3191" s="23" t="s">
        <v>44</v>
      </c>
      <c r="M3191" s="25">
        <v>20.100000000000001</v>
      </c>
      <c r="N3191">
        <f t="shared" si="49"/>
        <v>1</v>
      </c>
    </row>
    <row r="3192" spans="1:14" x14ac:dyDescent="0.35">
      <c r="A3192" s="6" t="s">
        <v>3262</v>
      </c>
      <c r="B3192" s="19" t="s">
        <v>146</v>
      </c>
      <c r="C3192" s="19">
        <v>12</v>
      </c>
      <c r="D3192" s="20">
        <v>45993</v>
      </c>
      <c r="E3192" s="19" t="s">
        <v>13</v>
      </c>
      <c r="F3192" s="19" t="s">
        <v>40</v>
      </c>
      <c r="G3192" s="19" t="s">
        <v>31</v>
      </c>
      <c r="H3192" s="19" t="s">
        <v>22</v>
      </c>
      <c r="I3192" s="19">
        <v>72</v>
      </c>
      <c r="J3192" s="19">
        <v>0</v>
      </c>
      <c r="K3192" s="19">
        <v>4</v>
      </c>
      <c r="L3192" s="19" t="s">
        <v>62</v>
      </c>
      <c r="M3192" s="21"/>
      <c r="N3192">
        <f t="shared" si="49"/>
        <v>1</v>
      </c>
    </row>
    <row r="3193" spans="1:14" x14ac:dyDescent="0.35">
      <c r="A3193" s="22" t="s">
        <v>3263</v>
      </c>
      <c r="B3193" s="23" t="s">
        <v>23</v>
      </c>
      <c r="C3193" s="23"/>
      <c r="D3193" s="24"/>
      <c r="E3193" s="23" t="s">
        <v>68</v>
      </c>
      <c r="F3193" s="23" t="s">
        <v>14</v>
      </c>
      <c r="G3193" s="23" t="s">
        <v>27</v>
      </c>
      <c r="H3193" s="23" t="s">
        <v>22</v>
      </c>
      <c r="I3193" s="23">
        <v>4</v>
      </c>
      <c r="J3193" s="23">
        <v>0</v>
      </c>
      <c r="K3193" s="23">
        <v>3</v>
      </c>
      <c r="L3193" s="23" t="s">
        <v>33</v>
      </c>
      <c r="M3193" s="25">
        <v>10.6</v>
      </c>
      <c r="N3193">
        <f t="shared" si="49"/>
        <v>0</v>
      </c>
    </row>
    <row r="3194" spans="1:14" x14ac:dyDescent="0.35">
      <c r="A3194" s="6" t="s">
        <v>3264</v>
      </c>
      <c r="B3194" s="19" t="s">
        <v>34</v>
      </c>
      <c r="C3194" s="19">
        <v>8</v>
      </c>
      <c r="D3194" s="20">
        <v>45872</v>
      </c>
      <c r="E3194" s="19" t="s">
        <v>13</v>
      </c>
      <c r="F3194" s="19" t="s">
        <v>8364</v>
      </c>
      <c r="G3194" s="19" t="s">
        <v>27</v>
      </c>
      <c r="H3194" s="19" t="s">
        <v>8364</v>
      </c>
      <c r="I3194" s="19">
        <v>72</v>
      </c>
      <c r="J3194" s="19">
        <v>0</v>
      </c>
      <c r="K3194" s="19">
        <v>3</v>
      </c>
      <c r="L3194" s="19" t="s">
        <v>55</v>
      </c>
      <c r="M3194" s="21">
        <v>16.600000000000001</v>
      </c>
      <c r="N3194">
        <f t="shared" si="49"/>
        <v>1</v>
      </c>
    </row>
    <row r="3195" spans="1:14" x14ac:dyDescent="0.35">
      <c r="A3195" s="22" t="s">
        <v>3265</v>
      </c>
      <c r="B3195" s="23" t="s">
        <v>253</v>
      </c>
      <c r="C3195" s="23"/>
      <c r="D3195" s="24"/>
      <c r="E3195" s="23" t="s">
        <v>13</v>
      </c>
      <c r="F3195" s="23" t="s">
        <v>14</v>
      </c>
      <c r="G3195" s="23" t="s">
        <v>27</v>
      </c>
      <c r="H3195" s="23" t="s">
        <v>22</v>
      </c>
      <c r="I3195" s="23">
        <v>72</v>
      </c>
      <c r="J3195" s="23">
        <v>0</v>
      </c>
      <c r="K3195" s="23">
        <v>5</v>
      </c>
      <c r="L3195" s="23" t="s">
        <v>33</v>
      </c>
      <c r="M3195" s="25">
        <v>5.7</v>
      </c>
      <c r="N3195">
        <f t="shared" si="49"/>
        <v>1</v>
      </c>
    </row>
    <row r="3196" spans="1:14" x14ac:dyDescent="0.35">
      <c r="A3196" s="6" t="s">
        <v>3266</v>
      </c>
      <c r="B3196" s="19" t="s">
        <v>85</v>
      </c>
      <c r="C3196" s="19">
        <v>9</v>
      </c>
      <c r="D3196" s="20">
        <v>45930</v>
      </c>
      <c r="E3196" s="19" t="s">
        <v>25</v>
      </c>
      <c r="F3196" s="19" t="s">
        <v>14</v>
      </c>
      <c r="G3196" s="19" t="s">
        <v>21</v>
      </c>
      <c r="H3196" s="19" t="s">
        <v>28</v>
      </c>
      <c r="I3196" s="19">
        <v>72</v>
      </c>
      <c r="J3196" s="19">
        <v>0</v>
      </c>
      <c r="K3196" s="19">
        <v>3</v>
      </c>
      <c r="L3196" s="19" t="s">
        <v>44</v>
      </c>
      <c r="M3196" s="21">
        <v>2.1</v>
      </c>
      <c r="N3196">
        <f t="shared" si="49"/>
        <v>1</v>
      </c>
    </row>
    <row r="3197" spans="1:14" x14ac:dyDescent="0.35">
      <c r="A3197" s="22" t="s">
        <v>3267</v>
      </c>
      <c r="B3197" s="23" t="s">
        <v>89</v>
      </c>
      <c r="C3197" s="23">
        <v>4</v>
      </c>
      <c r="D3197" s="24">
        <v>45766</v>
      </c>
      <c r="E3197" s="23" t="s">
        <v>25</v>
      </c>
      <c r="F3197" s="23" t="s">
        <v>37</v>
      </c>
      <c r="G3197" s="23" t="s">
        <v>15</v>
      </c>
      <c r="H3197" s="23" t="s">
        <v>22</v>
      </c>
      <c r="I3197" s="23">
        <v>72</v>
      </c>
      <c r="J3197" s="23">
        <v>3</v>
      </c>
      <c r="K3197" s="23">
        <v>4</v>
      </c>
      <c r="L3197" s="23" t="s">
        <v>75</v>
      </c>
      <c r="M3197" s="25">
        <v>15.2</v>
      </c>
      <c r="N3197">
        <f t="shared" si="49"/>
        <v>1</v>
      </c>
    </row>
    <row r="3198" spans="1:14" x14ac:dyDescent="0.35">
      <c r="A3198" s="6" t="s">
        <v>3268</v>
      </c>
      <c r="B3198" s="19" t="s">
        <v>51</v>
      </c>
      <c r="C3198" s="19"/>
      <c r="D3198" s="20"/>
      <c r="E3198" s="19" t="s">
        <v>13</v>
      </c>
      <c r="F3198" s="19" t="s">
        <v>26</v>
      </c>
      <c r="G3198" s="19" t="s">
        <v>15</v>
      </c>
      <c r="H3198" s="19" t="s">
        <v>22</v>
      </c>
      <c r="I3198" s="19">
        <v>4</v>
      </c>
      <c r="J3198" s="19">
        <v>0</v>
      </c>
      <c r="K3198" s="19">
        <v>2</v>
      </c>
      <c r="L3198" s="19" t="s">
        <v>17</v>
      </c>
      <c r="M3198" s="21">
        <v>3.5</v>
      </c>
      <c r="N3198">
        <f t="shared" si="49"/>
        <v>1</v>
      </c>
    </row>
    <row r="3199" spans="1:14" x14ac:dyDescent="0.35">
      <c r="A3199" s="22" t="s">
        <v>3269</v>
      </c>
      <c r="B3199" s="23" t="s">
        <v>65</v>
      </c>
      <c r="C3199" s="23">
        <v>9</v>
      </c>
      <c r="D3199" s="24">
        <v>45927</v>
      </c>
      <c r="E3199" s="23" t="s">
        <v>13</v>
      </c>
      <c r="F3199" s="23" t="s">
        <v>26</v>
      </c>
      <c r="G3199" s="23" t="s">
        <v>15</v>
      </c>
      <c r="H3199" s="23" t="s">
        <v>8364</v>
      </c>
      <c r="I3199" s="23">
        <v>48</v>
      </c>
      <c r="J3199" s="23">
        <v>1</v>
      </c>
      <c r="K3199" s="23"/>
      <c r="L3199" s="23" t="s">
        <v>8363</v>
      </c>
      <c r="M3199" s="25">
        <v>37.9</v>
      </c>
      <c r="N3199">
        <f t="shared" si="49"/>
        <v>1</v>
      </c>
    </row>
    <row r="3200" spans="1:14" x14ac:dyDescent="0.35">
      <c r="A3200" s="6" t="s">
        <v>3270</v>
      </c>
      <c r="B3200" s="19" t="s">
        <v>41</v>
      </c>
      <c r="C3200" s="19"/>
      <c r="D3200" s="20"/>
      <c r="E3200" s="19" t="s">
        <v>36</v>
      </c>
      <c r="F3200" s="19" t="s">
        <v>59</v>
      </c>
      <c r="G3200" s="19" t="s">
        <v>31</v>
      </c>
      <c r="H3200" s="19" t="s">
        <v>16</v>
      </c>
      <c r="I3200" s="19">
        <v>24</v>
      </c>
      <c r="J3200" s="19">
        <v>0</v>
      </c>
      <c r="K3200" s="19">
        <v>4</v>
      </c>
      <c r="L3200" s="19" t="s">
        <v>38</v>
      </c>
      <c r="M3200" s="21">
        <v>9.1999999999999993</v>
      </c>
      <c r="N3200">
        <f t="shared" si="49"/>
        <v>1</v>
      </c>
    </row>
    <row r="3201" spans="1:14" x14ac:dyDescent="0.35">
      <c r="A3201" s="22" t="s">
        <v>3271</v>
      </c>
      <c r="B3201" s="23" t="s">
        <v>18</v>
      </c>
      <c r="C3201" s="23">
        <v>4</v>
      </c>
      <c r="D3201" s="24">
        <v>45755</v>
      </c>
      <c r="E3201" s="23" t="s">
        <v>36</v>
      </c>
      <c r="F3201" s="23" t="s">
        <v>8364</v>
      </c>
      <c r="G3201" s="23" t="s">
        <v>15</v>
      </c>
      <c r="H3201" s="23" t="s">
        <v>32</v>
      </c>
      <c r="I3201" s="23">
        <v>24</v>
      </c>
      <c r="J3201" s="23">
        <v>0</v>
      </c>
      <c r="K3201" s="23">
        <v>5</v>
      </c>
      <c r="L3201" s="23" t="s">
        <v>44</v>
      </c>
      <c r="M3201" s="25">
        <v>7.1</v>
      </c>
      <c r="N3201">
        <f t="shared" si="49"/>
        <v>1</v>
      </c>
    </row>
    <row r="3202" spans="1:14" x14ac:dyDescent="0.35">
      <c r="A3202" s="6" t="s">
        <v>3272</v>
      </c>
      <c r="B3202" s="19" t="s">
        <v>23</v>
      </c>
      <c r="C3202" s="19">
        <v>11</v>
      </c>
      <c r="D3202" s="20">
        <v>45967</v>
      </c>
      <c r="E3202" s="19" t="s">
        <v>25</v>
      </c>
      <c r="F3202" s="19" t="s">
        <v>37</v>
      </c>
      <c r="G3202" s="19" t="s">
        <v>21</v>
      </c>
      <c r="H3202" s="19" t="s">
        <v>22</v>
      </c>
      <c r="I3202" s="19">
        <v>72</v>
      </c>
      <c r="J3202" s="19">
        <v>0</v>
      </c>
      <c r="K3202" s="19">
        <v>4</v>
      </c>
      <c r="L3202" s="19" t="s">
        <v>38</v>
      </c>
      <c r="M3202" s="21">
        <v>4.5</v>
      </c>
      <c r="N3202">
        <f t="shared" si="49"/>
        <v>1</v>
      </c>
    </row>
    <row r="3203" spans="1:14" x14ac:dyDescent="0.35">
      <c r="A3203" s="22" t="s">
        <v>3273</v>
      </c>
      <c r="B3203" s="23" t="s">
        <v>18</v>
      </c>
      <c r="C3203" s="23">
        <v>2</v>
      </c>
      <c r="D3203" s="24">
        <v>45696</v>
      </c>
      <c r="E3203" s="23" t="s">
        <v>13</v>
      </c>
      <c r="F3203" s="23" t="s">
        <v>59</v>
      </c>
      <c r="G3203" s="23" t="s">
        <v>27</v>
      </c>
      <c r="H3203" s="23" t="s">
        <v>28</v>
      </c>
      <c r="I3203" s="23">
        <v>24</v>
      </c>
      <c r="J3203" s="23">
        <v>1</v>
      </c>
      <c r="K3203" s="23">
        <v>4</v>
      </c>
      <c r="L3203" s="23" t="s">
        <v>8363</v>
      </c>
      <c r="M3203" s="25">
        <v>5.0999999999999996</v>
      </c>
      <c r="N3203">
        <f t="shared" ref="N3203:N3266" si="50">IF(M3203 &lt;= I3203, 1, 0)</f>
        <v>1</v>
      </c>
    </row>
    <row r="3204" spans="1:14" x14ac:dyDescent="0.35">
      <c r="A3204" s="6" t="s">
        <v>3274</v>
      </c>
      <c r="B3204" s="19" t="s">
        <v>72</v>
      </c>
      <c r="C3204" s="19"/>
      <c r="D3204" s="20"/>
      <c r="E3204" s="19" t="s">
        <v>25</v>
      </c>
      <c r="F3204" s="19" t="s">
        <v>14</v>
      </c>
      <c r="G3204" s="19" t="s">
        <v>8364</v>
      </c>
      <c r="H3204" s="19" t="s">
        <v>28</v>
      </c>
      <c r="I3204" s="19">
        <v>4</v>
      </c>
      <c r="J3204" s="19">
        <v>0</v>
      </c>
      <c r="K3204" s="19">
        <v>4</v>
      </c>
      <c r="L3204" s="19" t="s">
        <v>8363</v>
      </c>
      <c r="M3204" s="21">
        <v>18.7</v>
      </c>
      <c r="N3204">
        <f t="shared" si="50"/>
        <v>0</v>
      </c>
    </row>
    <row r="3205" spans="1:14" x14ac:dyDescent="0.35">
      <c r="A3205" s="22" t="s">
        <v>3275</v>
      </c>
      <c r="B3205" s="23" t="s">
        <v>65</v>
      </c>
      <c r="C3205" s="23">
        <v>10</v>
      </c>
      <c r="D3205" s="24">
        <v>45939</v>
      </c>
      <c r="E3205" s="23" t="s">
        <v>20</v>
      </c>
      <c r="F3205" s="23" t="s">
        <v>14</v>
      </c>
      <c r="G3205" s="23" t="s">
        <v>27</v>
      </c>
      <c r="H3205" s="23" t="s">
        <v>22</v>
      </c>
      <c r="I3205" s="23">
        <v>24</v>
      </c>
      <c r="J3205" s="23">
        <v>1</v>
      </c>
      <c r="K3205" s="23">
        <v>3</v>
      </c>
      <c r="L3205" s="23" t="s">
        <v>44</v>
      </c>
      <c r="M3205" s="25">
        <v>40.6</v>
      </c>
      <c r="N3205">
        <f t="shared" si="50"/>
        <v>0</v>
      </c>
    </row>
    <row r="3206" spans="1:14" x14ac:dyDescent="0.35">
      <c r="A3206" s="6" t="s">
        <v>3276</v>
      </c>
      <c r="B3206" s="19" t="s">
        <v>139</v>
      </c>
      <c r="C3206" s="19">
        <v>1</v>
      </c>
      <c r="D3206" s="20">
        <v>45674</v>
      </c>
      <c r="E3206" s="19" t="s">
        <v>25</v>
      </c>
      <c r="F3206" s="19" t="s">
        <v>59</v>
      </c>
      <c r="G3206" s="19" t="s">
        <v>21</v>
      </c>
      <c r="H3206" s="19" t="s">
        <v>32</v>
      </c>
      <c r="I3206" s="19">
        <v>72</v>
      </c>
      <c r="J3206" s="19">
        <v>0</v>
      </c>
      <c r="K3206" s="19">
        <v>3</v>
      </c>
      <c r="L3206" s="19" t="s">
        <v>62</v>
      </c>
      <c r="M3206" s="21">
        <v>19.8</v>
      </c>
      <c r="N3206">
        <f t="shared" si="50"/>
        <v>1</v>
      </c>
    </row>
    <row r="3207" spans="1:14" x14ac:dyDescent="0.35">
      <c r="A3207" s="22" t="s">
        <v>3277</v>
      </c>
      <c r="B3207" s="23" t="s">
        <v>253</v>
      </c>
      <c r="C3207" s="23">
        <v>6</v>
      </c>
      <c r="D3207" s="24">
        <v>45818</v>
      </c>
      <c r="E3207" s="23" t="s">
        <v>20</v>
      </c>
      <c r="F3207" s="23" t="s">
        <v>14</v>
      </c>
      <c r="G3207" s="23" t="s">
        <v>31</v>
      </c>
      <c r="H3207" s="23" t="s">
        <v>8364</v>
      </c>
      <c r="I3207" s="23">
        <v>8</v>
      </c>
      <c r="J3207" s="23">
        <v>0</v>
      </c>
      <c r="K3207" s="23">
        <v>4</v>
      </c>
      <c r="L3207" s="23" t="s">
        <v>62</v>
      </c>
      <c r="M3207" s="25">
        <v>9.4</v>
      </c>
      <c r="N3207">
        <f t="shared" si="50"/>
        <v>0</v>
      </c>
    </row>
    <row r="3208" spans="1:14" x14ac:dyDescent="0.35">
      <c r="A3208" s="6" t="s">
        <v>3278</v>
      </c>
      <c r="B3208" s="19" t="s">
        <v>99</v>
      </c>
      <c r="C3208" s="19">
        <v>8</v>
      </c>
      <c r="D3208" s="20">
        <v>45888</v>
      </c>
      <c r="E3208" s="19" t="s">
        <v>13</v>
      </c>
      <c r="F3208" s="19" t="s">
        <v>8364</v>
      </c>
      <c r="G3208" s="19" t="s">
        <v>15</v>
      </c>
      <c r="H3208" s="19" t="s">
        <v>8364</v>
      </c>
      <c r="I3208" s="19">
        <v>48</v>
      </c>
      <c r="J3208" s="19">
        <v>0</v>
      </c>
      <c r="K3208" s="19">
        <v>4</v>
      </c>
      <c r="L3208" s="19" t="s">
        <v>17</v>
      </c>
      <c r="M3208" s="21">
        <v>3.7</v>
      </c>
      <c r="N3208">
        <f t="shared" si="50"/>
        <v>1</v>
      </c>
    </row>
    <row r="3209" spans="1:14" x14ac:dyDescent="0.35">
      <c r="A3209" s="22" t="s">
        <v>3279</v>
      </c>
      <c r="B3209" s="23" t="s">
        <v>236</v>
      </c>
      <c r="C3209" s="23">
        <v>11</v>
      </c>
      <c r="D3209" s="24">
        <v>45991</v>
      </c>
      <c r="E3209" s="23" t="s">
        <v>68</v>
      </c>
      <c r="F3209" s="23" t="s">
        <v>8364</v>
      </c>
      <c r="G3209" s="23" t="s">
        <v>8364</v>
      </c>
      <c r="H3209" s="23" t="s">
        <v>32</v>
      </c>
      <c r="I3209" s="23">
        <v>72</v>
      </c>
      <c r="J3209" s="23">
        <v>0</v>
      </c>
      <c r="K3209" s="23">
        <v>4</v>
      </c>
      <c r="L3209" s="23" t="s">
        <v>38</v>
      </c>
      <c r="M3209" s="25">
        <v>3.6</v>
      </c>
      <c r="N3209">
        <f t="shared" si="50"/>
        <v>1</v>
      </c>
    </row>
    <row r="3210" spans="1:14" x14ac:dyDescent="0.35">
      <c r="A3210" s="6" t="s">
        <v>3280</v>
      </c>
      <c r="B3210" s="19" t="s">
        <v>89</v>
      </c>
      <c r="C3210" s="19">
        <v>1</v>
      </c>
      <c r="D3210" s="20">
        <v>45660</v>
      </c>
      <c r="E3210" s="19" t="s">
        <v>13</v>
      </c>
      <c r="F3210" s="19" t="s">
        <v>14</v>
      </c>
      <c r="G3210" s="19" t="s">
        <v>27</v>
      </c>
      <c r="H3210" s="19" t="s">
        <v>28</v>
      </c>
      <c r="I3210" s="19">
        <v>8</v>
      </c>
      <c r="J3210" s="19">
        <v>0</v>
      </c>
      <c r="K3210" s="19"/>
      <c r="L3210" s="19" t="s">
        <v>44</v>
      </c>
      <c r="M3210" s="21">
        <v>6.9</v>
      </c>
      <c r="N3210">
        <f t="shared" si="50"/>
        <v>1</v>
      </c>
    </row>
    <row r="3211" spans="1:14" x14ac:dyDescent="0.35">
      <c r="A3211" s="22" t="s">
        <v>3281</v>
      </c>
      <c r="B3211" s="23" t="s">
        <v>181</v>
      </c>
      <c r="C3211" s="23">
        <v>1</v>
      </c>
      <c r="D3211" s="24">
        <v>45668</v>
      </c>
      <c r="E3211" s="23" t="s">
        <v>20</v>
      </c>
      <c r="F3211" s="23" t="s">
        <v>8364</v>
      </c>
      <c r="G3211" s="23" t="s">
        <v>31</v>
      </c>
      <c r="H3211" s="23" t="s">
        <v>22</v>
      </c>
      <c r="I3211" s="23">
        <v>8</v>
      </c>
      <c r="J3211" s="23">
        <v>2</v>
      </c>
      <c r="K3211" s="23">
        <v>1</v>
      </c>
      <c r="L3211" s="23" t="s">
        <v>62</v>
      </c>
      <c r="M3211" s="25">
        <v>15.1</v>
      </c>
      <c r="N3211">
        <f t="shared" si="50"/>
        <v>0</v>
      </c>
    </row>
    <row r="3212" spans="1:14" x14ac:dyDescent="0.35">
      <c r="A3212" s="6" t="s">
        <v>3282</v>
      </c>
      <c r="B3212" s="19" t="s">
        <v>45</v>
      </c>
      <c r="C3212" s="19">
        <v>6</v>
      </c>
      <c r="D3212" s="20">
        <v>45838</v>
      </c>
      <c r="E3212" s="19" t="s">
        <v>13</v>
      </c>
      <c r="F3212" s="19" t="s">
        <v>26</v>
      </c>
      <c r="G3212" s="19" t="s">
        <v>15</v>
      </c>
      <c r="H3212" s="19" t="s">
        <v>28</v>
      </c>
      <c r="I3212" s="19">
        <v>4</v>
      </c>
      <c r="J3212" s="19">
        <v>0</v>
      </c>
      <c r="K3212" s="19"/>
      <c r="L3212" s="19" t="s">
        <v>17</v>
      </c>
      <c r="M3212" s="21">
        <v>22.4</v>
      </c>
      <c r="N3212">
        <f t="shared" si="50"/>
        <v>0</v>
      </c>
    </row>
    <row r="3213" spans="1:14" x14ac:dyDescent="0.35">
      <c r="A3213" s="22" t="s">
        <v>3283</v>
      </c>
      <c r="B3213" s="23" t="s">
        <v>108</v>
      </c>
      <c r="C3213" s="23">
        <v>8</v>
      </c>
      <c r="D3213" s="24">
        <v>45888</v>
      </c>
      <c r="E3213" s="23" t="s">
        <v>13</v>
      </c>
      <c r="F3213" s="23" t="s">
        <v>14</v>
      </c>
      <c r="G3213" s="23" t="s">
        <v>21</v>
      </c>
      <c r="H3213" s="23" t="s">
        <v>28</v>
      </c>
      <c r="I3213" s="23">
        <v>48</v>
      </c>
      <c r="J3213" s="23">
        <v>1</v>
      </c>
      <c r="K3213" s="23">
        <v>5</v>
      </c>
      <c r="L3213" s="23" t="s">
        <v>8363</v>
      </c>
      <c r="M3213" s="25">
        <v>7.5</v>
      </c>
      <c r="N3213">
        <f t="shared" si="50"/>
        <v>1</v>
      </c>
    </row>
    <row r="3214" spans="1:14" x14ac:dyDescent="0.35">
      <c r="A3214" s="6" t="s">
        <v>3284</v>
      </c>
      <c r="B3214" s="19" t="s">
        <v>29</v>
      </c>
      <c r="C3214" s="19">
        <v>12</v>
      </c>
      <c r="D3214" s="20">
        <v>45996</v>
      </c>
      <c r="E3214" s="19" t="s">
        <v>8364</v>
      </c>
      <c r="F3214" s="19" t="s">
        <v>40</v>
      </c>
      <c r="G3214" s="19" t="s">
        <v>31</v>
      </c>
      <c r="H3214" s="19" t="s">
        <v>8364</v>
      </c>
      <c r="I3214" s="19">
        <v>8</v>
      </c>
      <c r="J3214" s="19">
        <v>0</v>
      </c>
      <c r="K3214" s="19">
        <v>3</v>
      </c>
      <c r="L3214" s="19" t="s">
        <v>8363</v>
      </c>
      <c r="M3214" s="21">
        <v>21.7</v>
      </c>
      <c r="N3214">
        <f t="shared" si="50"/>
        <v>0</v>
      </c>
    </row>
    <row r="3215" spans="1:14" x14ac:dyDescent="0.35">
      <c r="A3215" s="22" t="s">
        <v>3285</v>
      </c>
      <c r="B3215" s="23" t="s">
        <v>65</v>
      </c>
      <c r="C3215" s="23">
        <v>1</v>
      </c>
      <c r="D3215" s="24">
        <v>45665</v>
      </c>
      <c r="E3215" s="23" t="s">
        <v>13</v>
      </c>
      <c r="F3215" s="23" t="s">
        <v>43</v>
      </c>
      <c r="G3215" s="23" t="s">
        <v>15</v>
      </c>
      <c r="H3215" s="23" t="s">
        <v>16</v>
      </c>
      <c r="I3215" s="23">
        <v>24</v>
      </c>
      <c r="J3215" s="23">
        <v>0</v>
      </c>
      <c r="K3215" s="23">
        <v>4</v>
      </c>
      <c r="L3215" s="23" t="s">
        <v>17</v>
      </c>
      <c r="M3215" s="25">
        <v>5.9</v>
      </c>
      <c r="N3215">
        <f t="shared" si="50"/>
        <v>1</v>
      </c>
    </row>
    <row r="3216" spans="1:14" x14ac:dyDescent="0.35">
      <c r="A3216" s="6" t="s">
        <v>3286</v>
      </c>
      <c r="B3216" s="19" t="s">
        <v>85</v>
      </c>
      <c r="C3216" s="19">
        <v>1</v>
      </c>
      <c r="D3216" s="20">
        <v>45680</v>
      </c>
      <c r="E3216" s="19" t="s">
        <v>20</v>
      </c>
      <c r="F3216" s="19" t="s">
        <v>59</v>
      </c>
      <c r="G3216" s="19" t="s">
        <v>27</v>
      </c>
      <c r="H3216" s="19" t="s">
        <v>22</v>
      </c>
      <c r="I3216" s="19">
        <v>8</v>
      </c>
      <c r="J3216" s="19">
        <v>2</v>
      </c>
      <c r="K3216" s="19">
        <v>4</v>
      </c>
      <c r="L3216" s="19" t="s">
        <v>75</v>
      </c>
      <c r="M3216" s="21">
        <v>13.3</v>
      </c>
      <c r="N3216">
        <f t="shared" si="50"/>
        <v>0</v>
      </c>
    </row>
    <row r="3217" spans="1:14" x14ac:dyDescent="0.35">
      <c r="A3217" s="22" t="s">
        <v>3287</v>
      </c>
      <c r="B3217" s="23" t="s">
        <v>34</v>
      </c>
      <c r="C3217" s="23">
        <v>11</v>
      </c>
      <c r="D3217" s="24">
        <v>45969</v>
      </c>
      <c r="E3217" s="23" t="s">
        <v>20</v>
      </c>
      <c r="F3217" s="23" t="s">
        <v>8364</v>
      </c>
      <c r="G3217" s="23" t="s">
        <v>8364</v>
      </c>
      <c r="H3217" s="23" t="s">
        <v>8364</v>
      </c>
      <c r="I3217" s="23">
        <v>8</v>
      </c>
      <c r="J3217" s="23">
        <v>0</v>
      </c>
      <c r="K3217" s="23">
        <v>4</v>
      </c>
      <c r="L3217" s="23" t="s">
        <v>8363</v>
      </c>
      <c r="M3217" s="25">
        <v>2</v>
      </c>
      <c r="N3217">
        <f t="shared" si="50"/>
        <v>1</v>
      </c>
    </row>
    <row r="3218" spans="1:14" x14ac:dyDescent="0.35">
      <c r="A3218" s="6" t="s">
        <v>3288</v>
      </c>
      <c r="B3218" s="19" t="s">
        <v>49</v>
      </c>
      <c r="C3218" s="19">
        <v>6</v>
      </c>
      <c r="D3218" s="20">
        <v>45832</v>
      </c>
      <c r="E3218" s="19" t="s">
        <v>36</v>
      </c>
      <c r="F3218" s="19" t="s">
        <v>37</v>
      </c>
      <c r="G3218" s="19" t="s">
        <v>31</v>
      </c>
      <c r="H3218" s="19" t="s">
        <v>28</v>
      </c>
      <c r="I3218" s="19">
        <v>8</v>
      </c>
      <c r="J3218" s="19">
        <v>0</v>
      </c>
      <c r="K3218" s="19">
        <v>5</v>
      </c>
      <c r="L3218" s="19" t="s">
        <v>44</v>
      </c>
      <c r="M3218" s="21">
        <v>1.7</v>
      </c>
      <c r="N3218">
        <f t="shared" si="50"/>
        <v>1</v>
      </c>
    </row>
    <row r="3219" spans="1:14" x14ac:dyDescent="0.35">
      <c r="A3219" s="22" t="s">
        <v>3289</v>
      </c>
      <c r="B3219" s="23" t="s">
        <v>104</v>
      </c>
      <c r="C3219" s="23">
        <v>4</v>
      </c>
      <c r="D3219" s="24">
        <v>45758</v>
      </c>
      <c r="E3219" s="23" t="s">
        <v>13</v>
      </c>
      <c r="F3219" s="23" t="s">
        <v>59</v>
      </c>
      <c r="G3219" s="23" t="s">
        <v>31</v>
      </c>
      <c r="H3219" s="23" t="s">
        <v>32</v>
      </c>
      <c r="I3219" s="23">
        <v>4</v>
      </c>
      <c r="J3219" s="23">
        <v>0</v>
      </c>
      <c r="K3219" s="23">
        <v>5</v>
      </c>
      <c r="L3219" s="23" t="s">
        <v>38</v>
      </c>
      <c r="M3219" s="25">
        <v>17.600000000000001</v>
      </c>
      <c r="N3219">
        <f t="shared" si="50"/>
        <v>0</v>
      </c>
    </row>
    <row r="3220" spans="1:14" x14ac:dyDescent="0.35">
      <c r="A3220" s="6" t="s">
        <v>3290</v>
      </c>
      <c r="B3220" s="19" t="s">
        <v>126</v>
      </c>
      <c r="C3220" s="19">
        <v>9</v>
      </c>
      <c r="D3220" s="20">
        <v>45910</v>
      </c>
      <c r="E3220" s="19" t="s">
        <v>25</v>
      </c>
      <c r="F3220" s="19" t="s">
        <v>37</v>
      </c>
      <c r="G3220" s="19" t="s">
        <v>21</v>
      </c>
      <c r="H3220" s="19" t="s">
        <v>22</v>
      </c>
      <c r="I3220" s="19">
        <v>4</v>
      </c>
      <c r="J3220" s="19">
        <v>0</v>
      </c>
      <c r="K3220" s="19"/>
      <c r="L3220" s="19" t="s">
        <v>33</v>
      </c>
      <c r="M3220" s="21">
        <v>22.3</v>
      </c>
      <c r="N3220">
        <f t="shared" si="50"/>
        <v>0</v>
      </c>
    </row>
    <row r="3221" spans="1:14" x14ac:dyDescent="0.35">
      <c r="A3221" s="22" t="s">
        <v>3291</v>
      </c>
      <c r="B3221" s="23" t="s">
        <v>158</v>
      </c>
      <c r="C3221" s="23">
        <v>8</v>
      </c>
      <c r="D3221" s="24">
        <v>45888</v>
      </c>
      <c r="E3221" s="23" t="s">
        <v>68</v>
      </c>
      <c r="F3221" s="23" t="s">
        <v>14</v>
      </c>
      <c r="G3221" s="23" t="s">
        <v>31</v>
      </c>
      <c r="H3221" s="23" t="s">
        <v>28</v>
      </c>
      <c r="I3221" s="23">
        <v>48</v>
      </c>
      <c r="J3221" s="23">
        <v>0</v>
      </c>
      <c r="K3221" s="23">
        <v>1</v>
      </c>
      <c r="L3221" s="23" t="s">
        <v>55</v>
      </c>
      <c r="M3221" s="25">
        <v>11</v>
      </c>
      <c r="N3221">
        <f t="shared" si="50"/>
        <v>1</v>
      </c>
    </row>
    <row r="3222" spans="1:14" x14ac:dyDescent="0.35">
      <c r="A3222" s="6" t="s">
        <v>3292</v>
      </c>
      <c r="B3222" s="19" t="s">
        <v>85</v>
      </c>
      <c r="C3222" s="19">
        <v>7</v>
      </c>
      <c r="D3222" s="20">
        <v>45864</v>
      </c>
      <c r="E3222" s="19" t="s">
        <v>36</v>
      </c>
      <c r="F3222" s="19" t="s">
        <v>26</v>
      </c>
      <c r="G3222" s="19" t="s">
        <v>27</v>
      </c>
      <c r="H3222" s="19" t="s">
        <v>32</v>
      </c>
      <c r="I3222" s="19">
        <v>4</v>
      </c>
      <c r="J3222" s="19">
        <v>2</v>
      </c>
      <c r="K3222" s="19">
        <v>4</v>
      </c>
      <c r="L3222" s="19" t="s">
        <v>17</v>
      </c>
      <c r="M3222" s="21">
        <v>22.7</v>
      </c>
      <c r="N3222">
        <f t="shared" si="50"/>
        <v>0</v>
      </c>
    </row>
    <row r="3223" spans="1:14" x14ac:dyDescent="0.35">
      <c r="A3223" s="22" t="s">
        <v>3293</v>
      </c>
      <c r="B3223" s="23" t="s">
        <v>85</v>
      </c>
      <c r="C3223" s="23">
        <v>3</v>
      </c>
      <c r="D3223" s="24">
        <v>45729</v>
      </c>
      <c r="E3223" s="23" t="s">
        <v>25</v>
      </c>
      <c r="F3223" s="23" t="s">
        <v>8364</v>
      </c>
      <c r="G3223" s="23" t="s">
        <v>15</v>
      </c>
      <c r="H3223" s="23" t="s">
        <v>8364</v>
      </c>
      <c r="I3223" s="23">
        <v>8</v>
      </c>
      <c r="J3223" s="23">
        <v>0</v>
      </c>
      <c r="K3223" s="23">
        <v>2</v>
      </c>
      <c r="L3223" s="23" t="s">
        <v>33</v>
      </c>
      <c r="M3223" s="25">
        <v>10</v>
      </c>
      <c r="N3223">
        <f t="shared" si="50"/>
        <v>0</v>
      </c>
    </row>
    <row r="3224" spans="1:14" x14ac:dyDescent="0.35">
      <c r="A3224" s="6" t="s">
        <v>3294</v>
      </c>
      <c r="B3224" s="19" t="s">
        <v>108</v>
      </c>
      <c r="C3224" s="19">
        <v>5</v>
      </c>
      <c r="D3224" s="20">
        <v>45779</v>
      </c>
      <c r="E3224" s="19" t="s">
        <v>8364</v>
      </c>
      <c r="F3224" s="19" t="s">
        <v>43</v>
      </c>
      <c r="G3224" s="19" t="s">
        <v>27</v>
      </c>
      <c r="H3224" s="19" t="s">
        <v>16</v>
      </c>
      <c r="I3224" s="19">
        <v>8</v>
      </c>
      <c r="J3224" s="19">
        <v>0</v>
      </c>
      <c r="K3224" s="19">
        <v>2</v>
      </c>
      <c r="L3224" s="19" t="s">
        <v>44</v>
      </c>
      <c r="M3224" s="21">
        <v>5.0999999999999996</v>
      </c>
      <c r="N3224">
        <f t="shared" si="50"/>
        <v>1</v>
      </c>
    </row>
    <row r="3225" spans="1:14" x14ac:dyDescent="0.35">
      <c r="A3225" s="22" t="s">
        <v>3295</v>
      </c>
      <c r="B3225" s="23" t="s">
        <v>29</v>
      </c>
      <c r="C3225" s="23">
        <v>2</v>
      </c>
      <c r="D3225" s="24">
        <v>45700</v>
      </c>
      <c r="E3225" s="23" t="s">
        <v>20</v>
      </c>
      <c r="F3225" s="23" t="s">
        <v>43</v>
      </c>
      <c r="G3225" s="23" t="s">
        <v>15</v>
      </c>
      <c r="H3225" s="23" t="s">
        <v>22</v>
      </c>
      <c r="I3225" s="23">
        <v>8</v>
      </c>
      <c r="J3225" s="23">
        <v>0</v>
      </c>
      <c r="K3225" s="23">
        <v>4</v>
      </c>
      <c r="L3225" s="23" t="s">
        <v>33</v>
      </c>
      <c r="M3225" s="25">
        <v>14.6</v>
      </c>
      <c r="N3225">
        <f t="shared" si="50"/>
        <v>0</v>
      </c>
    </row>
    <row r="3226" spans="1:14" x14ac:dyDescent="0.35">
      <c r="A3226" s="6" t="s">
        <v>3296</v>
      </c>
      <c r="B3226" s="19" t="s">
        <v>51</v>
      </c>
      <c r="C3226" s="19">
        <v>12</v>
      </c>
      <c r="D3226" s="20">
        <v>46021</v>
      </c>
      <c r="E3226" s="19" t="s">
        <v>13</v>
      </c>
      <c r="F3226" s="19" t="s">
        <v>14</v>
      </c>
      <c r="G3226" s="19" t="s">
        <v>31</v>
      </c>
      <c r="H3226" s="19" t="s">
        <v>32</v>
      </c>
      <c r="I3226" s="19">
        <v>24</v>
      </c>
      <c r="J3226" s="19">
        <v>3</v>
      </c>
      <c r="K3226" s="19">
        <v>5</v>
      </c>
      <c r="L3226" s="19" t="s">
        <v>33</v>
      </c>
      <c r="M3226" s="21">
        <v>5.7</v>
      </c>
      <c r="N3226">
        <f t="shared" si="50"/>
        <v>1</v>
      </c>
    </row>
    <row r="3227" spans="1:14" x14ac:dyDescent="0.35">
      <c r="A3227" s="22" t="s">
        <v>3297</v>
      </c>
      <c r="B3227" s="23" t="s">
        <v>101</v>
      </c>
      <c r="C3227" s="23">
        <v>12</v>
      </c>
      <c r="D3227" s="24">
        <v>46005</v>
      </c>
      <c r="E3227" s="23" t="s">
        <v>25</v>
      </c>
      <c r="F3227" s="23" t="s">
        <v>40</v>
      </c>
      <c r="G3227" s="23" t="s">
        <v>31</v>
      </c>
      <c r="H3227" s="23" t="s">
        <v>16</v>
      </c>
      <c r="I3227" s="23">
        <v>4</v>
      </c>
      <c r="J3227" s="23">
        <v>0</v>
      </c>
      <c r="K3227" s="23">
        <v>1</v>
      </c>
      <c r="L3227" s="23" t="s">
        <v>62</v>
      </c>
      <c r="M3227" s="25">
        <v>3.1</v>
      </c>
      <c r="N3227">
        <f t="shared" si="50"/>
        <v>1</v>
      </c>
    </row>
    <row r="3228" spans="1:14" x14ac:dyDescent="0.35">
      <c r="A3228" s="6" t="s">
        <v>3298</v>
      </c>
      <c r="B3228" s="19" t="s">
        <v>108</v>
      </c>
      <c r="C3228" s="19"/>
      <c r="D3228" s="20"/>
      <c r="E3228" s="19" t="s">
        <v>25</v>
      </c>
      <c r="F3228" s="19" t="s">
        <v>14</v>
      </c>
      <c r="G3228" s="19" t="s">
        <v>27</v>
      </c>
      <c r="H3228" s="19" t="s">
        <v>32</v>
      </c>
      <c r="I3228" s="19">
        <v>8</v>
      </c>
      <c r="J3228" s="19">
        <v>0</v>
      </c>
      <c r="K3228" s="19">
        <v>2</v>
      </c>
      <c r="L3228" s="19" t="s">
        <v>33</v>
      </c>
      <c r="M3228" s="21">
        <v>6.8</v>
      </c>
      <c r="N3228">
        <f t="shared" si="50"/>
        <v>1</v>
      </c>
    </row>
    <row r="3229" spans="1:14" x14ac:dyDescent="0.35">
      <c r="A3229" s="22" t="s">
        <v>3299</v>
      </c>
      <c r="B3229" s="23" t="s">
        <v>108</v>
      </c>
      <c r="C3229" s="23">
        <v>6</v>
      </c>
      <c r="D3229" s="24">
        <v>45819</v>
      </c>
      <c r="E3229" s="23" t="s">
        <v>13</v>
      </c>
      <c r="F3229" s="23" t="s">
        <v>59</v>
      </c>
      <c r="G3229" s="23" t="s">
        <v>27</v>
      </c>
      <c r="H3229" s="23" t="s">
        <v>28</v>
      </c>
      <c r="I3229" s="23">
        <v>48</v>
      </c>
      <c r="J3229" s="23">
        <v>0</v>
      </c>
      <c r="K3229" s="23">
        <v>5</v>
      </c>
      <c r="L3229" s="23" t="s">
        <v>55</v>
      </c>
      <c r="M3229" s="25">
        <v>24.7</v>
      </c>
      <c r="N3229">
        <f t="shared" si="50"/>
        <v>1</v>
      </c>
    </row>
    <row r="3230" spans="1:14" x14ac:dyDescent="0.35">
      <c r="A3230" s="6" t="s">
        <v>3300</v>
      </c>
      <c r="B3230" s="19" t="s">
        <v>236</v>
      </c>
      <c r="C3230" s="19">
        <v>12</v>
      </c>
      <c r="D3230" s="20">
        <v>46006</v>
      </c>
      <c r="E3230" s="19" t="s">
        <v>20</v>
      </c>
      <c r="F3230" s="19" t="s">
        <v>14</v>
      </c>
      <c r="G3230" s="19" t="s">
        <v>21</v>
      </c>
      <c r="H3230" s="19" t="s">
        <v>22</v>
      </c>
      <c r="I3230" s="19">
        <v>4</v>
      </c>
      <c r="J3230" s="19">
        <v>0</v>
      </c>
      <c r="K3230" s="19">
        <v>4</v>
      </c>
      <c r="L3230" s="19" t="s">
        <v>8363</v>
      </c>
      <c r="M3230" s="21">
        <v>2.2999999999999998</v>
      </c>
      <c r="N3230">
        <f t="shared" si="50"/>
        <v>1</v>
      </c>
    </row>
    <row r="3231" spans="1:14" x14ac:dyDescent="0.35">
      <c r="A3231" s="22" t="s">
        <v>3301</v>
      </c>
      <c r="B3231" s="23" t="s">
        <v>104</v>
      </c>
      <c r="C3231" s="23">
        <v>12</v>
      </c>
      <c r="D3231" s="24">
        <v>45994</v>
      </c>
      <c r="E3231" s="23" t="s">
        <v>13</v>
      </c>
      <c r="F3231" s="23" t="s">
        <v>26</v>
      </c>
      <c r="G3231" s="23" t="s">
        <v>27</v>
      </c>
      <c r="H3231" s="23" t="s">
        <v>22</v>
      </c>
      <c r="I3231" s="23">
        <v>24</v>
      </c>
      <c r="J3231" s="23">
        <v>0</v>
      </c>
      <c r="K3231" s="23">
        <v>4</v>
      </c>
      <c r="L3231" s="23" t="s">
        <v>38</v>
      </c>
      <c r="M3231" s="25">
        <v>14.2</v>
      </c>
      <c r="N3231">
        <f t="shared" si="50"/>
        <v>1</v>
      </c>
    </row>
    <row r="3232" spans="1:14" x14ac:dyDescent="0.35">
      <c r="A3232" s="6" t="s">
        <v>3302</v>
      </c>
      <c r="B3232" s="19" t="s">
        <v>99</v>
      </c>
      <c r="C3232" s="19">
        <v>7</v>
      </c>
      <c r="D3232" s="20">
        <v>45850</v>
      </c>
      <c r="E3232" s="19" t="s">
        <v>8364</v>
      </c>
      <c r="F3232" s="19" t="s">
        <v>14</v>
      </c>
      <c r="G3232" s="19" t="s">
        <v>15</v>
      </c>
      <c r="H3232" s="19" t="s">
        <v>28</v>
      </c>
      <c r="I3232" s="19">
        <v>4</v>
      </c>
      <c r="J3232" s="19">
        <v>0</v>
      </c>
      <c r="K3232" s="19">
        <v>4</v>
      </c>
      <c r="L3232" s="19" t="s">
        <v>75</v>
      </c>
      <c r="M3232" s="21">
        <v>30.8</v>
      </c>
      <c r="N3232">
        <f t="shared" si="50"/>
        <v>0</v>
      </c>
    </row>
    <row r="3233" spans="1:14" x14ac:dyDescent="0.35">
      <c r="A3233" s="22" t="s">
        <v>3303</v>
      </c>
      <c r="B3233" s="23" t="s">
        <v>89</v>
      </c>
      <c r="C3233" s="23">
        <v>9</v>
      </c>
      <c r="D3233" s="24">
        <v>45915</v>
      </c>
      <c r="E3233" s="23" t="s">
        <v>36</v>
      </c>
      <c r="F3233" s="23" t="s">
        <v>59</v>
      </c>
      <c r="G3233" s="23" t="s">
        <v>27</v>
      </c>
      <c r="H3233" s="23" t="s">
        <v>16</v>
      </c>
      <c r="I3233" s="23">
        <v>24</v>
      </c>
      <c r="J3233" s="23">
        <v>0</v>
      </c>
      <c r="K3233" s="23">
        <v>4</v>
      </c>
      <c r="L3233" s="23" t="s">
        <v>55</v>
      </c>
      <c r="M3233" s="25">
        <v>17.8</v>
      </c>
      <c r="N3233">
        <f t="shared" si="50"/>
        <v>1</v>
      </c>
    </row>
    <row r="3234" spans="1:14" x14ac:dyDescent="0.35">
      <c r="A3234" s="6" t="s">
        <v>3304</v>
      </c>
      <c r="B3234" s="19" t="s">
        <v>108</v>
      </c>
      <c r="C3234" s="19">
        <v>9</v>
      </c>
      <c r="D3234" s="20">
        <v>45906</v>
      </c>
      <c r="E3234" s="19" t="s">
        <v>25</v>
      </c>
      <c r="F3234" s="19" t="s">
        <v>14</v>
      </c>
      <c r="G3234" s="19" t="s">
        <v>31</v>
      </c>
      <c r="H3234" s="19" t="s">
        <v>16</v>
      </c>
      <c r="I3234" s="19">
        <v>4</v>
      </c>
      <c r="J3234" s="19">
        <v>0</v>
      </c>
      <c r="K3234" s="19">
        <v>4</v>
      </c>
      <c r="L3234" s="19" t="s">
        <v>38</v>
      </c>
      <c r="M3234" s="21">
        <v>4.5</v>
      </c>
      <c r="N3234">
        <f t="shared" si="50"/>
        <v>0</v>
      </c>
    </row>
    <row r="3235" spans="1:14" x14ac:dyDescent="0.35">
      <c r="A3235" s="22" t="s">
        <v>3305</v>
      </c>
      <c r="B3235" s="23" t="s">
        <v>236</v>
      </c>
      <c r="C3235" s="23">
        <v>5</v>
      </c>
      <c r="D3235" s="24">
        <v>45794</v>
      </c>
      <c r="E3235" s="23" t="s">
        <v>36</v>
      </c>
      <c r="F3235" s="23" t="s">
        <v>40</v>
      </c>
      <c r="G3235" s="23" t="s">
        <v>27</v>
      </c>
      <c r="H3235" s="23" t="s">
        <v>22</v>
      </c>
      <c r="I3235" s="23">
        <v>24</v>
      </c>
      <c r="J3235" s="23">
        <v>0</v>
      </c>
      <c r="K3235" s="23">
        <v>2</v>
      </c>
      <c r="L3235" s="23" t="s">
        <v>44</v>
      </c>
      <c r="M3235" s="25">
        <v>18.7</v>
      </c>
      <c r="N3235">
        <f t="shared" si="50"/>
        <v>1</v>
      </c>
    </row>
    <row r="3236" spans="1:14" x14ac:dyDescent="0.35">
      <c r="A3236" s="6" t="s">
        <v>3306</v>
      </c>
      <c r="B3236" s="19" t="s">
        <v>65</v>
      </c>
      <c r="C3236" s="19"/>
      <c r="D3236" s="20"/>
      <c r="E3236" s="19" t="s">
        <v>25</v>
      </c>
      <c r="F3236" s="19" t="s">
        <v>14</v>
      </c>
      <c r="G3236" s="19" t="s">
        <v>15</v>
      </c>
      <c r="H3236" s="19" t="s">
        <v>32</v>
      </c>
      <c r="I3236" s="19">
        <v>48</v>
      </c>
      <c r="J3236" s="19">
        <v>0</v>
      </c>
      <c r="K3236" s="19">
        <v>4</v>
      </c>
      <c r="L3236" s="19" t="s">
        <v>55</v>
      </c>
      <c r="M3236" s="21">
        <v>8.1</v>
      </c>
      <c r="N3236">
        <f t="shared" si="50"/>
        <v>1</v>
      </c>
    </row>
    <row r="3237" spans="1:14" x14ac:dyDescent="0.35">
      <c r="A3237" s="22" t="s">
        <v>3307</v>
      </c>
      <c r="B3237" s="23" t="s">
        <v>65</v>
      </c>
      <c r="C3237" s="23"/>
      <c r="D3237" s="24"/>
      <c r="E3237" s="23" t="s">
        <v>13</v>
      </c>
      <c r="F3237" s="23" t="s">
        <v>14</v>
      </c>
      <c r="G3237" s="23" t="s">
        <v>27</v>
      </c>
      <c r="H3237" s="23" t="s">
        <v>22</v>
      </c>
      <c r="I3237" s="23">
        <v>24</v>
      </c>
      <c r="J3237" s="23">
        <v>0</v>
      </c>
      <c r="K3237" s="23">
        <v>4</v>
      </c>
      <c r="L3237" s="23" t="s">
        <v>55</v>
      </c>
      <c r="M3237" s="25">
        <v>17.5</v>
      </c>
      <c r="N3237">
        <f t="shared" si="50"/>
        <v>1</v>
      </c>
    </row>
    <row r="3238" spans="1:14" x14ac:dyDescent="0.35">
      <c r="A3238" s="6" t="s">
        <v>3308</v>
      </c>
      <c r="B3238" s="19" t="s">
        <v>146</v>
      </c>
      <c r="C3238" s="19">
        <v>10</v>
      </c>
      <c r="D3238" s="20">
        <v>45940</v>
      </c>
      <c r="E3238" s="19" t="s">
        <v>25</v>
      </c>
      <c r="F3238" s="19" t="s">
        <v>8364</v>
      </c>
      <c r="G3238" s="19" t="s">
        <v>27</v>
      </c>
      <c r="H3238" s="19" t="s">
        <v>32</v>
      </c>
      <c r="I3238" s="19">
        <v>8</v>
      </c>
      <c r="J3238" s="19">
        <v>0</v>
      </c>
      <c r="K3238" s="19">
        <v>3</v>
      </c>
      <c r="L3238" s="19" t="s">
        <v>44</v>
      </c>
      <c r="M3238" s="21">
        <v>8.3000000000000007</v>
      </c>
      <c r="N3238">
        <f t="shared" si="50"/>
        <v>0</v>
      </c>
    </row>
    <row r="3239" spans="1:14" x14ac:dyDescent="0.35">
      <c r="A3239" s="22" t="s">
        <v>3309</v>
      </c>
      <c r="B3239" s="23" t="s">
        <v>39</v>
      </c>
      <c r="C3239" s="23">
        <v>11</v>
      </c>
      <c r="D3239" s="24">
        <v>45980</v>
      </c>
      <c r="E3239" s="23" t="s">
        <v>20</v>
      </c>
      <c r="F3239" s="23" t="s">
        <v>40</v>
      </c>
      <c r="G3239" s="23" t="s">
        <v>31</v>
      </c>
      <c r="H3239" s="23" t="s">
        <v>22</v>
      </c>
      <c r="I3239" s="23">
        <v>48</v>
      </c>
      <c r="J3239" s="23">
        <v>1</v>
      </c>
      <c r="K3239" s="23">
        <v>3</v>
      </c>
      <c r="L3239" s="23" t="s">
        <v>38</v>
      </c>
      <c r="M3239" s="25">
        <v>11.1</v>
      </c>
      <c r="N3239">
        <f t="shared" si="50"/>
        <v>1</v>
      </c>
    </row>
    <row r="3240" spans="1:14" x14ac:dyDescent="0.35">
      <c r="A3240" s="6" t="s">
        <v>3310</v>
      </c>
      <c r="B3240" s="19" t="s">
        <v>51</v>
      </c>
      <c r="C3240" s="19"/>
      <c r="D3240" s="20"/>
      <c r="E3240" s="19" t="s">
        <v>25</v>
      </c>
      <c r="F3240" s="19" t="s">
        <v>26</v>
      </c>
      <c r="G3240" s="19" t="s">
        <v>27</v>
      </c>
      <c r="H3240" s="19" t="s">
        <v>22</v>
      </c>
      <c r="I3240" s="19">
        <v>4</v>
      </c>
      <c r="J3240" s="19">
        <v>2</v>
      </c>
      <c r="K3240" s="19">
        <v>3</v>
      </c>
      <c r="L3240" s="19" t="s">
        <v>17</v>
      </c>
      <c r="M3240" s="21">
        <v>12.8</v>
      </c>
      <c r="N3240">
        <f t="shared" si="50"/>
        <v>0</v>
      </c>
    </row>
    <row r="3241" spans="1:14" x14ac:dyDescent="0.35">
      <c r="A3241" s="22" t="s">
        <v>3311</v>
      </c>
      <c r="B3241" s="23" t="s">
        <v>57</v>
      </c>
      <c r="C3241" s="23">
        <v>10</v>
      </c>
      <c r="D3241" s="24">
        <v>45954</v>
      </c>
      <c r="E3241" s="23" t="s">
        <v>68</v>
      </c>
      <c r="F3241" s="23" t="s">
        <v>59</v>
      </c>
      <c r="G3241" s="23" t="s">
        <v>21</v>
      </c>
      <c r="H3241" s="23" t="s">
        <v>28</v>
      </c>
      <c r="I3241" s="23">
        <v>4</v>
      </c>
      <c r="J3241" s="23">
        <v>0</v>
      </c>
      <c r="K3241" s="23"/>
      <c r="L3241" s="23" t="s">
        <v>75</v>
      </c>
      <c r="M3241" s="25">
        <v>15.9</v>
      </c>
      <c r="N3241">
        <f t="shared" si="50"/>
        <v>0</v>
      </c>
    </row>
    <row r="3242" spans="1:14" x14ac:dyDescent="0.35">
      <c r="A3242" s="6" t="s">
        <v>3312</v>
      </c>
      <c r="B3242" s="19" t="s">
        <v>51</v>
      </c>
      <c r="C3242" s="19">
        <v>10</v>
      </c>
      <c r="D3242" s="20">
        <v>45950</v>
      </c>
      <c r="E3242" s="19" t="s">
        <v>36</v>
      </c>
      <c r="F3242" s="19" t="s">
        <v>40</v>
      </c>
      <c r="G3242" s="19" t="s">
        <v>15</v>
      </c>
      <c r="H3242" s="19" t="s">
        <v>32</v>
      </c>
      <c r="I3242" s="19">
        <v>24</v>
      </c>
      <c r="J3242" s="19">
        <v>0</v>
      </c>
      <c r="K3242" s="19">
        <v>5</v>
      </c>
      <c r="L3242" s="19" t="s">
        <v>33</v>
      </c>
      <c r="M3242" s="21">
        <v>25.5</v>
      </c>
      <c r="N3242">
        <f t="shared" si="50"/>
        <v>0</v>
      </c>
    </row>
    <row r="3243" spans="1:14" x14ac:dyDescent="0.35">
      <c r="A3243" s="22" t="s">
        <v>3313</v>
      </c>
      <c r="B3243" s="23" t="s">
        <v>47</v>
      </c>
      <c r="C3243" s="23">
        <v>3</v>
      </c>
      <c r="D3243" s="24">
        <v>45723</v>
      </c>
      <c r="E3243" s="23" t="s">
        <v>68</v>
      </c>
      <c r="F3243" s="23" t="s">
        <v>8364</v>
      </c>
      <c r="G3243" s="23" t="s">
        <v>31</v>
      </c>
      <c r="H3243" s="23" t="s">
        <v>8364</v>
      </c>
      <c r="I3243" s="23">
        <v>8</v>
      </c>
      <c r="J3243" s="23">
        <v>0</v>
      </c>
      <c r="K3243" s="23">
        <v>4</v>
      </c>
      <c r="L3243" s="23" t="s">
        <v>55</v>
      </c>
      <c r="M3243" s="25">
        <v>2</v>
      </c>
      <c r="N3243">
        <f t="shared" si="50"/>
        <v>1</v>
      </c>
    </row>
    <row r="3244" spans="1:14" x14ac:dyDescent="0.35">
      <c r="A3244" s="6" t="s">
        <v>3314</v>
      </c>
      <c r="B3244" s="19" t="s">
        <v>181</v>
      </c>
      <c r="C3244" s="19">
        <v>2</v>
      </c>
      <c r="D3244" s="20">
        <v>45712</v>
      </c>
      <c r="E3244" s="19" t="s">
        <v>25</v>
      </c>
      <c r="F3244" s="19" t="s">
        <v>43</v>
      </c>
      <c r="G3244" s="19" t="s">
        <v>31</v>
      </c>
      <c r="H3244" s="19" t="s">
        <v>8364</v>
      </c>
      <c r="I3244" s="19">
        <v>72</v>
      </c>
      <c r="J3244" s="19">
        <v>0</v>
      </c>
      <c r="K3244" s="19"/>
      <c r="L3244" s="19" t="s">
        <v>38</v>
      </c>
      <c r="M3244" s="21">
        <v>4.7</v>
      </c>
      <c r="N3244">
        <f t="shared" si="50"/>
        <v>1</v>
      </c>
    </row>
    <row r="3245" spans="1:14" x14ac:dyDescent="0.35">
      <c r="A3245" s="22" t="s">
        <v>3315</v>
      </c>
      <c r="B3245" s="23" t="s">
        <v>18</v>
      </c>
      <c r="C3245" s="23">
        <v>7</v>
      </c>
      <c r="D3245" s="24">
        <v>45848</v>
      </c>
      <c r="E3245" s="23" t="s">
        <v>25</v>
      </c>
      <c r="F3245" s="23" t="s">
        <v>14</v>
      </c>
      <c r="G3245" s="23" t="s">
        <v>27</v>
      </c>
      <c r="H3245" s="23" t="s">
        <v>22</v>
      </c>
      <c r="I3245" s="23">
        <v>8</v>
      </c>
      <c r="J3245" s="23">
        <v>0</v>
      </c>
      <c r="K3245" s="23">
        <v>4</v>
      </c>
      <c r="L3245" s="23" t="s">
        <v>8363</v>
      </c>
      <c r="M3245" s="25">
        <v>15</v>
      </c>
      <c r="N3245">
        <f t="shared" si="50"/>
        <v>0</v>
      </c>
    </row>
    <row r="3246" spans="1:14" x14ac:dyDescent="0.35">
      <c r="A3246" s="6" t="s">
        <v>3316</v>
      </c>
      <c r="B3246" s="19" t="s">
        <v>34</v>
      </c>
      <c r="C3246" s="19"/>
      <c r="D3246" s="20"/>
      <c r="E3246" s="19" t="s">
        <v>20</v>
      </c>
      <c r="F3246" s="19" t="s">
        <v>14</v>
      </c>
      <c r="G3246" s="19" t="s">
        <v>27</v>
      </c>
      <c r="H3246" s="19" t="s">
        <v>8364</v>
      </c>
      <c r="I3246" s="19">
        <v>48</v>
      </c>
      <c r="J3246" s="19">
        <v>0</v>
      </c>
      <c r="K3246" s="19">
        <v>4</v>
      </c>
      <c r="L3246" s="19" t="s">
        <v>55</v>
      </c>
      <c r="M3246" s="21">
        <v>17.100000000000001</v>
      </c>
      <c r="N3246">
        <f t="shared" si="50"/>
        <v>1</v>
      </c>
    </row>
    <row r="3247" spans="1:14" x14ac:dyDescent="0.35">
      <c r="A3247" s="22" t="s">
        <v>3317</v>
      </c>
      <c r="B3247" s="23" t="s">
        <v>81</v>
      </c>
      <c r="C3247" s="23"/>
      <c r="D3247" s="24"/>
      <c r="E3247" s="23" t="s">
        <v>68</v>
      </c>
      <c r="F3247" s="23" t="s">
        <v>14</v>
      </c>
      <c r="G3247" s="23" t="s">
        <v>31</v>
      </c>
      <c r="H3247" s="23" t="s">
        <v>32</v>
      </c>
      <c r="I3247" s="23">
        <v>4</v>
      </c>
      <c r="J3247" s="23">
        <v>0</v>
      </c>
      <c r="K3247" s="23">
        <v>3</v>
      </c>
      <c r="L3247" s="23" t="s">
        <v>8363</v>
      </c>
      <c r="M3247" s="25">
        <v>8.6999999999999993</v>
      </c>
      <c r="N3247">
        <f t="shared" si="50"/>
        <v>0</v>
      </c>
    </row>
    <row r="3248" spans="1:14" x14ac:dyDescent="0.35">
      <c r="A3248" s="6" t="s">
        <v>3318</v>
      </c>
      <c r="B3248" s="19" t="s">
        <v>253</v>
      </c>
      <c r="C3248" s="19">
        <v>11</v>
      </c>
      <c r="D3248" s="20">
        <v>45967</v>
      </c>
      <c r="E3248" s="19" t="s">
        <v>13</v>
      </c>
      <c r="F3248" s="19" t="s">
        <v>43</v>
      </c>
      <c r="G3248" s="19" t="s">
        <v>15</v>
      </c>
      <c r="H3248" s="19" t="s">
        <v>32</v>
      </c>
      <c r="I3248" s="19">
        <v>48</v>
      </c>
      <c r="J3248" s="19">
        <v>2</v>
      </c>
      <c r="K3248" s="19">
        <v>5</v>
      </c>
      <c r="L3248" s="19" t="s">
        <v>33</v>
      </c>
      <c r="M3248" s="21">
        <v>0.4</v>
      </c>
      <c r="N3248">
        <f t="shared" si="50"/>
        <v>1</v>
      </c>
    </row>
    <row r="3249" spans="1:14" x14ac:dyDescent="0.35">
      <c r="A3249" s="22" t="s">
        <v>3319</v>
      </c>
      <c r="B3249" s="23" t="s">
        <v>101</v>
      </c>
      <c r="C3249" s="23">
        <v>7</v>
      </c>
      <c r="D3249" s="24">
        <v>45861</v>
      </c>
      <c r="E3249" s="23" t="s">
        <v>25</v>
      </c>
      <c r="F3249" s="23" t="s">
        <v>26</v>
      </c>
      <c r="G3249" s="23" t="s">
        <v>27</v>
      </c>
      <c r="H3249" s="23" t="s">
        <v>8364</v>
      </c>
      <c r="I3249" s="23">
        <v>72</v>
      </c>
      <c r="J3249" s="23">
        <v>0</v>
      </c>
      <c r="K3249" s="23">
        <v>3</v>
      </c>
      <c r="L3249" s="23" t="s">
        <v>17</v>
      </c>
      <c r="M3249" s="25">
        <v>3</v>
      </c>
      <c r="N3249">
        <f t="shared" si="50"/>
        <v>1</v>
      </c>
    </row>
    <row r="3250" spans="1:14" x14ac:dyDescent="0.35">
      <c r="A3250" s="6" t="s">
        <v>3320</v>
      </c>
      <c r="B3250" s="19" t="s">
        <v>18</v>
      </c>
      <c r="C3250" s="19">
        <v>4</v>
      </c>
      <c r="D3250" s="20">
        <v>45752</v>
      </c>
      <c r="E3250" s="19" t="s">
        <v>68</v>
      </c>
      <c r="F3250" s="19" t="s">
        <v>26</v>
      </c>
      <c r="G3250" s="19" t="s">
        <v>21</v>
      </c>
      <c r="H3250" s="19" t="s">
        <v>8364</v>
      </c>
      <c r="I3250" s="19">
        <v>4</v>
      </c>
      <c r="J3250" s="19">
        <v>2</v>
      </c>
      <c r="K3250" s="19">
        <v>4</v>
      </c>
      <c r="L3250" s="19" t="s">
        <v>8363</v>
      </c>
      <c r="M3250" s="21">
        <v>10.4</v>
      </c>
      <c r="N3250">
        <f t="shared" si="50"/>
        <v>0</v>
      </c>
    </row>
    <row r="3251" spans="1:14" x14ac:dyDescent="0.35">
      <c r="A3251" s="22" t="s">
        <v>3321</v>
      </c>
      <c r="B3251" s="23" t="s">
        <v>87</v>
      </c>
      <c r="C3251" s="23">
        <v>4</v>
      </c>
      <c r="D3251" s="24">
        <v>45768</v>
      </c>
      <c r="E3251" s="23" t="s">
        <v>25</v>
      </c>
      <c r="F3251" s="23" t="s">
        <v>43</v>
      </c>
      <c r="G3251" s="23" t="s">
        <v>27</v>
      </c>
      <c r="H3251" s="23" t="s">
        <v>28</v>
      </c>
      <c r="I3251" s="23">
        <v>4</v>
      </c>
      <c r="J3251" s="23">
        <v>0</v>
      </c>
      <c r="K3251" s="23">
        <v>4</v>
      </c>
      <c r="L3251" s="23" t="s">
        <v>62</v>
      </c>
      <c r="M3251" s="25">
        <v>4</v>
      </c>
      <c r="N3251">
        <f t="shared" si="50"/>
        <v>1</v>
      </c>
    </row>
    <row r="3252" spans="1:14" x14ac:dyDescent="0.35">
      <c r="A3252" s="6" t="s">
        <v>3322</v>
      </c>
      <c r="B3252" s="19" t="s">
        <v>89</v>
      </c>
      <c r="C3252" s="19">
        <v>2</v>
      </c>
      <c r="D3252" s="20">
        <v>45713</v>
      </c>
      <c r="E3252" s="19" t="s">
        <v>13</v>
      </c>
      <c r="F3252" s="19" t="s">
        <v>40</v>
      </c>
      <c r="G3252" s="19" t="s">
        <v>31</v>
      </c>
      <c r="H3252" s="19" t="s">
        <v>32</v>
      </c>
      <c r="I3252" s="19">
        <v>4</v>
      </c>
      <c r="J3252" s="19">
        <v>1</v>
      </c>
      <c r="K3252" s="19">
        <v>4</v>
      </c>
      <c r="L3252" s="19" t="s">
        <v>8363</v>
      </c>
      <c r="M3252" s="21">
        <v>29.7</v>
      </c>
      <c r="N3252">
        <f t="shared" si="50"/>
        <v>0</v>
      </c>
    </row>
    <row r="3253" spans="1:14" x14ac:dyDescent="0.35">
      <c r="A3253" s="22" t="s">
        <v>3323</v>
      </c>
      <c r="B3253" s="23" t="s">
        <v>130</v>
      </c>
      <c r="C3253" s="23">
        <v>3</v>
      </c>
      <c r="D3253" s="24">
        <v>45722</v>
      </c>
      <c r="E3253" s="23" t="s">
        <v>13</v>
      </c>
      <c r="F3253" s="23" t="s">
        <v>14</v>
      </c>
      <c r="G3253" s="23" t="s">
        <v>31</v>
      </c>
      <c r="H3253" s="23" t="s">
        <v>32</v>
      </c>
      <c r="I3253" s="23">
        <v>72</v>
      </c>
      <c r="J3253" s="23">
        <v>0</v>
      </c>
      <c r="K3253" s="23">
        <v>5</v>
      </c>
      <c r="L3253" s="23" t="s">
        <v>75</v>
      </c>
      <c r="M3253" s="25">
        <v>9.5</v>
      </c>
      <c r="N3253">
        <f t="shared" si="50"/>
        <v>1</v>
      </c>
    </row>
    <row r="3254" spans="1:14" x14ac:dyDescent="0.35">
      <c r="A3254" s="6" t="s">
        <v>3324</v>
      </c>
      <c r="B3254" s="19" t="s">
        <v>104</v>
      </c>
      <c r="C3254" s="19">
        <v>1</v>
      </c>
      <c r="D3254" s="20">
        <v>45686</v>
      </c>
      <c r="E3254" s="19" t="s">
        <v>68</v>
      </c>
      <c r="F3254" s="19" t="s">
        <v>14</v>
      </c>
      <c r="G3254" s="19" t="s">
        <v>15</v>
      </c>
      <c r="H3254" s="19" t="s">
        <v>22</v>
      </c>
      <c r="I3254" s="19">
        <v>4</v>
      </c>
      <c r="J3254" s="19">
        <v>0</v>
      </c>
      <c r="K3254" s="19">
        <v>5</v>
      </c>
      <c r="L3254" s="19" t="s">
        <v>55</v>
      </c>
      <c r="M3254" s="21">
        <v>0.3</v>
      </c>
      <c r="N3254">
        <f t="shared" si="50"/>
        <v>1</v>
      </c>
    </row>
    <row r="3255" spans="1:14" x14ac:dyDescent="0.35">
      <c r="A3255" s="22" t="s">
        <v>3325</v>
      </c>
      <c r="B3255" s="23" t="s">
        <v>87</v>
      </c>
      <c r="C3255" s="23">
        <v>2</v>
      </c>
      <c r="D3255" s="24">
        <v>45697</v>
      </c>
      <c r="E3255" s="23" t="s">
        <v>36</v>
      </c>
      <c r="F3255" s="23" t="s">
        <v>43</v>
      </c>
      <c r="G3255" s="23" t="s">
        <v>21</v>
      </c>
      <c r="H3255" s="23" t="s">
        <v>8364</v>
      </c>
      <c r="I3255" s="23">
        <v>24</v>
      </c>
      <c r="J3255" s="23">
        <v>0</v>
      </c>
      <c r="K3255" s="23">
        <v>5</v>
      </c>
      <c r="L3255" s="23" t="s">
        <v>17</v>
      </c>
      <c r="M3255" s="25">
        <v>9.4</v>
      </c>
      <c r="N3255">
        <f t="shared" si="50"/>
        <v>1</v>
      </c>
    </row>
    <row r="3256" spans="1:14" x14ac:dyDescent="0.35">
      <c r="A3256" s="6" t="s">
        <v>3326</v>
      </c>
      <c r="B3256" s="19" t="s">
        <v>101</v>
      </c>
      <c r="C3256" s="19">
        <v>6</v>
      </c>
      <c r="D3256" s="20">
        <v>45822</v>
      </c>
      <c r="E3256" s="19" t="s">
        <v>20</v>
      </c>
      <c r="F3256" s="19" t="s">
        <v>43</v>
      </c>
      <c r="G3256" s="19" t="s">
        <v>21</v>
      </c>
      <c r="H3256" s="19" t="s">
        <v>8364</v>
      </c>
      <c r="I3256" s="19">
        <v>48</v>
      </c>
      <c r="J3256" s="19">
        <v>0</v>
      </c>
      <c r="K3256" s="19">
        <v>4</v>
      </c>
      <c r="L3256" s="19" t="s">
        <v>44</v>
      </c>
      <c r="M3256" s="21">
        <v>4.0999999999999996</v>
      </c>
      <c r="N3256">
        <f t="shared" si="50"/>
        <v>1</v>
      </c>
    </row>
    <row r="3257" spans="1:14" x14ac:dyDescent="0.35">
      <c r="A3257" s="22" t="s">
        <v>3327</v>
      </c>
      <c r="B3257" s="23" t="s">
        <v>23</v>
      </c>
      <c r="C3257" s="23">
        <v>11</v>
      </c>
      <c r="D3257" s="24">
        <v>45981</v>
      </c>
      <c r="E3257" s="23" t="s">
        <v>68</v>
      </c>
      <c r="F3257" s="23" t="s">
        <v>8364</v>
      </c>
      <c r="G3257" s="23" t="s">
        <v>27</v>
      </c>
      <c r="H3257" s="23" t="s">
        <v>22</v>
      </c>
      <c r="I3257" s="23">
        <v>4</v>
      </c>
      <c r="J3257" s="23">
        <v>0</v>
      </c>
      <c r="K3257" s="23">
        <v>4</v>
      </c>
      <c r="L3257" s="23" t="s">
        <v>55</v>
      </c>
      <c r="M3257" s="25">
        <v>1</v>
      </c>
      <c r="N3257">
        <f t="shared" si="50"/>
        <v>1</v>
      </c>
    </row>
    <row r="3258" spans="1:14" x14ac:dyDescent="0.35">
      <c r="A3258" s="6" t="s">
        <v>3328</v>
      </c>
      <c r="B3258" s="19" t="s">
        <v>41</v>
      </c>
      <c r="C3258" s="19">
        <v>5</v>
      </c>
      <c r="D3258" s="20">
        <v>45808</v>
      </c>
      <c r="E3258" s="19" t="s">
        <v>25</v>
      </c>
      <c r="F3258" s="19" t="s">
        <v>26</v>
      </c>
      <c r="G3258" s="19" t="s">
        <v>27</v>
      </c>
      <c r="H3258" s="19" t="s">
        <v>32</v>
      </c>
      <c r="I3258" s="19">
        <v>24</v>
      </c>
      <c r="J3258" s="19">
        <v>0</v>
      </c>
      <c r="K3258" s="19">
        <v>5</v>
      </c>
      <c r="L3258" s="19" t="s">
        <v>17</v>
      </c>
      <c r="M3258" s="21">
        <v>8.9</v>
      </c>
      <c r="N3258">
        <f t="shared" si="50"/>
        <v>1</v>
      </c>
    </row>
    <row r="3259" spans="1:14" x14ac:dyDescent="0.35">
      <c r="A3259" s="22" t="s">
        <v>3329</v>
      </c>
      <c r="B3259" s="23" t="s">
        <v>99</v>
      </c>
      <c r="C3259" s="23">
        <v>7</v>
      </c>
      <c r="D3259" s="24">
        <v>45860</v>
      </c>
      <c r="E3259" s="23" t="s">
        <v>68</v>
      </c>
      <c r="F3259" s="23" t="s">
        <v>43</v>
      </c>
      <c r="G3259" s="23" t="s">
        <v>21</v>
      </c>
      <c r="H3259" s="23" t="s">
        <v>28</v>
      </c>
      <c r="I3259" s="23">
        <v>8</v>
      </c>
      <c r="J3259" s="23">
        <v>0</v>
      </c>
      <c r="K3259" s="23">
        <v>5</v>
      </c>
      <c r="L3259" s="23" t="s">
        <v>44</v>
      </c>
      <c r="M3259" s="25">
        <v>0.5</v>
      </c>
      <c r="N3259">
        <f t="shared" si="50"/>
        <v>1</v>
      </c>
    </row>
    <row r="3260" spans="1:14" x14ac:dyDescent="0.35">
      <c r="A3260" s="6" t="s">
        <v>3330</v>
      </c>
      <c r="B3260" s="19" t="s">
        <v>181</v>
      </c>
      <c r="C3260" s="19"/>
      <c r="D3260" s="20"/>
      <c r="E3260" s="19" t="s">
        <v>13</v>
      </c>
      <c r="F3260" s="19" t="s">
        <v>8364</v>
      </c>
      <c r="G3260" s="19" t="s">
        <v>15</v>
      </c>
      <c r="H3260" s="19" t="s">
        <v>32</v>
      </c>
      <c r="I3260" s="19">
        <v>4</v>
      </c>
      <c r="J3260" s="19">
        <v>1</v>
      </c>
      <c r="K3260" s="19">
        <v>3</v>
      </c>
      <c r="L3260" s="19" t="s">
        <v>44</v>
      </c>
      <c r="M3260" s="21"/>
      <c r="N3260">
        <f t="shared" si="50"/>
        <v>1</v>
      </c>
    </row>
    <row r="3261" spans="1:14" x14ac:dyDescent="0.35">
      <c r="A3261" s="22" t="s">
        <v>3331</v>
      </c>
      <c r="B3261" s="23" t="s">
        <v>51</v>
      </c>
      <c r="C3261" s="23">
        <v>6</v>
      </c>
      <c r="D3261" s="24">
        <v>45812</v>
      </c>
      <c r="E3261" s="23" t="s">
        <v>25</v>
      </c>
      <c r="F3261" s="23" t="s">
        <v>43</v>
      </c>
      <c r="G3261" s="23" t="s">
        <v>31</v>
      </c>
      <c r="H3261" s="23" t="s">
        <v>22</v>
      </c>
      <c r="I3261" s="23">
        <v>24</v>
      </c>
      <c r="J3261" s="23">
        <v>0</v>
      </c>
      <c r="K3261" s="23">
        <v>5</v>
      </c>
      <c r="L3261" s="23" t="s">
        <v>8363</v>
      </c>
      <c r="M3261" s="25">
        <v>12.3</v>
      </c>
      <c r="N3261">
        <f t="shared" si="50"/>
        <v>1</v>
      </c>
    </row>
    <row r="3262" spans="1:14" x14ac:dyDescent="0.35">
      <c r="A3262" s="6" t="s">
        <v>3332</v>
      </c>
      <c r="B3262" s="19" t="s">
        <v>47</v>
      </c>
      <c r="C3262" s="19">
        <v>9</v>
      </c>
      <c r="D3262" s="20">
        <v>45917</v>
      </c>
      <c r="E3262" s="19" t="s">
        <v>8364</v>
      </c>
      <c r="F3262" s="19" t="s">
        <v>26</v>
      </c>
      <c r="G3262" s="19" t="s">
        <v>15</v>
      </c>
      <c r="H3262" s="19" t="s">
        <v>32</v>
      </c>
      <c r="I3262" s="19">
        <v>4</v>
      </c>
      <c r="J3262" s="19"/>
      <c r="K3262" s="19">
        <v>4</v>
      </c>
      <c r="L3262" s="19" t="s">
        <v>62</v>
      </c>
      <c r="M3262" s="21">
        <v>7.9</v>
      </c>
      <c r="N3262">
        <f t="shared" si="50"/>
        <v>0</v>
      </c>
    </row>
    <row r="3263" spans="1:14" x14ac:dyDescent="0.35">
      <c r="A3263" s="22" t="s">
        <v>3333</v>
      </c>
      <c r="B3263" s="23" t="s">
        <v>53</v>
      </c>
      <c r="C3263" s="23">
        <v>11</v>
      </c>
      <c r="D3263" s="24">
        <v>45964</v>
      </c>
      <c r="E3263" s="23" t="s">
        <v>13</v>
      </c>
      <c r="F3263" s="23" t="s">
        <v>26</v>
      </c>
      <c r="G3263" s="23" t="s">
        <v>31</v>
      </c>
      <c r="H3263" s="23" t="s">
        <v>28</v>
      </c>
      <c r="I3263" s="23">
        <v>4</v>
      </c>
      <c r="J3263" s="23">
        <v>1</v>
      </c>
      <c r="K3263" s="23">
        <v>4</v>
      </c>
      <c r="L3263" s="23" t="s">
        <v>55</v>
      </c>
      <c r="M3263" s="25">
        <v>9.1999999999999993</v>
      </c>
      <c r="N3263">
        <f t="shared" si="50"/>
        <v>0</v>
      </c>
    </row>
    <row r="3264" spans="1:14" x14ac:dyDescent="0.35">
      <c r="A3264" s="6" t="s">
        <v>3334</v>
      </c>
      <c r="B3264" s="19" t="s">
        <v>158</v>
      </c>
      <c r="C3264" s="19">
        <v>10</v>
      </c>
      <c r="D3264" s="20">
        <v>45950</v>
      </c>
      <c r="E3264" s="19" t="s">
        <v>13</v>
      </c>
      <c r="F3264" s="19" t="s">
        <v>43</v>
      </c>
      <c r="G3264" s="19" t="s">
        <v>8364</v>
      </c>
      <c r="H3264" s="19" t="s">
        <v>16</v>
      </c>
      <c r="I3264" s="19">
        <v>48</v>
      </c>
      <c r="J3264" s="19">
        <v>0</v>
      </c>
      <c r="K3264" s="19">
        <v>4</v>
      </c>
      <c r="L3264" s="19" t="s">
        <v>38</v>
      </c>
      <c r="M3264" s="21">
        <v>17.600000000000001</v>
      </c>
      <c r="N3264">
        <f t="shared" si="50"/>
        <v>1</v>
      </c>
    </row>
    <row r="3265" spans="1:14" x14ac:dyDescent="0.35">
      <c r="A3265" s="22" t="s">
        <v>3335</v>
      </c>
      <c r="B3265" s="23" t="s">
        <v>253</v>
      </c>
      <c r="C3265" s="23">
        <v>6</v>
      </c>
      <c r="D3265" s="24">
        <v>45822</v>
      </c>
      <c r="E3265" s="23" t="s">
        <v>8364</v>
      </c>
      <c r="F3265" s="23" t="s">
        <v>14</v>
      </c>
      <c r="G3265" s="23" t="s">
        <v>31</v>
      </c>
      <c r="H3265" s="23" t="s">
        <v>22</v>
      </c>
      <c r="I3265" s="23">
        <v>48</v>
      </c>
      <c r="J3265" s="23">
        <v>0</v>
      </c>
      <c r="K3265" s="23">
        <v>5</v>
      </c>
      <c r="L3265" s="23" t="s">
        <v>8363</v>
      </c>
      <c r="M3265" s="25">
        <v>11.4</v>
      </c>
      <c r="N3265">
        <f t="shared" si="50"/>
        <v>1</v>
      </c>
    </row>
    <row r="3266" spans="1:14" x14ac:dyDescent="0.35">
      <c r="A3266" s="6" t="s">
        <v>3336</v>
      </c>
      <c r="B3266" s="19" t="s">
        <v>78</v>
      </c>
      <c r="C3266" s="19">
        <v>12</v>
      </c>
      <c r="D3266" s="20">
        <v>46010</v>
      </c>
      <c r="E3266" s="19" t="s">
        <v>36</v>
      </c>
      <c r="F3266" s="19" t="s">
        <v>37</v>
      </c>
      <c r="G3266" s="19" t="s">
        <v>31</v>
      </c>
      <c r="H3266" s="19" t="s">
        <v>8364</v>
      </c>
      <c r="I3266" s="19">
        <v>72</v>
      </c>
      <c r="J3266" s="19">
        <v>0</v>
      </c>
      <c r="K3266" s="19">
        <v>4</v>
      </c>
      <c r="L3266" s="19" t="s">
        <v>44</v>
      </c>
      <c r="M3266" s="21">
        <v>2.2000000000000002</v>
      </c>
      <c r="N3266">
        <f t="shared" si="50"/>
        <v>1</v>
      </c>
    </row>
    <row r="3267" spans="1:14" x14ac:dyDescent="0.35">
      <c r="A3267" s="22" t="s">
        <v>3337</v>
      </c>
      <c r="B3267" s="23" t="s">
        <v>69</v>
      </c>
      <c r="C3267" s="23">
        <v>4</v>
      </c>
      <c r="D3267" s="24">
        <v>45771</v>
      </c>
      <c r="E3267" s="23" t="s">
        <v>25</v>
      </c>
      <c r="F3267" s="23" t="s">
        <v>26</v>
      </c>
      <c r="G3267" s="23" t="s">
        <v>21</v>
      </c>
      <c r="H3267" s="23" t="s">
        <v>22</v>
      </c>
      <c r="I3267" s="23">
        <v>24</v>
      </c>
      <c r="J3267" s="23">
        <v>0</v>
      </c>
      <c r="K3267" s="23">
        <v>1</v>
      </c>
      <c r="L3267" s="23" t="s">
        <v>17</v>
      </c>
      <c r="M3267" s="25">
        <v>14.4</v>
      </c>
      <c r="N3267">
        <f t="shared" ref="N3267:N3330" si="51">IF(M3267 &lt;= I3267, 1, 0)</f>
        <v>1</v>
      </c>
    </row>
    <row r="3268" spans="1:14" x14ac:dyDescent="0.35">
      <c r="A3268" s="6" t="s">
        <v>3338</v>
      </c>
      <c r="B3268" s="19" t="s">
        <v>97</v>
      </c>
      <c r="C3268" s="19">
        <v>11</v>
      </c>
      <c r="D3268" s="20">
        <v>45984</v>
      </c>
      <c r="E3268" s="19" t="s">
        <v>20</v>
      </c>
      <c r="F3268" s="19" t="s">
        <v>26</v>
      </c>
      <c r="G3268" s="19" t="s">
        <v>21</v>
      </c>
      <c r="H3268" s="19" t="s">
        <v>22</v>
      </c>
      <c r="I3268" s="19">
        <v>24</v>
      </c>
      <c r="J3268" s="19">
        <v>0</v>
      </c>
      <c r="K3268" s="19">
        <v>5</v>
      </c>
      <c r="L3268" s="19" t="s">
        <v>44</v>
      </c>
      <c r="M3268" s="21">
        <v>1.8</v>
      </c>
      <c r="N3268">
        <f t="shared" si="51"/>
        <v>1</v>
      </c>
    </row>
    <row r="3269" spans="1:14" x14ac:dyDescent="0.35">
      <c r="A3269" s="22" t="s">
        <v>3339</v>
      </c>
      <c r="B3269" s="23" t="s">
        <v>69</v>
      </c>
      <c r="C3269" s="23">
        <v>11</v>
      </c>
      <c r="D3269" s="24">
        <v>45986</v>
      </c>
      <c r="E3269" s="23" t="s">
        <v>36</v>
      </c>
      <c r="F3269" s="23" t="s">
        <v>14</v>
      </c>
      <c r="G3269" s="23" t="s">
        <v>27</v>
      </c>
      <c r="H3269" s="23" t="s">
        <v>22</v>
      </c>
      <c r="I3269" s="23">
        <v>8</v>
      </c>
      <c r="J3269" s="23">
        <v>0</v>
      </c>
      <c r="K3269" s="23"/>
      <c r="L3269" s="23" t="s">
        <v>8363</v>
      </c>
      <c r="M3269" s="25">
        <v>13.9</v>
      </c>
      <c r="N3269">
        <f t="shared" si="51"/>
        <v>0</v>
      </c>
    </row>
    <row r="3270" spans="1:14" x14ac:dyDescent="0.35">
      <c r="A3270" s="6" t="s">
        <v>3340</v>
      </c>
      <c r="B3270" s="19" t="s">
        <v>29</v>
      </c>
      <c r="C3270" s="19">
        <v>9</v>
      </c>
      <c r="D3270" s="20">
        <v>45913</v>
      </c>
      <c r="E3270" s="19" t="s">
        <v>20</v>
      </c>
      <c r="F3270" s="19" t="s">
        <v>43</v>
      </c>
      <c r="G3270" s="19" t="s">
        <v>31</v>
      </c>
      <c r="H3270" s="19" t="s">
        <v>22</v>
      </c>
      <c r="I3270" s="19">
        <v>8</v>
      </c>
      <c r="J3270" s="19">
        <v>0</v>
      </c>
      <c r="K3270" s="19">
        <v>5</v>
      </c>
      <c r="L3270" s="19" t="s">
        <v>38</v>
      </c>
      <c r="M3270" s="21">
        <v>13</v>
      </c>
      <c r="N3270">
        <f t="shared" si="51"/>
        <v>0</v>
      </c>
    </row>
    <row r="3271" spans="1:14" x14ac:dyDescent="0.35">
      <c r="A3271" s="22" t="s">
        <v>3341</v>
      </c>
      <c r="B3271" s="23" t="s">
        <v>99</v>
      </c>
      <c r="C3271" s="23">
        <v>3</v>
      </c>
      <c r="D3271" s="24">
        <v>45740</v>
      </c>
      <c r="E3271" s="23" t="s">
        <v>13</v>
      </c>
      <c r="F3271" s="23" t="s">
        <v>14</v>
      </c>
      <c r="G3271" s="23" t="s">
        <v>31</v>
      </c>
      <c r="H3271" s="23" t="s">
        <v>28</v>
      </c>
      <c r="I3271" s="23">
        <v>48</v>
      </c>
      <c r="J3271" s="23">
        <v>0</v>
      </c>
      <c r="K3271" s="23">
        <v>4</v>
      </c>
      <c r="L3271" s="23" t="s">
        <v>33</v>
      </c>
      <c r="M3271" s="25">
        <v>6</v>
      </c>
      <c r="N3271">
        <f t="shared" si="51"/>
        <v>1</v>
      </c>
    </row>
    <row r="3272" spans="1:14" x14ac:dyDescent="0.35">
      <c r="A3272" s="6" t="s">
        <v>3342</v>
      </c>
      <c r="B3272" s="19" t="s">
        <v>41</v>
      </c>
      <c r="C3272" s="19">
        <v>8</v>
      </c>
      <c r="D3272" s="20">
        <v>45872</v>
      </c>
      <c r="E3272" s="19" t="s">
        <v>25</v>
      </c>
      <c r="F3272" s="19" t="s">
        <v>14</v>
      </c>
      <c r="G3272" s="19" t="s">
        <v>27</v>
      </c>
      <c r="H3272" s="19" t="s">
        <v>32</v>
      </c>
      <c r="I3272" s="19">
        <v>72</v>
      </c>
      <c r="J3272" s="19">
        <v>0</v>
      </c>
      <c r="K3272" s="19">
        <v>3</v>
      </c>
      <c r="L3272" s="19" t="s">
        <v>8363</v>
      </c>
      <c r="M3272" s="21">
        <v>10</v>
      </c>
      <c r="N3272">
        <f t="shared" si="51"/>
        <v>1</v>
      </c>
    </row>
    <row r="3273" spans="1:14" x14ac:dyDescent="0.35">
      <c r="A3273" s="22" t="s">
        <v>3343</v>
      </c>
      <c r="B3273" s="23" t="s">
        <v>53</v>
      </c>
      <c r="C3273" s="23">
        <v>10</v>
      </c>
      <c r="D3273" s="24">
        <v>45942</v>
      </c>
      <c r="E3273" s="23" t="s">
        <v>36</v>
      </c>
      <c r="F3273" s="23" t="s">
        <v>14</v>
      </c>
      <c r="G3273" s="23" t="s">
        <v>31</v>
      </c>
      <c r="H3273" s="23" t="s">
        <v>22</v>
      </c>
      <c r="I3273" s="23">
        <v>24</v>
      </c>
      <c r="J3273" s="23">
        <v>0</v>
      </c>
      <c r="K3273" s="23">
        <v>4</v>
      </c>
      <c r="L3273" s="23" t="s">
        <v>62</v>
      </c>
      <c r="M3273" s="25">
        <v>11.4</v>
      </c>
      <c r="N3273">
        <f t="shared" si="51"/>
        <v>1</v>
      </c>
    </row>
    <row r="3274" spans="1:14" x14ac:dyDescent="0.35">
      <c r="A3274" s="6" t="s">
        <v>3344</v>
      </c>
      <c r="B3274" s="19" t="s">
        <v>97</v>
      </c>
      <c r="C3274" s="19">
        <v>6</v>
      </c>
      <c r="D3274" s="20">
        <v>45827</v>
      </c>
      <c r="E3274" s="19" t="s">
        <v>36</v>
      </c>
      <c r="F3274" s="19" t="s">
        <v>8364</v>
      </c>
      <c r="G3274" s="19" t="s">
        <v>27</v>
      </c>
      <c r="H3274" s="19" t="s">
        <v>32</v>
      </c>
      <c r="I3274" s="19">
        <v>48</v>
      </c>
      <c r="J3274" s="19">
        <v>0</v>
      </c>
      <c r="K3274" s="19">
        <v>5</v>
      </c>
      <c r="L3274" s="19" t="s">
        <v>44</v>
      </c>
      <c r="M3274" s="21"/>
      <c r="N3274">
        <f t="shared" si="51"/>
        <v>1</v>
      </c>
    </row>
    <row r="3275" spans="1:14" x14ac:dyDescent="0.35">
      <c r="A3275" s="22" t="s">
        <v>3345</v>
      </c>
      <c r="B3275" s="23" t="s">
        <v>89</v>
      </c>
      <c r="C3275" s="23">
        <v>6</v>
      </c>
      <c r="D3275" s="24">
        <v>45835</v>
      </c>
      <c r="E3275" s="23" t="s">
        <v>25</v>
      </c>
      <c r="F3275" s="23" t="s">
        <v>14</v>
      </c>
      <c r="G3275" s="23" t="s">
        <v>21</v>
      </c>
      <c r="H3275" s="23" t="s">
        <v>32</v>
      </c>
      <c r="I3275" s="23">
        <v>48</v>
      </c>
      <c r="J3275" s="23">
        <v>0</v>
      </c>
      <c r="K3275" s="23">
        <v>2</v>
      </c>
      <c r="L3275" s="23" t="s">
        <v>8363</v>
      </c>
      <c r="M3275" s="25">
        <v>11.1</v>
      </c>
      <c r="N3275">
        <f t="shared" si="51"/>
        <v>1</v>
      </c>
    </row>
    <row r="3276" spans="1:14" x14ac:dyDescent="0.35">
      <c r="A3276" s="6" t="s">
        <v>3346</v>
      </c>
      <c r="B3276" s="19" t="s">
        <v>89</v>
      </c>
      <c r="C3276" s="19"/>
      <c r="D3276" s="20"/>
      <c r="E3276" s="19" t="s">
        <v>13</v>
      </c>
      <c r="F3276" s="19" t="s">
        <v>8364</v>
      </c>
      <c r="G3276" s="19" t="s">
        <v>31</v>
      </c>
      <c r="H3276" s="19" t="s">
        <v>28</v>
      </c>
      <c r="I3276" s="19">
        <v>8</v>
      </c>
      <c r="J3276" s="19">
        <v>1</v>
      </c>
      <c r="K3276" s="19">
        <v>1</v>
      </c>
      <c r="L3276" s="19" t="s">
        <v>44</v>
      </c>
      <c r="M3276" s="21">
        <v>18.8</v>
      </c>
      <c r="N3276">
        <f t="shared" si="51"/>
        <v>0</v>
      </c>
    </row>
    <row r="3277" spans="1:14" x14ac:dyDescent="0.35">
      <c r="A3277" s="22" t="s">
        <v>3347</v>
      </c>
      <c r="B3277" s="23" t="s">
        <v>139</v>
      </c>
      <c r="C3277" s="23">
        <v>1</v>
      </c>
      <c r="D3277" s="24">
        <v>45664</v>
      </c>
      <c r="E3277" s="23" t="s">
        <v>8364</v>
      </c>
      <c r="F3277" s="23" t="s">
        <v>14</v>
      </c>
      <c r="G3277" s="23" t="s">
        <v>15</v>
      </c>
      <c r="H3277" s="23" t="s">
        <v>22</v>
      </c>
      <c r="I3277" s="23">
        <v>4</v>
      </c>
      <c r="J3277" s="23">
        <v>0</v>
      </c>
      <c r="K3277" s="23">
        <v>3</v>
      </c>
      <c r="L3277" s="23" t="s">
        <v>75</v>
      </c>
      <c r="M3277" s="25">
        <v>10.3</v>
      </c>
      <c r="N3277">
        <f t="shared" si="51"/>
        <v>0</v>
      </c>
    </row>
    <row r="3278" spans="1:14" x14ac:dyDescent="0.35">
      <c r="A3278" s="6" t="s">
        <v>3348</v>
      </c>
      <c r="B3278" s="19" t="s">
        <v>101</v>
      </c>
      <c r="C3278" s="19">
        <v>8</v>
      </c>
      <c r="D3278" s="20">
        <v>45885</v>
      </c>
      <c r="E3278" s="19" t="s">
        <v>25</v>
      </c>
      <c r="F3278" s="19" t="s">
        <v>37</v>
      </c>
      <c r="G3278" s="19" t="s">
        <v>31</v>
      </c>
      <c r="H3278" s="19" t="s">
        <v>22</v>
      </c>
      <c r="I3278" s="19">
        <v>48</v>
      </c>
      <c r="J3278" s="19">
        <v>0</v>
      </c>
      <c r="K3278" s="19">
        <v>5</v>
      </c>
      <c r="L3278" s="19" t="s">
        <v>62</v>
      </c>
      <c r="M3278" s="21">
        <v>7.2</v>
      </c>
      <c r="N3278">
        <f t="shared" si="51"/>
        <v>1</v>
      </c>
    </row>
    <row r="3279" spans="1:14" x14ac:dyDescent="0.35">
      <c r="A3279" s="22" t="s">
        <v>3349</v>
      </c>
      <c r="B3279" s="23" t="s">
        <v>89</v>
      </c>
      <c r="C3279" s="23">
        <v>7</v>
      </c>
      <c r="D3279" s="24">
        <v>45850</v>
      </c>
      <c r="E3279" s="23" t="s">
        <v>20</v>
      </c>
      <c r="F3279" s="23" t="s">
        <v>8364</v>
      </c>
      <c r="G3279" s="23" t="s">
        <v>21</v>
      </c>
      <c r="H3279" s="23" t="s">
        <v>32</v>
      </c>
      <c r="I3279" s="23">
        <v>24</v>
      </c>
      <c r="J3279" s="23">
        <v>0</v>
      </c>
      <c r="K3279" s="23">
        <v>3</v>
      </c>
      <c r="L3279" s="23" t="s">
        <v>38</v>
      </c>
      <c r="M3279" s="25">
        <v>17.7</v>
      </c>
      <c r="N3279">
        <f t="shared" si="51"/>
        <v>1</v>
      </c>
    </row>
    <row r="3280" spans="1:14" x14ac:dyDescent="0.35">
      <c r="A3280" s="6" t="s">
        <v>3350</v>
      </c>
      <c r="B3280" s="19" t="s">
        <v>57</v>
      </c>
      <c r="C3280" s="19">
        <v>4</v>
      </c>
      <c r="D3280" s="20">
        <v>45776</v>
      </c>
      <c r="E3280" s="19" t="s">
        <v>25</v>
      </c>
      <c r="F3280" s="19" t="s">
        <v>14</v>
      </c>
      <c r="G3280" s="19" t="s">
        <v>27</v>
      </c>
      <c r="H3280" s="19" t="s">
        <v>32</v>
      </c>
      <c r="I3280" s="19">
        <v>24</v>
      </c>
      <c r="J3280" s="19">
        <v>0</v>
      </c>
      <c r="K3280" s="19">
        <v>5</v>
      </c>
      <c r="L3280" s="19" t="s">
        <v>38</v>
      </c>
      <c r="M3280" s="21">
        <v>11.8</v>
      </c>
      <c r="N3280">
        <f t="shared" si="51"/>
        <v>1</v>
      </c>
    </row>
    <row r="3281" spans="1:14" x14ac:dyDescent="0.35">
      <c r="A3281" s="22" t="s">
        <v>3351</v>
      </c>
      <c r="B3281" s="23" t="s">
        <v>34</v>
      </c>
      <c r="C3281" s="23">
        <v>12</v>
      </c>
      <c r="D3281" s="24">
        <v>46008</v>
      </c>
      <c r="E3281" s="23" t="s">
        <v>36</v>
      </c>
      <c r="F3281" s="23" t="s">
        <v>8364</v>
      </c>
      <c r="G3281" s="23" t="s">
        <v>31</v>
      </c>
      <c r="H3281" s="23" t="s">
        <v>22</v>
      </c>
      <c r="I3281" s="23">
        <v>24</v>
      </c>
      <c r="J3281" s="23">
        <v>0</v>
      </c>
      <c r="K3281" s="23">
        <v>4</v>
      </c>
      <c r="L3281" s="23" t="s">
        <v>8363</v>
      </c>
      <c r="M3281" s="25">
        <v>96</v>
      </c>
      <c r="N3281">
        <f t="shared" si="51"/>
        <v>0</v>
      </c>
    </row>
    <row r="3282" spans="1:14" x14ac:dyDescent="0.35">
      <c r="A3282" s="6" t="s">
        <v>3352</v>
      </c>
      <c r="B3282" s="19" t="s">
        <v>101</v>
      </c>
      <c r="C3282" s="19">
        <v>6</v>
      </c>
      <c r="D3282" s="20">
        <v>45836</v>
      </c>
      <c r="E3282" s="19" t="s">
        <v>25</v>
      </c>
      <c r="F3282" s="19" t="s">
        <v>14</v>
      </c>
      <c r="G3282" s="19" t="s">
        <v>27</v>
      </c>
      <c r="H3282" s="19" t="s">
        <v>22</v>
      </c>
      <c r="I3282" s="19">
        <v>4</v>
      </c>
      <c r="J3282" s="19">
        <v>1</v>
      </c>
      <c r="K3282" s="19">
        <v>5</v>
      </c>
      <c r="L3282" s="19" t="s">
        <v>75</v>
      </c>
      <c r="M3282" s="21"/>
      <c r="N3282">
        <f t="shared" si="51"/>
        <v>1</v>
      </c>
    </row>
    <row r="3283" spans="1:14" x14ac:dyDescent="0.35">
      <c r="A3283" s="22" t="s">
        <v>3353</v>
      </c>
      <c r="B3283" s="23" t="s">
        <v>92</v>
      </c>
      <c r="C3283" s="23">
        <v>5</v>
      </c>
      <c r="D3283" s="24">
        <v>45806</v>
      </c>
      <c r="E3283" s="23" t="s">
        <v>20</v>
      </c>
      <c r="F3283" s="23" t="s">
        <v>14</v>
      </c>
      <c r="G3283" s="23" t="s">
        <v>21</v>
      </c>
      <c r="H3283" s="23" t="s">
        <v>8364</v>
      </c>
      <c r="I3283" s="23">
        <v>4</v>
      </c>
      <c r="J3283" s="23">
        <v>0</v>
      </c>
      <c r="K3283" s="23">
        <v>3</v>
      </c>
      <c r="L3283" s="23" t="s">
        <v>17</v>
      </c>
      <c r="M3283" s="25">
        <v>15.2</v>
      </c>
      <c r="N3283">
        <f t="shared" si="51"/>
        <v>0</v>
      </c>
    </row>
    <row r="3284" spans="1:14" x14ac:dyDescent="0.35">
      <c r="A3284" s="6" t="s">
        <v>3354</v>
      </c>
      <c r="B3284" s="19" t="s">
        <v>139</v>
      </c>
      <c r="C3284" s="19">
        <v>6</v>
      </c>
      <c r="D3284" s="20">
        <v>45834</v>
      </c>
      <c r="E3284" s="19" t="s">
        <v>13</v>
      </c>
      <c r="F3284" s="19" t="s">
        <v>43</v>
      </c>
      <c r="G3284" s="19" t="s">
        <v>21</v>
      </c>
      <c r="H3284" s="19" t="s">
        <v>8364</v>
      </c>
      <c r="I3284" s="19">
        <v>4</v>
      </c>
      <c r="J3284" s="19">
        <v>0</v>
      </c>
      <c r="K3284" s="19">
        <v>4</v>
      </c>
      <c r="L3284" s="19" t="s">
        <v>8363</v>
      </c>
      <c r="M3284" s="21">
        <v>10.3</v>
      </c>
      <c r="N3284">
        <f t="shared" si="51"/>
        <v>0</v>
      </c>
    </row>
    <row r="3285" spans="1:14" x14ac:dyDescent="0.35">
      <c r="A3285" s="22" t="s">
        <v>3355</v>
      </c>
      <c r="B3285" s="23" t="s">
        <v>45</v>
      </c>
      <c r="C3285" s="23">
        <v>4</v>
      </c>
      <c r="D3285" s="24">
        <v>45776</v>
      </c>
      <c r="E3285" s="23" t="s">
        <v>36</v>
      </c>
      <c r="F3285" s="23" t="s">
        <v>40</v>
      </c>
      <c r="G3285" s="23" t="s">
        <v>27</v>
      </c>
      <c r="H3285" s="23" t="s">
        <v>8364</v>
      </c>
      <c r="I3285" s="23">
        <v>72</v>
      </c>
      <c r="J3285" s="23">
        <v>0</v>
      </c>
      <c r="K3285" s="23">
        <v>5</v>
      </c>
      <c r="L3285" s="23" t="s">
        <v>8363</v>
      </c>
      <c r="M3285" s="25">
        <v>3.4</v>
      </c>
      <c r="N3285">
        <f t="shared" si="51"/>
        <v>1</v>
      </c>
    </row>
    <row r="3286" spans="1:14" x14ac:dyDescent="0.35">
      <c r="A3286" s="6" t="s">
        <v>3356</v>
      </c>
      <c r="B3286" s="19" t="s">
        <v>253</v>
      </c>
      <c r="C3286" s="19">
        <v>12</v>
      </c>
      <c r="D3286" s="20">
        <v>46014</v>
      </c>
      <c r="E3286" s="19" t="s">
        <v>25</v>
      </c>
      <c r="F3286" s="19" t="s">
        <v>37</v>
      </c>
      <c r="G3286" s="19" t="s">
        <v>27</v>
      </c>
      <c r="H3286" s="19" t="s">
        <v>32</v>
      </c>
      <c r="I3286" s="19">
        <v>72</v>
      </c>
      <c r="J3286" s="19">
        <v>0</v>
      </c>
      <c r="K3286" s="19">
        <v>4</v>
      </c>
      <c r="L3286" s="19" t="s">
        <v>33</v>
      </c>
      <c r="M3286" s="21">
        <v>12.8</v>
      </c>
      <c r="N3286">
        <f t="shared" si="51"/>
        <v>1</v>
      </c>
    </row>
    <row r="3287" spans="1:14" x14ac:dyDescent="0.35">
      <c r="A3287" s="22" t="s">
        <v>3357</v>
      </c>
      <c r="B3287" s="23" t="s">
        <v>85</v>
      </c>
      <c r="C3287" s="23">
        <v>4</v>
      </c>
      <c r="D3287" s="24">
        <v>45751</v>
      </c>
      <c r="E3287" s="23" t="s">
        <v>36</v>
      </c>
      <c r="F3287" s="23" t="s">
        <v>43</v>
      </c>
      <c r="G3287" s="23" t="s">
        <v>31</v>
      </c>
      <c r="H3287" s="23" t="s">
        <v>8364</v>
      </c>
      <c r="I3287" s="23">
        <v>4</v>
      </c>
      <c r="J3287" s="23">
        <v>0</v>
      </c>
      <c r="K3287" s="23">
        <v>5</v>
      </c>
      <c r="L3287" s="23" t="s">
        <v>8363</v>
      </c>
      <c r="M3287" s="25">
        <v>17.3</v>
      </c>
      <c r="N3287">
        <f t="shared" si="51"/>
        <v>0</v>
      </c>
    </row>
    <row r="3288" spans="1:14" x14ac:dyDescent="0.35">
      <c r="A3288" s="6" t="s">
        <v>3358</v>
      </c>
      <c r="B3288" s="19" t="s">
        <v>108</v>
      </c>
      <c r="C3288" s="19">
        <v>6</v>
      </c>
      <c r="D3288" s="20">
        <v>45830</v>
      </c>
      <c r="E3288" s="19" t="s">
        <v>68</v>
      </c>
      <c r="F3288" s="19" t="s">
        <v>8364</v>
      </c>
      <c r="G3288" s="19" t="s">
        <v>31</v>
      </c>
      <c r="H3288" s="19" t="s">
        <v>22</v>
      </c>
      <c r="I3288" s="19">
        <v>4</v>
      </c>
      <c r="J3288" s="19">
        <v>0</v>
      </c>
      <c r="K3288" s="19">
        <v>2</v>
      </c>
      <c r="L3288" s="19" t="s">
        <v>62</v>
      </c>
      <c r="M3288" s="21">
        <v>5.2</v>
      </c>
      <c r="N3288">
        <f t="shared" si="51"/>
        <v>0</v>
      </c>
    </row>
    <row r="3289" spans="1:14" x14ac:dyDescent="0.35">
      <c r="A3289" s="22" t="s">
        <v>3359</v>
      </c>
      <c r="B3289" s="23" t="s">
        <v>29</v>
      </c>
      <c r="C3289" s="23">
        <v>1</v>
      </c>
      <c r="D3289" s="24">
        <v>45666</v>
      </c>
      <c r="E3289" s="23" t="s">
        <v>36</v>
      </c>
      <c r="F3289" s="23" t="s">
        <v>43</v>
      </c>
      <c r="G3289" s="23" t="s">
        <v>31</v>
      </c>
      <c r="H3289" s="23" t="s">
        <v>22</v>
      </c>
      <c r="I3289" s="23">
        <v>48</v>
      </c>
      <c r="J3289" s="23">
        <v>0</v>
      </c>
      <c r="K3289" s="23">
        <v>3</v>
      </c>
      <c r="L3289" s="23" t="s">
        <v>55</v>
      </c>
      <c r="M3289" s="25"/>
      <c r="N3289">
        <f t="shared" si="51"/>
        <v>1</v>
      </c>
    </row>
    <row r="3290" spans="1:14" x14ac:dyDescent="0.35">
      <c r="A3290" s="6" t="s">
        <v>3360</v>
      </c>
      <c r="B3290" s="19" t="s">
        <v>51</v>
      </c>
      <c r="C3290" s="19">
        <v>11</v>
      </c>
      <c r="D3290" s="20">
        <v>45968</v>
      </c>
      <c r="E3290" s="19" t="s">
        <v>8364</v>
      </c>
      <c r="F3290" s="19" t="s">
        <v>59</v>
      </c>
      <c r="G3290" s="19" t="s">
        <v>21</v>
      </c>
      <c r="H3290" s="19" t="s">
        <v>22</v>
      </c>
      <c r="I3290" s="19">
        <v>4</v>
      </c>
      <c r="J3290" s="19">
        <v>0</v>
      </c>
      <c r="K3290" s="19">
        <v>4</v>
      </c>
      <c r="L3290" s="19" t="s">
        <v>33</v>
      </c>
      <c r="M3290" s="21">
        <v>4.3</v>
      </c>
      <c r="N3290">
        <f t="shared" si="51"/>
        <v>0</v>
      </c>
    </row>
    <row r="3291" spans="1:14" x14ac:dyDescent="0.35">
      <c r="A3291" s="22" t="s">
        <v>3361</v>
      </c>
      <c r="B3291" s="23" t="s">
        <v>34</v>
      </c>
      <c r="C3291" s="23">
        <v>3</v>
      </c>
      <c r="D3291" s="24">
        <v>45727</v>
      </c>
      <c r="E3291" s="23" t="s">
        <v>8364</v>
      </c>
      <c r="F3291" s="23" t="s">
        <v>43</v>
      </c>
      <c r="G3291" s="23" t="s">
        <v>21</v>
      </c>
      <c r="H3291" s="23" t="s">
        <v>22</v>
      </c>
      <c r="I3291" s="23">
        <v>4</v>
      </c>
      <c r="J3291" s="23">
        <v>0</v>
      </c>
      <c r="K3291" s="23">
        <v>5</v>
      </c>
      <c r="L3291" s="23" t="s">
        <v>33</v>
      </c>
      <c r="M3291" s="25">
        <v>9</v>
      </c>
      <c r="N3291">
        <f t="shared" si="51"/>
        <v>0</v>
      </c>
    </row>
    <row r="3292" spans="1:14" x14ac:dyDescent="0.35">
      <c r="A3292" s="6" t="s">
        <v>3362</v>
      </c>
      <c r="B3292" s="19" t="s">
        <v>47</v>
      </c>
      <c r="C3292" s="19">
        <v>4</v>
      </c>
      <c r="D3292" s="20">
        <v>45774</v>
      </c>
      <c r="E3292" s="19" t="s">
        <v>36</v>
      </c>
      <c r="F3292" s="19" t="s">
        <v>8364</v>
      </c>
      <c r="G3292" s="19" t="s">
        <v>27</v>
      </c>
      <c r="H3292" s="19" t="s">
        <v>28</v>
      </c>
      <c r="I3292" s="19">
        <v>48</v>
      </c>
      <c r="J3292" s="19">
        <v>2</v>
      </c>
      <c r="K3292" s="19">
        <v>5</v>
      </c>
      <c r="L3292" s="19" t="s">
        <v>8363</v>
      </c>
      <c r="M3292" s="21">
        <v>7.9</v>
      </c>
      <c r="N3292">
        <f t="shared" si="51"/>
        <v>1</v>
      </c>
    </row>
    <row r="3293" spans="1:14" x14ac:dyDescent="0.35">
      <c r="A3293" s="22" t="s">
        <v>3363</v>
      </c>
      <c r="B3293" s="23" t="s">
        <v>47</v>
      </c>
      <c r="C3293" s="23">
        <v>4</v>
      </c>
      <c r="D3293" s="24">
        <v>45759</v>
      </c>
      <c r="E3293" s="23" t="s">
        <v>20</v>
      </c>
      <c r="F3293" s="23" t="s">
        <v>59</v>
      </c>
      <c r="G3293" s="23" t="s">
        <v>31</v>
      </c>
      <c r="H3293" s="23" t="s">
        <v>8364</v>
      </c>
      <c r="I3293" s="23">
        <v>4</v>
      </c>
      <c r="J3293" s="23">
        <v>0</v>
      </c>
      <c r="K3293" s="23">
        <v>2</v>
      </c>
      <c r="L3293" s="23" t="s">
        <v>8363</v>
      </c>
      <c r="M3293" s="25">
        <v>24.8</v>
      </c>
      <c r="N3293">
        <f t="shared" si="51"/>
        <v>0</v>
      </c>
    </row>
    <row r="3294" spans="1:14" x14ac:dyDescent="0.35">
      <c r="A3294" s="6" t="s">
        <v>3364</v>
      </c>
      <c r="B3294" s="19" t="s">
        <v>53</v>
      </c>
      <c r="C3294" s="19">
        <v>5</v>
      </c>
      <c r="D3294" s="20">
        <v>45808</v>
      </c>
      <c r="E3294" s="19" t="s">
        <v>20</v>
      </c>
      <c r="F3294" s="19" t="s">
        <v>37</v>
      </c>
      <c r="G3294" s="19" t="s">
        <v>21</v>
      </c>
      <c r="H3294" s="19" t="s">
        <v>22</v>
      </c>
      <c r="I3294" s="19">
        <v>48</v>
      </c>
      <c r="J3294" s="19">
        <v>2</v>
      </c>
      <c r="K3294" s="19">
        <v>5</v>
      </c>
      <c r="L3294" s="19" t="s">
        <v>44</v>
      </c>
      <c r="M3294" s="21">
        <v>19.7</v>
      </c>
      <c r="N3294">
        <f t="shared" si="51"/>
        <v>1</v>
      </c>
    </row>
    <row r="3295" spans="1:14" x14ac:dyDescent="0.35">
      <c r="A3295" s="22" t="s">
        <v>3365</v>
      </c>
      <c r="B3295" s="23" t="s">
        <v>49</v>
      </c>
      <c r="C3295" s="23">
        <v>5</v>
      </c>
      <c r="D3295" s="24">
        <v>45806</v>
      </c>
      <c r="E3295" s="23" t="s">
        <v>25</v>
      </c>
      <c r="F3295" s="23" t="s">
        <v>43</v>
      </c>
      <c r="G3295" s="23" t="s">
        <v>31</v>
      </c>
      <c r="H3295" s="23" t="s">
        <v>28</v>
      </c>
      <c r="I3295" s="23">
        <v>72</v>
      </c>
      <c r="J3295" s="23">
        <v>0</v>
      </c>
      <c r="K3295" s="23">
        <v>5</v>
      </c>
      <c r="L3295" s="23" t="s">
        <v>38</v>
      </c>
      <c r="M3295" s="25">
        <v>21.9</v>
      </c>
      <c r="N3295">
        <f t="shared" si="51"/>
        <v>1</v>
      </c>
    </row>
    <row r="3296" spans="1:14" x14ac:dyDescent="0.35">
      <c r="A3296" s="6" t="s">
        <v>3366</v>
      </c>
      <c r="B3296" s="19" t="s">
        <v>23</v>
      </c>
      <c r="C3296" s="19">
        <v>10</v>
      </c>
      <c r="D3296" s="20">
        <v>45932</v>
      </c>
      <c r="E3296" s="19" t="s">
        <v>20</v>
      </c>
      <c r="F3296" s="19" t="s">
        <v>40</v>
      </c>
      <c r="G3296" s="19" t="s">
        <v>8364</v>
      </c>
      <c r="H3296" s="19" t="s">
        <v>22</v>
      </c>
      <c r="I3296" s="19">
        <v>24</v>
      </c>
      <c r="J3296" s="19">
        <v>0</v>
      </c>
      <c r="K3296" s="19">
        <v>5</v>
      </c>
      <c r="L3296" s="19" t="s">
        <v>55</v>
      </c>
      <c r="M3296" s="21">
        <v>6.1</v>
      </c>
      <c r="N3296">
        <f t="shared" si="51"/>
        <v>1</v>
      </c>
    </row>
    <row r="3297" spans="1:14" x14ac:dyDescent="0.35">
      <c r="A3297" s="22" t="s">
        <v>3367</v>
      </c>
      <c r="B3297" s="23" t="s">
        <v>78</v>
      </c>
      <c r="C3297" s="23">
        <v>8</v>
      </c>
      <c r="D3297" s="24">
        <v>45880</v>
      </c>
      <c r="E3297" s="23" t="s">
        <v>20</v>
      </c>
      <c r="F3297" s="23" t="s">
        <v>43</v>
      </c>
      <c r="G3297" s="23" t="s">
        <v>27</v>
      </c>
      <c r="H3297" s="23" t="s">
        <v>8364</v>
      </c>
      <c r="I3297" s="23">
        <v>24</v>
      </c>
      <c r="J3297" s="23">
        <v>1</v>
      </c>
      <c r="K3297" s="23">
        <v>3</v>
      </c>
      <c r="L3297" s="23" t="s">
        <v>17</v>
      </c>
      <c r="M3297" s="25">
        <v>6.9</v>
      </c>
      <c r="N3297">
        <f t="shared" si="51"/>
        <v>1</v>
      </c>
    </row>
    <row r="3298" spans="1:14" x14ac:dyDescent="0.35">
      <c r="A3298" s="6" t="s">
        <v>3368</v>
      </c>
      <c r="B3298" s="19" t="s">
        <v>41</v>
      </c>
      <c r="C3298" s="19"/>
      <c r="D3298" s="20"/>
      <c r="E3298" s="19" t="s">
        <v>20</v>
      </c>
      <c r="F3298" s="19" t="s">
        <v>14</v>
      </c>
      <c r="G3298" s="19" t="s">
        <v>31</v>
      </c>
      <c r="H3298" s="19" t="s">
        <v>22</v>
      </c>
      <c r="I3298" s="19">
        <v>48</v>
      </c>
      <c r="J3298" s="19">
        <v>2</v>
      </c>
      <c r="K3298" s="19">
        <v>5</v>
      </c>
      <c r="L3298" s="19" t="s">
        <v>55</v>
      </c>
      <c r="M3298" s="21"/>
      <c r="N3298">
        <f t="shared" si="51"/>
        <v>1</v>
      </c>
    </row>
    <row r="3299" spans="1:14" x14ac:dyDescent="0.35">
      <c r="A3299" s="22" t="s">
        <v>3369</v>
      </c>
      <c r="B3299" s="23" t="s">
        <v>101</v>
      </c>
      <c r="C3299" s="23">
        <v>3</v>
      </c>
      <c r="D3299" s="24">
        <v>45718</v>
      </c>
      <c r="E3299" s="23" t="s">
        <v>68</v>
      </c>
      <c r="F3299" s="23" t="s">
        <v>14</v>
      </c>
      <c r="G3299" s="23" t="s">
        <v>15</v>
      </c>
      <c r="H3299" s="23" t="s">
        <v>22</v>
      </c>
      <c r="I3299" s="23">
        <v>8</v>
      </c>
      <c r="J3299" s="23">
        <v>0</v>
      </c>
      <c r="K3299" s="23">
        <v>5</v>
      </c>
      <c r="L3299" s="23" t="s">
        <v>62</v>
      </c>
      <c r="M3299" s="25">
        <v>26</v>
      </c>
      <c r="N3299">
        <f t="shared" si="51"/>
        <v>0</v>
      </c>
    </row>
    <row r="3300" spans="1:14" x14ac:dyDescent="0.35">
      <c r="A3300" s="6" t="s">
        <v>3370</v>
      </c>
      <c r="B3300" s="19" t="s">
        <v>87</v>
      </c>
      <c r="C3300" s="19">
        <v>4</v>
      </c>
      <c r="D3300" s="20">
        <v>45753</v>
      </c>
      <c r="E3300" s="19" t="s">
        <v>25</v>
      </c>
      <c r="F3300" s="19" t="s">
        <v>8364</v>
      </c>
      <c r="G3300" s="19" t="s">
        <v>21</v>
      </c>
      <c r="H3300" s="19" t="s">
        <v>22</v>
      </c>
      <c r="I3300" s="19">
        <v>4</v>
      </c>
      <c r="J3300" s="19">
        <v>3</v>
      </c>
      <c r="K3300" s="19">
        <v>3</v>
      </c>
      <c r="L3300" s="19" t="s">
        <v>75</v>
      </c>
      <c r="M3300" s="21">
        <v>11</v>
      </c>
      <c r="N3300">
        <f t="shared" si="51"/>
        <v>0</v>
      </c>
    </row>
    <row r="3301" spans="1:14" x14ac:dyDescent="0.35">
      <c r="A3301" s="22" t="s">
        <v>3371</v>
      </c>
      <c r="B3301" s="23" t="s">
        <v>72</v>
      </c>
      <c r="C3301" s="23"/>
      <c r="D3301" s="24"/>
      <c r="E3301" s="23" t="s">
        <v>25</v>
      </c>
      <c r="F3301" s="23" t="s">
        <v>8364</v>
      </c>
      <c r="G3301" s="23" t="s">
        <v>21</v>
      </c>
      <c r="H3301" s="23" t="s">
        <v>22</v>
      </c>
      <c r="I3301" s="23">
        <v>4</v>
      </c>
      <c r="J3301" s="23">
        <v>0</v>
      </c>
      <c r="K3301" s="23">
        <v>5</v>
      </c>
      <c r="L3301" s="23" t="s">
        <v>8363</v>
      </c>
      <c r="M3301" s="25">
        <v>11.4</v>
      </c>
      <c r="N3301">
        <f t="shared" si="51"/>
        <v>0</v>
      </c>
    </row>
    <row r="3302" spans="1:14" x14ac:dyDescent="0.35">
      <c r="A3302" s="6" t="s">
        <v>3372</v>
      </c>
      <c r="B3302" s="19" t="s">
        <v>39</v>
      </c>
      <c r="C3302" s="19">
        <v>5</v>
      </c>
      <c r="D3302" s="20">
        <v>45800</v>
      </c>
      <c r="E3302" s="19" t="s">
        <v>13</v>
      </c>
      <c r="F3302" s="19" t="s">
        <v>8364</v>
      </c>
      <c r="G3302" s="19" t="s">
        <v>15</v>
      </c>
      <c r="H3302" s="19" t="s">
        <v>8364</v>
      </c>
      <c r="I3302" s="19">
        <v>8</v>
      </c>
      <c r="J3302" s="19">
        <v>0</v>
      </c>
      <c r="K3302" s="19">
        <v>5</v>
      </c>
      <c r="L3302" s="19" t="s">
        <v>62</v>
      </c>
      <c r="M3302" s="21">
        <v>4.0999999999999996</v>
      </c>
      <c r="N3302">
        <f t="shared" si="51"/>
        <v>1</v>
      </c>
    </row>
    <row r="3303" spans="1:14" x14ac:dyDescent="0.35">
      <c r="A3303" s="22" t="s">
        <v>3373</v>
      </c>
      <c r="B3303" s="23" t="s">
        <v>57</v>
      </c>
      <c r="C3303" s="23"/>
      <c r="D3303" s="24"/>
      <c r="E3303" s="23" t="s">
        <v>68</v>
      </c>
      <c r="F3303" s="23" t="s">
        <v>59</v>
      </c>
      <c r="G3303" s="23" t="s">
        <v>27</v>
      </c>
      <c r="H3303" s="23" t="s">
        <v>32</v>
      </c>
      <c r="I3303" s="23">
        <v>72</v>
      </c>
      <c r="J3303" s="23">
        <v>0</v>
      </c>
      <c r="K3303" s="23">
        <v>4</v>
      </c>
      <c r="L3303" s="23" t="s">
        <v>17</v>
      </c>
      <c r="M3303" s="25">
        <v>6.3</v>
      </c>
      <c r="N3303">
        <f t="shared" si="51"/>
        <v>1</v>
      </c>
    </row>
    <row r="3304" spans="1:14" x14ac:dyDescent="0.35">
      <c r="A3304" s="6" t="s">
        <v>3374</v>
      </c>
      <c r="B3304" s="19" t="s">
        <v>143</v>
      </c>
      <c r="C3304" s="19">
        <v>8</v>
      </c>
      <c r="D3304" s="20">
        <v>45892</v>
      </c>
      <c r="E3304" s="19" t="s">
        <v>20</v>
      </c>
      <c r="F3304" s="19" t="s">
        <v>8364</v>
      </c>
      <c r="G3304" s="19" t="s">
        <v>15</v>
      </c>
      <c r="H3304" s="19" t="s">
        <v>28</v>
      </c>
      <c r="I3304" s="19">
        <v>8</v>
      </c>
      <c r="J3304" s="19">
        <v>2</v>
      </c>
      <c r="K3304" s="19">
        <v>4</v>
      </c>
      <c r="L3304" s="19" t="s">
        <v>75</v>
      </c>
      <c r="M3304" s="21">
        <v>1.4</v>
      </c>
      <c r="N3304">
        <f t="shared" si="51"/>
        <v>1</v>
      </c>
    </row>
    <row r="3305" spans="1:14" x14ac:dyDescent="0.35">
      <c r="A3305" s="22" t="s">
        <v>3375</v>
      </c>
      <c r="B3305" s="23" t="s">
        <v>89</v>
      </c>
      <c r="C3305" s="23">
        <v>1</v>
      </c>
      <c r="D3305" s="24">
        <v>45669</v>
      </c>
      <c r="E3305" s="23" t="s">
        <v>36</v>
      </c>
      <c r="F3305" s="23" t="s">
        <v>8364</v>
      </c>
      <c r="G3305" s="23" t="s">
        <v>27</v>
      </c>
      <c r="H3305" s="23" t="s">
        <v>32</v>
      </c>
      <c r="I3305" s="23">
        <v>8</v>
      </c>
      <c r="J3305" s="23">
        <v>0</v>
      </c>
      <c r="K3305" s="23"/>
      <c r="L3305" s="23" t="s">
        <v>62</v>
      </c>
      <c r="M3305" s="25">
        <v>7.9</v>
      </c>
      <c r="N3305">
        <f t="shared" si="51"/>
        <v>1</v>
      </c>
    </row>
    <row r="3306" spans="1:14" x14ac:dyDescent="0.35">
      <c r="A3306" s="6" t="s">
        <v>3376</v>
      </c>
      <c r="B3306" s="19" t="s">
        <v>253</v>
      </c>
      <c r="C3306" s="19">
        <v>11</v>
      </c>
      <c r="D3306" s="20">
        <v>45985</v>
      </c>
      <c r="E3306" s="19" t="s">
        <v>36</v>
      </c>
      <c r="F3306" s="19" t="s">
        <v>40</v>
      </c>
      <c r="G3306" s="19" t="s">
        <v>21</v>
      </c>
      <c r="H3306" s="19" t="s">
        <v>8364</v>
      </c>
      <c r="I3306" s="19">
        <v>24</v>
      </c>
      <c r="J3306" s="19">
        <v>0</v>
      </c>
      <c r="K3306" s="19">
        <v>1</v>
      </c>
      <c r="L3306" s="19" t="s">
        <v>62</v>
      </c>
      <c r="M3306" s="21">
        <v>2.5</v>
      </c>
      <c r="N3306">
        <f t="shared" si="51"/>
        <v>1</v>
      </c>
    </row>
    <row r="3307" spans="1:14" x14ac:dyDescent="0.35">
      <c r="A3307" s="22" t="s">
        <v>3377</v>
      </c>
      <c r="B3307" s="23" t="s">
        <v>53</v>
      </c>
      <c r="C3307" s="23">
        <v>4</v>
      </c>
      <c r="D3307" s="24">
        <v>45773</v>
      </c>
      <c r="E3307" s="23" t="s">
        <v>20</v>
      </c>
      <c r="F3307" s="23" t="s">
        <v>14</v>
      </c>
      <c r="G3307" s="23" t="s">
        <v>15</v>
      </c>
      <c r="H3307" s="23" t="s">
        <v>22</v>
      </c>
      <c r="I3307" s="23">
        <v>48</v>
      </c>
      <c r="J3307" s="23">
        <v>0</v>
      </c>
      <c r="K3307" s="23">
        <v>3</v>
      </c>
      <c r="L3307" s="23" t="s">
        <v>8363</v>
      </c>
      <c r="M3307" s="25">
        <v>7.5</v>
      </c>
      <c r="N3307">
        <f t="shared" si="51"/>
        <v>1</v>
      </c>
    </row>
    <row r="3308" spans="1:14" x14ac:dyDescent="0.35">
      <c r="A3308" s="6" t="s">
        <v>3378</v>
      </c>
      <c r="B3308" s="19" t="s">
        <v>89</v>
      </c>
      <c r="C3308" s="19">
        <v>8</v>
      </c>
      <c r="D3308" s="20">
        <v>45893</v>
      </c>
      <c r="E3308" s="19" t="s">
        <v>68</v>
      </c>
      <c r="F3308" s="19" t="s">
        <v>14</v>
      </c>
      <c r="G3308" s="19" t="s">
        <v>8364</v>
      </c>
      <c r="H3308" s="19" t="s">
        <v>8364</v>
      </c>
      <c r="I3308" s="19">
        <v>4</v>
      </c>
      <c r="J3308" s="19">
        <v>0</v>
      </c>
      <c r="K3308" s="19">
        <v>4</v>
      </c>
      <c r="L3308" s="19" t="s">
        <v>8363</v>
      </c>
      <c r="M3308" s="21">
        <v>13.6</v>
      </c>
      <c r="N3308">
        <f t="shared" si="51"/>
        <v>0</v>
      </c>
    </row>
    <row r="3309" spans="1:14" x14ac:dyDescent="0.35">
      <c r="A3309" s="22" t="s">
        <v>3379</v>
      </c>
      <c r="B3309" s="23" t="s">
        <v>57</v>
      </c>
      <c r="C3309" s="23">
        <v>1</v>
      </c>
      <c r="D3309" s="24">
        <v>45669</v>
      </c>
      <c r="E3309" s="23" t="s">
        <v>25</v>
      </c>
      <c r="F3309" s="23" t="s">
        <v>14</v>
      </c>
      <c r="G3309" s="23" t="s">
        <v>21</v>
      </c>
      <c r="H3309" s="23" t="s">
        <v>8364</v>
      </c>
      <c r="I3309" s="23">
        <v>8</v>
      </c>
      <c r="J3309" s="23">
        <v>0</v>
      </c>
      <c r="K3309" s="23">
        <v>3</v>
      </c>
      <c r="L3309" s="23" t="s">
        <v>55</v>
      </c>
      <c r="M3309" s="25">
        <v>6.6</v>
      </c>
      <c r="N3309">
        <f t="shared" si="51"/>
        <v>1</v>
      </c>
    </row>
    <row r="3310" spans="1:14" x14ac:dyDescent="0.35">
      <c r="A3310" s="6" t="s">
        <v>3380</v>
      </c>
      <c r="B3310" s="19" t="s">
        <v>89</v>
      </c>
      <c r="C3310" s="19">
        <v>8</v>
      </c>
      <c r="D3310" s="20">
        <v>45879</v>
      </c>
      <c r="E3310" s="19" t="s">
        <v>13</v>
      </c>
      <c r="F3310" s="19" t="s">
        <v>14</v>
      </c>
      <c r="G3310" s="19" t="s">
        <v>31</v>
      </c>
      <c r="H3310" s="19" t="s">
        <v>8364</v>
      </c>
      <c r="I3310" s="19">
        <v>24</v>
      </c>
      <c r="J3310" s="19">
        <v>2</v>
      </c>
      <c r="K3310" s="19">
        <v>4</v>
      </c>
      <c r="L3310" s="19" t="s">
        <v>33</v>
      </c>
      <c r="M3310" s="21">
        <v>3.7</v>
      </c>
      <c r="N3310">
        <f t="shared" si="51"/>
        <v>1</v>
      </c>
    </row>
    <row r="3311" spans="1:14" x14ac:dyDescent="0.35">
      <c r="A3311" s="22" t="s">
        <v>3381</v>
      </c>
      <c r="B3311" s="23" t="s">
        <v>99</v>
      </c>
      <c r="C3311" s="23">
        <v>8</v>
      </c>
      <c r="D3311" s="24">
        <v>45872</v>
      </c>
      <c r="E3311" s="23" t="s">
        <v>13</v>
      </c>
      <c r="F3311" s="23" t="s">
        <v>37</v>
      </c>
      <c r="G3311" s="23" t="s">
        <v>27</v>
      </c>
      <c r="H3311" s="23" t="s">
        <v>32</v>
      </c>
      <c r="I3311" s="23">
        <v>8</v>
      </c>
      <c r="J3311" s="23">
        <v>0</v>
      </c>
      <c r="K3311" s="23">
        <v>2</v>
      </c>
      <c r="L3311" s="23" t="s">
        <v>33</v>
      </c>
      <c r="M3311" s="25">
        <v>4.2</v>
      </c>
      <c r="N3311">
        <f t="shared" si="51"/>
        <v>1</v>
      </c>
    </row>
    <row r="3312" spans="1:14" x14ac:dyDescent="0.35">
      <c r="A3312" s="6" t="s">
        <v>3382</v>
      </c>
      <c r="B3312" s="19" t="s">
        <v>57</v>
      </c>
      <c r="C3312" s="19">
        <v>7</v>
      </c>
      <c r="D3312" s="20">
        <v>45850</v>
      </c>
      <c r="E3312" s="19" t="s">
        <v>68</v>
      </c>
      <c r="F3312" s="19" t="s">
        <v>43</v>
      </c>
      <c r="G3312" s="19" t="s">
        <v>15</v>
      </c>
      <c r="H3312" s="19" t="s">
        <v>28</v>
      </c>
      <c r="I3312" s="19">
        <v>48</v>
      </c>
      <c r="J3312" s="19">
        <v>0</v>
      </c>
      <c r="K3312" s="19">
        <v>2</v>
      </c>
      <c r="L3312" s="19" t="s">
        <v>75</v>
      </c>
      <c r="M3312" s="21">
        <v>3.9</v>
      </c>
      <c r="N3312">
        <f t="shared" si="51"/>
        <v>1</v>
      </c>
    </row>
    <row r="3313" spans="1:14" x14ac:dyDescent="0.35">
      <c r="A3313" s="22" t="s">
        <v>3383</v>
      </c>
      <c r="B3313" s="23" t="s">
        <v>101</v>
      </c>
      <c r="C3313" s="23">
        <v>4</v>
      </c>
      <c r="D3313" s="24">
        <v>45776</v>
      </c>
      <c r="E3313" s="23" t="s">
        <v>68</v>
      </c>
      <c r="F3313" s="23" t="s">
        <v>40</v>
      </c>
      <c r="G3313" s="23" t="s">
        <v>31</v>
      </c>
      <c r="H3313" s="23" t="s">
        <v>22</v>
      </c>
      <c r="I3313" s="23">
        <v>8</v>
      </c>
      <c r="J3313" s="23">
        <v>0</v>
      </c>
      <c r="K3313" s="23">
        <v>5</v>
      </c>
      <c r="L3313" s="23" t="s">
        <v>62</v>
      </c>
      <c r="M3313" s="25">
        <v>7.5</v>
      </c>
      <c r="N3313">
        <f t="shared" si="51"/>
        <v>1</v>
      </c>
    </row>
    <row r="3314" spans="1:14" x14ac:dyDescent="0.35">
      <c r="A3314" s="6" t="s">
        <v>3384</v>
      </c>
      <c r="B3314" s="19" t="s">
        <v>143</v>
      </c>
      <c r="C3314" s="19">
        <v>8</v>
      </c>
      <c r="D3314" s="20">
        <v>45870</v>
      </c>
      <c r="E3314" s="19" t="s">
        <v>13</v>
      </c>
      <c r="F3314" s="19" t="s">
        <v>59</v>
      </c>
      <c r="G3314" s="19" t="s">
        <v>21</v>
      </c>
      <c r="H3314" s="19" t="s">
        <v>32</v>
      </c>
      <c r="I3314" s="19">
        <v>8</v>
      </c>
      <c r="J3314" s="19">
        <v>2</v>
      </c>
      <c r="K3314" s="19">
        <v>2</v>
      </c>
      <c r="L3314" s="19" t="s">
        <v>44</v>
      </c>
      <c r="M3314" s="21">
        <v>14.4</v>
      </c>
      <c r="N3314">
        <f t="shared" si="51"/>
        <v>0</v>
      </c>
    </row>
    <row r="3315" spans="1:14" x14ac:dyDescent="0.35">
      <c r="A3315" s="22" t="s">
        <v>3385</v>
      </c>
      <c r="B3315" s="23" t="s">
        <v>53</v>
      </c>
      <c r="C3315" s="23"/>
      <c r="D3315" s="24"/>
      <c r="E3315" s="23" t="s">
        <v>20</v>
      </c>
      <c r="F3315" s="23" t="s">
        <v>37</v>
      </c>
      <c r="G3315" s="23" t="s">
        <v>27</v>
      </c>
      <c r="H3315" s="23" t="s">
        <v>28</v>
      </c>
      <c r="I3315" s="23">
        <v>8</v>
      </c>
      <c r="J3315" s="23">
        <v>2</v>
      </c>
      <c r="K3315" s="23">
        <v>4</v>
      </c>
      <c r="L3315" s="23" t="s">
        <v>17</v>
      </c>
      <c r="M3315" s="25">
        <v>19.399999999999999</v>
      </c>
      <c r="N3315">
        <f t="shared" si="51"/>
        <v>0</v>
      </c>
    </row>
    <row r="3316" spans="1:14" x14ac:dyDescent="0.35">
      <c r="A3316" s="6" t="s">
        <v>3386</v>
      </c>
      <c r="B3316" s="19" t="s">
        <v>146</v>
      </c>
      <c r="C3316" s="19">
        <v>4</v>
      </c>
      <c r="D3316" s="20">
        <v>45753</v>
      </c>
      <c r="E3316" s="19" t="s">
        <v>68</v>
      </c>
      <c r="F3316" s="19" t="s">
        <v>8364</v>
      </c>
      <c r="G3316" s="19" t="s">
        <v>15</v>
      </c>
      <c r="H3316" s="19" t="s">
        <v>28</v>
      </c>
      <c r="I3316" s="19">
        <v>24</v>
      </c>
      <c r="J3316" s="19">
        <v>0</v>
      </c>
      <c r="K3316" s="19">
        <v>4</v>
      </c>
      <c r="L3316" s="19" t="s">
        <v>17</v>
      </c>
      <c r="M3316" s="21"/>
      <c r="N3316">
        <f t="shared" si="51"/>
        <v>1</v>
      </c>
    </row>
    <row r="3317" spans="1:14" x14ac:dyDescent="0.35">
      <c r="A3317" s="22" t="s">
        <v>3387</v>
      </c>
      <c r="B3317" s="23" t="s">
        <v>78</v>
      </c>
      <c r="C3317" s="23">
        <v>7</v>
      </c>
      <c r="D3317" s="24">
        <v>45854</v>
      </c>
      <c r="E3317" s="23" t="s">
        <v>68</v>
      </c>
      <c r="F3317" s="23" t="s">
        <v>37</v>
      </c>
      <c r="G3317" s="23" t="s">
        <v>21</v>
      </c>
      <c r="H3317" s="23" t="s">
        <v>32</v>
      </c>
      <c r="I3317" s="23">
        <v>4</v>
      </c>
      <c r="J3317" s="23">
        <v>0</v>
      </c>
      <c r="K3317" s="23">
        <v>1</v>
      </c>
      <c r="L3317" s="23" t="s">
        <v>75</v>
      </c>
      <c r="M3317" s="25">
        <v>6.8</v>
      </c>
      <c r="N3317">
        <f t="shared" si="51"/>
        <v>0</v>
      </c>
    </row>
    <row r="3318" spans="1:14" x14ac:dyDescent="0.35">
      <c r="A3318" s="6" t="s">
        <v>3388</v>
      </c>
      <c r="B3318" s="19" t="s">
        <v>47</v>
      </c>
      <c r="C3318" s="19">
        <v>10</v>
      </c>
      <c r="D3318" s="20">
        <v>45931</v>
      </c>
      <c r="E3318" s="19" t="s">
        <v>68</v>
      </c>
      <c r="F3318" s="19" t="s">
        <v>43</v>
      </c>
      <c r="G3318" s="19" t="s">
        <v>27</v>
      </c>
      <c r="H3318" s="19" t="s">
        <v>22</v>
      </c>
      <c r="I3318" s="19">
        <v>48</v>
      </c>
      <c r="J3318" s="19">
        <v>0</v>
      </c>
      <c r="K3318" s="19">
        <v>5</v>
      </c>
      <c r="L3318" s="19" t="s">
        <v>8363</v>
      </c>
      <c r="M3318" s="21">
        <v>4.5</v>
      </c>
      <c r="N3318">
        <f t="shared" si="51"/>
        <v>1</v>
      </c>
    </row>
    <row r="3319" spans="1:14" x14ac:dyDescent="0.35">
      <c r="A3319" s="22" t="s">
        <v>3389</v>
      </c>
      <c r="B3319" s="23" t="s">
        <v>97</v>
      </c>
      <c r="C3319" s="23">
        <v>12</v>
      </c>
      <c r="D3319" s="24">
        <v>45997</v>
      </c>
      <c r="E3319" s="23" t="s">
        <v>25</v>
      </c>
      <c r="F3319" s="23" t="s">
        <v>14</v>
      </c>
      <c r="G3319" s="23" t="s">
        <v>27</v>
      </c>
      <c r="H3319" s="23" t="s">
        <v>22</v>
      </c>
      <c r="I3319" s="23">
        <v>72</v>
      </c>
      <c r="J3319" s="23">
        <v>0</v>
      </c>
      <c r="K3319" s="23"/>
      <c r="L3319" s="23" t="s">
        <v>33</v>
      </c>
      <c r="M3319" s="25">
        <v>11.3</v>
      </c>
      <c r="N3319">
        <f t="shared" si="51"/>
        <v>1</v>
      </c>
    </row>
    <row r="3320" spans="1:14" x14ac:dyDescent="0.35">
      <c r="A3320" s="6" t="s">
        <v>3390</v>
      </c>
      <c r="B3320" s="19" t="s">
        <v>253</v>
      </c>
      <c r="C3320" s="19">
        <v>6</v>
      </c>
      <c r="D3320" s="20">
        <v>45836</v>
      </c>
      <c r="E3320" s="19" t="s">
        <v>25</v>
      </c>
      <c r="F3320" s="19" t="s">
        <v>59</v>
      </c>
      <c r="G3320" s="19" t="s">
        <v>21</v>
      </c>
      <c r="H3320" s="19" t="s">
        <v>8364</v>
      </c>
      <c r="I3320" s="19">
        <v>48</v>
      </c>
      <c r="J3320" s="19">
        <v>0</v>
      </c>
      <c r="K3320" s="19">
        <v>4</v>
      </c>
      <c r="L3320" s="19" t="s">
        <v>8363</v>
      </c>
      <c r="M3320" s="21">
        <v>6.2</v>
      </c>
      <c r="N3320">
        <f t="shared" si="51"/>
        <v>1</v>
      </c>
    </row>
    <row r="3321" spans="1:14" x14ac:dyDescent="0.35">
      <c r="A3321" s="22" t="s">
        <v>3391</v>
      </c>
      <c r="B3321" s="23" t="s">
        <v>23</v>
      </c>
      <c r="C3321" s="23">
        <v>3</v>
      </c>
      <c r="D3321" s="24">
        <v>45745</v>
      </c>
      <c r="E3321" s="23" t="s">
        <v>13</v>
      </c>
      <c r="F3321" s="23" t="s">
        <v>14</v>
      </c>
      <c r="G3321" s="23" t="s">
        <v>27</v>
      </c>
      <c r="H3321" s="23" t="s">
        <v>22</v>
      </c>
      <c r="I3321" s="23">
        <v>4</v>
      </c>
      <c r="J3321" s="23"/>
      <c r="K3321" s="23">
        <v>1</v>
      </c>
      <c r="L3321" s="23" t="s">
        <v>17</v>
      </c>
      <c r="M3321" s="25">
        <v>1.9</v>
      </c>
      <c r="N3321">
        <f t="shared" si="51"/>
        <v>1</v>
      </c>
    </row>
    <row r="3322" spans="1:14" x14ac:dyDescent="0.35">
      <c r="A3322" s="6" t="s">
        <v>3392</v>
      </c>
      <c r="B3322" s="19" t="s">
        <v>92</v>
      </c>
      <c r="C3322" s="19">
        <v>6</v>
      </c>
      <c r="D3322" s="20">
        <v>45823</v>
      </c>
      <c r="E3322" s="19" t="s">
        <v>13</v>
      </c>
      <c r="F3322" s="19" t="s">
        <v>43</v>
      </c>
      <c r="G3322" s="19" t="s">
        <v>31</v>
      </c>
      <c r="H3322" s="19" t="s">
        <v>22</v>
      </c>
      <c r="I3322" s="19">
        <v>24</v>
      </c>
      <c r="J3322" s="19">
        <v>0</v>
      </c>
      <c r="K3322" s="19">
        <v>3</v>
      </c>
      <c r="L3322" s="19" t="s">
        <v>62</v>
      </c>
      <c r="M3322" s="21"/>
      <c r="N3322">
        <f t="shared" si="51"/>
        <v>1</v>
      </c>
    </row>
    <row r="3323" spans="1:14" x14ac:dyDescent="0.35">
      <c r="A3323" s="22" t="s">
        <v>3393</v>
      </c>
      <c r="B3323" s="23" t="s">
        <v>89</v>
      </c>
      <c r="C3323" s="23">
        <v>7</v>
      </c>
      <c r="D3323" s="24">
        <v>45860</v>
      </c>
      <c r="E3323" s="23" t="s">
        <v>20</v>
      </c>
      <c r="F3323" s="23" t="s">
        <v>14</v>
      </c>
      <c r="G3323" s="23" t="s">
        <v>21</v>
      </c>
      <c r="H3323" s="23" t="s">
        <v>32</v>
      </c>
      <c r="I3323" s="23">
        <v>24</v>
      </c>
      <c r="J3323" s="23">
        <v>0</v>
      </c>
      <c r="K3323" s="23">
        <v>4</v>
      </c>
      <c r="L3323" s="23" t="s">
        <v>33</v>
      </c>
      <c r="M3323" s="25">
        <v>13.5</v>
      </c>
      <c r="N3323">
        <f t="shared" si="51"/>
        <v>1</v>
      </c>
    </row>
    <row r="3324" spans="1:14" x14ac:dyDescent="0.35">
      <c r="A3324" s="6" t="s">
        <v>3394</v>
      </c>
      <c r="B3324" s="19" t="s">
        <v>130</v>
      </c>
      <c r="C3324" s="19">
        <v>9</v>
      </c>
      <c r="D3324" s="20">
        <v>45903</v>
      </c>
      <c r="E3324" s="19" t="s">
        <v>8364</v>
      </c>
      <c r="F3324" s="19" t="s">
        <v>59</v>
      </c>
      <c r="G3324" s="19" t="s">
        <v>21</v>
      </c>
      <c r="H3324" s="19" t="s">
        <v>28</v>
      </c>
      <c r="I3324" s="19">
        <v>4</v>
      </c>
      <c r="J3324" s="19">
        <v>0</v>
      </c>
      <c r="K3324" s="19">
        <v>5</v>
      </c>
      <c r="L3324" s="19" t="s">
        <v>8363</v>
      </c>
      <c r="M3324" s="21">
        <v>17.3</v>
      </c>
      <c r="N3324">
        <f t="shared" si="51"/>
        <v>0</v>
      </c>
    </row>
    <row r="3325" spans="1:14" x14ac:dyDescent="0.35">
      <c r="A3325" s="22" t="s">
        <v>3395</v>
      </c>
      <c r="B3325" s="23" t="s">
        <v>23</v>
      </c>
      <c r="C3325" s="23">
        <v>3</v>
      </c>
      <c r="D3325" s="24">
        <v>45747</v>
      </c>
      <c r="E3325" s="23" t="s">
        <v>20</v>
      </c>
      <c r="F3325" s="23" t="s">
        <v>40</v>
      </c>
      <c r="G3325" s="23" t="s">
        <v>27</v>
      </c>
      <c r="H3325" s="23" t="s">
        <v>22</v>
      </c>
      <c r="I3325" s="23">
        <v>48</v>
      </c>
      <c r="J3325" s="23">
        <v>0</v>
      </c>
      <c r="K3325" s="23">
        <v>3</v>
      </c>
      <c r="L3325" s="23" t="s">
        <v>38</v>
      </c>
      <c r="M3325" s="25">
        <v>8.9</v>
      </c>
      <c r="N3325">
        <f t="shared" si="51"/>
        <v>1</v>
      </c>
    </row>
    <row r="3326" spans="1:14" x14ac:dyDescent="0.35">
      <c r="A3326" s="6" t="s">
        <v>3396</v>
      </c>
      <c r="B3326" s="19" t="s">
        <v>34</v>
      </c>
      <c r="C3326" s="19">
        <v>2</v>
      </c>
      <c r="D3326" s="20">
        <v>45691</v>
      </c>
      <c r="E3326" s="19" t="s">
        <v>36</v>
      </c>
      <c r="F3326" s="19" t="s">
        <v>26</v>
      </c>
      <c r="G3326" s="19" t="s">
        <v>15</v>
      </c>
      <c r="H3326" s="19" t="s">
        <v>8364</v>
      </c>
      <c r="I3326" s="19">
        <v>8</v>
      </c>
      <c r="J3326" s="19">
        <v>0</v>
      </c>
      <c r="K3326" s="19">
        <v>5</v>
      </c>
      <c r="L3326" s="19" t="s">
        <v>33</v>
      </c>
      <c r="M3326" s="21">
        <v>6.4</v>
      </c>
      <c r="N3326">
        <f t="shared" si="51"/>
        <v>1</v>
      </c>
    </row>
    <row r="3327" spans="1:14" x14ac:dyDescent="0.35">
      <c r="A3327" s="22" t="s">
        <v>3397</v>
      </c>
      <c r="B3327" s="23" t="s">
        <v>72</v>
      </c>
      <c r="C3327" s="23">
        <v>3</v>
      </c>
      <c r="D3327" s="24">
        <v>45745</v>
      </c>
      <c r="E3327" s="23" t="s">
        <v>20</v>
      </c>
      <c r="F3327" s="23" t="s">
        <v>8364</v>
      </c>
      <c r="G3327" s="23" t="s">
        <v>31</v>
      </c>
      <c r="H3327" s="23" t="s">
        <v>8364</v>
      </c>
      <c r="I3327" s="23">
        <v>48</v>
      </c>
      <c r="J3327" s="23">
        <v>0</v>
      </c>
      <c r="K3327" s="23">
        <v>3</v>
      </c>
      <c r="L3327" s="23" t="s">
        <v>33</v>
      </c>
      <c r="M3327" s="25">
        <v>6.4</v>
      </c>
      <c r="N3327">
        <f t="shared" si="51"/>
        <v>1</v>
      </c>
    </row>
    <row r="3328" spans="1:14" x14ac:dyDescent="0.35">
      <c r="A3328" s="6" t="s">
        <v>3398</v>
      </c>
      <c r="B3328" s="19" t="s">
        <v>81</v>
      </c>
      <c r="C3328" s="19">
        <v>11</v>
      </c>
      <c r="D3328" s="20">
        <v>45990</v>
      </c>
      <c r="E3328" s="19" t="s">
        <v>13</v>
      </c>
      <c r="F3328" s="19" t="s">
        <v>26</v>
      </c>
      <c r="G3328" s="19" t="s">
        <v>31</v>
      </c>
      <c r="H3328" s="19" t="s">
        <v>22</v>
      </c>
      <c r="I3328" s="19">
        <v>24</v>
      </c>
      <c r="J3328" s="19">
        <v>1</v>
      </c>
      <c r="K3328" s="19">
        <v>4</v>
      </c>
      <c r="L3328" s="19" t="s">
        <v>17</v>
      </c>
      <c r="M3328" s="21">
        <v>9.1999999999999993</v>
      </c>
      <c r="N3328">
        <f t="shared" si="51"/>
        <v>1</v>
      </c>
    </row>
    <row r="3329" spans="1:14" x14ac:dyDescent="0.35">
      <c r="A3329" s="22" t="s">
        <v>3399</v>
      </c>
      <c r="B3329" s="23" t="s">
        <v>97</v>
      </c>
      <c r="C3329" s="23">
        <v>10</v>
      </c>
      <c r="D3329" s="24">
        <v>45941</v>
      </c>
      <c r="E3329" s="23" t="s">
        <v>8364</v>
      </c>
      <c r="F3329" s="23" t="s">
        <v>43</v>
      </c>
      <c r="G3329" s="23" t="s">
        <v>21</v>
      </c>
      <c r="H3329" s="23" t="s">
        <v>28</v>
      </c>
      <c r="I3329" s="23">
        <v>4</v>
      </c>
      <c r="J3329" s="23">
        <v>0</v>
      </c>
      <c r="K3329" s="23"/>
      <c r="L3329" s="23" t="s">
        <v>8363</v>
      </c>
      <c r="M3329" s="25">
        <v>6.3</v>
      </c>
      <c r="N3329">
        <f t="shared" si="51"/>
        <v>0</v>
      </c>
    </row>
    <row r="3330" spans="1:14" x14ac:dyDescent="0.35">
      <c r="A3330" s="6" t="s">
        <v>3400</v>
      </c>
      <c r="B3330" s="19" t="s">
        <v>47</v>
      </c>
      <c r="C3330" s="19"/>
      <c r="D3330" s="20"/>
      <c r="E3330" s="19" t="s">
        <v>25</v>
      </c>
      <c r="F3330" s="19" t="s">
        <v>14</v>
      </c>
      <c r="G3330" s="19" t="s">
        <v>27</v>
      </c>
      <c r="H3330" s="19" t="s">
        <v>28</v>
      </c>
      <c r="I3330" s="19">
        <v>72</v>
      </c>
      <c r="J3330" s="19">
        <v>0</v>
      </c>
      <c r="K3330" s="19">
        <v>3</v>
      </c>
      <c r="L3330" s="19" t="s">
        <v>38</v>
      </c>
      <c r="M3330" s="21">
        <v>7.1</v>
      </c>
      <c r="N3330">
        <f t="shared" si="51"/>
        <v>1</v>
      </c>
    </row>
    <row r="3331" spans="1:14" x14ac:dyDescent="0.35">
      <c r="A3331" s="22" t="s">
        <v>3401</v>
      </c>
      <c r="B3331" s="23" t="s">
        <v>65</v>
      </c>
      <c r="C3331" s="23">
        <v>9</v>
      </c>
      <c r="D3331" s="24">
        <v>45918</v>
      </c>
      <c r="E3331" s="23" t="s">
        <v>25</v>
      </c>
      <c r="F3331" s="23" t="s">
        <v>14</v>
      </c>
      <c r="G3331" s="23" t="s">
        <v>15</v>
      </c>
      <c r="H3331" s="23" t="s">
        <v>22</v>
      </c>
      <c r="I3331" s="23">
        <v>8</v>
      </c>
      <c r="J3331" s="23">
        <v>0</v>
      </c>
      <c r="K3331" s="23">
        <v>4</v>
      </c>
      <c r="L3331" s="23" t="s">
        <v>62</v>
      </c>
      <c r="M3331" s="25">
        <v>6.7</v>
      </c>
      <c r="N3331">
        <f t="shared" ref="N3331:N3394" si="52">IF(M3331 &lt;= I3331, 1, 0)</f>
        <v>1</v>
      </c>
    </row>
    <row r="3332" spans="1:14" x14ac:dyDescent="0.35">
      <c r="A3332" s="6" t="s">
        <v>3402</v>
      </c>
      <c r="B3332" s="19" t="s">
        <v>34</v>
      </c>
      <c r="C3332" s="19"/>
      <c r="D3332" s="20"/>
      <c r="E3332" s="19" t="s">
        <v>20</v>
      </c>
      <c r="F3332" s="19" t="s">
        <v>43</v>
      </c>
      <c r="G3332" s="19" t="s">
        <v>15</v>
      </c>
      <c r="H3332" s="19" t="s">
        <v>16</v>
      </c>
      <c r="I3332" s="19">
        <v>24</v>
      </c>
      <c r="J3332" s="19">
        <v>1</v>
      </c>
      <c r="K3332" s="19">
        <v>2</v>
      </c>
      <c r="L3332" s="19" t="s">
        <v>44</v>
      </c>
      <c r="M3332" s="21">
        <v>5.2</v>
      </c>
      <c r="N3332">
        <f t="shared" si="52"/>
        <v>1</v>
      </c>
    </row>
    <row r="3333" spans="1:14" x14ac:dyDescent="0.35">
      <c r="A3333" s="22" t="s">
        <v>3403</v>
      </c>
      <c r="B3333" s="23" t="s">
        <v>139</v>
      </c>
      <c r="C3333" s="23"/>
      <c r="D3333" s="24"/>
      <c r="E3333" s="23" t="s">
        <v>13</v>
      </c>
      <c r="F3333" s="23" t="s">
        <v>37</v>
      </c>
      <c r="G3333" s="23" t="s">
        <v>31</v>
      </c>
      <c r="H3333" s="23" t="s">
        <v>8364</v>
      </c>
      <c r="I3333" s="23">
        <v>48</v>
      </c>
      <c r="J3333" s="23">
        <v>0</v>
      </c>
      <c r="K3333" s="23">
        <v>5</v>
      </c>
      <c r="L3333" s="23" t="s">
        <v>8363</v>
      </c>
      <c r="M3333" s="25">
        <v>8</v>
      </c>
      <c r="N3333">
        <f t="shared" si="52"/>
        <v>1</v>
      </c>
    </row>
    <row r="3334" spans="1:14" x14ac:dyDescent="0.35">
      <c r="A3334" s="6" t="s">
        <v>3404</v>
      </c>
      <c r="B3334" s="19" t="s">
        <v>69</v>
      </c>
      <c r="C3334" s="19"/>
      <c r="D3334" s="20"/>
      <c r="E3334" s="19" t="s">
        <v>20</v>
      </c>
      <c r="F3334" s="19" t="s">
        <v>40</v>
      </c>
      <c r="G3334" s="19" t="s">
        <v>31</v>
      </c>
      <c r="H3334" s="19" t="s">
        <v>28</v>
      </c>
      <c r="I3334" s="19">
        <v>48</v>
      </c>
      <c r="J3334" s="19">
        <v>3</v>
      </c>
      <c r="K3334" s="19">
        <v>4</v>
      </c>
      <c r="L3334" s="19" t="s">
        <v>38</v>
      </c>
      <c r="M3334" s="21">
        <v>13</v>
      </c>
      <c r="N3334">
        <f t="shared" si="52"/>
        <v>1</v>
      </c>
    </row>
    <row r="3335" spans="1:14" x14ac:dyDescent="0.35">
      <c r="A3335" s="22" t="s">
        <v>3405</v>
      </c>
      <c r="B3335" s="23" t="s">
        <v>99</v>
      </c>
      <c r="C3335" s="23">
        <v>7</v>
      </c>
      <c r="D3335" s="24">
        <v>45843</v>
      </c>
      <c r="E3335" s="23" t="s">
        <v>13</v>
      </c>
      <c r="F3335" s="23" t="s">
        <v>40</v>
      </c>
      <c r="G3335" s="23" t="s">
        <v>27</v>
      </c>
      <c r="H3335" s="23" t="s">
        <v>32</v>
      </c>
      <c r="I3335" s="23">
        <v>72</v>
      </c>
      <c r="J3335" s="23">
        <v>0</v>
      </c>
      <c r="K3335" s="23">
        <v>4</v>
      </c>
      <c r="L3335" s="23" t="s">
        <v>17</v>
      </c>
      <c r="M3335" s="25">
        <v>10.3</v>
      </c>
      <c r="N3335">
        <f t="shared" si="52"/>
        <v>1</v>
      </c>
    </row>
    <row r="3336" spans="1:14" x14ac:dyDescent="0.35">
      <c r="A3336" s="6" t="s">
        <v>3406</v>
      </c>
      <c r="B3336" s="19" t="s">
        <v>51</v>
      </c>
      <c r="C3336" s="19">
        <v>9</v>
      </c>
      <c r="D3336" s="20">
        <v>45912</v>
      </c>
      <c r="E3336" s="19" t="s">
        <v>25</v>
      </c>
      <c r="F3336" s="19" t="s">
        <v>8364</v>
      </c>
      <c r="G3336" s="19" t="s">
        <v>21</v>
      </c>
      <c r="H3336" s="19" t="s">
        <v>22</v>
      </c>
      <c r="I3336" s="19">
        <v>24</v>
      </c>
      <c r="J3336" s="19">
        <v>0</v>
      </c>
      <c r="K3336" s="19">
        <v>5</v>
      </c>
      <c r="L3336" s="19" t="s">
        <v>75</v>
      </c>
      <c r="M3336" s="21">
        <v>20.100000000000001</v>
      </c>
      <c r="N3336">
        <f t="shared" si="52"/>
        <v>1</v>
      </c>
    </row>
    <row r="3337" spans="1:14" x14ac:dyDescent="0.35">
      <c r="A3337" s="22" t="s">
        <v>3407</v>
      </c>
      <c r="B3337" s="23" t="s">
        <v>104</v>
      </c>
      <c r="C3337" s="23">
        <v>10</v>
      </c>
      <c r="D3337" s="24">
        <v>45941</v>
      </c>
      <c r="E3337" s="23" t="s">
        <v>13</v>
      </c>
      <c r="F3337" s="23" t="s">
        <v>43</v>
      </c>
      <c r="G3337" s="23" t="s">
        <v>15</v>
      </c>
      <c r="H3337" s="23" t="s">
        <v>16</v>
      </c>
      <c r="I3337" s="23">
        <v>72</v>
      </c>
      <c r="J3337" s="23">
        <v>0</v>
      </c>
      <c r="K3337" s="23">
        <v>5</v>
      </c>
      <c r="L3337" s="23" t="s">
        <v>55</v>
      </c>
      <c r="M3337" s="25">
        <v>9.4</v>
      </c>
      <c r="N3337">
        <f t="shared" si="52"/>
        <v>1</v>
      </c>
    </row>
    <row r="3338" spans="1:14" x14ac:dyDescent="0.35">
      <c r="A3338" s="6" t="s">
        <v>3408</v>
      </c>
      <c r="B3338" s="19" t="s">
        <v>89</v>
      </c>
      <c r="C3338" s="19">
        <v>2</v>
      </c>
      <c r="D3338" s="20">
        <v>45704</v>
      </c>
      <c r="E3338" s="19" t="s">
        <v>68</v>
      </c>
      <c r="F3338" s="19" t="s">
        <v>8364</v>
      </c>
      <c r="G3338" s="19" t="s">
        <v>31</v>
      </c>
      <c r="H3338" s="19" t="s">
        <v>8364</v>
      </c>
      <c r="I3338" s="19">
        <v>8</v>
      </c>
      <c r="J3338" s="19">
        <v>0</v>
      </c>
      <c r="K3338" s="19">
        <v>4</v>
      </c>
      <c r="L3338" s="19" t="s">
        <v>44</v>
      </c>
      <c r="M3338" s="21">
        <v>1.1000000000000001</v>
      </c>
      <c r="N3338">
        <f t="shared" si="52"/>
        <v>1</v>
      </c>
    </row>
    <row r="3339" spans="1:14" x14ac:dyDescent="0.35">
      <c r="A3339" s="22" t="s">
        <v>3409</v>
      </c>
      <c r="B3339" s="23" t="s">
        <v>236</v>
      </c>
      <c r="C3339" s="23"/>
      <c r="D3339" s="24"/>
      <c r="E3339" s="23" t="s">
        <v>25</v>
      </c>
      <c r="F3339" s="23" t="s">
        <v>40</v>
      </c>
      <c r="G3339" s="23" t="s">
        <v>15</v>
      </c>
      <c r="H3339" s="23" t="s">
        <v>22</v>
      </c>
      <c r="I3339" s="23">
        <v>8</v>
      </c>
      <c r="J3339" s="23">
        <v>0</v>
      </c>
      <c r="K3339" s="23">
        <v>3</v>
      </c>
      <c r="L3339" s="23" t="s">
        <v>44</v>
      </c>
      <c r="M3339" s="25">
        <v>13.9</v>
      </c>
      <c r="N3339">
        <f t="shared" si="52"/>
        <v>0</v>
      </c>
    </row>
    <row r="3340" spans="1:14" x14ac:dyDescent="0.35">
      <c r="A3340" s="6" t="s">
        <v>3410</v>
      </c>
      <c r="B3340" s="19" t="s">
        <v>53</v>
      </c>
      <c r="C3340" s="19">
        <v>3</v>
      </c>
      <c r="D3340" s="20">
        <v>45733</v>
      </c>
      <c r="E3340" s="19" t="s">
        <v>68</v>
      </c>
      <c r="F3340" s="19" t="s">
        <v>43</v>
      </c>
      <c r="G3340" s="19" t="s">
        <v>15</v>
      </c>
      <c r="H3340" s="19" t="s">
        <v>28</v>
      </c>
      <c r="I3340" s="19">
        <v>72</v>
      </c>
      <c r="J3340" s="19">
        <v>0</v>
      </c>
      <c r="K3340" s="19">
        <v>3</v>
      </c>
      <c r="L3340" s="19" t="s">
        <v>75</v>
      </c>
      <c r="M3340" s="21">
        <v>9</v>
      </c>
      <c r="N3340">
        <f t="shared" si="52"/>
        <v>1</v>
      </c>
    </row>
    <row r="3341" spans="1:14" x14ac:dyDescent="0.35">
      <c r="A3341" s="22" t="s">
        <v>3411</v>
      </c>
      <c r="B3341" s="23" t="s">
        <v>29</v>
      </c>
      <c r="C3341" s="23">
        <v>4</v>
      </c>
      <c r="D3341" s="24">
        <v>45759</v>
      </c>
      <c r="E3341" s="23" t="s">
        <v>20</v>
      </c>
      <c r="F3341" s="23" t="s">
        <v>37</v>
      </c>
      <c r="G3341" s="23" t="s">
        <v>15</v>
      </c>
      <c r="H3341" s="23" t="s">
        <v>32</v>
      </c>
      <c r="I3341" s="23">
        <v>4</v>
      </c>
      <c r="J3341" s="23">
        <v>0</v>
      </c>
      <c r="K3341" s="23">
        <v>3</v>
      </c>
      <c r="L3341" s="23" t="s">
        <v>17</v>
      </c>
      <c r="M3341" s="25">
        <v>31.7</v>
      </c>
      <c r="N3341">
        <f t="shared" si="52"/>
        <v>0</v>
      </c>
    </row>
    <row r="3342" spans="1:14" x14ac:dyDescent="0.35">
      <c r="A3342" s="6" t="s">
        <v>3412</v>
      </c>
      <c r="B3342" s="19" t="s">
        <v>57</v>
      </c>
      <c r="C3342" s="19">
        <v>3</v>
      </c>
      <c r="D3342" s="20">
        <v>45733</v>
      </c>
      <c r="E3342" s="19" t="s">
        <v>8364</v>
      </c>
      <c r="F3342" s="19" t="s">
        <v>8364</v>
      </c>
      <c r="G3342" s="19" t="s">
        <v>27</v>
      </c>
      <c r="H3342" s="19" t="s">
        <v>8364</v>
      </c>
      <c r="I3342" s="19">
        <v>72</v>
      </c>
      <c r="J3342" s="19">
        <v>0</v>
      </c>
      <c r="K3342" s="19"/>
      <c r="L3342" s="19" t="s">
        <v>44</v>
      </c>
      <c r="M3342" s="21">
        <v>10.1</v>
      </c>
      <c r="N3342">
        <f t="shared" si="52"/>
        <v>1</v>
      </c>
    </row>
    <row r="3343" spans="1:14" x14ac:dyDescent="0.35">
      <c r="A3343" s="22" t="s">
        <v>3413</v>
      </c>
      <c r="B3343" s="23" t="s">
        <v>65</v>
      </c>
      <c r="C3343" s="23">
        <v>11</v>
      </c>
      <c r="D3343" s="24">
        <v>45975</v>
      </c>
      <c r="E3343" s="23" t="s">
        <v>20</v>
      </c>
      <c r="F3343" s="23" t="s">
        <v>14</v>
      </c>
      <c r="G3343" s="23" t="s">
        <v>31</v>
      </c>
      <c r="H3343" s="23" t="s">
        <v>22</v>
      </c>
      <c r="I3343" s="23">
        <v>24</v>
      </c>
      <c r="J3343" s="23">
        <v>1</v>
      </c>
      <c r="K3343" s="23">
        <v>5</v>
      </c>
      <c r="L3343" s="23" t="s">
        <v>62</v>
      </c>
      <c r="M3343" s="25">
        <v>12.2</v>
      </c>
      <c r="N3343">
        <f t="shared" si="52"/>
        <v>1</v>
      </c>
    </row>
    <row r="3344" spans="1:14" x14ac:dyDescent="0.35">
      <c r="A3344" s="6" t="s">
        <v>3414</v>
      </c>
      <c r="B3344" s="19" t="s">
        <v>65</v>
      </c>
      <c r="C3344" s="19">
        <v>10</v>
      </c>
      <c r="D3344" s="20">
        <v>45957</v>
      </c>
      <c r="E3344" s="19" t="s">
        <v>20</v>
      </c>
      <c r="F3344" s="19" t="s">
        <v>26</v>
      </c>
      <c r="G3344" s="19" t="s">
        <v>27</v>
      </c>
      <c r="H3344" s="19" t="s">
        <v>32</v>
      </c>
      <c r="I3344" s="19">
        <v>48</v>
      </c>
      <c r="J3344" s="19">
        <v>0</v>
      </c>
      <c r="K3344" s="19">
        <v>5</v>
      </c>
      <c r="L3344" s="19" t="s">
        <v>33</v>
      </c>
      <c r="M3344" s="21">
        <v>7.9</v>
      </c>
      <c r="N3344">
        <f t="shared" si="52"/>
        <v>1</v>
      </c>
    </row>
    <row r="3345" spans="1:14" x14ac:dyDescent="0.35">
      <c r="A3345" s="22" t="s">
        <v>3415</v>
      </c>
      <c r="B3345" s="23" t="s">
        <v>41</v>
      </c>
      <c r="C3345" s="23">
        <v>9</v>
      </c>
      <c r="D3345" s="24">
        <v>45926</v>
      </c>
      <c r="E3345" s="23" t="s">
        <v>68</v>
      </c>
      <c r="F3345" s="23" t="s">
        <v>26</v>
      </c>
      <c r="G3345" s="23" t="s">
        <v>27</v>
      </c>
      <c r="H3345" s="23" t="s">
        <v>22</v>
      </c>
      <c r="I3345" s="23">
        <v>8</v>
      </c>
      <c r="J3345" s="23">
        <v>0</v>
      </c>
      <c r="K3345" s="23">
        <v>5</v>
      </c>
      <c r="L3345" s="23" t="s">
        <v>8363</v>
      </c>
      <c r="M3345" s="25">
        <v>5</v>
      </c>
      <c r="N3345">
        <f t="shared" si="52"/>
        <v>1</v>
      </c>
    </row>
    <row r="3346" spans="1:14" x14ac:dyDescent="0.35">
      <c r="A3346" s="6" t="s">
        <v>3416</v>
      </c>
      <c r="B3346" s="19" t="s">
        <v>81</v>
      </c>
      <c r="C3346" s="19">
        <v>12</v>
      </c>
      <c r="D3346" s="20">
        <v>46015</v>
      </c>
      <c r="E3346" s="19" t="s">
        <v>25</v>
      </c>
      <c r="F3346" s="19" t="s">
        <v>43</v>
      </c>
      <c r="G3346" s="19" t="s">
        <v>31</v>
      </c>
      <c r="H3346" s="19" t="s">
        <v>22</v>
      </c>
      <c r="I3346" s="19">
        <v>24</v>
      </c>
      <c r="J3346" s="19">
        <v>0</v>
      </c>
      <c r="K3346" s="19">
        <v>2</v>
      </c>
      <c r="L3346" s="19" t="s">
        <v>8363</v>
      </c>
      <c r="M3346" s="21">
        <v>5.3</v>
      </c>
      <c r="N3346">
        <f t="shared" si="52"/>
        <v>1</v>
      </c>
    </row>
    <row r="3347" spans="1:14" x14ac:dyDescent="0.35">
      <c r="A3347" s="22" t="s">
        <v>3417</v>
      </c>
      <c r="B3347" s="23" t="s">
        <v>139</v>
      </c>
      <c r="C3347" s="23">
        <v>2</v>
      </c>
      <c r="D3347" s="24">
        <v>45714</v>
      </c>
      <c r="E3347" s="23" t="s">
        <v>13</v>
      </c>
      <c r="F3347" s="23" t="s">
        <v>59</v>
      </c>
      <c r="G3347" s="23" t="s">
        <v>27</v>
      </c>
      <c r="H3347" s="23" t="s">
        <v>28</v>
      </c>
      <c r="I3347" s="23">
        <v>48</v>
      </c>
      <c r="J3347" s="23">
        <v>1</v>
      </c>
      <c r="K3347" s="23">
        <v>2</v>
      </c>
      <c r="L3347" s="23" t="s">
        <v>75</v>
      </c>
      <c r="M3347" s="25">
        <v>9.1999999999999993</v>
      </c>
      <c r="N3347">
        <f t="shared" si="52"/>
        <v>1</v>
      </c>
    </row>
    <row r="3348" spans="1:14" x14ac:dyDescent="0.35">
      <c r="A3348" s="6" t="s">
        <v>3418</v>
      </c>
      <c r="B3348" s="19" t="s">
        <v>236</v>
      </c>
      <c r="C3348" s="19">
        <v>2</v>
      </c>
      <c r="D3348" s="20">
        <v>45694</v>
      </c>
      <c r="E3348" s="19" t="s">
        <v>8364</v>
      </c>
      <c r="F3348" s="19" t="s">
        <v>43</v>
      </c>
      <c r="G3348" s="19" t="s">
        <v>27</v>
      </c>
      <c r="H3348" s="19" t="s">
        <v>16</v>
      </c>
      <c r="I3348" s="19">
        <v>4</v>
      </c>
      <c r="J3348" s="19">
        <v>0</v>
      </c>
      <c r="K3348" s="19">
        <v>2</v>
      </c>
      <c r="L3348" s="19" t="s">
        <v>55</v>
      </c>
      <c r="M3348" s="21">
        <v>10.199999999999999</v>
      </c>
      <c r="N3348">
        <f t="shared" si="52"/>
        <v>0</v>
      </c>
    </row>
    <row r="3349" spans="1:14" x14ac:dyDescent="0.35">
      <c r="A3349" s="22" t="s">
        <v>3419</v>
      </c>
      <c r="B3349" s="23" t="s">
        <v>139</v>
      </c>
      <c r="C3349" s="23">
        <v>3</v>
      </c>
      <c r="D3349" s="24">
        <v>45720</v>
      </c>
      <c r="E3349" s="23" t="s">
        <v>8364</v>
      </c>
      <c r="F3349" s="23" t="s">
        <v>26</v>
      </c>
      <c r="G3349" s="23" t="s">
        <v>31</v>
      </c>
      <c r="H3349" s="23" t="s">
        <v>28</v>
      </c>
      <c r="I3349" s="23">
        <v>48</v>
      </c>
      <c r="J3349" s="23">
        <v>0</v>
      </c>
      <c r="K3349" s="23"/>
      <c r="L3349" s="23" t="s">
        <v>17</v>
      </c>
      <c r="M3349" s="25">
        <v>15.1</v>
      </c>
      <c r="N3349">
        <f t="shared" si="52"/>
        <v>1</v>
      </c>
    </row>
    <row r="3350" spans="1:14" x14ac:dyDescent="0.35">
      <c r="A3350" s="6" t="s">
        <v>3420</v>
      </c>
      <c r="B3350" s="19" t="s">
        <v>104</v>
      </c>
      <c r="C3350" s="19">
        <v>5</v>
      </c>
      <c r="D3350" s="20">
        <v>45804</v>
      </c>
      <c r="E3350" s="19" t="s">
        <v>13</v>
      </c>
      <c r="F3350" s="19" t="s">
        <v>14</v>
      </c>
      <c r="G3350" s="19" t="s">
        <v>8364</v>
      </c>
      <c r="H3350" s="19" t="s">
        <v>32</v>
      </c>
      <c r="I3350" s="19">
        <v>72</v>
      </c>
      <c r="J3350" s="19">
        <v>1</v>
      </c>
      <c r="K3350" s="19">
        <v>4</v>
      </c>
      <c r="L3350" s="19" t="s">
        <v>62</v>
      </c>
      <c r="M3350" s="21">
        <v>5</v>
      </c>
      <c r="N3350">
        <f t="shared" si="52"/>
        <v>1</v>
      </c>
    </row>
    <row r="3351" spans="1:14" x14ac:dyDescent="0.35">
      <c r="A3351" s="22" t="s">
        <v>3421</v>
      </c>
      <c r="B3351" s="23" t="s">
        <v>89</v>
      </c>
      <c r="C3351" s="23">
        <v>5</v>
      </c>
      <c r="D3351" s="24">
        <v>45787</v>
      </c>
      <c r="E3351" s="23" t="s">
        <v>25</v>
      </c>
      <c r="F3351" s="23" t="s">
        <v>8364</v>
      </c>
      <c r="G3351" s="23" t="s">
        <v>31</v>
      </c>
      <c r="H3351" s="23" t="s">
        <v>28</v>
      </c>
      <c r="I3351" s="23">
        <v>4</v>
      </c>
      <c r="J3351" s="23">
        <v>0</v>
      </c>
      <c r="K3351" s="23">
        <v>4</v>
      </c>
      <c r="L3351" s="23" t="s">
        <v>44</v>
      </c>
      <c r="M3351" s="25">
        <v>6.1</v>
      </c>
      <c r="N3351">
        <f t="shared" si="52"/>
        <v>0</v>
      </c>
    </row>
    <row r="3352" spans="1:14" x14ac:dyDescent="0.35">
      <c r="A3352" s="6" t="s">
        <v>3422</v>
      </c>
      <c r="B3352" s="19" t="s">
        <v>158</v>
      </c>
      <c r="C3352" s="19">
        <v>5</v>
      </c>
      <c r="D3352" s="20">
        <v>45796</v>
      </c>
      <c r="E3352" s="19" t="s">
        <v>8364</v>
      </c>
      <c r="F3352" s="19" t="s">
        <v>37</v>
      </c>
      <c r="G3352" s="19" t="s">
        <v>27</v>
      </c>
      <c r="H3352" s="19" t="s">
        <v>16</v>
      </c>
      <c r="I3352" s="19">
        <v>72</v>
      </c>
      <c r="J3352" s="19">
        <v>0</v>
      </c>
      <c r="K3352" s="19">
        <v>3</v>
      </c>
      <c r="L3352" s="19" t="s">
        <v>17</v>
      </c>
      <c r="M3352" s="21">
        <v>10.199999999999999</v>
      </c>
      <c r="N3352">
        <f t="shared" si="52"/>
        <v>1</v>
      </c>
    </row>
    <row r="3353" spans="1:14" x14ac:dyDescent="0.35">
      <c r="A3353" s="22" t="s">
        <v>3423</v>
      </c>
      <c r="B3353" s="23" t="s">
        <v>126</v>
      </c>
      <c r="C3353" s="23">
        <v>9</v>
      </c>
      <c r="D3353" s="24">
        <v>45907</v>
      </c>
      <c r="E3353" s="23" t="s">
        <v>13</v>
      </c>
      <c r="F3353" s="23" t="s">
        <v>14</v>
      </c>
      <c r="G3353" s="23" t="s">
        <v>27</v>
      </c>
      <c r="H3353" s="23" t="s">
        <v>22</v>
      </c>
      <c r="I3353" s="23">
        <v>24</v>
      </c>
      <c r="J3353" s="23">
        <v>0</v>
      </c>
      <c r="K3353" s="23"/>
      <c r="L3353" s="23" t="s">
        <v>8363</v>
      </c>
      <c r="M3353" s="25">
        <v>17.2</v>
      </c>
      <c r="N3353">
        <f t="shared" si="52"/>
        <v>1</v>
      </c>
    </row>
    <row r="3354" spans="1:14" x14ac:dyDescent="0.35">
      <c r="A3354" s="6" t="s">
        <v>3424</v>
      </c>
      <c r="B3354" s="19" t="s">
        <v>101</v>
      </c>
      <c r="C3354" s="19">
        <v>1</v>
      </c>
      <c r="D3354" s="20">
        <v>45684</v>
      </c>
      <c r="E3354" s="19" t="s">
        <v>13</v>
      </c>
      <c r="F3354" s="19" t="s">
        <v>43</v>
      </c>
      <c r="G3354" s="19" t="s">
        <v>31</v>
      </c>
      <c r="H3354" s="19" t="s">
        <v>22</v>
      </c>
      <c r="I3354" s="19">
        <v>48</v>
      </c>
      <c r="J3354" s="19">
        <v>0</v>
      </c>
      <c r="K3354" s="19">
        <v>4</v>
      </c>
      <c r="L3354" s="19" t="s">
        <v>44</v>
      </c>
      <c r="M3354" s="21">
        <v>1.3</v>
      </c>
      <c r="N3354">
        <f t="shared" si="52"/>
        <v>1</v>
      </c>
    </row>
    <row r="3355" spans="1:14" x14ac:dyDescent="0.35">
      <c r="A3355" s="22" t="s">
        <v>3425</v>
      </c>
      <c r="B3355" s="23" t="s">
        <v>49</v>
      </c>
      <c r="C3355" s="23">
        <v>10</v>
      </c>
      <c r="D3355" s="24">
        <v>45950</v>
      </c>
      <c r="E3355" s="23" t="s">
        <v>8364</v>
      </c>
      <c r="F3355" s="23" t="s">
        <v>37</v>
      </c>
      <c r="G3355" s="23" t="s">
        <v>15</v>
      </c>
      <c r="H3355" s="23" t="s">
        <v>28</v>
      </c>
      <c r="I3355" s="23">
        <v>72</v>
      </c>
      <c r="J3355" s="23">
        <v>0</v>
      </c>
      <c r="K3355" s="23">
        <v>4</v>
      </c>
      <c r="L3355" s="23" t="s">
        <v>75</v>
      </c>
      <c r="M3355" s="25">
        <v>17.899999999999999</v>
      </c>
      <c r="N3355">
        <f t="shared" si="52"/>
        <v>1</v>
      </c>
    </row>
    <row r="3356" spans="1:14" x14ac:dyDescent="0.35">
      <c r="A3356" s="6" t="s">
        <v>3426</v>
      </c>
      <c r="B3356" s="19" t="s">
        <v>236</v>
      </c>
      <c r="C3356" s="19">
        <v>12</v>
      </c>
      <c r="D3356" s="20">
        <v>46001</v>
      </c>
      <c r="E3356" s="19" t="s">
        <v>25</v>
      </c>
      <c r="F3356" s="19" t="s">
        <v>14</v>
      </c>
      <c r="G3356" s="19" t="s">
        <v>31</v>
      </c>
      <c r="H3356" s="19" t="s">
        <v>22</v>
      </c>
      <c r="I3356" s="19">
        <v>4</v>
      </c>
      <c r="J3356" s="19">
        <v>0</v>
      </c>
      <c r="K3356" s="19">
        <v>4</v>
      </c>
      <c r="L3356" s="19" t="s">
        <v>8363</v>
      </c>
      <c r="M3356" s="21">
        <v>5.0999999999999996</v>
      </c>
      <c r="N3356">
        <f t="shared" si="52"/>
        <v>0</v>
      </c>
    </row>
    <row r="3357" spans="1:14" x14ac:dyDescent="0.35">
      <c r="A3357" s="22" t="s">
        <v>3427</v>
      </c>
      <c r="B3357" s="23" t="s">
        <v>51</v>
      </c>
      <c r="C3357" s="23">
        <v>6</v>
      </c>
      <c r="D3357" s="24">
        <v>45817</v>
      </c>
      <c r="E3357" s="23" t="s">
        <v>25</v>
      </c>
      <c r="F3357" s="23" t="s">
        <v>14</v>
      </c>
      <c r="G3357" s="23" t="s">
        <v>27</v>
      </c>
      <c r="H3357" s="23" t="s">
        <v>32</v>
      </c>
      <c r="I3357" s="23">
        <v>24</v>
      </c>
      <c r="J3357" s="23">
        <v>0</v>
      </c>
      <c r="K3357" s="23">
        <v>5</v>
      </c>
      <c r="L3357" s="23" t="s">
        <v>8363</v>
      </c>
      <c r="M3357" s="25">
        <v>2.9</v>
      </c>
      <c r="N3357">
        <f t="shared" si="52"/>
        <v>1</v>
      </c>
    </row>
    <row r="3358" spans="1:14" x14ac:dyDescent="0.35">
      <c r="A3358" s="6" t="s">
        <v>3428</v>
      </c>
      <c r="B3358" s="19" t="s">
        <v>89</v>
      </c>
      <c r="C3358" s="19">
        <v>10</v>
      </c>
      <c r="D3358" s="20">
        <v>45956</v>
      </c>
      <c r="E3358" s="19" t="s">
        <v>13</v>
      </c>
      <c r="F3358" s="19" t="s">
        <v>14</v>
      </c>
      <c r="G3358" s="19" t="s">
        <v>21</v>
      </c>
      <c r="H3358" s="19" t="s">
        <v>22</v>
      </c>
      <c r="I3358" s="19">
        <v>72</v>
      </c>
      <c r="J3358" s="19">
        <v>2</v>
      </c>
      <c r="K3358" s="19">
        <v>4</v>
      </c>
      <c r="L3358" s="19" t="s">
        <v>8363</v>
      </c>
      <c r="M3358" s="21">
        <v>18.600000000000001</v>
      </c>
      <c r="N3358">
        <f t="shared" si="52"/>
        <v>1</v>
      </c>
    </row>
    <row r="3359" spans="1:14" x14ac:dyDescent="0.35">
      <c r="A3359" s="22" t="s">
        <v>3429</v>
      </c>
      <c r="B3359" s="23" t="s">
        <v>101</v>
      </c>
      <c r="C3359" s="23">
        <v>4</v>
      </c>
      <c r="D3359" s="24">
        <v>45752</v>
      </c>
      <c r="E3359" s="23" t="s">
        <v>8364</v>
      </c>
      <c r="F3359" s="23" t="s">
        <v>14</v>
      </c>
      <c r="G3359" s="23" t="s">
        <v>15</v>
      </c>
      <c r="H3359" s="23" t="s">
        <v>22</v>
      </c>
      <c r="I3359" s="23">
        <v>4</v>
      </c>
      <c r="J3359" s="23">
        <v>1</v>
      </c>
      <c r="K3359" s="23">
        <v>4</v>
      </c>
      <c r="L3359" s="23" t="s">
        <v>8363</v>
      </c>
      <c r="M3359" s="25">
        <v>3.2</v>
      </c>
      <c r="N3359">
        <f t="shared" si="52"/>
        <v>1</v>
      </c>
    </row>
    <row r="3360" spans="1:14" x14ac:dyDescent="0.35">
      <c r="A3360" s="6" t="s">
        <v>3430</v>
      </c>
      <c r="B3360" s="19" t="s">
        <v>101</v>
      </c>
      <c r="C3360" s="19">
        <v>8</v>
      </c>
      <c r="D3360" s="20">
        <v>45873</v>
      </c>
      <c r="E3360" s="19" t="s">
        <v>20</v>
      </c>
      <c r="F3360" s="19" t="s">
        <v>43</v>
      </c>
      <c r="G3360" s="19" t="s">
        <v>31</v>
      </c>
      <c r="H3360" s="19" t="s">
        <v>28</v>
      </c>
      <c r="I3360" s="19">
        <v>4</v>
      </c>
      <c r="J3360" s="19">
        <v>0</v>
      </c>
      <c r="K3360" s="19">
        <v>3</v>
      </c>
      <c r="L3360" s="19" t="s">
        <v>62</v>
      </c>
      <c r="M3360" s="21">
        <v>10.9</v>
      </c>
      <c r="N3360">
        <f t="shared" si="52"/>
        <v>0</v>
      </c>
    </row>
    <row r="3361" spans="1:14" x14ac:dyDescent="0.35">
      <c r="A3361" s="22" t="s">
        <v>3431</v>
      </c>
      <c r="B3361" s="23" t="s">
        <v>108</v>
      </c>
      <c r="C3361" s="23">
        <v>2</v>
      </c>
      <c r="D3361" s="24">
        <v>45694</v>
      </c>
      <c r="E3361" s="23" t="s">
        <v>8364</v>
      </c>
      <c r="F3361" s="23" t="s">
        <v>37</v>
      </c>
      <c r="G3361" s="23" t="s">
        <v>21</v>
      </c>
      <c r="H3361" s="23" t="s">
        <v>22</v>
      </c>
      <c r="I3361" s="23">
        <v>8</v>
      </c>
      <c r="J3361" s="23">
        <v>0</v>
      </c>
      <c r="K3361" s="23">
        <v>3</v>
      </c>
      <c r="L3361" s="23" t="s">
        <v>38</v>
      </c>
      <c r="M3361" s="25">
        <v>9</v>
      </c>
      <c r="N3361">
        <f t="shared" si="52"/>
        <v>0</v>
      </c>
    </row>
    <row r="3362" spans="1:14" x14ac:dyDescent="0.35">
      <c r="A3362" s="6" t="s">
        <v>3432</v>
      </c>
      <c r="B3362" s="19" t="s">
        <v>29</v>
      </c>
      <c r="C3362" s="19">
        <v>6</v>
      </c>
      <c r="D3362" s="20">
        <v>45826</v>
      </c>
      <c r="E3362" s="19" t="s">
        <v>13</v>
      </c>
      <c r="F3362" s="19" t="s">
        <v>8364</v>
      </c>
      <c r="G3362" s="19" t="s">
        <v>27</v>
      </c>
      <c r="H3362" s="19" t="s">
        <v>28</v>
      </c>
      <c r="I3362" s="19">
        <v>4</v>
      </c>
      <c r="J3362" s="19">
        <v>0</v>
      </c>
      <c r="K3362" s="19">
        <v>5</v>
      </c>
      <c r="L3362" s="19" t="s">
        <v>8363</v>
      </c>
      <c r="M3362" s="21">
        <v>18.7</v>
      </c>
      <c r="N3362">
        <f t="shared" si="52"/>
        <v>0</v>
      </c>
    </row>
    <row r="3363" spans="1:14" x14ac:dyDescent="0.35">
      <c r="A3363" s="22" t="s">
        <v>3433</v>
      </c>
      <c r="B3363" s="23" t="s">
        <v>101</v>
      </c>
      <c r="C3363" s="23">
        <v>4</v>
      </c>
      <c r="D3363" s="24">
        <v>45751</v>
      </c>
      <c r="E3363" s="23" t="s">
        <v>8364</v>
      </c>
      <c r="F3363" s="23" t="s">
        <v>59</v>
      </c>
      <c r="G3363" s="23" t="s">
        <v>31</v>
      </c>
      <c r="H3363" s="23" t="s">
        <v>22</v>
      </c>
      <c r="I3363" s="23">
        <v>24</v>
      </c>
      <c r="J3363" s="23">
        <v>0</v>
      </c>
      <c r="K3363" s="23">
        <v>4</v>
      </c>
      <c r="L3363" s="23" t="s">
        <v>17</v>
      </c>
      <c r="M3363" s="25">
        <v>8.1999999999999993</v>
      </c>
      <c r="N3363">
        <f t="shared" si="52"/>
        <v>1</v>
      </c>
    </row>
    <row r="3364" spans="1:14" x14ac:dyDescent="0.35">
      <c r="A3364" s="6" t="s">
        <v>3434</v>
      </c>
      <c r="B3364" s="19" t="s">
        <v>87</v>
      </c>
      <c r="C3364" s="19">
        <v>8</v>
      </c>
      <c r="D3364" s="20">
        <v>45900</v>
      </c>
      <c r="E3364" s="19" t="s">
        <v>25</v>
      </c>
      <c r="F3364" s="19" t="s">
        <v>14</v>
      </c>
      <c r="G3364" s="19" t="s">
        <v>31</v>
      </c>
      <c r="H3364" s="19" t="s">
        <v>22</v>
      </c>
      <c r="I3364" s="19">
        <v>24</v>
      </c>
      <c r="J3364" s="19">
        <v>0</v>
      </c>
      <c r="K3364" s="19">
        <v>5</v>
      </c>
      <c r="L3364" s="19" t="s">
        <v>17</v>
      </c>
      <c r="M3364" s="21">
        <v>7.1</v>
      </c>
      <c r="N3364">
        <f t="shared" si="52"/>
        <v>1</v>
      </c>
    </row>
    <row r="3365" spans="1:14" x14ac:dyDescent="0.35">
      <c r="A3365" s="22" t="s">
        <v>3435</v>
      </c>
      <c r="B3365" s="23" t="s">
        <v>97</v>
      </c>
      <c r="C3365" s="23">
        <v>6</v>
      </c>
      <c r="D3365" s="24">
        <v>45809</v>
      </c>
      <c r="E3365" s="23" t="s">
        <v>25</v>
      </c>
      <c r="F3365" s="23" t="s">
        <v>59</v>
      </c>
      <c r="G3365" s="23" t="s">
        <v>8364</v>
      </c>
      <c r="H3365" s="23" t="s">
        <v>16</v>
      </c>
      <c r="I3365" s="23">
        <v>48</v>
      </c>
      <c r="J3365" s="23">
        <v>0</v>
      </c>
      <c r="K3365" s="23">
        <v>4</v>
      </c>
      <c r="L3365" s="23" t="s">
        <v>8363</v>
      </c>
      <c r="M3365" s="25">
        <v>8.4</v>
      </c>
      <c r="N3365">
        <f t="shared" si="52"/>
        <v>1</v>
      </c>
    </row>
    <row r="3366" spans="1:14" x14ac:dyDescent="0.35">
      <c r="A3366" s="6" t="s">
        <v>3436</v>
      </c>
      <c r="B3366" s="19" t="s">
        <v>89</v>
      </c>
      <c r="C3366" s="19"/>
      <c r="D3366" s="20"/>
      <c r="E3366" s="19" t="s">
        <v>68</v>
      </c>
      <c r="F3366" s="19" t="s">
        <v>43</v>
      </c>
      <c r="G3366" s="19" t="s">
        <v>27</v>
      </c>
      <c r="H3366" s="19" t="s">
        <v>8364</v>
      </c>
      <c r="I3366" s="19">
        <v>48</v>
      </c>
      <c r="J3366" s="19">
        <v>1</v>
      </c>
      <c r="K3366" s="19">
        <v>2</v>
      </c>
      <c r="L3366" s="19" t="s">
        <v>8363</v>
      </c>
      <c r="M3366" s="21">
        <v>10.6</v>
      </c>
      <c r="N3366">
        <f t="shared" si="52"/>
        <v>1</v>
      </c>
    </row>
    <row r="3367" spans="1:14" x14ac:dyDescent="0.35">
      <c r="A3367" s="22" t="s">
        <v>3437</v>
      </c>
      <c r="B3367" s="23" t="s">
        <v>34</v>
      </c>
      <c r="C3367" s="23">
        <v>4</v>
      </c>
      <c r="D3367" s="24">
        <v>45760</v>
      </c>
      <c r="E3367" s="23" t="s">
        <v>13</v>
      </c>
      <c r="F3367" s="23" t="s">
        <v>37</v>
      </c>
      <c r="G3367" s="23" t="s">
        <v>21</v>
      </c>
      <c r="H3367" s="23" t="s">
        <v>28</v>
      </c>
      <c r="I3367" s="23">
        <v>4</v>
      </c>
      <c r="J3367" s="23">
        <v>0</v>
      </c>
      <c r="K3367" s="23">
        <v>5</v>
      </c>
      <c r="L3367" s="23" t="s">
        <v>62</v>
      </c>
      <c r="M3367" s="25"/>
      <c r="N3367">
        <f t="shared" si="52"/>
        <v>1</v>
      </c>
    </row>
    <row r="3368" spans="1:14" x14ac:dyDescent="0.35">
      <c r="A3368" s="6" t="s">
        <v>3438</v>
      </c>
      <c r="B3368" s="19" t="s">
        <v>23</v>
      </c>
      <c r="C3368" s="19">
        <v>4</v>
      </c>
      <c r="D3368" s="20">
        <v>45748</v>
      </c>
      <c r="E3368" s="19" t="s">
        <v>13</v>
      </c>
      <c r="F3368" s="19" t="s">
        <v>8364</v>
      </c>
      <c r="G3368" s="19" t="s">
        <v>15</v>
      </c>
      <c r="H3368" s="19" t="s">
        <v>32</v>
      </c>
      <c r="I3368" s="19">
        <v>24</v>
      </c>
      <c r="J3368" s="19">
        <v>0</v>
      </c>
      <c r="K3368" s="19">
        <v>4</v>
      </c>
      <c r="L3368" s="19" t="s">
        <v>38</v>
      </c>
      <c r="M3368" s="21">
        <v>3</v>
      </c>
      <c r="N3368">
        <f t="shared" si="52"/>
        <v>1</v>
      </c>
    </row>
    <row r="3369" spans="1:14" x14ac:dyDescent="0.35">
      <c r="A3369" s="22" t="s">
        <v>3439</v>
      </c>
      <c r="B3369" s="23" t="s">
        <v>23</v>
      </c>
      <c r="C3369" s="23">
        <v>12</v>
      </c>
      <c r="D3369" s="24">
        <v>45996</v>
      </c>
      <c r="E3369" s="23" t="s">
        <v>20</v>
      </c>
      <c r="F3369" s="23" t="s">
        <v>14</v>
      </c>
      <c r="G3369" s="23" t="s">
        <v>31</v>
      </c>
      <c r="H3369" s="23" t="s">
        <v>8364</v>
      </c>
      <c r="I3369" s="23">
        <v>72</v>
      </c>
      <c r="J3369" s="23">
        <v>0</v>
      </c>
      <c r="K3369" s="23">
        <v>5</v>
      </c>
      <c r="L3369" s="23" t="s">
        <v>17</v>
      </c>
      <c r="M3369" s="25"/>
      <c r="N3369">
        <f t="shared" si="52"/>
        <v>1</v>
      </c>
    </row>
    <row r="3370" spans="1:14" x14ac:dyDescent="0.35">
      <c r="A3370" s="6" t="s">
        <v>3440</v>
      </c>
      <c r="B3370" s="19" t="s">
        <v>87</v>
      </c>
      <c r="C3370" s="19">
        <v>4</v>
      </c>
      <c r="D3370" s="20">
        <v>45748</v>
      </c>
      <c r="E3370" s="19" t="s">
        <v>13</v>
      </c>
      <c r="F3370" s="19" t="s">
        <v>14</v>
      </c>
      <c r="G3370" s="19" t="s">
        <v>8364</v>
      </c>
      <c r="H3370" s="19" t="s">
        <v>32</v>
      </c>
      <c r="I3370" s="19">
        <v>48</v>
      </c>
      <c r="J3370" s="19">
        <v>0</v>
      </c>
      <c r="K3370" s="19">
        <v>4</v>
      </c>
      <c r="L3370" s="19" t="s">
        <v>38</v>
      </c>
      <c r="M3370" s="21">
        <v>21.2</v>
      </c>
      <c r="N3370">
        <f t="shared" si="52"/>
        <v>1</v>
      </c>
    </row>
    <row r="3371" spans="1:14" x14ac:dyDescent="0.35">
      <c r="A3371" s="22" t="s">
        <v>3441</v>
      </c>
      <c r="B3371" s="23" t="s">
        <v>57</v>
      </c>
      <c r="C3371" s="23"/>
      <c r="D3371" s="24"/>
      <c r="E3371" s="23" t="s">
        <v>36</v>
      </c>
      <c r="F3371" s="23" t="s">
        <v>59</v>
      </c>
      <c r="G3371" s="23" t="s">
        <v>21</v>
      </c>
      <c r="H3371" s="23" t="s">
        <v>8364</v>
      </c>
      <c r="I3371" s="23">
        <v>4</v>
      </c>
      <c r="J3371" s="23">
        <v>0</v>
      </c>
      <c r="K3371" s="23">
        <v>5</v>
      </c>
      <c r="L3371" s="23" t="s">
        <v>8363</v>
      </c>
      <c r="M3371" s="25">
        <v>4.5</v>
      </c>
      <c r="N3371">
        <f t="shared" si="52"/>
        <v>0</v>
      </c>
    </row>
    <row r="3372" spans="1:14" x14ac:dyDescent="0.35">
      <c r="A3372" s="6" t="s">
        <v>3442</v>
      </c>
      <c r="B3372" s="19" t="s">
        <v>72</v>
      </c>
      <c r="C3372" s="19">
        <v>7</v>
      </c>
      <c r="D3372" s="20">
        <v>45853</v>
      </c>
      <c r="E3372" s="19" t="s">
        <v>20</v>
      </c>
      <c r="F3372" s="19" t="s">
        <v>40</v>
      </c>
      <c r="G3372" s="19" t="s">
        <v>27</v>
      </c>
      <c r="H3372" s="19" t="s">
        <v>16</v>
      </c>
      <c r="I3372" s="19">
        <v>4</v>
      </c>
      <c r="J3372" s="19">
        <v>1</v>
      </c>
      <c r="K3372" s="19">
        <v>3</v>
      </c>
      <c r="L3372" s="19" t="s">
        <v>38</v>
      </c>
      <c r="M3372" s="21">
        <v>12.2</v>
      </c>
      <c r="N3372">
        <f t="shared" si="52"/>
        <v>0</v>
      </c>
    </row>
    <row r="3373" spans="1:14" x14ac:dyDescent="0.35">
      <c r="A3373" s="22" t="s">
        <v>3443</v>
      </c>
      <c r="B3373" s="23" t="s">
        <v>41</v>
      </c>
      <c r="C3373" s="23">
        <v>6</v>
      </c>
      <c r="D3373" s="24">
        <v>45834</v>
      </c>
      <c r="E3373" s="23" t="s">
        <v>20</v>
      </c>
      <c r="F3373" s="23" t="s">
        <v>8364</v>
      </c>
      <c r="G3373" s="23" t="s">
        <v>21</v>
      </c>
      <c r="H3373" s="23" t="s">
        <v>16</v>
      </c>
      <c r="I3373" s="23">
        <v>24</v>
      </c>
      <c r="J3373" s="23">
        <v>1</v>
      </c>
      <c r="K3373" s="23">
        <v>4</v>
      </c>
      <c r="L3373" s="23" t="s">
        <v>62</v>
      </c>
      <c r="M3373" s="25">
        <v>17</v>
      </c>
      <c r="N3373">
        <f t="shared" si="52"/>
        <v>1</v>
      </c>
    </row>
    <row r="3374" spans="1:14" x14ac:dyDescent="0.35">
      <c r="A3374" s="6" t="s">
        <v>3444</v>
      </c>
      <c r="B3374" s="19" t="s">
        <v>253</v>
      </c>
      <c r="C3374" s="19">
        <v>7</v>
      </c>
      <c r="D3374" s="20">
        <v>45856</v>
      </c>
      <c r="E3374" s="19" t="s">
        <v>25</v>
      </c>
      <c r="F3374" s="19" t="s">
        <v>26</v>
      </c>
      <c r="G3374" s="19" t="s">
        <v>27</v>
      </c>
      <c r="H3374" s="19" t="s">
        <v>32</v>
      </c>
      <c r="I3374" s="19">
        <v>48</v>
      </c>
      <c r="J3374" s="19">
        <v>2</v>
      </c>
      <c r="K3374" s="19">
        <v>1</v>
      </c>
      <c r="L3374" s="19" t="s">
        <v>17</v>
      </c>
      <c r="M3374" s="21">
        <v>8.4</v>
      </c>
      <c r="N3374">
        <f t="shared" si="52"/>
        <v>1</v>
      </c>
    </row>
    <row r="3375" spans="1:14" x14ac:dyDescent="0.35">
      <c r="A3375" s="22" t="s">
        <v>3445</v>
      </c>
      <c r="B3375" s="23" t="s">
        <v>104</v>
      </c>
      <c r="C3375" s="23">
        <v>10</v>
      </c>
      <c r="D3375" s="24">
        <v>45952</v>
      </c>
      <c r="E3375" s="23" t="s">
        <v>25</v>
      </c>
      <c r="F3375" s="23" t="s">
        <v>8364</v>
      </c>
      <c r="G3375" s="23" t="s">
        <v>27</v>
      </c>
      <c r="H3375" s="23" t="s">
        <v>8364</v>
      </c>
      <c r="I3375" s="23">
        <v>48</v>
      </c>
      <c r="J3375" s="23">
        <v>1</v>
      </c>
      <c r="K3375" s="23">
        <v>5</v>
      </c>
      <c r="L3375" s="23" t="s">
        <v>38</v>
      </c>
      <c r="M3375" s="25">
        <v>13</v>
      </c>
      <c r="N3375">
        <f t="shared" si="52"/>
        <v>1</v>
      </c>
    </row>
    <row r="3376" spans="1:14" x14ac:dyDescent="0.35">
      <c r="A3376" s="6" t="s">
        <v>3446</v>
      </c>
      <c r="B3376" s="19" t="s">
        <v>69</v>
      </c>
      <c r="C3376" s="19">
        <v>5</v>
      </c>
      <c r="D3376" s="20">
        <v>45792</v>
      </c>
      <c r="E3376" s="19" t="s">
        <v>36</v>
      </c>
      <c r="F3376" s="19" t="s">
        <v>59</v>
      </c>
      <c r="G3376" s="19" t="s">
        <v>8364</v>
      </c>
      <c r="H3376" s="19" t="s">
        <v>16</v>
      </c>
      <c r="I3376" s="19">
        <v>72</v>
      </c>
      <c r="J3376" s="19">
        <v>0</v>
      </c>
      <c r="K3376" s="19">
        <v>4</v>
      </c>
      <c r="L3376" s="19" t="s">
        <v>75</v>
      </c>
      <c r="M3376" s="21">
        <v>20.8</v>
      </c>
      <c r="N3376">
        <f t="shared" si="52"/>
        <v>1</v>
      </c>
    </row>
    <row r="3377" spans="1:14" x14ac:dyDescent="0.35">
      <c r="A3377" s="22" t="s">
        <v>3447</v>
      </c>
      <c r="B3377" s="23" t="s">
        <v>146</v>
      </c>
      <c r="C3377" s="23">
        <v>4</v>
      </c>
      <c r="D3377" s="24">
        <v>45752</v>
      </c>
      <c r="E3377" s="23" t="s">
        <v>13</v>
      </c>
      <c r="F3377" s="23" t="s">
        <v>26</v>
      </c>
      <c r="G3377" s="23" t="s">
        <v>31</v>
      </c>
      <c r="H3377" s="23" t="s">
        <v>8364</v>
      </c>
      <c r="I3377" s="23">
        <v>48</v>
      </c>
      <c r="J3377" s="23">
        <v>0</v>
      </c>
      <c r="K3377" s="23">
        <v>4</v>
      </c>
      <c r="L3377" s="23" t="s">
        <v>44</v>
      </c>
      <c r="M3377" s="25">
        <v>19.100000000000001</v>
      </c>
      <c r="N3377">
        <f t="shared" si="52"/>
        <v>1</v>
      </c>
    </row>
    <row r="3378" spans="1:14" x14ac:dyDescent="0.35">
      <c r="A3378" s="6" t="s">
        <v>3448</v>
      </c>
      <c r="B3378" s="19" t="s">
        <v>39</v>
      </c>
      <c r="C3378" s="19">
        <v>4</v>
      </c>
      <c r="D3378" s="20">
        <v>45766</v>
      </c>
      <c r="E3378" s="19" t="s">
        <v>13</v>
      </c>
      <c r="F3378" s="19" t="s">
        <v>14</v>
      </c>
      <c r="G3378" s="19" t="s">
        <v>15</v>
      </c>
      <c r="H3378" s="19" t="s">
        <v>8364</v>
      </c>
      <c r="I3378" s="19">
        <v>8</v>
      </c>
      <c r="J3378" s="19">
        <v>1</v>
      </c>
      <c r="K3378" s="19">
        <v>5</v>
      </c>
      <c r="L3378" s="19" t="s">
        <v>55</v>
      </c>
      <c r="M3378" s="21">
        <v>9.1999999999999993</v>
      </c>
      <c r="N3378">
        <f t="shared" si="52"/>
        <v>0</v>
      </c>
    </row>
    <row r="3379" spans="1:14" x14ac:dyDescent="0.35">
      <c r="A3379" s="22" t="s">
        <v>3449</v>
      </c>
      <c r="B3379" s="23" t="s">
        <v>92</v>
      </c>
      <c r="C3379" s="23">
        <v>9</v>
      </c>
      <c r="D3379" s="24">
        <v>45925</v>
      </c>
      <c r="E3379" s="23" t="s">
        <v>68</v>
      </c>
      <c r="F3379" s="23" t="s">
        <v>14</v>
      </c>
      <c r="G3379" s="23" t="s">
        <v>27</v>
      </c>
      <c r="H3379" s="23" t="s">
        <v>32</v>
      </c>
      <c r="I3379" s="23">
        <v>48</v>
      </c>
      <c r="J3379" s="23">
        <v>0</v>
      </c>
      <c r="K3379" s="23">
        <v>3</v>
      </c>
      <c r="L3379" s="23" t="s">
        <v>8363</v>
      </c>
      <c r="M3379" s="25">
        <v>6.9</v>
      </c>
      <c r="N3379">
        <f t="shared" si="52"/>
        <v>1</v>
      </c>
    </row>
    <row r="3380" spans="1:14" x14ac:dyDescent="0.35">
      <c r="A3380" s="6" t="s">
        <v>3450</v>
      </c>
      <c r="B3380" s="19" t="s">
        <v>45</v>
      </c>
      <c r="C3380" s="19">
        <v>8</v>
      </c>
      <c r="D3380" s="20">
        <v>45897</v>
      </c>
      <c r="E3380" s="19" t="s">
        <v>68</v>
      </c>
      <c r="F3380" s="19" t="s">
        <v>43</v>
      </c>
      <c r="G3380" s="19" t="s">
        <v>15</v>
      </c>
      <c r="H3380" s="19" t="s">
        <v>28</v>
      </c>
      <c r="I3380" s="19">
        <v>4</v>
      </c>
      <c r="J3380" s="19">
        <v>0</v>
      </c>
      <c r="K3380" s="19">
        <v>4</v>
      </c>
      <c r="L3380" s="19" t="s">
        <v>44</v>
      </c>
      <c r="M3380" s="21"/>
      <c r="N3380">
        <f t="shared" si="52"/>
        <v>1</v>
      </c>
    </row>
    <row r="3381" spans="1:14" x14ac:dyDescent="0.35">
      <c r="A3381" s="22" t="s">
        <v>3451</v>
      </c>
      <c r="B3381" s="23" t="s">
        <v>236</v>
      </c>
      <c r="C3381" s="23">
        <v>6</v>
      </c>
      <c r="D3381" s="24">
        <v>45829</v>
      </c>
      <c r="E3381" s="23" t="s">
        <v>13</v>
      </c>
      <c r="F3381" s="23" t="s">
        <v>37</v>
      </c>
      <c r="G3381" s="23" t="s">
        <v>27</v>
      </c>
      <c r="H3381" s="23" t="s">
        <v>8364</v>
      </c>
      <c r="I3381" s="23">
        <v>24</v>
      </c>
      <c r="J3381" s="23">
        <v>0</v>
      </c>
      <c r="K3381" s="23">
        <v>3</v>
      </c>
      <c r="L3381" s="23" t="s">
        <v>33</v>
      </c>
      <c r="M3381" s="25">
        <v>9.9</v>
      </c>
      <c r="N3381">
        <f t="shared" si="52"/>
        <v>1</v>
      </c>
    </row>
    <row r="3382" spans="1:14" x14ac:dyDescent="0.35">
      <c r="A3382" s="6" t="s">
        <v>3452</v>
      </c>
      <c r="B3382" s="19" t="s">
        <v>108</v>
      </c>
      <c r="C3382" s="19">
        <v>12</v>
      </c>
      <c r="D3382" s="20">
        <v>45996</v>
      </c>
      <c r="E3382" s="19" t="s">
        <v>68</v>
      </c>
      <c r="F3382" s="19" t="s">
        <v>14</v>
      </c>
      <c r="G3382" s="19" t="s">
        <v>21</v>
      </c>
      <c r="H3382" s="19" t="s">
        <v>8364</v>
      </c>
      <c r="I3382" s="19">
        <v>24</v>
      </c>
      <c r="J3382" s="19">
        <v>1</v>
      </c>
      <c r="K3382" s="19">
        <v>4</v>
      </c>
      <c r="L3382" s="19" t="s">
        <v>8363</v>
      </c>
      <c r="M3382" s="21">
        <v>14.4</v>
      </c>
      <c r="N3382">
        <f t="shared" si="52"/>
        <v>1</v>
      </c>
    </row>
    <row r="3383" spans="1:14" x14ac:dyDescent="0.35">
      <c r="A3383" s="22" t="s">
        <v>3453</v>
      </c>
      <c r="B3383" s="23" t="s">
        <v>39</v>
      </c>
      <c r="C3383" s="23">
        <v>12</v>
      </c>
      <c r="D3383" s="24">
        <v>45993</v>
      </c>
      <c r="E3383" s="23" t="s">
        <v>20</v>
      </c>
      <c r="F3383" s="23" t="s">
        <v>26</v>
      </c>
      <c r="G3383" s="23" t="s">
        <v>31</v>
      </c>
      <c r="H3383" s="23" t="s">
        <v>16</v>
      </c>
      <c r="I3383" s="23">
        <v>8</v>
      </c>
      <c r="J3383" s="23">
        <v>0</v>
      </c>
      <c r="K3383" s="23">
        <v>1</v>
      </c>
      <c r="L3383" s="23" t="s">
        <v>38</v>
      </c>
      <c r="M3383" s="25">
        <v>2.9</v>
      </c>
      <c r="N3383">
        <f t="shared" si="52"/>
        <v>1</v>
      </c>
    </row>
    <row r="3384" spans="1:14" x14ac:dyDescent="0.35">
      <c r="A3384" s="6" t="s">
        <v>3454</v>
      </c>
      <c r="B3384" s="19" t="s">
        <v>51</v>
      </c>
      <c r="C3384" s="19">
        <v>7</v>
      </c>
      <c r="D3384" s="20">
        <v>45859</v>
      </c>
      <c r="E3384" s="19" t="s">
        <v>20</v>
      </c>
      <c r="F3384" s="19" t="s">
        <v>59</v>
      </c>
      <c r="G3384" s="19" t="s">
        <v>27</v>
      </c>
      <c r="H3384" s="19" t="s">
        <v>22</v>
      </c>
      <c r="I3384" s="19">
        <v>24</v>
      </c>
      <c r="J3384" s="19">
        <v>3</v>
      </c>
      <c r="K3384" s="19">
        <v>4</v>
      </c>
      <c r="L3384" s="19" t="s">
        <v>55</v>
      </c>
      <c r="M3384" s="21">
        <v>15.9</v>
      </c>
      <c r="N3384">
        <f t="shared" si="52"/>
        <v>1</v>
      </c>
    </row>
    <row r="3385" spans="1:14" x14ac:dyDescent="0.35">
      <c r="A3385" s="22" t="s">
        <v>3455</v>
      </c>
      <c r="B3385" s="23" t="s">
        <v>72</v>
      </c>
      <c r="C3385" s="23">
        <v>5</v>
      </c>
      <c r="D3385" s="24">
        <v>45781</v>
      </c>
      <c r="E3385" s="23" t="s">
        <v>25</v>
      </c>
      <c r="F3385" s="23" t="s">
        <v>59</v>
      </c>
      <c r="G3385" s="23" t="s">
        <v>31</v>
      </c>
      <c r="H3385" s="23" t="s">
        <v>28</v>
      </c>
      <c r="I3385" s="23">
        <v>72</v>
      </c>
      <c r="J3385" s="23">
        <v>2</v>
      </c>
      <c r="K3385" s="23">
        <v>4</v>
      </c>
      <c r="L3385" s="23" t="s">
        <v>75</v>
      </c>
      <c r="M3385" s="25">
        <v>2.2000000000000002</v>
      </c>
      <c r="N3385">
        <f t="shared" si="52"/>
        <v>1</v>
      </c>
    </row>
    <row r="3386" spans="1:14" x14ac:dyDescent="0.35">
      <c r="A3386" s="6" t="s">
        <v>3456</v>
      </c>
      <c r="B3386" s="19" t="s">
        <v>41</v>
      </c>
      <c r="C3386" s="19">
        <v>5</v>
      </c>
      <c r="D3386" s="20">
        <v>45808</v>
      </c>
      <c r="E3386" s="19" t="s">
        <v>25</v>
      </c>
      <c r="F3386" s="19" t="s">
        <v>37</v>
      </c>
      <c r="G3386" s="19" t="s">
        <v>8364</v>
      </c>
      <c r="H3386" s="19" t="s">
        <v>22</v>
      </c>
      <c r="I3386" s="19">
        <v>72</v>
      </c>
      <c r="J3386" s="19">
        <v>0</v>
      </c>
      <c r="K3386" s="19">
        <v>4</v>
      </c>
      <c r="L3386" s="19" t="s">
        <v>75</v>
      </c>
      <c r="M3386" s="21">
        <v>6.3</v>
      </c>
      <c r="N3386">
        <f t="shared" si="52"/>
        <v>1</v>
      </c>
    </row>
    <row r="3387" spans="1:14" x14ac:dyDescent="0.35">
      <c r="A3387" s="22" t="s">
        <v>3457</v>
      </c>
      <c r="B3387" s="23" t="s">
        <v>34</v>
      </c>
      <c r="C3387" s="23"/>
      <c r="D3387" s="24"/>
      <c r="E3387" s="23" t="s">
        <v>13</v>
      </c>
      <c r="F3387" s="23" t="s">
        <v>14</v>
      </c>
      <c r="G3387" s="23" t="s">
        <v>27</v>
      </c>
      <c r="H3387" s="23" t="s">
        <v>22</v>
      </c>
      <c r="I3387" s="23">
        <v>24</v>
      </c>
      <c r="J3387" s="23">
        <v>1</v>
      </c>
      <c r="K3387" s="23">
        <v>3</v>
      </c>
      <c r="L3387" s="23" t="s">
        <v>55</v>
      </c>
      <c r="M3387" s="25">
        <v>11</v>
      </c>
      <c r="N3387">
        <f t="shared" si="52"/>
        <v>1</v>
      </c>
    </row>
    <row r="3388" spans="1:14" x14ac:dyDescent="0.35">
      <c r="A3388" s="6" t="s">
        <v>3458</v>
      </c>
      <c r="B3388" s="19" t="s">
        <v>101</v>
      </c>
      <c r="C3388" s="19">
        <v>6</v>
      </c>
      <c r="D3388" s="20">
        <v>45814</v>
      </c>
      <c r="E3388" s="19" t="s">
        <v>13</v>
      </c>
      <c r="F3388" s="19" t="s">
        <v>43</v>
      </c>
      <c r="G3388" s="19" t="s">
        <v>31</v>
      </c>
      <c r="H3388" s="19" t="s">
        <v>8364</v>
      </c>
      <c r="I3388" s="19">
        <v>48</v>
      </c>
      <c r="J3388" s="19">
        <v>0</v>
      </c>
      <c r="K3388" s="19">
        <v>3</v>
      </c>
      <c r="L3388" s="19" t="s">
        <v>33</v>
      </c>
      <c r="M3388" s="21">
        <v>5</v>
      </c>
      <c r="N3388">
        <f t="shared" si="52"/>
        <v>1</v>
      </c>
    </row>
    <row r="3389" spans="1:14" x14ac:dyDescent="0.35">
      <c r="A3389" s="22" t="s">
        <v>3459</v>
      </c>
      <c r="B3389" s="23" t="s">
        <v>34</v>
      </c>
      <c r="C3389" s="23"/>
      <c r="D3389" s="24"/>
      <c r="E3389" s="23" t="s">
        <v>8364</v>
      </c>
      <c r="F3389" s="23" t="s">
        <v>43</v>
      </c>
      <c r="G3389" s="23" t="s">
        <v>21</v>
      </c>
      <c r="H3389" s="23" t="s">
        <v>8364</v>
      </c>
      <c r="I3389" s="23">
        <v>4</v>
      </c>
      <c r="J3389" s="23">
        <v>0</v>
      </c>
      <c r="K3389" s="23">
        <v>2</v>
      </c>
      <c r="L3389" s="23" t="s">
        <v>55</v>
      </c>
      <c r="M3389" s="25">
        <v>7.3</v>
      </c>
      <c r="N3389">
        <f t="shared" si="52"/>
        <v>0</v>
      </c>
    </row>
    <row r="3390" spans="1:14" x14ac:dyDescent="0.35">
      <c r="A3390" s="6" t="s">
        <v>3460</v>
      </c>
      <c r="B3390" s="19" t="s">
        <v>51</v>
      </c>
      <c r="C3390" s="19">
        <v>6</v>
      </c>
      <c r="D3390" s="20">
        <v>45815</v>
      </c>
      <c r="E3390" s="19" t="s">
        <v>36</v>
      </c>
      <c r="F3390" s="19" t="s">
        <v>59</v>
      </c>
      <c r="G3390" s="19" t="s">
        <v>21</v>
      </c>
      <c r="H3390" s="19" t="s">
        <v>28</v>
      </c>
      <c r="I3390" s="19">
        <v>4</v>
      </c>
      <c r="J3390" s="19">
        <v>0</v>
      </c>
      <c r="K3390" s="19">
        <v>4</v>
      </c>
      <c r="L3390" s="19" t="s">
        <v>38</v>
      </c>
      <c r="M3390" s="21">
        <v>10.4</v>
      </c>
      <c r="N3390">
        <f t="shared" si="52"/>
        <v>0</v>
      </c>
    </row>
    <row r="3391" spans="1:14" x14ac:dyDescent="0.35">
      <c r="A3391" s="22" t="s">
        <v>3461</v>
      </c>
      <c r="B3391" s="23" t="s">
        <v>39</v>
      </c>
      <c r="C3391" s="23">
        <v>7</v>
      </c>
      <c r="D3391" s="24">
        <v>45839</v>
      </c>
      <c r="E3391" s="23" t="s">
        <v>13</v>
      </c>
      <c r="F3391" s="23" t="s">
        <v>26</v>
      </c>
      <c r="G3391" s="23" t="s">
        <v>31</v>
      </c>
      <c r="H3391" s="23" t="s">
        <v>22</v>
      </c>
      <c r="I3391" s="23">
        <v>48</v>
      </c>
      <c r="J3391" s="23">
        <v>1</v>
      </c>
      <c r="K3391" s="23">
        <v>5</v>
      </c>
      <c r="L3391" s="23" t="s">
        <v>62</v>
      </c>
      <c r="M3391" s="25">
        <v>17.399999999999999</v>
      </c>
      <c r="N3391">
        <f t="shared" si="52"/>
        <v>1</v>
      </c>
    </row>
    <row r="3392" spans="1:14" x14ac:dyDescent="0.35">
      <c r="A3392" s="6" t="s">
        <v>3462</v>
      </c>
      <c r="B3392" s="19" t="s">
        <v>69</v>
      </c>
      <c r="C3392" s="19">
        <v>2</v>
      </c>
      <c r="D3392" s="20">
        <v>45709</v>
      </c>
      <c r="E3392" s="19" t="s">
        <v>25</v>
      </c>
      <c r="F3392" s="19" t="s">
        <v>37</v>
      </c>
      <c r="G3392" s="19" t="s">
        <v>21</v>
      </c>
      <c r="H3392" s="19" t="s">
        <v>22</v>
      </c>
      <c r="I3392" s="19">
        <v>72</v>
      </c>
      <c r="J3392" s="19">
        <v>1</v>
      </c>
      <c r="K3392" s="19">
        <v>1</v>
      </c>
      <c r="L3392" s="19" t="s">
        <v>33</v>
      </c>
      <c r="M3392" s="21">
        <v>9.8000000000000007</v>
      </c>
      <c r="N3392">
        <f t="shared" si="52"/>
        <v>1</v>
      </c>
    </row>
    <row r="3393" spans="1:14" x14ac:dyDescent="0.35">
      <c r="A3393" s="22" t="s">
        <v>3463</v>
      </c>
      <c r="B3393" s="23" t="s">
        <v>89</v>
      </c>
      <c r="C3393" s="23">
        <v>12</v>
      </c>
      <c r="D3393" s="24">
        <v>46000</v>
      </c>
      <c r="E3393" s="23" t="s">
        <v>36</v>
      </c>
      <c r="F3393" s="23" t="s">
        <v>14</v>
      </c>
      <c r="G3393" s="23" t="s">
        <v>8364</v>
      </c>
      <c r="H3393" s="23" t="s">
        <v>22</v>
      </c>
      <c r="I3393" s="23">
        <v>8</v>
      </c>
      <c r="J3393" s="23">
        <v>0</v>
      </c>
      <c r="K3393" s="23">
        <v>2</v>
      </c>
      <c r="L3393" s="23" t="s">
        <v>55</v>
      </c>
      <c r="M3393" s="25">
        <v>7.9</v>
      </c>
      <c r="N3393">
        <f t="shared" si="52"/>
        <v>1</v>
      </c>
    </row>
    <row r="3394" spans="1:14" x14ac:dyDescent="0.35">
      <c r="A3394" s="6" t="s">
        <v>3464</v>
      </c>
      <c r="B3394" s="19" t="s">
        <v>51</v>
      </c>
      <c r="C3394" s="19">
        <v>1</v>
      </c>
      <c r="D3394" s="20">
        <v>45678</v>
      </c>
      <c r="E3394" s="19" t="s">
        <v>25</v>
      </c>
      <c r="F3394" s="19" t="s">
        <v>8364</v>
      </c>
      <c r="G3394" s="19" t="s">
        <v>8364</v>
      </c>
      <c r="H3394" s="19" t="s">
        <v>22</v>
      </c>
      <c r="I3394" s="19">
        <v>24</v>
      </c>
      <c r="J3394" s="19">
        <v>0</v>
      </c>
      <c r="K3394" s="19"/>
      <c r="L3394" s="19" t="s">
        <v>8363</v>
      </c>
      <c r="M3394" s="21">
        <v>0.3</v>
      </c>
      <c r="N3394">
        <f t="shared" si="52"/>
        <v>1</v>
      </c>
    </row>
    <row r="3395" spans="1:14" x14ac:dyDescent="0.35">
      <c r="A3395" s="22" t="s">
        <v>3465</v>
      </c>
      <c r="B3395" s="23" t="s">
        <v>130</v>
      </c>
      <c r="C3395" s="23">
        <v>12</v>
      </c>
      <c r="D3395" s="24">
        <v>46003</v>
      </c>
      <c r="E3395" s="23" t="s">
        <v>13</v>
      </c>
      <c r="F3395" s="23" t="s">
        <v>37</v>
      </c>
      <c r="G3395" s="23" t="s">
        <v>15</v>
      </c>
      <c r="H3395" s="23" t="s">
        <v>8364</v>
      </c>
      <c r="I3395" s="23">
        <v>8</v>
      </c>
      <c r="J3395" s="23">
        <v>0</v>
      </c>
      <c r="K3395" s="23"/>
      <c r="L3395" s="23" t="s">
        <v>17</v>
      </c>
      <c r="M3395" s="25">
        <v>5.5</v>
      </c>
      <c r="N3395">
        <f t="shared" ref="N3395:N3458" si="53">IF(M3395 &lt;= I3395, 1, 0)</f>
        <v>1</v>
      </c>
    </row>
    <row r="3396" spans="1:14" x14ac:dyDescent="0.35">
      <c r="A3396" s="6" t="s">
        <v>3466</v>
      </c>
      <c r="B3396" s="19" t="s">
        <v>146</v>
      </c>
      <c r="C3396" s="19">
        <v>6</v>
      </c>
      <c r="D3396" s="20">
        <v>45838</v>
      </c>
      <c r="E3396" s="19" t="s">
        <v>25</v>
      </c>
      <c r="F3396" s="19" t="s">
        <v>43</v>
      </c>
      <c r="G3396" s="19" t="s">
        <v>27</v>
      </c>
      <c r="H3396" s="19" t="s">
        <v>22</v>
      </c>
      <c r="I3396" s="19">
        <v>72</v>
      </c>
      <c r="J3396" s="19">
        <v>0</v>
      </c>
      <c r="K3396" s="19">
        <v>2</v>
      </c>
      <c r="L3396" s="19" t="s">
        <v>62</v>
      </c>
      <c r="M3396" s="21">
        <v>5.7</v>
      </c>
      <c r="N3396">
        <f t="shared" si="53"/>
        <v>1</v>
      </c>
    </row>
    <row r="3397" spans="1:14" x14ac:dyDescent="0.35">
      <c r="A3397" s="22" t="s">
        <v>3467</v>
      </c>
      <c r="B3397" s="23" t="s">
        <v>45</v>
      </c>
      <c r="C3397" s="23">
        <v>6</v>
      </c>
      <c r="D3397" s="24">
        <v>45823</v>
      </c>
      <c r="E3397" s="23" t="s">
        <v>68</v>
      </c>
      <c r="F3397" s="23" t="s">
        <v>14</v>
      </c>
      <c r="G3397" s="23" t="s">
        <v>15</v>
      </c>
      <c r="H3397" s="23" t="s">
        <v>16</v>
      </c>
      <c r="I3397" s="23">
        <v>4</v>
      </c>
      <c r="J3397" s="23">
        <v>0</v>
      </c>
      <c r="K3397" s="23">
        <v>5</v>
      </c>
      <c r="L3397" s="23" t="s">
        <v>8363</v>
      </c>
      <c r="M3397" s="25">
        <v>7.7</v>
      </c>
      <c r="N3397">
        <f t="shared" si="53"/>
        <v>0</v>
      </c>
    </row>
    <row r="3398" spans="1:14" x14ac:dyDescent="0.35">
      <c r="A3398" s="6" t="s">
        <v>3468</v>
      </c>
      <c r="B3398" s="19" t="s">
        <v>97</v>
      </c>
      <c r="C3398" s="19">
        <v>9</v>
      </c>
      <c r="D3398" s="20">
        <v>45904</v>
      </c>
      <c r="E3398" s="19" t="s">
        <v>25</v>
      </c>
      <c r="F3398" s="19" t="s">
        <v>59</v>
      </c>
      <c r="G3398" s="19" t="s">
        <v>21</v>
      </c>
      <c r="H3398" s="19" t="s">
        <v>32</v>
      </c>
      <c r="I3398" s="19">
        <v>4</v>
      </c>
      <c r="J3398" s="19">
        <v>1</v>
      </c>
      <c r="K3398" s="19">
        <v>2</v>
      </c>
      <c r="L3398" s="19" t="s">
        <v>8363</v>
      </c>
      <c r="M3398" s="21">
        <v>18.399999999999999</v>
      </c>
      <c r="N3398">
        <f t="shared" si="53"/>
        <v>0</v>
      </c>
    </row>
    <row r="3399" spans="1:14" x14ac:dyDescent="0.35">
      <c r="A3399" s="22" t="s">
        <v>3469</v>
      </c>
      <c r="B3399" s="23" t="s">
        <v>72</v>
      </c>
      <c r="C3399" s="23">
        <v>11</v>
      </c>
      <c r="D3399" s="24">
        <v>45987</v>
      </c>
      <c r="E3399" s="23" t="s">
        <v>68</v>
      </c>
      <c r="F3399" s="23" t="s">
        <v>26</v>
      </c>
      <c r="G3399" s="23" t="s">
        <v>31</v>
      </c>
      <c r="H3399" s="23" t="s">
        <v>8364</v>
      </c>
      <c r="I3399" s="23">
        <v>72</v>
      </c>
      <c r="J3399" s="23">
        <v>0</v>
      </c>
      <c r="K3399" s="23">
        <v>5</v>
      </c>
      <c r="L3399" s="23" t="s">
        <v>8363</v>
      </c>
      <c r="M3399" s="25">
        <v>26</v>
      </c>
      <c r="N3399">
        <f t="shared" si="53"/>
        <v>1</v>
      </c>
    </row>
    <row r="3400" spans="1:14" x14ac:dyDescent="0.35">
      <c r="A3400" s="6" t="s">
        <v>3470</v>
      </c>
      <c r="B3400" s="19" t="s">
        <v>23</v>
      </c>
      <c r="C3400" s="19">
        <v>1</v>
      </c>
      <c r="D3400" s="20">
        <v>45685</v>
      </c>
      <c r="E3400" s="19" t="s">
        <v>13</v>
      </c>
      <c r="F3400" s="19" t="s">
        <v>40</v>
      </c>
      <c r="G3400" s="19" t="s">
        <v>15</v>
      </c>
      <c r="H3400" s="19" t="s">
        <v>8364</v>
      </c>
      <c r="I3400" s="19">
        <v>8</v>
      </c>
      <c r="J3400" s="19">
        <v>0</v>
      </c>
      <c r="K3400" s="19">
        <v>2</v>
      </c>
      <c r="L3400" s="19" t="s">
        <v>33</v>
      </c>
      <c r="M3400" s="21">
        <v>12.3</v>
      </c>
      <c r="N3400">
        <f t="shared" si="53"/>
        <v>0</v>
      </c>
    </row>
    <row r="3401" spans="1:14" x14ac:dyDescent="0.35">
      <c r="A3401" s="22" t="s">
        <v>3471</v>
      </c>
      <c r="B3401" s="23" t="s">
        <v>72</v>
      </c>
      <c r="C3401" s="23">
        <v>4</v>
      </c>
      <c r="D3401" s="24">
        <v>45761</v>
      </c>
      <c r="E3401" s="23" t="s">
        <v>13</v>
      </c>
      <c r="F3401" s="23" t="s">
        <v>37</v>
      </c>
      <c r="G3401" s="23" t="s">
        <v>21</v>
      </c>
      <c r="H3401" s="23" t="s">
        <v>28</v>
      </c>
      <c r="I3401" s="23">
        <v>4</v>
      </c>
      <c r="J3401" s="23">
        <v>0</v>
      </c>
      <c r="K3401" s="23">
        <v>5</v>
      </c>
      <c r="L3401" s="23" t="s">
        <v>62</v>
      </c>
      <c r="M3401" s="25">
        <v>17.100000000000001</v>
      </c>
      <c r="N3401">
        <f t="shared" si="53"/>
        <v>0</v>
      </c>
    </row>
    <row r="3402" spans="1:14" x14ac:dyDescent="0.35">
      <c r="A3402" s="6" t="s">
        <v>3472</v>
      </c>
      <c r="B3402" s="19" t="s">
        <v>81</v>
      </c>
      <c r="C3402" s="19">
        <v>12</v>
      </c>
      <c r="D3402" s="20">
        <v>46009</v>
      </c>
      <c r="E3402" s="19" t="s">
        <v>20</v>
      </c>
      <c r="F3402" s="19" t="s">
        <v>26</v>
      </c>
      <c r="G3402" s="19" t="s">
        <v>27</v>
      </c>
      <c r="H3402" s="19" t="s">
        <v>22</v>
      </c>
      <c r="I3402" s="19">
        <v>4</v>
      </c>
      <c r="J3402" s="19">
        <v>0</v>
      </c>
      <c r="K3402" s="19">
        <v>5</v>
      </c>
      <c r="L3402" s="19" t="s">
        <v>38</v>
      </c>
      <c r="M3402" s="21"/>
      <c r="N3402">
        <f t="shared" si="53"/>
        <v>1</v>
      </c>
    </row>
    <row r="3403" spans="1:14" x14ac:dyDescent="0.35">
      <c r="A3403" s="22" t="s">
        <v>3473</v>
      </c>
      <c r="B3403" s="23" t="s">
        <v>87</v>
      </c>
      <c r="C3403" s="23">
        <v>2</v>
      </c>
      <c r="D3403" s="24">
        <v>45693</v>
      </c>
      <c r="E3403" s="23" t="s">
        <v>13</v>
      </c>
      <c r="F3403" s="23" t="s">
        <v>37</v>
      </c>
      <c r="G3403" s="23" t="s">
        <v>21</v>
      </c>
      <c r="H3403" s="23" t="s">
        <v>32</v>
      </c>
      <c r="I3403" s="23">
        <v>24</v>
      </c>
      <c r="J3403" s="23">
        <v>0</v>
      </c>
      <c r="K3403" s="23">
        <v>1</v>
      </c>
      <c r="L3403" s="23" t="s">
        <v>38</v>
      </c>
      <c r="M3403" s="25">
        <v>6.6</v>
      </c>
      <c r="N3403">
        <f t="shared" si="53"/>
        <v>1</v>
      </c>
    </row>
    <row r="3404" spans="1:14" x14ac:dyDescent="0.35">
      <c r="A3404" s="6" t="s">
        <v>3474</v>
      </c>
      <c r="B3404" s="19" t="s">
        <v>92</v>
      </c>
      <c r="C3404" s="19">
        <v>1</v>
      </c>
      <c r="D3404" s="20">
        <v>45671</v>
      </c>
      <c r="E3404" s="19" t="s">
        <v>13</v>
      </c>
      <c r="F3404" s="19" t="s">
        <v>43</v>
      </c>
      <c r="G3404" s="19" t="s">
        <v>27</v>
      </c>
      <c r="H3404" s="19" t="s">
        <v>22</v>
      </c>
      <c r="I3404" s="19">
        <v>24</v>
      </c>
      <c r="J3404" s="19">
        <v>1</v>
      </c>
      <c r="K3404" s="19">
        <v>3</v>
      </c>
      <c r="L3404" s="19" t="s">
        <v>62</v>
      </c>
      <c r="M3404" s="21">
        <v>7.8</v>
      </c>
      <c r="N3404">
        <f t="shared" si="53"/>
        <v>1</v>
      </c>
    </row>
    <row r="3405" spans="1:14" x14ac:dyDescent="0.35">
      <c r="A3405" s="22" t="s">
        <v>3475</v>
      </c>
      <c r="B3405" s="23" t="s">
        <v>47</v>
      </c>
      <c r="C3405" s="23">
        <v>1</v>
      </c>
      <c r="D3405" s="24">
        <v>45680</v>
      </c>
      <c r="E3405" s="23" t="s">
        <v>25</v>
      </c>
      <c r="F3405" s="23" t="s">
        <v>14</v>
      </c>
      <c r="G3405" s="23" t="s">
        <v>15</v>
      </c>
      <c r="H3405" s="23" t="s">
        <v>22</v>
      </c>
      <c r="I3405" s="23">
        <v>4</v>
      </c>
      <c r="J3405" s="23">
        <v>0</v>
      </c>
      <c r="K3405" s="23"/>
      <c r="L3405" s="23" t="s">
        <v>44</v>
      </c>
      <c r="M3405" s="25">
        <v>4.3</v>
      </c>
      <c r="N3405">
        <f t="shared" si="53"/>
        <v>0</v>
      </c>
    </row>
    <row r="3406" spans="1:14" x14ac:dyDescent="0.35">
      <c r="A3406" s="6" t="s">
        <v>3476</v>
      </c>
      <c r="B3406" s="19" t="s">
        <v>57</v>
      </c>
      <c r="C3406" s="19">
        <v>10</v>
      </c>
      <c r="D3406" s="20">
        <v>45946</v>
      </c>
      <c r="E3406" s="19" t="s">
        <v>25</v>
      </c>
      <c r="F3406" s="19" t="s">
        <v>59</v>
      </c>
      <c r="G3406" s="19" t="s">
        <v>31</v>
      </c>
      <c r="H3406" s="19" t="s">
        <v>22</v>
      </c>
      <c r="I3406" s="19">
        <v>72</v>
      </c>
      <c r="J3406" s="19">
        <v>0</v>
      </c>
      <c r="K3406" s="19">
        <v>1</v>
      </c>
      <c r="L3406" s="19" t="s">
        <v>33</v>
      </c>
      <c r="M3406" s="21">
        <v>13</v>
      </c>
      <c r="N3406">
        <f t="shared" si="53"/>
        <v>1</v>
      </c>
    </row>
    <row r="3407" spans="1:14" x14ac:dyDescent="0.35">
      <c r="A3407" s="22" t="s">
        <v>3477</v>
      </c>
      <c r="B3407" s="23" t="s">
        <v>53</v>
      </c>
      <c r="C3407" s="23">
        <v>6</v>
      </c>
      <c r="D3407" s="24">
        <v>45836</v>
      </c>
      <c r="E3407" s="23" t="s">
        <v>8364</v>
      </c>
      <c r="F3407" s="23" t="s">
        <v>59</v>
      </c>
      <c r="G3407" s="23" t="s">
        <v>31</v>
      </c>
      <c r="H3407" s="23" t="s">
        <v>22</v>
      </c>
      <c r="I3407" s="23">
        <v>24</v>
      </c>
      <c r="J3407" s="23">
        <v>1</v>
      </c>
      <c r="K3407" s="23">
        <v>2</v>
      </c>
      <c r="L3407" s="23" t="s">
        <v>55</v>
      </c>
      <c r="M3407" s="25">
        <v>19.7</v>
      </c>
      <c r="N3407">
        <f t="shared" si="53"/>
        <v>1</v>
      </c>
    </row>
    <row r="3408" spans="1:14" x14ac:dyDescent="0.35">
      <c r="A3408" s="6" t="s">
        <v>3478</v>
      </c>
      <c r="B3408" s="19" t="s">
        <v>181</v>
      </c>
      <c r="C3408" s="19">
        <v>5</v>
      </c>
      <c r="D3408" s="20">
        <v>45779</v>
      </c>
      <c r="E3408" s="19" t="s">
        <v>13</v>
      </c>
      <c r="F3408" s="19" t="s">
        <v>14</v>
      </c>
      <c r="G3408" s="19" t="s">
        <v>21</v>
      </c>
      <c r="H3408" s="19" t="s">
        <v>22</v>
      </c>
      <c r="I3408" s="19">
        <v>72</v>
      </c>
      <c r="J3408" s="19">
        <v>0</v>
      </c>
      <c r="K3408" s="19"/>
      <c r="L3408" s="19" t="s">
        <v>8363</v>
      </c>
      <c r="M3408" s="21">
        <v>22.6</v>
      </c>
      <c r="N3408">
        <f t="shared" si="53"/>
        <v>1</v>
      </c>
    </row>
    <row r="3409" spans="1:14" x14ac:dyDescent="0.35">
      <c r="A3409" s="22" t="s">
        <v>3479</v>
      </c>
      <c r="B3409" s="23" t="s">
        <v>18</v>
      </c>
      <c r="C3409" s="23">
        <v>8</v>
      </c>
      <c r="D3409" s="24">
        <v>45884</v>
      </c>
      <c r="E3409" s="23" t="s">
        <v>13</v>
      </c>
      <c r="F3409" s="23" t="s">
        <v>26</v>
      </c>
      <c r="G3409" s="23" t="s">
        <v>21</v>
      </c>
      <c r="H3409" s="23" t="s">
        <v>16</v>
      </c>
      <c r="I3409" s="23">
        <v>48</v>
      </c>
      <c r="J3409" s="23">
        <v>0</v>
      </c>
      <c r="K3409" s="23">
        <v>5</v>
      </c>
      <c r="L3409" s="23" t="s">
        <v>8363</v>
      </c>
      <c r="M3409" s="25">
        <v>3.8</v>
      </c>
      <c r="N3409">
        <f t="shared" si="53"/>
        <v>1</v>
      </c>
    </row>
    <row r="3410" spans="1:14" x14ac:dyDescent="0.35">
      <c r="A3410" s="6" t="s">
        <v>3480</v>
      </c>
      <c r="B3410" s="19" t="s">
        <v>47</v>
      </c>
      <c r="C3410" s="19">
        <v>12</v>
      </c>
      <c r="D3410" s="20">
        <v>45998</v>
      </c>
      <c r="E3410" s="19" t="s">
        <v>13</v>
      </c>
      <c r="F3410" s="19" t="s">
        <v>14</v>
      </c>
      <c r="G3410" s="19" t="s">
        <v>27</v>
      </c>
      <c r="H3410" s="19" t="s">
        <v>32</v>
      </c>
      <c r="I3410" s="19">
        <v>72</v>
      </c>
      <c r="J3410" s="19">
        <v>0</v>
      </c>
      <c r="K3410" s="19">
        <v>5</v>
      </c>
      <c r="L3410" s="19" t="s">
        <v>17</v>
      </c>
      <c r="M3410" s="21">
        <v>8.9</v>
      </c>
      <c r="N3410">
        <f t="shared" si="53"/>
        <v>1</v>
      </c>
    </row>
    <row r="3411" spans="1:14" x14ac:dyDescent="0.35">
      <c r="A3411" s="22" t="s">
        <v>3481</v>
      </c>
      <c r="B3411" s="23" t="s">
        <v>99</v>
      </c>
      <c r="C3411" s="23">
        <v>7</v>
      </c>
      <c r="D3411" s="24">
        <v>45847</v>
      </c>
      <c r="E3411" s="23" t="s">
        <v>36</v>
      </c>
      <c r="F3411" s="23" t="s">
        <v>8364</v>
      </c>
      <c r="G3411" s="23" t="s">
        <v>27</v>
      </c>
      <c r="H3411" s="23" t="s">
        <v>32</v>
      </c>
      <c r="I3411" s="23">
        <v>24</v>
      </c>
      <c r="J3411" s="23">
        <v>0</v>
      </c>
      <c r="K3411" s="23">
        <v>2</v>
      </c>
      <c r="L3411" s="23" t="s">
        <v>17</v>
      </c>
      <c r="M3411" s="25">
        <v>0.7</v>
      </c>
      <c r="N3411">
        <f t="shared" si="53"/>
        <v>1</v>
      </c>
    </row>
    <row r="3412" spans="1:14" x14ac:dyDescent="0.35">
      <c r="A3412" s="6" t="s">
        <v>3482</v>
      </c>
      <c r="B3412" s="19" t="s">
        <v>104</v>
      </c>
      <c r="C3412" s="19">
        <v>10</v>
      </c>
      <c r="D3412" s="20">
        <v>45954</v>
      </c>
      <c r="E3412" s="19" t="s">
        <v>8364</v>
      </c>
      <c r="F3412" s="19" t="s">
        <v>40</v>
      </c>
      <c r="G3412" s="19" t="s">
        <v>27</v>
      </c>
      <c r="H3412" s="19" t="s">
        <v>32</v>
      </c>
      <c r="I3412" s="19">
        <v>72</v>
      </c>
      <c r="J3412" s="19">
        <v>0</v>
      </c>
      <c r="K3412" s="19">
        <v>5</v>
      </c>
      <c r="L3412" s="19" t="s">
        <v>8363</v>
      </c>
      <c r="M3412" s="21"/>
      <c r="N3412">
        <f t="shared" si="53"/>
        <v>1</v>
      </c>
    </row>
    <row r="3413" spans="1:14" x14ac:dyDescent="0.35">
      <c r="A3413" s="22" t="s">
        <v>3483</v>
      </c>
      <c r="B3413" s="23" t="s">
        <v>69</v>
      </c>
      <c r="C3413" s="23">
        <v>8</v>
      </c>
      <c r="D3413" s="24">
        <v>45888</v>
      </c>
      <c r="E3413" s="23" t="s">
        <v>25</v>
      </c>
      <c r="F3413" s="23" t="s">
        <v>43</v>
      </c>
      <c r="G3413" s="23" t="s">
        <v>31</v>
      </c>
      <c r="H3413" s="23" t="s">
        <v>22</v>
      </c>
      <c r="I3413" s="23">
        <v>8</v>
      </c>
      <c r="J3413" s="23">
        <v>0</v>
      </c>
      <c r="K3413" s="23">
        <v>5</v>
      </c>
      <c r="L3413" s="23" t="s">
        <v>8363</v>
      </c>
      <c r="M3413" s="25">
        <v>4.0999999999999996</v>
      </c>
      <c r="N3413">
        <f t="shared" si="53"/>
        <v>1</v>
      </c>
    </row>
    <row r="3414" spans="1:14" x14ac:dyDescent="0.35">
      <c r="A3414" s="6" t="s">
        <v>3484</v>
      </c>
      <c r="B3414" s="19" t="s">
        <v>158</v>
      </c>
      <c r="C3414" s="19">
        <v>1</v>
      </c>
      <c r="D3414" s="20">
        <v>45675</v>
      </c>
      <c r="E3414" s="19" t="s">
        <v>36</v>
      </c>
      <c r="F3414" s="19" t="s">
        <v>14</v>
      </c>
      <c r="G3414" s="19" t="s">
        <v>15</v>
      </c>
      <c r="H3414" s="19" t="s">
        <v>16</v>
      </c>
      <c r="I3414" s="19">
        <v>4</v>
      </c>
      <c r="J3414" s="19">
        <v>0</v>
      </c>
      <c r="K3414" s="19">
        <v>5</v>
      </c>
      <c r="L3414" s="19" t="s">
        <v>38</v>
      </c>
      <c r="M3414" s="21">
        <v>3.9</v>
      </c>
      <c r="N3414">
        <f t="shared" si="53"/>
        <v>1</v>
      </c>
    </row>
    <row r="3415" spans="1:14" x14ac:dyDescent="0.35">
      <c r="A3415" s="22" t="s">
        <v>3485</v>
      </c>
      <c r="B3415" s="23" t="s">
        <v>69</v>
      </c>
      <c r="C3415" s="23">
        <v>11</v>
      </c>
      <c r="D3415" s="24">
        <v>45988</v>
      </c>
      <c r="E3415" s="23" t="s">
        <v>36</v>
      </c>
      <c r="F3415" s="23" t="s">
        <v>14</v>
      </c>
      <c r="G3415" s="23" t="s">
        <v>15</v>
      </c>
      <c r="H3415" s="23" t="s">
        <v>22</v>
      </c>
      <c r="I3415" s="23">
        <v>24</v>
      </c>
      <c r="J3415" s="23">
        <v>0</v>
      </c>
      <c r="K3415" s="23">
        <v>5</v>
      </c>
      <c r="L3415" s="23" t="s">
        <v>75</v>
      </c>
      <c r="M3415" s="25">
        <v>0.2</v>
      </c>
      <c r="N3415">
        <f t="shared" si="53"/>
        <v>1</v>
      </c>
    </row>
    <row r="3416" spans="1:14" x14ac:dyDescent="0.35">
      <c r="A3416" s="6" t="s">
        <v>3486</v>
      </c>
      <c r="B3416" s="19" t="s">
        <v>18</v>
      </c>
      <c r="C3416" s="19">
        <v>10</v>
      </c>
      <c r="D3416" s="20">
        <v>45957</v>
      </c>
      <c r="E3416" s="19" t="s">
        <v>8364</v>
      </c>
      <c r="F3416" s="19" t="s">
        <v>14</v>
      </c>
      <c r="G3416" s="19" t="s">
        <v>31</v>
      </c>
      <c r="H3416" s="19" t="s">
        <v>32</v>
      </c>
      <c r="I3416" s="19">
        <v>4</v>
      </c>
      <c r="J3416" s="19">
        <v>0</v>
      </c>
      <c r="K3416" s="19">
        <v>4</v>
      </c>
      <c r="L3416" s="19" t="s">
        <v>62</v>
      </c>
      <c r="M3416" s="21">
        <v>10.7</v>
      </c>
      <c r="N3416">
        <f t="shared" si="53"/>
        <v>0</v>
      </c>
    </row>
    <row r="3417" spans="1:14" x14ac:dyDescent="0.35">
      <c r="A3417" s="22" t="s">
        <v>3487</v>
      </c>
      <c r="B3417" s="23" t="s">
        <v>65</v>
      </c>
      <c r="C3417" s="23"/>
      <c r="D3417" s="24"/>
      <c r="E3417" s="23" t="s">
        <v>13</v>
      </c>
      <c r="F3417" s="23" t="s">
        <v>43</v>
      </c>
      <c r="G3417" s="23" t="s">
        <v>21</v>
      </c>
      <c r="H3417" s="23" t="s">
        <v>22</v>
      </c>
      <c r="I3417" s="23">
        <v>8</v>
      </c>
      <c r="J3417" s="23">
        <v>0</v>
      </c>
      <c r="K3417" s="23">
        <v>3</v>
      </c>
      <c r="L3417" s="23" t="s">
        <v>8363</v>
      </c>
      <c r="M3417" s="25">
        <v>21.2</v>
      </c>
      <c r="N3417">
        <f t="shared" si="53"/>
        <v>0</v>
      </c>
    </row>
    <row r="3418" spans="1:14" x14ac:dyDescent="0.35">
      <c r="A3418" s="6" t="s">
        <v>3488</v>
      </c>
      <c r="B3418" s="19" t="s">
        <v>146</v>
      </c>
      <c r="C3418" s="19">
        <v>8</v>
      </c>
      <c r="D3418" s="20">
        <v>45870</v>
      </c>
      <c r="E3418" s="19" t="s">
        <v>13</v>
      </c>
      <c r="F3418" s="19" t="s">
        <v>14</v>
      </c>
      <c r="G3418" s="19" t="s">
        <v>21</v>
      </c>
      <c r="H3418" s="19" t="s">
        <v>22</v>
      </c>
      <c r="I3418" s="19">
        <v>72</v>
      </c>
      <c r="J3418" s="19">
        <v>0</v>
      </c>
      <c r="K3418" s="19">
        <v>1</v>
      </c>
      <c r="L3418" s="19" t="s">
        <v>38</v>
      </c>
      <c r="M3418" s="21">
        <v>4.3</v>
      </c>
      <c r="N3418">
        <f t="shared" si="53"/>
        <v>1</v>
      </c>
    </row>
    <row r="3419" spans="1:14" x14ac:dyDescent="0.35">
      <c r="A3419" s="22" t="s">
        <v>3489</v>
      </c>
      <c r="B3419" s="23" t="s">
        <v>47</v>
      </c>
      <c r="C3419" s="23">
        <v>1</v>
      </c>
      <c r="D3419" s="24">
        <v>45668</v>
      </c>
      <c r="E3419" s="23" t="s">
        <v>13</v>
      </c>
      <c r="F3419" s="23" t="s">
        <v>43</v>
      </c>
      <c r="G3419" s="23" t="s">
        <v>21</v>
      </c>
      <c r="H3419" s="23" t="s">
        <v>22</v>
      </c>
      <c r="I3419" s="23">
        <v>72</v>
      </c>
      <c r="J3419" s="23">
        <v>0</v>
      </c>
      <c r="K3419" s="23">
        <v>4</v>
      </c>
      <c r="L3419" s="23" t="s">
        <v>33</v>
      </c>
      <c r="M3419" s="25">
        <v>0.6</v>
      </c>
      <c r="N3419">
        <f t="shared" si="53"/>
        <v>1</v>
      </c>
    </row>
    <row r="3420" spans="1:14" x14ac:dyDescent="0.35">
      <c r="A3420" s="6" t="s">
        <v>3490</v>
      </c>
      <c r="B3420" s="19" t="s">
        <v>39</v>
      </c>
      <c r="C3420" s="19">
        <v>6</v>
      </c>
      <c r="D3420" s="20">
        <v>45817</v>
      </c>
      <c r="E3420" s="19" t="s">
        <v>68</v>
      </c>
      <c r="F3420" s="19" t="s">
        <v>37</v>
      </c>
      <c r="G3420" s="19" t="s">
        <v>27</v>
      </c>
      <c r="H3420" s="19" t="s">
        <v>8364</v>
      </c>
      <c r="I3420" s="19">
        <v>48</v>
      </c>
      <c r="J3420" s="19">
        <v>0</v>
      </c>
      <c r="K3420" s="19">
        <v>4</v>
      </c>
      <c r="L3420" s="19" t="s">
        <v>8363</v>
      </c>
      <c r="M3420" s="21">
        <v>3.3</v>
      </c>
      <c r="N3420">
        <f t="shared" si="53"/>
        <v>1</v>
      </c>
    </row>
    <row r="3421" spans="1:14" x14ac:dyDescent="0.35">
      <c r="A3421" s="22" t="s">
        <v>3491</v>
      </c>
      <c r="B3421" s="23" t="s">
        <v>126</v>
      </c>
      <c r="C3421" s="23">
        <v>8</v>
      </c>
      <c r="D3421" s="24">
        <v>45895</v>
      </c>
      <c r="E3421" s="23" t="s">
        <v>8364</v>
      </c>
      <c r="F3421" s="23" t="s">
        <v>26</v>
      </c>
      <c r="G3421" s="23" t="s">
        <v>27</v>
      </c>
      <c r="H3421" s="23" t="s">
        <v>28</v>
      </c>
      <c r="I3421" s="23">
        <v>24</v>
      </c>
      <c r="J3421" s="23">
        <v>0</v>
      </c>
      <c r="K3421" s="23">
        <v>5</v>
      </c>
      <c r="L3421" s="23" t="s">
        <v>75</v>
      </c>
      <c r="M3421" s="25">
        <v>6.5</v>
      </c>
      <c r="N3421">
        <f t="shared" si="53"/>
        <v>1</v>
      </c>
    </row>
    <row r="3422" spans="1:14" x14ac:dyDescent="0.35">
      <c r="A3422" s="6" t="s">
        <v>3492</v>
      </c>
      <c r="B3422" s="19" t="s">
        <v>53</v>
      </c>
      <c r="C3422" s="19">
        <v>4</v>
      </c>
      <c r="D3422" s="20">
        <v>45776</v>
      </c>
      <c r="E3422" s="19" t="s">
        <v>36</v>
      </c>
      <c r="F3422" s="19" t="s">
        <v>26</v>
      </c>
      <c r="G3422" s="19" t="s">
        <v>15</v>
      </c>
      <c r="H3422" s="19" t="s">
        <v>22</v>
      </c>
      <c r="I3422" s="19">
        <v>8</v>
      </c>
      <c r="J3422" s="19">
        <v>0</v>
      </c>
      <c r="K3422" s="19"/>
      <c r="L3422" s="19" t="s">
        <v>17</v>
      </c>
      <c r="M3422" s="21">
        <v>8.9</v>
      </c>
      <c r="N3422">
        <f t="shared" si="53"/>
        <v>0</v>
      </c>
    </row>
    <row r="3423" spans="1:14" x14ac:dyDescent="0.35">
      <c r="A3423" s="22" t="s">
        <v>3493</v>
      </c>
      <c r="B3423" s="23" t="s">
        <v>181</v>
      </c>
      <c r="C3423" s="23">
        <v>10</v>
      </c>
      <c r="D3423" s="24">
        <v>45961</v>
      </c>
      <c r="E3423" s="23" t="s">
        <v>13</v>
      </c>
      <c r="F3423" s="23" t="s">
        <v>43</v>
      </c>
      <c r="G3423" s="23" t="s">
        <v>31</v>
      </c>
      <c r="H3423" s="23" t="s">
        <v>22</v>
      </c>
      <c r="I3423" s="23">
        <v>8</v>
      </c>
      <c r="J3423" s="23">
        <v>0</v>
      </c>
      <c r="K3423" s="23"/>
      <c r="L3423" s="23" t="s">
        <v>44</v>
      </c>
      <c r="M3423" s="25">
        <v>17.899999999999999</v>
      </c>
      <c r="N3423">
        <f t="shared" si="53"/>
        <v>0</v>
      </c>
    </row>
    <row r="3424" spans="1:14" x14ac:dyDescent="0.35">
      <c r="A3424" s="6" t="s">
        <v>3494</v>
      </c>
      <c r="B3424" s="19" t="s">
        <v>92</v>
      </c>
      <c r="C3424" s="19">
        <v>7</v>
      </c>
      <c r="D3424" s="20">
        <v>45853</v>
      </c>
      <c r="E3424" s="19" t="s">
        <v>25</v>
      </c>
      <c r="F3424" s="19" t="s">
        <v>14</v>
      </c>
      <c r="G3424" s="19" t="s">
        <v>31</v>
      </c>
      <c r="H3424" s="19" t="s">
        <v>16</v>
      </c>
      <c r="I3424" s="19">
        <v>24</v>
      </c>
      <c r="J3424" s="19"/>
      <c r="K3424" s="19">
        <v>4</v>
      </c>
      <c r="L3424" s="19" t="s">
        <v>44</v>
      </c>
      <c r="M3424" s="21">
        <v>9.4</v>
      </c>
      <c r="N3424">
        <f t="shared" si="53"/>
        <v>1</v>
      </c>
    </row>
    <row r="3425" spans="1:14" x14ac:dyDescent="0.35">
      <c r="A3425" s="22" t="s">
        <v>3495</v>
      </c>
      <c r="B3425" s="23" t="s">
        <v>78</v>
      </c>
      <c r="C3425" s="23">
        <v>11</v>
      </c>
      <c r="D3425" s="24">
        <v>45983</v>
      </c>
      <c r="E3425" s="23" t="s">
        <v>20</v>
      </c>
      <c r="F3425" s="23" t="s">
        <v>26</v>
      </c>
      <c r="G3425" s="23" t="s">
        <v>31</v>
      </c>
      <c r="H3425" s="23" t="s">
        <v>22</v>
      </c>
      <c r="I3425" s="23">
        <v>24</v>
      </c>
      <c r="J3425" s="23">
        <v>0</v>
      </c>
      <c r="K3425" s="23">
        <v>4</v>
      </c>
      <c r="L3425" s="23" t="s">
        <v>8363</v>
      </c>
      <c r="M3425" s="25">
        <v>20</v>
      </c>
      <c r="N3425">
        <f t="shared" si="53"/>
        <v>1</v>
      </c>
    </row>
    <row r="3426" spans="1:14" x14ac:dyDescent="0.35">
      <c r="A3426" s="6" t="s">
        <v>3496</v>
      </c>
      <c r="B3426" s="19" t="s">
        <v>51</v>
      </c>
      <c r="C3426" s="19">
        <v>8</v>
      </c>
      <c r="D3426" s="20">
        <v>45873</v>
      </c>
      <c r="E3426" s="19" t="s">
        <v>36</v>
      </c>
      <c r="F3426" s="19" t="s">
        <v>8364</v>
      </c>
      <c r="G3426" s="19" t="s">
        <v>27</v>
      </c>
      <c r="H3426" s="19" t="s">
        <v>8364</v>
      </c>
      <c r="I3426" s="19">
        <v>8</v>
      </c>
      <c r="J3426" s="19">
        <v>0</v>
      </c>
      <c r="K3426" s="19">
        <v>2</v>
      </c>
      <c r="L3426" s="19" t="s">
        <v>8363</v>
      </c>
      <c r="M3426" s="21">
        <v>3.8</v>
      </c>
      <c r="N3426">
        <f t="shared" si="53"/>
        <v>1</v>
      </c>
    </row>
    <row r="3427" spans="1:14" x14ac:dyDescent="0.35">
      <c r="A3427" s="22" t="s">
        <v>3497</v>
      </c>
      <c r="B3427" s="23" t="s">
        <v>87</v>
      </c>
      <c r="C3427" s="23">
        <v>9</v>
      </c>
      <c r="D3427" s="24">
        <v>45925</v>
      </c>
      <c r="E3427" s="23" t="s">
        <v>13</v>
      </c>
      <c r="F3427" s="23" t="s">
        <v>14</v>
      </c>
      <c r="G3427" s="23" t="s">
        <v>21</v>
      </c>
      <c r="H3427" s="23" t="s">
        <v>8364</v>
      </c>
      <c r="I3427" s="23">
        <v>8</v>
      </c>
      <c r="J3427" s="23">
        <v>0</v>
      </c>
      <c r="K3427" s="23">
        <v>5</v>
      </c>
      <c r="L3427" s="23" t="s">
        <v>75</v>
      </c>
      <c r="M3427" s="25">
        <v>14.6</v>
      </c>
      <c r="N3427">
        <f t="shared" si="53"/>
        <v>0</v>
      </c>
    </row>
    <row r="3428" spans="1:14" x14ac:dyDescent="0.35">
      <c r="A3428" s="6" t="s">
        <v>3498</v>
      </c>
      <c r="B3428" s="19" t="s">
        <v>78</v>
      </c>
      <c r="C3428" s="19">
        <v>5</v>
      </c>
      <c r="D3428" s="20">
        <v>45786</v>
      </c>
      <c r="E3428" s="19" t="s">
        <v>13</v>
      </c>
      <c r="F3428" s="19" t="s">
        <v>59</v>
      </c>
      <c r="G3428" s="19" t="s">
        <v>27</v>
      </c>
      <c r="H3428" s="19" t="s">
        <v>32</v>
      </c>
      <c r="I3428" s="19">
        <v>72</v>
      </c>
      <c r="J3428" s="19">
        <v>0</v>
      </c>
      <c r="K3428" s="19">
        <v>2</v>
      </c>
      <c r="L3428" s="19" t="s">
        <v>55</v>
      </c>
      <c r="M3428" s="21">
        <v>16.5</v>
      </c>
      <c r="N3428">
        <f t="shared" si="53"/>
        <v>1</v>
      </c>
    </row>
    <row r="3429" spans="1:14" x14ac:dyDescent="0.35">
      <c r="A3429" s="22" t="s">
        <v>3499</v>
      </c>
      <c r="B3429" s="23" t="s">
        <v>101</v>
      </c>
      <c r="C3429" s="23">
        <v>3</v>
      </c>
      <c r="D3429" s="24">
        <v>45720</v>
      </c>
      <c r="E3429" s="23" t="s">
        <v>8364</v>
      </c>
      <c r="F3429" s="23" t="s">
        <v>40</v>
      </c>
      <c r="G3429" s="23" t="s">
        <v>21</v>
      </c>
      <c r="H3429" s="23" t="s">
        <v>8364</v>
      </c>
      <c r="I3429" s="23">
        <v>8</v>
      </c>
      <c r="J3429" s="23">
        <v>3</v>
      </c>
      <c r="K3429" s="23">
        <v>4</v>
      </c>
      <c r="L3429" s="23" t="s">
        <v>17</v>
      </c>
      <c r="M3429" s="25">
        <v>4.4000000000000004</v>
      </c>
      <c r="N3429">
        <f t="shared" si="53"/>
        <v>1</v>
      </c>
    </row>
    <row r="3430" spans="1:14" x14ac:dyDescent="0.35">
      <c r="A3430" s="6" t="s">
        <v>3500</v>
      </c>
      <c r="B3430" s="19" t="s">
        <v>253</v>
      </c>
      <c r="C3430" s="19">
        <v>2</v>
      </c>
      <c r="D3430" s="20">
        <v>45706</v>
      </c>
      <c r="E3430" s="19" t="s">
        <v>25</v>
      </c>
      <c r="F3430" s="19" t="s">
        <v>14</v>
      </c>
      <c r="G3430" s="19" t="s">
        <v>15</v>
      </c>
      <c r="H3430" s="19" t="s">
        <v>22</v>
      </c>
      <c r="I3430" s="19">
        <v>8</v>
      </c>
      <c r="J3430" s="19">
        <v>0</v>
      </c>
      <c r="K3430" s="19">
        <v>4</v>
      </c>
      <c r="L3430" s="19" t="s">
        <v>75</v>
      </c>
      <c r="M3430" s="21">
        <v>14.4</v>
      </c>
      <c r="N3430">
        <f t="shared" si="53"/>
        <v>0</v>
      </c>
    </row>
    <row r="3431" spans="1:14" x14ac:dyDescent="0.35">
      <c r="A3431" s="22" t="s">
        <v>3501</v>
      </c>
      <c r="B3431" s="23" t="s">
        <v>85</v>
      </c>
      <c r="C3431" s="23">
        <v>9</v>
      </c>
      <c r="D3431" s="24">
        <v>45929</v>
      </c>
      <c r="E3431" s="23" t="s">
        <v>20</v>
      </c>
      <c r="F3431" s="23" t="s">
        <v>43</v>
      </c>
      <c r="G3431" s="23" t="s">
        <v>21</v>
      </c>
      <c r="H3431" s="23" t="s">
        <v>28</v>
      </c>
      <c r="I3431" s="23">
        <v>48</v>
      </c>
      <c r="J3431" s="23">
        <v>2</v>
      </c>
      <c r="K3431" s="23">
        <v>5</v>
      </c>
      <c r="L3431" s="23" t="s">
        <v>44</v>
      </c>
      <c r="M3431" s="25">
        <v>4.3</v>
      </c>
      <c r="N3431">
        <f t="shared" si="53"/>
        <v>1</v>
      </c>
    </row>
    <row r="3432" spans="1:14" x14ac:dyDescent="0.35">
      <c r="A3432" s="6" t="s">
        <v>3502</v>
      </c>
      <c r="B3432" s="19" t="s">
        <v>57</v>
      </c>
      <c r="C3432" s="19">
        <v>5</v>
      </c>
      <c r="D3432" s="20">
        <v>45790</v>
      </c>
      <c r="E3432" s="19" t="s">
        <v>20</v>
      </c>
      <c r="F3432" s="19" t="s">
        <v>40</v>
      </c>
      <c r="G3432" s="19" t="s">
        <v>27</v>
      </c>
      <c r="H3432" s="19" t="s">
        <v>28</v>
      </c>
      <c r="I3432" s="19">
        <v>24</v>
      </c>
      <c r="J3432" s="19">
        <v>0</v>
      </c>
      <c r="K3432" s="19">
        <v>4</v>
      </c>
      <c r="L3432" s="19" t="s">
        <v>8363</v>
      </c>
      <c r="M3432" s="21">
        <v>13.3</v>
      </c>
      <c r="N3432">
        <f t="shared" si="53"/>
        <v>1</v>
      </c>
    </row>
    <row r="3433" spans="1:14" x14ac:dyDescent="0.35">
      <c r="A3433" s="22" t="s">
        <v>3503</v>
      </c>
      <c r="B3433" s="23" t="s">
        <v>39</v>
      </c>
      <c r="C3433" s="23">
        <v>12</v>
      </c>
      <c r="D3433" s="24">
        <v>45997</v>
      </c>
      <c r="E3433" s="23" t="s">
        <v>20</v>
      </c>
      <c r="F3433" s="23" t="s">
        <v>40</v>
      </c>
      <c r="G3433" s="23" t="s">
        <v>31</v>
      </c>
      <c r="H3433" s="23" t="s">
        <v>8364</v>
      </c>
      <c r="I3433" s="23">
        <v>8</v>
      </c>
      <c r="J3433" s="23">
        <v>0</v>
      </c>
      <c r="K3433" s="23">
        <v>5</v>
      </c>
      <c r="L3433" s="23" t="s">
        <v>17</v>
      </c>
      <c r="M3433" s="25">
        <v>3</v>
      </c>
      <c r="N3433">
        <f t="shared" si="53"/>
        <v>1</v>
      </c>
    </row>
    <row r="3434" spans="1:14" x14ac:dyDescent="0.35">
      <c r="A3434" s="6" t="s">
        <v>3504</v>
      </c>
      <c r="B3434" s="19" t="s">
        <v>65</v>
      </c>
      <c r="C3434" s="19">
        <v>9</v>
      </c>
      <c r="D3434" s="20">
        <v>45902</v>
      </c>
      <c r="E3434" s="19" t="s">
        <v>13</v>
      </c>
      <c r="F3434" s="19" t="s">
        <v>14</v>
      </c>
      <c r="G3434" s="19" t="s">
        <v>15</v>
      </c>
      <c r="H3434" s="19" t="s">
        <v>16</v>
      </c>
      <c r="I3434" s="19">
        <v>24</v>
      </c>
      <c r="J3434" s="19">
        <v>2</v>
      </c>
      <c r="K3434" s="19">
        <v>5</v>
      </c>
      <c r="L3434" s="19" t="s">
        <v>17</v>
      </c>
      <c r="M3434" s="21">
        <v>13.9</v>
      </c>
      <c r="N3434">
        <f t="shared" si="53"/>
        <v>1</v>
      </c>
    </row>
    <row r="3435" spans="1:14" x14ac:dyDescent="0.35">
      <c r="A3435" s="22" t="s">
        <v>3505</v>
      </c>
      <c r="B3435" s="23" t="s">
        <v>99</v>
      </c>
      <c r="C3435" s="23">
        <v>10</v>
      </c>
      <c r="D3435" s="24">
        <v>45943</v>
      </c>
      <c r="E3435" s="23" t="s">
        <v>20</v>
      </c>
      <c r="F3435" s="23" t="s">
        <v>43</v>
      </c>
      <c r="G3435" s="23" t="s">
        <v>15</v>
      </c>
      <c r="H3435" s="23" t="s">
        <v>32</v>
      </c>
      <c r="I3435" s="23">
        <v>72</v>
      </c>
      <c r="J3435" s="23">
        <v>0</v>
      </c>
      <c r="K3435" s="23">
        <v>5</v>
      </c>
      <c r="L3435" s="23" t="s">
        <v>8363</v>
      </c>
      <c r="M3435" s="25">
        <v>3.3</v>
      </c>
      <c r="N3435">
        <f t="shared" si="53"/>
        <v>1</v>
      </c>
    </row>
    <row r="3436" spans="1:14" x14ac:dyDescent="0.35">
      <c r="A3436" s="6" t="s">
        <v>3506</v>
      </c>
      <c r="B3436" s="19" t="s">
        <v>81</v>
      </c>
      <c r="C3436" s="19">
        <v>10</v>
      </c>
      <c r="D3436" s="20">
        <v>45945</v>
      </c>
      <c r="E3436" s="19" t="s">
        <v>13</v>
      </c>
      <c r="F3436" s="19" t="s">
        <v>40</v>
      </c>
      <c r="G3436" s="19" t="s">
        <v>21</v>
      </c>
      <c r="H3436" s="19" t="s">
        <v>32</v>
      </c>
      <c r="I3436" s="19">
        <v>4</v>
      </c>
      <c r="J3436" s="19">
        <v>0</v>
      </c>
      <c r="K3436" s="19">
        <v>4</v>
      </c>
      <c r="L3436" s="19" t="s">
        <v>33</v>
      </c>
      <c r="M3436" s="21">
        <v>5.7</v>
      </c>
      <c r="N3436">
        <f t="shared" si="53"/>
        <v>0</v>
      </c>
    </row>
    <row r="3437" spans="1:14" x14ac:dyDescent="0.35">
      <c r="A3437" s="22" t="s">
        <v>3507</v>
      </c>
      <c r="B3437" s="23" t="s">
        <v>23</v>
      </c>
      <c r="C3437" s="23">
        <v>10</v>
      </c>
      <c r="D3437" s="24">
        <v>45937</v>
      </c>
      <c r="E3437" s="23" t="s">
        <v>25</v>
      </c>
      <c r="F3437" s="23" t="s">
        <v>14</v>
      </c>
      <c r="G3437" s="23" t="s">
        <v>27</v>
      </c>
      <c r="H3437" s="23" t="s">
        <v>28</v>
      </c>
      <c r="I3437" s="23">
        <v>48</v>
      </c>
      <c r="J3437" s="23">
        <v>1</v>
      </c>
      <c r="K3437" s="23">
        <v>5</v>
      </c>
      <c r="L3437" s="23" t="s">
        <v>8363</v>
      </c>
      <c r="M3437" s="25">
        <v>11.2</v>
      </c>
      <c r="N3437">
        <f t="shared" si="53"/>
        <v>1</v>
      </c>
    </row>
    <row r="3438" spans="1:14" x14ac:dyDescent="0.35">
      <c r="A3438" s="6" t="s">
        <v>3508</v>
      </c>
      <c r="B3438" s="19" t="s">
        <v>143</v>
      </c>
      <c r="C3438" s="19">
        <v>8</v>
      </c>
      <c r="D3438" s="20">
        <v>45871</v>
      </c>
      <c r="E3438" s="19" t="s">
        <v>36</v>
      </c>
      <c r="F3438" s="19" t="s">
        <v>37</v>
      </c>
      <c r="G3438" s="19" t="s">
        <v>31</v>
      </c>
      <c r="H3438" s="19" t="s">
        <v>16</v>
      </c>
      <c r="I3438" s="19">
        <v>24</v>
      </c>
      <c r="J3438" s="19">
        <v>0</v>
      </c>
      <c r="K3438" s="19">
        <v>4</v>
      </c>
      <c r="L3438" s="19" t="s">
        <v>17</v>
      </c>
      <c r="M3438" s="21">
        <v>7.1</v>
      </c>
      <c r="N3438">
        <f t="shared" si="53"/>
        <v>1</v>
      </c>
    </row>
    <row r="3439" spans="1:14" x14ac:dyDescent="0.35">
      <c r="A3439" s="22" t="s">
        <v>3509</v>
      </c>
      <c r="B3439" s="23" t="s">
        <v>49</v>
      </c>
      <c r="C3439" s="23">
        <v>4</v>
      </c>
      <c r="D3439" s="24">
        <v>45750</v>
      </c>
      <c r="E3439" s="23" t="s">
        <v>20</v>
      </c>
      <c r="F3439" s="23" t="s">
        <v>14</v>
      </c>
      <c r="G3439" s="23" t="s">
        <v>21</v>
      </c>
      <c r="H3439" s="23" t="s">
        <v>22</v>
      </c>
      <c r="I3439" s="23">
        <v>24</v>
      </c>
      <c r="J3439" s="23">
        <v>0</v>
      </c>
      <c r="K3439" s="23">
        <v>2</v>
      </c>
      <c r="L3439" s="23" t="s">
        <v>8363</v>
      </c>
      <c r="M3439" s="25">
        <v>2.1</v>
      </c>
      <c r="N3439">
        <f t="shared" si="53"/>
        <v>1</v>
      </c>
    </row>
    <row r="3440" spans="1:14" x14ac:dyDescent="0.35">
      <c r="A3440" s="6" t="s">
        <v>3510</v>
      </c>
      <c r="B3440" s="19" t="s">
        <v>101</v>
      </c>
      <c r="C3440" s="19"/>
      <c r="D3440" s="20"/>
      <c r="E3440" s="19" t="s">
        <v>68</v>
      </c>
      <c r="F3440" s="19" t="s">
        <v>26</v>
      </c>
      <c r="G3440" s="19" t="s">
        <v>27</v>
      </c>
      <c r="H3440" s="19" t="s">
        <v>32</v>
      </c>
      <c r="I3440" s="19">
        <v>72</v>
      </c>
      <c r="J3440" s="19">
        <v>0</v>
      </c>
      <c r="K3440" s="19">
        <v>4</v>
      </c>
      <c r="L3440" s="19" t="s">
        <v>75</v>
      </c>
      <c r="M3440" s="21">
        <v>23.1</v>
      </c>
      <c r="N3440">
        <f t="shared" si="53"/>
        <v>1</v>
      </c>
    </row>
    <row r="3441" spans="1:14" x14ac:dyDescent="0.35">
      <c r="A3441" s="22" t="s">
        <v>3511</v>
      </c>
      <c r="B3441" s="23" t="s">
        <v>29</v>
      </c>
      <c r="C3441" s="23">
        <v>12</v>
      </c>
      <c r="D3441" s="24">
        <v>46012</v>
      </c>
      <c r="E3441" s="23" t="s">
        <v>25</v>
      </c>
      <c r="F3441" s="23" t="s">
        <v>8364</v>
      </c>
      <c r="G3441" s="23" t="s">
        <v>27</v>
      </c>
      <c r="H3441" s="23" t="s">
        <v>28</v>
      </c>
      <c r="I3441" s="23">
        <v>48</v>
      </c>
      <c r="J3441" s="23">
        <v>0</v>
      </c>
      <c r="K3441" s="23">
        <v>3</v>
      </c>
      <c r="L3441" s="23" t="s">
        <v>17</v>
      </c>
      <c r="M3441" s="25">
        <v>5.7</v>
      </c>
      <c r="N3441">
        <f t="shared" si="53"/>
        <v>1</v>
      </c>
    </row>
    <row r="3442" spans="1:14" x14ac:dyDescent="0.35">
      <c r="A3442" s="6" t="s">
        <v>3512</v>
      </c>
      <c r="B3442" s="19" t="s">
        <v>104</v>
      </c>
      <c r="C3442" s="19">
        <v>7</v>
      </c>
      <c r="D3442" s="20">
        <v>45851</v>
      </c>
      <c r="E3442" s="19" t="s">
        <v>8364</v>
      </c>
      <c r="F3442" s="19" t="s">
        <v>40</v>
      </c>
      <c r="G3442" s="19" t="s">
        <v>27</v>
      </c>
      <c r="H3442" s="19" t="s">
        <v>16</v>
      </c>
      <c r="I3442" s="19">
        <v>72</v>
      </c>
      <c r="J3442" s="19">
        <v>0</v>
      </c>
      <c r="K3442" s="19">
        <v>5</v>
      </c>
      <c r="L3442" s="19" t="s">
        <v>55</v>
      </c>
      <c r="M3442" s="21">
        <v>5.8</v>
      </c>
      <c r="N3442">
        <f t="shared" si="53"/>
        <v>1</v>
      </c>
    </row>
    <row r="3443" spans="1:14" x14ac:dyDescent="0.35">
      <c r="A3443" s="22" t="s">
        <v>3513</v>
      </c>
      <c r="B3443" s="23" t="s">
        <v>181</v>
      </c>
      <c r="C3443" s="23">
        <v>2</v>
      </c>
      <c r="D3443" s="24">
        <v>45700</v>
      </c>
      <c r="E3443" s="23" t="s">
        <v>68</v>
      </c>
      <c r="F3443" s="23" t="s">
        <v>43</v>
      </c>
      <c r="G3443" s="23" t="s">
        <v>8364</v>
      </c>
      <c r="H3443" s="23" t="s">
        <v>32</v>
      </c>
      <c r="I3443" s="23">
        <v>72</v>
      </c>
      <c r="J3443" s="23">
        <v>0</v>
      </c>
      <c r="K3443" s="23">
        <v>5</v>
      </c>
      <c r="L3443" s="23" t="s">
        <v>44</v>
      </c>
      <c r="M3443" s="25">
        <v>5</v>
      </c>
      <c r="N3443">
        <f t="shared" si="53"/>
        <v>1</v>
      </c>
    </row>
    <row r="3444" spans="1:14" x14ac:dyDescent="0.35">
      <c r="A3444" s="6" t="s">
        <v>3514</v>
      </c>
      <c r="B3444" s="19" t="s">
        <v>87</v>
      </c>
      <c r="C3444" s="19">
        <v>10</v>
      </c>
      <c r="D3444" s="20">
        <v>45933</v>
      </c>
      <c r="E3444" s="19" t="s">
        <v>25</v>
      </c>
      <c r="F3444" s="19" t="s">
        <v>40</v>
      </c>
      <c r="G3444" s="19" t="s">
        <v>31</v>
      </c>
      <c r="H3444" s="19" t="s">
        <v>16</v>
      </c>
      <c r="I3444" s="19">
        <v>72</v>
      </c>
      <c r="J3444" s="19">
        <v>0</v>
      </c>
      <c r="K3444" s="19">
        <v>5</v>
      </c>
      <c r="L3444" s="19" t="s">
        <v>55</v>
      </c>
      <c r="M3444" s="21"/>
      <c r="N3444">
        <f t="shared" si="53"/>
        <v>1</v>
      </c>
    </row>
    <row r="3445" spans="1:14" x14ac:dyDescent="0.35">
      <c r="A3445" s="22" t="s">
        <v>3515</v>
      </c>
      <c r="B3445" s="23" t="s">
        <v>69</v>
      </c>
      <c r="C3445" s="23">
        <v>12</v>
      </c>
      <c r="D3445" s="24">
        <v>46020</v>
      </c>
      <c r="E3445" s="23" t="s">
        <v>25</v>
      </c>
      <c r="F3445" s="23" t="s">
        <v>14</v>
      </c>
      <c r="G3445" s="23" t="s">
        <v>27</v>
      </c>
      <c r="H3445" s="23" t="s">
        <v>22</v>
      </c>
      <c r="I3445" s="23">
        <v>72</v>
      </c>
      <c r="J3445" s="23">
        <v>0</v>
      </c>
      <c r="K3445" s="23">
        <v>5</v>
      </c>
      <c r="L3445" s="23" t="s">
        <v>17</v>
      </c>
      <c r="M3445" s="25">
        <v>32.200000000000003</v>
      </c>
      <c r="N3445">
        <f t="shared" si="53"/>
        <v>1</v>
      </c>
    </row>
    <row r="3446" spans="1:14" x14ac:dyDescent="0.35">
      <c r="A3446" s="6" t="s">
        <v>3516</v>
      </c>
      <c r="B3446" s="19" t="s">
        <v>34</v>
      </c>
      <c r="C3446" s="19">
        <v>7</v>
      </c>
      <c r="D3446" s="20">
        <v>45851</v>
      </c>
      <c r="E3446" s="19" t="s">
        <v>13</v>
      </c>
      <c r="F3446" s="19" t="s">
        <v>14</v>
      </c>
      <c r="G3446" s="19" t="s">
        <v>31</v>
      </c>
      <c r="H3446" s="19" t="s">
        <v>22</v>
      </c>
      <c r="I3446" s="19">
        <v>24</v>
      </c>
      <c r="J3446" s="19">
        <v>0</v>
      </c>
      <c r="K3446" s="19">
        <v>5</v>
      </c>
      <c r="L3446" s="19" t="s">
        <v>33</v>
      </c>
      <c r="M3446" s="21">
        <v>13.9</v>
      </c>
      <c r="N3446">
        <f t="shared" si="53"/>
        <v>1</v>
      </c>
    </row>
    <row r="3447" spans="1:14" x14ac:dyDescent="0.35">
      <c r="A3447" s="22" t="s">
        <v>3517</v>
      </c>
      <c r="B3447" s="23" t="s">
        <v>69</v>
      </c>
      <c r="C3447" s="23"/>
      <c r="D3447" s="24"/>
      <c r="E3447" s="23" t="s">
        <v>13</v>
      </c>
      <c r="F3447" s="23" t="s">
        <v>37</v>
      </c>
      <c r="G3447" s="23" t="s">
        <v>8364</v>
      </c>
      <c r="H3447" s="23" t="s">
        <v>22</v>
      </c>
      <c r="I3447" s="23">
        <v>24</v>
      </c>
      <c r="J3447" s="23">
        <v>0</v>
      </c>
      <c r="K3447" s="23">
        <v>5</v>
      </c>
      <c r="L3447" s="23" t="s">
        <v>38</v>
      </c>
      <c r="M3447" s="25">
        <v>8</v>
      </c>
      <c r="N3447">
        <f t="shared" si="53"/>
        <v>1</v>
      </c>
    </row>
    <row r="3448" spans="1:14" x14ac:dyDescent="0.35">
      <c r="A3448" s="6" t="s">
        <v>3518</v>
      </c>
      <c r="B3448" s="19" t="s">
        <v>97</v>
      </c>
      <c r="C3448" s="19">
        <v>1</v>
      </c>
      <c r="D3448" s="20">
        <v>45683</v>
      </c>
      <c r="E3448" s="19" t="s">
        <v>25</v>
      </c>
      <c r="F3448" s="19" t="s">
        <v>14</v>
      </c>
      <c r="G3448" s="19" t="s">
        <v>27</v>
      </c>
      <c r="H3448" s="19" t="s">
        <v>28</v>
      </c>
      <c r="I3448" s="19">
        <v>4</v>
      </c>
      <c r="J3448" s="19">
        <v>0</v>
      </c>
      <c r="K3448" s="19">
        <v>5</v>
      </c>
      <c r="L3448" s="19" t="s">
        <v>44</v>
      </c>
      <c r="M3448" s="21">
        <v>3</v>
      </c>
      <c r="N3448">
        <f t="shared" si="53"/>
        <v>1</v>
      </c>
    </row>
    <row r="3449" spans="1:14" x14ac:dyDescent="0.35">
      <c r="A3449" s="22" t="s">
        <v>3519</v>
      </c>
      <c r="B3449" s="23" t="s">
        <v>143</v>
      </c>
      <c r="C3449" s="23">
        <v>12</v>
      </c>
      <c r="D3449" s="24">
        <v>46002</v>
      </c>
      <c r="E3449" s="23" t="s">
        <v>36</v>
      </c>
      <c r="F3449" s="23" t="s">
        <v>14</v>
      </c>
      <c r="G3449" s="23" t="s">
        <v>21</v>
      </c>
      <c r="H3449" s="23" t="s">
        <v>22</v>
      </c>
      <c r="I3449" s="23">
        <v>24</v>
      </c>
      <c r="J3449" s="23">
        <v>0</v>
      </c>
      <c r="K3449" s="23">
        <v>3</v>
      </c>
      <c r="L3449" s="23" t="s">
        <v>55</v>
      </c>
      <c r="M3449" s="25">
        <v>30.1</v>
      </c>
      <c r="N3449">
        <f t="shared" si="53"/>
        <v>0</v>
      </c>
    </row>
    <row r="3450" spans="1:14" x14ac:dyDescent="0.35">
      <c r="A3450" s="6" t="s">
        <v>3520</v>
      </c>
      <c r="B3450" s="19" t="s">
        <v>65</v>
      </c>
      <c r="C3450" s="19"/>
      <c r="D3450" s="20"/>
      <c r="E3450" s="19" t="s">
        <v>13</v>
      </c>
      <c r="F3450" s="19" t="s">
        <v>26</v>
      </c>
      <c r="G3450" s="19" t="s">
        <v>27</v>
      </c>
      <c r="H3450" s="19" t="s">
        <v>22</v>
      </c>
      <c r="I3450" s="19">
        <v>24</v>
      </c>
      <c r="J3450" s="19">
        <v>0</v>
      </c>
      <c r="K3450" s="19">
        <v>5</v>
      </c>
      <c r="L3450" s="19" t="s">
        <v>75</v>
      </c>
      <c r="M3450" s="21">
        <v>18.8</v>
      </c>
      <c r="N3450">
        <f t="shared" si="53"/>
        <v>1</v>
      </c>
    </row>
    <row r="3451" spans="1:14" x14ac:dyDescent="0.35">
      <c r="A3451" s="22" t="s">
        <v>3521</v>
      </c>
      <c r="B3451" s="23" t="s">
        <v>81</v>
      </c>
      <c r="C3451" s="23">
        <v>9</v>
      </c>
      <c r="D3451" s="24">
        <v>45916</v>
      </c>
      <c r="E3451" s="23" t="s">
        <v>13</v>
      </c>
      <c r="F3451" s="23" t="s">
        <v>14</v>
      </c>
      <c r="G3451" s="23" t="s">
        <v>21</v>
      </c>
      <c r="H3451" s="23" t="s">
        <v>32</v>
      </c>
      <c r="I3451" s="23">
        <v>4</v>
      </c>
      <c r="J3451" s="23">
        <v>2</v>
      </c>
      <c r="K3451" s="23">
        <v>4</v>
      </c>
      <c r="L3451" s="23" t="s">
        <v>17</v>
      </c>
      <c r="M3451" s="25">
        <v>18.100000000000001</v>
      </c>
      <c r="N3451">
        <f t="shared" si="53"/>
        <v>0</v>
      </c>
    </row>
    <row r="3452" spans="1:14" x14ac:dyDescent="0.35">
      <c r="A3452" s="6" t="s">
        <v>3522</v>
      </c>
      <c r="B3452" s="19" t="s">
        <v>49</v>
      </c>
      <c r="C3452" s="19">
        <v>5</v>
      </c>
      <c r="D3452" s="20">
        <v>45787</v>
      </c>
      <c r="E3452" s="19" t="s">
        <v>20</v>
      </c>
      <c r="F3452" s="19" t="s">
        <v>43</v>
      </c>
      <c r="G3452" s="19" t="s">
        <v>27</v>
      </c>
      <c r="H3452" s="19" t="s">
        <v>32</v>
      </c>
      <c r="I3452" s="19">
        <v>72</v>
      </c>
      <c r="J3452" s="19">
        <v>0</v>
      </c>
      <c r="K3452" s="19">
        <v>4</v>
      </c>
      <c r="L3452" s="19" t="s">
        <v>44</v>
      </c>
      <c r="M3452" s="21">
        <v>10.5</v>
      </c>
      <c r="N3452">
        <f t="shared" si="53"/>
        <v>1</v>
      </c>
    </row>
    <row r="3453" spans="1:14" x14ac:dyDescent="0.35">
      <c r="A3453" s="22" t="s">
        <v>3523</v>
      </c>
      <c r="B3453" s="23" t="s">
        <v>23</v>
      </c>
      <c r="C3453" s="23">
        <v>5</v>
      </c>
      <c r="D3453" s="24">
        <v>45787</v>
      </c>
      <c r="E3453" s="23" t="s">
        <v>13</v>
      </c>
      <c r="F3453" s="23" t="s">
        <v>14</v>
      </c>
      <c r="G3453" s="23" t="s">
        <v>27</v>
      </c>
      <c r="H3453" s="23" t="s">
        <v>8364</v>
      </c>
      <c r="I3453" s="23">
        <v>24</v>
      </c>
      <c r="J3453" s="23">
        <v>0</v>
      </c>
      <c r="K3453" s="23">
        <v>1</v>
      </c>
      <c r="L3453" s="23" t="s">
        <v>17</v>
      </c>
      <c r="M3453" s="25">
        <v>1.4</v>
      </c>
      <c r="N3453">
        <f t="shared" si="53"/>
        <v>1</v>
      </c>
    </row>
    <row r="3454" spans="1:14" x14ac:dyDescent="0.35">
      <c r="A3454" s="6" t="s">
        <v>3524</v>
      </c>
      <c r="B3454" s="19" t="s">
        <v>181</v>
      </c>
      <c r="C3454" s="19">
        <v>9</v>
      </c>
      <c r="D3454" s="20">
        <v>45915</v>
      </c>
      <c r="E3454" s="19" t="s">
        <v>20</v>
      </c>
      <c r="F3454" s="19" t="s">
        <v>26</v>
      </c>
      <c r="G3454" s="19" t="s">
        <v>31</v>
      </c>
      <c r="H3454" s="19" t="s">
        <v>32</v>
      </c>
      <c r="I3454" s="19">
        <v>72</v>
      </c>
      <c r="J3454" s="19">
        <v>0</v>
      </c>
      <c r="K3454" s="19">
        <v>3</v>
      </c>
      <c r="L3454" s="19" t="s">
        <v>8363</v>
      </c>
      <c r="M3454" s="21">
        <v>15.4</v>
      </c>
      <c r="N3454">
        <f t="shared" si="53"/>
        <v>1</v>
      </c>
    </row>
    <row r="3455" spans="1:14" x14ac:dyDescent="0.35">
      <c r="A3455" s="22" t="s">
        <v>3525</v>
      </c>
      <c r="B3455" s="23" t="s">
        <v>130</v>
      </c>
      <c r="C3455" s="23">
        <v>1</v>
      </c>
      <c r="D3455" s="24">
        <v>45658</v>
      </c>
      <c r="E3455" s="23" t="s">
        <v>13</v>
      </c>
      <c r="F3455" s="23" t="s">
        <v>14</v>
      </c>
      <c r="G3455" s="23" t="s">
        <v>21</v>
      </c>
      <c r="H3455" s="23" t="s">
        <v>32</v>
      </c>
      <c r="I3455" s="23">
        <v>8</v>
      </c>
      <c r="J3455" s="23">
        <v>0</v>
      </c>
      <c r="K3455" s="23">
        <v>4</v>
      </c>
      <c r="L3455" s="23" t="s">
        <v>55</v>
      </c>
      <c r="M3455" s="25">
        <v>13.3</v>
      </c>
      <c r="N3455">
        <f t="shared" si="53"/>
        <v>0</v>
      </c>
    </row>
    <row r="3456" spans="1:14" x14ac:dyDescent="0.35">
      <c r="A3456" s="6" t="s">
        <v>3526</v>
      </c>
      <c r="B3456" s="19" t="s">
        <v>72</v>
      </c>
      <c r="C3456" s="19">
        <v>10</v>
      </c>
      <c r="D3456" s="20">
        <v>45951</v>
      </c>
      <c r="E3456" s="19" t="s">
        <v>20</v>
      </c>
      <c r="F3456" s="19" t="s">
        <v>8364</v>
      </c>
      <c r="G3456" s="19" t="s">
        <v>15</v>
      </c>
      <c r="H3456" s="19" t="s">
        <v>8364</v>
      </c>
      <c r="I3456" s="19">
        <v>24</v>
      </c>
      <c r="J3456" s="19">
        <v>0</v>
      </c>
      <c r="K3456" s="19">
        <v>4</v>
      </c>
      <c r="L3456" s="19" t="s">
        <v>75</v>
      </c>
      <c r="M3456" s="21">
        <v>10.3</v>
      </c>
      <c r="N3456">
        <f t="shared" si="53"/>
        <v>1</v>
      </c>
    </row>
    <row r="3457" spans="1:14" x14ac:dyDescent="0.35">
      <c r="A3457" s="22" t="s">
        <v>3527</v>
      </c>
      <c r="B3457" s="23" t="s">
        <v>143</v>
      </c>
      <c r="C3457" s="23">
        <v>3</v>
      </c>
      <c r="D3457" s="24">
        <v>45744</v>
      </c>
      <c r="E3457" s="23" t="s">
        <v>25</v>
      </c>
      <c r="F3457" s="23" t="s">
        <v>26</v>
      </c>
      <c r="G3457" s="23" t="s">
        <v>31</v>
      </c>
      <c r="H3457" s="23" t="s">
        <v>22</v>
      </c>
      <c r="I3457" s="23">
        <v>72</v>
      </c>
      <c r="J3457" s="23">
        <v>0</v>
      </c>
      <c r="K3457" s="23">
        <v>5</v>
      </c>
      <c r="L3457" s="23" t="s">
        <v>8363</v>
      </c>
      <c r="M3457" s="25">
        <v>11.7</v>
      </c>
      <c r="N3457">
        <f t="shared" si="53"/>
        <v>1</v>
      </c>
    </row>
    <row r="3458" spans="1:14" x14ac:dyDescent="0.35">
      <c r="A3458" s="6" t="s">
        <v>3528</v>
      </c>
      <c r="B3458" s="19" t="s">
        <v>51</v>
      </c>
      <c r="C3458" s="19">
        <v>8</v>
      </c>
      <c r="D3458" s="20">
        <v>45892</v>
      </c>
      <c r="E3458" s="19" t="s">
        <v>8364</v>
      </c>
      <c r="F3458" s="19" t="s">
        <v>59</v>
      </c>
      <c r="G3458" s="19" t="s">
        <v>15</v>
      </c>
      <c r="H3458" s="19" t="s">
        <v>8364</v>
      </c>
      <c r="I3458" s="19">
        <v>8</v>
      </c>
      <c r="J3458" s="19"/>
      <c r="K3458" s="19">
        <v>5</v>
      </c>
      <c r="L3458" s="19" t="s">
        <v>17</v>
      </c>
      <c r="M3458" s="21">
        <v>10.3</v>
      </c>
      <c r="N3458">
        <f t="shared" si="53"/>
        <v>0</v>
      </c>
    </row>
    <row r="3459" spans="1:14" x14ac:dyDescent="0.35">
      <c r="A3459" s="22" t="s">
        <v>3529</v>
      </c>
      <c r="B3459" s="23" t="s">
        <v>158</v>
      </c>
      <c r="C3459" s="23">
        <v>10</v>
      </c>
      <c r="D3459" s="24">
        <v>45943</v>
      </c>
      <c r="E3459" s="23" t="s">
        <v>13</v>
      </c>
      <c r="F3459" s="23" t="s">
        <v>43</v>
      </c>
      <c r="G3459" s="23" t="s">
        <v>27</v>
      </c>
      <c r="H3459" s="23" t="s">
        <v>22</v>
      </c>
      <c r="I3459" s="23">
        <v>8</v>
      </c>
      <c r="J3459" s="23">
        <v>2</v>
      </c>
      <c r="K3459" s="23">
        <v>5</v>
      </c>
      <c r="L3459" s="23" t="s">
        <v>8363</v>
      </c>
      <c r="M3459" s="25">
        <v>13.8</v>
      </c>
      <c r="N3459">
        <f t="shared" ref="N3459:N3522" si="54">IF(M3459 &lt;= I3459, 1, 0)</f>
        <v>0</v>
      </c>
    </row>
    <row r="3460" spans="1:14" x14ac:dyDescent="0.35">
      <c r="A3460" s="6" t="s">
        <v>3530</v>
      </c>
      <c r="B3460" s="19" t="s">
        <v>72</v>
      </c>
      <c r="C3460" s="19">
        <v>11</v>
      </c>
      <c r="D3460" s="20">
        <v>45983</v>
      </c>
      <c r="E3460" s="19" t="s">
        <v>25</v>
      </c>
      <c r="F3460" s="19" t="s">
        <v>14</v>
      </c>
      <c r="G3460" s="19" t="s">
        <v>21</v>
      </c>
      <c r="H3460" s="19" t="s">
        <v>32</v>
      </c>
      <c r="I3460" s="19">
        <v>8</v>
      </c>
      <c r="J3460" s="19">
        <v>0</v>
      </c>
      <c r="K3460" s="19">
        <v>4</v>
      </c>
      <c r="L3460" s="19" t="s">
        <v>75</v>
      </c>
      <c r="M3460" s="21">
        <v>12.3</v>
      </c>
      <c r="N3460">
        <f t="shared" si="54"/>
        <v>0</v>
      </c>
    </row>
    <row r="3461" spans="1:14" x14ac:dyDescent="0.35">
      <c r="A3461" s="22" t="s">
        <v>3531</v>
      </c>
      <c r="B3461" s="23" t="s">
        <v>53</v>
      </c>
      <c r="C3461" s="23">
        <v>3</v>
      </c>
      <c r="D3461" s="24">
        <v>45735</v>
      </c>
      <c r="E3461" s="23" t="s">
        <v>20</v>
      </c>
      <c r="F3461" s="23" t="s">
        <v>26</v>
      </c>
      <c r="G3461" s="23" t="s">
        <v>31</v>
      </c>
      <c r="H3461" s="23" t="s">
        <v>32</v>
      </c>
      <c r="I3461" s="23">
        <v>24</v>
      </c>
      <c r="J3461" s="23">
        <v>0</v>
      </c>
      <c r="K3461" s="23">
        <v>4</v>
      </c>
      <c r="L3461" s="23" t="s">
        <v>62</v>
      </c>
      <c r="M3461" s="25">
        <v>13.9</v>
      </c>
      <c r="N3461">
        <f t="shared" si="54"/>
        <v>1</v>
      </c>
    </row>
    <row r="3462" spans="1:14" x14ac:dyDescent="0.35">
      <c r="A3462" s="6" t="s">
        <v>3532</v>
      </c>
      <c r="B3462" s="19" t="s">
        <v>104</v>
      </c>
      <c r="C3462" s="19">
        <v>8</v>
      </c>
      <c r="D3462" s="20">
        <v>45879</v>
      </c>
      <c r="E3462" s="19" t="s">
        <v>13</v>
      </c>
      <c r="F3462" s="19" t="s">
        <v>40</v>
      </c>
      <c r="G3462" s="19" t="s">
        <v>15</v>
      </c>
      <c r="H3462" s="19" t="s">
        <v>22</v>
      </c>
      <c r="I3462" s="19">
        <v>4</v>
      </c>
      <c r="J3462" s="19">
        <v>0</v>
      </c>
      <c r="K3462" s="19">
        <v>3</v>
      </c>
      <c r="L3462" s="19" t="s">
        <v>62</v>
      </c>
      <c r="M3462" s="21">
        <v>20.399999999999999</v>
      </c>
      <c r="N3462">
        <f t="shared" si="54"/>
        <v>0</v>
      </c>
    </row>
    <row r="3463" spans="1:14" x14ac:dyDescent="0.35">
      <c r="A3463" s="22" t="s">
        <v>3533</v>
      </c>
      <c r="B3463" s="23" t="s">
        <v>41</v>
      </c>
      <c r="C3463" s="23">
        <v>10</v>
      </c>
      <c r="D3463" s="24">
        <v>45959</v>
      </c>
      <c r="E3463" s="23" t="s">
        <v>25</v>
      </c>
      <c r="F3463" s="23" t="s">
        <v>37</v>
      </c>
      <c r="G3463" s="23" t="s">
        <v>21</v>
      </c>
      <c r="H3463" s="23" t="s">
        <v>22</v>
      </c>
      <c r="I3463" s="23">
        <v>48</v>
      </c>
      <c r="J3463" s="23">
        <v>0</v>
      </c>
      <c r="K3463" s="23">
        <v>3</v>
      </c>
      <c r="L3463" s="23" t="s">
        <v>44</v>
      </c>
      <c r="M3463" s="25">
        <v>14.4</v>
      </c>
      <c r="N3463">
        <f t="shared" si="54"/>
        <v>1</v>
      </c>
    </row>
    <row r="3464" spans="1:14" x14ac:dyDescent="0.35">
      <c r="A3464" s="6" t="s">
        <v>3534</v>
      </c>
      <c r="B3464" s="19" t="s">
        <v>45</v>
      </c>
      <c r="C3464" s="19">
        <v>9</v>
      </c>
      <c r="D3464" s="20">
        <v>45919</v>
      </c>
      <c r="E3464" s="19" t="s">
        <v>8364</v>
      </c>
      <c r="F3464" s="19" t="s">
        <v>43</v>
      </c>
      <c r="G3464" s="19" t="s">
        <v>15</v>
      </c>
      <c r="H3464" s="19" t="s">
        <v>8364</v>
      </c>
      <c r="I3464" s="19">
        <v>24</v>
      </c>
      <c r="J3464" s="19">
        <v>0</v>
      </c>
      <c r="K3464" s="19">
        <v>5</v>
      </c>
      <c r="L3464" s="19" t="s">
        <v>44</v>
      </c>
      <c r="M3464" s="21">
        <v>6.9</v>
      </c>
      <c r="N3464">
        <f t="shared" si="54"/>
        <v>1</v>
      </c>
    </row>
    <row r="3465" spans="1:14" x14ac:dyDescent="0.35">
      <c r="A3465" s="22" t="s">
        <v>3535</v>
      </c>
      <c r="B3465" s="23" t="s">
        <v>51</v>
      </c>
      <c r="C3465" s="23">
        <v>6</v>
      </c>
      <c r="D3465" s="24">
        <v>45834</v>
      </c>
      <c r="E3465" s="23" t="s">
        <v>68</v>
      </c>
      <c r="F3465" s="23" t="s">
        <v>43</v>
      </c>
      <c r="G3465" s="23" t="s">
        <v>27</v>
      </c>
      <c r="H3465" s="23" t="s">
        <v>32</v>
      </c>
      <c r="I3465" s="23">
        <v>4</v>
      </c>
      <c r="J3465" s="23">
        <v>1</v>
      </c>
      <c r="K3465" s="23">
        <v>3</v>
      </c>
      <c r="L3465" s="23" t="s">
        <v>33</v>
      </c>
      <c r="M3465" s="25">
        <v>7.9</v>
      </c>
      <c r="N3465">
        <f t="shared" si="54"/>
        <v>0</v>
      </c>
    </row>
    <row r="3466" spans="1:14" x14ac:dyDescent="0.35">
      <c r="A3466" s="6" t="s">
        <v>3536</v>
      </c>
      <c r="B3466" s="19" t="s">
        <v>29</v>
      </c>
      <c r="C3466" s="19">
        <v>6</v>
      </c>
      <c r="D3466" s="20">
        <v>45821</v>
      </c>
      <c r="E3466" s="19" t="s">
        <v>20</v>
      </c>
      <c r="F3466" s="19" t="s">
        <v>37</v>
      </c>
      <c r="G3466" s="19" t="s">
        <v>31</v>
      </c>
      <c r="H3466" s="19" t="s">
        <v>22</v>
      </c>
      <c r="I3466" s="19">
        <v>4</v>
      </c>
      <c r="J3466" s="19">
        <v>2</v>
      </c>
      <c r="K3466" s="19">
        <v>5</v>
      </c>
      <c r="L3466" s="19" t="s">
        <v>8363</v>
      </c>
      <c r="M3466" s="21">
        <v>6.1</v>
      </c>
      <c r="N3466">
        <f t="shared" si="54"/>
        <v>0</v>
      </c>
    </row>
    <row r="3467" spans="1:14" x14ac:dyDescent="0.35">
      <c r="A3467" s="22" t="s">
        <v>3537</v>
      </c>
      <c r="B3467" s="23" t="s">
        <v>65</v>
      </c>
      <c r="C3467" s="23">
        <v>12</v>
      </c>
      <c r="D3467" s="24">
        <v>46013</v>
      </c>
      <c r="E3467" s="23" t="s">
        <v>20</v>
      </c>
      <c r="F3467" s="23" t="s">
        <v>43</v>
      </c>
      <c r="G3467" s="23" t="s">
        <v>27</v>
      </c>
      <c r="H3467" s="23" t="s">
        <v>16</v>
      </c>
      <c r="I3467" s="23">
        <v>48</v>
      </c>
      <c r="J3467" s="23">
        <v>1</v>
      </c>
      <c r="K3467" s="23">
        <v>1</v>
      </c>
      <c r="L3467" s="23" t="s">
        <v>38</v>
      </c>
      <c r="M3467" s="25">
        <v>12</v>
      </c>
      <c r="N3467">
        <f t="shared" si="54"/>
        <v>1</v>
      </c>
    </row>
    <row r="3468" spans="1:14" x14ac:dyDescent="0.35">
      <c r="A3468" s="6" t="s">
        <v>3538</v>
      </c>
      <c r="B3468" s="19" t="s">
        <v>158</v>
      </c>
      <c r="C3468" s="19">
        <v>4</v>
      </c>
      <c r="D3468" s="20">
        <v>45753</v>
      </c>
      <c r="E3468" s="19" t="s">
        <v>25</v>
      </c>
      <c r="F3468" s="19" t="s">
        <v>43</v>
      </c>
      <c r="G3468" s="19" t="s">
        <v>27</v>
      </c>
      <c r="H3468" s="19" t="s">
        <v>22</v>
      </c>
      <c r="I3468" s="19">
        <v>72</v>
      </c>
      <c r="J3468" s="19">
        <v>1</v>
      </c>
      <c r="K3468" s="19">
        <v>4</v>
      </c>
      <c r="L3468" s="19" t="s">
        <v>33</v>
      </c>
      <c r="M3468" s="21">
        <v>3.3</v>
      </c>
      <c r="N3468">
        <f t="shared" si="54"/>
        <v>1</v>
      </c>
    </row>
    <row r="3469" spans="1:14" x14ac:dyDescent="0.35">
      <c r="A3469" s="22" t="s">
        <v>3539</v>
      </c>
      <c r="B3469" s="23" t="s">
        <v>51</v>
      </c>
      <c r="C3469" s="23">
        <v>7</v>
      </c>
      <c r="D3469" s="24">
        <v>45859</v>
      </c>
      <c r="E3469" s="23" t="s">
        <v>36</v>
      </c>
      <c r="F3469" s="23" t="s">
        <v>37</v>
      </c>
      <c r="G3469" s="23" t="s">
        <v>31</v>
      </c>
      <c r="H3469" s="23" t="s">
        <v>28</v>
      </c>
      <c r="I3469" s="23">
        <v>8</v>
      </c>
      <c r="J3469" s="23">
        <v>0</v>
      </c>
      <c r="K3469" s="23">
        <v>5</v>
      </c>
      <c r="L3469" s="23" t="s">
        <v>38</v>
      </c>
      <c r="M3469" s="25">
        <v>15.6</v>
      </c>
      <c r="N3469">
        <f t="shared" si="54"/>
        <v>0</v>
      </c>
    </row>
    <row r="3470" spans="1:14" x14ac:dyDescent="0.35">
      <c r="A3470" s="6" t="s">
        <v>3540</v>
      </c>
      <c r="B3470" s="19" t="s">
        <v>34</v>
      </c>
      <c r="C3470" s="19">
        <v>12</v>
      </c>
      <c r="D3470" s="20">
        <v>45995</v>
      </c>
      <c r="E3470" s="19" t="s">
        <v>36</v>
      </c>
      <c r="F3470" s="19" t="s">
        <v>37</v>
      </c>
      <c r="G3470" s="19" t="s">
        <v>15</v>
      </c>
      <c r="H3470" s="19" t="s">
        <v>28</v>
      </c>
      <c r="I3470" s="19">
        <v>24</v>
      </c>
      <c r="J3470" s="19">
        <v>0</v>
      </c>
      <c r="K3470" s="19">
        <v>4</v>
      </c>
      <c r="L3470" s="19" t="s">
        <v>55</v>
      </c>
      <c r="M3470" s="21">
        <v>22.6</v>
      </c>
      <c r="N3470">
        <f t="shared" si="54"/>
        <v>1</v>
      </c>
    </row>
    <row r="3471" spans="1:14" x14ac:dyDescent="0.35">
      <c r="A3471" s="22" t="s">
        <v>3541</v>
      </c>
      <c r="B3471" s="23" t="s">
        <v>87</v>
      </c>
      <c r="C3471" s="23">
        <v>12</v>
      </c>
      <c r="D3471" s="24">
        <v>46009</v>
      </c>
      <c r="E3471" s="23" t="s">
        <v>36</v>
      </c>
      <c r="F3471" s="23" t="s">
        <v>37</v>
      </c>
      <c r="G3471" s="23" t="s">
        <v>27</v>
      </c>
      <c r="H3471" s="23" t="s">
        <v>22</v>
      </c>
      <c r="I3471" s="23">
        <v>24</v>
      </c>
      <c r="J3471" s="23"/>
      <c r="K3471" s="23">
        <v>3</v>
      </c>
      <c r="L3471" s="23" t="s">
        <v>8363</v>
      </c>
      <c r="M3471" s="25">
        <v>2.8</v>
      </c>
      <c r="N3471">
        <f t="shared" si="54"/>
        <v>1</v>
      </c>
    </row>
    <row r="3472" spans="1:14" x14ac:dyDescent="0.35">
      <c r="A3472" s="6" t="s">
        <v>3542</v>
      </c>
      <c r="B3472" s="19" t="s">
        <v>49</v>
      </c>
      <c r="C3472" s="19">
        <v>8</v>
      </c>
      <c r="D3472" s="20">
        <v>45879</v>
      </c>
      <c r="E3472" s="19" t="s">
        <v>36</v>
      </c>
      <c r="F3472" s="19" t="s">
        <v>40</v>
      </c>
      <c r="G3472" s="19" t="s">
        <v>15</v>
      </c>
      <c r="H3472" s="19" t="s">
        <v>16</v>
      </c>
      <c r="I3472" s="19">
        <v>72</v>
      </c>
      <c r="J3472" s="19">
        <v>0</v>
      </c>
      <c r="K3472" s="19">
        <v>5</v>
      </c>
      <c r="L3472" s="19" t="s">
        <v>17</v>
      </c>
      <c r="M3472" s="21">
        <v>10.1</v>
      </c>
      <c r="N3472">
        <f t="shared" si="54"/>
        <v>1</v>
      </c>
    </row>
    <row r="3473" spans="1:14" x14ac:dyDescent="0.35">
      <c r="A3473" s="22" t="s">
        <v>3543</v>
      </c>
      <c r="B3473" s="23" t="s">
        <v>101</v>
      </c>
      <c r="C3473" s="23">
        <v>4</v>
      </c>
      <c r="D3473" s="24">
        <v>45751</v>
      </c>
      <c r="E3473" s="23" t="s">
        <v>13</v>
      </c>
      <c r="F3473" s="23" t="s">
        <v>14</v>
      </c>
      <c r="G3473" s="23" t="s">
        <v>15</v>
      </c>
      <c r="H3473" s="23" t="s">
        <v>28</v>
      </c>
      <c r="I3473" s="23">
        <v>8</v>
      </c>
      <c r="J3473" s="23">
        <v>1</v>
      </c>
      <c r="K3473" s="23">
        <v>3</v>
      </c>
      <c r="L3473" s="23" t="s">
        <v>33</v>
      </c>
      <c r="M3473" s="25">
        <v>11.3</v>
      </c>
      <c r="N3473">
        <f t="shared" si="54"/>
        <v>0</v>
      </c>
    </row>
    <row r="3474" spans="1:14" x14ac:dyDescent="0.35">
      <c r="A3474" s="6" t="s">
        <v>3544</v>
      </c>
      <c r="B3474" s="19" t="s">
        <v>126</v>
      </c>
      <c r="C3474" s="19">
        <v>4</v>
      </c>
      <c r="D3474" s="20">
        <v>45756</v>
      </c>
      <c r="E3474" s="19" t="s">
        <v>8364</v>
      </c>
      <c r="F3474" s="19" t="s">
        <v>14</v>
      </c>
      <c r="G3474" s="19" t="s">
        <v>21</v>
      </c>
      <c r="H3474" s="19" t="s">
        <v>16</v>
      </c>
      <c r="I3474" s="19">
        <v>72</v>
      </c>
      <c r="J3474" s="19">
        <v>0</v>
      </c>
      <c r="K3474" s="19">
        <v>2</v>
      </c>
      <c r="L3474" s="19" t="s">
        <v>8363</v>
      </c>
      <c r="M3474" s="21">
        <v>5.0999999999999996</v>
      </c>
      <c r="N3474">
        <f t="shared" si="54"/>
        <v>1</v>
      </c>
    </row>
    <row r="3475" spans="1:14" x14ac:dyDescent="0.35">
      <c r="A3475" s="22" t="s">
        <v>3545</v>
      </c>
      <c r="B3475" s="23" t="s">
        <v>49</v>
      </c>
      <c r="C3475" s="23">
        <v>7</v>
      </c>
      <c r="D3475" s="24">
        <v>45846</v>
      </c>
      <c r="E3475" s="23" t="s">
        <v>68</v>
      </c>
      <c r="F3475" s="23" t="s">
        <v>43</v>
      </c>
      <c r="G3475" s="23" t="s">
        <v>27</v>
      </c>
      <c r="H3475" s="23" t="s">
        <v>22</v>
      </c>
      <c r="I3475" s="23">
        <v>48</v>
      </c>
      <c r="J3475" s="23">
        <v>0</v>
      </c>
      <c r="K3475" s="23">
        <v>5</v>
      </c>
      <c r="L3475" s="23" t="s">
        <v>8363</v>
      </c>
      <c r="M3475" s="25">
        <v>9.1</v>
      </c>
      <c r="N3475">
        <f t="shared" si="54"/>
        <v>1</v>
      </c>
    </row>
    <row r="3476" spans="1:14" x14ac:dyDescent="0.35">
      <c r="A3476" s="6" t="s">
        <v>3546</v>
      </c>
      <c r="B3476" s="19" t="s">
        <v>104</v>
      </c>
      <c r="C3476" s="19">
        <v>2</v>
      </c>
      <c r="D3476" s="20">
        <v>45702</v>
      </c>
      <c r="E3476" s="19" t="s">
        <v>68</v>
      </c>
      <c r="F3476" s="19" t="s">
        <v>43</v>
      </c>
      <c r="G3476" s="19" t="s">
        <v>31</v>
      </c>
      <c r="H3476" s="19" t="s">
        <v>8364</v>
      </c>
      <c r="I3476" s="19">
        <v>8</v>
      </c>
      <c r="J3476" s="19">
        <v>1</v>
      </c>
      <c r="K3476" s="19">
        <v>4</v>
      </c>
      <c r="L3476" s="19" t="s">
        <v>55</v>
      </c>
      <c r="M3476" s="21">
        <v>12.9</v>
      </c>
      <c r="N3476">
        <f t="shared" si="54"/>
        <v>0</v>
      </c>
    </row>
    <row r="3477" spans="1:14" x14ac:dyDescent="0.35">
      <c r="A3477" s="22" t="s">
        <v>3547</v>
      </c>
      <c r="B3477" s="23" t="s">
        <v>99</v>
      </c>
      <c r="C3477" s="23">
        <v>12</v>
      </c>
      <c r="D3477" s="24">
        <v>46007</v>
      </c>
      <c r="E3477" s="23" t="s">
        <v>25</v>
      </c>
      <c r="F3477" s="23" t="s">
        <v>59</v>
      </c>
      <c r="G3477" s="23" t="s">
        <v>31</v>
      </c>
      <c r="H3477" s="23" t="s">
        <v>8364</v>
      </c>
      <c r="I3477" s="23">
        <v>72</v>
      </c>
      <c r="J3477" s="23">
        <v>1</v>
      </c>
      <c r="K3477" s="23">
        <v>4</v>
      </c>
      <c r="L3477" s="23" t="s">
        <v>8363</v>
      </c>
      <c r="M3477" s="25">
        <v>11.6</v>
      </c>
      <c r="N3477">
        <f t="shared" si="54"/>
        <v>1</v>
      </c>
    </row>
    <row r="3478" spans="1:14" x14ac:dyDescent="0.35">
      <c r="A3478" s="6" t="s">
        <v>3548</v>
      </c>
      <c r="B3478" s="19" t="s">
        <v>69</v>
      </c>
      <c r="C3478" s="19">
        <v>12</v>
      </c>
      <c r="D3478" s="20">
        <v>45999</v>
      </c>
      <c r="E3478" s="19" t="s">
        <v>8364</v>
      </c>
      <c r="F3478" s="19" t="s">
        <v>14</v>
      </c>
      <c r="G3478" s="19" t="s">
        <v>27</v>
      </c>
      <c r="H3478" s="19" t="s">
        <v>22</v>
      </c>
      <c r="I3478" s="19">
        <v>8</v>
      </c>
      <c r="J3478" s="19">
        <v>0</v>
      </c>
      <c r="K3478" s="19">
        <v>3</v>
      </c>
      <c r="L3478" s="19" t="s">
        <v>44</v>
      </c>
      <c r="M3478" s="21">
        <v>0.1</v>
      </c>
      <c r="N3478">
        <f t="shared" si="54"/>
        <v>1</v>
      </c>
    </row>
    <row r="3479" spans="1:14" x14ac:dyDescent="0.35">
      <c r="A3479" s="22" t="s">
        <v>3549</v>
      </c>
      <c r="B3479" s="23" t="s">
        <v>81</v>
      </c>
      <c r="C3479" s="23">
        <v>8</v>
      </c>
      <c r="D3479" s="24">
        <v>45882</v>
      </c>
      <c r="E3479" s="23" t="s">
        <v>8364</v>
      </c>
      <c r="F3479" s="23" t="s">
        <v>26</v>
      </c>
      <c r="G3479" s="23" t="s">
        <v>21</v>
      </c>
      <c r="H3479" s="23" t="s">
        <v>22</v>
      </c>
      <c r="I3479" s="23">
        <v>48</v>
      </c>
      <c r="J3479" s="23">
        <v>0</v>
      </c>
      <c r="K3479" s="23">
        <v>4</v>
      </c>
      <c r="L3479" s="23" t="s">
        <v>62</v>
      </c>
      <c r="M3479" s="25">
        <v>27.6</v>
      </c>
      <c r="N3479">
        <f t="shared" si="54"/>
        <v>1</v>
      </c>
    </row>
    <row r="3480" spans="1:14" x14ac:dyDescent="0.35">
      <c r="A3480" s="6" t="s">
        <v>3550</v>
      </c>
      <c r="B3480" s="19" t="s">
        <v>65</v>
      </c>
      <c r="C3480" s="19">
        <v>12</v>
      </c>
      <c r="D3480" s="20">
        <v>46004</v>
      </c>
      <c r="E3480" s="19" t="s">
        <v>36</v>
      </c>
      <c r="F3480" s="19" t="s">
        <v>59</v>
      </c>
      <c r="G3480" s="19" t="s">
        <v>31</v>
      </c>
      <c r="H3480" s="19" t="s">
        <v>8364</v>
      </c>
      <c r="I3480" s="19">
        <v>4</v>
      </c>
      <c r="J3480" s="19">
        <v>0</v>
      </c>
      <c r="K3480" s="19">
        <v>3</v>
      </c>
      <c r="L3480" s="19" t="s">
        <v>75</v>
      </c>
      <c r="M3480" s="21">
        <v>11.1</v>
      </c>
      <c r="N3480">
        <f t="shared" si="54"/>
        <v>0</v>
      </c>
    </row>
    <row r="3481" spans="1:14" x14ac:dyDescent="0.35">
      <c r="A3481" s="22" t="s">
        <v>3551</v>
      </c>
      <c r="B3481" s="23" t="s">
        <v>89</v>
      </c>
      <c r="C3481" s="23">
        <v>9</v>
      </c>
      <c r="D3481" s="24">
        <v>45920</v>
      </c>
      <c r="E3481" s="23" t="s">
        <v>13</v>
      </c>
      <c r="F3481" s="23" t="s">
        <v>59</v>
      </c>
      <c r="G3481" s="23" t="s">
        <v>31</v>
      </c>
      <c r="H3481" s="23" t="s">
        <v>28</v>
      </c>
      <c r="I3481" s="23">
        <v>4</v>
      </c>
      <c r="J3481" s="23">
        <v>0</v>
      </c>
      <c r="K3481" s="23">
        <v>5</v>
      </c>
      <c r="L3481" s="23" t="s">
        <v>55</v>
      </c>
      <c r="M3481" s="25">
        <v>26.9</v>
      </c>
      <c r="N3481">
        <f t="shared" si="54"/>
        <v>0</v>
      </c>
    </row>
    <row r="3482" spans="1:14" x14ac:dyDescent="0.35">
      <c r="A3482" s="6" t="s">
        <v>3552</v>
      </c>
      <c r="B3482" s="19" t="s">
        <v>49</v>
      </c>
      <c r="C3482" s="19">
        <v>7</v>
      </c>
      <c r="D3482" s="20">
        <v>45868</v>
      </c>
      <c r="E3482" s="19" t="s">
        <v>13</v>
      </c>
      <c r="F3482" s="19" t="s">
        <v>14</v>
      </c>
      <c r="G3482" s="19" t="s">
        <v>15</v>
      </c>
      <c r="H3482" s="19" t="s">
        <v>16</v>
      </c>
      <c r="I3482" s="19">
        <v>72</v>
      </c>
      <c r="J3482" s="19">
        <v>1</v>
      </c>
      <c r="K3482" s="19">
        <v>4</v>
      </c>
      <c r="L3482" s="19" t="s">
        <v>55</v>
      </c>
      <c r="M3482" s="21">
        <v>31.8</v>
      </c>
      <c r="N3482">
        <f t="shared" si="54"/>
        <v>1</v>
      </c>
    </row>
    <row r="3483" spans="1:14" x14ac:dyDescent="0.35">
      <c r="A3483" s="22" t="s">
        <v>3553</v>
      </c>
      <c r="B3483" s="23" t="s">
        <v>65</v>
      </c>
      <c r="C3483" s="23">
        <v>3</v>
      </c>
      <c r="D3483" s="24">
        <v>45723</v>
      </c>
      <c r="E3483" s="23" t="s">
        <v>13</v>
      </c>
      <c r="F3483" s="23" t="s">
        <v>14</v>
      </c>
      <c r="G3483" s="23" t="s">
        <v>27</v>
      </c>
      <c r="H3483" s="23" t="s">
        <v>22</v>
      </c>
      <c r="I3483" s="23">
        <v>72</v>
      </c>
      <c r="J3483" s="23">
        <v>2</v>
      </c>
      <c r="K3483" s="23">
        <v>3</v>
      </c>
      <c r="L3483" s="23" t="s">
        <v>8363</v>
      </c>
      <c r="M3483" s="25">
        <v>6.8</v>
      </c>
      <c r="N3483">
        <f t="shared" si="54"/>
        <v>1</v>
      </c>
    </row>
    <row r="3484" spans="1:14" x14ac:dyDescent="0.35">
      <c r="A3484" s="6" t="s">
        <v>3554</v>
      </c>
      <c r="B3484" s="19" t="s">
        <v>65</v>
      </c>
      <c r="C3484" s="19">
        <v>3</v>
      </c>
      <c r="D3484" s="20">
        <v>45740</v>
      </c>
      <c r="E3484" s="19" t="s">
        <v>13</v>
      </c>
      <c r="F3484" s="19" t="s">
        <v>8364</v>
      </c>
      <c r="G3484" s="19" t="s">
        <v>21</v>
      </c>
      <c r="H3484" s="19" t="s">
        <v>32</v>
      </c>
      <c r="I3484" s="19">
        <v>24</v>
      </c>
      <c r="J3484" s="19">
        <v>0</v>
      </c>
      <c r="K3484" s="19">
        <v>5</v>
      </c>
      <c r="L3484" s="19" t="s">
        <v>38</v>
      </c>
      <c r="M3484" s="21">
        <v>4.7</v>
      </c>
      <c r="N3484">
        <f t="shared" si="54"/>
        <v>1</v>
      </c>
    </row>
    <row r="3485" spans="1:14" x14ac:dyDescent="0.35">
      <c r="A3485" s="22" t="s">
        <v>3555</v>
      </c>
      <c r="B3485" s="23" t="s">
        <v>23</v>
      </c>
      <c r="C3485" s="23">
        <v>2</v>
      </c>
      <c r="D3485" s="24">
        <v>45705</v>
      </c>
      <c r="E3485" s="23" t="s">
        <v>25</v>
      </c>
      <c r="F3485" s="23" t="s">
        <v>37</v>
      </c>
      <c r="G3485" s="23" t="s">
        <v>21</v>
      </c>
      <c r="H3485" s="23" t="s">
        <v>28</v>
      </c>
      <c r="I3485" s="23">
        <v>8</v>
      </c>
      <c r="J3485" s="23">
        <v>0</v>
      </c>
      <c r="K3485" s="23">
        <v>5</v>
      </c>
      <c r="L3485" s="23" t="s">
        <v>8363</v>
      </c>
      <c r="M3485" s="25">
        <v>10.8</v>
      </c>
      <c r="N3485">
        <f t="shared" si="54"/>
        <v>0</v>
      </c>
    </row>
    <row r="3486" spans="1:14" x14ac:dyDescent="0.35">
      <c r="A3486" s="6" t="s">
        <v>3556</v>
      </c>
      <c r="B3486" s="19" t="s">
        <v>236</v>
      </c>
      <c r="C3486" s="19"/>
      <c r="D3486" s="20"/>
      <c r="E3486" s="19" t="s">
        <v>13</v>
      </c>
      <c r="F3486" s="19" t="s">
        <v>14</v>
      </c>
      <c r="G3486" s="19" t="s">
        <v>27</v>
      </c>
      <c r="H3486" s="19" t="s">
        <v>22</v>
      </c>
      <c r="I3486" s="19">
        <v>48</v>
      </c>
      <c r="J3486" s="19">
        <v>0</v>
      </c>
      <c r="K3486" s="19">
        <v>3</v>
      </c>
      <c r="L3486" s="19" t="s">
        <v>44</v>
      </c>
      <c r="M3486" s="21">
        <v>9.1</v>
      </c>
      <c r="N3486">
        <f t="shared" si="54"/>
        <v>1</v>
      </c>
    </row>
    <row r="3487" spans="1:14" x14ac:dyDescent="0.35">
      <c r="A3487" s="22" t="s">
        <v>3557</v>
      </c>
      <c r="B3487" s="23" t="s">
        <v>101</v>
      </c>
      <c r="C3487" s="23">
        <v>10</v>
      </c>
      <c r="D3487" s="24">
        <v>45948</v>
      </c>
      <c r="E3487" s="23" t="s">
        <v>25</v>
      </c>
      <c r="F3487" s="23" t="s">
        <v>14</v>
      </c>
      <c r="G3487" s="23" t="s">
        <v>31</v>
      </c>
      <c r="H3487" s="23" t="s">
        <v>8364</v>
      </c>
      <c r="I3487" s="23">
        <v>24</v>
      </c>
      <c r="J3487" s="23">
        <v>0</v>
      </c>
      <c r="K3487" s="23">
        <v>5</v>
      </c>
      <c r="L3487" s="23" t="s">
        <v>38</v>
      </c>
      <c r="M3487" s="25">
        <v>7.9</v>
      </c>
      <c r="N3487">
        <f t="shared" si="54"/>
        <v>1</v>
      </c>
    </row>
    <row r="3488" spans="1:14" x14ac:dyDescent="0.35">
      <c r="A3488" s="6" t="s">
        <v>3558</v>
      </c>
      <c r="B3488" s="19" t="s">
        <v>104</v>
      </c>
      <c r="C3488" s="19">
        <v>6</v>
      </c>
      <c r="D3488" s="20">
        <v>45831</v>
      </c>
      <c r="E3488" s="19" t="s">
        <v>25</v>
      </c>
      <c r="F3488" s="19" t="s">
        <v>14</v>
      </c>
      <c r="G3488" s="19" t="s">
        <v>27</v>
      </c>
      <c r="H3488" s="19" t="s">
        <v>16</v>
      </c>
      <c r="I3488" s="19">
        <v>8</v>
      </c>
      <c r="J3488" s="19">
        <v>0</v>
      </c>
      <c r="K3488" s="19"/>
      <c r="L3488" s="19" t="s">
        <v>17</v>
      </c>
      <c r="M3488" s="21">
        <v>5</v>
      </c>
      <c r="N3488">
        <f t="shared" si="54"/>
        <v>1</v>
      </c>
    </row>
    <row r="3489" spans="1:14" x14ac:dyDescent="0.35">
      <c r="A3489" s="22" t="s">
        <v>3559</v>
      </c>
      <c r="B3489" s="23" t="s">
        <v>69</v>
      </c>
      <c r="C3489" s="23">
        <v>3</v>
      </c>
      <c r="D3489" s="24">
        <v>45735</v>
      </c>
      <c r="E3489" s="23" t="s">
        <v>13</v>
      </c>
      <c r="F3489" s="23" t="s">
        <v>40</v>
      </c>
      <c r="G3489" s="23" t="s">
        <v>21</v>
      </c>
      <c r="H3489" s="23" t="s">
        <v>32</v>
      </c>
      <c r="I3489" s="23">
        <v>4</v>
      </c>
      <c r="J3489" s="23">
        <v>1</v>
      </c>
      <c r="K3489" s="23">
        <v>5</v>
      </c>
      <c r="L3489" s="23" t="s">
        <v>8363</v>
      </c>
      <c r="M3489" s="25">
        <v>22.9</v>
      </c>
      <c r="N3489">
        <f t="shared" si="54"/>
        <v>0</v>
      </c>
    </row>
    <row r="3490" spans="1:14" x14ac:dyDescent="0.35">
      <c r="A3490" s="6" t="s">
        <v>3560</v>
      </c>
      <c r="B3490" s="19" t="s">
        <v>126</v>
      </c>
      <c r="C3490" s="19">
        <v>3</v>
      </c>
      <c r="D3490" s="20">
        <v>45726</v>
      </c>
      <c r="E3490" s="19" t="s">
        <v>36</v>
      </c>
      <c r="F3490" s="19" t="s">
        <v>8364</v>
      </c>
      <c r="G3490" s="19" t="s">
        <v>27</v>
      </c>
      <c r="H3490" s="19" t="s">
        <v>22</v>
      </c>
      <c r="I3490" s="19">
        <v>4</v>
      </c>
      <c r="J3490" s="19">
        <v>0</v>
      </c>
      <c r="K3490" s="19">
        <v>5</v>
      </c>
      <c r="L3490" s="19" t="s">
        <v>33</v>
      </c>
      <c r="M3490" s="21">
        <v>6.8</v>
      </c>
      <c r="N3490">
        <f t="shared" si="54"/>
        <v>0</v>
      </c>
    </row>
    <row r="3491" spans="1:14" x14ac:dyDescent="0.35">
      <c r="A3491" s="22" t="s">
        <v>3561</v>
      </c>
      <c r="B3491" s="23" t="s">
        <v>41</v>
      </c>
      <c r="C3491" s="23"/>
      <c r="D3491" s="24"/>
      <c r="E3491" s="23" t="s">
        <v>8364</v>
      </c>
      <c r="F3491" s="23" t="s">
        <v>26</v>
      </c>
      <c r="G3491" s="23" t="s">
        <v>21</v>
      </c>
      <c r="H3491" s="23" t="s">
        <v>22</v>
      </c>
      <c r="I3491" s="23">
        <v>24</v>
      </c>
      <c r="J3491" s="23">
        <v>0</v>
      </c>
      <c r="K3491" s="23">
        <v>5</v>
      </c>
      <c r="L3491" s="23" t="s">
        <v>17</v>
      </c>
      <c r="M3491" s="25">
        <v>26.4</v>
      </c>
      <c r="N3491">
        <f t="shared" si="54"/>
        <v>0</v>
      </c>
    </row>
    <row r="3492" spans="1:14" x14ac:dyDescent="0.35">
      <c r="A3492" s="6" t="s">
        <v>3562</v>
      </c>
      <c r="B3492" s="19" t="s">
        <v>139</v>
      </c>
      <c r="C3492" s="19">
        <v>3</v>
      </c>
      <c r="D3492" s="20">
        <v>45741</v>
      </c>
      <c r="E3492" s="19" t="s">
        <v>13</v>
      </c>
      <c r="F3492" s="19" t="s">
        <v>14</v>
      </c>
      <c r="G3492" s="19" t="s">
        <v>31</v>
      </c>
      <c r="H3492" s="19" t="s">
        <v>32</v>
      </c>
      <c r="I3492" s="19">
        <v>4</v>
      </c>
      <c r="J3492" s="19">
        <v>0</v>
      </c>
      <c r="K3492" s="19">
        <v>5</v>
      </c>
      <c r="L3492" s="19" t="s">
        <v>44</v>
      </c>
      <c r="M3492" s="21">
        <v>3.7</v>
      </c>
      <c r="N3492">
        <f t="shared" si="54"/>
        <v>1</v>
      </c>
    </row>
    <row r="3493" spans="1:14" x14ac:dyDescent="0.35">
      <c r="A3493" s="22" t="s">
        <v>3563</v>
      </c>
      <c r="B3493" s="23" t="s">
        <v>139</v>
      </c>
      <c r="C3493" s="23">
        <v>9</v>
      </c>
      <c r="D3493" s="24">
        <v>45903</v>
      </c>
      <c r="E3493" s="23" t="s">
        <v>25</v>
      </c>
      <c r="F3493" s="23" t="s">
        <v>8364</v>
      </c>
      <c r="G3493" s="23" t="s">
        <v>31</v>
      </c>
      <c r="H3493" s="23" t="s">
        <v>8364</v>
      </c>
      <c r="I3493" s="23">
        <v>8</v>
      </c>
      <c r="J3493" s="23">
        <v>0</v>
      </c>
      <c r="K3493" s="23">
        <v>5</v>
      </c>
      <c r="L3493" s="23" t="s">
        <v>62</v>
      </c>
      <c r="M3493" s="25">
        <v>6.7</v>
      </c>
      <c r="N3493">
        <f t="shared" si="54"/>
        <v>1</v>
      </c>
    </row>
    <row r="3494" spans="1:14" x14ac:dyDescent="0.35">
      <c r="A3494" s="6" t="s">
        <v>3564</v>
      </c>
      <c r="B3494" s="19" t="s">
        <v>72</v>
      </c>
      <c r="C3494" s="19">
        <v>8</v>
      </c>
      <c r="D3494" s="20">
        <v>45888</v>
      </c>
      <c r="E3494" s="19" t="s">
        <v>13</v>
      </c>
      <c r="F3494" s="19" t="s">
        <v>26</v>
      </c>
      <c r="G3494" s="19" t="s">
        <v>15</v>
      </c>
      <c r="H3494" s="19" t="s">
        <v>8364</v>
      </c>
      <c r="I3494" s="19">
        <v>72</v>
      </c>
      <c r="J3494" s="19">
        <v>1</v>
      </c>
      <c r="K3494" s="19">
        <v>4</v>
      </c>
      <c r="L3494" s="19" t="s">
        <v>17</v>
      </c>
      <c r="M3494" s="21">
        <v>6.9</v>
      </c>
      <c r="N3494">
        <f t="shared" si="54"/>
        <v>1</v>
      </c>
    </row>
    <row r="3495" spans="1:14" x14ac:dyDescent="0.35">
      <c r="A3495" s="22" t="s">
        <v>3565</v>
      </c>
      <c r="B3495" s="23" t="s">
        <v>99</v>
      </c>
      <c r="C3495" s="23">
        <v>8</v>
      </c>
      <c r="D3495" s="24">
        <v>45876</v>
      </c>
      <c r="E3495" s="23" t="s">
        <v>68</v>
      </c>
      <c r="F3495" s="23" t="s">
        <v>14</v>
      </c>
      <c r="G3495" s="23" t="s">
        <v>27</v>
      </c>
      <c r="H3495" s="23" t="s">
        <v>28</v>
      </c>
      <c r="I3495" s="23">
        <v>24</v>
      </c>
      <c r="J3495" s="23">
        <v>0</v>
      </c>
      <c r="K3495" s="23">
        <v>5</v>
      </c>
      <c r="L3495" s="23" t="s">
        <v>17</v>
      </c>
      <c r="M3495" s="25">
        <v>16.8</v>
      </c>
      <c r="N3495">
        <f t="shared" si="54"/>
        <v>1</v>
      </c>
    </row>
    <row r="3496" spans="1:14" x14ac:dyDescent="0.35">
      <c r="A3496" s="6" t="s">
        <v>3566</v>
      </c>
      <c r="B3496" s="19" t="s">
        <v>41</v>
      </c>
      <c r="C3496" s="19">
        <v>5</v>
      </c>
      <c r="D3496" s="20">
        <v>45795</v>
      </c>
      <c r="E3496" s="19" t="s">
        <v>36</v>
      </c>
      <c r="F3496" s="19" t="s">
        <v>59</v>
      </c>
      <c r="G3496" s="19" t="s">
        <v>31</v>
      </c>
      <c r="H3496" s="19" t="s">
        <v>8364</v>
      </c>
      <c r="I3496" s="19">
        <v>72</v>
      </c>
      <c r="J3496" s="19">
        <v>2</v>
      </c>
      <c r="K3496" s="19">
        <v>4</v>
      </c>
      <c r="L3496" s="19" t="s">
        <v>55</v>
      </c>
      <c r="M3496" s="21">
        <v>12.1</v>
      </c>
      <c r="N3496">
        <f t="shared" si="54"/>
        <v>1</v>
      </c>
    </row>
    <row r="3497" spans="1:14" x14ac:dyDescent="0.35">
      <c r="A3497" s="22" t="s">
        <v>3567</v>
      </c>
      <c r="B3497" s="23" t="s">
        <v>47</v>
      </c>
      <c r="C3497" s="23">
        <v>12</v>
      </c>
      <c r="D3497" s="24">
        <v>46019</v>
      </c>
      <c r="E3497" s="23" t="s">
        <v>25</v>
      </c>
      <c r="F3497" s="23" t="s">
        <v>14</v>
      </c>
      <c r="G3497" s="23" t="s">
        <v>27</v>
      </c>
      <c r="H3497" s="23" t="s">
        <v>32</v>
      </c>
      <c r="I3497" s="23">
        <v>48</v>
      </c>
      <c r="J3497" s="23">
        <v>0</v>
      </c>
      <c r="K3497" s="23">
        <v>4</v>
      </c>
      <c r="L3497" s="23" t="s">
        <v>17</v>
      </c>
      <c r="M3497" s="25">
        <v>5</v>
      </c>
      <c r="N3497">
        <f t="shared" si="54"/>
        <v>1</v>
      </c>
    </row>
    <row r="3498" spans="1:14" x14ac:dyDescent="0.35">
      <c r="A3498" s="6" t="s">
        <v>3568</v>
      </c>
      <c r="B3498" s="19" t="s">
        <v>181</v>
      </c>
      <c r="C3498" s="19">
        <v>3</v>
      </c>
      <c r="D3498" s="20">
        <v>45736</v>
      </c>
      <c r="E3498" s="19" t="s">
        <v>25</v>
      </c>
      <c r="F3498" s="19" t="s">
        <v>43</v>
      </c>
      <c r="G3498" s="19" t="s">
        <v>21</v>
      </c>
      <c r="H3498" s="19" t="s">
        <v>22</v>
      </c>
      <c r="I3498" s="19">
        <v>24</v>
      </c>
      <c r="J3498" s="19">
        <v>1</v>
      </c>
      <c r="K3498" s="19">
        <v>4</v>
      </c>
      <c r="L3498" s="19" t="s">
        <v>8363</v>
      </c>
      <c r="M3498" s="21">
        <v>12</v>
      </c>
      <c r="N3498">
        <f t="shared" si="54"/>
        <v>1</v>
      </c>
    </row>
    <row r="3499" spans="1:14" x14ac:dyDescent="0.35">
      <c r="A3499" s="22" t="s">
        <v>3569</v>
      </c>
      <c r="B3499" s="23" t="s">
        <v>81</v>
      </c>
      <c r="C3499" s="23">
        <v>10</v>
      </c>
      <c r="D3499" s="24">
        <v>45960</v>
      </c>
      <c r="E3499" s="23" t="s">
        <v>8364</v>
      </c>
      <c r="F3499" s="23" t="s">
        <v>59</v>
      </c>
      <c r="G3499" s="23" t="s">
        <v>27</v>
      </c>
      <c r="H3499" s="23" t="s">
        <v>32</v>
      </c>
      <c r="I3499" s="23">
        <v>24</v>
      </c>
      <c r="J3499" s="23">
        <v>3</v>
      </c>
      <c r="K3499" s="23">
        <v>3</v>
      </c>
      <c r="L3499" s="23" t="s">
        <v>33</v>
      </c>
      <c r="M3499" s="25">
        <v>5.9</v>
      </c>
      <c r="N3499">
        <f t="shared" si="54"/>
        <v>1</v>
      </c>
    </row>
    <row r="3500" spans="1:14" x14ac:dyDescent="0.35">
      <c r="A3500" s="6" t="s">
        <v>3570</v>
      </c>
      <c r="B3500" s="19" t="s">
        <v>236</v>
      </c>
      <c r="C3500" s="19">
        <v>2</v>
      </c>
      <c r="D3500" s="20">
        <v>45711</v>
      </c>
      <c r="E3500" s="19" t="s">
        <v>13</v>
      </c>
      <c r="F3500" s="19" t="s">
        <v>37</v>
      </c>
      <c r="G3500" s="19" t="s">
        <v>31</v>
      </c>
      <c r="H3500" s="19" t="s">
        <v>22</v>
      </c>
      <c r="I3500" s="19">
        <v>24</v>
      </c>
      <c r="J3500" s="19">
        <v>0</v>
      </c>
      <c r="K3500" s="19">
        <v>1</v>
      </c>
      <c r="L3500" s="19" t="s">
        <v>8363</v>
      </c>
      <c r="M3500" s="21">
        <v>6.4</v>
      </c>
      <c r="N3500">
        <f t="shared" si="54"/>
        <v>1</v>
      </c>
    </row>
    <row r="3501" spans="1:14" x14ac:dyDescent="0.35">
      <c r="A3501" s="22" t="s">
        <v>3571</v>
      </c>
      <c r="B3501" s="23" t="s">
        <v>47</v>
      </c>
      <c r="C3501" s="23">
        <v>8</v>
      </c>
      <c r="D3501" s="24">
        <v>45889</v>
      </c>
      <c r="E3501" s="23" t="s">
        <v>13</v>
      </c>
      <c r="F3501" s="23" t="s">
        <v>37</v>
      </c>
      <c r="G3501" s="23" t="s">
        <v>15</v>
      </c>
      <c r="H3501" s="23" t="s">
        <v>8364</v>
      </c>
      <c r="I3501" s="23">
        <v>8</v>
      </c>
      <c r="J3501" s="23">
        <v>2</v>
      </c>
      <c r="K3501" s="23">
        <v>3</v>
      </c>
      <c r="L3501" s="23" t="s">
        <v>8363</v>
      </c>
      <c r="M3501" s="25">
        <v>26.4</v>
      </c>
      <c r="N3501">
        <f t="shared" si="54"/>
        <v>0</v>
      </c>
    </row>
    <row r="3502" spans="1:14" x14ac:dyDescent="0.35">
      <c r="A3502" s="6" t="s">
        <v>3572</v>
      </c>
      <c r="B3502" s="19" t="s">
        <v>236</v>
      </c>
      <c r="C3502" s="19">
        <v>5</v>
      </c>
      <c r="D3502" s="20">
        <v>45783</v>
      </c>
      <c r="E3502" s="19" t="s">
        <v>25</v>
      </c>
      <c r="F3502" s="19" t="s">
        <v>43</v>
      </c>
      <c r="G3502" s="19" t="s">
        <v>21</v>
      </c>
      <c r="H3502" s="19" t="s">
        <v>22</v>
      </c>
      <c r="I3502" s="19">
        <v>4</v>
      </c>
      <c r="J3502" s="19">
        <v>0</v>
      </c>
      <c r="K3502" s="19"/>
      <c r="L3502" s="19" t="s">
        <v>8363</v>
      </c>
      <c r="M3502" s="21">
        <v>5.7</v>
      </c>
      <c r="N3502">
        <f t="shared" si="54"/>
        <v>0</v>
      </c>
    </row>
    <row r="3503" spans="1:14" x14ac:dyDescent="0.35">
      <c r="A3503" s="22" t="s">
        <v>3573</v>
      </c>
      <c r="B3503" s="23" t="s">
        <v>29</v>
      </c>
      <c r="C3503" s="23"/>
      <c r="D3503" s="24"/>
      <c r="E3503" s="23" t="s">
        <v>68</v>
      </c>
      <c r="F3503" s="23" t="s">
        <v>40</v>
      </c>
      <c r="G3503" s="23" t="s">
        <v>31</v>
      </c>
      <c r="H3503" s="23" t="s">
        <v>22</v>
      </c>
      <c r="I3503" s="23">
        <v>72</v>
      </c>
      <c r="J3503" s="23">
        <v>0</v>
      </c>
      <c r="K3503" s="23">
        <v>3</v>
      </c>
      <c r="L3503" s="23" t="s">
        <v>8363</v>
      </c>
      <c r="M3503" s="25"/>
      <c r="N3503">
        <f t="shared" si="54"/>
        <v>1</v>
      </c>
    </row>
    <row r="3504" spans="1:14" x14ac:dyDescent="0.35">
      <c r="A3504" s="6" t="s">
        <v>3574</v>
      </c>
      <c r="B3504" s="19" t="s">
        <v>104</v>
      </c>
      <c r="C3504" s="19">
        <v>3</v>
      </c>
      <c r="D3504" s="20">
        <v>45735</v>
      </c>
      <c r="E3504" s="19" t="s">
        <v>13</v>
      </c>
      <c r="F3504" s="19" t="s">
        <v>14</v>
      </c>
      <c r="G3504" s="19" t="s">
        <v>15</v>
      </c>
      <c r="H3504" s="19" t="s">
        <v>32</v>
      </c>
      <c r="I3504" s="19">
        <v>48</v>
      </c>
      <c r="J3504" s="19">
        <v>0</v>
      </c>
      <c r="K3504" s="19">
        <v>3</v>
      </c>
      <c r="L3504" s="19" t="s">
        <v>62</v>
      </c>
      <c r="M3504" s="21">
        <v>6</v>
      </c>
      <c r="N3504">
        <f t="shared" si="54"/>
        <v>1</v>
      </c>
    </row>
    <row r="3505" spans="1:14" x14ac:dyDescent="0.35">
      <c r="A3505" s="22" t="s">
        <v>3575</v>
      </c>
      <c r="B3505" s="23" t="s">
        <v>69</v>
      </c>
      <c r="C3505" s="23">
        <v>3</v>
      </c>
      <c r="D3505" s="24">
        <v>45731</v>
      </c>
      <c r="E3505" s="23" t="s">
        <v>36</v>
      </c>
      <c r="F3505" s="23" t="s">
        <v>43</v>
      </c>
      <c r="G3505" s="23" t="s">
        <v>31</v>
      </c>
      <c r="H3505" s="23" t="s">
        <v>32</v>
      </c>
      <c r="I3505" s="23">
        <v>48</v>
      </c>
      <c r="J3505" s="23"/>
      <c r="K3505" s="23">
        <v>3</v>
      </c>
      <c r="L3505" s="23" t="s">
        <v>17</v>
      </c>
      <c r="M3505" s="25">
        <v>4.8</v>
      </c>
      <c r="N3505">
        <f t="shared" si="54"/>
        <v>1</v>
      </c>
    </row>
    <row r="3506" spans="1:14" x14ac:dyDescent="0.35">
      <c r="A3506" s="6" t="s">
        <v>3576</v>
      </c>
      <c r="B3506" s="19" t="s">
        <v>146</v>
      </c>
      <c r="C3506" s="19">
        <v>10</v>
      </c>
      <c r="D3506" s="20">
        <v>45953</v>
      </c>
      <c r="E3506" s="19" t="s">
        <v>13</v>
      </c>
      <c r="F3506" s="19" t="s">
        <v>26</v>
      </c>
      <c r="G3506" s="19" t="s">
        <v>31</v>
      </c>
      <c r="H3506" s="19" t="s">
        <v>22</v>
      </c>
      <c r="I3506" s="19">
        <v>4</v>
      </c>
      <c r="J3506" s="19">
        <v>0</v>
      </c>
      <c r="K3506" s="19">
        <v>4</v>
      </c>
      <c r="L3506" s="19" t="s">
        <v>17</v>
      </c>
      <c r="M3506" s="21">
        <v>6.1</v>
      </c>
      <c r="N3506">
        <f t="shared" si="54"/>
        <v>0</v>
      </c>
    </row>
    <row r="3507" spans="1:14" x14ac:dyDescent="0.35">
      <c r="A3507" s="22" t="s">
        <v>3577</v>
      </c>
      <c r="B3507" s="23" t="s">
        <v>104</v>
      </c>
      <c r="C3507" s="23">
        <v>6</v>
      </c>
      <c r="D3507" s="24">
        <v>45833</v>
      </c>
      <c r="E3507" s="23" t="s">
        <v>68</v>
      </c>
      <c r="F3507" s="23" t="s">
        <v>40</v>
      </c>
      <c r="G3507" s="23" t="s">
        <v>27</v>
      </c>
      <c r="H3507" s="23" t="s">
        <v>8364</v>
      </c>
      <c r="I3507" s="23">
        <v>72</v>
      </c>
      <c r="J3507" s="23">
        <v>0</v>
      </c>
      <c r="K3507" s="23">
        <v>5</v>
      </c>
      <c r="L3507" s="23" t="s">
        <v>33</v>
      </c>
      <c r="M3507" s="25">
        <v>10.4</v>
      </c>
      <c r="N3507">
        <f t="shared" si="54"/>
        <v>1</v>
      </c>
    </row>
    <row r="3508" spans="1:14" x14ac:dyDescent="0.35">
      <c r="A3508" s="6" t="s">
        <v>3578</v>
      </c>
      <c r="B3508" s="19" t="s">
        <v>146</v>
      </c>
      <c r="C3508" s="19"/>
      <c r="D3508" s="20"/>
      <c r="E3508" s="19" t="s">
        <v>25</v>
      </c>
      <c r="F3508" s="19" t="s">
        <v>43</v>
      </c>
      <c r="G3508" s="19" t="s">
        <v>21</v>
      </c>
      <c r="H3508" s="19" t="s">
        <v>32</v>
      </c>
      <c r="I3508" s="19">
        <v>24</v>
      </c>
      <c r="J3508" s="19">
        <v>0</v>
      </c>
      <c r="K3508" s="19">
        <v>5</v>
      </c>
      <c r="L3508" s="19" t="s">
        <v>8363</v>
      </c>
      <c r="M3508" s="21">
        <v>22.2</v>
      </c>
      <c r="N3508">
        <f t="shared" si="54"/>
        <v>1</v>
      </c>
    </row>
    <row r="3509" spans="1:14" x14ac:dyDescent="0.35">
      <c r="A3509" s="22" t="s">
        <v>3579</v>
      </c>
      <c r="B3509" s="23" t="s">
        <v>101</v>
      </c>
      <c r="C3509" s="23"/>
      <c r="D3509" s="24"/>
      <c r="E3509" s="23" t="s">
        <v>68</v>
      </c>
      <c r="F3509" s="23" t="s">
        <v>59</v>
      </c>
      <c r="G3509" s="23" t="s">
        <v>27</v>
      </c>
      <c r="H3509" s="23" t="s">
        <v>32</v>
      </c>
      <c r="I3509" s="23">
        <v>24</v>
      </c>
      <c r="J3509" s="23">
        <v>0</v>
      </c>
      <c r="K3509" s="23">
        <v>5</v>
      </c>
      <c r="L3509" s="23" t="s">
        <v>17</v>
      </c>
      <c r="M3509" s="25">
        <v>14.7</v>
      </c>
      <c r="N3509">
        <f t="shared" si="54"/>
        <v>1</v>
      </c>
    </row>
    <row r="3510" spans="1:14" x14ac:dyDescent="0.35">
      <c r="A3510" s="6" t="s">
        <v>3580</v>
      </c>
      <c r="B3510" s="19" t="s">
        <v>236</v>
      </c>
      <c r="C3510" s="19">
        <v>5</v>
      </c>
      <c r="D3510" s="20">
        <v>45782</v>
      </c>
      <c r="E3510" s="19" t="s">
        <v>13</v>
      </c>
      <c r="F3510" s="19" t="s">
        <v>26</v>
      </c>
      <c r="G3510" s="19" t="s">
        <v>27</v>
      </c>
      <c r="H3510" s="19" t="s">
        <v>32</v>
      </c>
      <c r="I3510" s="19">
        <v>8</v>
      </c>
      <c r="J3510" s="19">
        <v>0</v>
      </c>
      <c r="K3510" s="19">
        <v>3</v>
      </c>
      <c r="L3510" s="19" t="s">
        <v>33</v>
      </c>
      <c r="M3510" s="21">
        <v>4.9000000000000004</v>
      </c>
      <c r="N3510">
        <f t="shared" si="54"/>
        <v>1</v>
      </c>
    </row>
    <row r="3511" spans="1:14" x14ac:dyDescent="0.35">
      <c r="A3511" s="22" t="s">
        <v>3581</v>
      </c>
      <c r="B3511" s="23" t="s">
        <v>18</v>
      </c>
      <c r="C3511" s="23">
        <v>3</v>
      </c>
      <c r="D3511" s="24">
        <v>45723</v>
      </c>
      <c r="E3511" s="23" t="s">
        <v>8364</v>
      </c>
      <c r="F3511" s="23" t="s">
        <v>14</v>
      </c>
      <c r="G3511" s="23" t="s">
        <v>21</v>
      </c>
      <c r="H3511" s="23" t="s">
        <v>28</v>
      </c>
      <c r="I3511" s="23">
        <v>24</v>
      </c>
      <c r="J3511" s="23">
        <v>0</v>
      </c>
      <c r="K3511" s="23">
        <v>4</v>
      </c>
      <c r="L3511" s="23" t="s">
        <v>38</v>
      </c>
      <c r="M3511" s="25"/>
      <c r="N3511">
        <f t="shared" si="54"/>
        <v>1</v>
      </c>
    </row>
    <row r="3512" spans="1:14" x14ac:dyDescent="0.35">
      <c r="A3512" s="6" t="s">
        <v>3582</v>
      </c>
      <c r="B3512" s="19" t="s">
        <v>65</v>
      </c>
      <c r="C3512" s="19">
        <v>5</v>
      </c>
      <c r="D3512" s="20">
        <v>45795</v>
      </c>
      <c r="E3512" s="19" t="s">
        <v>68</v>
      </c>
      <c r="F3512" s="19" t="s">
        <v>43</v>
      </c>
      <c r="G3512" s="19" t="s">
        <v>15</v>
      </c>
      <c r="H3512" s="19" t="s">
        <v>8364</v>
      </c>
      <c r="I3512" s="19">
        <v>72</v>
      </c>
      <c r="J3512" s="19">
        <v>0</v>
      </c>
      <c r="K3512" s="19">
        <v>1</v>
      </c>
      <c r="L3512" s="19" t="s">
        <v>33</v>
      </c>
      <c r="M3512" s="21">
        <v>11.9</v>
      </c>
      <c r="N3512">
        <f t="shared" si="54"/>
        <v>1</v>
      </c>
    </row>
    <row r="3513" spans="1:14" x14ac:dyDescent="0.35">
      <c r="A3513" s="22" t="s">
        <v>3583</v>
      </c>
      <c r="B3513" s="23" t="s">
        <v>65</v>
      </c>
      <c r="C3513" s="23">
        <v>6</v>
      </c>
      <c r="D3513" s="24">
        <v>45829</v>
      </c>
      <c r="E3513" s="23" t="s">
        <v>68</v>
      </c>
      <c r="F3513" s="23" t="s">
        <v>14</v>
      </c>
      <c r="G3513" s="23" t="s">
        <v>15</v>
      </c>
      <c r="H3513" s="23" t="s">
        <v>32</v>
      </c>
      <c r="I3513" s="23">
        <v>72</v>
      </c>
      <c r="J3513" s="23">
        <v>0</v>
      </c>
      <c r="K3513" s="23">
        <v>5</v>
      </c>
      <c r="L3513" s="23" t="s">
        <v>62</v>
      </c>
      <c r="M3513" s="25">
        <v>13.5</v>
      </c>
      <c r="N3513">
        <f t="shared" si="54"/>
        <v>1</v>
      </c>
    </row>
    <row r="3514" spans="1:14" x14ac:dyDescent="0.35">
      <c r="A3514" s="6" t="s">
        <v>3584</v>
      </c>
      <c r="B3514" s="19" t="s">
        <v>89</v>
      </c>
      <c r="C3514" s="19">
        <v>9</v>
      </c>
      <c r="D3514" s="20">
        <v>45902</v>
      </c>
      <c r="E3514" s="19" t="s">
        <v>13</v>
      </c>
      <c r="F3514" s="19" t="s">
        <v>43</v>
      </c>
      <c r="G3514" s="19" t="s">
        <v>21</v>
      </c>
      <c r="H3514" s="19" t="s">
        <v>22</v>
      </c>
      <c r="I3514" s="19">
        <v>48</v>
      </c>
      <c r="J3514" s="19">
        <v>1</v>
      </c>
      <c r="K3514" s="19">
        <v>5</v>
      </c>
      <c r="L3514" s="19" t="s">
        <v>62</v>
      </c>
      <c r="M3514" s="21">
        <v>7.2</v>
      </c>
      <c r="N3514">
        <f t="shared" si="54"/>
        <v>1</v>
      </c>
    </row>
    <row r="3515" spans="1:14" x14ac:dyDescent="0.35">
      <c r="A3515" s="22" t="s">
        <v>3585</v>
      </c>
      <c r="B3515" s="23" t="s">
        <v>65</v>
      </c>
      <c r="C3515" s="23">
        <v>11</v>
      </c>
      <c r="D3515" s="24">
        <v>45965</v>
      </c>
      <c r="E3515" s="23" t="s">
        <v>25</v>
      </c>
      <c r="F3515" s="23" t="s">
        <v>40</v>
      </c>
      <c r="G3515" s="23" t="s">
        <v>27</v>
      </c>
      <c r="H3515" s="23" t="s">
        <v>32</v>
      </c>
      <c r="I3515" s="23">
        <v>4</v>
      </c>
      <c r="J3515" s="23">
        <v>0</v>
      </c>
      <c r="K3515" s="23">
        <v>4</v>
      </c>
      <c r="L3515" s="23" t="s">
        <v>62</v>
      </c>
      <c r="M3515" s="25">
        <v>8.1</v>
      </c>
      <c r="N3515">
        <f t="shared" si="54"/>
        <v>0</v>
      </c>
    </row>
    <row r="3516" spans="1:14" x14ac:dyDescent="0.35">
      <c r="A3516" s="6" t="s">
        <v>3586</v>
      </c>
      <c r="B3516" s="19" t="s">
        <v>72</v>
      </c>
      <c r="C3516" s="19">
        <v>4</v>
      </c>
      <c r="D3516" s="20">
        <v>45777</v>
      </c>
      <c r="E3516" s="19" t="s">
        <v>68</v>
      </c>
      <c r="F3516" s="19" t="s">
        <v>14</v>
      </c>
      <c r="G3516" s="19" t="s">
        <v>21</v>
      </c>
      <c r="H3516" s="19" t="s">
        <v>32</v>
      </c>
      <c r="I3516" s="19">
        <v>48</v>
      </c>
      <c r="J3516" s="19">
        <v>0</v>
      </c>
      <c r="K3516" s="19">
        <v>4</v>
      </c>
      <c r="L3516" s="19" t="s">
        <v>44</v>
      </c>
      <c r="M3516" s="21">
        <v>15.9</v>
      </c>
      <c r="N3516">
        <f t="shared" si="54"/>
        <v>1</v>
      </c>
    </row>
    <row r="3517" spans="1:14" x14ac:dyDescent="0.35">
      <c r="A3517" s="22" t="s">
        <v>3587</v>
      </c>
      <c r="B3517" s="23" t="s">
        <v>41</v>
      </c>
      <c r="C3517" s="23">
        <v>8</v>
      </c>
      <c r="D3517" s="24">
        <v>45875</v>
      </c>
      <c r="E3517" s="23" t="s">
        <v>25</v>
      </c>
      <c r="F3517" s="23" t="s">
        <v>26</v>
      </c>
      <c r="G3517" s="23" t="s">
        <v>21</v>
      </c>
      <c r="H3517" s="23" t="s">
        <v>22</v>
      </c>
      <c r="I3517" s="23">
        <v>48</v>
      </c>
      <c r="J3517" s="23">
        <v>0</v>
      </c>
      <c r="K3517" s="23">
        <v>5</v>
      </c>
      <c r="L3517" s="23" t="s">
        <v>8363</v>
      </c>
      <c r="M3517" s="25">
        <v>3.5</v>
      </c>
      <c r="N3517">
        <f t="shared" si="54"/>
        <v>1</v>
      </c>
    </row>
    <row r="3518" spans="1:14" x14ac:dyDescent="0.35">
      <c r="A3518" s="6" t="s">
        <v>3588</v>
      </c>
      <c r="B3518" s="19" t="s">
        <v>41</v>
      </c>
      <c r="C3518" s="19">
        <v>3</v>
      </c>
      <c r="D3518" s="20">
        <v>45747</v>
      </c>
      <c r="E3518" s="19" t="s">
        <v>68</v>
      </c>
      <c r="F3518" s="19" t="s">
        <v>43</v>
      </c>
      <c r="G3518" s="19" t="s">
        <v>27</v>
      </c>
      <c r="H3518" s="19" t="s">
        <v>32</v>
      </c>
      <c r="I3518" s="19">
        <v>72</v>
      </c>
      <c r="J3518" s="19">
        <v>0</v>
      </c>
      <c r="K3518" s="19">
        <v>4</v>
      </c>
      <c r="L3518" s="19" t="s">
        <v>38</v>
      </c>
      <c r="M3518" s="21">
        <v>13.8</v>
      </c>
      <c r="N3518">
        <f t="shared" si="54"/>
        <v>1</v>
      </c>
    </row>
    <row r="3519" spans="1:14" x14ac:dyDescent="0.35">
      <c r="A3519" s="22" t="s">
        <v>3589</v>
      </c>
      <c r="B3519" s="23" t="s">
        <v>87</v>
      </c>
      <c r="C3519" s="23">
        <v>2</v>
      </c>
      <c r="D3519" s="24">
        <v>45706</v>
      </c>
      <c r="E3519" s="23" t="s">
        <v>68</v>
      </c>
      <c r="F3519" s="23" t="s">
        <v>43</v>
      </c>
      <c r="G3519" s="23" t="s">
        <v>31</v>
      </c>
      <c r="H3519" s="23" t="s">
        <v>22</v>
      </c>
      <c r="I3519" s="23">
        <v>8</v>
      </c>
      <c r="J3519" s="23">
        <v>1</v>
      </c>
      <c r="K3519" s="23">
        <v>3</v>
      </c>
      <c r="L3519" s="23" t="s">
        <v>55</v>
      </c>
      <c r="M3519" s="25"/>
      <c r="N3519">
        <f t="shared" si="54"/>
        <v>1</v>
      </c>
    </row>
    <row r="3520" spans="1:14" x14ac:dyDescent="0.35">
      <c r="A3520" s="6" t="s">
        <v>3590</v>
      </c>
      <c r="B3520" s="19" t="s">
        <v>29</v>
      </c>
      <c r="C3520" s="19">
        <v>7</v>
      </c>
      <c r="D3520" s="20">
        <v>45851</v>
      </c>
      <c r="E3520" s="19" t="s">
        <v>25</v>
      </c>
      <c r="F3520" s="19" t="s">
        <v>40</v>
      </c>
      <c r="G3520" s="19" t="s">
        <v>31</v>
      </c>
      <c r="H3520" s="19" t="s">
        <v>28</v>
      </c>
      <c r="I3520" s="19">
        <v>8</v>
      </c>
      <c r="J3520" s="19">
        <v>1</v>
      </c>
      <c r="K3520" s="19">
        <v>1</v>
      </c>
      <c r="L3520" s="19" t="s">
        <v>38</v>
      </c>
      <c r="M3520" s="21">
        <v>15.6</v>
      </c>
      <c r="N3520">
        <f t="shared" si="54"/>
        <v>0</v>
      </c>
    </row>
    <row r="3521" spans="1:14" x14ac:dyDescent="0.35">
      <c r="A3521" s="22" t="s">
        <v>3591</v>
      </c>
      <c r="B3521" s="23" t="s">
        <v>39</v>
      </c>
      <c r="C3521" s="23"/>
      <c r="D3521" s="24"/>
      <c r="E3521" s="23" t="s">
        <v>20</v>
      </c>
      <c r="F3521" s="23" t="s">
        <v>14</v>
      </c>
      <c r="G3521" s="23" t="s">
        <v>31</v>
      </c>
      <c r="H3521" s="23" t="s">
        <v>32</v>
      </c>
      <c r="I3521" s="23">
        <v>72</v>
      </c>
      <c r="J3521" s="23">
        <v>0</v>
      </c>
      <c r="K3521" s="23">
        <v>4</v>
      </c>
      <c r="L3521" s="23" t="s">
        <v>75</v>
      </c>
      <c r="M3521" s="25">
        <v>6.7</v>
      </c>
      <c r="N3521">
        <f t="shared" si="54"/>
        <v>1</v>
      </c>
    </row>
    <row r="3522" spans="1:14" x14ac:dyDescent="0.35">
      <c r="A3522" s="6" t="s">
        <v>3592</v>
      </c>
      <c r="B3522" s="19" t="s">
        <v>57</v>
      </c>
      <c r="C3522" s="19">
        <v>4</v>
      </c>
      <c r="D3522" s="20">
        <v>45752</v>
      </c>
      <c r="E3522" s="19" t="s">
        <v>25</v>
      </c>
      <c r="F3522" s="19" t="s">
        <v>40</v>
      </c>
      <c r="G3522" s="19" t="s">
        <v>15</v>
      </c>
      <c r="H3522" s="19" t="s">
        <v>22</v>
      </c>
      <c r="I3522" s="19">
        <v>4</v>
      </c>
      <c r="J3522" s="19">
        <v>1</v>
      </c>
      <c r="K3522" s="19">
        <v>5</v>
      </c>
      <c r="L3522" s="19" t="s">
        <v>33</v>
      </c>
      <c r="M3522" s="21">
        <v>6</v>
      </c>
      <c r="N3522">
        <f t="shared" si="54"/>
        <v>0</v>
      </c>
    </row>
    <row r="3523" spans="1:14" x14ac:dyDescent="0.35">
      <c r="A3523" s="22" t="s">
        <v>3593</v>
      </c>
      <c r="B3523" s="23" t="s">
        <v>18</v>
      </c>
      <c r="C3523" s="23">
        <v>7</v>
      </c>
      <c r="D3523" s="24">
        <v>45844</v>
      </c>
      <c r="E3523" s="23" t="s">
        <v>25</v>
      </c>
      <c r="F3523" s="23" t="s">
        <v>14</v>
      </c>
      <c r="G3523" s="23" t="s">
        <v>15</v>
      </c>
      <c r="H3523" s="23" t="s">
        <v>28</v>
      </c>
      <c r="I3523" s="23">
        <v>4</v>
      </c>
      <c r="J3523" s="23">
        <v>1</v>
      </c>
      <c r="K3523" s="23">
        <v>2</v>
      </c>
      <c r="L3523" s="23" t="s">
        <v>75</v>
      </c>
      <c r="M3523" s="25">
        <v>17.899999999999999</v>
      </c>
      <c r="N3523">
        <f t="shared" ref="N3523:N3586" si="55">IF(M3523 &lt;= I3523, 1, 0)</f>
        <v>0</v>
      </c>
    </row>
    <row r="3524" spans="1:14" x14ac:dyDescent="0.35">
      <c r="A3524" s="6" t="s">
        <v>3594</v>
      </c>
      <c r="B3524" s="19" t="s">
        <v>92</v>
      </c>
      <c r="C3524" s="19">
        <v>4</v>
      </c>
      <c r="D3524" s="20">
        <v>45773</v>
      </c>
      <c r="E3524" s="19" t="s">
        <v>25</v>
      </c>
      <c r="F3524" s="19" t="s">
        <v>43</v>
      </c>
      <c r="G3524" s="19" t="s">
        <v>15</v>
      </c>
      <c r="H3524" s="19" t="s">
        <v>22</v>
      </c>
      <c r="I3524" s="19">
        <v>48</v>
      </c>
      <c r="J3524" s="19">
        <v>0</v>
      </c>
      <c r="K3524" s="19">
        <v>3</v>
      </c>
      <c r="L3524" s="19" t="s">
        <v>38</v>
      </c>
      <c r="M3524" s="21">
        <v>5.4</v>
      </c>
      <c r="N3524">
        <f t="shared" si="55"/>
        <v>1</v>
      </c>
    </row>
    <row r="3525" spans="1:14" x14ac:dyDescent="0.35">
      <c r="A3525" s="22" t="s">
        <v>3595</v>
      </c>
      <c r="B3525" s="23" t="s">
        <v>236</v>
      </c>
      <c r="C3525" s="23">
        <v>8</v>
      </c>
      <c r="D3525" s="24">
        <v>45897</v>
      </c>
      <c r="E3525" s="23" t="s">
        <v>36</v>
      </c>
      <c r="F3525" s="23" t="s">
        <v>14</v>
      </c>
      <c r="G3525" s="23" t="s">
        <v>31</v>
      </c>
      <c r="H3525" s="23" t="s">
        <v>32</v>
      </c>
      <c r="I3525" s="23">
        <v>48</v>
      </c>
      <c r="J3525" s="23">
        <v>0</v>
      </c>
      <c r="K3525" s="23">
        <v>4</v>
      </c>
      <c r="L3525" s="23" t="s">
        <v>38</v>
      </c>
      <c r="M3525" s="25">
        <v>8.4</v>
      </c>
      <c r="N3525">
        <f t="shared" si="55"/>
        <v>1</v>
      </c>
    </row>
    <row r="3526" spans="1:14" x14ac:dyDescent="0.35">
      <c r="A3526" s="6" t="s">
        <v>3596</v>
      </c>
      <c r="B3526" s="19" t="s">
        <v>18</v>
      </c>
      <c r="C3526" s="19">
        <v>12</v>
      </c>
      <c r="D3526" s="20">
        <v>45997</v>
      </c>
      <c r="E3526" s="19" t="s">
        <v>68</v>
      </c>
      <c r="F3526" s="19" t="s">
        <v>14</v>
      </c>
      <c r="G3526" s="19" t="s">
        <v>15</v>
      </c>
      <c r="H3526" s="19" t="s">
        <v>22</v>
      </c>
      <c r="I3526" s="19">
        <v>8</v>
      </c>
      <c r="J3526" s="19">
        <v>2</v>
      </c>
      <c r="K3526" s="19"/>
      <c r="L3526" s="19" t="s">
        <v>55</v>
      </c>
      <c r="M3526" s="21">
        <v>16.7</v>
      </c>
      <c r="N3526">
        <f t="shared" si="55"/>
        <v>0</v>
      </c>
    </row>
    <row r="3527" spans="1:14" x14ac:dyDescent="0.35">
      <c r="A3527" s="22" t="s">
        <v>3597</v>
      </c>
      <c r="B3527" s="23" t="s">
        <v>69</v>
      </c>
      <c r="C3527" s="23">
        <v>12</v>
      </c>
      <c r="D3527" s="24">
        <v>46000</v>
      </c>
      <c r="E3527" s="23" t="s">
        <v>36</v>
      </c>
      <c r="F3527" s="23" t="s">
        <v>14</v>
      </c>
      <c r="G3527" s="23" t="s">
        <v>27</v>
      </c>
      <c r="H3527" s="23" t="s">
        <v>28</v>
      </c>
      <c r="I3527" s="23">
        <v>48</v>
      </c>
      <c r="J3527" s="23">
        <v>0</v>
      </c>
      <c r="K3527" s="23">
        <v>5</v>
      </c>
      <c r="L3527" s="23" t="s">
        <v>75</v>
      </c>
      <c r="M3527" s="25">
        <v>18.2</v>
      </c>
      <c r="N3527">
        <f t="shared" si="55"/>
        <v>1</v>
      </c>
    </row>
    <row r="3528" spans="1:14" x14ac:dyDescent="0.35">
      <c r="A3528" s="6" t="s">
        <v>3598</v>
      </c>
      <c r="B3528" s="19" t="s">
        <v>34</v>
      </c>
      <c r="C3528" s="19">
        <v>9</v>
      </c>
      <c r="D3528" s="20">
        <v>45920</v>
      </c>
      <c r="E3528" s="19" t="s">
        <v>8364</v>
      </c>
      <c r="F3528" s="19" t="s">
        <v>8364</v>
      </c>
      <c r="G3528" s="19" t="s">
        <v>31</v>
      </c>
      <c r="H3528" s="19" t="s">
        <v>16</v>
      </c>
      <c r="I3528" s="19">
        <v>24</v>
      </c>
      <c r="J3528" s="19">
        <v>0</v>
      </c>
      <c r="K3528" s="19">
        <v>3</v>
      </c>
      <c r="L3528" s="19" t="s">
        <v>38</v>
      </c>
      <c r="M3528" s="21">
        <v>14.9</v>
      </c>
      <c r="N3528">
        <f t="shared" si="55"/>
        <v>1</v>
      </c>
    </row>
    <row r="3529" spans="1:14" x14ac:dyDescent="0.35">
      <c r="A3529" s="22" t="s">
        <v>3599</v>
      </c>
      <c r="B3529" s="23" t="s">
        <v>85</v>
      </c>
      <c r="C3529" s="23">
        <v>3</v>
      </c>
      <c r="D3529" s="24">
        <v>45725</v>
      </c>
      <c r="E3529" s="23" t="s">
        <v>25</v>
      </c>
      <c r="F3529" s="23" t="s">
        <v>26</v>
      </c>
      <c r="G3529" s="23" t="s">
        <v>31</v>
      </c>
      <c r="H3529" s="23" t="s">
        <v>28</v>
      </c>
      <c r="I3529" s="23">
        <v>24</v>
      </c>
      <c r="J3529" s="23">
        <v>0</v>
      </c>
      <c r="K3529" s="23">
        <v>5</v>
      </c>
      <c r="L3529" s="23" t="s">
        <v>8363</v>
      </c>
      <c r="M3529" s="25">
        <v>0.5</v>
      </c>
      <c r="N3529">
        <f t="shared" si="55"/>
        <v>1</v>
      </c>
    </row>
    <row r="3530" spans="1:14" x14ac:dyDescent="0.35">
      <c r="A3530" s="6" t="s">
        <v>3600</v>
      </c>
      <c r="B3530" s="19" t="s">
        <v>130</v>
      </c>
      <c r="C3530" s="19">
        <v>7</v>
      </c>
      <c r="D3530" s="20">
        <v>45853</v>
      </c>
      <c r="E3530" s="19" t="s">
        <v>13</v>
      </c>
      <c r="F3530" s="19" t="s">
        <v>14</v>
      </c>
      <c r="G3530" s="19" t="s">
        <v>27</v>
      </c>
      <c r="H3530" s="19" t="s">
        <v>22</v>
      </c>
      <c r="I3530" s="19">
        <v>72</v>
      </c>
      <c r="J3530" s="19">
        <v>0</v>
      </c>
      <c r="K3530" s="19">
        <v>4</v>
      </c>
      <c r="L3530" s="19" t="s">
        <v>8363</v>
      </c>
      <c r="M3530" s="21">
        <v>16.2</v>
      </c>
      <c r="N3530">
        <f t="shared" si="55"/>
        <v>1</v>
      </c>
    </row>
    <row r="3531" spans="1:14" x14ac:dyDescent="0.35">
      <c r="A3531" s="22" t="s">
        <v>3601</v>
      </c>
      <c r="B3531" s="23" t="s">
        <v>253</v>
      </c>
      <c r="C3531" s="23"/>
      <c r="D3531" s="24"/>
      <c r="E3531" s="23" t="s">
        <v>36</v>
      </c>
      <c r="F3531" s="23" t="s">
        <v>14</v>
      </c>
      <c r="G3531" s="23" t="s">
        <v>15</v>
      </c>
      <c r="H3531" s="23" t="s">
        <v>22</v>
      </c>
      <c r="I3531" s="23">
        <v>4</v>
      </c>
      <c r="J3531" s="23">
        <v>1</v>
      </c>
      <c r="K3531" s="23"/>
      <c r="L3531" s="23" t="s">
        <v>33</v>
      </c>
      <c r="M3531" s="25">
        <v>3.1</v>
      </c>
      <c r="N3531">
        <f t="shared" si="55"/>
        <v>1</v>
      </c>
    </row>
    <row r="3532" spans="1:14" x14ac:dyDescent="0.35">
      <c r="A3532" s="6" t="s">
        <v>3602</v>
      </c>
      <c r="B3532" s="19" t="s">
        <v>18</v>
      </c>
      <c r="C3532" s="19">
        <v>3</v>
      </c>
      <c r="D3532" s="20">
        <v>45727</v>
      </c>
      <c r="E3532" s="19" t="s">
        <v>68</v>
      </c>
      <c r="F3532" s="19" t="s">
        <v>40</v>
      </c>
      <c r="G3532" s="19" t="s">
        <v>27</v>
      </c>
      <c r="H3532" s="19" t="s">
        <v>22</v>
      </c>
      <c r="I3532" s="19">
        <v>72</v>
      </c>
      <c r="J3532" s="19">
        <v>0</v>
      </c>
      <c r="K3532" s="19">
        <v>4</v>
      </c>
      <c r="L3532" s="19" t="s">
        <v>44</v>
      </c>
      <c r="M3532" s="21">
        <v>1.8</v>
      </c>
      <c r="N3532">
        <f t="shared" si="55"/>
        <v>1</v>
      </c>
    </row>
    <row r="3533" spans="1:14" x14ac:dyDescent="0.35">
      <c r="A3533" s="22" t="s">
        <v>3603</v>
      </c>
      <c r="B3533" s="23" t="s">
        <v>89</v>
      </c>
      <c r="C3533" s="23">
        <v>7</v>
      </c>
      <c r="D3533" s="24">
        <v>45859</v>
      </c>
      <c r="E3533" s="23" t="s">
        <v>36</v>
      </c>
      <c r="F3533" s="23" t="s">
        <v>14</v>
      </c>
      <c r="G3533" s="23" t="s">
        <v>15</v>
      </c>
      <c r="H3533" s="23" t="s">
        <v>22</v>
      </c>
      <c r="I3533" s="23">
        <v>8</v>
      </c>
      <c r="J3533" s="23">
        <v>0</v>
      </c>
      <c r="K3533" s="23">
        <v>3</v>
      </c>
      <c r="L3533" s="23" t="s">
        <v>55</v>
      </c>
      <c r="M3533" s="25">
        <v>3.9</v>
      </c>
      <c r="N3533">
        <f t="shared" si="55"/>
        <v>1</v>
      </c>
    </row>
    <row r="3534" spans="1:14" x14ac:dyDescent="0.35">
      <c r="A3534" s="6" t="s">
        <v>3604</v>
      </c>
      <c r="B3534" s="19" t="s">
        <v>47</v>
      </c>
      <c r="C3534" s="19">
        <v>4</v>
      </c>
      <c r="D3534" s="20">
        <v>45769</v>
      </c>
      <c r="E3534" s="19" t="s">
        <v>68</v>
      </c>
      <c r="F3534" s="19" t="s">
        <v>14</v>
      </c>
      <c r="G3534" s="19" t="s">
        <v>31</v>
      </c>
      <c r="H3534" s="19" t="s">
        <v>22</v>
      </c>
      <c r="I3534" s="19">
        <v>24</v>
      </c>
      <c r="J3534" s="19">
        <v>0</v>
      </c>
      <c r="K3534" s="19">
        <v>4</v>
      </c>
      <c r="L3534" s="19" t="s">
        <v>55</v>
      </c>
      <c r="M3534" s="21">
        <v>7.5</v>
      </c>
      <c r="N3534">
        <f t="shared" si="55"/>
        <v>1</v>
      </c>
    </row>
    <row r="3535" spans="1:14" x14ac:dyDescent="0.35">
      <c r="A3535" s="22" t="s">
        <v>3605</v>
      </c>
      <c r="B3535" s="23" t="s">
        <v>89</v>
      </c>
      <c r="C3535" s="23">
        <v>9</v>
      </c>
      <c r="D3535" s="24">
        <v>45911</v>
      </c>
      <c r="E3535" s="23" t="s">
        <v>13</v>
      </c>
      <c r="F3535" s="23" t="s">
        <v>14</v>
      </c>
      <c r="G3535" s="23" t="s">
        <v>31</v>
      </c>
      <c r="H3535" s="23" t="s">
        <v>8364</v>
      </c>
      <c r="I3535" s="23">
        <v>48</v>
      </c>
      <c r="J3535" s="23">
        <v>0</v>
      </c>
      <c r="K3535" s="23">
        <v>4</v>
      </c>
      <c r="L3535" s="23" t="s">
        <v>17</v>
      </c>
      <c r="M3535" s="25">
        <v>13.4</v>
      </c>
      <c r="N3535">
        <f t="shared" si="55"/>
        <v>1</v>
      </c>
    </row>
    <row r="3536" spans="1:14" x14ac:dyDescent="0.35">
      <c r="A3536" s="6" t="s">
        <v>3606</v>
      </c>
      <c r="B3536" s="19" t="s">
        <v>34</v>
      </c>
      <c r="C3536" s="19">
        <v>2</v>
      </c>
      <c r="D3536" s="20">
        <v>45707</v>
      </c>
      <c r="E3536" s="19" t="s">
        <v>25</v>
      </c>
      <c r="F3536" s="19" t="s">
        <v>14</v>
      </c>
      <c r="G3536" s="19" t="s">
        <v>15</v>
      </c>
      <c r="H3536" s="19" t="s">
        <v>22</v>
      </c>
      <c r="I3536" s="19">
        <v>4</v>
      </c>
      <c r="J3536" s="19">
        <v>1</v>
      </c>
      <c r="K3536" s="19">
        <v>5</v>
      </c>
      <c r="L3536" s="19" t="s">
        <v>44</v>
      </c>
      <c r="M3536" s="21">
        <v>18</v>
      </c>
      <c r="N3536">
        <f t="shared" si="55"/>
        <v>0</v>
      </c>
    </row>
    <row r="3537" spans="1:14" x14ac:dyDescent="0.35">
      <c r="A3537" s="22" t="s">
        <v>3607</v>
      </c>
      <c r="B3537" s="23" t="s">
        <v>139</v>
      </c>
      <c r="C3537" s="23">
        <v>11</v>
      </c>
      <c r="D3537" s="24">
        <v>45979</v>
      </c>
      <c r="E3537" s="23" t="s">
        <v>20</v>
      </c>
      <c r="F3537" s="23" t="s">
        <v>40</v>
      </c>
      <c r="G3537" s="23" t="s">
        <v>27</v>
      </c>
      <c r="H3537" s="23" t="s">
        <v>22</v>
      </c>
      <c r="I3537" s="23">
        <v>48</v>
      </c>
      <c r="J3537" s="23">
        <v>0</v>
      </c>
      <c r="K3537" s="23">
        <v>5</v>
      </c>
      <c r="L3537" s="23" t="s">
        <v>44</v>
      </c>
      <c r="M3537" s="25">
        <v>3.9</v>
      </c>
      <c r="N3537">
        <f t="shared" si="55"/>
        <v>1</v>
      </c>
    </row>
    <row r="3538" spans="1:14" x14ac:dyDescent="0.35">
      <c r="A3538" s="6" t="s">
        <v>3608</v>
      </c>
      <c r="B3538" s="19" t="s">
        <v>69</v>
      </c>
      <c r="C3538" s="19">
        <v>7</v>
      </c>
      <c r="D3538" s="20">
        <v>45856</v>
      </c>
      <c r="E3538" s="19" t="s">
        <v>13</v>
      </c>
      <c r="F3538" s="19" t="s">
        <v>14</v>
      </c>
      <c r="G3538" s="19" t="s">
        <v>21</v>
      </c>
      <c r="H3538" s="19" t="s">
        <v>22</v>
      </c>
      <c r="I3538" s="19">
        <v>8</v>
      </c>
      <c r="J3538" s="19">
        <v>1</v>
      </c>
      <c r="K3538" s="19">
        <v>3</v>
      </c>
      <c r="L3538" s="19" t="s">
        <v>75</v>
      </c>
      <c r="M3538" s="21">
        <v>14.8</v>
      </c>
      <c r="N3538">
        <f t="shared" si="55"/>
        <v>0</v>
      </c>
    </row>
    <row r="3539" spans="1:14" x14ac:dyDescent="0.35">
      <c r="A3539" s="22" t="s">
        <v>3609</v>
      </c>
      <c r="B3539" s="23" t="s">
        <v>53</v>
      </c>
      <c r="C3539" s="23">
        <v>9</v>
      </c>
      <c r="D3539" s="24">
        <v>45925</v>
      </c>
      <c r="E3539" s="23" t="s">
        <v>36</v>
      </c>
      <c r="F3539" s="23" t="s">
        <v>14</v>
      </c>
      <c r="G3539" s="23" t="s">
        <v>15</v>
      </c>
      <c r="H3539" s="23" t="s">
        <v>16</v>
      </c>
      <c r="I3539" s="23">
        <v>48</v>
      </c>
      <c r="J3539" s="23">
        <v>0</v>
      </c>
      <c r="K3539" s="23"/>
      <c r="L3539" s="23" t="s">
        <v>38</v>
      </c>
      <c r="M3539" s="25">
        <v>18.5</v>
      </c>
      <c r="N3539">
        <f t="shared" si="55"/>
        <v>1</v>
      </c>
    </row>
    <row r="3540" spans="1:14" x14ac:dyDescent="0.35">
      <c r="A3540" s="6" t="s">
        <v>3610</v>
      </c>
      <c r="B3540" s="19" t="s">
        <v>158</v>
      </c>
      <c r="C3540" s="19">
        <v>9</v>
      </c>
      <c r="D3540" s="20">
        <v>45918</v>
      </c>
      <c r="E3540" s="19" t="s">
        <v>13</v>
      </c>
      <c r="F3540" s="19" t="s">
        <v>43</v>
      </c>
      <c r="G3540" s="19" t="s">
        <v>31</v>
      </c>
      <c r="H3540" s="19" t="s">
        <v>28</v>
      </c>
      <c r="I3540" s="19">
        <v>8</v>
      </c>
      <c r="J3540" s="19">
        <v>0</v>
      </c>
      <c r="K3540" s="19">
        <v>3</v>
      </c>
      <c r="L3540" s="19" t="s">
        <v>8363</v>
      </c>
      <c r="M3540" s="21">
        <v>3</v>
      </c>
      <c r="N3540">
        <f t="shared" si="55"/>
        <v>1</v>
      </c>
    </row>
    <row r="3541" spans="1:14" x14ac:dyDescent="0.35">
      <c r="A3541" s="22" t="s">
        <v>3611</v>
      </c>
      <c r="B3541" s="23" t="s">
        <v>101</v>
      </c>
      <c r="C3541" s="23"/>
      <c r="D3541" s="24"/>
      <c r="E3541" s="23" t="s">
        <v>20</v>
      </c>
      <c r="F3541" s="23" t="s">
        <v>14</v>
      </c>
      <c r="G3541" s="23" t="s">
        <v>8364</v>
      </c>
      <c r="H3541" s="23" t="s">
        <v>28</v>
      </c>
      <c r="I3541" s="23">
        <v>8</v>
      </c>
      <c r="J3541" s="23">
        <v>0</v>
      </c>
      <c r="K3541" s="23">
        <v>3</v>
      </c>
      <c r="L3541" s="23" t="s">
        <v>8363</v>
      </c>
      <c r="M3541" s="25">
        <v>90</v>
      </c>
      <c r="N3541">
        <f t="shared" si="55"/>
        <v>0</v>
      </c>
    </row>
    <row r="3542" spans="1:14" x14ac:dyDescent="0.35">
      <c r="A3542" s="6" t="s">
        <v>3612</v>
      </c>
      <c r="B3542" s="19" t="s">
        <v>65</v>
      </c>
      <c r="C3542" s="19">
        <v>6</v>
      </c>
      <c r="D3542" s="20">
        <v>45809</v>
      </c>
      <c r="E3542" s="19" t="s">
        <v>13</v>
      </c>
      <c r="F3542" s="19" t="s">
        <v>59</v>
      </c>
      <c r="G3542" s="19" t="s">
        <v>31</v>
      </c>
      <c r="H3542" s="19" t="s">
        <v>28</v>
      </c>
      <c r="I3542" s="19">
        <v>4</v>
      </c>
      <c r="J3542" s="19">
        <v>0</v>
      </c>
      <c r="K3542" s="19">
        <v>5</v>
      </c>
      <c r="L3542" s="19" t="s">
        <v>17</v>
      </c>
      <c r="M3542" s="21">
        <v>5.2</v>
      </c>
      <c r="N3542">
        <f t="shared" si="55"/>
        <v>0</v>
      </c>
    </row>
    <row r="3543" spans="1:14" x14ac:dyDescent="0.35">
      <c r="A3543" s="22" t="s">
        <v>3613</v>
      </c>
      <c r="B3543" s="23" t="s">
        <v>34</v>
      </c>
      <c r="C3543" s="23"/>
      <c r="D3543" s="24"/>
      <c r="E3543" s="23" t="s">
        <v>8364</v>
      </c>
      <c r="F3543" s="23" t="s">
        <v>14</v>
      </c>
      <c r="G3543" s="23" t="s">
        <v>15</v>
      </c>
      <c r="H3543" s="23" t="s">
        <v>32</v>
      </c>
      <c r="I3543" s="23">
        <v>8</v>
      </c>
      <c r="J3543" s="23">
        <v>2</v>
      </c>
      <c r="K3543" s="23">
        <v>4</v>
      </c>
      <c r="L3543" s="23" t="s">
        <v>62</v>
      </c>
      <c r="M3543" s="25">
        <v>8.4</v>
      </c>
      <c r="N3543">
        <f t="shared" si="55"/>
        <v>0</v>
      </c>
    </row>
    <row r="3544" spans="1:14" x14ac:dyDescent="0.35">
      <c r="A3544" s="6" t="s">
        <v>3614</v>
      </c>
      <c r="B3544" s="19" t="s">
        <v>89</v>
      </c>
      <c r="C3544" s="19">
        <v>12</v>
      </c>
      <c r="D3544" s="20">
        <v>46005</v>
      </c>
      <c r="E3544" s="19" t="s">
        <v>25</v>
      </c>
      <c r="F3544" s="19" t="s">
        <v>40</v>
      </c>
      <c r="G3544" s="19" t="s">
        <v>8364</v>
      </c>
      <c r="H3544" s="19" t="s">
        <v>8364</v>
      </c>
      <c r="I3544" s="19">
        <v>4</v>
      </c>
      <c r="J3544" s="19">
        <v>0</v>
      </c>
      <c r="K3544" s="19">
        <v>4</v>
      </c>
      <c r="L3544" s="19" t="s">
        <v>55</v>
      </c>
      <c r="M3544" s="21">
        <v>2.8</v>
      </c>
      <c r="N3544">
        <f t="shared" si="55"/>
        <v>1</v>
      </c>
    </row>
    <row r="3545" spans="1:14" x14ac:dyDescent="0.35">
      <c r="A3545" s="22" t="s">
        <v>3615</v>
      </c>
      <c r="B3545" s="23" t="s">
        <v>146</v>
      </c>
      <c r="C3545" s="23">
        <v>9</v>
      </c>
      <c r="D3545" s="24">
        <v>45904</v>
      </c>
      <c r="E3545" s="23" t="s">
        <v>36</v>
      </c>
      <c r="F3545" s="23" t="s">
        <v>59</v>
      </c>
      <c r="G3545" s="23" t="s">
        <v>8364</v>
      </c>
      <c r="H3545" s="23" t="s">
        <v>16</v>
      </c>
      <c r="I3545" s="23">
        <v>4</v>
      </c>
      <c r="J3545" s="23">
        <v>1</v>
      </c>
      <c r="K3545" s="23">
        <v>3</v>
      </c>
      <c r="L3545" s="23" t="s">
        <v>33</v>
      </c>
      <c r="M3545" s="25">
        <v>15.5</v>
      </c>
      <c r="N3545">
        <f t="shared" si="55"/>
        <v>0</v>
      </c>
    </row>
    <row r="3546" spans="1:14" x14ac:dyDescent="0.35">
      <c r="A3546" s="6" t="s">
        <v>3616</v>
      </c>
      <c r="B3546" s="19" t="s">
        <v>65</v>
      </c>
      <c r="C3546" s="19">
        <v>1</v>
      </c>
      <c r="D3546" s="20">
        <v>45681</v>
      </c>
      <c r="E3546" s="19" t="s">
        <v>13</v>
      </c>
      <c r="F3546" s="19" t="s">
        <v>37</v>
      </c>
      <c r="G3546" s="19" t="s">
        <v>21</v>
      </c>
      <c r="H3546" s="19" t="s">
        <v>8364</v>
      </c>
      <c r="I3546" s="19">
        <v>4</v>
      </c>
      <c r="J3546" s="19">
        <v>0</v>
      </c>
      <c r="K3546" s="19">
        <v>5</v>
      </c>
      <c r="L3546" s="19" t="s">
        <v>8363</v>
      </c>
      <c r="M3546" s="21">
        <v>5.9</v>
      </c>
      <c r="N3546">
        <f t="shared" si="55"/>
        <v>0</v>
      </c>
    </row>
    <row r="3547" spans="1:14" x14ac:dyDescent="0.35">
      <c r="A3547" s="22" t="s">
        <v>3617</v>
      </c>
      <c r="B3547" s="23" t="s">
        <v>85</v>
      </c>
      <c r="C3547" s="23">
        <v>9</v>
      </c>
      <c r="D3547" s="24">
        <v>45927</v>
      </c>
      <c r="E3547" s="23" t="s">
        <v>13</v>
      </c>
      <c r="F3547" s="23" t="s">
        <v>14</v>
      </c>
      <c r="G3547" s="23" t="s">
        <v>31</v>
      </c>
      <c r="H3547" s="23" t="s">
        <v>16</v>
      </c>
      <c r="I3547" s="23">
        <v>4</v>
      </c>
      <c r="J3547" s="23">
        <v>0</v>
      </c>
      <c r="K3547" s="23">
        <v>4</v>
      </c>
      <c r="L3547" s="23" t="s">
        <v>38</v>
      </c>
      <c r="M3547" s="25">
        <v>7.3</v>
      </c>
      <c r="N3547">
        <f t="shared" si="55"/>
        <v>0</v>
      </c>
    </row>
    <row r="3548" spans="1:14" x14ac:dyDescent="0.35">
      <c r="A3548" s="6" t="s">
        <v>3618</v>
      </c>
      <c r="B3548" s="19" t="s">
        <v>23</v>
      </c>
      <c r="C3548" s="19">
        <v>12</v>
      </c>
      <c r="D3548" s="20">
        <v>46007</v>
      </c>
      <c r="E3548" s="19" t="s">
        <v>36</v>
      </c>
      <c r="F3548" s="19" t="s">
        <v>26</v>
      </c>
      <c r="G3548" s="19" t="s">
        <v>15</v>
      </c>
      <c r="H3548" s="19" t="s">
        <v>22</v>
      </c>
      <c r="I3548" s="19">
        <v>48</v>
      </c>
      <c r="J3548" s="19">
        <v>0</v>
      </c>
      <c r="K3548" s="19">
        <v>5</v>
      </c>
      <c r="L3548" s="19" t="s">
        <v>33</v>
      </c>
      <c r="M3548" s="21">
        <v>13</v>
      </c>
      <c r="N3548">
        <f t="shared" si="55"/>
        <v>1</v>
      </c>
    </row>
    <row r="3549" spans="1:14" x14ac:dyDescent="0.35">
      <c r="A3549" s="22" t="s">
        <v>3619</v>
      </c>
      <c r="B3549" s="23" t="s">
        <v>85</v>
      </c>
      <c r="C3549" s="23">
        <v>12</v>
      </c>
      <c r="D3549" s="24">
        <v>45996</v>
      </c>
      <c r="E3549" s="23" t="s">
        <v>13</v>
      </c>
      <c r="F3549" s="23" t="s">
        <v>26</v>
      </c>
      <c r="G3549" s="23" t="s">
        <v>31</v>
      </c>
      <c r="H3549" s="23" t="s">
        <v>8364</v>
      </c>
      <c r="I3549" s="23">
        <v>8</v>
      </c>
      <c r="J3549" s="23">
        <v>0</v>
      </c>
      <c r="K3549" s="23">
        <v>2</v>
      </c>
      <c r="L3549" s="23" t="s">
        <v>8363</v>
      </c>
      <c r="M3549" s="25">
        <v>7.8</v>
      </c>
      <c r="N3549">
        <f t="shared" si="55"/>
        <v>1</v>
      </c>
    </row>
    <row r="3550" spans="1:14" x14ac:dyDescent="0.35">
      <c r="A3550" s="6" t="s">
        <v>3620</v>
      </c>
      <c r="B3550" s="19" t="s">
        <v>89</v>
      </c>
      <c r="C3550" s="19">
        <v>6</v>
      </c>
      <c r="D3550" s="20">
        <v>45818</v>
      </c>
      <c r="E3550" s="19" t="s">
        <v>36</v>
      </c>
      <c r="F3550" s="19" t="s">
        <v>14</v>
      </c>
      <c r="G3550" s="19" t="s">
        <v>31</v>
      </c>
      <c r="H3550" s="19" t="s">
        <v>22</v>
      </c>
      <c r="I3550" s="19">
        <v>8</v>
      </c>
      <c r="J3550" s="19">
        <v>1</v>
      </c>
      <c r="K3550" s="19">
        <v>5</v>
      </c>
      <c r="L3550" s="19" t="s">
        <v>17</v>
      </c>
      <c r="M3550" s="21">
        <v>22.1</v>
      </c>
      <c r="N3550">
        <f t="shared" si="55"/>
        <v>0</v>
      </c>
    </row>
    <row r="3551" spans="1:14" x14ac:dyDescent="0.35">
      <c r="A3551" s="22" t="s">
        <v>3621</v>
      </c>
      <c r="B3551" s="23" t="s">
        <v>158</v>
      </c>
      <c r="C3551" s="23">
        <v>5</v>
      </c>
      <c r="D3551" s="24">
        <v>45791</v>
      </c>
      <c r="E3551" s="23" t="s">
        <v>13</v>
      </c>
      <c r="F3551" s="23" t="s">
        <v>8364</v>
      </c>
      <c r="G3551" s="23" t="s">
        <v>27</v>
      </c>
      <c r="H3551" s="23" t="s">
        <v>22</v>
      </c>
      <c r="I3551" s="23">
        <v>48</v>
      </c>
      <c r="J3551" s="23"/>
      <c r="K3551" s="23">
        <v>5</v>
      </c>
      <c r="L3551" s="23" t="s">
        <v>55</v>
      </c>
      <c r="M3551" s="25">
        <v>9.9</v>
      </c>
      <c r="N3551">
        <f t="shared" si="55"/>
        <v>1</v>
      </c>
    </row>
    <row r="3552" spans="1:14" x14ac:dyDescent="0.35">
      <c r="A3552" s="6" t="s">
        <v>3622</v>
      </c>
      <c r="B3552" s="19" t="s">
        <v>85</v>
      </c>
      <c r="C3552" s="19">
        <v>10</v>
      </c>
      <c r="D3552" s="20">
        <v>45934</v>
      </c>
      <c r="E3552" s="19" t="s">
        <v>36</v>
      </c>
      <c r="F3552" s="19" t="s">
        <v>26</v>
      </c>
      <c r="G3552" s="19" t="s">
        <v>15</v>
      </c>
      <c r="H3552" s="19" t="s">
        <v>32</v>
      </c>
      <c r="I3552" s="19">
        <v>24</v>
      </c>
      <c r="J3552" s="19">
        <v>0</v>
      </c>
      <c r="K3552" s="19">
        <v>1</v>
      </c>
      <c r="L3552" s="19" t="s">
        <v>8363</v>
      </c>
      <c r="M3552" s="21">
        <v>30.5</v>
      </c>
      <c r="N3552">
        <f t="shared" si="55"/>
        <v>0</v>
      </c>
    </row>
    <row r="3553" spans="1:14" x14ac:dyDescent="0.35">
      <c r="A3553" s="22" t="s">
        <v>3623</v>
      </c>
      <c r="B3553" s="23" t="s">
        <v>47</v>
      </c>
      <c r="C3553" s="23">
        <v>3</v>
      </c>
      <c r="D3553" s="24">
        <v>45737</v>
      </c>
      <c r="E3553" s="23" t="s">
        <v>36</v>
      </c>
      <c r="F3553" s="23" t="s">
        <v>14</v>
      </c>
      <c r="G3553" s="23" t="s">
        <v>27</v>
      </c>
      <c r="H3553" s="23" t="s">
        <v>16</v>
      </c>
      <c r="I3553" s="23">
        <v>4</v>
      </c>
      <c r="J3553" s="23">
        <v>0</v>
      </c>
      <c r="K3553" s="23">
        <v>4</v>
      </c>
      <c r="L3553" s="23" t="s">
        <v>17</v>
      </c>
      <c r="M3553" s="25">
        <v>15.6</v>
      </c>
      <c r="N3553">
        <f t="shared" si="55"/>
        <v>0</v>
      </c>
    </row>
    <row r="3554" spans="1:14" x14ac:dyDescent="0.35">
      <c r="A3554" s="6" t="s">
        <v>3624</v>
      </c>
      <c r="B3554" s="19" t="s">
        <v>89</v>
      </c>
      <c r="C3554" s="19"/>
      <c r="D3554" s="20"/>
      <c r="E3554" s="19" t="s">
        <v>25</v>
      </c>
      <c r="F3554" s="19" t="s">
        <v>8364</v>
      </c>
      <c r="G3554" s="19" t="s">
        <v>21</v>
      </c>
      <c r="H3554" s="19" t="s">
        <v>32</v>
      </c>
      <c r="I3554" s="19">
        <v>48</v>
      </c>
      <c r="J3554" s="19">
        <v>0</v>
      </c>
      <c r="K3554" s="19">
        <v>4</v>
      </c>
      <c r="L3554" s="19" t="s">
        <v>62</v>
      </c>
      <c r="M3554" s="21">
        <v>11.9</v>
      </c>
      <c r="N3554">
        <f t="shared" si="55"/>
        <v>1</v>
      </c>
    </row>
    <row r="3555" spans="1:14" x14ac:dyDescent="0.35">
      <c r="A3555" s="22" t="s">
        <v>3625</v>
      </c>
      <c r="B3555" s="23" t="s">
        <v>72</v>
      </c>
      <c r="C3555" s="23">
        <v>3</v>
      </c>
      <c r="D3555" s="24">
        <v>45728</v>
      </c>
      <c r="E3555" s="23" t="s">
        <v>20</v>
      </c>
      <c r="F3555" s="23" t="s">
        <v>43</v>
      </c>
      <c r="G3555" s="23" t="s">
        <v>8364</v>
      </c>
      <c r="H3555" s="23" t="s">
        <v>22</v>
      </c>
      <c r="I3555" s="23">
        <v>8</v>
      </c>
      <c r="J3555" s="23">
        <v>0</v>
      </c>
      <c r="K3555" s="23">
        <v>5</v>
      </c>
      <c r="L3555" s="23" t="s">
        <v>33</v>
      </c>
      <c r="M3555" s="25">
        <v>14.2</v>
      </c>
      <c r="N3555">
        <f t="shared" si="55"/>
        <v>0</v>
      </c>
    </row>
    <row r="3556" spans="1:14" x14ac:dyDescent="0.35">
      <c r="A3556" s="6" t="s">
        <v>3626</v>
      </c>
      <c r="B3556" s="19" t="s">
        <v>34</v>
      </c>
      <c r="C3556" s="19">
        <v>1</v>
      </c>
      <c r="D3556" s="20">
        <v>45675</v>
      </c>
      <c r="E3556" s="19" t="s">
        <v>36</v>
      </c>
      <c r="F3556" s="19" t="s">
        <v>43</v>
      </c>
      <c r="G3556" s="19" t="s">
        <v>31</v>
      </c>
      <c r="H3556" s="19" t="s">
        <v>28</v>
      </c>
      <c r="I3556" s="19">
        <v>72</v>
      </c>
      <c r="J3556" s="19">
        <v>0</v>
      </c>
      <c r="K3556" s="19">
        <v>2</v>
      </c>
      <c r="L3556" s="19" t="s">
        <v>17</v>
      </c>
      <c r="M3556" s="21">
        <v>18.2</v>
      </c>
      <c r="N3556">
        <f t="shared" si="55"/>
        <v>1</v>
      </c>
    </row>
    <row r="3557" spans="1:14" x14ac:dyDescent="0.35">
      <c r="A3557" s="22" t="s">
        <v>3627</v>
      </c>
      <c r="B3557" s="23" t="s">
        <v>69</v>
      </c>
      <c r="C3557" s="23">
        <v>6</v>
      </c>
      <c r="D3557" s="24">
        <v>45821</v>
      </c>
      <c r="E3557" s="23" t="s">
        <v>36</v>
      </c>
      <c r="F3557" s="23" t="s">
        <v>59</v>
      </c>
      <c r="G3557" s="23" t="s">
        <v>27</v>
      </c>
      <c r="H3557" s="23" t="s">
        <v>16</v>
      </c>
      <c r="I3557" s="23">
        <v>72</v>
      </c>
      <c r="J3557" s="23">
        <v>0</v>
      </c>
      <c r="K3557" s="23">
        <v>5</v>
      </c>
      <c r="L3557" s="23" t="s">
        <v>75</v>
      </c>
      <c r="M3557" s="25">
        <v>10.8</v>
      </c>
      <c r="N3557">
        <f t="shared" si="55"/>
        <v>1</v>
      </c>
    </row>
    <row r="3558" spans="1:14" x14ac:dyDescent="0.35">
      <c r="A3558" s="6" t="s">
        <v>3628</v>
      </c>
      <c r="B3558" s="19" t="s">
        <v>130</v>
      </c>
      <c r="C3558" s="19">
        <v>10</v>
      </c>
      <c r="D3558" s="20">
        <v>45954</v>
      </c>
      <c r="E3558" s="19" t="s">
        <v>36</v>
      </c>
      <c r="F3558" s="19" t="s">
        <v>37</v>
      </c>
      <c r="G3558" s="19" t="s">
        <v>27</v>
      </c>
      <c r="H3558" s="19" t="s">
        <v>28</v>
      </c>
      <c r="I3558" s="19">
        <v>24</v>
      </c>
      <c r="J3558" s="19">
        <v>0</v>
      </c>
      <c r="K3558" s="19">
        <v>3</v>
      </c>
      <c r="L3558" s="19" t="s">
        <v>17</v>
      </c>
      <c r="M3558" s="21">
        <v>9.1</v>
      </c>
      <c r="N3558">
        <f t="shared" si="55"/>
        <v>1</v>
      </c>
    </row>
    <row r="3559" spans="1:14" x14ac:dyDescent="0.35">
      <c r="A3559" s="22" t="s">
        <v>3629</v>
      </c>
      <c r="B3559" s="23" t="s">
        <v>69</v>
      </c>
      <c r="C3559" s="23">
        <v>4</v>
      </c>
      <c r="D3559" s="24">
        <v>45763</v>
      </c>
      <c r="E3559" s="23" t="s">
        <v>25</v>
      </c>
      <c r="F3559" s="23" t="s">
        <v>43</v>
      </c>
      <c r="G3559" s="23" t="s">
        <v>27</v>
      </c>
      <c r="H3559" s="23" t="s">
        <v>16</v>
      </c>
      <c r="I3559" s="23">
        <v>72</v>
      </c>
      <c r="J3559" s="23">
        <v>0</v>
      </c>
      <c r="K3559" s="23">
        <v>2</v>
      </c>
      <c r="L3559" s="23" t="s">
        <v>38</v>
      </c>
      <c r="M3559" s="25">
        <v>3.1</v>
      </c>
      <c r="N3559">
        <f t="shared" si="55"/>
        <v>1</v>
      </c>
    </row>
    <row r="3560" spans="1:14" x14ac:dyDescent="0.35">
      <c r="A3560" s="6" t="s">
        <v>3630</v>
      </c>
      <c r="B3560" s="19" t="s">
        <v>47</v>
      </c>
      <c r="C3560" s="19">
        <v>11</v>
      </c>
      <c r="D3560" s="20">
        <v>45965</v>
      </c>
      <c r="E3560" s="19" t="s">
        <v>25</v>
      </c>
      <c r="F3560" s="19" t="s">
        <v>37</v>
      </c>
      <c r="G3560" s="19" t="s">
        <v>8364</v>
      </c>
      <c r="H3560" s="19" t="s">
        <v>22</v>
      </c>
      <c r="I3560" s="19">
        <v>24</v>
      </c>
      <c r="J3560" s="19">
        <v>0</v>
      </c>
      <c r="K3560" s="19">
        <v>5</v>
      </c>
      <c r="L3560" s="19" t="s">
        <v>62</v>
      </c>
      <c r="M3560" s="21">
        <v>5.8</v>
      </c>
      <c r="N3560">
        <f t="shared" si="55"/>
        <v>1</v>
      </c>
    </row>
    <row r="3561" spans="1:14" x14ac:dyDescent="0.35">
      <c r="A3561" s="22" t="s">
        <v>3631</v>
      </c>
      <c r="B3561" s="23" t="s">
        <v>45</v>
      </c>
      <c r="C3561" s="23">
        <v>11</v>
      </c>
      <c r="D3561" s="24">
        <v>45973</v>
      </c>
      <c r="E3561" s="23" t="s">
        <v>36</v>
      </c>
      <c r="F3561" s="23" t="s">
        <v>26</v>
      </c>
      <c r="G3561" s="23" t="s">
        <v>31</v>
      </c>
      <c r="H3561" s="23" t="s">
        <v>8364</v>
      </c>
      <c r="I3561" s="23">
        <v>8</v>
      </c>
      <c r="J3561" s="23">
        <v>0</v>
      </c>
      <c r="K3561" s="23">
        <v>5</v>
      </c>
      <c r="L3561" s="23" t="s">
        <v>8363</v>
      </c>
      <c r="M3561" s="25">
        <v>10.3</v>
      </c>
      <c r="N3561">
        <f t="shared" si="55"/>
        <v>0</v>
      </c>
    </row>
    <row r="3562" spans="1:14" x14ac:dyDescent="0.35">
      <c r="A3562" s="6" t="s">
        <v>3632</v>
      </c>
      <c r="B3562" s="19" t="s">
        <v>130</v>
      </c>
      <c r="C3562" s="19">
        <v>11</v>
      </c>
      <c r="D3562" s="20">
        <v>45989</v>
      </c>
      <c r="E3562" s="19" t="s">
        <v>36</v>
      </c>
      <c r="F3562" s="19" t="s">
        <v>14</v>
      </c>
      <c r="G3562" s="19" t="s">
        <v>21</v>
      </c>
      <c r="H3562" s="19" t="s">
        <v>32</v>
      </c>
      <c r="I3562" s="19">
        <v>72</v>
      </c>
      <c r="J3562" s="19">
        <v>0</v>
      </c>
      <c r="K3562" s="19">
        <v>5</v>
      </c>
      <c r="L3562" s="19" t="s">
        <v>55</v>
      </c>
      <c r="M3562" s="21">
        <v>6.8</v>
      </c>
      <c r="N3562">
        <f t="shared" si="55"/>
        <v>1</v>
      </c>
    </row>
    <row r="3563" spans="1:14" x14ac:dyDescent="0.35">
      <c r="A3563" s="22" t="s">
        <v>3633</v>
      </c>
      <c r="B3563" s="23" t="s">
        <v>89</v>
      </c>
      <c r="C3563" s="23">
        <v>12</v>
      </c>
      <c r="D3563" s="24">
        <v>46006</v>
      </c>
      <c r="E3563" s="23" t="s">
        <v>25</v>
      </c>
      <c r="F3563" s="23" t="s">
        <v>14</v>
      </c>
      <c r="G3563" s="23" t="s">
        <v>15</v>
      </c>
      <c r="H3563" s="23" t="s">
        <v>16</v>
      </c>
      <c r="I3563" s="23">
        <v>8</v>
      </c>
      <c r="J3563" s="23">
        <v>0</v>
      </c>
      <c r="K3563" s="23">
        <v>5</v>
      </c>
      <c r="L3563" s="23" t="s">
        <v>38</v>
      </c>
      <c r="M3563" s="25">
        <v>6.3</v>
      </c>
      <c r="N3563">
        <f t="shared" si="55"/>
        <v>1</v>
      </c>
    </row>
    <row r="3564" spans="1:14" x14ac:dyDescent="0.35">
      <c r="A3564" s="6" t="s">
        <v>3634</v>
      </c>
      <c r="B3564" s="19" t="s">
        <v>97</v>
      </c>
      <c r="C3564" s="19">
        <v>7</v>
      </c>
      <c r="D3564" s="20">
        <v>45866</v>
      </c>
      <c r="E3564" s="19" t="s">
        <v>13</v>
      </c>
      <c r="F3564" s="19" t="s">
        <v>8364</v>
      </c>
      <c r="G3564" s="19" t="s">
        <v>15</v>
      </c>
      <c r="H3564" s="19" t="s">
        <v>16</v>
      </c>
      <c r="I3564" s="19">
        <v>48</v>
      </c>
      <c r="J3564" s="19">
        <v>0</v>
      </c>
      <c r="K3564" s="19">
        <v>5</v>
      </c>
      <c r="L3564" s="19" t="s">
        <v>75</v>
      </c>
      <c r="M3564" s="21">
        <v>4.3</v>
      </c>
      <c r="N3564">
        <f t="shared" si="55"/>
        <v>1</v>
      </c>
    </row>
    <row r="3565" spans="1:14" x14ac:dyDescent="0.35">
      <c r="A3565" s="22" t="s">
        <v>3635</v>
      </c>
      <c r="B3565" s="23" t="s">
        <v>146</v>
      </c>
      <c r="C3565" s="23"/>
      <c r="D3565" s="24"/>
      <c r="E3565" s="23" t="s">
        <v>20</v>
      </c>
      <c r="F3565" s="23" t="s">
        <v>43</v>
      </c>
      <c r="G3565" s="23" t="s">
        <v>15</v>
      </c>
      <c r="H3565" s="23" t="s">
        <v>32</v>
      </c>
      <c r="I3565" s="23">
        <v>8</v>
      </c>
      <c r="J3565" s="23">
        <v>0</v>
      </c>
      <c r="K3565" s="23">
        <v>4</v>
      </c>
      <c r="L3565" s="23" t="s">
        <v>75</v>
      </c>
      <c r="M3565" s="25">
        <v>19.399999999999999</v>
      </c>
      <c r="N3565">
        <f t="shared" si="55"/>
        <v>0</v>
      </c>
    </row>
    <row r="3566" spans="1:14" x14ac:dyDescent="0.35">
      <c r="A3566" s="6" t="s">
        <v>3636</v>
      </c>
      <c r="B3566" s="19" t="s">
        <v>236</v>
      </c>
      <c r="C3566" s="19">
        <v>5</v>
      </c>
      <c r="D3566" s="20">
        <v>45805</v>
      </c>
      <c r="E3566" s="19" t="s">
        <v>36</v>
      </c>
      <c r="F3566" s="19" t="s">
        <v>14</v>
      </c>
      <c r="G3566" s="19" t="s">
        <v>27</v>
      </c>
      <c r="H3566" s="19" t="s">
        <v>16</v>
      </c>
      <c r="I3566" s="19">
        <v>72</v>
      </c>
      <c r="J3566" s="19">
        <v>0</v>
      </c>
      <c r="K3566" s="19">
        <v>2</v>
      </c>
      <c r="L3566" s="19" t="s">
        <v>75</v>
      </c>
      <c r="M3566" s="21">
        <v>8</v>
      </c>
      <c r="N3566">
        <f t="shared" si="55"/>
        <v>1</v>
      </c>
    </row>
    <row r="3567" spans="1:14" x14ac:dyDescent="0.35">
      <c r="A3567" s="22" t="s">
        <v>3637</v>
      </c>
      <c r="B3567" s="23" t="s">
        <v>51</v>
      </c>
      <c r="C3567" s="23">
        <v>11</v>
      </c>
      <c r="D3567" s="24">
        <v>45987</v>
      </c>
      <c r="E3567" s="23" t="s">
        <v>25</v>
      </c>
      <c r="F3567" s="23" t="s">
        <v>59</v>
      </c>
      <c r="G3567" s="23" t="s">
        <v>15</v>
      </c>
      <c r="H3567" s="23" t="s">
        <v>22</v>
      </c>
      <c r="I3567" s="23">
        <v>8</v>
      </c>
      <c r="J3567" s="23">
        <v>0</v>
      </c>
      <c r="K3567" s="23">
        <v>4</v>
      </c>
      <c r="L3567" s="23" t="s">
        <v>17</v>
      </c>
      <c r="M3567" s="25">
        <v>9.4</v>
      </c>
      <c r="N3567">
        <f t="shared" si="55"/>
        <v>0</v>
      </c>
    </row>
    <row r="3568" spans="1:14" x14ac:dyDescent="0.35">
      <c r="A3568" s="6" t="s">
        <v>3638</v>
      </c>
      <c r="B3568" s="19" t="s">
        <v>99</v>
      </c>
      <c r="C3568" s="19">
        <v>1</v>
      </c>
      <c r="D3568" s="20">
        <v>45667</v>
      </c>
      <c r="E3568" s="19" t="s">
        <v>13</v>
      </c>
      <c r="F3568" s="19" t="s">
        <v>43</v>
      </c>
      <c r="G3568" s="19" t="s">
        <v>27</v>
      </c>
      <c r="H3568" s="19" t="s">
        <v>32</v>
      </c>
      <c r="I3568" s="19">
        <v>48</v>
      </c>
      <c r="J3568" s="19">
        <v>0</v>
      </c>
      <c r="K3568" s="19">
        <v>3</v>
      </c>
      <c r="L3568" s="19" t="s">
        <v>33</v>
      </c>
      <c r="M3568" s="21">
        <v>30.7</v>
      </c>
      <c r="N3568">
        <f t="shared" si="55"/>
        <v>1</v>
      </c>
    </row>
    <row r="3569" spans="1:14" x14ac:dyDescent="0.35">
      <c r="A3569" s="22" t="s">
        <v>3639</v>
      </c>
      <c r="B3569" s="23" t="s">
        <v>130</v>
      </c>
      <c r="C3569" s="23">
        <v>2</v>
      </c>
      <c r="D3569" s="24">
        <v>45706</v>
      </c>
      <c r="E3569" s="23" t="s">
        <v>25</v>
      </c>
      <c r="F3569" s="23" t="s">
        <v>43</v>
      </c>
      <c r="G3569" s="23" t="s">
        <v>31</v>
      </c>
      <c r="H3569" s="23" t="s">
        <v>28</v>
      </c>
      <c r="I3569" s="23">
        <v>4</v>
      </c>
      <c r="J3569" s="23">
        <v>0</v>
      </c>
      <c r="K3569" s="23">
        <v>3</v>
      </c>
      <c r="L3569" s="23" t="s">
        <v>44</v>
      </c>
      <c r="M3569" s="25">
        <v>5.9</v>
      </c>
      <c r="N3569">
        <f t="shared" si="55"/>
        <v>0</v>
      </c>
    </row>
    <row r="3570" spans="1:14" x14ac:dyDescent="0.35">
      <c r="A3570" s="6" t="s">
        <v>3640</v>
      </c>
      <c r="B3570" s="19" t="s">
        <v>143</v>
      </c>
      <c r="C3570" s="19">
        <v>3</v>
      </c>
      <c r="D3570" s="20">
        <v>45718</v>
      </c>
      <c r="E3570" s="19" t="s">
        <v>13</v>
      </c>
      <c r="F3570" s="19" t="s">
        <v>14</v>
      </c>
      <c r="G3570" s="19" t="s">
        <v>8364</v>
      </c>
      <c r="H3570" s="19" t="s">
        <v>28</v>
      </c>
      <c r="I3570" s="19">
        <v>72</v>
      </c>
      <c r="J3570" s="19">
        <v>0</v>
      </c>
      <c r="K3570" s="19">
        <v>3</v>
      </c>
      <c r="L3570" s="19" t="s">
        <v>38</v>
      </c>
      <c r="M3570" s="21">
        <v>29.7</v>
      </c>
      <c r="N3570">
        <f t="shared" si="55"/>
        <v>1</v>
      </c>
    </row>
    <row r="3571" spans="1:14" x14ac:dyDescent="0.35">
      <c r="A3571" s="22" t="s">
        <v>3641</v>
      </c>
      <c r="B3571" s="23" t="s">
        <v>72</v>
      </c>
      <c r="C3571" s="23">
        <v>3</v>
      </c>
      <c r="D3571" s="24">
        <v>45737</v>
      </c>
      <c r="E3571" s="23" t="s">
        <v>25</v>
      </c>
      <c r="F3571" s="23" t="s">
        <v>14</v>
      </c>
      <c r="G3571" s="23" t="s">
        <v>8364</v>
      </c>
      <c r="H3571" s="23" t="s">
        <v>16</v>
      </c>
      <c r="I3571" s="23">
        <v>8</v>
      </c>
      <c r="J3571" s="23">
        <v>0</v>
      </c>
      <c r="K3571" s="23">
        <v>5</v>
      </c>
      <c r="L3571" s="23" t="s">
        <v>8363</v>
      </c>
      <c r="M3571" s="25">
        <v>23.8</v>
      </c>
      <c r="N3571">
        <f t="shared" si="55"/>
        <v>0</v>
      </c>
    </row>
    <row r="3572" spans="1:14" x14ac:dyDescent="0.35">
      <c r="A3572" s="6" t="s">
        <v>3642</v>
      </c>
      <c r="B3572" s="19" t="s">
        <v>39</v>
      </c>
      <c r="C3572" s="19"/>
      <c r="D3572" s="20"/>
      <c r="E3572" s="19" t="s">
        <v>68</v>
      </c>
      <c r="F3572" s="19" t="s">
        <v>43</v>
      </c>
      <c r="G3572" s="19" t="s">
        <v>27</v>
      </c>
      <c r="H3572" s="19" t="s">
        <v>8364</v>
      </c>
      <c r="I3572" s="19">
        <v>4</v>
      </c>
      <c r="J3572" s="19">
        <v>0</v>
      </c>
      <c r="K3572" s="19">
        <v>3</v>
      </c>
      <c r="L3572" s="19" t="s">
        <v>33</v>
      </c>
      <c r="M3572" s="21">
        <v>5</v>
      </c>
      <c r="N3572">
        <f t="shared" si="55"/>
        <v>0</v>
      </c>
    </row>
    <row r="3573" spans="1:14" x14ac:dyDescent="0.35">
      <c r="A3573" s="22" t="s">
        <v>3643</v>
      </c>
      <c r="B3573" s="23" t="s">
        <v>236</v>
      </c>
      <c r="C3573" s="23">
        <v>10</v>
      </c>
      <c r="D3573" s="24">
        <v>45945</v>
      </c>
      <c r="E3573" s="23" t="s">
        <v>25</v>
      </c>
      <c r="F3573" s="23" t="s">
        <v>37</v>
      </c>
      <c r="G3573" s="23" t="s">
        <v>15</v>
      </c>
      <c r="H3573" s="23" t="s">
        <v>22</v>
      </c>
      <c r="I3573" s="23">
        <v>72</v>
      </c>
      <c r="J3573" s="23">
        <v>0</v>
      </c>
      <c r="K3573" s="23">
        <v>5</v>
      </c>
      <c r="L3573" s="23" t="s">
        <v>8363</v>
      </c>
      <c r="M3573" s="25">
        <v>6.6</v>
      </c>
      <c r="N3573">
        <f t="shared" si="55"/>
        <v>1</v>
      </c>
    </row>
    <row r="3574" spans="1:14" x14ac:dyDescent="0.35">
      <c r="A3574" s="6" t="s">
        <v>3644</v>
      </c>
      <c r="B3574" s="19" t="s">
        <v>146</v>
      </c>
      <c r="C3574" s="19">
        <v>5</v>
      </c>
      <c r="D3574" s="20">
        <v>45794</v>
      </c>
      <c r="E3574" s="19" t="s">
        <v>8364</v>
      </c>
      <c r="F3574" s="19" t="s">
        <v>59</v>
      </c>
      <c r="G3574" s="19" t="s">
        <v>31</v>
      </c>
      <c r="H3574" s="19" t="s">
        <v>8364</v>
      </c>
      <c r="I3574" s="19">
        <v>8</v>
      </c>
      <c r="J3574" s="19">
        <v>0</v>
      </c>
      <c r="K3574" s="19">
        <v>3</v>
      </c>
      <c r="L3574" s="19" t="s">
        <v>8363</v>
      </c>
      <c r="M3574" s="21">
        <v>20</v>
      </c>
      <c r="N3574">
        <f t="shared" si="55"/>
        <v>0</v>
      </c>
    </row>
    <row r="3575" spans="1:14" x14ac:dyDescent="0.35">
      <c r="A3575" s="22" t="s">
        <v>3645</v>
      </c>
      <c r="B3575" s="23" t="s">
        <v>104</v>
      </c>
      <c r="C3575" s="23">
        <v>4</v>
      </c>
      <c r="D3575" s="24">
        <v>45749</v>
      </c>
      <c r="E3575" s="23" t="s">
        <v>25</v>
      </c>
      <c r="F3575" s="23" t="s">
        <v>14</v>
      </c>
      <c r="G3575" s="23" t="s">
        <v>8364</v>
      </c>
      <c r="H3575" s="23" t="s">
        <v>22</v>
      </c>
      <c r="I3575" s="23">
        <v>8</v>
      </c>
      <c r="J3575" s="23">
        <v>0</v>
      </c>
      <c r="K3575" s="23">
        <v>4</v>
      </c>
      <c r="L3575" s="23" t="s">
        <v>44</v>
      </c>
      <c r="M3575" s="25">
        <v>16.399999999999999</v>
      </c>
      <c r="N3575">
        <f t="shared" si="55"/>
        <v>0</v>
      </c>
    </row>
    <row r="3576" spans="1:14" x14ac:dyDescent="0.35">
      <c r="A3576" s="6" t="s">
        <v>3646</v>
      </c>
      <c r="B3576" s="19" t="s">
        <v>104</v>
      </c>
      <c r="C3576" s="19"/>
      <c r="D3576" s="20"/>
      <c r="E3576" s="19" t="s">
        <v>13</v>
      </c>
      <c r="F3576" s="19" t="s">
        <v>40</v>
      </c>
      <c r="G3576" s="19" t="s">
        <v>27</v>
      </c>
      <c r="H3576" s="19" t="s">
        <v>8364</v>
      </c>
      <c r="I3576" s="19">
        <v>24</v>
      </c>
      <c r="J3576" s="19">
        <v>1</v>
      </c>
      <c r="K3576" s="19">
        <v>4</v>
      </c>
      <c r="L3576" s="19" t="s">
        <v>75</v>
      </c>
      <c r="M3576" s="21">
        <v>1</v>
      </c>
      <c r="N3576">
        <f t="shared" si="55"/>
        <v>1</v>
      </c>
    </row>
    <row r="3577" spans="1:14" x14ac:dyDescent="0.35">
      <c r="A3577" s="22" t="s">
        <v>3647</v>
      </c>
      <c r="B3577" s="23" t="s">
        <v>158</v>
      </c>
      <c r="C3577" s="23"/>
      <c r="D3577" s="24"/>
      <c r="E3577" s="23" t="s">
        <v>13</v>
      </c>
      <c r="F3577" s="23" t="s">
        <v>14</v>
      </c>
      <c r="G3577" s="23" t="s">
        <v>15</v>
      </c>
      <c r="H3577" s="23" t="s">
        <v>32</v>
      </c>
      <c r="I3577" s="23">
        <v>72</v>
      </c>
      <c r="J3577" s="23">
        <v>1</v>
      </c>
      <c r="K3577" s="23">
        <v>2</v>
      </c>
      <c r="L3577" s="23" t="s">
        <v>33</v>
      </c>
      <c r="M3577" s="25">
        <v>6.3</v>
      </c>
      <c r="N3577">
        <f t="shared" si="55"/>
        <v>1</v>
      </c>
    </row>
    <row r="3578" spans="1:14" x14ac:dyDescent="0.35">
      <c r="A3578" s="6" t="s">
        <v>3648</v>
      </c>
      <c r="B3578" s="19" t="s">
        <v>139</v>
      </c>
      <c r="C3578" s="19">
        <v>4</v>
      </c>
      <c r="D3578" s="20">
        <v>45752</v>
      </c>
      <c r="E3578" s="19" t="s">
        <v>68</v>
      </c>
      <c r="F3578" s="19" t="s">
        <v>40</v>
      </c>
      <c r="G3578" s="19" t="s">
        <v>31</v>
      </c>
      <c r="H3578" s="19" t="s">
        <v>8364</v>
      </c>
      <c r="I3578" s="19">
        <v>48</v>
      </c>
      <c r="J3578" s="19">
        <v>0</v>
      </c>
      <c r="K3578" s="19">
        <v>5</v>
      </c>
      <c r="L3578" s="19" t="s">
        <v>75</v>
      </c>
      <c r="M3578" s="21">
        <v>13.8</v>
      </c>
      <c r="N3578">
        <f t="shared" si="55"/>
        <v>1</v>
      </c>
    </row>
    <row r="3579" spans="1:14" x14ac:dyDescent="0.35">
      <c r="A3579" s="22" t="s">
        <v>3649</v>
      </c>
      <c r="B3579" s="23" t="s">
        <v>158</v>
      </c>
      <c r="C3579" s="23">
        <v>7</v>
      </c>
      <c r="D3579" s="24">
        <v>45867</v>
      </c>
      <c r="E3579" s="23" t="s">
        <v>8364</v>
      </c>
      <c r="F3579" s="23" t="s">
        <v>37</v>
      </c>
      <c r="G3579" s="23" t="s">
        <v>27</v>
      </c>
      <c r="H3579" s="23" t="s">
        <v>8364</v>
      </c>
      <c r="I3579" s="23">
        <v>4</v>
      </c>
      <c r="J3579" s="23">
        <v>1</v>
      </c>
      <c r="K3579" s="23">
        <v>4</v>
      </c>
      <c r="L3579" s="23" t="s">
        <v>38</v>
      </c>
      <c r="M3579" s="25">
        <v>6.2</v>
      </c>
      <c r="N3579">
        <f t="shared" si="55"/>
        <v>0</v>
      </c>
    </row>
    <row r="3580" spans="1:14" x14ac:dyDescent="0.35">
      <c r="A3580" s="6" t="s">
        <v>3650</v>
      </c>
      <c r="B3580" s="19" t="s">
        <v>78</v>
      </c>
      <c r="C3580" s="19">
        <v>3</v>
      </c>
      <c r="D3580" s="20">
        <v>45743</v>
      </c>
      <c r="E3580" s="19" t="s">
        <v>25</v>
      </c>
      <c r="F3580" s="19" t="s">
        <v>14</v>
      </c>
      <c r="G3580" s="19" t="s">
        <v>21</v>
      </c>
      <c r="H3580" s="19" t="s">
        <v>22</v>
      </c>
      <c r="I3580" s="19">
        <v>72</v>
      </c>
      <c r="J3580" s="19">
        <v>0</v>
      </c>
      <c r="K3580" s="19">
        <v>1</v>
      </c>
      <c r="L3580" s="19" t="s">
        <v>8363</v>
      </c>
      <c r="M3580" s="21">
        <v>22</v>
      </c>
      <c r="N3580">
        <f t="shared" si="55"/>
        <v>1</v>
      </c>
    </row>
    <row r="3581" spans="1:14" x14ac:dyDescent="0.35">
      <c r="A3581" s="22" t="s">
        <v>3651</v>
      </c>
      <c r="B3581" s="23" t="s">
        <v>18</v>
      </c>
      <c r="C3581" s="23">
        <v>11</v>
      </c>
      <c r="D3581" s="24">
        <v>45965</v>
      </c>
      <c r="E3581" s="23" t="s">
        <v>68</v>
      </c>
      <c r="F3581" s="23" t="s">
        <v>40</v>
      </c>
      <c r="G3581" s="23" t="s">
        <v>31</v>
      </c>
      <c r="H3581" s="23" t="s">
        <v>28</v>
      </c>
      <c r="I3581" s="23">
        <v>4</v>
      </c>
      <c r="J3581" s="23">
        <v>0</v>
      </c>
      <c r="K3581" s="23">
        <v>4</v>
      </c>
      <c r="L3581" s="23" t="s">
        <v>33</v>
      </c>
      <c r="M3581" s="25">
        <v>3.9</v>
      </c>
      <c r="N3581">
        <f t="shared" si="55"/>
        <v>1</v>
      </c>
    </row>
    <row r="3582" spans="1:14" x14ac:dyDescent="0.35">
      <c r="A3582" s="6" t="s">
        <v>3652</v>
      </c>
      <c r="B3582" s="19" t="s">
        <v>104</v>
      </c>
      <c r="C3582" s="19">
        <v>3</v>
      </c>
      <c r="D3582" s="20">
        <v>45723</v>
      </c>
      <c r="E3582" s="19" t="s">
        <v>25</v>
      </c>
      <c r="F3582" s="19" t="s">
        <v>40</v>
      </c>
      <c r="G3582" s="19" t="s">
        <v>27</v>
      </c>
      <c r="H3582" s="19" t="s">
        <v>16</v>
      </c>
      <c r="I3582" s="19">
        <v>48</v>
      </c>
      <c r="J3582" s="19">
        <v>0</v>
      </c>
      <c r="K3582" s="19">
        <v>4</v>
      </c>
      <c r="L3582" s="19" t="s">
        <v>62</v>
      </c>
      <c r="M3582" s="21">
        <v>7.1</v>
      </c>
      <c r="N3582">
        <f t="shared" si="55"/>
        <v>1</v>
      </c>
    </row>
    <row r="3583" spans="1:14" x14ac:dyDescent="0.35">
      <c r="A3583" s="22" t="s">
        <v>3653</v>
      </c>
      <c r="B3583" s="23" t="s">
        <v>158</v>
      </c>
      <c r="C3583" s="23">
        <v>12</v>
      </c>
      <c r="D3583" s="24">
        <v>46022</v>
      </c>
      <c r="E3583" s="23" t="s">
        <v>13</v>
      </c>
      <c r="F3583" s="23" t="s">
        <v>59</v>
      </c>
      <c r="G3583" s="23" t="s">
        <v>21</v>
      </c>
      <c r="H3583" s="23" t="s">
        <v>22</v>
      </c>
      <c r="I3583" s="23">
        <v>8</v>
      </c>
      <c r="J3583" s="23">
        <v>0</v>
      </c>
      <c r="K3583" s="23">
        <v>4</v>
      </c>
      <c r="L3583" s="23" t="s">
        <v>75</v>
      </c>
      <c r="M3583" s="25">
        <v>22.9</v>
      </c>
      <c r="N3583">
        <f t="shared" si="55"/>
        <v>0</v>
      </c>
    </row>
    <row r="3584" spans="1:14" x14ac:dyDescent="0.35">
      <c r="A3584" s="6" t="s">
        <v>3654</v>
      </c>
      <c r="B3584" s="19" t="s">
        <v>53</v>
      </c>
      <c r="C3584" s="19">
        <v>12</v>
      </c>
      <c r="D3584" s="20">
        <v>46015</v>
      </c>
      <c r="E3584" s="19" t="s">
        <v>25</v>
      </c>
      <c r="F3584" s="19" t="s">
        <v>43</v>
      </c>
      <c r="G3584" s="19" t="s">
        <v>27</v>
      </c>
      <c r="H3584" s="19" t="s">
        <v>32</v>
      </c>
      <c r="I3584" s="19">
        <v>8</v>
      </c>
      <c r="J3584" s="19">
        <v>2</v>
      </c>
      <c r="K3584" s="19">
        <v>5</v>
      </c>
      <c r="L3584" s="19" t="s">
        <v>75</v>
      </c>
      <c r="M3584" s="21">
        <v>5</v>
      </c>
      <c r="N3584">
        <f t="shared" si="55"/>
        <v>1</v>
      </c>
    </row>
    <row r="3585" spans="1:14" x14ac:dyDescent="0.35">
      <c r="A3585" s="22" t="s">
        <v>3655</v>
      </c>
      <c r="B3585" s="23" t="s">
        <v>139</v>
      </c>
      <c r="C3585" s="23">
        <v>11</v>
      </c>
      <c r="D3585" s="24">
        <v>45977</v>
      </c>
      <c r="E3585" s="23" t="s">
        <v>13</v>
      </c>
      <c r="F3585" s="23" t="s">
        <v>8364</v>
      </c>
      <c r="G3585" s="23" t="s">
        <v>21</v>
      </c>
      <c r="H3585" s="23" t="s">
        <v>22</v>
      </c>
      <c r="I3585" s="23">
        <v>48</v>
      </c>
      <c r="J3585" s="23">
        <v>0</v>
      </c>
      <c r="K3585" s="23">
        <v>4</v>
      </c>
      <c r="L3585" s="23" t="s">
        <v>55</v>
      </c>
      <c r="M3585" s="25">
        <v>7.8</v>
      </c>
      <c r="N3585">
        <f t="shared" si="55"/>
        <v>1</v>
      </c>
    </row>
    <row r="3586" spans="1:14" x14ac:dyDescent="0.35">
      <c r="A3586" s="6" t="s">
        <v>3656</v>
      </c>
      <c r="B3586" s="19" t="s">
        <v>51</v>
      </c>
      <c r="C3586" s="19">
        <v>1</v>
      </c>
      <c r="D3586" s="20">
        <v>45677</v>
      </c>
      <c r="E3586" s="19" t="s">
        <v>20</v>
      </c>
      <c r="F3586" s="19" t="s">
        <v>59</v>
      </c>
      <c r="G3586" s="19" t="s">
        <v>27</v>
      </c>
      <c r="H3586" s="19" t="s">
        <v>32</v>
      </c>
      <c r="I3586" s="19">
        <v>4</v>
      </c>
      <c r="J3586" s="19">
        <v>0</v>
      </c>
      <c r="K3586" s="19">
        <v>4</v>
      </c>
      <c r="L3586" s="19" t="s">
        <v>55</v>
      </c>
      <c r="M3586" s="21">
        <v>26.3</v>
      </c>
      <c r="N3586">
        <f t="shared" si="55"/>
        <v>0</v>
      </c>
    </row>
    <row r="3587" spans="1:14" x14ac:dyDescent="0.35">
      <c r="A3587" s="22" t="s">
        <v>3657</v>
      </c>
      <c r="B3587" s="23" t="s">
        <v>47</v>
      </c>
      <c r="C3587" s="23">
        <v>8</v>
      </c>
      <c r="D3587" s="24">
        <v>45888</v>
      </c>
      <c r="E3587" s="23" t="s">
        <v>25</v>
      </c>
      <c r="F3587" s="23" t="s">
        <v>14</v>
      </c>
      <c r="G3587" s="23" t="s">
        <v>31</v>
      </c>
      <c r="H3587" s="23" t="s">
        <v>8364</v>
      </c>
      <c r="I3587" s="23">
        <v>8</v>
      </c>
      <c r="J3587" s="23">
        <v>0</v>
      </c>
      <c r="K3587" s="23">
        <v>5</v>
      </c>
      <c r="L3587" s="23" t="s">
        <v>8363</v>
      </c>
      <c r="M3587" s="25">
        <v>5.2</v>
      </c>
      <c r="N3587">
        <f t="shared" ref="N3587:N3650" si="56">IF(M3587 &lt;= I3587, 1, 0)</f>
        <v>1</v>
      </c>
    </row>
    <row r="3588" spans="1:14" x14ac:dyDescent="0.35">
      <c r="A3588" s="6" t="s">
        <v>3658</v>
      </c>
      <c r="B3588" s="19" t="s">
        <v>23</v>
      </c>
      <c r="C3588" s="19">
        <v>5</v>
      </c>
      <c r="D3588" s="20">
        <v>45789</v>
      </c>
      <c r="E3588" s="19" t="s">
        <v>36</v>
      </c>
      <c r="F3588" s="19" t="s">
        <v>43</v>
      </c>
      <c r="G3588" s="19" t="s">
        <v>15</v>
      </c>
      <c r="H3588" s="19" t="s">
        <v>32</v>
      </c>
      <c r="I3588" s="19">
        <v>72</v>
      </c>
      <c r="J3588" s="19">
        <v>0</v>
      </c>
      <c r="K3588" s="19">
        <v>4</v>
      </c>
      <c r="L3588" s="19" t="s">
        <v>8363</v>
      </c>
      <c r="M3588" s="21">
        <v>17</v>
      </c>
      <c r="N3588">
        <f t="shared" si="56"/>
        <v>1</v>
      </c>
    </row>
    <row r="3589" spans="1:14" x14ac:dyDescent="0.35">
      <c r="A3589" s="22" t="s">
        <v>3659</v>
      </c>
      <c r="B3589" s="23" t="s">
        <v>47</v>
      </c>
      <c r="C3589" s="23"/>
      <c r="D3589" s="24"/>
      <c r="E3589" s="23" t="s">
        <v>8364</v>
      </c>
      <c r="F3589" s="23" t="s">
        <v>59</v>
      </c>
      <c r="G3589" s="23" t="s">
        <v>31</v>
      </c>
      <c r="H3589" s="23" t="s">
        <v>16</v>
      </c>
      <c r="I3589" s="23">
        <v>48</v>
      </c>
      <c r="J3589" s="23">
        <v>0</v>
      </c>
      <c r="K3589" s="23">
        <v>2</v>
      </c>
      <c r="L3589" s="23" t="s">
        <v>55</v>
      </c>
      <c r="M3589" s="25">
        <v>7.8</v>
      </c>
      <c r="N3589">
        <f t="shared" si="56"/>
        <v>1</v>
      </c>
    </row>
    <row r="3590" spans="1:14" x14ac:dyDescent="0.35">
      <c r="A3590" s="6" t="s">
        <v>3660</v>
      </c>
      <c r="B3590" s="19" t="s">
        <v>87</v>
      </c>
      <c r="C3590" s="19">
        <v>7</v>
      </c>
      <c r="D3590" s="20">
        <v>45848</v>
      </c>
      <c r="E3590" s="19" t="s">
        <v>36</v>
      </c>
      <c r="F3590" s="19" t="s">
        <v>14</v>
      </c>
      <c r="G3590" s="19" t="s">
        <v>31</v>
      </c>
      <c r="H3590" s="19" t="s">
        <v>8364</v>
      </c>
      <c r="I3590" s="19">
        <v>24</v>
      </c>
      <c r="J3590" s="19">
        <v>0</v>
      </c>
      <c r="K3590" s="19">
        <v>5</v>
      </c>
      <c r="L3590" s="19" t="s">
        <v>75</v>
      </c>
      <c r="M3590" s="21"/>
      <c r="N3590">
        <f t="shared" si="56"/>
        <v>1</v>
      </c>
    </row>
    <row r="3591" spans="1:14" x14ac:dyDescent="0.35">
      <c r="A3591" s="22" t="s">
        <v>3661</v>
      </c>
      <c r="B3591" s="23" t="s">
        <v>49</v>
      </c>
      <c r="C3591" s="23">
        <v>4</v>
      </c>
      <c r="D3591" s="24">
        <v>45757</v>
      </c>
      <c r="E3591" s="23" t="s">
        <v>13</v>
      </c>
      <c r="F3591" s="23" t="s">
        <v>14</v>
      </c>
      <c r="G3591" s="23" t="s">
        <v>27</v>
      </c>
      <c r="H3591" s="23" t="s">
        <v>22</v>
      </c>
      <c r="I3591" s="23">
        <v>4</v>
      </c>
      <c r="J3591" s="23">
        <v>1</v>
      </c>
      <c r="K3591" s="23">
        <v>5</v>
      </c>
      <c r="L3591" s="23" t="s">
        <v>62</v>
      </c>
      <c r="M3591" s="25">
        <v>2.9</v>
      </c>
      <c r="N3591">
        <f t="shared" si="56"/>
        <v>1</v>
      </c>
    </row>
    <row r="3592" spans="1:14" x14ac:dyDescent="0.35">
      <c r="A3592" s="6" t="s">
        <v>3662</v>
      </c>
      <c r="B3592" s="19" t="s">
        <v>49</v>
      </c>
      <c r="C3592" s="19">
        <v>10</v>
      </c>
      <c r="D3592" s="20">
        <v>45958</v>
      </c>
      <c r="E3592" s="19" t="s">
        <v>13</v>
      </c>
      <c r="F3592" s="19" t="s">
        <v>43</v>
      </c>
      <c r="G3592" s="19" t="s">
        <v>31</v>
      </c>
      <c r="H3592" s="19" t="s">
        <v>32</v>
      </c>
      <c r="I3592" s="19">
        <v>48</v>
      </c>
      <c r="J3592" s="19">
        <v>2</v>
      </c>
      <c r="K3592" s="19">
        <v>5</v>
      </c>
      <c r="L3592" s="19" t="s">
        <v>8363</v>
      </c>
      <c r="M3592" s="21">
        <v>3.1</v>
      </c>
      <c r="N3592">
        <f t="shared" si="56"/>
        <v>1</v>
      </c>
    </row>
    <row r="3593" spans="1:14" x14ac:dyDescent="0.35">
      <c r="A3593" s="22" t="s">
        <v>3663</v>
      </c>
      <c r="B3593" s="23" t="s">
        <v>65</v>
      </c>
      <c r="C3593" s="23">
        <v>4</v>
      </c>
      <c r="D3593" s="24">
        <v>45768</v>
      </c>
      <c r="E3593" s="23" t="s">
        <v>13</v>
      </c>
      <c r="F3593" s="23" t="s">
        <v>8364</v>
      </c>
      <c r="G3593" s="23" t="s">
        <v>31</v>
      </c>
      <c r="H3593" s="23" t="s">
        <v>8364</v>
      </c>
      <c r="I3593" s="23">
        <v>48</v>
      </c>
      <c r="J3593" s="23">
        <v>0</v>
      </c>
      <c r="K3593" s="23">
        <v>5</v>
      </c>
      <c r="L3593" s="23" t="s">
        <v>8363</v>
      </c>
      <c r="M3593" s="25">
        <v>25.6</v>
      </c>
      <c r="N3593">
        <f t="shared" si="56"/>
        <v>1</v>
      </c>
    </row>
    <row r="3594" spans="1:14" x14ac:dyDescent="0.35">
      <c r="A3594" s="6" t="s">
        <v>3664</v>
      </c>
      <c r="B3594" s="19" t="s">
        <v>104</v>
      </c>
      <c r="C3594" s="19">
        <v>1</v>
      </c>
      <c r="D3594" s="20">
        <v>45675</v>
      </c>
      <c r="E3594" s="19" t="s">
        <v>25</v>
      </c>
      <c r="F3594" s="19" t="s">
        <v>14</v>
      </c>
      <c r="G3594" s="19" t="s">
        <v>27</v>
      </c>
      <c r="H3594" s="19" t="s">
        <v>22</v>
      </c>
      <c r="I3594" s="19">
        <v>48</v>
      </c>
      <c r="J3594" s="19">
        <v>0</v>
      </c>
      <c r="K3594" s="19">
        <v>5</v>
      </c>
      <c r="L3594" s="19" t="s">
        <v>17</v>
      </c>
      <c r="M3594" s="21">
        <v>4.2</v>
      </c>
      <c r="N3594">
        <f t="shared" si="56"/>
        <v>1</v>
      </c>
    </row>
    <row r="3595" spans="1:14" x14ac:dyDescent="0.35">
      <c r="A3595" s="22" t="s">
        <v>3665</v>
      </c>
      <c r="B3595" s="23" t="s">
        <v>126</v>
      </c>
      <c r="C3595" s="23"/>
      <c r="D3595" s="24"/>
      <c r="E3595" s="23" t="s">
        <v>13</v>
      </c>
      <c r="F3595" s="23" t="s">
        <v>59</v>
      </c>
      <c r="G3595" s="23" t="s">
        <v>27</v>
      </c>
      <c r="H3595" s="23" t="s">
        <v>22</v>
      </c>
      <c r="I3595" s="23">
        <v>72</v>
      </c>
      <c r="J3595" s="23">
        <v>0</v>
      </c>
      <c r="K3595" s="23">
        <v>5</v>
      </c>
      <c r="L3595" s="23" t="s">
        <v>75</v>
      </c>
      <c r="M3595" s="25">
        <v>17.3</v>
      </c>
      <c r="N3595">
        <f t="shared" si="56"/>
        <v>1</v>
      </c>
    </row>
    <row r="3596" spans="1:14" x14ac:dyDescent="0.35">
      <c r="A3596" s="6" t="s">
        <v>3666</v>
      </c>
      <c r="B3596" s="19" t="s">
        <v>158</v>
      </c>
      <c r="C3596" s="19"/>
      <c r="D3596" s="20"/>
      <c r="E3596" s="19" t="s">
        <v>13</v>
      </c>
      <c r="F3596" s="19" t="s">
        <v>43</v>
      </c>
      <c r="G3596" s="19" t="s">
        <v>31</v>
      </c>
      <c r="H3596" s="19" t="s">
        <v>32</v>
      </c>
      <c r="I3596" s="19">
        <v>48</v>
      </c>
      <c r="J3596" s="19">
        <v>0</v>
      </c>
      <c r="K3596" s="19">
        <v>4</v>
      </c>
      <c r="L3596" s="19" t="s">
        <v>55</v>
      </c>
      <c r="M3596" s="21">
        <v>6.8</v>
      </c>
      <c r="N3596">
        <f t="shared" si="56"/>
        <v>1</v>
      </c>
    </row>
    <row r="3597" spans="1:14" x14ac:dyDescent="0.35">
      <c r="A3597" s="22" t="s">
        <v>3667</v>
      </c>
      <c r="B3597" s="23" t="s">
        <v>65</v>
      </c>
      <c r="C3597" s="23">
        <v>4</v>
      </c>
      <c r="D3597" s="24">
        <v>45752</v>
      </c>
      <c r="E3597" s="23" t="s">
        <v>13</v>
      </c>
      <c r="F3597" s="23" t="s">
        <v>37</v>
      </c>
      <c r="G3597" s="23" t="s">
        <v>27</v>
      </c>
      <c r="H3597" s="23" t="s">
        <v>32</v>
      </c>
      <c r="I3597" s="23">
        <v>24</v>
      </c>
      <c r="J3597" s="23">
        <v>0</v>
      </c>
      <c r="K3597" s="23">
        <v>4</v>
      </c>
      <c r="L3597" s="23" t="s">
        <v>75</v>
      </c>
      <c r="M3597" s="25">
        <v>11.5</v>
      </c>
      <c r="N3597">
        <f t="shared" si="56"/>
        <v>1</v>
      </c>
    </row>
    <row r="3598" spans="1:14" x14ac:dyDescent="0.35">
      <c r="A3598" s="6" t="s">
        <v>3668</v>
      </c>
      <c r="B3598" s="19" t="s">
        <v>57</v>
      </c>
      <c r="C3598" s="19"/>
      <c r="D3598" s="20"/>
      <c r="E3598" s="19" t="s">
        <v>13</v>
      </c>
      <c r="F3598" s="19" t="s">
        <v>40</v>
      </c>
      <c r="G3598" s="19" t="s">
        <v>21</v>
      </c>
      <c r="H3598" s="19" t="s">
        <v>22</v>
      </c>
      <c r="I3598" s="19">
        <v>4</v>
      </c>
      <c r="J3598" s="19">
        <v>2</v>
      </c>
      <c r="K3598" s="19">
        <v>1</v>
      </c>
      <c r="L3598" s="19" t="s">
        <v>55</v>
      </c>
      <c r="M3598" s="21">
        <v>13.9</v>
      </c>
      <c r="N3598">
        <f t="shared" si="56"/>
        <v>0</v>
      </c>
    </row>
    <row r="3599" spans="1:14" x14ac:dyDescent="0.35">
      <c r="A3599" s="22" t="s">
        <v>3669</v>
      </c>
      <c r="B3599" s="23" t="s">
        <v>41</v>
      </c>
      <c r="C3599" s="23">
        <v>4</v>
      </c>
      <c r="D3599" s="24">
        <v>45752</v>
      </c>
      <c r="E3599" s="23" t="s">
        <v>8364</v>
      </c>
      <c r="F3599" s="23" t="s">
        <v>26</v>
      </c>
      <c r="G3599" s="23" t="s">
        <v>31</v>
      </c>
      <c r="H3599" s="23" t="s">
        <v>28</v>
      </c>
      <c r="I3599" s="23">
        <v>72</v>
      </c>
      <c r="J3599" s="23">
        <v>1</v>
      </c>
      <c r="K3599" s="23">
        <v>4</v>
      </c>
      <c r="L3599" s="23" t="s">
        <v>44</v>
      </c>
      <c r="M3599" s="25">
        <v>21.1</v>
      </c>
      <c r="N3599">
        <f t="shared" si="56"/>
        <v>1</v>
      </c>
    </row>
    <row r="3600" spans="1:14" x14ac:dyDescent="0.35">
      <c r="A3600" s="6" t="s">
        <v>3670</v>
      </c>
      <c r="B3600" s="19" t="s">
        <v>104</v>
      </c>
      <c r="C3600" s="19">
        <v>9</v>
      </c>
      <c r="D3600" s="20">
        <v>45912</v>
      </c>
      <c r="E3600" s="19" t="s">
        <v>25</v>
      </c>
      <c r="F3600" s="19" t="s">
        <v>14</v>
      </c>
      <c r="G3600" s="19" t="s">
        <v>15</v>
      </c>
      <c r="H3600" s="19" t="s">
        <v>8364</v>
      </c>
      <c r="I3600" s="19">
        <v>8</v>
      </c>
      <c r="J3600" s="19">
        <v>0</v>
      </c>
      <c r="K3600" s="19">
        <v>5</v>
      </c>
      <c r="L3600" s="19" t="s">
        <v>38</v>
      </c>
      <c r="M3600" s="21">
        <v>8</v>
      </c>
      <c r="N3600">
        <f t="shared" si="56"/>
        <v>1</v>
      </c>
    </row>
    <row r="3601" spans="1:14" x14ac:dyDescent="0.35">
      <c r="A3601" s="22" t="s">
        <v>3671</v>
      </c>
      <c r="B3601" s="23" t="s">
        <v>18</v>
      </c>
      <c r="C3601" s="23">
        <v>2</v>
      </c>
      <c r="D3601" s="24">
        <v>45705</v>
      </c>
      <c r="E3601" s="23" t="s">
        <v>13</v>
      </c>
      <c r="F3601" s="23" t="s">
        <v>14</v>
      </c>
      <c r="G3601" s="23" t="s">
        <v>31</v>
      </c>
      <c r="H3601" s="23" t="s">
        <v>32</v>
      </c>
      <c r="I3601" s="23">
        <v>24</v>
      </c>
      <c r="J3601" s="23">
        <v>0</v>
      </c>
      <c r="K3601" s="23">
        <v>5</v>
      </c>
      <c r="L3601" s="23" t="s">
        <v>75</v>
      </c>
      <c r="M3601" s="25">
        <v>5.4</v>
      </c>
      <c r="N3601">
        <f t="shared" si="56"/>
        <v>1</v>
      </c>
    </row>
    <row r="3602" spans="1:14" x14ac:dyDescent="0.35">
      <c r="A3602" s="6" t="s">
        <v>3672</v>
      </c>
      <c r="B3602" s="19" t="s">
        <v>51</v>
      </c>
      <c r="C3602" s="19">
        <v>4</v>
      </c>
      <c r="D3602" s="20">
        <v>45754</v>
      </c>
      <c r="E3602" s="19" t="s">
        <v>13</v>
      </c>
      <c r="F3602" s="19" t="s">
        <v>14</v>
      </c>
      <c r="G3602" s="19" t="s">
        <v>27</v>
      </c>
      <c r="H3602" s="19" t="s">
        <v>22</v>
      </c>
      <c r="I3602" s="19">
        <v>48</v>
      </c>
      <c r="J3602" s="19">
        <v>0</v>
      </c>
      <c r="K3602" s="19">
        <v>4</v>
      </c>
      <c r="L3602" s="19" t="s">
        <v>38</v>
      </c>
      <c r="M3602" s="21">
        <v>17.2</v>
      </c>
      <c r="N3602">
        <f t="shared" si="56"/>
        <v>1</v>
      </c>
    </row>
    <row r="3603" spans="1:14" x14ac:dyDescent="0.35">
      <c r="A3603" s="22" t="s">
        <v>3673</v>
      </c>
      <c r="B3603" s="23" t="s">
        <v>29</v>
      </c>
      <c r="C3603" s="23"/>
      <c r="D3603" s="24"/>
      <c r="E3603" s="23" t="s">
        <v>25</v>
      </c>
      <c r="F3603" s="23" t="s">
        <v>26</v>
      </c>
      <c r="G3603" s="23" t="s">
        <v>31</v>
      </c>
      <c r="H3603" s="23" t="s">
        <v>32</v>
      </c>
      <c r="I3603" s="23">
        <v>4</v>
      </c>
      <c r="J3603" s="23">
        <v>0</v>
      </c>
      <c r="K3603" s="23">
        <v>4</v>
      </c>
      <c r="L3603" s="23" t="s">
        <v>55</v>
      </c>
      <c r="M3603" s="25">
        <v>9.1999999999999993</v>
      </c>
      <c r="N3603">
        <f t="shared" si="56"/>
        <v>0</v>
      </c>
    </row>
    <row r="3604" spans="1:14" x14ac:dyDescent="0.35">
      <c r="A3604" s="6" t="s">
        <v>3674</v>
      </c>
      <c r="B3604" s="19" t="s">
        <v>108</v>
      </c>
      <c r="C3604" s="19">
        <v>7</v>
      </c>
      <c r="D3604" s="20">
        <v>45851</v>
      </c>
      <c r="E3604" s="19" t="s">
        <v>13</v>
      </c>
      <c r="F3604" s="19" t="s">
        <v>14</v>
      </c>
      <c r="G3604" s="19" t="s">
        <v>15</v>
      </c>
      <c r="H3604" s="19" t="s">
        <v>22</v>
      </c>
      <c r="I3604" s="19">
        <v>72</v>
      </c>
      <c r="J3604" s="19">
        <v>0</v>
      </c>
      <c r="K3604" s="19">
        <v>3</v>
      </c>
      <c r="L3604" s="19" t="s">
        <v>75</v>
      </c>
      <c r="M3604" s="21">
        <v>8.1999999999999993</v>
      </c>
      <c r="N3604">
        <f t="shared" si="56"/>
        <v>1</v>
      </c>
    </row>
    <row r="3605" spans="1:14" x14ac:dyDescent="0.35">
      <c r="A3605" s="22" t="s">
        <v>3675</v>
      </c>
      <c r="B3605" s="23" t="s">
        <v>41</v>
      </c>
      <c r="C3605" s="23">
        <v>11</v>
      </c>
      <c r="D3605" s="24">
        <v>45978</v>
      </c>
      <c r="E3605" s="23" t="s">
        <v>13</v>
      </c>
      <c r="F3605" s="23" t="s">
        <v>14</v>
      </c>
      <c r="G3605" s="23" t="s">
        <v>21</v>
      </c>
      <c r="H3605" s="23" t="s">
        <v>32</v>
      </c>
      <c r="I3605" s="23">
        <v>4</v>
      </c>
      <c r="J3605" s="23">
        <v>0</v>
      </c>
      <c r="K3605" s="23">
        <v>5</v>
      </c>
      <c r="L3605" s="23" t="s">
        <v>33</v>
      </c>
      <c r="M3605" s="25">
        <v>11</v>
      </c>
      <c r="N3605">
        <f t="shared" si="56"/>
        <v>0</v>
      </c>
    </row>
    <row r="3606" spans="1:14" x14ac:dyDescent="0.35">
      <c r="A3606" s="6" t="s">
        <v>3676</v>
      </c>
      <c r="B3606" s="19" t="s">
        <v>39</v>
      </c>
      <c r="C3606" s="19">
        <v>4</v>
      </c>
      <c r="D3606" s="20">
        <v>45775</v>
      </c>
      <c r="E3606" s="19" t="s">
        <v>25</v>
      </c>
      <c r="F3606" s="19" t="s">
        <v>14</v>
      </c>
      <c r="G3606" s="19" t="s">
        <v>31</v>
      </c>
      <c r="H3606" s="19" t="s">
        <v>32</v>
      </c>
      <c r="I3606" s="19">
        <v>72</v>
      </c>
      <c r="J3606" s="19">
        <v>0</v>
      </c>
      <c r="K3606" s="19">
        <v>3</v>
      </c>
      <c r="L3606" s="19" t="s">
        <v>33</v>
      </c>
      <c r="M3606" s="21">
        <v>10.7</v>
      </c>
      <c r="N3606">
        <f t="shared" si="56"/>
        <v>1</v>
      </c>
    </row>
    <row r="3607" spans="1:14" x14ac:dyDescent="0.35">
      <c r="A3607" s="22" t="s">
        <v>3677</v>
      </c>
      <c r="B3607" s="23" t="s">
        <v>47</v>
      </c>
      <c r="C3607" s="23">
        <v>4</v>
      </c>
      <c r="D3607" s="24">
        <v>45759</v>
      </c>
      <c r="E3607" s="23" t="s">
        <v>25</v>
      </c>
      <c r="F3607" s="23" t="s">
        <v>14</v>
      </c>
      <c r="G3607" s="23" t="s">
        <v>27</v>
      </c>
      <c r="H3607" s="23" t="s">
        <v>32</v>
      </c>
      <c r="I3607" s="23">
        <v>24</v>
      </c>
      <c r="J3607" s="23">
        <v>2</v>
      </c>
      <c r="K3607" s="23">
        <v>5</v>
      </c>
      <c r="L3607" s="23" t="s">
        <v>55</v>
      </c>
      <c r="M3607" s="25">
        <v>17.5</v>
      </c>
      <c r="N3607">
        <f t="shared" si="56"/>
        <v>1</v>
      </c>
    </row>
    <row r="3608" spans="1:14" x14ac:dyDescent="0.35">
      <c r="A3608" s="6" t="s">
        <v>3678</v>
      </c>
      <c r="B3608" s="19" t="s">
        <v>47</v>
      </c>
      <c r="C3608" s="19">
        <v>10</v>
      </c>
      <c r="D3608" s="20">
        <v>45936</v>
      </c>
      <c r="E3608" s="19" t="s">
        <v>8364</v>
      </c>
      <c r="F3608" s="19" t="s">
        <v>40</v>
      </c>
      <c r="G3608" s="19" t="s">
        <v>15</v>
      </c>
      <c r="H3608" s="19" t="s">
        <v>22</v>
      </c>
      <c r="I3608" s="19">
        <v>4</v>
      </c>
      <c r="J3608" s="19">
        <v>2</v>
      </c>
      <c r="K3608" s="19">
        <v>2</v>
      </c>
      <c r="L3608" s="19" t="s">
        <v>44</v>
      </c>
      <c r="M3608" s="21">
        <v>1.4</v>
      </c>
      <c r="N3608">
        <f t="shared" si="56"/>
        <v>1</v>
      </c>
    </row>
    <row r="3609" spans="1:14" x14ac:dyDescent="0.35">
      <c r="A3609" s="22" t="s">
        <v>3679</v>
      </c>
      <c r="B3609" s="23" t="s">
        <v>57</v>
      </c>
      <c r="C3609" s="23">
        <v>7</v>
      </c>
      <c r="D3609" s="24">
        <v>45861</v>
      </c>
      <c r="E3609" s="23" t="s">
        <v>25</v>
      </c>
      <c r="F3609" s="23" t="s">
        <v>14</v>
      </c>
      <c r="G3609" s="23" t="s">
        <v>27</v>
      </c>
      <c r="H3609" s="23" t="s">
        <v>16</v>
      </c>
      <c r="I3609" s="23">
        <v>4</v>
      </c>
      <c r="J3609" s="23">
        <v>1</v>
      </c>
      <c r="K3609" s="23">
        <v>2</v>
      </c>
      <c r="L3609" s="23" t="s">
        <v>8363</v>
      </c>
      <c r="M3609" s="25">
        <v>21.1</v>
      </c>
      <c r="N3609">
        <f t="shared" si="56"/>
        <v>0</v>
      </c>
    </row>
    <row r="3610" spans="1:14" x14ac:dyDescent="0.35">
      <c r="A3610" s="6" t="s">
        <v>3680</v>
      </c>
      <c r="B3610" s="19" t="s">
        <v>18</v>
      </c>
      <c r="C3610" s="19">
        <v>5</v>
      </c>
      <c r="D3610" s="20">
        <v>45808</v>
      </c>
      <c r="E3610" s="19" t="s">
        <v>36</v>
      </c>
      <c r="F3610" s="19" t="s">
        <v>43</v>
      </c>
      <c r="G3610" s="19" t="s">
        <v>27</v>
      </c>
      <c r="H3610" s="19" t="s">
        <v>32</v>
      </c>
      <c r="I3610" s="19">
        <v>24</v>
      </c>
      <c r="J3610" s="19">
        <v>0</v>
      </c>
      <c r="K3610" s="19">
        <v>5</v>
      </c>
      <c r="L3610" s="19" t="s">
        <v>17</v>
      </c>
      <c r="M3610" s="21">
        <v>3.5</v>
      </c>
      <c r="N3610">
        <f t="shared" si="56"/>
        <v>1</v>
      </c>
    </row>
    <row r="3611" spans="1:14" x14ac:dyDescent="0.35">
      <c r="A3611" s="22" t="s">
        <v>3681</v>
      </c>
      <c r="B3611" s="23" t="s">
        <v>99</v>
      </c>
      <c r="C3611" s="23">
        <v>11</v>
      </c>
      <c r="D3611" s="24">
        <v>45982</v>
      </c>
      <c r="E3611" s="23" t="s">
        <v>20</v>
      </c>
      <c r="F3611" s="23" t="s">
        <v>37</v>
      </c>
      <c r="G3611" s="23" t="s">
        <v>27</v>
      </c>
      <c r="H3611" s="23" t="s">
        <v>22</v>
      </c>
      <c r="I3611" s="23">
        <v>48</v>
      </c>
      <c r="J3611" s="23">
        <v>0</v>
      </c>
      <c r="K3611" s="23">
        <v>4</v>
      </c>
      <c r="L3611" s="23" t="s">
        <v>8363</v>
      </c>
      <c r="M3611" s="25">
        <v>17.100000000000001</v>
      </c>
      <c r="N3611">
        <f t="shared" si="56"/>
        <v>1</v>
      </c>
    </row>
    <row r="3612" spans="1:14" x14ac:dyDescent="0.35">
      <c r="A3612" s="6" t="s">
        <v>3682</v>
      </c>
      <c r="B3612" s="19" t="s">
        <v>99</v>
      </c>
      <c r="C3612" s="19">
        <v>8</v>
      </c>
      <c r="D3612" s="20">
        <v>45897</v>
      </c>
      <c r="E3612" s="19" t="s">
        <v>25</v>
      </c>
      <c r="F3612" s="19" t="s">
        <v>26</v>
      </c>
      <c r="G3612" s="19" t="s">
        <v>31</v>
      </c>
      <c r="H3612" s="19" t="s">
        <v>16</v>
      </c>
      <c r="I3612" s="19">
        <v>72</v>
      </c>
      <c r="J3612" s="19">
        <v>0</v>
      </c>
      <c r="K3612" s="19">
        <v>4</v>
      </c>
      <c r="L3612" s="19" t="s">
        <v>17</v>
      </c>
      <c r="M3612" s="21">
        <v>9.6999999999999993</v>
      </c>
      <c r="N3612">
        <f t="shared" si="56"/>
        <v>1</v>
      </c>
    </row>
    <row r="3613" spans="1:14" x14ac:dyDescent="0.35">
      <c r="A3613" s="22" t="s">
        <v>3683</v>
      </c>
      <c r="B3613" s="23" t="s">
        <v>47</v>
      </c>
      <c r="C3613" s="23">
        <v>2</v>
      </c>
      <c r="D3613" s="24">
        <v>45710</v>
      </c>
      <c r="E3613" s="23" t="s">
        <v>20</v>
      </c>
      <c r="F3613" s="23" t="s">
        <v>43</v>
      </c>
      <c r="G3613" s="23" t="s">
        <v>27</v>
      </c>
      <c r="H3613" s="23" t="s">
        <v>16</v>
      </c>
      <c r="I3613" s="23">
        <v>72</v>
      </c>
      <c r="J3613" s="23">
        <v>0</v>
      </c>
      <c r="K3613" s="23">
        <v>4</v>
      </c>
      <c r="L3613" s="23" t="s">
        <v>55</v>
      </c>
      <c r="M3613" s="25">
        <v>1.5</v>
      </c>
      <c r="N3613">
        <f t="shared" si="56"/>
        <v>1</v>
      </c>
    </row>
    <row r="3614" spans="1:14" x14ac:dyDescent="0.35">
      <c r="A3614" s="6" t="s">
        <v>3684</v>
      </c>
      <c r="B3614" s="19" t="s">
        <v>69</v>
      </c>
      <c r="C3614" s="19"/>
      <c r="D3614" s="20"/>
      <c r="E3614" s="19" t="s">
        <v>36</v>
      </c>
      <c r="F3614" s="19" t="s">
        <v>14</v>
      </c>
      <c r="G3614" s="19" t="s">
        <v>31</v>
      </c>
      <c r="H3614" s="19" t="s">
        <v>28</v>
      </c>
      <c r="I3614" s="19">
        <v>24</v>
      </c>
      <c r="J3614" s="19">
        <v>0</v>
      </c>
      <c r="K3614" s="19">
        <v>4</v>
      </c>
      <c r="L3614" s="19" t="s">
        <v>75</v>
      </c>
      <c r="M3614" s="21">
        <v>20.7</v>
      </c>
      <c r="N3614">
        <f t="shared" si="56"/>
        <v>1</v>
      </c>
    </row>
    <row r="3615" spans="1:14" x14ac:dyDescent="0.35">
      <c r="A3615" s="22" t="s">
        <v>3685</v>
      </c>
      <c r="B3615" s="23" t="s">
        <v>49</v>
      </c>
      <c r="C3615" s="23">
        <v>4</v>
      </c>
      <c r="D3615" s="24">
        <v>45751</v>
      </c>
      <c r="E3615" s="23" t="s">
        <v>25</v>
      </c>
      <c r="F3615" s="23" t="s">
        <v>37</v>
      </c>
      <c r="G3615" s="23" t="s">
        <v>21</v>
      </c>
      <c r="H3615" s="23" t="s">
        <v>32</v>
      </c>
      <c r="I3615" s="23">
        <v>72</v>
      </c>
      <c r="J3615" s="23">
        <v>1</v>
      </c>
      <c r="K3615" s="23"/>
      <c r="L3615" s="23" t="s">
        <v>75</v>
      </c>
      <c r="M3615" s="25">
        <v>9.5</v>
      </c>
      <c r="N3615">
        <f t="shared" si="56"/>
        <v>1</v>
      </c>
    </row>
    <row r="3616" spans="1:14" x14ac:dyDescent="0.35">
      <c r="A3616" s="6" t="s">
        <v>3686</v>
      </c>
      <c r="B3616" s="19" t="s">
        <v>87</v>
      </c>
      <c r="C3616" s="19">
        <v>4</v>
      </c>
      <c r="D3616" s="20">
        <v>45765</v>
      </c>
      <c r="E3616" s="19" t="s">
        <v>36</v>
      </c>
      <c r="F3616" s="19" t="s">
        <v>14</v>
      </c>
      <c r="G3616" s="19" t="s">
        <v>31</v>
      </c>
      <c r="H3616" s="19" t="s">
        <v>8364</v>
      </c>
      <c r="I3616" s="19">
        <v>8</v>
      </c>
      <c r="J3616" s="19">
        <v>0</v>
      </c>
      <c r="K3616" s="19">
        <v>4</v>
      </c>
      <c r="L3616" s="19" t="s">
        <v>55</v>
      </c>
      <c r="M3616" s="21">
        <v>30.5</v>
      </c>
      <c r="N3616">
        <f t="shared" si="56"/>
        <v>0</v>
      </c>
    </row>
    <row r="3617" spans="1:14" x14ac:dyDescent="0.35">
      <c r="A3617" s="22" t="s">
        <v>3687</v>
      </c>
      <c r="B3617" s="23" t="s">
        <v>87</v>
      </c>
      <c r="C3617" s="23">
        <v>5</v>
      </c>
      <c r="D3617" s="24">
        <v>45796</v>
      </c>
      <c r="E3617" s="23" t="s">
        <v>8364</v>
      </c>
      <c r="F3617" s="23" t="s">
        <v>8364</v>
      </c>
      <c r="G3617" s="23" t="s">
        <v>31</v>
      </c>
      <c r="H3617" s="23" t="s">
        <v>28</v>
      </c>
      <c r="I3617" s="23">
        <v>48</v>
      </c>
      <c r="J3617" s="23">
        <v>0</v>
      </c>
      <c r="K3617" s="23">
        <v>1</v>
      </c>
      <c r="L3617" s="23" t="s">
        <v>8363</v>
      </c>
      <c r="M3617" s="25">
        <v>7.6</v>
      </c>
      <c r="N3617">
        <f t="shared" si="56"/>
        <v>1</v>
      </c>
    </row>
    <row r="3618" spans="1:14" x14ac:dyDescent="0.35">
      <c r="A3618" s="6" t="s">
        <v>3688</v>
      </c>
      <c r="B3618" s="19" t="s">
        <v>51</v>
      </c>
      <c r="C3618" s="19"/>
      <c r="D3618" s="20"/>
      <c r="E3618" s="19" t="s">
        <v>25</v>
      </c>
      <c r="F3618" s="19" t="s">
        <v>14</v>
      </c>
      <c r="G3618" s="19" t="s">
        <v>21</v>
      </c>
      <c r="H3618" s="19" t="s">
        <v>22</v>
      </c>
      <c r="I3618" s="19">
        <v>4</v>
      </c>
      <c r="J3618" s="19">
        <v>0</v>
      </c>
      <c r="K3618" s="19">
        <v>4</v>
      </c>
      <c r="L3618" s="19" t="s">
        <v>38</v>
      </c>
      <c r="M3618" s="21">
        <v>4.2</v>
      </c>
      <c r="N3618">
        <f t="shared" si="56"/>
        <v>0</v>
      </c>
    </row>
    <row r="3619" spans="1:14" x14ac:dyDescent="0.35">
      <c r="A3619" s="22" t="s">
        <v>3689</v>
      </c>
      <c r="B3619" s="23" t="s">
        <v>108</v>
      </c>
      <c r="C3619" s="23">
        <v>11</v>
      </c>
      <c r="D3619" s="24">
        <v>45980</v>
      </c>
      <c r="E3619" s="23" t="s">
        <v>13</v>
      </c>
      <c r="F3619" s="23" t="s">
        <v>43</v>
      </c>
      <c r="G3619" s="23" t="s">
        <v>15</v>
      </c>
      <c r="H3619" s="23" t="s">
        <v>28</v>
      </c>
      <c r="I3619" s="23">
        <v>48</v>
      </c>
      <c r="J3619" s="23">
        <v>0</v>
      </c>
      <c r="K3619" s="23">
        <v>2</v>
      </c>
      <c r="L3619" s="23" t="s">
        <v>8363</v>
      </c>
      <c r="M3619" s="25"/>
      <c r="N3619">
        <f t="shared" si="56"/>
        <v>1</v>
      </c>
    </row>
    <row r="3620" spans="1:14" x14ac:dyDescent="0.35">
      <c r="A3620" s="6" t="s">
        <v>3690</v>
      </c>
      <c r="B3620" s="19" t="s">
        <v>78</v>
      </c>
      <c r="C3620" s="19"/>
      <c r="D3620" s="20"/>
      <c r="E3620" s="19" t="s">
        <v>36</v>
      </c>
      <c r="F3620" s="19" t="s">
        <v>43</v>
      </c>
      <c r="G3620" s="19" t="s">
        <v>27</v>
      </c>
      <c r="H3620" s="19" t="s">
        <v>22</v>
      </c>
      <c r="I3620" s="19">
        <v>48</v>
      </c>
      <c r="J3620" s="19">
        <v>0</v>
      </c>
      <c r="K3620" s="19">
        <v>5</v>
      </c>
      <c r="L3620" s="19" t="s">
        <v>33</v>
      </c>
      <c r="M3620" s="21">
        <v>4.0999999999999996</v>
      </c>
      <c r="N3620">
        <f t="shared" si="56"/>
        <v>1</v>
      </c>
    </row>
    <row r="3621" spans="1:14" x14ac:dyDescent="0.35">
      <c r="A3621" s="22" t="s">
        <v>3691</v>
      </c>
      <c r="B3621" s="23" t="s">
        <v>69</v>
      </c>
      <c r="C3621" s="23">
        <v>5</v>
      </c>
      <c r="D3621" s="24">
        <v>45781</v>
      </c>
      <c r="E3621" s="23" t="s">
        <v>36</v>
      </c>
      <c r="F3621" s="23" t="s">
        <v>37</v>
      </c>
      <c r="G3621" s="23" t="s">
        <v>27</v>
      </c>
      <c r="H3621" s="23" t="s">
        <v>16</v>
      </c>
      <c r="I3621" s="23">
        <v>48</v>
      </c>
      <c r="J3621" s="23">
        <v>1</v>
      </c>
      <c r="K3621" s="23">
        <v>3</v>
      </c>
      <c r="L3621" s="23" t="s">
        <v>8363</v>
      </c>
      <c r="M3621" s="25">
        <v>6</v>
      </c>
      <c r="N3621">
        <f t="shared" si="56"/>
        <v>1</v>
      </c>
    </row>
    <row r="3622" spans="1:14" x14ac:dyDescent="0.35">
      <c r="A3622" s="6" t="s">
        <v>3692</v>
      </c>
      <c r="B3622" s="19" t="s">
        <v>72</v>
      </c>
      <c r="C3622" s="19">
        <v>8</v>
      </c>
      <c r="D3622" s="20">
        <v>45879</v>
      </c>
      <c r="E3622" s="19" t="s">
        <v>8364</v>
      </c>
      <c r="F3622" s="19" t="s">
        <v>14</v>
      </c>
      <c r="G3622" s="19" t="s">
        <v>21</v>
      </c>
      <c r="H3622" s="19" t="s">
        <v>22</v>
      </c>
      <c r="I3622" s="19">
        <v>8</v>
      </c>
      <c r="J3622" s="19">
        <v>3</v>
      </c>
      <c r="K3622" s="19">
        <v>3</v>
      </c>
      <c r="L3622" s="19" t="s">
        <v>44</v>
      </c>
      <c r="M3622" s="21">
        <v>19.8</v>
      </c>
      <c r="N3622">
        <f t="shared" si="56"/>
        <v>0</v>
      </c>
    </row>
    <row r="3623" spans="1:14" x14ac:dyDescent="0.35">
      <c r="A3623" s="22" t="s">
        <v>3693</v>
      </c>
      <c r="B3623" s="23" t="s">
        <v>65</v>
      </c>
      <c r="C3623" s="23">
        <v>3</v>
      </c>
      <c r="D3623" s="24">
        <v>45742</v>
      </c>
      <c r="E3623" s="23" t="s">
        <v>13</v>
      </c>
      <c r="F3623" s="23" t="s">
        <v>14</v>
      </c>
      <c r="G3623" s="23" t="s">
        <v>21</v>
      </c>
      <c r="H3623" s="23" t="s">
        <v>8364</v>
      </c>
      <c r="I3623" s="23">
        <v>24</v>
      </c>
      <c r="J3623" s="23">
        <v>1</v>
      </c>
      <c r="K3623" s="23"/>
      <c r="L3623" s="23" t="s">
        <v>62</v>
      </c>
      <c r="M3623" s="25">
        <v>19.5</v>
      </c>
      <c r="N3623">
        <f t="shared" si="56"/>
        <v>1</v>
      </c>
    </row>
    <row r="3624" spans="1:14" x14ac:dyDescent="0.35">
      <c r="A3624" s="6" t="s">
        <v>3694</v>
      </c>
      <c r="B3624" s="19" t="s">
        <v>69</v>
      </c>
      <c r="C3624" s="19">
        <v>5</v>
      </c>
      <c r="D3624" s="20">
        <v>45787</v>
      </c>
      <c r="E3624" s="19" t="s">
        <v>13</v>
      </c>
      <c r="F3624" s="19" t="s">
        <v>8364</v>
      </c>
      <c r="G3624" s="19" t="s">
        <v>27</v>
      </c>
      <c r="H3624" s="19" t="s">
        <v>22</v>
      </c>
      <c r="I3624" s="19">
        <v>24</v>
      </c>
      <c r="J3624" s="19">
        <v>0</v>
      </c>
      <c r="K3624" s="19">
        <v>5</v>
      </c>
      <c r="L3624" s="19" t="s">
        <v>38</v>
      </c>
      <c r="M3624" s="21">
        <v>12.3</v>
      </c>
      <c r="N3624">
        <f t="shared" si="56"/>
        <v>1</v>
      </c>
    </row>
    <row r="3625" spans="1:14" x14ac:dyDescent="0.35">
      <c r="A3625" s="22" t="s">
        <v>3695</v>
      </c>
      <c r="B3625" s="23" t="s">
        <v>65</v>
      </c>
      <c r="C3625" s="23">
        <v>11</v>
      </c>
      <c r="D3625" s="24">
        <v>45981</v>
      </c>
      <c r="E3625" s="23" t="s">
        <v>25</v>
      </c>
      <c r="F3625" s="23" t="s">
        <v>43</v>
      </c>
      <c r="G3625" s="23" t="s">
        <v>21</v>
      </c>
      <c r="H3625" s="23" t="s">
        <v>8364</v>
      </c>
      <c r="I3625" s="23">
        <v>4</v>
      </c>
      <c r="J3625" s="23">
        <v>1</v>
      </c>
      <c r="K3625" s="23">
        <v>5</v>
      </c>
      <c r="L3625" s="23" t="s">
        <v>8363</v>
      </c>
      <c r="M3625" s="25">
        <v>24</v>
      </c>
      <c r="N3625">
        <f t="shared" si="56"/>
        <v>0</v>
      </c>
    </row>
    <row r="3626" spans="1:14" x14ac:dyDescent="0.35">
      <c r="A3626" s="6" t="s">
        <v>3696</v>
      </c>
      <c r="B3626" s="19" t="s">
        <v>126</v>
      </c>
      <c r="C3626" s="19">
        <v>1</v>
      </c>
      <c r="D3626" s="20">
        <v>45668</v>
      </c>
      <c r="E3626" s="19" t="s">
        <v>25</v>
      </c>
      <c r="F3626" s="19" t="s">
        <v>43</v>
      </c>
      <c r="G3626" s="19" t="s">
        <v>21</v>
      </c>
      <c r="H3626" s="19" t="s">
        <v>28</v>
      </c>
      <c r="I3626" s="19">
        <v>8</v>
      </c>
      <c r="J3626" s="19">
        <v>0</v>
      </c>
      <c r="K3626" s="19"/>
      <c r="L3626" s="19" t="s">
        <v>75</v>
      </c>
      <c r="M3626" s="21">
        <v>8</v>
      </c>
      <c r="N3626">
        <f t="shared" si="56"/>
        <v>1</v>
      </c>
    </row>
    <row r="3627" spans="1:14" x14ac:dyDescent="0.35">
      <c r="A3627" s="22" t="s">
        <v>3697</v>
      </c>
      <c r="B3627" s="23" t="s">
        <v>158</v>
      </c>
      <c r="C3627" s="23">
        <v>12</v>
      </c>
      <c r="D3627" s="24">
        <v>46014</v>
      </c>
      <c r="E3627" s="23" t="s">
        <v>20</v>
      </c>
      <c r="F3627" s="23" t="s">
        <v>59</v>
      </c>
      <c r="G3627" s="23" t="s">
        <v>8364</v>
      </c>
      <c r="H3627" s="23" t="s">
        <v>32</v>
      </c>
      <c r="I3627" s="23">
        <v>48</v>
      </c>
      <c r="J3627" s="23">
        <v>0</v>
      </c>
      <c r="K3627" s="23"/>
      <c r="L3627" s="23" t="s">
        <v>8363</v>
      </c>
      <c r="M3627" s="25">
        <v>10.3</v>
      </c>
      <c r="N3627">
        <f t="shared" si="56"/>
        <v>1</v>
      </c>
    </row>
    <row r="3628" spans="1:14" x14ac:dyDescent="0.35">
      <c r="A3628" s="6" t="s">
        <v>3698</v>
      </c>
      <c r="B3628" s="19" t="s">
        <v>85</v>
      </c>
      <c r="C3628" s="19">
        <v>4</v>
      </c>
      <c r="D3628" s="20">
        <v>45770</v>
      </c>
      <c r="E3628" s="19" t="s">
        <v>25</v>
      </c>
      <c r="F3628" s="19" t="s">
        <v>43</v>
      </c>
      <c r="G3628" s="19" t="s">
        <v>31</v>
      </c>
      <c r="H3628" s="19" t="s">
        <v>28</v>
      </c>
      <c r="I3628" s="19">
        <v>4</v>
      </c>
      <c r="J3628" s="19">
        <v>0</v>
      </c>
      <c r="K3628" s="19">
        <v>3</v>
      </c>
      <c r="L3628" s="19" t="s">
        <v>62</v>
      </c>
      <c r="M3628" s="21">
        <v>4.3</v>
      </c>
      <c r="N3628">
        <f t="shared" si="56"/>
        <v>0</v>
      </c>
    </row>
    <row r="3629" spans="1:14" x14ac:dyDescent="0.35">
      <c r="A3629" s="22" t="s">
        <v>3699</v>
      </c>
      <c r="B3629" s="23" t="s">
        <v>158</v>
      </c>
      <c r="C3629" s="23">
        <v>6</v>
      </c>
      <c r="D3629" s="24">
        <v>45827</v>
      </c>
      <c r="E3629" s="23" t="s">
        <v>25</v>
      </c>
      <c r="F3629" s="23" t="s">
        <v>37</v>
      </c>
      <c r="G3629" s="23" t="s">
        <v>27</v>
      </c>
      <c r="H3629" s="23" t="s">
        <v>28</v>
      </c>
      <c r="I3629" s="23">
        <v>72</v>
      </c>
      <c r="J3629" s="23">
        <v>0</v>
      </c>
      <c r="K3629" s="23">
        <v>4</v>
      </c>
      <c r="L3629" s="23" t="s">
        <v>44</v>
      </c>
      <c r="M3629" s="25">
        <v>9</v>
      </c>
      <c r="N3629">
        <f t="shared" si="56"/>
        <v>1</v>
      </c>
    </row>
    <row r="3630" spans="1:14" x14ac:dyDescent="0.35">
      <c r="A3630" s="6" t="s">
        <v>3700</v>
      </c>
      <c r="B3630" s="19" t="s">
        <v>34</v>
      </c>
      <c r="C3630" s="19">
        <v>2</v>
      </c>
      <c r="D3630" s="20">
        <v>45706</v>
      </c>
      <c r="E3630" s="19" t="s">
        <v>8364</v>
      </c>
      <c r="F3630" s="19" t="s">
        <v>59</v>
      </c>
      <c r="G3630" s="19" t="s">
        <v>15</v>
      </c>
      <c r="H3630" s="19" t="s">
        <v>32</v>
      </c>
      <c r="I3630" s="19">
        <v>4</v>
      </c>
      <c r="J3630" s="19">
        <v>3</v>
      </c>
      <c r="K3630" s="19">
        <v>5</v>
      </c>
      <c r="L3630" s="19" t="s">
        <v>8363</v>
      </c>
      <c r="M3630" s="21">
        <v>17.399999999999999</v>
      </c>
      <c r="N3630">
        <f t="shared" si="56"/>
        <v>0</v>
      </c>
    </row>
    <row r="3631" spans="1:14" x14ac:dyDescent="0.35">
      <c r="A3631" s="22" t="s">
        <v>3701</v>
      </c>
      <c r="B3631" s="23" t="s">
        <v>81</v>
      </c>
      <c r="C3631" s="23">
        <v>3</v>
      </c>
      <c r="D3631" s="24">
        <v>45720</v>
      </c>
      <c r="E3631" s="23" t="s">
        <v>25</v>
      </c>
      <c r="F3631" s="23" t="s">
        <v>26</v>
      </c>
      <c r="G3631" s="23" t="s">
        <v>31</v>
      </c>
      <c r="H3631" s="23" t="s">
        <v>16</v>
      </c>
      <c r="I3631" s="23">
        <v>48</v>
      </c>
      <c r="J3631" s="23">
        <v>0</v>
      </c>
      <c r="K3631" s="23">
        <v>3</v>
      </c>
      <c r="L3631" s="23" t="s">
        <v>38</v>
      </c>
      <c r="M3631" s="25">
        <v>84</v>
      </c>
      <c r="N3631">
        <f t="shared" si="56"/>
        <v>0</v>
      </c>
    </row>
    <row r="3632" spans="1:14" x14ac:dyDescent="0.35">
      <c r="A3632" s="6" t="s">
        <v>3702</v>
      </c>
      <c r="B3632" s="19" t="s">
        <v>29</v>
      </c>
      <c r="C3632" s="19">
        <v>4</v>
      </c>
      <c r="D3632" s="20">
        <v>45750</v>
      </c>
      <c r="E3632" s="19" t="s">
        <v>13</v>
      </c>
      <c r="F3632" s="19" t="s">
        <v>37</v>
      </c>
      <c r="G3632" s="19" t="s">
        <v>27</v>
      </c>
      <c r="H3632" s="19" t="s">
        <v>16</v>
      </c>
      <c r="I3632" s="19">
        <v>24</v>
      </c>
      <c r="J3632" s="19">
        <v>0</v>
      </c>
      <c r="K3632" s="19">
        <v>4</v>
      </c>
      <c r="L3632" s="19" t="s">
        <v>8363</v>
      </c>
      <c r="M3632" s="21">
        <v>21.8</v>
      </c>
      <c r="N3632">
        <f t="shared" si="56"/>
        <v>1</v>
      </c>
    </row>
    <row r="3633" spans="1:14" x14ac:dyDescent="0.35">
      <c r="A3633" s="22" t="s">
        <v>3703</v>
      </c>
      <c r="B3633" s="23" t="s">
        <v>51</v>
      </c>
      <c r="C3633" s="23">
        <v>5</v>
      </c>
      <c r="D3633" s="24">
        <v>45798</v>
      </c>
      <c r="E3633" s="23" t="s">
        <v>25</v>
      </c>
      <c r="F3633" s="23" t="s">
        <v>26</v>
      </c>
      <c r="G3633" s="23" t="s">
        <v>15</v>
      </c>
      <c r="H3633" s="23" t="s">
        <v>32</v>
      </c>
      <c r="I3633" s="23">
        <v>48</v>
      </c>
      <c r="J3633" s="23">
        <v>0</v>
      </c>
      <c r="K3633" s="23">
        <v>4</v>
      </c>
      <c r="L3633" s="23" t="s">
        <v>44</v>
      </c>
      <c r="M3633" s="25">
        <v>9</v>
      </c>
      <c r="N3633">
        <f t="shared" si="56"/>
        <v>1</v>
      </c>
    </row>
    <row r="3634" spans="1:14" x14ac:dyDescent="0.35">
      <c r="A3634" s="6" t="s">
        <v>3704</v>
      </c>
      <c r="B3634" s="19" t="s">
        <v>47</v>
      </c>
      <c r="C3634" s="19">
        <v>6</v>
      </c>
      <c r="D3634" s="20">
        <v>45837</v>
      </c>
      <c r="E3634" s="19" t="s">
        <v>20</v>
      </c>
      <c r="F3634" s="19" t="s">
        <v>26</v>
      </c>
      <c r="G3634" s="19" t="s">
        <v>31</v>
      </c>
      <c r="H3634" s="19" t="s">
        <v>22</v>
      </c>
      <c r="I3634" s="19">
        <v>24</v>
      </c>
      <c r="J3634" s="19">
        <v>0</v>
      </c>
      <c r="K3634" s="19">
        <v>4</v>
      </c>
      <c r="L3634" s="19" t="s">
        <v>8363</v>
      </c>
      <c r="M3634" s="21">
        <v>13.2</v>
      </c>
      <c r="N3634">
        <f t="shared" si="56"/>
        <v>1</v>
      </c>
    </row>
    <row r="3635" spans="1:14" x14ac:dyDescent="0.35">
      <c r="A3635" s="22" t="s">
        <v>3705</v>
      </c>
      <c r="B3635" s="23" t="s">
        <v>85</v>
      </c>
      <c r="C3635" s="23">
        <v>7</v>
      </c>
      <c r="D3635" s="24">
        <v>45846</v>
      </c>
      <c r="E3635" s="23" t="s">
        <v>36</v>
      </c>
      <c r="F3635" s="23" t="s">
        <v>37</v>
      </c>
      <c r="G3635" s="23" t="s">
        <v>21</v>
      </c>
      <c r="H3635" s="23" t="s">
        <v>32</v>
      </c>
      <c r="I3635" s="23">
        <v>72</v>
      </c>
      <c r="J3635" s="23">
        <v>0</v>
      </c>
      <c r="K3635" s="23">
        <v>3</v>
      </c>
      <c r="L3635" s="23" t="s">
        <v>38</v>
      </c>
      <c r="M3635" s="25">
        <v>12.3</v>
      </c>
      <c r="N3635">
        <f t="shared" si="56"/>
        <v>1</v>
      </c>
    </row>
    <row r="3636" spans="1:14" x14ac:dyDescent="0.35">
      <c r="A3636" s="6" t="s">
        <v>3706</v>
      </c>
      <c r="B3636" s="19" t="s">
        <v>97</v>
      </c>
      <c r="C3636" s="19">
        <v>5</v>
      </c>
      <c r="D3636" s="20">
        <v>45797</v>
      </c>
      <c r="E3636" s="19" t="s">
        <v>13</v>
      </c>
      <c r="F3636" s="19" t="s">
        <v>43</v>
      </c>
      <c r="G3636" s="19" t="s">
        <v>31</v>
      </c>
      <c r="H3636" s="19" t="s">
        <v>22</v>
      </c>
      <c r="I3636" s="19">
        <v>8</v>
      </c>
      <c r="J3636" s="19">
        <v>0</v>
      </c>
      <c r="K3636" s="19"/>
      <c r="L3636" s="19" t="s">
        <v>17</v>
      </c>
      <c r="M3636" s="21">
        <v>6.1</v>
      </c>
      <c r="N3636">
        <f t="shared" si="56"/>
        <v>1</v>
      </c>
    </row>
    <row r="3637" spans="1:14" x14ac:dyDescent="0.35">
      <c r="A3637" s="22" t="s">
        <v>3707</v>
      </c>
      <c r="B3637" s="23" t="s">
        <v>89</v>
      </c>
      <c r="C3637" s="23">
        <v>3</v>
      </c>
      <c r="D3637" s="24">
        <v>45745</v>
      </c>
      <c r="E3637" s="23" t="s">
        <v>68</v>
      </c>
      <c r="F3637" s="23" t="s">
        <v>43</v>
      </c>
      <c r="G3637" s="23" t="s">
        <v>21</v>
      </c>
      <c r="H3637" s="23" t="s">
        <v>22</v>
      </c>
      <c r="I3637" s="23">
        <v>8</v>
      </c>
      <c r="J3637" s="23">
        <v>0</v>
      </c>
      <c r="K3637" s="23">
        <v>5</v>
      </c>
      <c r="L3637" s="23" t="s">
        <v>75</v>
      </c>
      <c r="M3637" s="25">
        <v>10.4</v>
      </c>
      <c r="N3637">
        <f t="shared" si="56"/>
        <v>0</v>
      </c>
    </row>
    <row r="3638" spans="1:14" x14ac:dyDescent="0.35">
      <c r="A3638" s="6" t="s">
        <v>3708</v>
      </c>
      <c r="B3638" s="19" t="s">
        <v>57</v>
      </c>
      <c r="C3638" s="19">
        <v>1</v>
      </c>
      <c r="D3638" s="20">
        <v>45679</v>
      </c>
      <c r="E3638" s="19" t="s">
        <v>13</v>
      </c>
      <c r="F3638" s="19" t="s">
        <v>37</v>
      </c>
      <c r="G3638" s="19" t="s">
        <v>31</v>
      </c>
      <c r="H3638" s="19" t="s">
        <v>32</v>
      </c>
      <c r="I3638" s="19">
        <v>24</v>
      </c>
      <c r="J3638" s="19">
        <v>0</v>
      </c>
      <c r="K3638" s="19"/>
      <c r="L3638" s="19" t="s">
        <v>44</v>
      </c>
      <c r="M3638" s="21">
        <v>5.8</v>
      </c>
      <c r="N3638">
        <f t="shared" si="56"/>
        <v>1</v>
      </c>
    </row>
    <row r="3639" spans="1:14" x14ac:dyDescent="0.35">
      <c r="A3639" s="22" t="s">
        <v>3709</v>
      </c>
      <c r="B3639" s="23" t="s">
        <v>89</v>
      </c>
      <c r="C3639" s="23"/>
      <c r="D3639" s="24"/>
      <c r="E3639" s="23" t="s">
        <v>20</v>
      </c>
      <c r="F3639" s="23" t="s">
        <v>8364</v>
      </c>
      <c r="G3639" s="23" t="s">
        <v>27</v>
      </c>
      <c r="H3639" s="23" t="s">
        <v>22</v>
      </c>
      <c r="I3639" s="23">
        <v>72</v>
      </c>
      <c r="J3639" s="23">
        <v>0</v>
      </c>
      <c r="K3639" s="23">
        <v>4</v>
      </c>
      <c r="L3639" s="23" t="s">
        <v>62</v>
      </c>
      <c r="M3639" s="25">
        <v>12</v>
      </c>
      <c r="N3639">
        <f t="shared" si="56"/>
        <v>1</v>
      </c>
    </row>
    <row r="3640" spans="1:14" x14ac:dyDescent="0.35">
      <c r="A3640" s="6" t="s">
        <v>3710</v>
      </c>
      <c r="B3640" s="19" t="s">
        <v>47</v>
      </c>
      <c r="C3640" s="19"/>
      <c r="D3640" s="20"/>
      <c r="E3640" s="19" t="s">
        <v>25</v>
      </c>
      <c r="F3640" s="19" t="s">
        <v>43</v>
      </c>
      <c r="G3640" s="19" t="s">
        <v>27</v>
      </c>
      <c r="H3640" s="19" t="s">
        <v>22</v>
      </c>
      <c r="I3640" s="19">
        <v>4</v>
      </c>
      <c r="J3640" s="19">
        <v>1</v>
      </c>
      <c r="K3640" s="19">
        <v>4</v>
      </c>
      <c r="L3640" s="19" t="s">
        <v>8363</v>
      </c>
      <c r="M3640" s="21">
        <v>8.8000000000000007</v>
      </c>
      <c r="N3640">
        <f t="shared" si="56"/>
        <v>0</v>
      </c>
    </row>
    <row r="3641" spans="1:14" x14ac:dyDescent="0.35">
      <c r="A3641" s="22" t="s">
        <v>3711</v>
      </c>
      <c r="B3641" s="23" t="s">
        <v>23</v>
      </c>
      <c r="C3641" s="23">
        <v>8</v>
      </c>
      <c r="D3641" s="24">
        <v>45893</v>
      </c>
      <c r="E3641" s="23" t="s">
        <v>13</v>
      </c>
      <c r="F3641" s="23" t="s">
        <v>59</v>
      </c>
      <c r="G3641" s="23" t="s">
        <v>27</v>
      </c>
      <c r="H3641" s="23" t="s">
        <v>22</v>
      </c>
      <c r="I3641" s="23">
        <v>4</v>
      </c>
      <c r="J3641" s="23">
        <v>0</v>
      </c>
      <c r="K3641" s="23">
        <v>2</v>
      </c>
      <c r="L3641" s="23" t="s">
        <v>17</v>
      </c>
      <c r="M3641" s="25"/>
      <c r="N3641">
        <f t="shared" si="56"/>
        <v>1</v>
      </c>
    </row>
    <row r="3642" spans="1:14" x14ac:dyDescent="0.35">
      <c r="A3642" s="6" t="s">
        <v>3712</v>
      </c>
      <c r="B3642" s="19" t="s">
        <v>47</v>
      </c>
      <c r="C3642" s="19"/>
      <c r="D3642" s="20"/>
      <c r="E3642" s="19" t="s">
        <v>13</v>
      </c>
      <c r="F3642" s="19" t="s">
        <v>14</v>
      </c>
      <c r="G3642" s="19" t="s">
        <v>27</v>
      </c>
      <c r="H3642" s="19" t="s">
        <v>22</v>
      </c>
      <c r="I3642" s="19">
        <v>24</v>
      </c>
      <c r="J3642" s="19">
        <v>0</v>
      </c>
      <c r="K3642" s="19">
        <v>3</v>
      </c>
      <c r="L3642" s="19" t="s">
        <v>8363</v>
      </c>
      <c r="M3642" s="21"/>
      <c r="N3642">
        <f t="shared" si="56"/>
        <v>1</v>
      </c>
    </row>
    <row r="3643" spans="1:14" x14ac:dyDescent="0.35">
      <c r="A3643" s="22" t="s">
        <v>3713</v>
      </c>
      <c r="B3643" s="23" t="s">
        <v>85</v>
      </c>
      <c r="C3643" s="23">
        <v>11</v>
      </c>
      <c r="D3643" s="24">
        <v>45976</v>
      </c>
      <c r="E3643" s="23" t="s">
        <v>36</v>
      </c>
      <c r="F3643" s="23" t="s">
        <v>14</v>
      </c>
      <c r="G3643" s="23" t="s">
        <v>21</v>
      </c>
      <c r="H3643" s="23" t="s">
        <v>28</v>
      </c>
      <c r="I3643" s="23">
        <v>4</v>
      </c>
      <c r="J3643" s="23">
        <v>1</v>
      </c>
      <c r="K3643" s="23">
        <v>4</v>
      </c>
      <c r="L3643" s="23" t="s">
        <v>44</v>
      </c>
      <c r="M3643" s="25">
        <v>35.5</v>
      </c>
      <c r="N3643">
        <f t="shared" si="56"/>
        <v>0</v>
      </c>
    </row>
    <row r="3644" spans="1:14" x14ac:dyDescent="0.35">
      <c r="A3644" s="6" t="s">
        <v>3714</v>
      </c>
      <c r="B3644" s="19" t="s">
        <v>78</v>
      </c>
      <c r="C3644" s="19">
        <v>11</v>
      </c>
      <c r="D3644" s="20">
        <v>45985</v>
      </c>
      <c r="E3644" s="19" t="s">
        <v>8364</v>
      </c>
      <c r="F3644" s="19" t="s">
        <v>43</v>
      </c>
      <c r="G3644" s="19" t="s">
        <v>27</v>
      </c>
      <c r="H3644" s="19" t="s">
        <v>22</v>
      </c>
      <c r="I3644" s="19">
        <v>72</v>
      </c>
      <c r="J3644" s="19">
        <v>0</v>
      </c>
      <c r="K3644" s="19">
        <v>5</v>
      </c>
      <c r="L3644" s="19" t="s">
        <v>8363</v>
      </c>
      <c r="M3644" s="21">
        <v>11.6</v>
      </c>
      <c r="N3644">
        <f t="shared" si="56"/>
        <v>1</v>
      </c>
    </row>
    <row r="3645" spans="1:14" x14ac:dyDescent="0.35">
      <c r="A3645" s="22" t="s">
        <v>3715</v>
      </c>
      <c r="B3645" s="23" t="s">
        <v>97</v>
      </c>
      <c r="C3645" s="23">
        <v>12</v>
      </c>
      <c r="D3645" s="24">
        <v>45994</v>
      </c>
      <c r="E3645" s="23" t="s">
        <v>25</v>
      </c>
      <c r="F3645" s="23" t="s">
        <v>14</v>
      </c>
      <c r="G3645" s="23" t="s">
        <v>8364</v>
      </c>
      <c r="H3645" s="23" t="s">
        <v>8364</v>
      </c>
      <c r="I3645" s="23">
        <v>24</v>
      </c>
      <c r="J3645" s="23">
        <v>0</v>
      </c>
      <c r="K3645" s="23">
        <v>4</v>
      </c>
      <c r="L3645" s="23" t="s">
        <v>33</v>
      </c>
      <c r="M3645" s="25"/>
      <c r="N3645">
        <f t="shared" si="56"/>
        <v>1</v>
      </c>
    </row>
    <row r="3646" spans="1:14" x14ac:dyDescent="0.35">
      <c r="A3646" s="6" t="s">
        <v>3716</v>
      </c>
      <c r="B3646" s="19" t="s">
        <v>47</v>
      </c>
      <c r="C3646" s="19">
        <v>2</v>
      </c>
      <c r="D3646" s="20">
        <v>45689</v>
      </c>
      <c r="E3646" s="19" t="s">
        <v>25</v>
      </c>
      <c r="F3646" s="19" t="s">
        <v>59</v>
      </c>
      <c r="G3646" s="19" t="s">
        <v>31</v>
      </c>
      <c r="H3646" s="19" t="s">
        <v>28</v>
      </c>
      <c r="I3646" s="19">
        <v>48</v>
      </c>
      <c r="J3646" s="19">
        <v>0</v>
      </c>
      <c r="K3646" s="19">
        <v>5</v>
      </c>
      <c r="L3646" s="19" t="s">
        <v>17</v>
      </c>
      <c r="M3646" s="21">
        <v>21.8</v>
      </c>
      <c r="N3646">
        <f t="shared" si="56"/>
        <v>1</v>
      </c>
    </row>
    <row r="3647" spans="1:14" x14ac:dyDescent="0.35">
      <c r="A3647" s="22" t="s">
        <v>3717</v>
      </c>
      <c r="B3647" s="23" t="s">
        <v>89</v>
      </c>
      <c r="C3647" s="23">
        <v>9</v>
      </c>
      <c r="D3647" s="24">
        <v>45930</v>
      </c>
      <c r="E3647" s="23" t="s">
        <v>20</v>
      </c>
      <c r="F3647" s="23" t="s">
        <v>26</v>
      </c>
      <c r="G3647" s="23" t="s">
        <v>31</v>
      </c>
      <c r="H3647" s="23" t="s">
        <v>16</v>
      </c>
      <c r="I3647" s="23">
        <v>24</v>
      </c>
      <c r="J3647" s="23">
        <v>0</v>
      </c>
      <c r="K3647" s="23">
        <v>4</v>
      </c>
      <c r="L3647" s="23" t="s">
        <v>33</v>
      </c>
      <c r="M3647" s="25">
        <v>7.7</v>
      </c>
      <c r="N3647">
        <f t="shared" si="56"/>
        <v>1</v>
      </c>
    </row>
    <row r="3648" spans="1:14" x14ac:dyDescent="0.35">
      <c r="A3648" s="6" t="s">
        <v>3718</v>
      </c>
      <c r="B3648" s="19" t="s">
        <v>253</v>
      </c>
      <c r="C3648" s="19">
        <v>4</v>
      </c>
      <c r="D3648" s="20">
        <v>45754</v>
      </c>
      <c r="E3648" s="19" t="s">
        <v>20</v>
      </c>
      <c r="F3648" s="19" t="s">
        <v>40</v>
      </c>
      <c r="G3648" s="19" t="s">
        <v>21</v>
      </c>
      <c r="H3648" s="19" t="s">
        <v>8364</v>
      </c>
      <c r="I3648" s="19">
        <v>48</v>
      </c>
      <c r="J3648" s="19">
        <v>0</v>
      </c>
      <c r="K3648" s="19">
        <v>3</v>
      </c>
      <c r="L3648" s="19" t="s">
        <v>44</v>
      </c>
      <c r="M3648" s="21">
        <v>10.199999999999999</v>
      </c>
      <c r="N3648">
        <f t="shared" si="56"/>
        <v>1</v>
      </c>
    </row>
    <row r="3649" spans="1:14" x14ac:dyDescent="0.35">
      <c r="A3649" s="22" t="s">
        <v>3719</v>
      </c>
      <c r="B3649" s="23" t="s">
        <v>49</v>
      </c>
      <c r="C3649" s="23">
        <v>1</v>
      </c>
      <c r="D3649" s="24">
        <v>45659</v>
      </c>
      <c r="E3649" s="23" t="s">
        <v>36</v>
      </c>
      <c r="F3649" s="23" t="s">
        <v>14</v>
      </c>
      <c r="G3649" s="23" t="s">
        <v>27</v>
      </c>
      <c r="H3649" s="23" t="s">
        <v>22</v>
      </c>
      <c r="I3649" s="23">
        <v>72</v>
      </c>
      <c r="J3649" s="23">
        <v>0</v>
      </c>
      <c r="K3649" s="23">
        <v>4</v>
      </c>
      <c r="L3649" s="23" t="s">
        <v>62</v>
      </c>
      <c r="M3649" s="25">
        <v>2.9</v>
      </c>
      <c r="N3649">
        <f t="shared" si="56"/>
        <v>1</v>
      </c>
    </row>
    <row r="3650" spans="1:14" x14ac:dyDescent="0.35">
      <c r="A3650" s="6" t="s">
        <v>3720</v>
      </c>
      <c r="B3650" s="19" t="s">
        <v>65</v>
      </c>
      <c r="C3650" s="19">
        <v>6</v>
      </c>
      <c r="D3650" s="20">
        <v>45809</v>
      </c>
      <c r="E3650" s="19" t="s">
        <v>13</v>
      </c>
      <c r="F3650" s="19" t="s">
        <v>37</v>
      </c>
      <c r="G3650" s="19" t="s">
        <v>31</v>
      </c>
      <c r="H3650" s="19" t="s">
        <v>22</v>
      </c>
      <c r="I3650" s="19">
        <v>4</v>
      </c>
      <c r="J3650" s="19">
        <v>0</v>
      </c>
      <c r="K3650" s="19">
        <v>1</v>
      </c>
      <c r="L3650" s="19" t="s">
        <v>75</v>
      </c>
      <c r="M3650" s="21">
        <v>10.5</v>
      </c>
      <c r="N3650">
        <f t="shared" si="56"/>
        <v>0</v>
      </c>
    </row>
    <row r="3651" spans="1:14" x14ac:dyDescent="0.35">
      <c r="A3651" s="22" t="s">
        <v>3721</v>
      </c>
      <c r="B3651" s="23" t="s">
        <v>41</v>
      </c>
      <c r="C3651" s="23">
        <v>4</v>
      </c>
      <c r="D3651" s="24">
        <v>45753</v>
      </c>
      <c r="E3651" s="23" t="s">
        <v>8364</v>
      </c>
      <c r="F3651" s="23" t="s">
        <v>43</v>
      </c>
      <c r="G3651" s="23" t="s">
        <v>27</v>
      </c>
      <c r="H3651" s="23" t="s">
        <v>32</v>
      </c>
      <c r="I3651" s="23">
        <v>48</v>
      </c>
      <c r="J3651" s="23">
        <v>1</v>
      </c>
      <c r="K3651" s="23">
        <v>4</v>
      </c>
      <c r="L3651" s="23" t="s">
        <v>8363</v>
      </c>
      <c r="M3651" s="25">
        <v>18.5</v>
      </c>
      <c r="N3651">
        <f t="shared" ref="N3651:N3714" si="57">IF(M3651 &lt;= I3651, 1, 0)</f>
        <v>1</v>
      </c>
    </row>
    <row r="3652" spans="1:14" x14ac:dyDescent="0.35">
      <c r="A3652" s="6" t="s">
        <v>3722</v>
      </c>
      <c r="B3652" s="19" t="s">
        <v>143</v>
      </c>
      <c r="C3652" s="19">
        <v>5</v>
      </c>
      <c r="D3652" s="20">
        <v>45783</v>
      </c>
      <c r="E3652" s="19" t="s">
        <v>20</v>
      </c>
      <c r="F3652" s="19" t="s">
        <v>37</v>
      </c>
      <c r="G3652" s="19" t="s">
        <v>27</v>
      </c>
      <c r="H3652" s="19" t="s">
        <v>22</v>
      </c>
      <c r="I3652" s="19">
        <v>48</v>
      </c>
      <c r="J3652" s="19">
        <v>2</v>
      </c>
      <c r="K3652" s="19">
        <v>5</v>
      </c>
      <c r="L3652" s="19" t="s">
        <v>75</v>
      </c>
      <c r="M3652" s="21">
        <v>10.1</v>
      </c>
      <c r="N3652">
        <f t="shared" si="57"/>
        <v>1</v>
      </c>
    </row>
    <row r="3653" spans="1:14" x14ac:dyDescent="0.35">
      <c r="A3653" s="22" t="s">
        <v>3723</v>
      </c>
      <c r="B3653" s="23" t="s">
        <v>51</v>
      </c>
      <c r="C3653" s="23">
        <v>6</v>
      </c>
      <c r="D3653" s="24">
        <v>45830</v>
      </c>
      <c r="E3653" s="23" t="s">
        <v>25</v>
      </c>
      <c r="F3653" s="23" t="s">
        <v>14</v>
      </c>
      <c r="G3653" s="23" t="s">
        <v>15</v>
      </c>
      <c r="H3653" s="23" t="s">
        <v>28</v>
      </c>
      <c r="I3653" s="23">
        <v>24</v>
      </c>
      <c r="J3653" s="23">
        <v>0</v>
      </c>
      <c r="K3653" s="23">
        <v>5</v>
      </c>
      <c r="L3653" s="23" t="s">
        <v>8363</v>
      </c>
      <c r="M3653" s="25">
        <v>15.2</v>
      </c>
      <c r="N3653">
        <f t="shared" si="57"/>
        <v>1</v>
      </c>
    </row>
    <row r="3654" spans="1:14" x14ac:dyDescent="0.35">
      <c r="A3654" s="6" t="s">
        <v>3724</v>
      </c>
      <c r="B3654" s="19" t="s">
        <v>69</v>
      </c>
      <c r="C3654" s="19"/>
      <c r="D3654" s="20"/>
      <c r="E3654" s="19" t="s">
        <v>25</v>
      </c>
      <c r="F3654" s="19" t="s">
        <v>40</v>
      </c>
      <c r="G3654" s="19" t="s">
        <v>21</v>
      </c>
      <c r="H3654" s="19" t="s">
        <v>22</v>
      </c>
      <c r="I3654" s="19">
        <v>48</v>
      </c>
      <c r="J3654" s="19">
        <v>0</v>
      </c>
      <c r="K3654" s="19">
        <v>5</v>
      </c>
      <c r="L3654" s="19" t="s">
        <v>17</v>
      </c>
      <c r="M3654" s="21">
        <v>17.5</v>
      </c>
      <c r="N3654">
        <f t="shared" si="57"/>
        <v>1</v>
      </c>
    </row>
    <row r="3655" spans="1:14" x14ac:dyDescent="0.35">
      <c r="A3655" s="22" t="s">
        <v>3725</v>
      </c>
      <c r="B3655" s="23" t="s">
        <v>158</v>
      </c>
      <c r="C3655" s="23">
        <v>8</v>
      </c>
      <c r="D3655" s="24">
        <v>45872</v>
      </c>
      <c r="E3655" s="23" t="s">
        <v>36</v>
      </c>
      <c r="F3655" s="23" t="s">
        <v>14</v>
      </c>
      <c r="G3655" s="23" t="s">
        <v>27</v>
      </c>
      <c r="H3655" s="23" t="s">
        <v>22</v>
      </c>
      <c r="I3655" s="23">
        <v>8</v>
      </c>
      <c r="J3655" s="23">
        <v>1</v>
      </c>
      <c r="K3655" s="23"/>
      <c r="L3655" s="23" t="s">
        <v>38</v>
      </c>
      <c r="M3655" s="25"/>
      <c r="N3655">
        <f t="shared" si="57"/>
        <v>1</v>
      </c>
    </row>
    <row r="3656" spans="1:14" x14ac:dyDescent="0.35">
      <c r="A3656" s="6" t="s">
        <v>3726</v>
      </c>
      <c r="B3656" s="19" t="s">
        <v>47</v>
      </c>
      <c r="C3656" s="19">
        <v>2</v>
      </c>
      <c r="D3656" s="20">
        <v>45716</v>
      </c>
      <c r="E3656" s="19" t="s">
        <v>25</v>
      </c>
      <c r="F3656" s="19" t="s">
        <v>43</v>
      </c>
      <c r="G3656" s="19" t="s">
        <v>15</v>
      </c>
      <c r="H3656" s="19" t="s">
        <v>8364</v>
      </c>
      <c r="I3656" s="19">
        <v>8</v>
      </c>
      <c r="J3656" s="19">
        <v>0</v>
      </c>
      <c r="K3656" s="19">
        <v>4</v>
      </c>
      <c r="L3656" s="19" t="s">
        <v>75</v>
      </c>
      <c r="M3656" s="21">
        <v>13</v>
      </c>
      <c r="N3656">
        <f t="shared" si="57"/>
        <v>0</v>
      </c>
    </row>
    <row r="3657" spans="1:14" x14ac:dyDescent="0.35">
      <c r="A3657" s="22" t="s">
        <v>3727</v>
      </c>
      <c r="B3657" s="23" t="s">
        <v>158</v>
      </c>
      <c r="C3657" s="23"/>
      <c r="D3657" s="24"/>
      <c r="E3657" s="23" t="s">
        <v>25</v>
      </c>
      <c r="F3657" s="23" t="s">
        <v>40</v>
      </c>
      <c r="G3657" s="23" t="s">
        <v>21</v>
      </c>
      <c r="H3657" s="23" t="s">
        <v>22</v>
      </c>
      <c r="I3657" s="23">
        <v>4</v>
      </c>
      <c r="J3657" s="23">
        <v>0</v>
      </c>
      <c r="K3657" s="23">
        <v>3</v>
      </c>
      <c r="L3657" s="23" t="s">
        <v>75</v>
      </c>
      <c r="M3657" s="25">
        <v>5.4</v>
      </c>
      <c r="N3657">
        <f t="shared" si="57"/>
        <v>0</v>
      </c>
    </row>
    <row r="3658" spans="1:14" x14ac:dyDescent="0.35">
      <c r="A3658" s="6" t="s">
        <v>3728</v>
      </c>
      <c r="B3658" s="19" t="s">
        <v>41</v>
      </c>
      <c r="C3658" s="19">
        <v>11</v>
      </c>
      <c r="D3658" s="20">
        <v>45973</v>
      </c>
      <c r="E3658" s="19" t="s">
        <v>25</v>
      </c>
      <c r="F3658" s="19" t="s">
        <v>59</v>
      </c>
      <c r="G3658" s="19" t="s">
        <v>21</v>
      </c>
      <c r="H3658" s="19" t="s">
        <v>8364</v>
      </c>
      <c r="I3658" s="19">
        <v>72</v>
      </c>
      <c r="J3658" s="19">
        <v>0</v>
      </c>
      <c r="K3658" s="19">
        <v>4</v>
      </c>
      <c r="L3658" s="19" t="s">
        <v>38</v>
      </c>
      <c r="M3658" s="21">
        <v>15.8</v>
      </c>
      <c r="N3658">
        <f t="shared" si="57"/>
        <v>1</v>
      </c>
    </row>
    <row r="3659" spans="1:14" x14ac:dyDescent="0.35">
      <c r="A3659" s="22" t="s">
        <v>3729</v>
      </c>
      <c r="B3659" s="23" t="s">
        <v>72</v>
      </c>
      <c r="C3659" s="23">
        <v>7</v>
      </c>
      <c r="D3659" s="24">
        <v>45867</v>
      </c>
      <c r="E3659" s="23" t="s">
        <v>25</v>
      </c>
      <c r="F3659" s="23" t="s">
        <v>14</v>
      </c>
      <c r="G3659" s="23" t="s">
        <v>21</v>
      </c>
      <c r="H3659" s="23" t="s">
        <v>16</v>
      </c>
      <c r="I3659" s="23">
        <v>72</v>
      </c>
      <c r="J3659" s="23">
        <v>0</v>
      </c>
      <c r="K3659" s="23">
        <v>4</v>
      </c>
      <c r="L3659" s="23" t="s">
        <v>44</v>
      </c>
      <c r="M3659" s="25">
        <v>6.2</v>
      </c>
      <c r="N3659">
        <f t="shared" si="57"/>
        <v>1</v>
      </c>
    </row>
    <row r="3660" spans="1:14" x14ac:dyDescent="0.35">
      <c r="A3660" s="6" t="s">
        <v>3730</v>
      </c>
      <c r="B3660" s="19" t="s">
        <v>92</v>
      </c>
      <c r="C3660" s="19">
        <v>10</v>
      </c>
      <c r="D3660" s="20">
        <v>45943</v>
      </c>
      <c r="E3660" s="19" t="s">
        <v>13</v>
      </c>
      <c r="F3660" s="19" t="s">
        <v>59</v>
      </c>
      <c r="G3660" s="19" t="s">
        <v>21</v>
      </c>
      <c r="H3660" s="19" t="s">
        <v>8364</v>
      </c>
      <c r="I3660" s="19">
        <v>72</v>
      </c>
      <c r="J3660" s="19">
        <v>0</v>
      </c>
      <c r="K3660" s="19"/>
      <c r="L3660" s="19" t="s">
        <v>17</v>
      </c>
      <c r="M3660" s="21">
        <v>0.7</v>
      </c>
      <c r="N3660">
        <f t="shared" si="57"/>
        <v>1</v>
      </c>
    </row>
    <row r="3661" spans="1:14" x14ac:dyDescent="0.35">
      <c r="A3661" s="22" t="s">
        <v>3731</v>
      </c>
      <c r="B3661" s="23" t="s">
        <v>72</v>
      </c>
      <c r="C3661" s="23">
        <v>11</v>
      </c>
      <c r="D3661" s="24">
        <v>45966</v>
      </c>
      <c r="E3661" s="23" t="s">
        <v>20</v>
      </c>
      <c r="F3661" s="23" t="s">
        <v>43</v>
      </c>
      <c r="G3661" s="23" t="s">
        <v>21</v>
      </c>
      <c r="H3661" s="23" t="s">
        <v>16</v>
      </c>
      <c r="I3661" s="23">
        <v>8</v>
      </c>
      <c r="J3661" s="23">
        <v>0</v>
      </c>
      <c r="K3661" s="23">
        <v>3</v>
      </c>
      <c r="L3661" s="23" t="s">
        <v>8363</v>
      </c>
      <c r="M3661" s="25">
        <v>1.8</v>
      </c>
      <c r="N3661">
        <f t="shared" si="57"/>
        <v>1</v>
      </c>
    </row>
    <row r="3662" spans="1:14" x14ac:dyDescent="0.35">
      <c r="A3662" s="6" t="s">
        <v>3732</v>
      </c>
      <c r="B3662" s="19" t="s">
        <v>49</v>
      </c>
      <c r="C3662" s="19">
        <v>2</v>
      </c>
      <c r="D3662" s="20">
        <v>45697</v>
      </c>
      <c r="E3662" s="19" t="s">
        <v>8364</v>
      </c>
      <c r="F3662" s="19" t="s">
        <v>8364</v>
      </c>
      <c r="G3662" s="19" t="s">
        <v>21</v>
      </c>
      <c r="H3662" s="19" t="s">
        <v>22</v>
      </c>
      <c r="I3662" s="19">
        <v>4</v>
      </c>
      <c r="J3662" s="19">
        <v>0</v>
      </c>
      <c r="K3662" s="19">
        <v>5</v>
      </c>
      <c r="L3662" s="19" t="s">
        <v>62</v>
      </c>
      <c r="M3662" s="21">
        <v>16.3</v>
      </c>
      <c r="N3662">
        <f t="shared" si="57"/>
        <v>0</v>
      </c>
    </row>
    <row r="3663" spans="1:14" x14ac:dyDescent="0.35">
      <c r="A3663" s="22" t="s">
        <v>3733</v>
      </c>
      <c r="B3663" s="23" t="s">
        <v>18</v>
      </c>
      <c r="C3663" s="23">
        <v>7</v>
      </c>
      <c r="D3663" s="24">
        <v>45864</v>
      </c>
      <c r="E3663" s="23" t="s">
        <v>20</v>
      </c>
      <c r="F3663" s="23" t="s">
        <v>43</v>
      </c>
      <c r="G3663" s="23" t="s">
        <v>31</v>
      </c>
      <c r="H3663" s="23" t="s">
        <v>32</v>
      </c>
      <c r="I3663" s="23">
        <v>48</v>
      </c>
      <c r="J3663" s="23">
        <v>0</v>
      </c>
      <c r="K3663" s="23">
        <v>5</v>
      </c>
      <c r="L3663" s="23" t="s">
        <v>33</v>
      </c>
      <c r="M3663" s="25">
        <v>11.3</v>
      </c>
      <c r="N3663">
        <f t="shared" si="57"/>
        <v>1</v>
      </c>
    </row>
    <row r="3664" spans="1:14" x14ac:dyDescent="0.35">
      <c r="A3664" s="6" t="s">
        <v>3734</v>
      </c>
      <c r="B3664" s="19" t="s">
        <v>34</v>
      </c>
      <c r="C3664" s="19">
        <v>9</v>
      </c>
      <c r="D3664" s="20">
        <v>45906</v>
      </c>
      <c r="E3664" s="19" t="s">
        <v>13</v>
      </c>
      <c r="F3664" s="19" t="s">
        <v>14</v>
      </c>
      <c r="G3664" s="19" t="s">
        <v>27</v>
      </c>
      <c r="H3664" s="19" t="s">
        <v>8364</v>
      </c>
      <c r="I3664" s="19">
        <v>72</v>
      </c>
      <c r="J3664" s="19">
        <v>0</v>
      </c>
      <c r="K3664" s="19">
        <v>1</v>
      </c>
      <c r="L3664" s="19" t="s">
        <v>55</v>
      </c>
      <c r="M3664" s="21">
        <v>7.6</v>
      </c>
      <c r="N3664">
        <f t="shared" si="57"/>
        <v>1</v>
      </c>
    </row>
    <row r="3665" spans="1:14" x14ac:dyDescent="0.35">
      <c r="A3665" s="22" t="s">
        <v>3735</v>
      </c>
      <c r="B3665" s="23" t="s">
        <v>51</v>
      </c>
      <c r="C3665" s="23">
        <v>1</v>
      </c>
      <c r="D3665" s="24">
        <v>45663</v>
      </c>
      <c r="E3665" s="23" t="s">
        <v>13</v>
      </c>
      <c r="F3665" s="23" t="s">
        <v>59</v>
      </c>
      <c r="G3665" s="23" t="s">
        <v>27</v>
      </c>
      <c r="H3665" s="23" t="s">
        <v>8364</v>
      </c>
      <c r="I3665" s="23">
        <v>72</v>
      </c>
      <c r="J3665" s="23">
        <v>0</v>
      </c>
      <c r="K3665" s="23">
        <v>5</v>
      </c>
      <c r="L3665" s="23" t="s">
        <v>38</v>
      </c>
      <c r="M3665" s="25">
        <v>17.399999999999999</v>
      </c>
      <c r="N3665">
        <f t="shared" si="57"/>
        <v>1</v>
      </c>
    </row>
    <row r="3666" spans="1:14" x14ac:dyDescent="0.35">
      <c r="A3666" s="6" t="s">
        <v>3736</v>
      </c>
      <c r="B3666" s="19" t="s">
        <v>99</v>
      </c>
      <c r="C3666" s="19">
        <v>5</v>
      </c>
      <c r="D3666" s="20">
        <v>45795</v>
      </c>
      <c r="E3666" s="19" t="s">
        <v>25</v>
      </c>
      <c r="F3666" s="19" t="s">
        <v>37</v>
      </c>
      <c r="G3666" s="19" t="s">
        <v>27</v>
      </c>
      <c r="H3666" s="19" t="s">
        <v>22</v>
      </c>
      <c r="I3666" s="19">
        <v>48</v>
      </c>
      <c r="J3666" s="19">
        <v>0</v>
      </c>
      <c r="K3666" s="19">
        <v>5</v>
      </c>
      <c r="L3666" s="19" t="s">
        <v>55</v>
      </c>
      <c r="M3666" s="21">
        <v>1.1000000000000001</v>
      </c>
      <c r="N3666">
        <f t="shared" si="57"/>
        <v>1</v>
      </c>
    </row>
    <row r="3667" spans="1:14" x14ac:dyDescent="0.35">
      <c r="A3667" s="22" t="s">
        <v>3737</v>
      </c>
      <c r="B3667" s="23" t="s">
        <v>69</v>
      </c>
      <c r="C3667" s="23">
        <v>6</v>
      </c>
      <c r="D3667" s="24">
        <v>45830</v>
      </c>
      <c r="E3667" s="23" t="s">
        <v>36</v>
      </c>
      <c r="F3667" s="23" t="s">
        <v>40</v>
      </c>
      <c r="G3667" s="23" t="s">
        <v>27</v>
      </c>
      <c r="H3667" s="23" t="s">
        <v>28</v>
      </c>
      <c r="I3667" s="23">
        <v>4</v>
      </c>
      <c r="J3667" s="23">
        <v>0</v>
      </c>
      <c r="K3667" s="23">
        <v>4</v>
      </c>
      <c r="L3667" s="23" t="s">
        <v>17</v>
      </c>
      <c r="M3667" s="25">
        <v>7.5</v>
      </c>
      <c r="N3667">
        <f t="shared" si="57"/>
        <v>0</v>
      </c>
    </row>
    <row r="3668" spans="1:14" x14ac:dyDescent="0.35">
      <c r="A3668" s="6" t="s">
        <v>3738</v>
      </c>
      <c r="B3668" s="19" t="s">
        <v>81</v>
      </c>
      <c r="C3668" s="19">
        <v>8</v>
      </c>
      <c r="D3668" s="20">
        <v>45884</v>
      </c>
      <c r="E3668" s="19" t="s">
        <v>68</v>
      </c>
      <c r="F3668" s="19" t="s">
        <v>43</v>
      </c>
      <c r="G3668" s="19" t="s">
        <v>31</v>
      </c>
      <c r="H3668" s="19" t="s">
        <v>16</v>
      </c>
      <c r="I3668" s="19">
        <v>8</v>
      </c>
      <c r="J3668" s="19">
        <v>1</v>
      </c>
      <c r="K3668" s="19">
        <v>3</v>
      </c>
      <c r="L3668" s="19" t="s">
        <v>55</v>
      </c>
      <c r="M3668" s="21">
        <v>6.4</v>
      </c>
      <c r="N3668">
        <f t="shared" si="57"/>
        <v>1</v>
      </c>
    </row>
    <row r="3669" spans="1:14" x14ac:dyDescent="0.35">
      <c r="A3669" s="22" t="s">
        <v>3739</v>
      </c>
      <c r="B3669" s="23" t="s">
        <v>236</v>
      </c>
      <c r="C3669" s="23">
        <v>7</v>
      </c>
      <c r="D3669" s="24">
        <v>45859</v>
      </c>
      <c r="E3669" s="23" t="s">
        <v>25</v>
      </c>
      <c r="F3669" s="23" t="s">
        <v>43</v>
      </c>
      <c r="G3669" s="23" t="s">
        <v>31</v>
      </c>
      <c r="H3669" s="23" t="s">
        <v>22</v>
      </c>
      <c r="I3669" s="23">
        <v>4</v>
      </c>
      <c r="J3669" s="23">
        <v>0</v>
      </c>
      <c r="K3669" s="23">
        <v>2</v>
      </c>
      <c r="L3669" s="23" t="s">
        <v>44</v>
      </c>
      <c r="M3669" s="25">
        <v>12.7</v>
      </c>
      <c r="N3669">
        <f t="shared" si="57"/>
        <v>0</v>
      </c>
    </row>
    <row r="3670" spans="1:14" x14ac:dyDescent="0.35">
      <c r="A3670" s="6" t="s">
        <v>3740</v>
      </c>
      <c r="B3670" s="19" t="s">
        <v>41</v>
      </c>
      <c r="C3670" s="19">
        <v>10</v>
      </c>
      <c r="D3670" s="20">
        <v>45946</v>
      </c>
      <c r="E3670" s="19" t="s">
        <v>25</v>
      </c>
      <c r="F3670" s="19" t="s">
        <v>59</v>
      </c>
      <c r="G3670" s="19" t="s">
        <v>21</v>
      </c>
      <c r="H3670" s="19" t="s">
        <v>22</v>
      </c>
      <c r="I3670" s="19">
        <v>72</v>
      </c>
      <c r="J3670" s="19">
        <v>1</v>
      </c>
      <c r="K3670" s="19">
        <v>4</v>
      </c>
      <c r="L3670" s="19" t="s">
        <v>55</v>
      </c>
      <c r="M3670" s="21">
        <v>5.7</v>
      </c>
      <c r="N3670">
        <f t="shared" si="57"/>
        <v>1</v>
      </c>
    </row>
    <row r="3671" spans="1:14" x14ac:dyDescent="0.35">
      <c r="A3671" s="22" t="s">
        <v>3741</v>
      </c>
      <c r="B3671" s="23" t="s">
        <v>236</v>
      </c>
      <c r="C3671" s="23">
        <v>8</v>
      </c>
      <c r="D3671" s="24">
        <v>45897</v>
      </c>
      <c r="E3671" s="23" t="s">
        <v>8364</v>
      </c>
      <c r="F3671" s="23" t="s">
        <v>43</v>
      </c>
      <c r="G3671" s="23" t="s">
        <v>27</v>
      </c>
      <c r="H3671" s="23" t="s">
        <v>8364</v>
      </c>
      <c r="I3671" s="23">
        <v>24</v>
      </c>
      <c r="J3671" s="23">
        <v>0</v>
      </c>
      <c r="K3671" s="23">
        <v>3</v>
      </c>
      <c r="L3671" s="23" t="s">
        <v>8363</v>
      </c>
      <c r="M3671" s="25">
        <v>10.6</v>
      </c>
      <c r="N3671">
        <f t="shared" si="57"/>
        <v>1</v>
      </c>
    </row>
    <row r="3672" spans="1:14" x14ac:dyDescent="0.35">
      <c r="A3672" s="6" t="s">
        <v>3742</v>
      </c>
      <c r="B3672" s="19" t="s">
        <v>139</v>
      </c>
      <c r="C3672" s="19">
        <v>7</v>
      </c>
      <c r="D3672" s="20">
        <v>45865</v>
      </c>
      <c r="E3672" s="19" t="s">
        <v>36</v>
      </c>
      <c r="F3672" s="19" t="s">
        <v>40</v>
      </c>
      <c r="G3672" s="19" t="s">
        <v>15</v>
      </c>
      <c r="H3672" s="19" t="s">
        <v>8364</v>
      </c>
      <c r="I3672" s="19">
        <v>72</v>
      </c>
      <c r="J3672" s="19">
        <v>0</v>
      </c>
      <c r="K3672" s="19">
        <v>4</v>
      </c>
      <c r="L3672" s="19" t="s">
        <v>62</v>
      </c>
      <c r="M3672" s="21">
        <v>6.7</v>
      </c>
      <c r="N3672">
        <f t="shared" si="57"/>
        <v>1</v>
      </c>
    </row>
    <row r="3673" spans="1:14" x14ac:dyDescent="0.35">
      <c r="A3673" s="22" t="s">
        <v>3743</v>
      </c>
      <c r="B3673" s="23" t="s">
        <v>236</v>
      </c>
      <c r="C3673" s="23">
        <v>8</v>
      </c>
      <c r="D3673" s="24">
        <v>45896</v>
      </c>
      <c r="E3673" s="23" t="s">
        <v>25</v>
      </c>
      <c r="F3673" s="23" t="s">
        <v>59</v>
      </c>
      <c r="G3673" s="23" t="s">
        <v>21</v>
      </c>
      <c r="H3673" s="23" t="s">
        <v>8364</v>
      </c>
      <c r="I3673" s="23">
        <v>48</v>
      </c>
      <c r="J3673" s="23">
        <v>0</v>
      </c>
      <c r="K3673" s="23">
        <v>5</v>
      </c>
      <c r="L3673" s="23" t="s">
        <v>44</v>
      </c>
      <c r="M3673" s="25">
        <v>23.1</v>
      </c>
      <c r="N3673">
        <f t="shared" si="57"/>
        <v>1</v>
      </c>
    </row>
    <row r="3674" spans="1:14" x14ac:dyDescent="0.35">
      <c r="A3674" s="6" t="s">
        <v>3744</v>
      </c>
      <c r="B3674" s="19" t="s">
        <v>69</v>
      </c>
      <c r="C3674" s="19"/>
      <c r="D3674" s="20"/>
      <c r="E3674" s="19" t="s">
        <v>20</v>
      </c>
      <c r="F3674" s="19" t="s">
        <v>43</v>
      </c>
      <c r="G3674" s="19" t="s">
        <v>31</v>
      </c>
      <c r="H3674" s="19" t="s">
        <v>22</v>
      </c>
      <c r="I3674" s="19">
        <v>48</v>
      </c>
      <c r="J3674" s="19">
        <v>0</v>
      </c>
      <c r="K3674" s="19">
        <v>4</v>
      </c>
      <c r="L3674" s="19" t="s">
        <v>55</v>
      </c>
      <c r="M3674" s="21">
        <v>4.8</v>
      </c>
      <c r="N3674">
        <f t="shared" si="57"/>
        <v>1</v>
      </c>
    </row>
    <row r="3675" spans="1:14" x14ac:dyDescent="0.35">
      <c r="A3675" s="22" t="s">
        <v>3745</v>
      </c>
      <c r="B3675" s="23" t="s">
        <v>39</v>
      </c>
      <c r="C3675" s="23">
        <v>6</v>
      </c>
      <c r="D3675" s="24">
        <v>45815</v>
      </c>
      <c r="E3675" s="23" t="s">
        <v>13</v>
      </c>
      <c r="F3675" s="23" t="s">
        <v>37</v>
      </c>
      <c r="G3675" s="23" t="s">
        <v>31</v>
      </c>
      <c r="H3675" s="23" t="s">
        <v>28</v>
      </c>
      <c r="I3675" s="23">
        <v>8</v>
      </c>
      <c r="J3675" s="23">
        <v>0</v>
      </c>
      <c r="K3675" s="23">
        <v>4</v>
      </c>
      <c r="L3675" s="23" t="s">
        <v>33</v>
      </c>
      <c r="M3675" s="25">
        <v>10.3</v>
      </c>
      <c r="N3675">
        <f t="shared" si="57"/>
        <v>0</v>
      </c>
    </row>
    <row r="3676" spans="1:14" x14ac:dyDescent="0.35">
      <c r="A3676" s="6" t="s">
        <v>3746</v>
      </c>
      <c r="B3676" s="19" t="s">
        <v>89</v>
      </c>
      <c r="C3676" s="19">
        <v>7</v>
      </c>
      <c r="D3676" s="20">
        <v>45849</v>
      </c>
      <c r="E3676" s="19" t="s">
        <v>25</v>
      </c>
      <c r="F3676" s="19" t="s">
        <v>43</v>
      </c>
      <c r="G3676" s="19" t="s">
        <v>15</v>
      </c>
      <c r="H3676" s="19" t="s">
        <v>32</v>
      </c>
      <c r="I3676" s="19">
        <v>8</v>
      </c>
      <c r="J3676" s="19">
        <v>0</v>
      </c>
      <c r="K3676" s="19">
        <v>5</v>
      </c>
      <c r="L3676" s="19" t="s">
        <v>33</v>
      </c>
      <c r="M3676" s="21">
        <v>7.8</v>
      </c>
      <c r="N3676">
        <f t="shared" si="57"/>
        <v>1</v>
      </c>
    </row>
    <row r="3677" spans="1:14" x14ac:dyDescent="0.35">
      <c r="A3677" s="22" t="s">
        <v>3747</v>
      </c>
      <c r="B3677" s="23" t="s">
        <v>253</v>
      </c>
      <c r="C3677" s="23">
        <v>11</v>
      </c>
      <c r="D3677" s="24">
        <v>45987</v>
      </c>
      <c r="E3677" s="23" t="s">
        <v>25</v>
      </c>
      <c r="F3677" s="23" t="s">
        <v>14</v>
      </c>
      <c r="G3677" s="23" t="s">
        <v>21</v>
      </c>
      <c r="H3677" s="23" t="s">
        <v>28</v>
      </c>
      <c r="I3677" s="23">
        <v>72</v>
      </c>
      <c r="J3677" s="23">
        <v>0</v>
      </c>
      <c r="K3677" s="23">
        <v>1</v>
      </c>
      <c r="L3677" s="23" t="s">
        <v>62</v>
      </c>
      <c r="M3677" s="25">
        <v>2.5</v>
      </c>
      <c r="N3677">
        <f t="shared" si="57"/>
        <v>1</v>
      </c>
    </row>
    <row r="3678" spans="1:14" x14ac:dyDescent="0.35">
      <c r="A3678" s="6" t="s">
        <v>3748</v>
      </c>
      <c r="B3678" s="19" t="s">
        <v>253</v>
      </c>
      <c r="C3678" s="19">
        <v>1</v>
      </c>
      <c r="D3678" s="20">
        <v>45675</v>
      </c>
      <c r="E3678" s="19" t="s">
        <v>20</v>
      </c>
      <c r="F3678" s="19" t="s">
        <v>37</v>
      </c>
      <c r="G3678" s="19" t="s">
        <v>31</v>
      </c>
      <c r="H3678" s="19" t="s">
        <v>22</v>
      </c>
      <c r="I3678" s="19">
        <v>4</v>
      </c>
      <c r="J3678" s="19">
        <v>0</v>
      </c>
      <c r="K3678" s="19">
        <v>3</v>
      </c>
      <c r="L3678" s="19" t="s">
        <v>8363</v>
      </c>
      <c r="M3678" s="21">
        <v>10.1</v>
      </c>
      <c r="N3678">
        <f t="shared" si="57"/>
        <v>0</v>
      </c>
    </row>
    <row r="3679" spans="1:14" x14ac:dyDescent="0.35">
      <c r="A3679" s="22" t="s">
        <v>3749</v>
      </c>
      <c r="B3679" s="23" t="s">
        <v>81</v>
      </c>
      <c r="C3679" s="23">
        <v>5</v>
      </c>
      <c r="D3679" s="24">
        <v>45794</v>
      </c>
      <c r="E3679" s="23" t="s">
        <v>25</v>
      </c>
      <c r="F3679" s="23" t="s">
        <v>59</v>
      </c>
      <c r="G3679" s="23" t="s">
        <v>15</v>
      </c>
      <c r="H3679" s="23" t="s">
        <v>22</v>
      </c>
      <c r="I3679" s="23">
        <v>24</v>
      </c>
      <c r="J3679" s="23">
        <v>0</v>
      </c>
      <c r="K3679" s="23">
        <v>3</v>
      </c>
      <c r="L3679" s="23" t="s">
        <v>33</v>
      </c>
      <c r="M3679" s="25">
        <v>8.3000000000000007</v>
      </c>
      <c r="N3679">
        <f t="shared" si="57"/>
        <v>1</v>
      </c>
    </row>
    <row r="3680" spans="1:14" x14ac:dyDescent="0.35">
      <c r="A3680" s="6" t="s">
        <v>3750</v>
      </c>
      <c r="B3680" s="19" t="s">
        <v>39</v>
      </c>
      <c r="C3680" s="19">
        <v>7</v>
      </c>
      <c r="D3680" s="20">
        <v>45861</v>
      </c>
      <c r="E3680" s="19" t="s">
        <v>20</v>
      </c>
      <c r="F3680" s="19" t="s">
        <v>43</v>
      </c>
      <c r="G3680" s="19" t="s">
        <v>21</v>
      </c>
      <c r="H3680" s="19" t="s">
        <v>22</v>
      </c>
      <c r="I3680" s="19">
        <v>48</v>
      </c>
      <c r="J3680" s="19">
        <v>0</v>
      </c>
      <c r="K3680" s="19">
        <v>5</v>
      </c>
      <c r="L3680" s="19" t="s">
        <v>8363</v>
      </c>
      <c r="M3680" s="21">
        <v>9.5</v>
      </c>
      <c r="N3680">
        <f t="shared" si="57"/>
        <v>1</v>
      </c>
    </row>
    <row r="3681" spans="1:14" x14ac:dyDescent="0.35">
      <c r="A3681" s="22" t="s">
        <v>3751</v>
      </c>
      <c r="B3681" s="23" t="s">
        <v>65</v>
      </c>
      <c r="C3681" s="23">
        <v>5</v>
      </c>
      <c r="D3681" s="24">
        <v>45779</v>
      </c>
      <c r="E3681" s="23" t="s">
        <v>8364</v>
      </c>
      <c r="F3681" s="23" t="s">
        <v>43</v>
      </c>
      <c r="G3681" s="23" t="s">
        <v>31</v>
      </c>
      <c r="H3681" s="23" t="s">
        <v>32</v>
      </c>
      <c r="I3681" s="23">
        <v>4</v>
      </c>
      <c r="J3681" s="23">
        <v>0</v>
      </c>
      <c r="K3681" s="23">
        <v>4</v>
      </c>
      <c r="L3681" s="23" t="s">
        <v>38</v>
      </c>
      <c r="M3681" s="25">
        <v>5.5</v>
      </c>
      <c r="N3681">
        <f t="shared" si="57"/>
        <v>0</v>
      </c>
    </row>
    <row r="3682" spans="1:14" x14ac:dyDescent="0.35">
      <c r="A3682" s="6" t="s">
        <v>3752</v>
      </c>
      <c r="B3682" s="19" t="s">
        <v>108</v>
      </c>
      <c r="C3682" s="19">
        <v>7</v>
      </c>
      <c r="D3682" s="20">
        <v>45847</v>
      </c>
      <c r="E3682" s="19" t="s">
        <v>25</v>
      </c>
      <c r="F3682" s="19" t="s">
        <v>26</v>
      </c>
      <c r="G3682" s="19" t="s">
        <v>27</v>
      </c>
      <c r="H3682" s="19" t="s">
        <v>32</v>
      </c>
      <c r="I3682" s="19">
        <v>24</v>
      </c>
      <c r="J3682" s="19">
        <v>0</v>
      </c>
      <c r="K3682" s="19"/>
      <c r="L3682" s="19" t="s">
        <v>17</v>
      </c>
      <c r="M3682" s="21">
        <v>12.3</v>
      </c>
      <c r="N3682">
        <f t="shared" si="57"/>
        <v>1</v>
      </c>
    </row>
    <row r="3683" spans="1:14" x14ac:dyDescent="0.35">
      <c r="A3683" s="22" t="s">
        <v>3753</v>
      </c>
      <c r="B3683" s="23" t="s">
        <v>89</v>
      </c>
      <c r="C3683" s="23">
        <v>7</v>
      </c>
      <c r="D3683" s="24">
        <v>45844</v>
      </c>
      <c r="E3683" s="23" t="s">
        <v>25</v>
      </c>
      <c r="F3683" s="23" t="s">
        <v>8364</v>
      </c>
      <c r="G3683" s="23" t="s">
        <v>15</v>
      </c>
      <c r="H3683" s="23" t="s">
        <v>8364</v>
      </c>
      <c r="I3683" s="23">
        <v>48</v>
      </c>
      <c r="J3683" s="23">
        <v>1</v>
      </c>
      <c r="K3683" s="23">
        <v>4</v>
      </c>
      <c r="L3683" s="23" t="s">
        <v>44</v>
      </c>
      <c r="M3683" s="25">
        <v>11.3</v>
      </c>
      <c r="N3683">
        <f t="shared" si="57"/>
        <v>1</v>
      </c>
    </row>
    <row r="3684" spans="1:14" x14ac:dyDescent="0.35">
      <c r="A3684" s="6" t="s">
        <v>3754</v>
      </c>
      <c r="B3684" s="19" t="s">
        <v>87</v>
      </c>
      <c r="C3684" s="19">
        <v>5</v>
      </c>
      <c r="D3684" s="20">
        <v>45791</v>
      </c>
      <c r="E3684" s="19" t="s">
        <v>25</v>
      </c>
      <c r="F3684" s="19" t="s">
        <v>43</v>
      </c>
      <c r="G3684" s="19" t="s">
        <v>27</v>
      </c>
      <c r="H3684" s="19" t="s">
        <v>22</v>
      </c>
      <c r="I3684" s="19">
        <v>24</v>
      </c>
      <c r="J3684" s="19">
        <v>2</v>
      </c>
      <c r="K3684" s="19">
        <v>4</v>
      </c>
      <c r="L3684" s="19" t="s">
        <v>55</v>
      </c>
      <c r="M3684" s="21">
        <v>14.8</v>
      </c>
      <c r="N3684">
        <f t="shared" si="57"/>
        <v>1</v>
      </c>
    </row>
    <row r="3685" spans="1:14" x14ac:dyDescent="0.35">
      <c r="A3685" s="22" t="s">
        <v>3755</v>
      </c>
      <c r="B3685" s="23" t="s">
        <v>29</v>
      </c>
      <c r="C3685" s="23"/>
      <c r="D3685" s="24"/>
      <c r="E3685" s="23" t="s">
        <v>68</v>
      </c>
      <c r="F3685" s="23" t="s">
        <v>43</v>
      </c>
      <c r="G3685" s="23" t="s">
        <v>21</v>
      </c>
      <c r="H3685" s="23" t="s">
        <v>32</v>
      </c>
      <c r="I3685" s="23">
        <v>72</v>
      </c>
      <c r="J3685" s="23">
        <v>1</v>
      </c>
      <c r="K3685" s="23">
        <v>5</v>
      </c>
      <c r="L3685" s="23" t="s">
        <v>17</v>
      </c>
      <c r="M3685" s="25">
        <v>7.6</v>
      </c>
      <c r="N3685">
        <f t="shared" si="57"/>
        <v>1</v>
      </c>
    </row>
    <row r="3686" spans="1:14" x14ac:dyDescent="0.35">
      <c r="A3686" s="6" t="s">
        <v>3756</v>
      </c>
      <c r="B3686" s="19" t="s">
        <v>236</v>
      </c>
      <c r="C3686" s="19">
        <v>10</v>
      </c>
      <c r="D3686" s="20">
        <v>45942</v>
      </c>
      <c r="E3686" s="19" t="s">
        <v>68</v>
      </c>
      <c r="F3686" s="19" t="s">
        <v>14</v>
      </c>
      <c r="G3686" s="19" t="s">
        <v>31</v>
      </c>
      <c r="H3686" s="19" t="s">
        <v>16</v>
      </c>
      <c r="I3686" s="19">
        <v>72</v>
      </c>
      <c r="J3686" s="19">
        <v>0</v>
      </c>
      <c r="K3686" s="19">
        <v>4</v>
      </c>
      <c r="L3686" s="19" t="s">
        <v>38</v>
      </c>
      <c r="M3686" s="21">
        <v>5.7</v>
      </c>
      <c r="N3686">
        <f t="shared" si="57"/>
        <v>1</v>
      </c>
    </row>
    <row r="3687" spans="1:14" x14ac:dyDescent="0.35">
      <c r="A3687" s="22" t="s">
        <v>3757</v>
      </c>
      <c r="B3687" s="23" t="s">
        <v>130</v>
      </c>
      <c r="C3687" s="23">
        <v>5</v>
      </c>
      <c r="D3687" s="24">
        <v>45780</v>
      </c>
      <c r="E3687" s="23" t="s">
        <v>25</v>
      </c>
      <c r="F3687" s="23" t="s">
        <v>43</v>
      </c>
      <c r="G3687" s="23" t="s">
        <v>27</v>
      </c>
      <c r="H3687" s="23" t="s">
        <v>22</v>
      </c>
      <c r="I3687" s="23">
        <v>4</v>
      </c>
      <c r="J3687" s="23">
        <v>0</v>
      </c>
      <c r="K3687" s="23">
        <v>1</v>
      </c>
      <c r="L3687" s="23" t="s">
        <v>8363</v>
      </c>
      <c r="M3687" s="25">
        <v>4.7</v>
      </c>
      <c r="N3687">
        <f t="shared" si="57"/>
        <v>0</v>
      </c>
    </row>
    <row r="3688" spans="1:14" x14ac:dyDescent="0.35">
      <c r="A3688" s="6" t="s">
        <v>3758</v>
      </c>
      <c r="B3688" s="19" t="s">
        <v>181</v>
      </c>
      <c r="C3688" s="19">
        <v>6</v>
      </c>
      <c r="D3688" s="20">
        <v>45817</v>
      </c>
      <c r="E3688" s="19" t="s">
        <v>25</v>
      </c>
      <c r="F3688" s="19" t="s">
        <v>26</v>
      </c>
      <c r="G3688" s="19" t="s">
        <v>21</v>
      </c>
      <c r="H3688" s="19" t="s">
        <v>22</v>
      </c>
      <c r="I3688" s="19">
        <v>8</v>
      </c>
      <c r="J3688" s="19">
        <v>0</v>
      </c>
      <c r="K3688" s="19">
        <v>3</v>
      </c>
      <c r="L3688" s="19" t="s">
        <v>17</v>
      </c>
      <c r="M3688" s="21">
        <v>3.1</v>
      </c>
      <c r="N3688">
        <f t="shared" si="57"/>
        <v>1</v>
      </c>
    </row>
    <row r="3689" spans="1:14" x14ac:dyDescent="0.35">
      <c r="A3689" s="22" t="s">
        <v>3759</v>
      </c>
      <c r="B3689" s="23" t="s">
        <v>97</v>
      </c>
      <c r="C3689" s="23">
        <v>7</v>
      </c>
      <c r="D3689" s="24">
        <v>45841</v>
      </c>
      <c r="E3689" s="23" t="s">
        <v>20</v>
      </c>
      <c r="F3689" s="23" t="s">
        <v>14</v>
      </c>
      <c r="G3689" s="23" t="s">
        <v>27</v>
      </c>
      <c r="H3689" s="23" t="s">
        <v>28</v>
      </c>
      <c r="I3689" s="23">
        <v>4</v>
      </c>
      <c r="J3689" s="23">
        <v>0</v>
      </c>
      <c r="K3689" s="23">
        <v>5</v>
      </c>
      <c r="L3689" s="23" t="s">
        <v>33</v>
      </c>
      <c r="M3689" s="25">
        <v>3.3</v>
      </c>
      <c r="N3689">
        <f t="shared" si="57"/>
        <v>1</v>
      </c>
    </row>
    <row r="3690" spans="1:14" x14ac:dyDescent="0.35">
      <c r="A3690" s="6" t="s">
        <v>3760</v>
      </c>
      <c r="B3690" s="19" t="s">
        <v>45</v>
      </c>
      <c r="C3690" s="19">
        <v>2</v>
      </c>
      <c r="D3690" s="20">
        <v>45713</v>
      </c>
      <c r="E3690" s="19" t="s">
        <v>13</v>
      </c>
      <c r="F3690" s="19" t="s">
        <v>26</v>
      </c>
      <c r="G3690" s="19" t="s">
        <v>15</v>
      </c>
      <c r="H3690" s="19" t="s">
        <v>22</v>
      </c>
      <c r="I3690" s="19">
        <v>24</v>
      </c>
      <c r="J3690" s="19">
        <v>0</v>
      </c>
      <c r="K3690" s="19"/>
      <c r="L3690" s="19" t="s">
        <v>44</v>
      </c>
      <c r="M3690" s="21">
        <v>0.8</v>
      </c>
      <c r="N3690">
        <f t="shared" si="57"/>
        <v>1</v>
      </c>
    </row>
    <row r="3691" spans="1:14" x14ac:dyDescent="0.35">
      <c r="A3691" s="22" t="s">
        <v>3761</v>
      </c>
      <c r="B3691" s="23" t="s">
        <v>143</v>
      </c>
      <c r="C3691" s="23">
        <v>9</v>
      </c>
      <c r="D3691" s="24">
        <v>45904</v>
      </c>
      <c r="E3691" s="23" t="s">
        <v>8364</v>
      </c>
      <c r="F3691" s="23" t="s">
        <v>43</v>
      </c>
      <c r="G3691" s="23" t="s">
        <v>27</v>
      </c>
      <c r="H3691" s="23" t="s">
        <v>22</v>
      </c>
      <c r="I3691" s="23">
        <v>24</v>
      </c>
      <c r="J3691" s="23">
        <v>0</v>
      </c>
      <c r="K3691" s="23">
        <v>5</v>
      </c>
      <c r="L3691" s="23" t="s">
        <v>38</v>
      </c>
      <c r="M3691" s="25">
        <v>5.8</v>
      </c>
      <c r="N3691">
        <f t="shared" si="57"/>
        <v>1</v>
      </c>
    </row>
    <row r="3692" spans="1:14" x14ac:dyDescent="0.35">
      <c r="A3692" s="6" t="s">
        <v>3762</v>
      </c>
      <c r="B3692" s="19" t="s">
        <v>65</v>
      </c>
      <c r="C3692" s="19">
        <v>7</v>
      </c>
      <c r="D3692" s="20">
        <v>45858</v>
      </c>
      <c r="E3692" s="19" t="s">
        <v>13</v>
      </c>
      <c r="F3692" s="19" t="s">
        <v>59</v>
      </c>
      <c r="G3692" s="19" t="s">
        <v>27</v>
      </c>
      <c r="H3692" s="19" t="s">
        <v>8364</v>
      </c>
      <c r="I3692" s="19">
        <v>4</v>
      </c>
      <c r="J3692" s="19">
        <v>2</v>
      </c>
      <c r="K3692" s="19">
        <v>5</v>
      </c>
      <c r="L3692" s="19" t="s">
        <v>17</v>
      </c>
      <c r="M3692" s="21">
        <v>2.8</v>
      </c>
      <c r="N3692">
        <f t="shared" si="57"/>
        <v>1</v>
      </c>
    </row>
    <row r="3693" spans="1:14" x14ac:dyDescent="0.35">
      <c r="A3693" s="22" t="s">
        <v>3763</v>
      </c>
      <c r="B3693" s="23" t="s">
        <v>89</v>
      </c>
      <c r="C3693" s="23">
        <v>11</v>
      </c>
      <c r="D3693" s="24">
        <v>45974</v>
      </c>
      <c r="E3693" s="23" t="s">
        <v>25</v>
      </c>
      <c r="F3693" s="23" t="s">
        <v>14</v>
      </c>
      <c r="G3693" s="23" t="s">
        <v>31</v>
      </c>
      <c r="H3693" s="23" t="s">
        <v>16</v>
      </c>
      <c r="I3693" s="23">
        <v>48</v>
      </c>
      <c r="J3693" s="23">
        <v>1</v>
      </c>
      <c r="K3693" s="23">
        <v>4</v>
      </c>
      <c r="L3693" s="23" t="s">
        <v>55</v>
      </c>
      <c r="M3693" s="25"/>
      <c r="N3693">
        <f t="shared" si="57"/>
        <v>1</v>
      </c>
    </row>
    <row r="3694" spans="1:14" x14ac:dyDescent="0.35">
      <c r="A3694" s="6" t="s">
        <v>3764</v>
      </c>
      <c r="B3694" s="19" t="s">
        <v>99</v>
      </c>
      <c r="C3694" s="19">
        <v>8</v>
      </c>
      <c r="D3694" s="20">
        <v>45880</v>
      </c>
      <c r="E3694" s="19" t="s">
        <v>36</v>
      </c>
      <c r="F3694" s="19" t="s">
        <v>43</v>
      </c>
      <c r="G3694" s="19" t="s">
        <v>31</v>
      </c>
      <c r="H3694" s="19" t="s">
        <v>8364</v>
      </c>
      <c r="I3694" s="19">
        <v>4</v>
      </c>
      <c r="J3694" s="19">
        <v>1</v>
      </c>
      <c r="K3694" s="19">
        <v>5</v>
      </c>
      <c r="L3694" s="19" t="s">
        <v>33</v>
      </c>
      <c r="M3694" s="21">
        <v>7.4</v>
      </c>
      <c r="N3694">
        <f t="shared" si="57"/>
        <v>0</v>
      </c>
    </row>
    <row r="3695" spans="1:14" x14ac:dyDescent="0.35">
      <c r="A3695" s="22" t="s">
        <v>3765</v>
      </c>
      <c r="B3695" s="23" t="s">
        <v>108</v>
      </c>
      <c r="C3695" s="23">
        <v>7</v>
      </c>
      <c r="D3695" s="24">
        <v>45852</v>
      </c>
      <c r="E3695" s="23" t="s">
        <v>68</v>
      </c>
      <c r="F3695" s="23" t="s">
        <v>26</v>
      </c>
      <c r="G3695" s="23" t="s">
        <v>21</v>
      </c>
      <c r="H3695" s="23" t="s">
        <v>32</v>
      </c>
      <c r="I3695" s="23">
        <v>24</v>
      </c>
      <c r="J3695" s="23">
        <v>1</v>
      </c>
      <c r="K3695" s="23">
        <v>5</v>
      </c>
      <c r="L3695" s="23" t="s">
        <v>55</v>
      </c>
      <c r="M3695" s="25">
        <v>12.3</v>
      </c>
      <c r="N3695">
        <f t="shared" si="57"/>
        <v>1</v>
      </c>
    </row>
    <row r="3696" spans="1:14" x14ac:dyDescent="0.35">
      <c r="A3696" s="6" t="s">
        <v>3766</v>
      </c>
      <c r="B3696" s="19" t="s">
        <v>49</v>
      </c>
      <c r="C3696" s="19">
        <v>2</v>
      </c>
      <c r="D3696" s="20">
        <v>45696</v>
      </c>
      <c r="E3696" s="19" t="s">
        <v>20</v>
      </c>
      <c r="F3696" s="19" t="s">
        <v>43</v>
      </c>
      <c r="G3696" s="19" t="s">
        <v>31</v>
      </c>
      <c r="H3696" s="19" t="s">
        <v>32</v>
      </c>
      <c r="I3696" s="19">
        <v>48</v>
      </c>
      <c r="J3696" s="19">
        <v>0</v>
      </c>
      <c r="K3696" s="19">
        <v>5</v>
      </c>
      <c r="L3696" s="19" t="s">
        <v>38</v>
      </c>
      <c r="M3696" s="21">
        <v>10.4</v>
      </c>
      <c r="N3696">
        <f t="shared" si="57"/>
        <v>1</v>
      </c>
    </row>
    <row r="3697" spans="1:14" x14ac:dyDescent="0.35">
      <c r="A3697" s="22" t="s">
        <v>3767</v>
      </c>
      <c r="B3697" s="23" t="s">
        <v>53</v>
      </c>
      <c r="C3697" s="23">
        <v>10</v>
      </c>
      <c r="D3697" s="24">
        <v>45959</v>
      </c>
      <c r="E3697" s="23" t="s">
        <v>8364</v>
      </c>
      <c r="F3697" s="23" t="s">
        <v>37</v>
      </c>
      <c r="G3697" s="23" t="s">
        <v>31</v>
      </c>
      <c r="H3697" s="23" t="s">
        <v>22</v>
      </c>
      <c r="I3697" s="23">
        <v>72</v>
      </c>
      <c r="J3697" s="23">
        <v>0</v>
      </c>
      <c r="K3697" s="23">
        <v>4</v>
      </c>
      <c r="L3697" s="23" t="s">
        <v>55</v>
      </c>
      <c r="M3697" s="25">
        <v>32.5</v>
      </c>
      <c r="N3697">
        <f t="shared" si="57"/>
        <v>1</v>
      </c>
    </row>
    <row r="3698" spans="1:14" x14ac:dyDescent="0.35">
      <c r="A3698" s="6" t="s">
        <v>3768</v>
      </c>
      <c r="B3698" s="19" t="s">
        <v>41</v>
      </c>
      <c r="C3698" s="19">
        <v>6</v>
      </c>
      <c r="D3698" s="20">
        <v>45827</v>
      </c>
      <c r="E3698" s="19" t="s">
        <v>68</v>
      </c>
      <c r="F3698" s="19" t="s">
        <v>43</v>
      </c>
      <c r="G3698" s="19" t="s">
        <v>31</v>
      </c>
      <c r="H3698" s="19" t="s">
        <v>32</v>
      </c>
      <c r="I3698" s="19">
        <v>8</v>
      </c>
      <c r="J3698" s="19">
        <v>0</v>
      </c>
      <c r="K3698" s="19">
        <v>3</v>
      </c>
      <c r="L3698" s="19" t="s">
        <v>8363</v>
      </c>
      <c r="M3698" s="21">
        <v>11.1</v>
      </c>
      <c r="N3698">
        <f t="shared" si="57"/>
        <v>0</v>
      </c>
    </row>
    <row r="3699" spans="1:14" x14ac:dyDescent="0.35">
      <c r="A3699" s="22" t="s">
        <v>3769</v>
      </c>
      <c r="B3699" s="23" t="s">
        <v>143</v>
      </c>
      <c r="C3699" s="23">
        <v>2</v>
      </c>
      <c r="D3699" s="24">
        <v>45695</v>
      </c>
      <c r="E3699" s="23" t="s">
        <v>25</v>
      </c>
      <c r="F3699" s="23" t="s">
        <v>40</v>
      </c>
      <c r="G3699" s="23" t="s">
        <v>31</v>
      </c>
      <c r="H3699" s="23" t="s">
        <v>22</v>
      </c>
      <c r="I3699" s="23">
        <v>24</v>
      </c>
      <c r="J3699" s="23">
        <v>0</v>
      </c>
      <c r="K3699" s="23">
        <v>2</v>
      </c>
      <c r="L3699" s="23" t="s">
        <v>44</v>
      </c>
      <c r="M3699" s="25">
        <v>8.4</v>
      </c>
      <c r="N3699">
        <f t="shared" si="57"/>
        <v>1</v>
      </c>
    </row>
    <row r="3700" spans="1:14" x14ac:dyDescent="0.35">
      <c r="A3700" s="6" t="s">
        <v>3770</v>
      </c>
      <c r="B3700" s="19" t="s">
        <v>39</v>
      </c>
      <c r="C3700" s="19">
        <v>8</v>
      </c>
      <c r="D3700" s="20">
        <v>45872</v>
      </c>
      <c r="E3700" s="19" t="s">
        <v>13</v>
      </c>
      <c r="F3700" s="19" t="s">
        <v>14</v>
      </c>
      <c r="G3700" s="19" t="s">
        <v>27</v>
      </c>
      <c r="H3700" s="19" t="s">
        <v>22</v>
      </c>
      <c r="I3700" s="19">
        <v>48</v>
      </c>
      <c r="J3700" s="19">
        <v>0</v>
      </c>
      <c r="K3700" s="19">
        <v>4</v>
      </c>
      <c r="L3700" s="19" t="s">
        <v>8363</v>
      </c>
      <c r="M3700" s="21">
        <v>11.3</v>
      </c>
      <c r="N3700">
        <f t="shared" si="57"/>
        <v>1</v>
      </c>
    </row>
    <row r="3701" spans="1:14" x14ac:dyDescent="0.35">
      <c r="A3701" s="22" t="s">
        <v>3771</v>
      </c>
      <c r="B3701" s="23" t="s">
        <v>51</v>
      </c>
      <c r="C3701" s="23">
        <v>7</v>
      </c>
      <c r="D3701" s="24">
        <v>45854</v>
      </c>
      <c r="E3701" s="23" t="s">
        <v>68</v>
      </c>
      <c r="F3701" s="23" t="s">
        <v>43</v>
      </c>
      <c r="G3701" s="23" t="s">
        <v>27</v>
      </c>
      <c r="H3701" s="23" t="s">
        <v>32</v>
      </c>
      <c r="I3701" s="23">
        <v>4</v>
      </c>
      <c r="J3701" s="23">
        <v>0</v>
      </c>
      <c r="K3701" s="23">
        <v>5</v>
      </c>
      <c r="L3701" s="23" t="s">
        <v>75</v>
      </c>
      <c r="M3701" s="25">
        <v>6.2</v>
      </c>
      <c r="N3701">
        <f t="shared" si="57"/>
        <v>0</v>
      </c>
    </row>
    <row r="3702" spans="1:14" x14ac:dyDescent="0.35">
      <c r="A3702" s="6" t="s">
        <v>3772</v>
      </c>
      <c r="B3702" s="19" t="s">
        <v>97</v>
      </c>
      <c r="C3702" s="19">
        <v>7</v>
      </c>
      <c r="D3702" s="20">
        <v>45850</v>
      </c>
      <c r="E3702" s="19" t="s">
        <v>25</v>
      </c>
      <c r="F3702" s="19" t="s">
        <v>43</v>
      </c>
      <c r="G3702" s="19" t="s">
        <v>15</v>
      </c>
      <c r="H3702" s="19" t="s">
        <v>8364</v>
      </c>
      <c r="I3702" s="19">
        <v>24</v>
      </c>
      <c r="J3702" s="19">
        <v>0</v>
      </c>
      <c r="K3702" s="19">
        <v>5</v>
      </c>
      <c r="L3702" s="19" t="s">
        <v>75</v>
      </c>
      <c r="M3702" s="21">
        <v>20.7</v>
      </c>
      <c r="N3702">
        <f t="shared" si="57"/>
        <v>1</v>
      </c>
    </row>
    <row r="3703" spans="1:14" x14ac:dyDescent="0.35">
      <c r="A3703" s="22" t="s">
        <v>3773</v>
      </c>
      <c r="B3703" s="23" t="s">
        <v>72</v>
      </c>
      <c r="C3703" s="23">
        <v>1</v>
      </c>
      <c r="D3703" s="24">
        <v>45665</v>
      </c>
      <c r="E3703" s="23" t="s">
        <v>68</v>
      </c>
      <c r="F3703" s="23" t="s">
        <v>8364</v>
      </c>
      <c r="G3703" s="23" t="s">
        <v>27</v>
      </c>
      <c r="H3703" s="23" t="s">
        <v>8364</v>
      </c>
      <c r="I3703" s="23">
        <v>72</v>
      </c>
      <c r="J3703" s="23">
        <v>0</v>
      </c>
      <c r="K3703" s="23">
        <v>4</v>
      </c>
      <c r="L3703" s="23" t="s">
        <v>17</v>
      </c>
      <c r="M3703" s="25">
        <v>15.8</v>
      </c>
      <c r="N3703">
        <f t="shared" si="57"/>
        <v>1</v>
      </c>
    </row>
    <row r="3704" spans="1:14" x14ac:dyDescent="0.35">
      <c r="A3704" s="6" t="s">
        <v>3774</v>
      </c>
      <c r="B3704" s="19" t="s">
        <v>69</v>
      </c>
      <c r="C3704" s="19">
        <v>2</v>
      </c>
      <c r="D3704" s="20">
        <v>45697</v>
      </c>
      <c r="E3704" s="19" t="s">
        <v>36</v>
      </c>
      <c r="F3704" s="19" t="s">
        <v>59</v>
      </c>
      <c r="G3704" s="19" t="s">
        <v>15</v>
      </c>
      <c r="H3704" s="19" t="s">
        <v>22</v>
      </c>
      <c r="I3704" s="19">
        <v>24</v>
      </c>
      <c r="J3704" s="19">
        <v>0</v>
      </c>
      <c r="K3704" s="19">
        <v>5</v>
      </c>
      <c r="L3704" s="19" t="s">
        <v>75</v>
      </c>
      <c r="M3704" s="21">
        <v>6.9</v>
      </c>
      <c r="N3704">
        <f t="shared" si="57"/>
        <v>1</v>
      </c>
    </row>
    <row r="3705" spans="1:14" x14ac:dyDescent="0.35">
      <c r="A3705" s="22" t="s">
        <v>3775</v>
      </c>
      <c r="B3705" s="23" t="s">
        <v>34</v>
      </c>
      <c r="C3705" s="23">
        <v>8</v>
      </c>
      <c r="D3705" s="24">
        <v>45887</v>
      </c>
      <c r="E3705" s="23" t="s">
        <v>20</v>
      </c>
      <c r="F3705" s="23" t="s">
        <v>14</v>
      </c>
      <c r="G3705" s="23" t="s">
        <v>31</v>
      </c>
      <c r="H3705" s="23" t="s">
        <v>8364</v>
      </c>
      <c r="I3705" s="23">
        <v>8</v>
      </c>
      <c r="J3705" s="23">
        <v>0</v>
      </c>
      <c r="K3705" s="23">
        <v>5</v>
      </c>
      <c r="L3705" s="23" t="s">
        <v>8363</v>
      </c>
      <c r="M3705" s="25">
        <v>24.7</v>
      </c>
      <c r="N3705">
        <f t="shared" si="57"/>
        <v>0</v>
      </c>
    </row>
    <row r="3706" spans="1:14" x14ac:dyDescent="0.35">
      <c r="A3706" s="6" t="s">
        <v>3776</v>
      </c>
      <c r="B3706" s="19" t="s">
        <v>253</v>
      </c>
      <c r="C3706" s="19">
        <v>9</v>
      </c>
      <c r="D3706" s="20">
        <v>45928</v>
      </c>
      <c r="E3706" s="19" t="s">
        <v>13</v>
      </c>
      <c r="F3706" s="19" t="s">
        <v>37</v>
      </c>
      <c r="G3706" s="19" t="s">
        <v>15</v>
      </c>
      <c r="H3706" s="19" t="s">
        <v>16</v>
      </c>
      <c r="I3706" s="19">
        <v>24</v>
      </c>
      <c r="J3706" s="19">
        <v>0</v>
      </c>
      <c r="K3706" s="19">
        <v>3</v>
      </c>
      <c r="L3706" s="19" t="s">
        <v>8363</v>
      </c>
      <c r="M3706" s="21">
        <v>9</v>
      </c>
      <c r="N3706">
        <f t="shared" si="57"/>
        <v>1</v>
      </c>
    </row>
    <row r="3707" spans="1:14" x14ac:dyDescent="0.35">
      <c r="A3707" s="22" t="s">
        <v>3777</v>
      </c>
      <c r="B3707" s="23" t="s">
        <v>34</v>
      </c>
      <c r="C3707" s="23">
        <v>12</v>
      </c>
      <c r="D3707" s="24">
        <v>46020</v>
      </c>
      <c r="E3707" s="23" t="s">
        <v>13</v>
      </c>
      <c r="F3707" s="23" t="s">
        <v>37</v>
      </c>
      <c r="G3707" s="23" t="s">
        <v>27</v>
      </c>
      <c r="H3707" s="23" t="s">
        <v>22</v>
      </c>
      <c r="I3707" s="23">
        <v>8</v>
      </c>
      <c r="J3707" s="23">
        <v>0</v>
      </c>
      <c r="K3707" s="23">
        <v>4</v>
      </c>
      <c r="L3707" s="23" t="s">
        <v>8363</v>
      </c>
      <c r="M3707" s="25"/>
      <c r="N3707">
        <f t="shared" si="57"/>
        <v>1</v>
      </c>
    </row>
    <row r="3708" spans="1:14" x14ac:dyDescent="0.35">
      <c r="A3708" s="6" t="s">
        <v>3778</v>
      </c>
      <c r="B3708" s="19" t="s">
        <v>89</v>
      </c>
      <c r="C3708" s="19">
        <v>11</v>
      </c>
      <c r="D3708" s="20">
        <v>45967</v>
      </c>
      <c r="E3708" s="19" t="s">
        <v>25</v>
      </c>
      <c r="F3708" s="19" t="s">
        <v>37</v>
      </c>
      <c r="G3708" s="19" t="s">
        <v>31</v>
      </c>
      <c r="H3708" s="19" t="s">
        <v>28</v>
      </c>
      <c r="I3708" s="19">
        <v>4</v>
      </c>
      <c r="J3708" s="19">
        <v>2</v>
      </c>
      <c r="K3708" s="19">
        <v>3</v>
      </c>
      <c r="L3708" s="19" t="s">
        <v>8363</v>
      </c>
      <c r="M3708" s="21">
        <v>6</v>
      </c>
      <c r="N3708">
        <f t="shared" si="57"/>
        <v>0</v>
      </c>
    </row>
    <row r="3709" spans="1:14" x14ac:dyDescent="0.35">
      <c r="A3709" s="22" t="s">
        <v>3779</v>
      </c>
      <c r="B3709" s="23" t="s">
        <v>47</v>
      </c>
      <c r="C3709" s="23">
        <v>3</v>
      </c>
      <c r="D3709" s="24">
        <v>45720</v>
      </c>
      <c r="E3709" s="23" t="s">
        <v>20</v>
      </c>
      <c r="F3709" s="23" t="s">
        <v>8364</v>
      </c>
      <c r="G3709" s="23" t="s">
        <v>27</v>
      </c>
      <c r="H3709" s="23" t="s">
        <v>8364</v>
      </c>
      <c r="I3709" s="23">
        <v>24</v>
      </c>
      <c r="J3709" s="23">
        <v>0</v>
      </c>
      <c r="K3709" s="23">
        <v>4</v>
      </c>
      <c r="L3709" s="23" t="s">
        <v>33</v>
      </c>
      <c r="M3709" s="25">
        <v>4.9000000000000004</v>
      </c>
      <c r="N3709">
        <f t="shared" si="57"/>
        <v>1</v>
      </c>
    </row>
    <row r="3710" spans="1:14" x14ac:dyDescent="0.35">
      <c r="A3710" s="6" t="s">
        <v>3780</v>
      </c>
      <c r="B3710" s="19" t="s">
        <v>34</v>
      </c>
      <c r="C3710" s="19">
        <v>6</v>
      </c>
      <c r="D3710" s="20">
        <v>45817</v>
      </c>
      <c r="E3710" s="19" t="s">
        <v>20</v>
      </c>
      <c r="F3710" s="19" t="s">
        <v>14</v>
      </c>
      <c r="G3710" s="19" t="s">
        <v>31</v>
      </c>
      <c r="H3710" s="19" t="s">
        <v>22</v>
      </c>
      <c r="I3710" s="19">
        <v>72</v>
      </c>
      <c r="J3710" s="19">
        <v>0</v>
      </c>
      <c r="K3710" s="19">
        <v>4</v>
      </c>
      <c r="L3710" s="19" t="s">
        <v>44</v>
      </c>
      <c r="M3710" s="21">
        <v>10.4</v>
      </c>
      <c r="N3710">
        <f t="shared" si="57"/>
        <v>1</v>
      </c>
    </row>
    <row r="3711" spans="1:14" x14ac:dyDescent="0.35">
      <c r="A3711" s="22" t="s">
        <v>3781</v>
      </c>
      <c r="B3711" s="23" t="s">
        <v>89</v>
      </c>
      <c r="C3711" s="23">
        <v>3</v>
      </c>
      <c r="D3711" s="24">
        <v>45742</v>
      </c>
      <c r="E3711" s="23" t="s">
        <v>8364</v>
      </c>
      <c r="F3711" s="23" t="s">
        <v>43</v>
      </c>
      <c r="G3711" s="23" t="s">
        <v>31</v>
      </c>
      <c r="H3711" s="23" t="s">
        <v>22</v>
      </c>
      <c r="I3711" s="23">
        <v>24</v>
      </c>
      <c r="J3711" s="23">
        <v>0</v>
      </c>
      <c r="K3711" s="23">
        <v>5</v>
      </c>
      <c r="L3711" s="23" t="s">
        <v>8363</v>
      </c>
      <c r="M3711" s="25">
        <v>44.8</v>
      </c>
      <c r="N3711">
        <f t="shared" si="57"/>
        <v>0</v>
      </c>
    </row>
    <row r="3712" spans="1:14" x14ac:dyDescent="0.35">
      <c r="A3712" s="6" t="s">
        <v>3782</v>
      </c>
      <c r="B3712" s="19" t="s">
        <v>47</v>
      </c>
      <c r="C3712" s="19">
        <v>2</v>
      </c>
      <c r="D3712" s="20">
        <v>45713</v>
      </c>
      <c r="E3712" s="19" t="s">
        <v>25</v>
      </c>
      <c r="F3712" s="19" t="s">
        <v>8364</v>
      </c>
      <c r="G3712" s="19" t="s">
        <v>27</v>
      </c>
      <c r="H3712" s="19" t="s">
        <v>22</v>
      </c>
      <c r="I3712" s="19">
        <v>24</v>
      </c>
      <c r="J3712" s="19">
        <v>0</v>
      </c>
      <c r="K3712" s="19">
        <v>5</v>
      </c>
      <c r="L3712" s="19" t="s">
        <v>44</v>
      </c>
      <c r="M3712" s="21">
        <v>3.3</v>
      </c>
      <c r="N3712">
        <f t="shared" si="57"/>
        <v>1</v>
      </c>
    </row>
    <row r="3713" spans="1:14" x14ac:dyDescent="0.35">
      <c r="A3713" s="22" t="s">
        <v>3783</v>
      </c>
      <c r="B3713" s="23" t="s">
        <v>57</v>
      </c>
      <c r="C3713" s="23">
        <v>6</v>
      </c>
      <c r="D3713" s="24">
        <v>45809</v>
      </c>
      <c r="E3713" s="23" t="s">
        <v>13</v>
      </c>
      <c r="F3713" s="23" t="s">
        <v>37</v>
      </c>
      <c r="G3713" s="23" t="s">
        <v>27</v>
      </c>
      <c r="H3713" s="23" t="s">
        <v>32</v>
      </c>
      <c r="I3713" s="23">
        <v>24</v>
      </c>
      <c r="J3713" s="23">
        <v>0</v>
      </c>
      <c r="K3713" s="23">
        <v>5</v>
      </c>
      <c r="L3713" s="23" t="s">
        <v>8363</v>
      </c>
      <c r="M3713" s="25">
        <v>3.1</v>
      </c>
      <c r="N3713">
        <f t="shared" si="57"/>
        <v>1</v>
      </c>
    </row>
    <row r="3714" spans="1:14" x14ac:dyDescent="0.35">
      <c r="A3714" s="6" t="s">
        <v>3784</v>
      </c>
      <c r="B3714" s="19" t="s">
        <v>39</v>
      </c>
      <c r="C3714" s="19">
        <v>9</v>
      </c>
      <c r="D3714" s="20">
        <v>45909</v>
      </c>
      <c r="E3714" s="19" t="s">
        <v>8364</v>
      </c>
      <c r="F3714" s="19" t="s">
        <v>14</v>
      </c>
      <c r="G3714" s="19" t="s">
        <v>31</v>
      </c>
      <c r="H3714" s="19" t="s">
        <v>22</v>
      </c>
      <c r="I3714" s="19">
        <v>72</v>
      </c>
      <c r="J3714" s="19">
        <v>1</v>
      </c>
      <c r="K3714" s="19"/>
      <c r="L3714" s="19" t="s">
        <v>8363</v>
      </c>
      <c r="M3714" s="21">
        <v>11.6</v>
      </c>
      <c r="N3714">
        <f t="shared" si="57"/>
        <v>1</v>
      </c>
    </row>
    <row r="3715" spans="1:14" x14ac:dyDescent="0.35">
      <c r="A3715" s="22" t="s">
        <v>3785</v>
      </c>
      <c r="B3715" s="23" t="s">
        <v>236</v>
      </c>
      <c r="C3715" s="23">
        <v>10</v>
      </c>
      <c r="D3715" s="24">
        <v>45933</v>
      </c>
      <c r="E3715" s="23" t="s">
        <v>13</v>
      </c>
      <c r="F3715" s="23" t="s">
        <v>26</v>
      </c>
      <c r="G3715" s="23" t="s">
        <v>21</v>
      </c>
      <c r="H3715" s="23" t="s">
        <v>32</v>
      </c>
      <c r="I3715" s="23">
        <v>24</v>
      </c>
      <c r="J3715" s="23">
        <v>1</v>
      </c>
      <c r="K3715" s="23">
        <v>5</v>
      </c>
      <c r="L3715" s="23" t="s">
        <v>8363</v>
      </c>
      <c r="M3715" s="25">
        <v>8.1</v>
      </c>
      <c r="N3715">
        <f t="shared" ref="N3715:N3778" si="58">IF(M3715 &lt;= I3715, 1, 0)</f>
        <v>1</v>
      </c>
    </row>
    <row r="3716" spans="1:14" x14ac:dyDescent="0.35">
      <c r="A3716" s="6" t="s">
        <v>3786</v>
      </c>
      <c r="B3716" s="19" t="s">
        <v>81</v>
      </c>
      <c r="C3716" s="19">
        <v>6</v>
      </c>
      <c r="D3716" s="20">
        <v>45829</v>
      </c>
      <c r="E3716" s="19" t="s">
        <v>20</v>
      </c>
      <c r="F3716" s="19" t="s">
        <v>59</v>
      </c>
      <c r="G3716" s="19" t="s">
        <v>15</v>
      </c>
      <c r="H3716" s="19" t="s">
        <v>22</v>
      </c>
      <c r="I3716" s="19">
        <v>4</v>
      </c>
      <c r="J3716" s="19">
        <v>0</v>
      </c>
      <c r="K3716" s="19">
        <v>5</v>
      </c>
      <c r="L3716" s="19" t="s">
        <v>17</v>
      </c>
      <c r="M3716" s="21">
        <v>4</v>
      </c>
      <c r="N3716">
        <f t="shared" si="58"/>
        <v>1</v>
      </c>
    </row>
    <row r="3717" spans="1:14" x14ac:dyDescent="0.35">
      <c r="A3717" s="22" t="s">
        <v>3787</v>
      </c>
      <c r="B3717" s="23" t="s">
        <v>65</v>
      </c>
      <c r="C3717" s="23">
        <v>2</v>
      </c>
      <c r="D3717" s="24">
        <v>45715</v>
      </c>
      <c r="E3717" s="23" t="s">
        <v>8364</v>
      </c>
      <c r="F3717" s="23" t="s">
        <v>40</v>
      </c>
      <c r="G3717" s="23" t="s">
        <v>27</v>
      </c>
      <c r="H3717" s="23" t="s">
        <v>22</v>
      </c>
      <c r="I3717" s="23">
        <v>48</v>
      </c>
      <c r="J3717" s="23">
        <v>0</v>
      </c>
      <c r="K3717" s="23">
        <v>2</v>
      </c>
      <c r="L3717" s="23" t="s">
        <v>38</v>
      </c>
      <c r="M3717" s="25">
        <v>4.7</v>
      </c>
      <c r="N3717">
        <f t="shared" si="58"/>
        <v>1</v>
      </c>
    </row>
    <row r="3718" spans="1:14" x14ac:dyDescent="0.35">
      <c r="A3718" s="6" t="s">
        <v>3788</v>
      </c>
      <c r="B3718" s="19" t="s">
        <v>143</v>
      </c>
      <c r="C3718" s="19">
        <v>8</v>
      </c>
      <c r="D3718" s="20">
        <v>45877</v>
      </c>
      <c r="E3718" s="19" t="s">
        <v>25</v>
      </c>
      <c r="F3718" s="19" t="s">
        <v>43</v>
      </c>
      <c r="G3718" s="19" t="s">
        <v>27</v>
      </c>
      <c r="H3718" s="19" t="s">
        <v>22</v>
      </c>
      <c r="I3718" s="19">
        <v>48</v>
      </c>
      <c r="J3718" s="19">
        <v>0</v>
      </c>
      <c r="K3718" s="19">
        <v>5</v>
      </c>
      <c r="L3718" s="19" t="s">
        <v>33</v>
      </c>
      <c r="M3718" s="21">
        <v>17.100000000000001</v>
      </c>
      <c r="N3718">
        <f t="shared" si="58"/>
        <v>1</v>
      </c>
    </row>
    <row r="3719" spans="1:14" x14ac:dyDescent="0.35">
      <c r="A3719" s="22" t="s">
        <v>3789</v>
      </c>
      <c r="B3719" s="23" t="s">
        <v>236</v>
      </c>
      <c r="C3719" s="23">
        <v>7</v>
      </c>
      <c r="D3719" s="24">
        <v>45846</v>
      </c>
      <c r="E3719" s="23" t="s">
        <v>13</v>
      </c>
      <c r="F3719" s="23" t="s">
        <v>14</v>
      </c>
      <c r="G3719" s="23" t="s">
        <v>31</v>
      </c>
      <c r="H3719" s="23" t="s">
        <v>22</v>
      </c>
      <c r="I3719" s="23">
        <v>48</v>
      </c>
      <c r="J3719" s="23">
        <v>0</v>
      </c>
      <c r="K3719" s="23">
        <v>5</v>
      </c>
      <c r="L3719" s="23" t="s">
        <v>17</v>
      </c>
      <c r="M3719" s="25">
        <v>8</v>
      </c>
      <c r="N3719">
        <f t="shared" si="58"/>
        <v>1</v>
      </c>
    </row>
    <row r="3720" spans="1:14" x14ac:dyDescent="0.35">
      <c r="A3720" s="6" t="s">
        <v>3790</v>
      </c>
      <c r="B3720" s="19" t="s">
        <v>236</v>
      </c>
      <c r="C3720" s="19">
        <v>12</v>
      </c>
      <c r="D3720" s="20">
        <v>45992</v>
      </c>
      <c r="E3720" s="19" t="s">
        <v>20</v>
      </c>
      <c r="F3720" s="19" t="s">
        <v>37</v>
      </c>
      <c r="G3720" s="19" t="s">
        <v>31</v>
      </c>
      <c r="H3720" s="19" t="s">
        <v>22</v>
      </c>
      <c r="I3720" s="19">
        <v>48</v>
      </c>
      <c r="J3720" s="19">
        <v>2</v>
      </c>
      <c r="K3720" s="19">
        <v>5</v>
      </c>
      <c r="L3720" s="19" t="s">
        <v>33</v>
      </c>
      <c r="M3720" s="21">
        <v>9.1999999999999993</v>
      </c>
      <c r="N3720">
        <f t="shared" si="58"/>
        <v>1</v>
      </c>
    </row>
    <row r="3721" spans="1:14" x14ac:dyDescent="0.35">
      <c r="A3721" s="22" t="s">
        <v>3791</v>
      </c>
      <c r="B3721" s="23" t="s">
        <v>49</v>
      </c>
      <c r="C3721" s="23">
        <v>9</v>
      </c>
      <c r="D3721" s="24">
        <v>45912</v>
      </c>
      <c r="E3721" s="23" t="s">
        <v>20</v>
      </c>
      <c r="F3721" s="23" t="s">
        <v>43</v>
      </c>
      <c r="G3721" s="23" t="s">
        <v>8364</v>
      </c>
      <c r="H3721" s="23" t="s">
        <v>32</v>
      </c>
      <c r="I3721" s="23">
        <v>72</v>
      </c>
      <c r="J3721" s="23">
        <v>0</v>
      </c>
      <c r="K3721" s="23">
        <v>3</v>
      </c>
      <c r="L3721" s="23" t="s">
        <v>44</v>
      </c>
      <c r="M3721" s="25"/>
      <c r="N3721">
        <f t="shared" si="58"/>
        <v>1</v>
      </c>
    </row>
    <row r="3722" spans="1:14" x14ac:dyDescent="0.35">
      <c r="A3722" s="6" t="s">
        <v>3792</v>
      </c>
      <c r="B3722" s="19" t="s">
        <v>81</v>
      </c>
      <c r="C3722" s="19"/>
      <c r="D3722" s="20"/>
      <c r="E3722" s="19" t="s">
        <v>68</v>
      </c>
      <c r="F3722" s="19" t="s">
        <v>59</v>
      </c>
      <c r="G3722" s="19" t="s">
        <v>27</v>
      </c>
      <c r="H3722" s="19" t="s">
        <v>28</v>
      </c>
      <c r="I3722" s="19">
        <v>8</v>
      </c>
      <c r="J3722" s="19">
        <v>0</v>
      </c>
      <c r="K3722" s="19">
        <v>5</v>
      </c>
      <c r="L3722" s="19" t="s">
        <v>38</v>
      </c>
      <c r="M3722" s="21">
        <v>8</v>
      </c>
      <c r="N3722">
        <f t="shared" si="58"/>
        <v>1</v>
      </c>
    </row>
    <row r="3723" spans="1:14" x14ac:dyDescent="0.35">
      <c r="A3723" s="22" t="s">
        <v>3793</v>
      </c>
      <c r="B3723" s="23" t="s">
        <v>126</v>
      </c>
      <c r="C3723" s="23">
        <v>5</v>
      </c>
      <c r="D3723" s="24">
        <v>45780</v>
      </c>
      <c r="E3723" s="23" t="s">
        <v>25</v>
      </c>
      <c r="F3723" s="23" t="s">
        <v>14</v>
      </c>
      <c r="G3723" s="23" t="s">
        <v>31</v>
      </c>
      <c r="H3723" s="23" t="s">
        <v>28</v>
      </c>
      <c r="I3723" s="23">
        <v>4</v>
      </c>
      <c r="J3723" s="23">
        <v>1</v>
      </c>
      <c r="K3723" s="23">
        <v>4</v>
      </c>
      <c r="L3723" s="23" t="s">
        <v>38</v>
      </c>
      <c r="M3723" s="25"/>
      <c r="N3723">
        <f t="shared" si="58"/>
        <v>1</v>
      </c>
    </row>
    <row r="3724" spans="1:14" x14ac:dyDescent="0.35">
      <c r="A3724" s="6" t="s">
        <v>3794</v>
      </c>
      <c r="B3724" s="19" t="s">
        <v>72</v>
      </c>
      <c r="C3724" s="19">
        <v>2</v>
      </c>
      <c r="D3724" s="20">
        <v>45689</v>
      </c>
      <c r="E3724" s="19" t="s">
        <v>25</v>
      </c>
      <c r="F3724" s="19" t="s">
        <v>59</v>
      </c>
      <c r="G3724" s="19" t="s">
        <v>31</v>
      </c>
      <c r="H3724" s="19" t="s">
        <v>8364</v>
      </c>
      <c r="I3724" s="19">
        <v>48</v>
      </c>
      <c r="J3724" s="19">
        <v>0</v>
      </c>
      <c r="K3724" s="19">
        <v>4</v>
      </c>
      <c r="L3724" s="19" t="s">
        <v>62</v>
      </c>
      <c r="M3724" s="21">
        <v>7.9</v>
      </c>
      <c r="N3724">
        <f t="shared" si="58"/>
        <v>1</v>
      </c>
    </row>
    <row r="3725" spans="1:14" x14ac:dyDescent="0.35">
      <c r="A3725" s="22" t="s">
        <v>3795</v>
      </c>
      <c r="B3725" s="23" t="s">
        <v>72</v>
      </c>
      <c r="C3725" s="23">
        <v>3</v>
      </c>
      <c r="D3725" s="24">
        <v>45717</v>
      </c>
      <c r="E3725" s="23" t="s">
        <v>25</v>
      </c>
      <c r="F3725" s="23" t="s">
        <v>40</v>
      </c>
      <c r="G3725" s="23" t="s">
        <v>15</v>
      </c>
      <c r="H3725" s="23" t="s">
        <v>22</v>
      </c>
      <c r="I3725" s="23">
        <v>4</v>
      </c>
      <c r="J3725" s="23">
        <v>0</v>
      </c>
      <c r="K3725" s="23">
        <v>5</v>
      </c>
      <c r="L3725" s="23" t="s">
        <v>75</v>
      </c>
      <c r="M3725" s="25">
        <v>16.600000000000001</v>
      </c>
      <c r="N3725">
        <f t="shared" si="58"/>
        <v>0</v>
      </c>
    </row>
    <row r="3726" spans="1:14" x14ac:dyDescent="0.35">
      <c r="A3726" s="6" t="s">
        <v>3796</v>
      </c>
      <c r="B3726" s="19" t="s">
        <v>181</v>
      </c>
      <c r="C3726" s="19">
        <v>8</v>
      </c>
      <c r="D3726" s="20">
        <v>45874</v>
      </c>
      <c r="E3726" s="19" t="s">
        <v>20</v>
      </c>
      <c r="F3726" s="19" t="s">
        <v>59</v>
      </c>
      <c r="G3726" s="19" t="s">
        <v>27</v>
      </c>
      <c r="H3726" s="19" t="s">
        <v>32</v>
      </c>
      <c r="I3726" s="19">
        <v>8</v>
      </c>
      <c r="J3726" s="19">
        <v>0</v>
      </c>
      <c r="K3726" s="19">
        <v>2</v>
      </c>
      <c r="L3726" s="19" t="s">
        <v>8363</v>
      </c>
      <c r="M3726" s="21">
        <v>10.6</v>
      </c>
      <c r="N3726">
        <f t="shared" si="58"/>
        <v>0</v>
      </c>
    </row>
    <row r="3727" spans="1:14" x14ac:dyDescent="0.35">
      <c r="A3727" s="22" t="s">
        <v>3797</v>
      </c>
      <c r="B3727" s="23" t="s">
        <v>104</v>
      </c>
      <c r="C3727" s="23"/>
      <c r="D3727" s="24"/>
      <c r="E3727" s="23" t="s">
        <v>8364</v>
      </c>
      <c r="F3727" s="23" t="s">
        <v>40</v>
      </c>
      <c r="G3727" s="23" t="s">
        <v>21</v>
      </c>
      <c r="H3727" s="23" t="s">
        <v>8364</v>
      </c>
      <c r="I3727" s="23">
        <v>24</v>
      </c>
      <c r="J3727" s="23">
        <v>0</v>
      </c>
      <c r="K3727" s="23">
        <v>4</v>
      </c>
      <c r="L3727" s="23" t="s">
        <v>44</v>
      </c>
      <c r="M3727" s="25">
        <v>23.8</v>
      </c>
      <c r="N3727">
        <f t="shared" si="58"/>
        <v>1</v>
      </c>
    </row>
    <row r="3728" spans="1:14" x14ac:dyDescent="0.35">
      <c r="A3728" s="6" t="s">
        <v>3798</v>
      </c>
      <c r="B3728" s="19" t="s">
        <v>69</v>
      </c>
      <c r="C3728" s="19">
        <v>8</v>
      </c>
      <c r="D3728" s="20">
        <v>45888</v>
      </c>
      <c r="E3728" s="19" t="s">
        <v>20</v>
      </c>
      <c r="F3728" s="19" t="s">
        <v>43</v>
      </c>
      <c r="G3728" s="19" t="s">
        <v>21</v>
      </c>
      <c r="H3728" s="19" t="s">
        <v>22</v>
      </c>
      <c r="I3728" s="19">
        <v>8</v>
      </c>
      <c r="J3728" s="19">
        <v>0</v>
      </c>
      <c r="K3728" s="19">
        <v>5</v>
      </c>
      <c r="L3728" s="19" t="s">
        <v>55</v>
      </c>
      <c r="M3728" s="21">
        <v>12.7</v>
      </c>
      <c r="N3728">
        <f t="shared" si="58"/>
        <v>0</v>
      </c>
    </row>
    <row r="3729" spans="1:14" x14ac:dyDescent="0.35">
      <c r="A3729" s="22" t="s">
        <v>3799</v>
      </c>
      <c r="B3729" s="23" t="s">
        <v>69</v>
      </c>
      <c r="C3729" s="23">
        <v>6</v>
      </c>
      <c r="D3729" s="24">
        <v>45809</v>
      </c>
      <c r="E3729" s="23" t="s">
        <v>68</v>
      </c>
      <c r="F3729" s="23" t="s">
        <v>14</v>
      </c>
      <c r="G3729" s="23" t="s">
        <v>21</v>
      </c>
      <c r="H3729" s="23" t="s">
        <v>22</v>
      </c>
      <c r="I3729" s="23">
        <v>4</v>
      </c>
      <c r="J3729" s="23">
        <v>0</v>
      </c>
      <c r="K3729" s="23">
        <v>4</v>
      </c>
      <c r="L3729" s="23" t="s">
        <v>44</v>
      </c>
      <c r="M3729" s="25"/>
      <c r="N3729">
        <f t="shared" si="58"/>
        <v>1</v>
      </c>
    </row>
    <row r="3730" spans="1:14" x14ac:dyDescent="0.35">
      <c r="A3730" s="6" t="s">
        <v>3800</v>
      </c>
      <c r="B3730" s="19" t="s">
        <v>78</v>
      </c>
      <c r="C3730" s="19">
        <v>3</v>
      </c>
      <c r="D3730" s="20">
        <v>45718</v>
      </c>
      <c r="E3730" s="19" t="s">
        <v>13</v>
      </c>
      <c r="F3730" s="19" t="s">
        <v>8364</v>
      </c>
      <c r="G3730" s="19" t="s">
        <v>27</v>
      </c>
      <c r="H3730" s="19" t="s">
        <v>28</v>
      </c>
      <c r="I3730" s="19">
        <v>24</v>
      </c>
      <c r="J3730" s="19">
        <v>0</v>
      </c>
      <c r="K3730" s="19">
        <v>1</v>
      </c>
      <c r="L3730" s="19" t="s">
        <v>38</v>
      </c>
      <c r="M3730" s="21">
        <v>24.5</v>
      </c>
      <c r="N3730">
        <f t="shared" si="58"/>
        <v>0</v>
      </c>
    </row>
    <row r="3731" spans="1:14" x14ac:dyDescent="0.35">
      <c r="A3731" s="22" t="s">
        <v>3801</v>
      </c>
      <c r="B3731" s="23" t="s">
        <v>158</v>
      </c>
      <c r="C3731" s="23">
        <v>8</v>
      </c>
      <c r="D3731" s="24">
        <v>45881</v>
      </c>
      <c r="E3731" s="23" t="s">
        <v>25</v>
      </c>
      <c r="F3731" s="23" t="s">
        <v>59</v>
      </c>
      <c r="G3731" s="23" t="s">
        <v>21</v>
      </c>
      <c r="H3731" s="23" t="s">
        <v>32</v>
      </c>
      <c r="I3731" s="23">
        <v>4</v>
      </c>
      <c r="J3731" s="23">
        <v>0</v>
      </c>
      <c r="K3731" s="23">
        <v>4</v>
      </c>
      <c r="L3731" s="23" t="s">
        <v>75</v>
      </c>
      <c r="M3731" s="25">
        <v>5.2</v>
      </c>
      <c r="N3731">
        <f t="shared" si="58"/>
        <v>0</v>
      </c>
    </row>
    <row r="3732" spans="1:14" x14ac:dyDescent="0.35">
      <c r="A3732" s="6" t="s">
        <v>3802</v>
      </c>
      <c r="B3732" s="19" t="s">
        <v>41</v>
      </c>
      <c r="C3732" s="19">
        <v>8</v>
      </c>
      <c r="D3732" s="20">
        <v>45889</v>
      </c>
      <c r="E3732" s="19" t="s">
        <v>25</v>
      </c>
      <c r="F3732" s="19" t="s">
        <v>26</v>
      </c>
      <c r="G3732" s="19" t="s">
        <v>15</v>
      </c>
      <c r="H3732" s="19" t="s">
        <v>8364</v>
      </c>
      <c r="I3732" s="19">
        <v>72</v>
      </c>
      <c r="J3732" s="19">
        <v>2</v>
      </c>
      <c r="K3732" s="19">
        <v>5</v>
      </c>
      <c r="L3732" s="19" t="s">
        <v>33</v>
      </c>
      <c r="M3732" s="21">
        <v>10.199999999999999</v>
      </c>
      <c r="N3732">
        <f t="shared" si="58"/>
        <v>1</v>
      </c>
    </row>
    <row r="3733" spans="1:14" x14ac:dyDescent="0.35">
      <c r="A3733" s="22" t="s">
        <v>3803</v>
      </c>
      <c r="B3733" s="23" t="s">
        <v>89</v>
      </c>
      <c r="C3733" s="23">
        <v>11</v>
      </c>
      <c r="D3733" s="24">
        <v>45989</v>
      </c>
      <c r="E3733" s="23" t="s">
        <v>8364</v>
      </c>
      <c r="F3733" s="23" t="s">
        <v>40</v>
      </c>
      <c r="G3733" s="23" t="s">
        <v>27</v>
      </c>
      <c r="H3733" s="23" t="s">
        <v>22</v>
      </c>
      <c r="I3733" s="23">
        <v>24</v>
      </c>
      <c r="J3733" s="23">
        <v>2</v>
      </c>
      <c r="K3733" s="23">
        <v>1</v>
      </c>
      <c r="L3733" s="23" t="s">
        <v>38</v>
      </c>
      <c r="M3733" s="25">
        <v>11.1</v>
      </c>
      <c r="N3733">
        <f t="shared" si="58"/>
        <v>1</v>
      </c>
    </row>
    <row r="3734" spans="1:14" x14ac:dyDescent="0.35">
      <c r="A3734" s="6" t="s">
        <v>3804</v>
      </c>
      <c r="B3734" s="19" t="s">
        <v>143</v>
      </c>
      <c r="C3734" s="19">
        <v>4</v>
      </c>
      <c r="D3734" s="20">
        <v>45769</v>
      </c>
      <c r="E3734" s="19" t="s">
        <v>20</v>
      </c>
      <c r="F3734" s="19" t="s">
        <v>59</v>
      </c>
      <c r="G3734" s="19" t="s">
        <v>21</v>
      </c>
      <c r="H3734" s="19" t="s">
        <v>22</v>
      </c>
      <c r="I3734" s="19">
        <v>8</v>
      </c>
      <c r="J3734" s="19">
        <v>0</v>
      </c>
      <c r="K3734" s="19">
        <v>3</v>
      </c>
      <c r="L3734" s="19" t="s">
        <v>75</v>
      </c>
      <c r="M3734" s="21">
        <v>2.8</v>
      </c>
      <c r="N3734">
        <f t="shared" si="58"/>
        <v>1</v>
      </c>
    </row>
    <row r="3735" spans="1:14" x14ac:dyDescent="0.35">
      <c r="A3735" s="22" t="s">
        <v>3805</v>
      </c>
      <c r="B3735" s="23" t="s">
        <v>34</v>
      </c>
      <c r="C3735" s="23">
        <v>7</v>
      </c>
      <c r="D3735" s="24">
        <v>45851</v>
      </c>
      <c r="E3735" s="23" t="s">
        <v>25</v>
      </c>
      <c r="F3735" s="23" t="s">
        <v>26</v>
      </c>
      <c r="G3735" s="23" t="s">
        <v>21</v>
      </c>
      <c r="H3735" s="23" t="s">
        <v>32</v>
      </c>
      <c r="I3735" s="23">
        <v>4</v>
      </c>
      <c r="J3735" s="23">
        <v>0</v>
      </c>
      <c r="K3735" s="23">
        <v>4</v>
      </c>
      <c r="L3735" s="23" t="s">
        <v>55</v>
      </c>
      <c r="M3735" s="25">
        <v>3.9</v>
      </c>
      <c r="N3735">
        <f t="shared" si="58"/>
        <v>1</v>
      </c>
    </row>
    <row r="3736" spans="1:14" x14ac:dyDescent="0.35">
      <c r="A3736" s="6" t="s">
        <v>3806</v>
      </c>
      <c r="B3736" s="19" t="s">
        <v>53</v>
      </c>
      <c r="C3736" s="19">
        <v>10</v>
      </c>
      <c r="D3736" s="20">
        <v>45947</v>
      </c>
      <c r="E3736" s="19" t="s">
        <v>20</v>
      </c>
      <c r="F3736" s="19" t="s">
        <v>37</v>
      </c>
      <c r="G3736" s="19" t="s">
        <v>27</v>
      </c>
      <c r="H3736" s="19" t="s">
        <v>32</v>
      </c>
      <c r="I3736" s="19">
        <v>24</v>
      </c>
      <c r="J3736" s="19">
        <v>3</v>
      </c>
      <c r="K3736" s="19">
        <v>3</v>
      </c>
      <c r="L3736" s="19" t="s">
        <v>75</v>
      </c>
      <c r="M3736" s="21">
        <v>4.2</v>
      </c>
      <c r="N3736">
        <f t="shared" si="58"/>
        <v>1</v>
      </c>
    </row>
    <row r="3737" spans="1:14" x14ac:dyDescent="0.35">
      <c r="A3737" s="22" t="s">
        <v>3807</v>
      </c>
      <c r="B3737" s="23" t="s">
        <v>69</v>
      </c>
      <c r="C3737" s="23"/>
      <c r="D3737" s="24"/>
      <c r="E3737" s="23" t="s">
        <v>68</v>
      </c>
      <c r="F3737" s="23" t="s">
        <v>37</v>
      </c>
      <c r="G3737" s="23" t="s">
        <v>31</v>
      </c>
      <c r="H3737" s="23" t="s">
        <v>8364</v>
      </c>
      <c r="I3737" s="23">
        <v>4</v>
      </c>
      <c r="J3737" s="23">
        <v>0</v>
      </c>
      <c r="K3737" s="23">
        <v>5</v>
      </c>
      <c r="L3737" s="23" t="s">
        <v>17</v>
      </c>
      <c r="M3737" s="25">
        <v>17.3</v>
      </c>
      <c r="N3737">
        <f t="shared" si="58"/>
        <v>0</v>
      </c>
    </row>
    <row r="3738" spans="1:14" x14ac:dyDescent="0.35">
      <c r="A3738" s="6" t="s">
        <v>3808</v>
      </c>
      <c r="B3738" s="19" t="s">
        <v>139</v>
      </c>
      <c r="C3738" s="19">
        <v>9</v>
      </c>
      <c r="D3738" s="20">
        <v>45905</v>
      </c>
      <c r="E3738" s="19" t="s">
        <v>13</v>
      </c>
      <c r="F3738" s="19" t="s">
        <v>43</v>
      </c>
      <c r="G3738" s="19" t="s">
        <v>31</v>
      </c>
      <c r="H3738" s="19" t="s">
        <v>8364</v>
      </c>
      <c r="I3738" s="19">
        <v>24</v>
      </c>
      <c r="J3738" s="19">
        <v>1</v>
      </c>
      <c r="K3738" s="19">
        <v>2</v>
      </c>
      <c r="L3738" s="19" t="s">
        <v>33</v>
      </c>
      <c r="M3738" s="21">
        <v>9.3000000000000007</v>
      </c>
      <c r="N3738">
        <f t="shared" si="58"/>
        <v>1</v>
      </c>
    </row>
    <row r="3739" spans="1:14" x14ac:dyDescent="0.35">
      <c r="A3739" s="22" t="s">
        <v>3809</v>
      </c>
      <c r="B3739" s="23" t="s">
        <v>78</v>
      </c>
      <c r="C3739" s="23">
        <v>11</v>
      </c>
      <c r="D3739" s="24">
        <v>45963</v>
      </c>
      <c r="E3739" s="23" t="s">
        <v>36</v>
      </c>
      <c r="F3739" s="23" t="s">
        <v>14</v>
      </c>
      <c r="G3739" s="23" t="s">
        <v>15</v>
      </c>
      <c r="H3739" s="23" t="s">
        <v>22</v>
      </c>
      <c r="I3739" s="23">
        <v>24</v>
      </c>
      <c r="J3739" s="23"/>
      <c r="K3739" s="23">
        <v>1</v>
      </c>
      <c r="L3739" s="23" t="s">
        <v>8363</v>
      </c>
      <c r="M3739" s="25">
        <v>2.1</v>
      </c>
      <c r="N3739">
        <f t="shared" si="58"/>
        <v>1</v>
      </c>
    </row>
    <row r="3740" spans="1:14" x14ac:dyDescent="0.35">
      <c r="A3740" s="6" t="s">
        <v>3810</v>
      </c>
      <c r="B3740" s="19" t="s">
        <v>253</v>
      </c>
      <c r="C3740" s="19">
        <v>1</v>
      </c>
      <c r="D3740" s="20">
        <v>45666</v>
      </c>
      <c r="E3740" s="19" t="s">
        <v>25</v>
      </c>
      <c r="F3740" s="19" t="s">
        <v>37</v>
      </c>
      <c r="G3740" s="19" t="s">
        <v>8364</v>
      </c>
      <c r="H3740" s="19" t="s">
        <v>28</v>
      </c>
      <c r="I3740" s="19">
        <v>48</v>
      </c>
      <c r="J3740" s="19">
        <v>0</v>
      </c>
      <c r="K3740" s="19">
        <v>4</v>
      </c>
      <c r="L3740" s="19" t="s">
        <v>75</v>
      </c>
      <c r="M3740" s="21">
        <v>11.1</v>
      </c>
      <c r="N3740">
        <f t="shared" si="58"/>
        <v>1</v>
      </c>
    </row>
    <row r="3741" spans="1:14" x14ac:dyDescent="0.35">
      <c r="A3741" s="22" t="s">
        <v>3811</v>
      </c>
      <c r="B3741" s="23" t="s">
        <v>104</v>
      </c>
      <c r="C3741" s="23">
        <v>9</v>
      </c>
      <c r="D3741" s="24">
        <v>45917</v>
      </c>
      <c r="E3741" s="23" t="s">
        <v>13</v>
      </c>
      <c r="F3741" s="23" t="s">
        <v>14</v>
      </c>
      <c r="G3741" s="23" t="s">
        <v>15</v>
      </c>
      <c r="H3741" s="23" t="s">
        <v>28</v>
      </c>
      <c r="I3741" s="23">
        <v>48</v>
      </c>
      <c r="J3741" s="23">
        <v>1</v>
      </c>
      <c r="K3741" s="23">
        <v>5</v>
      </c>
      <c r="L3741" s="23" t="s">
        <v>33</v>
      </c>
      <c r="M3741" s="25">
        <v>3.3</v>
      </c>
      <c r="N3741">
        <f t="shared" si="58"/>
        <v>1</v>
      </c>
    </row>
    <row r="3742" spans="1:14" x14ac:dyDescent="0.35">
      <c r="A3742" s="6" t="s">
        <v>3812</v>
      </c>
      <c r="B3742" s="19" t="s">
        <v>253</v>
      </c>
      <c r="C3742" s="19">
        <v>3</v>
      </c>
      <c r="D3742" s="20">
        <v>45721</v>
      </c>
      <c r="E3742" s="19" t="s">
        <v>20</v>
      </c>
      <c r="F3742" s="19" t="s">
        <v>14</v>
      </c>
      <c r="G3742" s="19" t="s">
        <v>27</v>
      </c>
      <c r="H3742" s="19" t="s">
        <v>8364</v>
      </c>
      <c r="I3742" s="19">
        <v>48</v>
      </c>
      <c r="J3742" s="19">
        <v>2</v>
      </c>
      <c r="K3742" s="19">
        <v>1</v>
      </c>
      <c r="L3742" s="19" t="s">
        <v>33</v>
      </c>
      <c r="M3742" s="21">
        <v>18.3</v>
      </c>
      <c r="N3742">
        <f t="shared" si="58"/>
        <v>1</v>
      </c>
    </row>
    <row r="3743" spans="1:14" x14ac:dyDescent="0.35">
      <c r="A3743" s="22" t="s">
        <v>3813</v>
      </c>
      <c r="B3743" s="23" t="s">
        <v>65</v>
      </c>
      <c r="C3743" s="23"/>
      <c r="D3743" s="24"/>
      <c r="E3743" s="23" t="s">
        <v>13</v>
      </c>
      <c r="F3743" s="23" t="s">
        <v>14</v>
      </c>
      <c r="G3743" s="23" t="s">
        <v>15</v>
      </c>
      <c r="H3743" s="23" t="s">
        <v>32</v>
      </c>
      <c r="I3743" s="23">
        <v>8</v>
      </c>
      <c r="J3743" s="23">
        <v>1</v>
      </c>
      <c r="K3743" s="23">
        <v>2</v>
      </c>
      <c r="L3743" s="23" t="s">
        <v>62</v>
      </c>
      <c r="M3743" s="25">
        <v>1.9</v>
      </c>
      <c r="N3743">
        <f t="shared" si="58"/>
        <v>1</v>
      </c>
    </row>
    <row r="3744" spans="1:14" x14ac:dyDescent="0.35">
      <c r="A3744" s="6" t="s">
        <v>3814</v>
      </c>
      <c r="B3744" s="19" t="s">
        <v>53</v>
      </c>
      <c r="C3744" s="19"/>
      <c r="D3744" s="20"/>
      <c r="E3744" s="19" t="s">
        <v>36</v>
      </c>
      <c r="F3744" s="19" t="s">
        <v>8364</v>
      </c>
      <c r="G3744" s="19" t="s">
        <v>8364</v>
      </c>
      <c r="H3744" s="19" t="s">
        <v>28</v>
      </c>
      <c r="I3744" s="19">
        <v>48</v>
      </c>
      <c r="J3744" s="19">
        <v>0</v>
      </c>
      <c r="K3744" s="19">
        <v>5</v>
      </c>
      <c r="L3744" s="19" t="s">
        <v>44</v>
      </c>
      <c r="M3744" s="21">
        <v>5.6</v>
      </c>
      <c r="N3744">
        <f t="shared" si="58"/>
        <v>1</v>
      </c>
    </row>
    <row r="3745" spans="1:14" x14ac:dyDescent="0.35">
      <c r="A3745" s="22" t="s">
        <v>3815</v>
      </c>
      <c r="B3745" s="23" t="s">
        <v>146</v>
      </c>
      <c r="C3745" s="23">
        <v>5</v>
      </c>
      <c r="D3745" s="24">
        <v>45790</v>
      </c>
      <c r="E3745" s="23" t="s">
        <v>36</v>
      </c>
      <c r="F3745" s="23" t="s">
        <v>8364</v>
      </c>
      <c r="G3745" s="23" t="s">
        <v>31</v>
      </c>
      <c r="H3745" s="23" t="s">
        <v>22</v>
      </c>
      <c r="I3745" s="23">
        <v>4</v>
      </c>
      <c r="J3745" s="23">
        <v>0</v>
      </c>
      <c r="K3745" s="23">
        <v>4</v>
      </c>
      <c r="L3745" s="23" t="s">
        <v>38</v>
      </c>
      <c r="M3745" s="25">
        <v>18.5</v>
      </c>
      <c r="N3745">
        <f t="shared" si="58"/>
        <v>0</v>
      </c>
    </row>
    <row r="3746" spans="1:14" x14ac:dyDescent="0.35">
      <c r="A3746" s="6" t="s">
        <v>3816</v>
      </c>
      <c r="B3746" s="19" t="s">
        <v>51</v>
      </c>
      <c r="C3746" s="19">
        <v>3</v>
      </c>
      <c r="D3746" s="20">
        <v>45730</v>
      </c>
      <c r="E3746" s="19" t="s">
        <v>13</v>
      </c>
      <c r="F3746" s="19" t="s">
        <v>8364</v>
      </c>
      <c r="G3746" s="19" t="s">
        <v>31</v>
      </c>
      <c r="H3746" s="19" t="s">
        <v>32</v>
      </c>
      <c r="I3746" s="19">
        <v>4</v>
      </c>
      <c r="J3746" s="19">
        <v>0</v>
      </c>
      <c r="K3746" s="19">
        <v>4</v>
      </c>
      <c r="L3746" s="19" t="s">
        <v>8363</v>
      </c>
      <c r="M3746" s="21">
        <v>15.3</v>
      </c>
      <c r="N3746">
        <f t="shared" si="58"/>
        <v>0</v>
      </c>
    </row>
    <row r="3747" spans="1:14" x14ac:dyDescent="0.35">
      <c r="A3747" s="22" t="s">
        <v>3817</v>
      </c>
      <c r="B3747" s="23" t="s">
        <v>65</v>
      </c>
      <c r="C3747" s="23">
        <v>12</v>
      </c>
      <c r="D3747" s="24">
        <v>46007</v>
      </c>
      <c r="E3747" s="23" t="s">
        <v>25</v>
      </c>
      <c r="F3747" s="23" t="s">
        <v>59</v>
      </c>
      <c r="G3747" s="23" t="s">
        <v>8364</v>
      </c>
      <c r="H3747" s="23" t="s">
        <v>32</v>
      </c>
      <c r="I3747" s="23">
        <v>4</v>
      </c>
      <c r="J3747" s="23">
        <v>0</v>
      </c>
      <c r="K3747" s="23">
        <v>2</v>
      </c>
      <c r="L3747" s="23" t="s">
        <v>75</v>
      </c>
      <c r="M3747" s="25">
        <v>25.4</v>
      </c>
      <c r="N3747">
        <f t="shared" si="58"/>
        <v>0</v>
      </c>
    </row>
    <row r="3748" spans="1:14" x14ac:dyDescent="0.35">
      <c r="A3748" s="6" t="s">
        <v>3818</v>
      </c>
      <c r="B3748" s="19" t="s">
        <v>41</v>
      </c>
      <c r="C3748" s="19">
        <v>1</v>
      </c>
      <c r="D3748" s="20">
        <v>45673</v>
      </c>
      <c r="E3748" s="19" t="s">
        <v>13</v>
      </c>
      <c r="F3748" s="19" t="s">
        <v>43</v>
      </c>
      <c r="G3748" s="19" t="s">
        <v>27</v>
      </c>
      <c r="H3748" s="19" t="s">
        <v>16</v>
      </c>
      <c r="I3748" s="19">
        <v>24</v>
      </c>
      <c r="J3748" s="19">
        <v>1</v>
      </c>
      <c r="K3748" s="19"/>
      <c r="L3748" s="19" t="s">
        <v>8363</v>
      </c>
      <c r="M3748" s="21">
        <v>9.1</v>
      </c>
      <c r="N3748">
        <f t="shared" si="58"/>
        <v>1</v>
      </c>
    </row>
    <row r="3749" spans="1:14" x14ac:dyDescent="0.35">
      <c r="A3749" s="22" t="s">
        <v>3819</v>
      </c>
      <c r="B3749" s="23" t="s">
        <v>69</v>
      </c>
      <c r="C3749" s="23"/>
      <c r="D3749" s="24"/>
      <c r="E3749" s="23" t="s">
        <v>25</v>
      </c>
      <c r="F3749" s="23" t="s">
        <v>37</v>
      </c>
      <c r="G3749" s="23" t="s">
        <v>15</v>
      </c>
      <c r="H3749" s="23" t="s">
        <v>28</v>
      </c>
      <c r="I3749" s="23">
        <v>8</v>
      </c>
      <c r="J3749" s="23">
        <v>0</v>
      </c>
      <c r="K3749" s="23">
        <v>2</v>
      </c>
      <c r="L3749" s="23" t="s">
        <v>55</v>
      </c>
      <c r="M3749" s="25">
        <v>9.1</v>
      </c>
      <c r="N3749">
        <f t="shared" si="58"/>
        <v>0</v>
      </c>
    </row>
    <row r="3750" spans="1:14" x14ac:dyDescent="0.35">
      <c r="A3750" s="6" t="s">
        <v>3820</v>
      </c>
      <c r="B3750" s="19" t="s">
        <v>53</v>
      </c>
      <c r="C3750" s="19">
        <v>8</v>
      </c>
      <c r="D3750" s="20">
        <v>45870</v>
      </c>
      <c r="E3750" s="19" t="s">
        <v>25</v>
      </c>
      <c r="F3750" s="19" t="s">
        <v>43</v>
      </c>
      <c r="G3750" s="19" t="s">
        <v>21</v>
      </c>
      <c r="H3750" s="19" t="s">
        <v>22</v>
      </c>
      <c r="I3750" s="19">
        <v>8</v>
      </c>
      <c r="J3750" s="19">
        <v>1</v>
      </c>
      <c r="K3750" s="19">
        <v>4</v>
      </c>
      <c r="L3750" s="19" t="s">
        <v>33</v>
      </c>
      <c r="M3750" s="21">
        <v>14</v>
      </c>
      <c r="N3750">
        <f t="shared" si="58"/>
        <v>0</v>
      </c>
    </row>
    <row r="3751" spans="1:14" x14ac:dyDescent="0.35">
      <c r="A3751" s="22" t="s">
        <v>3821</v>
      </c>
      <c r="B3751" s="23" t="s">
        <v>158</v>
      </c>
      <c r="C3751" s="23"/>
      <c r="D3751" s="24"/>
      <c r="E3751" s="23" t="s">
        <v>20</v>
      </c>
      <c r="F3751" s="23" t="s">
        <v>8364</v>
      </c>
      <c r="G3751" s="23" t="s">
        <v>31</v>
      </c>
      <c r="H3751" s="23" t="s">
        <v>22</v>
      </c>
      <c r="I3751" s="23">
        <v>72</v>
      </c>
      <c r="J3751" s="23">
        <v>0</v>
      </c>
      <c r="K3751" s="23">
        <v>5</v>
      </c>
      <c r="L3751" s="23" t="s">
        <v>17</v>
      </c>
      <c r="M3751" s="25">
        <v>8.5</v>
      </c>
      <c r="N3751">
        <f t="shared" si="58"/>
        <v>1</v>
      </c>
    </row>
    <row r="3752" spans="1:14" x14ac:dyDescent="0.35">
      <c r="A3752" s="6" t="s">
        <v>3822</v>
      </c>
      <c r="B3752" s="19" t="s">
        <v>143</v>
      </c>
      <c r="C3752" s="19">
        <v>12</v>
      </c>
      <c r="D3752" s="20">
        <v>45997</v>
      </c>
      <c r="E3752" s="19" t="s">
        <v>36</v>
      </c>
      <c r="F3752" s="19" t="s">
        <v>43</v>
      </c>
      <c r="G3752" s="19" t="s">
        <v>15</v>
      </c>
      <c r="H3752" s="19" t="s">
        <v>32</v>
      </c>
      <c r="I3752" s="19">
        <v>8</v>
      </c>
      <c r="J3752" s="19">
        <v>3</v>
      </c>
      <c r="K3752" s="19">
        <v>3</v>
      </c>
      <c r="L3752" s="19" t="s">
        <v>8363</v>
      </c>
      <c r="M3752" s="21">
        <v>10.1</v>
      </c>
      <c r="N3752">
        <f t="shared" si="58"/>
        <v>0</v>
      </c>
    </row>
    <row r="3753" spans="1:14" x14ac:dyDescent="0.35">
      <c r="A3753" s="22" t="s">
        <v>3823</v>
      </c>
      <c r="B3753" s="23" t="s">
        <v>89</v>
      </c>
      <c r="C3753" s="23">
        <v>10</v>
      </c>
      <c r="D3753" s="24">
        <v>45954</v>
      </c>
      <c r="E3753" s="23" t="s">
        <v>36</v>
      </c>
      <c r="F3753" s="23" t="s">
        <v>37</v>
      </c>
      <c r="G3753" s="23" t="s">
        <v>8364</v>
      </c>
      <c r="H3753" s="23" t="s">
        <v>28</v>
      </c>
      <c r="I3753" s="23">
        <v>8</v>
      </c>
      <c r="J3753" s="23">
        <v>1</v>
      </c>
      <c r="K3753" s="23">
        <v>4</v>
      </c>
      <c r="L3753" s="23" t="s">
        <v>8363</v>
      </c>
      <c r="M3753" s="25"/>
      <c r="N3753">
        <f t="shared" si="58"/>
        <v>1</v>
      </c>
    </row>
    <row r="3754" spans="1:14" x14ac:dyDescent="0.35">
      <c r="A3754" s="6" t="s">
        <v>3824</v>
      </c>
      <c r="B3754" s="19" t="s">
        <v>126</v>
      </c>
      <c r="C3754" s="19">
        <v>1</v>
      </c>
      <c r="D3754" s="20">
        <v>45679</v>
      </c>
      <c r="E3754" s="19" t="s">
        <v>36</v>
      </c>
      <c r="F3754" s="19" t="s">
        <v>14</v>
      </c>
      <c r="G3754" s="19" t="s">
        <v>27</v>
      </c>
      <c r="H3754" s="19" t="s">
        <v>32</v>
      </c>
      <c r="I3754" s="19">
        <v>4</v>
      </c>
      <c r="J3754" s="19"/>
      <c r="K3754" s="19">
        <v>5</v>
      </c>
      <c r="L3754" s="19" t="s">
        <v>44</v>
      </c>
      <c r="M3754" s="21">
        <v>7.6</v>
      </c>
      <c r="N3754">
        <f t="shared" si="58"/>
        <v>0</v>
      </c>
    </row>
    <row r="3755" spans="1:14" x14ac:dyDescent="0.35">
      <c r="A3755" s="22" t="s">
        <v>3825</v>
      </c>
      <c r="B3755" s="23" t="s">
        <v>89</v>
      </c>
      <c r="C3755" s="23">
        <v>3</v>
      </c>
      <c r="D3755" s="24">
        <v>45724</v>
      </c>
      <c r="E3755" s="23" t="s">
        <v>13</v>
      </c>
      <c r="F3755" s="23" t="s">
        <v>26</v>
      </c>
      <c r="G3755" s="23" t="s">
        <v>27</v>
      </c>
      <c r="H3755" s="23" t="s">
        <v>28</v>
      </c>
      <c r="I3755" s="23">
        <v>72</v>
      </c>
      <c r="J3755" s="23">
        <v>0</v>
      </c>
      <c r="K3755" s="23">
        <v>5</v>
      </c>
      <c r="L3755" s="23" t="s">
        <v>55</v>
      </c>
      <c r="M3755" s="25">
        <v>9</v>
      </c>
      <c r="N3755">
        <f t="shared" si="58"/>
        <v>1</v>
      </c>
    </row>
    <row r="3756" spans="1:14" x14ac:dyDescent="0.35">
      <c r="A3756" s="6" t="s">
        <v>3826</v>
      </c>
      <c r="B3756" s="19" t="s">
        <v>72</v>
      </c>
      <c r="C3756" s="19">
        <v>12</v>
      </c>
      <c r="D3756" s="20">
        <v>45996</v>
      </c>
      <c r="E3756" s="19" t="s">
        <v>8364</v>
      </c>
      <c r="F3756" s="19" t="s">
        <v>37</v>
      </c>
      <c r="G3756" s="19" t="s">
        <v>31</v>
      </c>
      <c r="H3756" s="19" t="s">
        <v>8364</v>
      </c>
      <c r="I3756" s="19">
        <v>48</v>
      </c>
      <c r="J3756" s="19">
        <v>2</v>
      </c>
      <c r="K3756" s="19">
        <v>4</v>
      </c>
      <c r="L3756" s="19" t="s">
        <v>33</v>
      </c>
      <c r="M3756" s="21">
        <v>15</v>
      </c>
      <c r="N3756">
        <f t="shared" si="58"/>
        <v>1</v>
      </c>
    </row>
    <row r="3757" spans="1:14" x14ac:dyDescent="0.35">
      <c r="A3757" s="22" t="s">
        <v>3827</v>
      </c>
      <c r="B3757" s="23" t="s">
        <v>253</v>
      </c>
      <c r="C3757" s="23">
        <v>6</v>
      </c>
      <c r="D3757" s="24">
        <v>45811</v>
      </c>
      <c r="E3757" s="23" t="s">
        <v>36</v>
      </c>
      <c r="F3757" s="23" t="s">
        <v>37</v>
      </c>
      <c r="G3757" s="23" t="s">
        <v>15</v>
      </c>
      <c r="H3757" s="23" t="s">
        <v>32</v>
      </c>
      <c r="I3757" s="23">
        <v>48</v>
      </c>
      <c r="J3757" s="23">
        <v>0</v>
      </c>
      <c r="K3757" s="23">
        <v>2</v>
      </c>
      <c r="L3757" s="23" t="s">
        <v>17</v>
      </c>
      <c r="M3757" s="25">
        <v>10.199999999999999</v>
      </c>
      <c r="N3757">
        <f t="shared" si="58"/>
        <v>1</v>
      </c>
    </row>
    <row r="3758" spans="1:14" x14ac:dyDescent="0.35">
      <c r="A3758" s="6" t="s">
        <v>3828</v>
      </c>
      <c r="B3758" s="19" t="s">
        <v>85</v>
      </c>
      <c r="C3758" s="19">
        <v>7</v>
      </c>
      <c r="D3758" s="20">
        <v>45858</v>
      </c>
      <c r="E3758" s="19" t="s">
        <v>13</v>
      </c>
      <c r="F3758" s="19" t="s">
        <v>37</v>
      </c>
      <c r="G3758" s="19" t="s">
        <v>27</v>
      </c>
      <c r="H3758" s="19" t="s">
        <v>8364</v>
      </c>
      <c r="I3758" s="19">
        <v>8</v>
      </c>
      <c r="J3758" s="19">
        <v>0</v>
      </c>
      <c r="K3758" s="19">
        <v>3</v>
      </c>
      <c r="L3758" s="19" t="s">
        <v>8363</v>
      </c>
      <c r="M3758" s="21">
        <v>1.1000000000000001</v>
      </c>
      <c r="N3758">
        <f t="shared" si="58"/>
        <v>1</v>
      </c>
    </row>
    <row r="3759" spans="1:14" x14ac:dyDescent="0.35">
      <c r="A3759" s="22" t="s">
        <v>3829</v>
      </c>
      <c r="B3759" s="23" t="s">
        <v>53</v>
      </c>
      <c r="C3759" s="23">
        <v>8</v>
      </c>
      <c r="D3759" s="24">
        <v>45900</v>
      </c>
      <c r="E3759" s="23" t="s">
        <v>20</v>
      </c>
      <c r="F3759" s="23" t="s">
        <v>26</v>
      </c>
      <c r="G3759" s="23" t="s">
        <v>27</v>
      </c>
      <c r="H3759" s="23" t="s">
        <v>28</v>
      </c>
      <c r="I3759" s="23">
        <v>48</v>
      </c>
      <c r="J3759" s="23">
        <v>0</v>
      </c>
      <c r="K3759" s="23">
        <v>1</v>
      </c>
      <c r="L3759" s="23" t="s">
        <v>8363</v>
      </c>
      <c r="M3759" s="25">
        <v>4.5999999999999996</v>
      </c>
      <c r="N3759">
        <f t="shared" si="58"/>
        <v>1</v>
      </c>
    </row>
    <row r="3760" spans="1:14" x14ac:dyDescent="0.35">
      <c r="A3760" s="6" t="s">
        <v>3830</v>
      </c>
      <c r="B3760" s="19" t="s">
        <v>65</v>
      </c>
      <c r="C3760" s="19">
        <v>6</v>
      </c>
      <c r="D3760" s="20">
        <v>45832</v>
      </c>
      <c r="E3760" s="19" t="s">
        <v>25</v>
      </c>
      <c r="F3760" s="19" t="s">
        <v>43</v>
      </c>
      <c r="G3760" s="19" t="s">
        <v>31</v>
      </c>
      <c r="H3760" s="19" t="s">
        <v>8364</v>
      </c>
      <c r="I3760" s="19">
        <v>4</v>
      </c>
      <c r="J3760" s="19">
        <v>0</v>
      </c>
      <c r="K3760" s="19">
        <v>5</v>
      </c>
      <c r="L3760" s="19" t="s">
        <v>8363</v>
      </c>
      <c r="M3760" s="21">
        <v>12.2</v>
      </c>
      <c r="N3760">
        <f t="shared" si="58"/>
        <v>0</v>
      </c>
    </row>
    <row r="3761" spans="1:14" x14ac:dyDescent="0.35">
      <c r="A3761" s="22" t="s">
        <v>3831</v>
      </c>
      <c r="B3761" s="23" t="s">
        <v>69</v>
      </c>
      <c r="C3761" s="23">
        <v>6</v>
      </c>
      <c r="D3761" s="24">
        <v>45817</v>
      </c>
      <c r="E3761" s="23" t="s">
        <v>68</v>
      </c>
      <c r="F3761" s="23" t="s">
        <v>43</v>
      </c>
      <c r="G3761" s="23" t="s">
        <v>21</v>
      </c>
      <c r="H3761" s="23" t="s">
        <v>16</v>
      </c>
      <c r="I3761" s="23">
        <v>24</v>
      </c>
      <c r="J3761" s="23">
        <v>0</v>
      </c>
      <c r="K3761" s="23">
        <v>4</v>
      </c>
      <c r="L3761" s="23" t="s">
        <v>8363</v>
      </c>
      <c r="M3761" s="25">
        <v>11.8</v>
      </c>
      <c r="N3761">
        <f t="shared" si="58"/>
        <v>1</v>
      </c>
    </row>
    <row r="3762" spans="1:14" x14ac:dyDescent="0.35">
      <c r="A3762" s="6" t="s">
        <v>3832</v>
      </c>
      <c r="B3762" s="19" t="s">
        <v>72</v>
      </c>
      <c r="C3762" s="19">
        <v>2</v>
      </c>
      <c r="D3762" s="20">
        <v>45690</v>
      </c>
      <c r="E3762" s="19" t="s">
        <v>68</v>
      </c>
      <c r="F3762" s="19" t="s">
        <v>26</v>
      </c>
      <c r="G3762" s="19" t="s">
        <v>8364</v>
      </c>
      <c r="H3762" s="19" t="s">
        <v>22</v>
      </c>
      <c r="I3762" s="19">
        <v>48</v>
      </c>
      <c r="J3762" s="19">
        <v>0</v>
      </c>
      <c r="K3762" s="19"/>
      <c r="L3762" s="19" t="s">
        <v>62</v>
      </c>
      <c r="M3762" s="21">
        <v>19.8</v>
      </c>
      <c r="N3762">
        <f t="shared" si="58"/>
        <v>1</v>
      </c>
    </row>
    <row r="3763" spans="1:14" x14ac:dyDescent="0.35">
      <c r="A3763" s="22" t="s">
        <v>3833</v>
      </c>
      <c r="B3763" s="23" t="s">
        <v>69</v>
      </c>
      <c r="C3763" s="23">
        <v>5</v>
      </c>
      <c r="D3763" s="24">
        <v>45785</v>
      </c>
      <c r="E3763" s="23" t="s">
        <v>13</v>
      </c>
      <c r="F3763" s="23" t="s">
        <v>43</v>
      </c>
      <c r="G3763" s="23" t="s">
        <v>21</v>
      </c>
      <c r="H3763" s="23" t="s">
        <v>8364</v>
      </c>
      <c r="I3763" s="23">
        <v>4</v>
      </c>
      <c r="J3763" s="23">
        <v>2</v>
      </c>
      <c r="K3763" s="23">
        <v>5</v>
      </c>
      <c r="L3763" s="23" t="s">
        <v>17</v>
      </c>
      <c r="M3763" s="25">
        <v>12.7</v>
      </c>
      <c r="N3763">
        <f t="shared" si="58"/>
        <v>0</v>
      </c>
    </row>
    <row r="3764" spans="1:14" x14ac:dyDescent="0.35">
      <c r="A3764" s="6" t="s">
        <v>3834</v>
      </c>
      <c r="B3764" s="19" t="s">
        <v>53</v>
      </c>
      <c r="C3764" s="19">
        <v>7</v>
      </c>
      <c r="D3764" s="20">
        <v>45863</v>
      </c>
      <c r="E3764" s="19" t="s">
        <v>13</v>
      </c>
      <c r="F3764" s="19" t="s">
        <v>14</v>
      </c>
      <c r="G3764" s="19" t="s">
        <v>31</v>
      </c>
      <c r="H3764" s="19" t="s">
        <v>8364</v>
      </c>
      <c r="I3764" s="19">
        <v>8</v>
      </c>
      <c r="J3764" s="19">
        <v>1</v>
      </c>
      <c r="K3764" s="19">
        <v>4</v>
      </c>
      <c r="L3764" s="19" t="s">
        <v>44</v>
      </c>
      <c r="M3764" s="21">
        <v>15.6</v>
      </c>
      <c r="N3764">
        <f t="shared" si="58"/>
        <v>0</v>
      </c>
    </row>
    <row r="3765" spans="1:14" x14ac:dyDescent="0.35">
      <c r="A3765" s="22" t="s">
        <v>3835</v>
      </c>
      <c r="B3765" s="23" t="s">
        <v>23</v>
      </c>
      <c r="C3765" s="23">
        <v>11</v>
      </c>
      <c r="D3765" s="24">
        <v>45973</v>
      </c>
      <c r="E3765" s="23" t="s">
        <v>8364</v>
      </c>
      <c r="F3765" s="23" t="s">
        <v>14</v>
      </c>
      <c r="G3765" s="23" t="s">
        <v>27</v>
      </c>
      <c r="H3765" s="23" t="s">
        <v>16</v>
      </c>
      <c r="I3765" s="23">
        <v>4</v>
      </c>
      <c r="J3765" s="23">
        <v>0</v>
      </c>
      <c r="K3765" s="23"/>
      <c r="L3765" s="23" t="s">
        <v>8363</v>
      </c>
      <c r="M3765" s="25">
        <v>3.4</v>
      </c>
      <c r="N3765">
        <f t="shared" si="58"/>
        <v>1</v>
      </c>
    </row>
    <row r="3766" spans="1:14" x14ac:dyDescent="0.35">
      <c r="A3766" s="6" t="s">
        <v>3836</v>
      </c>
      <c r="B3766" s="19" t="s">
        <v>65</v>
      </c>
      <c r="C3766" s="19">
        <v>12</v>
      </c>
      <c r="D3766" s="20">
        <v>45997</v>
      </c>
      <c r="E3766" s="19" t="s">
        <v>13</v>
      </c>
      <c r="F3766" s="19" t="s">
        <v>37</v>
      </c>
      <c r="G3766" s="19" t="s">
        <v>31</v>
      </c>
      <c r="H3766" s="19" t="s">
        <v>22</v>
      </c>
      <c r="I3766" s="19">
        <v>72</v>
      </c>
      <c r="J3766" s="19">
        <v>1</v>
      </c>
      <c r="K3766" s="19">
        <v>5</v>
      </c>
      <c r="L3766" s="19" t="s">
        <v>44</v>
      </c>
      <c r="M3766" s="21">
        <v>7.4</v>
      </c>
      <c r="N3766">
        <f t="shared" si="58"/>
        <v>1</v>
      </c>
    </row>
    <row r="3767" spans="1:14" x14ac:dyDescent="0.35">
      <c r="A3767" s="22" t="s">
        <v>3837</v>
      </c>
      <c r="B3767" s="23" t="s">
        <v>78</v>
      </c>
      <c r="C3767" s="23">
        <v>11</v>
      </c>
      <c r="D3767" s="24">
        <v>45966</v>
      </c>
      <c r="E3767" s="23" t="s">
        <v>8364</v>
      </c>
      <c r="F3767" s="23" t="s">
        <v>8364</v>
      </c>
      <c r="G3767" s="23" t="s">
        <v>27</v>
      </c>
      <c r="H3767" s="23" t="s">
        <v>28</v>
      </c>
      <c r="I3767" s="23">
        <v>48</v>
      </c>
      <c r="J3767" s="23">
        <v>0</v>
      </c>
      <c r="K3767" s="23">
        <v>1</v>
      </c>
      <c r="L3767" s="23" t="s">
        <v>8363</v>
      </c>
      <c r="M3767" s="25">
        <v>5.7</v>
      </c>
      <c r="N3767">
        <f t="shared" si="58"/>
        <v>1</v>
      </c>
    </row>
    <row r="3768" spans="1:14" x14ac:dyDescent="0.35">
      <c r="A3768" s="6" t="s">
        <v>3838</v>
      </c>
      <c r="B3768" s="19" t="s">
        <v>99</v>
      </c>
      <c r="C3768" s="19">
        <v>10</v>
      </c>
      <c r="D3768" s="20">
        <v>45955</v>
      </c>
      <c r="E3768" s="19" t="s">
        <v>36</v>
      </c>
      <c r="F3768" s="19" t="s">
        <v>8364</v>
      </c>
      <c r="G3768" s="19" t="s">
        <v>31</v>
      </c>
      <c r="H3768" s="19" t="s">
        <v>16</v>
      </c>
      <c r="I3768" s="19">
        <v>72</v>
      </c>
      <c r="J3768" s="19">
        <v>0</v>
      </c>
      <c r="K3768" s="19">
        <v>4</v>
      </c>
      <c r="L3768" s="19" t="s">
        <v>44</v>
      </c>
      <c r="M3768" s="21">
        <v>8.3000000000000007</v>
      </c>
      <c r="N3768">
        <f t="shared" si="58"/>
        <v>1</v>
      </c>
    </row>
    <row r="3769" spans="1:14" x14ac:dyDescent="0.35">
      <c r="A3769" s="22" t="s">
        <v>3839</v>
      </c>
      <c r="B3769" s="23" t="s">
        <v>41</v>
      </c>
      <c r="C3769" s="23">
        <v>10</v>
      </c>
      <c r="D3769" s="24">
        <v>45954</v>
      </c>
      <c r="E3769" s="23" t="s">
        <v>25</v>
      </c>
      <c r="F3769" s="23" t="s">
        <v>8364</v>
      </c>
      <c r="G3769" s="23" t="s">
        <v>15</v>
      </c>
      <c r="H3769" s="23" t="s">
        <v>16</v>
      </c>
      <c r="I3769" s="23">
        <v>72</v>
      </c>
      <c r="J3769" s="23">
        <v>1</v>
      </c>
      <c r="K3769" s="23"/>
      <c r="L3769" s="23" t="s">
        <v>8363</v>
      </c>
      <c r="M3769" s="25">
        <v>6.7</v>
      </c>
      <c r="N3769">
        <f t="shared" si="58"/>
        <v>1</v>
      </c>
    </row>
    <row r="3770" spans="1:14" x14ac:dyDescent="0.35">
      <c r="A3770" s="6" t="s">
        <v>3840</v>
      </c>
      <c r="B3770" s="19" t="s">
        <v>146</v>
      </c>
      <c r="C3770" s="19">
        <v>8</v>
      </c>
      <c r="D3770" s="20">
        <v>45885</v>
      </c>
      <c r="E3770" s="19" t="s">
        <v>36</v>
      </c>
      <c r="F3770" s="19" t="s">
        <v>37</v>
      </c>
      <c r="G3770" s="19" t="s">
        <v>31</v>
      </c>
      <c r="H3770" s="19" t="s">
        <v>22</v>
      </c>
      <c r="I3770" s="19">
        <v>24</v>
      </c>
      <c r="J3770" s="19">
        <v>0</v>
      </c>
      <c r="K3770" s="19">
        <v>1</v>
      </c>
      <c r="L3770" s="19" t="s">
        <v>44</v>
      </c>
      <c r="M3770" s="21">
        <v>11.1</v>
      </c>
      <c r="N3770">
        <f t="shared" si="58"/>
        <v>1</v>
      </c>
    </row>
    <row r="3771" spans="1:14" x14ac:dyDescent="0.35">
      <c r="A3771" s="22" t="s">
        <v>3841</v>
      </c>
      <c r="B3771" s="23" t="s">
        <v>47</v>
      </c>
      <c r="C3771" s="23">
        <v>12</v>
      </c>
      <c r="D3771" s="24">
        <v>46013</v>
      </c>
      <c r="E3771" s="23" t="s">
        <v>13</v>
      </c>
      <c r="F3771" s="23" t="s">
        <v>43</v>
      </c>
      <c r="G3771" s="23" t="s">
        <v>31</v>
      </c>
      <c r="H3771" s="23" t="s">
        <v>22</v>
      </c>
      <c r="I3771" s="23">
        <v>48</v>
      </c>
      <c r="J3771" s="23">
        <v>0</v>
      </c>
      <c r="K3771" s="23">
        <v>2</v>
      </c>
      <c r="L3771" s="23" t="s">
        <v>17</v>
      </c>
      <c r="M3771" s="25">
        <v>10.8</v>
      </c>
      <c r="N3771">
        <f t="shared" si="58"/>
        <v>1</v>
      </c>
    </row>
    <row r="3772" spans="1:14" x14ac:dyDescent="0.35">
      <c r="A3772" s="6" t="s">
        <v>3842</v>
      </c>
      <c r="B3772" s="19" t="s">
        <v>18</v>
      </c>
      <c r="C3772" s="19">
        <v>6</v>
      </c>
      <c r="D3772" s="20">
        <v>45831</v>
      </c>
      <c r="E3772" s="19" t="s">
        <v>20</v>
      </c>
      <c r="F3772" s="19" t="s">
        <v>43</v>
      </c>
      <c r="G3772" s="19" t="s">
        <v>15</v>
      </c>
      <c r="H3772" s="19" t="s">
        <v>28</v>
      </c>
      <c r="I3772" s="19">
        <v>48</v>
      </c>
      <c r="J3772" s="19">
        <v>0</v>
      </c>
      <c r="K3772" s="19">
        <v>4</v>
      </c>
      <c r="L3772" s="19" t="s">
        <v>33</v>
      </c>
      <c r="M3772" s="21">
        <v>6.7</v>
      </c>
      <c r="N3772">
        <f t="shared" si="58"/>
        <v>1</v>
      </c>
    </row>
    <row r="3773" spans="1:14" x14ac:dyDescent="0.35">
      <c r="A3773" s="22" t="s">
        <v>3843</v>
      </c>
      <c r="B3773" s="23" t="s">
        <v>41</v>
      </c>
      <c r="C3773" s="23">
        <v>6</v>
      </c>
      <c r="D3773" s="24">
        <v>45837</v>
      </c>
      <c r="E3773" s="23" t="s">
        <v>20</v>
      </c>
      <c r="F3773" s="23" t="s">
        <v>37</v>
      </c>
      <c r="G3773" s="23" t="s">
        <v>31</v>
      </c>
      <c r="H3773" s="23" t="s">
        <v>16</v>
      </c>
      <c r="I3773" s="23">
        <v>8</v>
      </c>
      <c r="J3773" s="23">
        <v>0</v>
      </c>
      <c r="K3773" s="23">
        <v>1</v>
      </c>
      <c r="L3773" s="23" t="s">
        <v>62</v>
      </c>
      <c r="M3773" s="25">
        <v>29.6</v>
      </c>
      <c r="N3773">
        <f t="shared" si="58"/>
        <v>0</v>
      </c>
    </row>
    <row r="3774" spans="1:14" x14ac:dyDescent="0.35">
      <c r="A3774" s="6" t="s">
        <v>3844</v>
      </c>
      <c r="B3774" s="19" t="s">
        <v>65</v>
      </c>
      <c r="C3774" s="19">
        <v>3</v>
      </c>
      <c r="D3774" s="20">
        <v>45739</v>
      </c>
      <c r="E3774" s="19" t="s">
        <v>25</v>
      </c>
      <c r="F3774" s="19" t="s">
        <v>14</v>
      </c>
      <c r="G3774" s="19" t="s">
        <v>31</v>
      </c>
      <c r="H3774" s="19" t="s">
        <v>22</v>
      </c>
      <c r="I3774" s="19">
        <v>24</v>
      </c>
      <c r="J3774" s="19">
        <v>0</v>
      </c>
      <c r="K3774" s="19">
        <v>2</v>
      </c>
      <c r="L3774" s="19" t="s">
        <v>8363</v>
      </c>
      <c r="M3774" s="21">
        <v>9.1</v>
      </c>
      <c r="N3774">
        <f t="shared" si="58"/>
        <v>1</v>
      </c>
    </row>
    <row r="3775" spans="1:14" x14ac:dyDescent="0.35">
      <c r="A3775" s="22" t="s">
        <v>3845</v>
      </c>
      <c r="B3775" s="23" t="s">
        <v>81</v>
      </c>
      <c r="C3775" s="23">
        <v>7</v>
      </c>
      <c r="D3775" s="24">
        <v>45860</v>
      </c>
      <c r="E3775" s="23" t="s">
        <v>36</v>
      </c>
      <c r="F3775" s="23" t="s">
        <v>26</v>
      </c>
      <c r="G3775" s="23" t="s">
        <v>31</v>
      </c>
      <c r="H3775" s="23" t="s">
        <v>32</v>
      </c>
      <c r="I3775" s="23">
        <v>8</v>
      </c>
      <c r="J3775" s="23">
        <v>0</v>
      </c>
      <c r="K3775" s="23">
        <v>4</v>
      </c>
      <c r="L3775" s="23" t="s">
        <v>55</v>
      </c>
      <c r="M3775" s="25">
        <v>17</v>
      </c>
      <c r="N3775">
        <f t="shared" si="58"/>
        <v>0</v>
      </c>
    </row>
    <row r="3776" spans="1:14" x14ac:dyDescent="0.35">
      <c r="A3776" s="6" t="s">
        <v>3846</v>
      </c>
      <c r="B3776" s="19" t="s">
        <v>87</v>
      </c>
      <c r="C3776" s="19">
        <v>4</v>
      </c>
      <c r="D3776" s="20">
        <v>45767</v>
      </c>
      <c r="E3776" s="19" t="s">
        <v>13</v>
      </c>
      <c r="F3776" s="19" t="s">
        <v>26</v>
      </c>
      <c r="G3776" s="19" t="s">
        <v>15</v>
      </c>
      <c r="H3776" s="19" t="s">
        <v>22</v>
      </c>
      <c r="I3776" s="19">
        <v>48</v>
      </c>
      <c r="J3776" s="19">
        <v>0</v>
      </c>
      <c r="K3776" s="19"/>
      <c r="L3776" s="19" t="s">
        <v>33</v>
      </c>
      <c r="M3776" s="21">
        <v>6.6</v>
      </c>
      <c r="N3776">
        <f t="shared" si="58"/>
        <v>1</v>
      </c>
    </row>
    <row r="3777" spans="1:14" x14ac:dyDescent="0.35">
      <c r="A3777" s="22" t="s">
        <v>3847</v>
      </c>
      <c r="B3777" s="23" t="s">
        <v>49</v>
      </c>
      <c r="C3777" s="23">
        <v>9</v>
      </c>
      <c r="D3777" s="24">
        <v>45927</v>
      </c>
      <c r="E3777" s="23" t="s">
        <v>68</v>
      </c>
      <c r="F3777" s="23" t="s">
        <v>37</v>
      </c>
      <c r="G3777" s="23" t="s">
        <v>27</v>
      </c>
      <c r="H3777" s="23" t="s">
        <v>28</v>
      </c>
      <c r="I3777" s="23">
        <v>4</v>
      </c>
      <c r="J3777" s="23">
        <v>0</v>
      </c>
      <c r="K3777" s="23">
        <v>4</v>
      </c>
      <c r="L3777" s="23" t="s">
        <v>8363</v>
      </c>
      <c r="M3777" s="25">
        <v>1</v>
      </c>
      <c r="N3777">
        <f t="shared" si="58"/>
        <v>1</v>
      </c>
    </row>
    <row r="3778" spans="1:14" x14ac:dyDescent="0.35">
      <c r="A3778" s="6" t="s">
        <v>3848</v>
      </c>
      <c r="B3778" s="19" t="s">
        <v>81</v>
      </c>
      <c r="C3778" s="19">
        <v>3</v>
      </c>
      <c r="D3778" s="20">
        <v>45731</v>
      </c>
      <c r="E3778" s="19" t="s">
        <v>20</v>
      </c>
      <c r="F3778" s="19" t="s">
        <v>43</v>
      </c>
      <c r="G3778" s="19" t="s">
        <v>15</v>
      </c>
      <c r="H3778" s="19" t="s">
        <v>32</v>
      </c>
      <c r="I3778" s="19">
        <v>24</v>
      </c>
      <c r="J3778" s="19"/>
      <c r="K3778" s="19">
        <v>4</v>
      </c>
      <c r="L3778" s="19" t="s">
        <v>38</v>
      </c>
      <c r="M3778" s="21"/>
      <c r="N3778">
        <f t="shared" si="58"/>
        <v>1</v>
      </c>
    </row>
    <row r="3779" spans="1:14" x14ac:dyDescent="0.35">
      <c r="A3779" s="22" t="s">
        <v>3849</v>
      </c>
      <c r="B3779" s="23" t="s">
        <v>181</v>
      </c>
      <c r="C3779" s="23">
        <v>12</v>
      </c>
      <c r="D3779" s="24">
        <v>46000</v>
      </c>
      <c r="E3779" s="23" t="s">
        <v>8364</v>
      </c>
      <c r="F3779" s="23" t="s">
        <v>43</v>
      </c>
      <c r="G3779" s="23" t="s">
        <v>21</v>
      </c>
      <c r="H3779" s="23" t="s">
        <v>8364</v>
      </c>
      <c r="I3779" s="23">
        <v>48</v>
      </c>
      <c r="J3779" s="23">
        <v>2</v>
      </c>
      <c r="K3779" s="23">
        <v>4</v>
      </c>
      <c r="L3779" s="23" t="s">
        <v>75</v>
      </c>
      <c r="M3779" s="25">
        <v>14.9</v>
      </c>
      <c r="N3779">
        <f t="shared" ref="N3779:N3842" si="59">IF(M3779 &lt;= I3779, 1, 0)</f>
        <v>1</v>
      </c>
    </row>
    <row r="3780" spans="1:14" x14ac:dyDescent="0.35">
      <c r="A3780" s="6" t="s">
        <v>3850</v>
      </c>
      <c r="B3780" s="19" t="s">
        <v>92</v>
      </c>
      <c r="C3780" s="19">
        <v>5</v>
      </c>
      <c r="D3780" s="20">
        <v>45787</v>
      </c>
      <c r="E3780" s="19" t="s">
        <v>68</v>
      </c>
      <c r="F3780" s="19" t="s">
        <v>59</v>
      </c>
      <c r="G3780" s="19" t="s">
        <v>8364</v>
      </c>
      <c r="H3780" s="19" t="s">
        <v>22</v>
      </c>
      <c r="I3780" s="19">
        <v>4</v>
      </c>
      <c r="J3780" s="19">
        <v>0</v>
      </c>
      <c r="K3780" s="19">
        <v>4</v>
      </c>
      <c r="L3780" s="19" t="s">
        <v>75</v>
      </c>
      <c r="M3780" s="21">
        <v>12.2</v>
      </c>
      <c r="N3780">
        <f t="shared" si="59"/>
        <v>0</v>
      </c>
    </row>
    <row r="3781" spans="1:14" x14ac:dyDescent="0.35">
      <c r="A3781" s="22" t="s">
        <v>3851</v>
      </c>
      <c r="B3781" s="23" t="s">
        <v>143</v>
      </c>
      <c r="C3781" s="23">
        <v>6</v>
      </c>
      <c r="D3781" s="24">
        <v>45810</v>
      </c>
      <c r="E3781" s="23" t="s">
        <v>25</v>
      </c>
      <c r="F3781" s="23" t="s">
        <v>43</v>
      </c>
      <c r="G3781" s="23" t="s">
        <v>21</v>
      </c>
      <c r="H3781" s="23" t="s">
        <v>8364</v>
      </c>
      <c r="I3781" s="23">
        <v>8</v>
      </c>
      <c r="J3781" s="23">
        <v>0</v>
      </c>
      <c r="K3781" s="23">
        <v>4</v>
      </c>
      <c r="L3781" s="23" t="s">
        <v>17</v>
      </c>
      <c r="M3781" s="25">
        <v>23.2</v>
      </c>
      <c r="N3781">
        <f t="shared" si="59"/>
        <v>0</v>
      </c>
    </row>
    <row r="3782" spans="1:14" x14ac:dyDescent="0.35">
      <c r="A3782" s="6" t="s">
        <v>3852</v>
      </c>
      <c r="B3782" s="19" t="s">
        <v>39</v>
      </c>
      <c r="C3782" s="19">
        <v>4</v>
      </c>
      <c r="D3782" s="20">
        <v>45766</v>
      </c>
      <c r="E3782" s="19" t="s">
        <v>36</v>
      </c>
      <c r="F3782" s="19" t="s">
        <v>59</v>
      </c>
      <c r="G3782" s="19" t="s">
        <v>27</v>
      </c>
      <c r="H3782" s="19" t="s">
        <v>32</v>
      </c>
      <c r="I3782" s="19">
        <v>4</v>
      </c>
      <c r="J3782" s="19">
        <v>0</v>
      </c>
      <c r="K3782" s="19"/>
      <c r="L3782" s="19" t="s">
        <v>8363</v>
      </c>
      <c r="M3782" s="21">
        <v>17.2</v>
      </c>
      <c r="N3782">
        <f t="shared" si="59"/>
        <v>0</v>
      </c>
    </row>
    <row r="3783" spans="1:14" x14ac:dyDescent="0.35">
      <c r="A3783" s="22" t="s">
        <v>3853</v>
      </c>
      <c r="B3783" s="23" t="s">
        <v>69</v>
      </c>
      <c r="C3783" s="23">
        <v>1</v>
      </c>
      <c r="D3783" s="24">
        <v>45685</v>
      </c>
      <c r="E3783" s="23" t="s">
        <v>68</v>
      </c>
      <c r="F3783" s="23" t="s">
        <v>43</v>
      </c>
      <c r="G3783" s="23" t="s">
        <v>15</v>
      </c>
      <c r="H3783" s="23" t="s">
        <v>32</v>
      </c>
      <c r="I3783" s="23">
        <v>4</v>
      </c>
      <c r="J3783" s="23">
        <v>2</v>
      </c>
      <c r="K3783" s="23">
        <v>3</v>
      </c>
      <c r="L3783" s="23" t="s">
        <v>55</v>
      </c>
      <c r="M3783" s="25">
        <v>15</v>
      </c>
      <c r="N3783">
        <f t="shared" si="59"/>
        <v>0</v>
      </c>
    </row>
    <row r="3784" spans="1:14" x14ac:dyDescent="0.35">
      <c r="A3784" s="6" t="s">
        <v>3854</v>
      </c>
      <c r="B3784" s="19" t="s">
        <v>23</v>
      </c>
      <c r="C3784" s="19">
        <v>5</v>
      </c>
      <c r="D3784" s="20">
        <v>45788</v>
      </c>
      <c r="E3784" s="19" t="s">
        <v>8364</v>
      </c>
      <c r="F3784" s="19" t="s">
        <v>43</v>
      </c>
      <c r="G3784" s="19" t="s">
        <v>27</v>
      </c>
      <c r="H3784" s="19" t="s">
        <v>32</v>
      </c>
      <c r="I3784" s="19">
        <v>4</v>
      </c>
      <c r="J3784" s="19">
        <v>0</v>
      </c>
      <c r="K3784" s="19">
        <v>5</v>
      </c>
      <c r="L3784" s="19" t="s">
        <v>33</v>
      </c>
      <c r="M3784" s="21">
        <v>23</v>
      </c>
      <c r="N3784">
        <f t="shared" si="59"/>
        <v>0</v>
      </c>
    </row>
    <row r="3785" spans="1:14" x14ac:dyDescent="0.35">
      <c r="A3785" s="22" t="s">
        <v>3855</v>
      </c>
      <c r="B3785" s="23" t="s">
        <v>99</v>
      </c>
      <c r="C3785" s="23">
        <v>4</v>
      </c>
      <c r="D3785" s="24">
        <v>45760</v>
      </c>
      <c r="E3785" s="23" t="s">
        <v>25</v>
      </c>
      <c r="F3785" s="23" t="s">
        <v>14</v>
      </c>
      <c r="G3785" s="23" t="s">
        <v>15</v>
      </c>
      <c r="H3785" s="23" t="s">
        <v>28</v>
      </c>
      <c r="I3785" s="23">
        <v>72</v>
      </c>
      <c r="J3785" s="23">
        <v>1</v>
      </c>
      <c r="K3785" s="23">
        <v>3</v>
      </c>
      <c r="L3785" s="23" t="s">
        <v>55</v>
      </c>
      <c r="M3785" s="25">
        <v>17.899999999999999</v>
      </c>
      <c r="N3785">
        <f t="shared" si="59"/>
        <v>1</v>
      </c>
    </row>
    <row r="3786" spans="1:14" x14ac:dyDescent="0.35">
      <c r="A3786" s="6" t="s">
        <v>3856</v>
      </c>
      <c r="B3786" s="19" t="s">
        <v>89</v>
      </c>
      <c r="C3786" s="19">
        <v>7</v>
      </c>
      <c r="D3786" s="20">
        <v>45867</v>
      </c>
      <c r="E3786" s="19" t="s">
        <v>68</v>
      </c>
      <c r="F3786" s="19" t="s">
        <v>43</v>
      </c>
      <c r="G3786" s="19" t="s">
        <v>21</v>
      </c>
      <c r="H3786" s="19" t="s">
        <v>22</v>
      </c>
      <c r="I3786" s="19">
        <v>8</v>
      </c>
      <c r="J3786" s="19">
        <v>0</v>
      </c>
      <c r="K3786" s="19">
        <v>2</v>
      </c>
      <c r="L3786" s="19" t="s">
        <v>17</v>
      </c>
      <c r="M3786" s="21">
        <v>10.8</v>
      </c>
      <c r="N3786">
        <f t="shared" si="59"/>
        <v>0</v>
      </c>
    </row>
    <row r="3787" spans="1:14" x14ac:dyDescent="0.35">
      <c r="A3787" s="22" t="s">
        <v>3857</v>
      </c>
      <c r="B3787" s="23" t="s">
        <v>101</v>
      </c>
      <c r="C3787" s="23">
        <v>10</v>
      </c>
      <c r="D3787" s="24">
        <v>45947</v>
      </c>
      <c r="E3787" s="23" t="s">
        <v>68</v>
      </c>
      <c r="F3787" s="23" t="s">
        <v>40</v>
      </c>
      <c r="G3787" s="23" t="s">
        <v>21</v>
      </c>
      <c r="H3787" s="23" t="s">
        <v>8364</v>
      </c>
      <c r="I3787" s="23">
        <v>72</v>
      </c>
      <c r="J3787" s="23">
        <v>0</v>
      </c>
      <c r="K3787" s="23">
        <v>2</v>
      </c>
      <c r="L3787" s="23" t="s">
        <v>62</v>
      </c>
      <c r="M3787" s="25">
        <v>36.9</v>
      </c>
      <c r="N3787">
        <f t="shared" si="59"/>
        <v>1</v>
      </c>
    </row>
    <row r="3788" spans="1:14" x14ac:dyDescent="0.35">
      <c r="A3788" s="6" t="s">
        <v>3858</v>
      </c>
      <c r="B3788" s="19" t="s">
        <v>92</v>
      </c>
      <c r="C3788" s="19">
        <v>9</v>
      </c>
      <c r="D3788" s="20">
        <v>45920</v>
      </c>
      <c r="E3788" s="19" t="s">
        <v>13</v>
      </c>
      <c r="F3788" s="19" t="s">
        <v>37</v>
      </c>
      <c r="G3788" s="19" t="s">
        <v>8364</v>
      </c>
      <c r="H3788" s="19" t="s">
        <v>28</v>
      </c>
      <c r="I3788" s="19">
        <v>72</v>
      </c>
      <c r="J3788" s="19">
        <v>0</v>
      </c>
      <c r="K3788" s="19">
        <v>3</v>
      </c>
      <c r="L3788" s="19" t="s">
        <v>62</v>
      </c>
      <c r="M3788" s="21">
        <v>16.3</v>
      </c>
      <c r="N3788">
        <f t="shared" si="59"/>
        <v>1</v>
      </c>
    </row>
    <row r="3789" spans="1:14" x14ac:dyDescent="0.35">
      <c r="A3789" s="22" t="s">
        <v>3859</v>
      </c>
      <c r="B3789" s="23" t="s">
        <v>72</v>
      </c>
      <c r="C3789" s="23">
        <v>12</v>
      </c>
      <c r="D3789" s="24">
        <v>46017</v>
      </c>
      <c r="E3789" s="23" t="s">
        <v>8364</v>
      </c>
      <c r="F3789" s="23" t="s">
        <v>8364</v>
      </c>
      <c r="G3789" s="23" t="s">
        <v>27</v>
      </c>
      <c r="H3789" s="23" t="s">
        <v>28</v>
      </c>
      <c r="I3789" s="23">
        <v>8</v>
      </c>
      <c r="J3789" s="23">
        <v>3</v>
      </c>
      <c r="K3789" s="23">
        <v>5</v>
      </c>
      <c r="L3789" s="23" t="s">
        <v>8363</v>
      </c>
      <c r="M3789" s="25">
        <v>12.8</v>
      </c>
      <c r="N3789">
        <f t="shared" si="59"/>
        <v>0</v>
      </c>
    </row>
    <row r="3790" spans="1:14" x14ac:dyDescent="0.35">
      <c r="A3790" s="6" t="s">
        <v>3860</v>
      </c>
      <c r="B3790" s="19" t="s">
        <v>57</v>
      </c>
      <c r="C3790" s="19">
        <v>12</v>
      </c>
      <c r="D3790" s="20">
        <v>46001</v>
      </c>
      <c r="E3790" s="19" t="s">
        <v>13</v>
      </c>
      <c r="F3790" s="19" t="s">
        <v>37</v>
      </c>
      <c r="G3790" s="19" t="s">
        <v>27</v>
      </c>
      <c r="H3790" s="19" t="s">
        <v>28</v>
      </c>
      <c r="I3790" s="19">
        <v>8</v>
      </c>
      <c r="J3790" s="19">
        <v>1</v>
      </c>
      <c r="K3790" s="19">
        <v>5</v>
      </c>
      <c r="L3790" s="19" t="s">
        <v>55</v>
      </c>
      <c r="M3790" s="21">
        <v>13.7</v>
      </c>
      <c r="N3790">
        <f t="shared" si="59"/>
        <v>0</v>
      </c>
    </row>
    <row r="3791" spans="1:14" x14ac:dyDescent="0.35">
      <c r="A3791" s="22" t="s">
        <v>3861</v>
      </c>
      <c r="B3791" s="23" t="s">
        <v>57</v>
      </c>
      <c r="C3791" s="23">
        <v>8</v>
      </c>
      <c r="D3791" s="24">
        <v>45876</v>
      </c>
      <c r="E3791" s="23" t="s">
        <v>8364</v>
      </c>
      <c r="F3791" s="23" t="s">
        <v>8364</v>
      </c>
      <c r="G3791" s="23" t="s">
        <v>27</v>
      </c>
      <c r="H3791" s="23" t="s">
        <v>22</v>
      </c>
      <c r="I3791" s="23">
        <v>8</v>
      </c>
      <c r="J3791" s="23">
        <v>0</v>
      </c>
      <c r="K3791" s="23">
        <v>5</v>
      </c>
      <c r="L3791" s="23" t="s">
        <v>55</v>
      </c>
      <c r="M3791" s="25">
        <v>20.8</v>
      </c>
      <c r="N3791">
        <f t="shared" si="59"/>
        <v>0</v>
      </c>
    </row>
    <row r="3792" spans="1:14" x14ac:dyDescent="0.35">
      <c r="A3792" s="6" t="s">
        <v>3862</v>
      </c>
      <c r="B3792" s="19" t="s">
        <v>97</v>
      </c>
      <c r="C3792" s="19">
        <v>2</v>
      </c>
      <c r="D3792" s="20">
        <v>45689</v>
      </c>
      <c r="E3792" s="19" t="s">
        <v>25</v>
      </c>
      <c r="F3792" s="19" t="s">
        <v>14</v>
      </c>
      <c r="G3792" s="19" t="s">
        <v>15</v>
      </c>
      <c r="H3792" s="19" t="s">
        <v>28</v>
      </c>
      <c r="I3792" s="19">
        <v>24</v>
      </c>
      <c r="J3792" s="19">
        <v>0</v>
      </c>
      <c r="K3792" s="19">
        <v>3</v>
      </c>
      <c r="L3792" s="19" t="s">
        <v>8363</v>
      </c>
      <c r="M3792" s="21">
        <v>10.199999999999999</v>
      </c>
      <c r="N3792">
        <f t="shared" si="59"/>
        <v>1</v>
      </c>
    </row>
    <row r="3793" spans="1:14" x14ac:dyDescent="0.35">
      <c r="A3793" s="22" t="s">
        <v>3863</v>
      </c>
      <c r="B3793" s="23" t="s">
        <v>72</v>
      </c>
      <c r="C3793" s="23">
        <v>2</v>
      </c>
      <c r="D3793" s="24">
        <v>45711</v>
      </c>
      <c r="E3793" s="23" t="s">
        <v>68</v>
      </c>
      <c r="F3793" s="23" t="s">
        <v>26</v>
      </c>
      <c r="G3793" s="23" t="s">
        <v>8364</v>
      </c>
      <c r="H3793" s="23" t="s">
        <v>22</v>
      </c>
      <c r="I3793" s="23">
        <v>24</v>
      </c>
      <c r="J3793" s="23">
        <v>0</v>
      </c>
      <c r="K3793" s="23">
        <v>5</v>
      </c>
      <c r="L3793" s="23" t="s">
        <v>62</v>
      </c>
      <c r="M3793" s="25">
        <v>8.6999999999999993</v>
      </c>
      <c r="N3793">
        <f t="shared" si="59"/>
        <v>1</v>
      </c>
    </row>
    <row r="3794" spans="1:14" x14ac:dyDescent="0.35">
      <c r="A3794" s="6" t="s">
        <v>3864</v>
      </c>
      <c r="B3794" s="19" t="s">
        <v>87</v>
      </c>
      <c r="C3794" s="19">
        <v>11</v>
      </c>
      <c r="D3794" s="20">
        <v>45972</v>
      </c>
      <c r="E3794" s="19" t="s">
        <v>68</v>
      </c>
      <c r="F3794" s="19" t="s">
        <v>59</v>
      </c>
      <c r="G3794" s="19" t="s">
        <v>27</v>
      </c>
      <c r="H3794" s="19" t="s">
        <v>16</v>
      </c>
      <c r="I3794" s="19">
        <v>4</v>
      </c>
      <c r="J3794" s="19">
        <v>0</v>
      </c>
      <c r="K3794" s="19">
        <v>2</v>
      </c>
      <c r="L3794" s="19" t="s">
        <v>44</v>
      </c>
      <c r="M3794" s="21">
        <v>8.1999999999999993</v>
      </c>
      <c r="N3794">
        <f t="shared" si="59"/>
        <v>0</v>
      </c>
    </row>
    <row r="3795" spans="1:14" x14ac:dyDescent="0.35">
      <c r="A3795" s="22" t="s">
        <v>3865</v>
      </c>
      <c r="B3795" s="23" t="s">
        <v>34</v>
      </c>
      <c r="C3795" s="23">
        <v>7</v>
      </c>
      <c r="D3795" s="24">
        <v>45850</v>
      </c>
      <c r="E3795" s="23" t="s">
        <v>8364</v>
      </c>
      <c r="F3795" s="23" t="s">
        <v>43</v>
      </c>
      <c r="G3795" s="23" t="s">
        <v>31</v>
      </c>
      <c r="H3795" s="23" t="s">
        <v>22</v>
      </c>
      <c r="I3795" s="23">
        <v>4</v>
      </c>
      <c r="J3795" s="23">
        <v>0</v>
      </c>
      <c r="K3795" s="23"/>
      <c r="L3795" s="23" t="s">
        <v>44</v>
      </c>
      <c r="M3795" s="25"/>
      <c r="N3795">
        <f t="shared" si="59"/>
        <v>1</v>
      </c>
    </row>
    <row r="3796" spans="1:14" x14ac:dyDescent="0.35">
      <c r="A3796" s="6" t="s">
        <v>3866</v>
      </c>
      <c r="B3796" s="19" t="s">
        <v>51</v>
      </c>
      <c r="C3796" s="19">
        <v>11</v>
      </c>
      <c r="D3796" s="20">
        <v>45965</v>
      </c>
      <c r="E3796" s="19" t="s">
        <v>20</v>
      </c>
      <c r="F3796" s="19" t="s">
        <v>43</v>
      </c>
      <c r="G3796" s="19" t="s">
        <v>31</v>
      </c>
      <c r="H3796" s="19" t="s">
        <v>8364</v>
      </c>
      <c r="I3796" s="19">
        <v>48</v>
      </c>
      <c r="J3796" s="19">
        <v>0</v>
      </c>
      <c r="K3796" s="19">
        <v>2</v>
      </c>
      <c r="L3796" s="19" t="s">
        <v>8363</v>
      </c>
      <c r="M3796" s="21">
        <v>25</v>
      </c>
      <c r="N3796">
        <f t="shared" si="59"/>
        <v>1</v>
      </c>
    </row>
    <row r="3797" spans="1:14" x14ac:dyDescent="0.35">
      <c r="A3797" s="22" t="s">
        <v>3867</v>
      </c>
      <c r="B3797" s="23" t="s">
        <v>49</v>
      </c>
      <c r="C3797" s="23">
        <v>3</v>
      </c>
      <c r="D3797" s="24">
        <v>45726</v>
      </c>
      <c r="E3797" s="23" t="s">
        <v>25</v>
      </c>
      <c r="F3797" s="23" t="s">
        <v>14</v>
      </c>
      <c r="G3797" s="23" t="s">
        <v>8364</v>
      </c>
      <c r="H3797" s="23" t="s">
        <v>32</v>
      </c>
      <c r="I3797" s="23">
        <v>8</v>
      </c>
      <c r="J3797" s="23">
        <v>0</v>
      </c>
      <c r="K3797" s="23">
        <v>2</v>
      </c>
      <c r="L3797" s="23" t="s">
        <v>33</v>
      </c>
      <c r="M3797" s="25">
        <v>12</v>
      </c>
      <c r="N3797">
        <f t="shared" si="59"/>
        <v>0</v>
      </c>
    </row>
    <row r="3798" spans="1:14" x14ac:dyDescent="0.35">
      <c r="A3798" s="6" t="s">
        <v>3868</v>
      </c>
      <c r="B3798" s="19" t="s">
        <v>81</v>
      </c>
      <c r="C3798" s="19">
        <v>10</v>
      </c>
      <c r="D3798" s="20">
        <v>45942</v>
      </c>
      <c r="E3798" s="19" t="s">
        <v>8364</v>
      </c>
      <c r="F3798" s="19" t="s">
        <v>43</v>
      </c>
      <c r="G3798" s="19" t="s">
        <v>31</v>
      </c>
      <c r="H3798" s="19" t="s">
        <v>8364</v>
      </c>
      <c r="I3798" s="19">
        <v>48</v>
      </c>
      <c r="J3798" s="19">
        <v>2</v>
      </c>
      <c r="K3798" s="19">
        <v>4</v>
      </c>
      <c r="L3798" s="19" t="s">
        <v>17</v>
      </c>
      <c r="M3798" s="21">
        <v>6.7</v>
      </c>
      <c r="N3798">
        <f t="shared" si="59"/>
        <v>1</v>
      </c>
    </row>
    <row r="3799" spans="1:14" x14ac:dyDescent="0.35">
      <c r="A3799" s="22" t="s">
        <v>3869</v>
      </c>
      <c r="B3799" s="23" t="s">
        <v>104</v>
      </c>
      <c r="C3799" s="23">
        <v>1</v>
      </c>
      <c r="D3799" s="24">
        <v>45669</v>
      </c>
      <c r="E3799" s="23" t="s">
        <v>36</v>
      </c>
      <c r="F3799" s="23" t="s">
        <v>14</v>
      </c>
      <c r="G3799" s="23" t="s">
        <v>31</v>
      </c>
      <c r="H3799" s="23" t="s">
        <v>22</v>
      </c>
      <c r="I3799" s="23">
        <v>8</v>
      </c>
      <c r="J3799" s="23">
        <v>0</v>
      </c>
      <c r="K3799" s="23">
        <v>4</v>
      </c>
      <c r="L3799" s="23" t="s">
        <v>8363</v>
      </c>
      <c r="M3799" s="25">
        <v>5.5</v>
      </c>
      <c r="N3799">
        <f t="shared" si="59"/>
        <v>1</v>
      </c>
    </row>
    <row r="3800" spans="1:14" x14ac:dyDescent="0.35">
      <c r="A3800" s="6" t="s">
        <v>3870</v>
      </c>
      <c r="B3800" s="19" t="s">
        <v>146</v>
      </c>
      <c r="C3800" s="19">
        <v>3</v>
      </c>
      <c r="D3800" s="20">
        <v>45728</v>
      </c>
      <c r="E3800" s="19" t="s">
        <v>13</v>
      </c>
      <c r="F3800" s="19" t="s">
        <v>26</v>
      </c>
      <c r="G3800" s="19" t="s">
        <v>27</v>
      </c>
      <c r="H3800" s="19" t="s">
        <v>22</v>
      </c>
      <c r="I3800" s="19">
        <v>48</v>
      </c>
      <c r="J3800" s="19">
        <v>0</v>
      </c>
      <c r="K3800" s="19">
        <v>4</v>
      </c>
      <c r="L3800" s="19" t="s">
        <v>75</v>
      </c>
      <c r="M3800" s="21">
        <v>8</v>
      </c>
      <c r="N3800">
        <f t="shared" si="59"/>
        <v>1</v>
      </c>
    </row>
    <row r="3801" spans="1:14" x14ac:dyDescent="0.35">
      <c r="A3801" s="22" t="s">
        <v>3871</v>
      </c>
      <c r="B3801" s="23" t="s">
        <v>34</v>
      </c>
      <c r="C3801" s="23">
        <v>7</v>
      </c>
      <c r="D3801" s="24">
        <v>45846</v>
      </c>
      <c r="E3801" s="23" t="s">
        <v>13</v>
      </c>
      <c r="F3801" s="23" t="s">
        <v>26</v>
      </c>
      <c r="G3801" s="23" t="s">
        <v>21</v>
      </c>
      <c r="H3801" s="23" t="s">
        <v>22</v>
      </c>
      <c r="I3801" s="23">
        <v>4</v>
      </c>
      <c r="J3801" s="23">
        <v>0</v>
      </c>
      <c r="K3801" s="23">
        <v>5</v>
      </c>
      <c r="L3801" s="23" t="s">
        <v>44</v>
      </c>
      <c r="M3801" s="25">
        <v>7.2</v>
      </c>
      <c r="N3801">
        <f t="shared" si="59"/>
        <v>0</v>
      </c>
    </row>
    <row r="3802" spans="1:14" x14ac:dyDescent="0.35">
      <c r="A3802" s="6" t="s">
        <v>3872</v>
      </c>
      <c r="B3802" s="19" t="s">
        <v>47</v>
      </c>
      <c r="C3802" s="19">
        <v>11</v>
      </c>
      <c r="D3802" s="20">
        <v>45979</v>
      </c>
      <c r="E3802" s="19" t="s">
        <v>36</v>
      </c>
      <c r="F3802" s="19" t="s">
        <v>26</v>
      </c>
      <c r="G3802" s="19" t="s">
        <v>15</v>
      </c>
      <c r="H3802" s="19" t="s">
        <v>22</v>
      </c>
      <c r="I3802" s="19">
        <v>24</v>
      </c>
      <c r="J3802" s="19">
        <v>0</v>
      </c>
      <c r="K3802" s="19">
        <v>5</v>
      </c>
      <c r="L3802" s="19" t="s">
        <v>8363</v>
      </c>
      <c r="M3802" s="21">
        <v>15.8</v>
      </c>
      <c r="N3802">
        <f t="shared" si="59"/>
        <v>1</v>
      </c>
    </row>
    <row r="3803" spans="1:14" x14ac:dyDescent="0.35">
      <c r="A3803" s="22" t="s">
        <v>3873</v>
      </c>
      <c r="B3803" s="23" t="s">
        <v>57</v>
      </c>
      <c r="C3803" s="23">
        <v>2</v>
      </c>
      <c r="D3803" s="24">
        <v>45712</v>
      </c>
      <c r="E3803" s="23" t="s">
        <v>25</v>
      </c>
      <c r="F3803" s="23" t="s">
        <v>40</v>
      </c>
      <c r="G3803" s="23" t="s">
        <v>31</v>
      </c>
      <c r="H3803" s="23" t="s">
        <v>32</v>
      </c>
      <c r="I3803" s="23">
        <v>48</v>
      </c>
      <c r="J3803" s="23">
        <v>0</v>
      </c>
      <c r="K3803" s="23">
        <v>5</v>
      </c>
      <c r="L3803" s="23" t="s">
        <v>8363</v>
      </c>
      <c r="M3803" s="25">
        <v>6.8</v>
      </c>
      <c r="N3803">
        <f t="shared" si="59"/>
        <v>1</v>
      </c>
    </row>
    <row r="3804" spans="1:14" x14ac:dyDescent="0.35">
      <c r="A3804" s="6" t="s">
        <v>3874</v>
      </c>
      <c r="B3804" s="19" t="s">
        <v>99</v>
      </c>
      <c r="C3804" s="19">
        <v>3</v>
      </c>
      <c r="D3804" s="20">
        <v>45744</v>
      </c>
      <c r="E3804" s="19" t="s">
        <v>20</v>
      </c>
      <c r="F3804" s="19" t="s">
        <v>37</v>
      </c>
      <c r="G3804" s="19" t="s">
        <v>21</v>
      </c>
      <c r="H3804" s="19" t="s">
        <v>16</v>
      </c>
      <c r="I3804" s="19">
        <v>4</v>
      </c>
      <c r="J3804" s="19">
        <v>0</v>
      </c>
      <c r="K3804" s="19">
        <v>3</v>
      </c>
      <c r="L3804" s="19" t="s">
        <v>8363</v>
      </c>
      <c r="M3804" s="21">
        <v>6.9</v>
      </c>
      <c r="N3804">
        <f t="shared" si="59"/>
        <v>0</v>
      </c>
    </row>
    <row r="3805" spans="1:14" x14ac:dyDescent="0.35">
      <c r="A3805" s="22" t="s">
        <v>3875</v>
      </c>
      <c r="B3805" s="23" t="s">
        <v>92</v>
      </c>
      <c r="C3805" s="23">
        <v>8</v>
      </c>
      <c r="D3805" s="24">
        <v>45876</v>
      </c>
      <c r="E3805" s="23" t="s">
        <v>13</v>
      </c>
      <c r="F3805" s="23" t="s">
        <v>59</v>
      </c>
      <c r="G3805" s="23" t="s">
        <v>21</v>
      </c>
      <c r="H3805" s="23" t="s">
        <v>22</v>
      </c>
      <c r="I3805" s="23">
        <v>24</v>
      </c>
      <c r="J3805" s="23">
        <v>0</v>
      </c>
      <c r="K3805" s="23">
        <v>3</v>
      </c>
      <c r="L3805" s="23" t="s">
        <v>33</v>
      </c>
      <c r="M3805" s="25">
        <v>8.1999999999999993</v>
      </c>
      <c r="N3805">
        <f t="shared" si="59"/>
        <v>1</v>
      </c>
    </row>
    <row r="3806" spans="1:14" x14ac:dyDescent="0.35">
      <c r="A3806" s="6" t="s">
        <v>3876</v>
      </c>
      <c r="B3806" s="19" t="s">
        <v>89</v>
      </c>
      <c r="C3806" s="19">
        <v>2</v>
      </c>
      <c r="D3806" s="20">
        <v>45707</v>
      </c>
      <c r="E3806" s="19" t="s">
        <v>8364</v>
      </c>
      <c r="F3806" s="19" t="s">
        <v>43</v>
      </c>
      <c r="G3806" s="19" t="s">
        <v>31</v>
      </c>
      <c r="H3806" s="19" t="s">
        <v>16</v>
      </c>
      <c r="I3806" s="19">
        <v>8</v>
      </c>
      <c r="J3806" s="19">
        <v>0</v>
      </c>
      <c r="K3806" s="19"/>
      <c r="L3806" s="19" t="s">
        <v>17</v>
      </c>
      <c r="M3806" s="21">
        <v>13.9</v>
      </c>
      <c r="N3806">
        <f t="shared" si="59"/>
        <v>0</v>
      </c>
    </row>
    <row r="3807" spans="1:14" x14ac:dyDescent="0.35">
      <c r="A3807" s="22" t="s">
        <v>3877</v>
      </c>
      <c r="B3807" s="23" t="s">
        <v>69</v>
      </c>
      <c r="C3807" s="23"/>
      <c r="D3807" s="24"/>
      <c r="E3807" s="23" t="s">
        <v>13</v>
      </c>
      <c r="F3807" s="23" t="s">
        <v>14</v>
      </c>
      <c r="G3807" s="23" t="s">
        <v>8364</v>
      </c>
      <c r="H3807" s="23" t="s">
        <v>8364</v>
      </c>
      <c r="I3807" s="23">
        <v>72</v>
      </c>
      <c r="J3807" s="23">
        <v>0</v>
      </c>
      <c r="K3807" s="23">
        <v>3</v>
      </c>
      <c r="L3807" s="23" t="s">
        <v>62</v>
      </c>
      <c r="M3807" s="25">
        <v>8.5</v>
      </c>
      <c r="N3807">
        <f t="shared" si="59"/>
        <v>1</v>
      </c>
    </row>
    <row r="3808" spans="1:14" x14ac:dyDescent="0.35">
      <c r="A3808" s="6" t="s">
        <v>3878</v>
      </c>
      <c r="B3808" s="19" t="s">
        <v>41</v>
      </c>
      <c r="C3808" s="19">
        <v>9</v>
      </c>
      <c r="D3808" s="20">
        <v>45928</v>
      </c>
      <c r="E3808" s="19" t="s">
        <v>8364</v>
      </c>
      <c r="F3808" s="19" t="s">
        <v>14</v>
      </c>
      <c r="G3808" s="19" t="s">
        <v>31</v>
      </c>
      <c r="H3808" s="19" t="s">
        <v>22</v>
      </c>
      <c r="I3808" s="19">
        <v>48</v>
      </c>
      <c r="J3808" s="19">
        <v>0</v>
      </c>
      <c r="K3808" s="19">
        <v>5</v>
      </c>
      <c r="L3808" s="19" t="s">
        <v>8363</v>
      </c>
      <c r="M3808" s="21">
        <v>6.8</v>
      </c>
      <c r="N3808">
        <f t="shared" si="59"/>
        <v>1</v>
      </c>
    </row>
    <row r="3809" spans="1:14" x14ac:dyDescent="0.35">
      <c r="A3809" s="22" t="s">
        <v>3879</v>
      </c>
      <c r="B3809" s="23" t="s">
        <v>89</v>
      </c>
      <c r="C3809" s="23"/>
      <c r="D3809" s="24"/>
      <c r="E3809" s="23" t="s">
        <v>20</v>
      </c>
      <c r="F3809" s="23" t="s">
        <v>40</v>
      </c>
      <c r="G3809" s="23" t="s">
        <v>15</v>
      </c>
      <c r="H3809" s="23" t="s">
        <v>22</v>
      </c>
      <c r="I3809" s="23">
        <v>48</v>
      </c>
      <c r="J3809" s="23">
        <v>0</v>
      </c>
      <c r="K3809" s="23">
        <v>3</v>
      </c>
      <c r="L3809" s="23" t="s">
        <v>44</v>
      </c>
      <c r="M3809" s="25">
        <v>3.1</v>
      </c>
      <c r="N3809">
        <f t="shared" si="59"/>
        <v>1</v>
      </c>
    </row>
    <row r="3810" spans="1:14" x14ac:dyDescent="0.35">
      <c r="A3810" s="6" t="s">
        <v>3880</v>
      </c>
      <c r="B3810" s="19" t="s">
        <v>69</v>
      </c>
      <c r="C3810" s="19">
        <v>1</v>
      </c>
      <c r="D3810" s="20">
        <v>45661</v>
      </c>
      <c r="E3810" s="19" t="s">
        <v>25</v>
      </c>
      <c r="F3810" s="19" t="s">
        <v>14</v>
      </c>
      <c r="G3810" s="19" t="s">
        <v>21</v>
      </c>
      <c r="H3810" s="19" t="s">
        <v>32</v>
      </c>
      <c r="I3810" s="19">
        <v>48</v>
      </c>
      <c r="J3810" s="19">
        <v>0</v>
      </c>
      <c r="K3810" s="19">
        <v>5</v>
      </c>
      <c r="L3810" s="19" t="s">
        <v>17</v>
      </c>
      <c r="M3810" s="21">
        <v>8.6999999999999993</v>
      </c>
      <c r="N3810">
        <f t="shared" si="59"/>
        <v>1</v>
      </c>
    </row>
    <row r="3811" spans="1:14" x14ac:dyDescent="0.35">
      <c r="A3811" s="22" t="s">
        <v>3881</v>
      </c>
      <c r="B3811" s="23" t="s">
        <v>45</v>
      </c>
      <c r="C3811" s="23">
        <v>8</v>
      </c>
      <c r="D3811" s="24">
        <v>45872</v>
      </c>
      <c r="E3811" s="23" t="s">
        <v>25</v>
      </c>
      <c r="F3811" s="23" t="s">
        <v>26</v>
      </c>
      <c r="G3811" s="23" t="s">
        <v>27</v>
      </c>
      <c r="H3811" s="23" t="s">
        <v>22</v>
      </c>
      <c r="I3811" s="23">
        <v>4</v>
      </c>
      <c r="J3811" s="23">
        <v>3</v>
      </c>
      <c r="K3811" s="23">
        <v>5</v>
      </c>
      <c r="L3811" s="23" t="s">
        <v>62</v>
      </c>
      <c r="M3811" s="25">
        <v>8.8000000000000007</v>
      </c>
      <c r="N3811">
        <f t="shared" si="59"/>
        <v>0</v>
      </c>
    </row>
    <row r="3812" spans="1:14" x14ac:dyDescent="0.35">
      <c r="A3812" s="6" t="s">
        <v>3882</v>
      </c>
      <c r="B3812" s="19" t="s">
        <v>49</v>
      </c>
      <c r="C3812" s="19">
        <v>7</v>
      </c>
      <c r="D3812" s="20">
        <v>45853</v>
      </c>
      <c r="E3812" s="19" t="s">
        <v>68</v>
      </c>
      <c r="F3812" s="19" t="s">
        <v>14</v>
      </c>
      <c r="G3812" s="19" t="s">
        <v>8364</v>
      </c>
      <c r="H3812" s="19" t="s">
        <v>22</v>
      </c>
      <c r="I3812" s="19">
        <v>8</v>
      </c>
      <c r="J3812" s="19">
        <v>0</v>
      </c>
      <c r="K3812" s="19">
        <v>5</v>
      </c>
      <c r="L3812" s="19" t="s">
        <v>17</v>
      </c>
      <c r="M3812" s="21">
        <v>23.4</v>
      </c>
      <c r="N3812">
        <f t="shared" si="59"/>
        <v>0</v>
      </c>
    </row>
    <row r="3813" spans="1:14" x14ac:dyDescent="0.35">
      <c r="A3813" s="22" t="s">
        <v>3883</v>
      </c>
      <c r="B3813" s="23" t="s">
        <v>130</v>
      </c>
      <c r="C3813" s="23"/>
      <c r="D3813" s="24"/>
      <c r="E3813" s="23" t="s">
        <v>20</v>
      </c>
      <c r="F3813" s="23" t="s">
        <v>43</v>
      </c>
      <c r="G3813" s="23" t="s">
        <v>15</v>
      </c>
      <c r="H3813" s="23" t="s">
        <v>28</v>
      </c>
      <c r="I3813" s="23">
        <v>4</v>
      </c>
      <c r="J3813" s="23">
        <v>0</v>
      </c>
      <c r="K3813" s="23">
        <v>5</v>
      </c>
      <c r="L3813" s="23" t="s">
        <v>17</v>
      </c>
      <c r="M3813" s="25">
        <v>10</v>
      </c>
      <c r="N3813">
        <f t="shared" si="59"/>
        <v>0</v>
      </c>
    </row>
    <row r="3814" spans="1:14" x14ac:dyDescent="0.35">
      <c r="A3814" s="6" t="s">
        <v>3884</v>
      </c>
      <c r="B3814" s="19" t="s">
        <v>139</v>
      </c>
      <c r="C3814" s="19">
        <v>5</v>
      </c>
      <c r="D3814" s="20">
        <v>45800</v>
      </c>
      <c r="E3814" s="19" t="s">
        <v>13</v>
      </c>
      <c r="F3814" s="19" t="s">
        <v>37</v>
      </c>
      <c r="G3814" s="19" t="s">
        <v>8364</v>
      </c>
      <c r="H3814" s="19" t="s">
        <v>22</v>
      </c>
      <c r="I3814" s="19">
        <v>24</v>
      </c>
      <c r="J3814" s="19">
        <v>1</v>
      </c>
      <c r="K3814" s="19">
        <v>1</v>
      </c>
      <c r="L3814" s="19" t="s">
        <v>55</v>
      </c>
      <c r="M3814" s="21">
        <v>5.3</v>
      </c>
      <c r="N3814">
        <f t="shared" si="59"/>
        <v>1</v>
      </c>
    </row>
    <row r="3815" spans="1:14" x14ac:dyDescent="0.35">
      <c r="A3815" s="22" t="s">
        <v>3885</v>
      </c>
      <c r="B3815" s="23" t="s">
        <v>130</v>
      </c>
      <c r="C3815" s="23">
        <v>9</v>
      </c>
      <c r="D3815" s="24">
        <v>45916</v>
      </c>
      <c r="E3815" s="23" t="s">
        <v>25</v>
      </c>
      <c r="F3815" s="23" t="s">
        <v>59</v>
      </c>
      <c r="G3815" s="23" t="s">
        <v>27</v>
      </c>
      <c r="H3815" s="23" t="s">
        <v>22</v>
      </c>
      <c r="I3815" s="23">
        <v>8</v>
      </c>
      <c r="J3815" s="23">
        <v>2</v>
      </c>
      <c r="K3815" s="23">
        <v>5</v>
      </c>
      <c r="L3815" s="23" t="s">
        <v>33</v>
      </c>
      <c r="M3815" s="25">
        <v>16.899999999999999</v>
      </c>
      <c r="N3815">
        <f t="shared" si="59"/>
        <v>0</v>
      </c>
    </row>
    <row r="3816" spans="1:14" x14ac:dyDescent="0.35">
      <c r="A3816" s="6" t="s">
        <v>3886</v>
      </c>
      <c r="B3816" s="19" t="s">
        <v>18</v>
      </c>
      <c r="C3816" s="19">
        <v>8</v>
      </c>
      <c r="D3816" s="20">
        <v>45897</v>
      </c>
      <c r="E3816" s="19" t="s">
        <v>68</v>
      </c>
      <c r="F3816" s="19" t="s">
        <v>14</v>
      </c>
      <c r="G3816" s="19" t="s">
        <v>27</v>
      </c>
      <c r="H3816" s="19" t="s">
        <v>28</v>
      </c>
      <c r="I3816" s="19">
        <v>72</v>
      </c>
      <c r="J3816" s="19">
        <v>1</v>
      </c>
      <c r="K3816" s="19">
        <v>2</v>
      </c>
      <c r="L3816" s="19" t="s">
        <v>75</v>
      </c>
      <c r="M3816" s="21">
        <v>6.6</v>
      </c>
      <c r="N3816">
        <f t="shared" si="59"/>
        <v>1</v>
      </c>
    </row>
    <row r="3817" spans="1:14" x14ac:dyDescent="0.35">
      <c r="A3817" s="22" t="s">
        <v>3887</v>
      </c>
      <c r="B3817" s="23" t="s">
        <v>104</v>
      </c>
      <c r="C3817" s="23">
        <v>11</v>
      </c>
      <c r="D3817" s="24">
        <v>45963</v>
      </c>
      <c r="E3817" s="23" t="s">
        <v>68</v>
      </c>
      <c r="F3817" s="23" t="s">
        <v>43</v>
      </c>
      <c r="G3817" s="23" t="s">
        <v>27</v>
      </c>
      <c r="H3817" s="23" t="s">
        <v>8364</v>
      </c>
      <c r="I3817" s="23">
        <v>24</v>
      </c>
      <c r="J3817" s="23">
        <v>0</v>
      </c>
      <c r="K3817" s="23">
        <v>5</v>
      </c>
      <c r="L3817" s="23" t="s">
        <v>8363</v>
      </c>
      <c r="M3817" s="25">
        <v>12.1</v>
      </c>
      <c r="N3817">
        <f t="shared" si="59"/>
        <v>1</v>
      </c>
    </row>
    <row r="3818" spans="1:14" x14ac:dyDescent="0.35">
      <c r="A3818" s="6" t="s">
        <v>3888</v>
      </c>
      <c r="B3818" s="19" t="s">
        <v>34</v>
      </c>
      <c r="C3818" s="19">
        <v>10</v>
      </c>
      <c r="D3818" s="20">
        <v>45938</v>
      </c>
      <c r="E3818" s="19" t="s">
        <v>68</v>
      </c>
      <c r="F3818" s="19" t="s">
        <v>43</v>
      </c>
      <c r="G3818" s="19" t="s">
        <v>21</v>
      </c>
      <c r="H3818" s="19" t="s">
        <v>22</v>
      </c>
      <c r="I3818" s="19">
        <v>24</v>
      </c>
      <c r="J3818" s="19">
        <v>0</v>
      </c>
      <c r="K3818" s="19">
        <v>3</v>
      </c>
      <c r="L3818" s="19" t="s">
        <v>17</v>
      </c>
      <c r="M3818" s="21">
        <v>19.3</v>
      </c>
      <c r="N3818">
        <f t="shared" si="59"/>
        <v>1</v>
      </c>
    </row>
    <row r="3819" spans="1:14" x14ac:dyDescent="0.35">
      <c r="A3819" s="22" t="s">
        <v>3889</v>
      </c>
      <c r="B3819" s="23" t="s">
        <v>104</v>
      </c>
      <c r="C3819" s="23">
        <v>2</v>
      </c>
      <c r="D3819" s="24">
        <v>45715</v>
      </c>
      <c r="E3819" s="23" t="s">
        <v>8364</v>
      </c>
      <c r="F3819" s="23" t="s">
        <v>14</v>
      </c>
      <c r="G3819" s="23" t="s">
        <v>15</v>
      </c>
      <c r="H3819" s="23" t="s">
        <v>32</v>
      </c>
      <c r="I3819" s="23">
        <v>8</v>
      </c>
      <c r="J3819" s="23">
        <v>0</v>
      </c>
      <c r="K3819" s="23">
        <v>5</v>
      </c>
      <c r="L3819" s="23" t="s">
        <v>8363</v>
      </c>
      <c r="M3819" s="25">
        <v>14.2</v>
      </c>
      <c r="N3819">
        <f t="shared" si="59"/>
        <v>0</v>
      </c>
    </row>
    <row r="3820" spans="1:14" x14ac:dyDescent="0.35">
      <c r="A3820" s="6" t="s">
        <v>3890</v>
      </c>
      <c r="B3820" s="19" t="s">
        <v>51</v>
      </c>
      <c r="C3820" s="19">
        <v>9</v>
      </c>
      <c r="D3820" s="20">
        <v>45911</v>
      </c>
      <c r="E3820" s="19" t="s">
        <v>68</v>
      </c>
      <c r="F3820" s="19" t="s">
        <v>37</v>
      </c>
      <c r="G3820" s="19" t="s">
        <v>27</v>
      </c>
      <c r="H3820" s="19" t="s">
        <v>8364</v>
      </c>
      <c r="I3820" s="19">
        <v>8</v>
      </c>
      <c r="J3820" s="19">
        <v>0</v>
      </c>
      <c r="K3820" s="19">
        <v>1</v>
      </c>
      <c r="L3820" s="19" t="s">
        <v>8363</v>
      </c>
      <c r="M3820" s="21">
        <v>18.100000000000001</v>
      </c>
      <c r="N3820">
        <f t="shared" si="59"/>
        <v>0</v>
      </c>
    </row>
    <row r="3821" spans="1:14" x14ac:dyDescent="0.35">
      <c r="A3821" s="22" t="s">
        <v>3891</v>
      </c>
      <c r="B3821" s="23" t="s">
        <v>39</v>
      </c>
      <c r="C3821" s="23">
        <v>10</v>
      </c>
      <c r="D3821" s="24">
        <v>45952</v>
      </c>
      <c r="E3821" s="23" t="s">
        <v>13</v>
      </c>
      <c r="F3821" s="23" t="s">
        <v>26</v>
      </c>
      <c r="G3821" s="23" t="s">
        <v>8364</v>
      </c>
      <c r="H3821" s="23" t="s">
        <v>32</v>
      </c>
      <c r="I3821" s="23">
        <v>72</v>
      </c>
      <c r="J3821" s="23">
        <v>0</v>
      </c>
      <c r="K3821" s="23">
        <v>4</v>
      </c>
      <c r="L3821" s="23" t="s">
        <v>8363</v>
      </c>
      <c r="M3821" s="25">
        <v>7.7</v>
      </c>
      <c r="N3821">
        <f t="shared" si="59"/>
        <v>1</v>
      </c>
    </row>
    <row r="3822" spans="1:14" x14ac:dyDescent="0.35">
      <c r="A3822" s="6" t="s">
        <v>3892</v>
      </c>
      <c r="B3822" s="19" t="s">
        <v>18</v>
      </c>
      <c r="C3822" s="19">
        <v>7</v>
      </c>
      <c r="D3822" s="20">
        <v>45860</v>
      </c>
      <c r="E3822" s="19" t="s">
        <v>13</v>
      </c>
      <c r="F3822" s="19" t="s">
        <v>14</v>
      </c>
      <c r="G3822" s="19" t="s">
        <v>15</v>
      </c>
      <c r="H3822" s="19" t="s">
        <v>32</v>
      </c>
      <c r="I3822" s="19">
        <v>4</v>
      </c>
      <c r="J3822" s="19">
        <v>0</v>
      </c>
      <c r="K3822" s="19">
        <v>4</v>
      </c>
      <c r="L3822" s="19" t="s">
        <v>55</v>
      </c>
      <c r="M3822" s="21">
        <v>6.7</v>
      </c>
      <c r="N3822">
        <f t="shared" si="59"/>
        <v>0</v>
      </c>
    </row>
    <row r="3823" spans="1:14" x14ac:dyDescent="0.35">
      <c r="A3823" s="22" t="s">
        <v>3893</v>
      </c>
      <c r="B3823" s="23" t="s">
        <v>146</v>
      </c>
      <c r="C3823" s="23">
        <v>12</v>
      </c>
      <c r="D3823" s="24">
        <v>46009</v>
      </c>
      <c r="E3823" s="23" t="s">
        <v>13</v>
      </c>
      <c r="F3823" s="23" t="s">
        <v>14</v>
      </c>
      <c r="G3823" s="23" t="s">
        <v>31</v>
      </c>
      <c r="H3823" s="23" t="s">
        <v>22</v>
      </c>
      <c r="I3823" s="23">
        <v>4</v>
      </c>
      <c r="J3823" s="23">
        <v>1</v>
      </c>
      <c r="K3823" s="23">
        <v>3</v>
      </c>
      <c r="L3823" s="23" t="s">
        <v>17</v>
      </c>
      <c r="M3823" s="25">
        <v>3.5</v>
      </c>
      <c r="N3823">
        <f t="shared" si="59"/>
        <v>1</v>
      </c>
    </row>
    <row r="3824" spans="1:14" x14ac:dyDescent="0.35">
      <c r="A3824" s="6" t="s">
        <v>3894</v>
      </c>
      <c r="B3824" s="19" t="s">
        <v>81</v>
      </c>
      <c r="C3824" s="19">
        <v>8</v>
      </c>
      <c r="D3824" s="20">
        <v>45900</v>
      </c>
      <c r="E3824" s="19" t="s">
        <v>68</v>
      </c>
      <c r="F3824" s="19" t="s">
        <v>14</v>
      </c>
      <c r="G3824" s="19" t="s">
        <v>21</v>
      </c>
      <c r="H3824" s="19" t="s">
        <v>28</v>
      </c>
      <c r="I3824" s="19">
        <v>24</v>
      </c>
      <c r="J3824" s="19">
        <v>0</v>
      </c>
      <c r="K3824" s="19">
        <v>5</v>
      </c>
      <c r="L3824" s="19" t="s">
        <v>17</v>
      </c>
      <c r="M3824" s="21">
        <v>11.5</v>
      </c>
      <c r="N3824">
        <f t="shared" si="59"/>
        <v>1</v>
      </c>
    </row>
    <row r="3825" spans="1:14" x14ac:dyDescent="0.35">
      <c r="A3825" s="22" t="s">
        <v>3895</v>
      </c>
      <c r="B3825" s="23" t="s">
        <v>49</v>
      </c>
      <c r="C3825" s="23">
        <v>6</v>
      </c>
      <c r="D3825" s="24">
        <v>45825</v>
      </c>
      <c r="E3825" s="23" t="s">
        <v>25</v>
      </c>
      <c r="F3825" s="23" t="s">
        <v>14</v>
      </c>
      <c r="G3825" s="23" t="s">
        <v>8364</v>
      </c>
      <c r="H3825" s="23" t="s">
        <v>28</v>
      </c>
      <c r="I3825" s="23">
        <v>8</v>
      </c>
      <c r="J3825" s="23">
        <v>0</v>
      </c>
      <c r="K3825" s="23">
        <v>3</v>
      </c>
      <c r="L3825" s="23" t="s">
        <v>38</v>
      </c>
      <c r="M3825" s="25"/>
      <c r="N3825">
        <f t="shared" si="59"/>
        <v>1</v>
      </c>
    </row>
    <row r="3826" spans="1:14" x14ac:dyDescent="0.35">
      <c r="A3826" s="6" t="s">
        <v>3896</v>
      </c>
      <c r="B3826" s="19" t="s">
        <v>81</v>
      </c>
      <c r="C3826" s="19">
        <v>3</v>
      </c>
      <c r="D3826" s="20">
        <v>45734</v>
      </c>
      <c r="E3826" s="19" t="s">
        <v>68</v>
      </c>
      <c r="F3826" s="19" t="s">
        <v>8364</v>
      </c>
      <c r="G3826" s="19" t="s">
        <v>21</v>
      </c>
      <c r="H3826" s="19" t="s">
        <v>28</v>
      </c>
      <c r="I3826" s="19">
        <v>4</v>
      </c>
      <c r="J3826" s="19">
        <v>0</v>
      </c>
      <c r="K3826" s="19">
        <v>5</v>
      </c>
      <c r="L3826" s="19" t="s">
        <v>38</v>
      </c>
      <c r="M3826" s="21">
        <v>10.8</v>
      </c>
      <c r="N3826">
        <f t="shared" si="59"/>
        <v>0</v>
      </c>
    </row>
    <row r="3827" spans="1:14" x14ac:dyDescent="0.35">
      <c r="A3827" s="22" t="s">
        <v>3897</v>
      </c>
      <c r="B3827" s="23" t="s">
        <v>41</v>
      </c>
      <c r="C3827" s="23">
        <v>10</v>
      </c>
      <c r="D3827" s="24">
        <v>45932</v>
      </c>
      <c r="E3827" s="23" t="s">
        <v>68</v>
      </c>
      <c r="F3827" s="23" t="s">
        <v>26</v>
      </c>
      <c r="G3827" s="23" t="s">
        <v>15</v>
      </c>
      <c r="H3827" s="23" t="s">
        <v>32</v>
      </c>
      <c r="I3827" s="23">
        <v>4</v>
      </c>
      <c r="J3827" s="23">
        <v>0</v>
      </c>
      <c r="K3827" s="23">
        <v>3</v>
      </c>
      <c r="L3827" s="23" t="s">
        <v>55</v>
      </c>
      <c r="M3827" s="25">
        <v>8.3000000000000007</v>
      </c>
      <c r="N3827">
        <f t="shared" si="59"/>
        <v>0</v>
      </c>
    </row>
    <row r="3828" spans="1:14" x14ac:dyDescent="0.35">
      <c r="A3828" s="6" t="s">
        <v>3898</v>
      </c>
      <c r="B3828" s="19" t="s">
        <v>146</v>
      </c>
      <c r="C3828" s="19">
        <v>12</v>
      </c>
      <c r="D3828" s="20">
        <v>45999</v>
      </c>
      <c r="E3828" s="19" t="s">
        <v>13</v>
      </c>
      <c r="F3828" s="19" t="s">
        <v>26</v>
      </c>
      <c r="G3828" s="19" t="s">
        <v>21</v>
      </c>
      <c r="H3828" s="19" t="s">
        <v>16</v>
      </c>
      <c r="I3828" s="19">
        <v>72</v>
      </c>
      <c r="J3828" s="19">
        <v>1</v>
      </c>
      <c r="K3828" s="19">
        <v>5</v>
      </c>
      <c r="L3828" s="19" t="s">
        <v>38</v>
      </c>
      <c r="M3828" s="21">
        <v>7.2</v>
      </c>
      <c r="N3828">
        <f t="shared" si="59"/>
        <v>1</v>
      </c>
    </row>
    <row r="3829" spans="1:14" x14ac:dyDescent="0.35">
      <c r="A3829" s="22" t="s">
        <v>3899</v>
      </c>
      <c r="B3829" s="23" t="s">
        <v>57</v>
      </c>
      <c r="C3829" s="23">
        <v>4</v>
      </c>
      <c r="D3829" s="24">
        <v>45756</v>
      </c>
      <c r="E3829" s="23" t="s">
        <v>13</v>
      </c>
      <c r="F3829" s="23" t="s">
        <v>14</v>
      </c>
      <c r="G3829" s="23" t="s">
        <v>21</v>
      </c>
      <c r="H3829" s="23" t="s">
        <v>22</v>
      </c>
      <c r="I3829" s="23">
        <v>48</v>
      </c>
      <c r="J3829" s="23">
        <v>2</v>
      </c>
      <c r="K3829" s="23"/>
      <c r="L3829" s="23" t="s">
        <v>75</v>
      </c>
      <c r="M3829" s="25">
        <v>17</v>
      </c>
      <c r="N3829">
        <f t="shared" si="59"/>
        <v>1</v>
      </c>
    </row>
    <row r="3830" spans="1:14" x14ac:dyDescent="0.35">
      <c r="A3830" s="6" t="s">
        <v>3900</v>
      </c>
      <c r="B3830" s="19" t="s">
        <v>65</v>
      </c>
      <c r="C3830" s="19">
        <v>6</v>
      </c>
      <c r="D3830" s="20">
        <v>45824</v>
      </c>
      <c r="E3830" s="19" t="s">
        <v>20</v>
      </c>
      <c r="F3830" s="19" t="s">
        <v>40</v>
      </c>
      <c r="G3830" s="19" t="s">
        <v>27</v>
      </c>
      <c r="H3830" s="19" t="s">
        <v>32</v>
      </c>
      <c r="I3830" s="19">
        <v>72</v>
      </c>
      <c r="J3830" s="19">
        <v>0</v>
      </c>
      <c r="K3830" s="19">
        <v>4</v>
      </c>
      <c r="L3830" s="19" t="s">
        <v>33</v>
      </c>
      <c r="M3830" s="21">
        <v>41.6</v>
      </c>
      <c r="N3830">
        <f t="shared" si="59"/>
        <v>1</v>
      </c>
    </row>
    <row r="3831" spans="1:14" x14ac:dyDescent="0.35">
      <c r="A3831" s="22" t="s">
        <v>3901</v>
      </c>
      <c r="B3831" s="23" t="s">
        <v>41</v>
      </c>
      <c r="C3831" s="23"/>
      <c r="D3831" s="24"/>
      <c r="E3831" s="23" t="s">
        <v>13</v>
      </c>
      <c r="F3831" s="23" t="s">
        <v>43</v>
      </c>
      <c r="G3831" s="23" t="s">
        <v>27</v>
      </c>
      <c r="H3831" s="23" t="s">
        <v>28</v>
      </c>
      <c r="I3831" s="23">
        <v>8</v>
      </c>
      <c r="J3831" s="23">
        <v>0</v>
      </c>
      <c r="K3831" s="23">
        <v>5</v>
      </c>
      <c r="L3831" s="23" t="s">
        <v>38</v>
      </c>
      <c r="M3831" s="25">
        <v>6.3</v>
      </c>
      <c r="N3831">
        <f t="shared" si="59"/>
        <v>1</v>
      </c>
    </row>
    <row r="3832" spans="1:14" x14ac:dyDescent="0.35">
      <c r="A3832" s="6" t="s">
        <v>3902</v>
      </c>
      <c r="B3832" s="19" t="s">
        <v>57</v>
      </c>
      <c r="C3832" s="19">
        <v>2</v>
      </c>
      <c r="D3832" s="20">
        <v>45695</v>
      </c>
      <c r="E3832" s="19" t="s">
        <v>20</v>
      </c>
      <c r="F3832" s="19" t="s">
        <v>8364</v>
      </c>
      <c r="G3832" s="19" t="s">
        <v>31</v>
      </c>
      <c r="H3832" s="19" t="s">
        <v>22</v>
      </c>
      <c r="I3832" s="19">
        <v>24</v>
      </c>
      <c r="J3832" s="19">
        <v>0</v>
      </c>
      <c r="K3832" s="19">
        <v>5</v>
      </c>
      <c r="L3832" s="19" t="s">
        <v>17</v>
      </c>
      <c r="M3832" s="21">
        <v>7.5</v>
      </c>
      <c r="N3832">
        <f t="shared" si="59"/>
        <v>1</v>
      </c>
    </row>
    <row r="3833" spans="1:14" x14ac:dyDescent="0.35">
      <c r="A3833" s="22" t="s">
        <v>3903</v>
      </c>
      <c r="B3833" s="23" t="s">
        <v>89</v>
      </c>
      <c r="C3833" s="23">
        <v>2</v>
      </c>
      <c r="D3833" s="24">
        <v>45712</v>
      </c>
      <c r="E3833" s="23" t="s">
        <v>68</v>
      </c>
      <c r="F3833" s="23" t="s">
        <v>14</v>
      </c>
      <c r="G3833" s="23" t="s">
        <v>15</v>
      </c>
      <c r="H3833" s="23" t="s">
        <v>32</v>
      </c>
      <c r="I3833" s="23">
        <v>24</v>
      </c>
      <c r="J3833" s="23">
        <v>0</v>
      </c>
      <c r="K3833" s="23">
        <v>4</v>
      </c>
      <c r="L3833" s="23" t="s">
        <v>75</v>
      </c>
      <c r="M3833" s="25">
        <v>0.1</v>
      </c>
      <c r="N3833">
        <f t="shared" si="59"/>
        <v>1</v>
      </c>
    </row>
    <row r="3834" spans="1:14" x14ac:dyDescent="0.35">
      <c r="A3834" s="6" t="s">
        <v>3904</v>
      </c>
      <c r="B3834" s="19" t="s">
        <v>51</v>
      </c>
      <c r="C3834" s="19">
        <v>6</v>
      </c>
      <c r="D3834" s="20">
        <v>45838</v>
      </c>
      <c r="E3834" s="19" t="s">
        <v>25</v>
      </c>
      <c r="F3834" s="19" t="s">
        <v>14</v>
      </c>
      <c r="G3834" s="19" t="s">
        <v>31</v>
      </c>
      <c r="H3834" s="19" t="s">
        <v>22</v>
      </c>
      <c r="I3834" s="19">
        <v>4</v>
      </c>
      <c r="J3834" s="19">
        <v>0</v>
      </c>
      <c r="K3834" s="19">
        <v>1</v>
      </c>
      <c r="L3834" s="19" t="s">
        <v>8363</v>
      </c>
      <c r="M3834" s="21">
        <v>6.1</v>
      </c>
      <c r="N3834">
        <f t="shared" si="59"/>
        <v>0</v>
      </c>
    </row>
    <row r="3835" spans="1:14" x14ac:dyDescent="0.35">
      <c r="A3835" s="22" t="s">
        <v>3905</v>
      </c>
      <c r="B3835" s="23" t="s">
        <v>18</v>
      </c>
      <c r="C3835" s="23">
        <v>5</v>
      </c>
      <c r="D3835" s="24">
        <v>45779</v>
      </c>
      <c r="E3835" s="23" t="s">
        <v>8364</v>
      </c>
      <c r="F3835" s="23" t="s">
        <v>14</v>
      </c>
      <c r="G3835" s="23" t="s">
        <v>27</v>
      </c>
      <c r="H3835" s="23" t="s">
        <v>32</v>
      </c>
      <c r="I3835" s="23">
        <v>72</v>
      </c>
      <c r="J3835" s="23">
        <v>0</v>
      </c>
      <c r="K3835" s="23">
        <v>4</v>
      </c>
      <c r="L3835" s="23" t="s">
        <v>55</v>
      </c>
      <c r="M3835" s="25">
        <v>16.8</v>
      </c>
      <c r="N3835">
        <f t="shared" si="59"/>
        <v>1</v>
      </c>
    </row>
    <row r="3836" spans="1:14" x14ac:dyDescent="0.35">
      <c r="A3836" s="6" t="s">
        <v>3906</v>
      </c>
      <c r="B3836" s="19" t="s">
        <v>143</v>
      </c>
      <c r="C3836" s="19">
        <v>5</v>
      </c>
      <c r="D3836" s="20">
        <v>45804</v>
      </c>
      <c r="E3836" s="19" t="s">
        <v>25</v>
      </c>
      <c r="F3836" s="19" t="s">
        <v>59</v>
      </c>
      <c r="G3836" s="19" t="s">
        <v>27</v>
      </c>
      <c r="H3836" s="19" t="s">
        <v>28</v>
      </c>
      <c r="I3836" s="19">
        <v>4</v>
      </c>
      <c r="J3836" s="19">
        <v>1</v>
      </c>
      <c r="K3836" s="19">
        <v>3</v>
      </c>
      <c r="L3836" s="19" t="s">
        <v>38</v>
      </c>
      <c r="M3836" s="21">
        <v>5.5</v>
      </c>
      <c r="N3836">
        <f t="shared" si="59"/>
        <v>0</v>
      </c>
    </row>
    <row r="3837" spans="1:14" x14ac:dyDescent="0.35">
      <c r="A3837" s="22" t="s">
        <v>3907</v>
      </c>
      <c r="B3837" s="23" t="s">
        <v>41</v>
      </c>
      <c r="C3837" s="23">
        <v>5</v>
      </c>
      <c r="D3837" s="24">
        <v>45785</v>
      </c>
      <c r="E3837" s="23" t="s">
        <v>25</v>
      </c>
      <c r="F3837" s="23" t="s">
        <v>43</v>
      </c>
      <c r="G3837" s="23" t="s">
        <v>31</v>
      </c>
      <c r="H3837" s="23" t="s">
        <v>16</v>
      </c>
      <c r="I3837" s="23">
        <v>72</v>
      </c>
      <c r="J3837" s="23">
        <v>0</v>
      </c>
      <c r="K3837" s="23">
        <v>5</v>
      </c>
      <c r="L3837" s="23" t="s">
        <v>75</v>
      </c>
      <c r="M3837" s="25"/>
      <c r="N3837">
        <f t="shared" si="59"/>
        <v>1</v>
      </c>
    </row>
    <row r="3838" spans="1:14" x14ac:dyDescent="0.35">
      <c r="A3838" s="6" t="s">
        <v>3908</v>
      </c>
      <c r="B3838" s="19" t="s">
        <v>146</v>
      </c>
      <c r="C3838" s="19">
        <v>4</v>
      </c>
      <c r="D3838" s="20">
        <v>45766</v>
      </c>
      <c r="E3838" s="19" t="s">
        <v>25</v>
      </c>
      <c r="F3838" s="19" t="s">
        <v>37</v>
      </c>
      <c r="G3838" s="19" t="s">
        <v>31</v>
      </c>
      <c r="H3838" s="19" t="s">
        <v>28</v>
      </c>
      <c r="I3838" s="19">
        <v>48</v>
      </c>
      <c r="J3838" s="19">
        <v>0</v>
      </c>
      <c r="K3838" s="19">
        <v>4</v>
      </c>
      <c r="L3838" s="19" t="s">
        <v>62</v>
      </c>
      <c r="M3838" s="21">
        <v>10.1</v>
      </c>
      <c r="N3838">
        <f t="shared" si="59"/>
        <v>1</v>
      </c>
    </row>
    <row r="3839" spans="1:14" x14ac:dyDescent="0.35">
      <c r="A3839" s="22" t="s">
        <v>3909</v>
      </c>
      <c r="B3839" s="23" t="s">
        <v>47</v>
      </c>
      <c r="C3839" s="23">
        <v>10</v>
      </c>
      <c r="D3839" s="24">
        <v>45938</v>
      </c>
      <c r="E3839" s="23" t="s">
        <v>68</v>
      </c>
      <c r="F3839" s="23" t="s">
        <v>40</v>
      </c>
      <c r="G3839" s="23" t="s">
        <v>31</v>
      </c>
      <c r="H3839" s="23" t="s">
        <v>32</v>
      </c>
      <c r="I3839" s="23">
        <v>4</v>
      </c>
      <c r="J3839" s="23">
        <v>0</v>
      </c>
      <c r="K3839" s="23">
        <v>2</v>
      </c>
      <c r="L3839" s="23" t="s">
        <v>44</v>
      </c>
      <c r="M3839" s="25">
        <v>72</v>
      </c>
      <c r="N3839">
        <f t="shared" si="59"/>
        <v>0</v>
      </c>
    </row>
    <row r="3840" spans="1:14" x14ac:dyDescent="0.35">
      <c r="A3840" s="6" t="s">
        <v>3910</v>
      </c>
      <c r="B3840" s="19" t="s">
        <v>78</v>
      </c>
      <c r="C3840" s="19">
        <v>2</v>
      </c>
      <c r="D3840" s="20">
        <v>45711</v>
      </c>
      <c r="E3840" s="19" t="s">
        <v>13</v>
      </c>
      <c r="F3840" s="19" t="s">
        <v>43</v>
      </c>
      <c r="G3840" s="19" t="s">
        <v>31</v>
      </c>
      <c r="H3840" s="19" t="s">
        <v>32</v>
      </c>
      <c r="I3840" s="19">
        <v>24</v>
      </c>
      <c r="J3840" s="19">
        <v>0</v>
      </c>
      <c r="K3840" s="19">
        <v>4</v>
      </c>
      <c r="L3840" s="19" t="s">
        <v>62</v>
      </c>
      <c r="M3840" s="21">
        <v>5.8</v>
      </c>
      <c r="N3840">
        <f t="shared" si="59"/>
        <v>1</v>
      </c>
    </row>
    <row r="3841" spans="1:14" x14ac:dyDescent="0.35">
      <c r="A3841" s="22" t="s">
        <v>3911</v>
      </c>
      <c r="B3841" s="23" t="s">
        <v>18</v>
      </c>
      <c r="C3841" s="23">
        <v>10</v>
      </c>
      <c r="D3841" s="24">
        <v>45954</v>
      </c>
      <c r="E3841" s="23" t="s">
        <v>25</v>
      </c>
      <c r="F3841" s="23" t="s">
        <v>14</v>
      </c>
      <c r="G3841" s="23" t="s">
        <v>8364</v>
      </c>
      <c r="H3841" s="23" t="s">
        <v>32</v>
      </c>
      <c r="I3841" s="23">
        <v>48</v>
      </c>
      <c r="J3841" s="23">
        <v>1</v>
      </c>
      <c r="K3841" s="23">
        <v>5</v>
      </c>
      <c r="L3841" s="23" t="s">
        <v>62</v>
      </c>
      <c r="M3841" s="25">
        <v>8.3000000000000007</v>
      </c>
      <c r="N3841">
        <f t="shared" si="59"/>
        <v>1</v>
      </c>
    </row>
    <row r="3842" spans="1:14" x14ac:dyDescent="0.35">
      <c r="A3842" s="6" t="s">
        <v>3912</v>
      </c>
      <c r="B3842" s="19" t="s">
        <v>51</v>
      </c>
      <c r="C3842" s="19">
        <v>8</v>
      </c>
      <c r="D3842" s="20">
        <v>45875</v>
      </c>
      <c r="E3842" s="19" t="s">
        <v>13</v>
      </c>
      <c r="F3842" s="19" t="s">
        <v>26</v>
      </c>
      <c r="G3842" s="19" t="s">
        <v>15</v>
      </c>
      <c r="H3842" s="19" t="s">
        <v>8364</v>
      </c>
      <c r="I3842" s="19">
        <v>4</v>
      </c>
      <c r="J3842" s="19">
        <v>0</v>
      </c>
      <c r="K3842" s="19">
        <v>1</v>
      </c>
      <c r="L3842" s="19" t="s">
        <v>8363</v>
      </c>
      <c r="M3842" s="21">
        <v>10</v>
      </c>
      <c r="N3842">
        <f t="shared" si="59"/>
        <v>0</v>
      </c>
    </row>
    <row r="3843" spans="1:14" x14ac:dyDescent="0.35">
      <c r="A3843" s="22" t="s">
        <v>3913</v>
      </c>
      <c r="B3843" s="23" t="s">
        <v>143</v>
      </c>
      <c r="C3843" s="23">
        <v>2</v>
      </c>
      <c r="D3843" s="24">
        <v>45691</v>
      </c>
      <c r="E3843" s="23" t="s">
        <v>13</v>
      </c>
      <c r="F3843" s="23" t="s">
        <v>37</v>
      </c>
      <c r="G3843" s="23" t="s">
        <v>15</v>
      </c>
      <c r="H3843" s="23" t="s">
        <v>8364</v>
      </c>
      <c r="I3843" s="23">
        <v>24</v>
      </c>
      <c r="J3843" s="23">
        <v>1</v>
      </c>
      <c r="K3843" s="23">
        <v>2</v>
      </c>
      <c r="L3843" s="23" t="s">
        <v>44</v>
      </c>
      <c r="M3843" s="25"/>
      <c r="N3843">
        <f t="shared" ref="N3843:N3906" si="60">IF(M3843 &lt;= I3843, 1, 0)</f>
        <v>1</v>
      </c>
    </row>
    <row r="3844" spans="1:14" x14ac:dyDescent="0.35">
      <c r="A3844" s="6" t="s">
        <v>3914</v>
      </c>
      <c r="B3844" s="19" t="s">
        <v>146</v>
      </c>
      <c r="C3844" s="19">
        <v>12</v>
      </c>
      <c r="D3844" s="20">
        <v>46014</v>
      </c>
      <c r="E3844" s="19" t="s">
        <v>13</v>
      </c>
      <c r="F3844" s="19" t="s">
        <v>43</v>
      </c>
      <c r="G3844" s="19" t="s">
        <v>31</v>
      </c>
      <c r="H3844" s="19" t="s">
        <v>22</v>
      </c>
      <c r="I3844" s="19">
        <v>8</v>
      </c>
      <c r="J3844" s="19">
        <v>2</v>
      </c>
      <c r="K3844" s="19">
        <v>5</v>
      </c>
      <c r="L3844" s="19" t="s">
        <v>75</v>
      </c>
      <c r="M3844" s="21">
        <v>5.9</v>
      </c>
      <c r="N3844">
        <f t="shared" si="60"/>
        <v>1</v>
      </c>
    </row>
    <row r="3845" spans="1:14" x14ac:dyDescent="0.35">
      <c r="A3845" s="22" t="s">
        <v>3915</v>
      </c>
      <c r="B3845" s="23" t="s">
        <v>236</v>
      </c>
      <c r="C3845" s="23"/>
      <c r="D3845" s="24"/>
      <c r="E3845" s="23" t="s">
        <v>8364</v>
      </c>
      <c r="F3845" s="23" t="s">
        <v>43</v>
      </c>
      <c r="G3845" s="23" t="s">
        <v>31</v>
      </c>
      <c r="H3845" s="23" t="s">
        <v>22</v>
      </c>
      <c r="I3845" s="23">
        <v>4</v>
      </c>
      <c r="J3845" s="23">
        <v>0</v>
      </c>
      <c r="K3845" s="23">
        <v>4</v>
      </c>
      <c r="L3845" s="23" t="s">
        <v>8363</v>
      </c>
      <c r="M3845" s="25">
        <v>7.1</v>
      </c>
      <c r="N3845">
        <f t="shared" si="60"/>
        <v>0</v>
      </c>
    </row>
    <row r="3846" spans="1:14" x14ac:dyDescent="0.35">
      <c r="A3846" s="6" t="s">
        <v>3916</v>
      </c>
      <c r="B3846" s="19" t="s">
        <v>18</v>
      </c>
      <c r="C3846" s="19">
        <v>1</v>
      </c>
      <c r="D3846" s="20">
        <v>45683</v>
      </c>
      <c r="E3846" s="19" t="s">
        <v>68</v>
      </c>
      <c r="F3846" s="19" t="s">
        <v>8364</v>
      </c>
      <c r="G3846" s="19" t="s">
        <v>8364</v>
      </c>
      <c r="H3846" s="19" t="s">
        <v>22</v>
      </c>
      <c r="I3846" s="19">
        <v>72</v>
      </c>
      <c r="J3846" s="19">
        <v>0</v>
      </c>
      <c r="K3846" s="19">
        <v>3</v>
      </c>
      <c r="L3846" s="19" t="s">
        <v>8363</v>
      </c>
      <c r="M3846" s="21">
        <v>8.6</v>
      </c>
      <c r="N3846">
        <f t="shared" si="60"/>
        <v>1</v>
      </c>
    </row>
    <row r="3847" spans="1:14" x14ac:dyDescent="0.35">
      <c r="A3847" s="22" t="s">
        <v>3917</v>
      </c>
      <c r="B3847" s="23" t="s">
        <v>72</v>
      </c>
      <c r="C3847" s="23">
        <v>11</v>
      </c>
      <c r="D3847" s="24">
        <v>45978</v>
      </c>
      <c r="E3847" s="23" t="s">
        <v>25</v>
      </c>
      <c r="F3847" s="23" t="s">
        <v>43</v>
      </c>
      <c r="G3847" s="23" t="s">
        <v>15</v>
      </c>
      <c r="H3847" s="23" t="s">
        <v>28</v>
      </c>
      <c r="I3847" s="23">
        <v>4</v>
      </c>
      <c r="J3847" s="23">
        <v>1</v>
      </c>
      <c r="K3847" s="23">
        <v>4</v>
      </c>
      <c r="L3847" s="23" t="s">
        <v>17</v>
      </c>
      <c r="M3847" s="25">
        <v>2.8</v>
      </c>
      <c r="N3847">
        <f t="shared" si="60"/>
        <v>1</v>
      </c>
    </row>
    <row r="3848" spans="1:14" x14ac:dyDescent="0.35">
      <c r="A3848" s="6" t="s">
        <v>3918</v>
      </c>
      <c r="B3848" s="19" t="s">
        <v>101</v>
      </c>
      <c r="C3848" s="19">
        <v>7</v>
      </c>
      <c r="D3848" s="20">
        <v>45846</v>
      </c>
      <c r="E3848" s="19" t="s">
        <v>25</v>
      </c>
      <c r="F3848" s="19" t="s">
        <v>40</v>
      </c>
      <c r="G3848" s="19" t="s">
        <v>15</v>
      </c>
      <c r="H3848" s="19" t="s">
        <v>32</v>
      </c>
      <c r="I3848" s="19">
        <v>4</v>
      </c>
      <c r="J3848" s="19">
        <v>1</v>
      </c>
      <c r="K3848" s="19">
        <v>5</v>
      </c>
      <c r="L3848" s="19" t="s">
        <v>33</v>
      </c>
      <c r="M3848" s="21">
        <v>6.8</v>
      </c>
      <c r="N3848">
        <f t="shared" si="60"/>
        <v>0</v>
      </c>
    </row>
    <row r="3849" spans="1:14" x14ac:dyDescent="0.35">
      <c r="A3849" s="22" t="s">
        <v>3919</v>
      </c>
      <c r="B3849" s="23" t="s">
        <v>99</v>
      </c>
      <c r="C3849" s="23">
        <v>3</v>
      </c>
      <c r="D3849" s="24">
        <v>45720</v>
      </c>
      <c r="E3849" s="23" t="s">
        <v>25</v>
      </c>
      <c r="F3849" s="23" t="s">
        <v>59</v>
      </c>
      <c r="G3849" s="23" t="s">
        <v>15</v>
      </c>
      <c r="H3849" s="23" t="s">
        <v>32</v>
      </c>
      <c r="I3849" s="23">
        <v>24</v>
      </c>
      <c r="J3849" s="23">
        <v>0</v>
      </c>
      <c r="K3849" s="23">
        <v>3</v>
      </c>
      <c r="L3849" s="23" t="s">
        <v>62</v>
      </c>
      <c r="M3849" s="25">
        <v>10.4</v>
      </c>
      <c r="N3849">
        <f t="shared" si="60"/>
        <v>1</v>
      </c>
    </row>
    <row r="3850" spans="1:14" x14ac:dyDescent="0.35">
      <c r="A3850" s="6" t="s">
        <v>3920</v>
      </c>
      <c r="B3850" s="19" t="s">
        <v>69</v>
      </c>
      <c r="C3850" s="19">
        <v>8</v>
      </c>
      <c r="D3850" s="20">
        <v>45898</v>
      </c>
      <c r="E3850" s="19" t="s">
        <v>36</v>
      </c>
      <c r="F3850" s="19" t="s">
        <v>43</v>
      </c>
      <c r="G3850" s="19" t="s">
        <v>27</v>
      </c>
      <c r="H3850" s="19" t="s">
        <v>28</v>
      </c>
      <c r="I3850" s="19">
        <v>8</v>
      </c>
      <c r="J3850" s="19">
        <v>0</v>
      </c>
      <c r="K3850" s="19">
        <v>2</v>
      </c>
      <c r="L3850" s="19" t="s">
        <v>62</v>
      </c>
      <c r="M3850" s="21">
        <v>4.4000000000000004</v>
      </c>
      <c r="N3850">
        <f t="shared" si="60"/>
        <v>1</v>
      </c>
    </row>
    <row r="3851" spans="1:14" x14ac:dyDescent="0.35">
      <c r="A3851" s="22" t="s">
        <v>3921</v>
      </c>
      <c r="B3851" s="23" t="s">
        <v>65</v>
      </c>
      <c r="C3851" s="23">
        <v>8</v>
      </c>
      <c r="D3851" s="24">
        <v>45886</v>
      </c>
      <c r="E3851" s="23" t="s">
        <v>13</v>
      </c>
      <c r="F3851" s="23" t="s">
        <v>43</v>
      </c>
      <c r="G3851" s="23" t="s">
        <v>27</v>
      </c>
      <c r="H3851" s="23" t="s">
        <v>22</v>
      </c>
      <c r="I3851" s="23">
        <v>72</v>
      </c>
      <c r="J3851" s="23">
        <v>1</v>
      </c>
      <c r="K3851" s="23">
        <v>3</v>
      </c>
      <c r="L3851" s="23" t="s">
        <v>38</v>
      </c>
      <c r="M3851" s="25">
        <v>14.4</v>
      </c>
      <c r="N3851">
        <f t="shared" si="60"/>
        <v>1</v>
      </c>
    </row>
    <row r="3852" spans="1:14" x14ac:dyDescent="0.35">
      <c r="A3852" s="6" t="s">
        <v>3922</v>
      </c>
      <c r="B3852" s="19" t="s">
        <v>143</v>
      </c>
      <c r="C3852" s="19">
        <v>5</v>
      </c>
      <c r="D3852" s="20">
        <v>45789</v>
      </c>
      <c r="E3852" s="19" t="s">
        <v>25</v>
      </c>
      <c r="F3852" s="19" t="s">
        <v>43</v>
      </c>
      <c r="G3852" s="19" t="s">
        <v>27</v>
      </c>
      <c r="H3852" s="19" t="s">
        <v>22</v>
      </c>
      <c r="I3852" s="19">
        <v>8</v>
      </c>
      <c r="J3852" s="19">
        <v>0</v>
      </c>
      <c r="K3852" s="19">
        <v>5</v>
      </c>
      <c r="L3852" s="19" t="s">
        <v>8363</v>
      </c>
      <c r="M3852" s="21">
        <v>20.9</v>
      </c>
      <c r="N3852">
        <f t="shared" si="60"/>
        <v>0</v>
      </c>
    </row>
    <row r="3853" spans="1:14" x14ac:dyDescent="0.35">
      <c r="A3853" s="22" t="s">
        <v>3923</v>
      </c>
      <c r="B3853" s="23" t="s">
        <v>108</v>
      </c>
      <c r="C3853" s="23"/>
      <c r="D3853" s="24"/>
      <c r="E3853" s="23" t="s">
        <v>25</v>
      </c>
      <c r="F3853" s="23" t="s">
        <v>14</v>
      </c>
      <c r="G3853" s="23" t="s">
        <v>21</v>
      </c>
      <c r="H3853" s="23" t="s">
        <v>22</v>
      </c>
      <c r="I3853" s="23">
        <v>8</v>
      </c>
      <c r="J3853" s="23">
        <v>0</v>
      </c>
      <c r="K3853" s="23">
        <v>5</v>
      </c>
      <c r="L3853" s="23" t="s">
        <v>8363</v>
      </c>
      <c r="M3853" s="25">
        <v>8.9</v>
      </c>
      <c r="N3853">
        <f t="shared" si="60"/>
        <v>0</v>
      </c>
    </row>
    <row r="3854" spans="1:14" x14ac:dyDescent="0.35">
      <c r="A3854" s="6" t="s">
        <v>3924</v>
      </c>
      <c r="B3854" s="19" t="s">
        <v>65</v>
      </c>
      <c r="C3854" s="19">
        <v>5</v>
      </c>
      <c r="D3854" s="20">
        <v>45783</v>
      </c>
      <c r="E3854" s="19" t="s">
        <v>36</v>
      </c>
      <c r="F3854" s="19" t="s">
        <v>14</v>
      </c>
      <c r="G3854" s="19" t="s">
        <v>31</v>
      </c>
      <c r="H3854" s="19" t="s">
        <v>22</v>
      </c>
      <c r="I3854" s="19">
        <v>72</v>
      </c>
      <c r="J3854" s="19">
        <v>0</v>
      </c>
      <c r="K3854" s="19">
        <v>3</v>
      </c>
      <c r="L3854" s="19" t="s">
        <v>38</v>
      </c>
      <c r="M3854" s="21">
        <v>16.3</v>
      </c>
      <c r="N3854">
        <f t="shared" si="60"/>
        <v>1</v>
      </c>
    </row>
    <row r="3855" spans="1:14" x14ac:dyDescent="0.35">
      <c r="A3855" s="22" t="s">
        <v>3925</v>
      </c>
      <c r="B3855" s="23" t="s">
        <v>51</v>
      </c>
      <c r="C3855" s="23">
        <v>7</v>
      </c>
      <c r="D3855" s="24">
        <v>45856</v>
      </c>
      <c r="E3855" s="23" t="s">
        <v>13</v>
      </c>
      <c r="F3855" s="23" t="s">
        <v>59</v>
      </c>
      <c r="G3855" s="23" t="s">
        <v>15</v>
      </c>
      <c r="H3855" s="23" t="s">
        <v>32</v>
      </c>
      <c r="I3855" s="23">
        <v>8</v>
      </c>
      <c r="J3855" s="23">
        <v>0</v>
      </c>
      <c r="K3855" s="23">
        <v>4</v>
      </c>
      <c r="L3855" s="23" t="s">
        <v>17</v>
      </c>
      <c r="M3855" s="25">
        <v>7.1</v>
      </c>
      <c r="N3855">
        <f t="shared" si="60"/>
        <v>1</v>
      </c>
    </row>
    <row r="3856" spans="1:14" x14ac:dyDescent="0.35">
      <c r="A3856" s="6" t="s">
        <v>3926</v>
      </c>
      <c r="B3856" s="19" t="s">
        <v>81</v>
      </c>
      <c r="C3856" s="19">
        <v>10</v>
      </c>
      <c r="D3856" s="20">
        <v>45946</v>
      </c>
      <c r="E3856" s="19" t="s">
        <v>13</v>
      </c>
      <c r="F3856" s="19" t="s">
        <v>8364</v>
      </c>
      <c r="G3856" s="19" t="s">
        <v>27</v>
      </c>
      <c r="H3856" s="19" t="s">
        <v>16</v>
      </c>
      <c r="I3856" s="19">
        <v>8</v>
      </c>
      <c r="J3856" s="19">
        <v>0</v>
      </c>
      <c r="K3856" s="19">
        <v>5</v>
      </c>
      <c r="L3856" s="19" t="s">
        <v>33</v>
      </c>
      <c r="M3856" s="21">
        <v>6</v>
      </c>
      <c r="N3856">
        <f t="shared" si="60"/>
        <v>1</v>
      </c>
    </row>
    <row r="3857" spans="1:14" x14ac:dyDescent="0.35">
      <c r="A3857" s="22" t="s">
        <v>3927</v>
      </c>
      <c r="B3857" s="23" t="s">
        <v>104</v>
      </c>
      <c r="C3857" s="23">
        <v>6</v>
      </c>
      <c r="D3857" s="24">
        <v>45811</v>
      </c>
      <c r="E3857" s="23" t="s">
        <v>8364</v>
      </c>
      <c r="F3857" s="23" t="s">
        <v>8364</v>
      </c>
      <c r="G3857" s="23" t="s">
        <v>31</v>
      </c>
      <c r="H3857" s="23" t="s">
        <v>22</v>
      </c>
      <c r="I3857" s="23">
        <v>48</v>
      </c>
      <c r="J3857" s="23">
        <v>0</v>
      </c>
      <c r="K3857" s="23">
        <v>4</v>
      </c>
      <c r="L3857" s="23" t="s">
        <v>33</v>
      </c>
      <c r="M3857" s="25">
        <v>1.8</v>
      </c>
      <c r="N3857">
        <f t="shared" si="60"/>
        <v>1</v>
      </c>
    </row>
    <row r="3858" spans="1:14" x14ac:dyDescent="0.35">
      <c r="A3858" s="6" t="s">
        <v>3928</v>
      </c>
      <c r="B3858" s="19" t="s">
        <v>139</v>
      </c>
      <c r="C3858" s="19">
        <v>8</v>
      </c>
      <c r="D3858" s="20">
        <v>45874</v>
      </c>
      <c r="E3858" s="19" t="s">
        <v>13</v>
      </c>
      <c r="F3858" s="19" t="s">
        <v>14</v>
      </c>
      <c r="G3858" s="19" t="s">
        <v>27</v>
      </c>
      <c r="H3858" s="19" t="s">
        <v>22</v>
      </c>
      <c r="I3858" s="19">
        <v>8</v>
      </c>
      <c r="J3858" s="19">
        <v>0</v>
      </c>
      <c r="K3858" s="19">
        <v>4</v>
      </c>
      <c r="L3858" s="19" t="s">
        <v>17</v>
      </c>
      <c r="M3858" s="21">
        <v>15.1</v>
      </c>
      <c r="N3858">
        <f t="shared" si="60"/>
        <v>0</v>
      </c>
    </row>
    <row r="3859" spans="1:14" x14ac:dyDescent="0.35">
      <c r="A3859" s="22" t="s">
        <v>3929</v>
      </c>
      <c r="B3859" s="23" t="s">
        <v>92</v>
      </c>
      <c r="C3859" s="23">
        <v>5</v>
      </c>
      <c r="D3859" s="24">
        <v>45786</v>
      </c>
      <c r="E3859" s="23" t="s">
        <v>68</v>
      </c>
      <c r="F3859" s="23" t="s">
        <v>26</v>
      </c>
      <c r="G3859" s="23" t="s">
        <v>8364</v>
      </c>
      <c r="H3859" s="23" t="s">
        <v>32</v>
      </c>
      <c r="I3859" s="23">
        <v>72</v>
      </c>
      <c r="J3859" s="23">
        <v>2</v>
      </c>
      <c r="K3859" s="23">
        <v>4</v>
      </c>
      <c r="L3859" s="23" t="s">
        <v>75</v>
      </c>
      <c r="M3859" s="25">
        <v>3.9</v>
      </c>
      <c r="N3859">
        <f t="shared" si="60"/>
        <v>1</v>
      </c>
    </row>
    <row r="3860" spans="1:14" x14ac:dyDescent="0.35">
      <c r="A3860" s="6" t="s">
        <v>3930</v>
      </c>
      <c r="B3860" s="19" t="s">
        <v>253</v>
      </c>
      <c r="C3860" s="19">
        <v>8</v>
      </c>
      <c r="D3860" s="20">
        <v>45891</v>
      </c>
      <c r="E3860" s="19" t="s">
        <v>8364</v>
      </c>
      <c r="F3860" s="19" t="s">
        <v>8364</v>
      </c>
      <c r="G3860" s="19" t="s">
        <v>15</v>
      </c>
      <c r="H3860" s="19" t="s">
        <v>22</v>
      </c>
      <c r="I3860" s="19">
        <v>48</v>
      </c>
      <c r="J3860" s="19">
        <v>0</v>
      </c>
      <c r="K3860" s="19">
        <v>4</v>
      </c>
      <c r="L3860" s="19" t="s">
        <v>62</v>
      </c>
      <c r="M3860" s="21">
        <v>19</v>
      </c>
      <c r="N3860">
        <f t="shared" si="60"/>
        <v>1</v>
      </c>
    </row>
    <row r="3861" spans="1:14" x14ac:dyDescent="0.35">
      <c r="A3861" s="22" t="s">
        <v>3931</v>
      </c>
      <c r="B3861" s="23" t="s">
        <v>104</v>
      </c>
      <c r="C3861" s="23">
        <v>5</v>
      </c>
      <c r="D3861" s="24">
        <v>45778</v>
      </c>
      <c r="E3861" s="23" t="s">
        <v>8364</v>
      </c>
      <c r="F3861" s="23" t="s">
        <v>14</v>
      </c>
      <c r="G3861" s="23" t="s">
        <v>8364</v>
      </c>
      <c r="H3861" s="23" t="s">
        <v>32</v>
      </c>
      <c r="I3861" s="23">
        <v>24</v>
      </c>
      <c r="J3861" s="23">
        <v>2</v>
      </c>
      <c r="K3861" s="23">
        <v>3</v>
      </c>
      <c r="L3861" s="23" t="s">
        <v>8363</v>
      </c>
      <c r="M3861" s="25">
        <v>19.7</v>
      </c>
      <c r="N3861">
        <f t="shared" si="60"/>
        <v>1</v>
      </c>
    </row>
    <row r="3862" spans="1:14" x14ac:dyDescent="0.35">
      <c r="A3862" s="6" t="s">
        <v>3932</v>
      </c>
      <c r="B3862" s="19" t="s">
        <v>34</v>
      </c>
      <c r="C3862" s="19">
        <v>9</v>
      </c>
      <c r="D3862" s="20">
        <v>45914</v>
      </c>
      <c r="E3862" s="19" t="s">
        <v>8364</v>
      </c>
      <c r="F3862" s="19" t="s">
        <v>37</v>
      </c>
      <c r="G3862" s="19" t="s">
        <v>27</v>
      </c>
      <c r="H3862" s="19" t="s">
        <v>22</v>
      </c>
      <c r="I3862" s="19">
        <v>24</v>
      </c>
      <c r="J3862" s="19">
        <v>0</v>
      </c>
      <c r="K3862" s="19">
        <v>4</v>
      </c>
      <c r="L3862" s="19" t="s">
        <v>55</v>
      </c>
      <c r="M3862" s="21">
        <v>13.5</v>
      </c>
      <c r="N3862">
        <f t="shared" si="60"/>
        <v>1</v>
      </c>
    </row>
    <row r="3863" spans="1:14" x14ac:dyDescent="0.35">
      <c r="A3863" s="22" t="s">
        <v>3933</v>
      </c>
      <c r="B3863" s="23" t="s">
        <v>158</v>
      </c>
      <c r="C3863" s="23">
        <v>3</v>
      </c>
      <c r="D3863" s="24">
        <v>45724</v>
      </c>
      <c r="E3863" s="23" t="s">
        <v>68</v>
      </c>
      <c r="F3863" s="23" t="s">
        <v>14</v>
      </c>
      <c r="G3863" s="23" t="s">
        <v>27</v>
      </c>
      <c r="H3863" s="23" t="s">
        <v>22</v>
      </c>
      <c r="I3863" s="23">
        <v>72</v>
      </c>
      <c r="J3863" s="23">
        <v>0</v>
      </c>
      <c r="K3863" s="23">
        <v>3</v>
      </c>
      <c r="L3863" s="23" t="s">
        <v>8363</v>
      </c>
      <c r="M3863" s="25">
        <v>4.7</v>
      </c>
      <c r="N3863">
        <f t="shared" si="60"/>
        <v>1</v>
      </c>
    </row>
    <row r="3864" spans="1:14" x14ac:dyDescent="0.35">
      <c r="A3864" s="6" t="s">
        <v>3934</v>
      </c>
      <c r="B3864" s="19" t="s">
        <v>69</v>
      </c>
      <c r="C3864" s="19"/>
      <c r="D3864" s="20"/>
      <c r="E3864" s="19" t="s">
        <v>25</v>
      </c>
      <c r="F3864" s="19" t="s">
        <v>40</v>
      </c>
      <c r="G3864" s="19" t="s">
        <v>21</v>
      </c>
      <c r="H3864" s="19" t="s">
        <v>16</v>
      </c>
      <c r="I3864" s="19">
        <v>4</v>
      </c>
      <c r="J3864" s="19">
        <v>0</v>
      </c>
      <c r="K3864" s="19">
        <v>5</v>
      </c>
      <c r="L3864" s="19" t="s">
        <v>62</v>
      </c>
      <c r="M3864" s="21">
        <v>6.6</v>
      </c>
      <c r="N3864">
        <f t="shared" si="60"/>
        <v>0</v>
      </c>
    </row>
    <row r="3865" spans="1:14" x14ac:dyDescent="0.35">
      <c r="A3865" s="22" t="s">
        <v>3935</v>
      </c>
      <c r="B3865" s="23" t="s">
        <v>23</v>
      </c>
      <c r="C3865" s="23">
        <v>6</v>
      </c>
      <c r="D3865" s="24">
        <v>45816</v>
      </c>
      <c r="E3865" s="23" t="s">
        <v>25</v>
      </c>
      <c r="F3865" s="23" t="s">
        <v>26</v>
      </c>
      <c r="G3865" s="23" t="s">
        <v>27</v>
      </c>
      <c r="H3865" s="23" t="s">
        <v>28</v>
      </c>
      <c r="I3865" s="23">
        <v>4</v>
      </c>
      <c r="J3865" s="23">
        <v>1</v>
      </c>
      <c r="K3865" s="23">
        <v>2</v>
      </c>
      <c r="L3865" s="23" t="s">
        <v>8363</v>
      </c>
      <c r="M3865" s="25">
        <v>4.0999999999999996</v>
      </c>
      <c r="N3865">
        <f t="shared" si="60"/>
        <v>0</v>
      </c>
    </row>
    <row r="3866" spans="1:14" x14ac:dyDescent="0.35">
      <c r="A3866" s="6" t="s">
        <v>3936</v>
      </c>
      <c r="B3866" s="19" t="s">
        <v>72</v>
      </c>
      <c r="C3866" s="19">
        <v>9</v>
      </c>
      <c r="D3866" s="20">
        <v>45926</v>
      </c>
      <c r="E3866" s="19" t="s">
        <v>13</v>
      </c>
      <c r="F3866" s="19" t="s">
        <v>43</v>
      </c>
      <c r="G3866" s="19" t="s">
        <v>27</v>
      </c>
      <c r="H3866" s="19" t="s">
        <v>32</v>
      </c>
      <c r="I3866" s="19">
        <v>72</v>
      </c>
      <c r="J3866" s="19">
        <v>0</v>
      </c>
      <c r="K3866" s="19">
        <v>4</v>
      </c>
      <c r="L3866" s="19" t="s">
        <v>62</v>
      </c>
      <c r="M3866" s="21">
        <v>7.4</v>
      </c>
      <c r="N3866">
        <f t="shared" si="60"/>
        <v>1</v>
      </c>
    </row>
    <row r="3867" spans="1:14" x14ac:dyDescent="0.35">
      <c r="A3867" s="22" t="s">
        <v>3937</v>
      </c>
      <c r="B3867" s="23" t="s">
        <v>85</v>
      </c>
      <c r="C3867" s="23">
        <v>9</v>
      </c>
      <c r="D3867" s="24">
        <v>45907</v>
      </c>
      <c r="E3867" s="23" t="s">
        <v>25</v>
      </c>
      <c r="F3867" s="23" t="s">
        <v>14</v>
      </c>
      <c r="G3867" s="23" t="s">
        <v>21</v>
      </c>
      <c r="H3867" s="23" t="s">
        <v>22</v>
      </c>
      <c r="I3867" s="23">
        <v>48</v>
      </c>
      <c r="J3867" s="23">
        <v>2</v>
      </c>
      <c r="K3867" s="23">
        <v>5</v>
      </c>
      <c r="L3867" s="23" t="s">
        <v>55</v>
      </c>
      <c r="M3867" s="25">
        <v>1.4</v>
      </c>
      <c r="N3867">
        <f t="shared" si="60"/>
        <v>1</v>
      </c>
    </row>
    <row r="3868" spans="1:14" x14ac:dyDescent="0.35">
      <c r="A3868" s="6" t="s">
        <v>3938</v>
      </c>
      <c r="B3868" s="19" t="s">
        <v>72</v>
      </c>
      <c r="C3868" s="19">
        <v>12</v>
      </c>
      <c r="D3868" s="20">
        <v>46014</v>
      </c>
      <c r="E3868" s="19" t="s">
        <v>20</v>
      </c>
      <c r="F3868" s="19" t="s">
        <v>26</v>
      </c>
      <c r="G3868" s="19" t="s">
        <v>27</v>
      </c>
      <c r="H3868" s="19" t="s">
        <v>32</v>
      </c>
      <c r="I3868" s="19">
        <v>24</v>
      </c>
      <c r="J3868" s="19">
        <v>0</v>
      </c>
      <c r="K3868" s="19">
        <v>3</v>
      </c>
      <c r="L3868" s="19" t="s">
        <v>55</v>
      </c>
      <c r="M3868" s="21">
        <v>6.9</v>
      </c>
      <c r="N3868">
        <f t="shared" si="60"/>
        <v>1</v>
      </c>
    </row>
    <row r="3869" spans="1:14" x14ac:dyDescent="0.35">
      <c r="A3869" s="22" t="s">
        <v>3939</v>
      </c>
      <c r="B3869" s="23" t="s">
        <v>87</v>
      </c>
      <c r="C3869" s="23">
        <v>10</v>
      </c>
      <c r="D3869" s="24">
        <v>45931</v>
      </c>
      <c r="E3869" s="23" t="s">
        <v>25</v>
      </c>
      <c r="F3869" s="23" t="s">
        <v>40</v>
      </c>
      <c r="G3869" s="23" t="s">
        <v>15</v>
      </c>
      <c r="H3869" s="23" t="s">
        <v>8364</v>
      </c>
      <c r="I3869" s="23">
        <v>8</v>
      </c>
      <c r="J3869" s="23">
        <v>0</v>
      </c>
      <c r="K3869" s="23">
        <v>5</v>
      </c>
      <c r="L3869" s="23" t="s">
        <v>62</v>
      </c>
      <c r="M3869" s="25">
        <v>13.4</v>
      </c>
      <c r="N3869">
        <f t="shared" si="60"/>
        <v>0</v>
      </c>
    </row>
    <row r="3870" spans="1:14" x14ac:dyDescent="0.35">
      <c r="A3870" s="6" t="s">
        <v>3940</v>
      </c>
      <c r="B3870" s="19" t="s">
        <v>39</v>
      </c>
      <c r="C3870" s="19">
        <v>1</v>
      </c>
      <c r="D3870" s="20">
        <v>45662</v>
      </c>
      <c r="E3870" s="19" t="s">
        <v>13</v>
      </c>
      <c r="F3870" s="19" t="s">
        <v>43</v>
      </c>
      <c r="G3870" s="19" t="s">
        <v>15</v>
      </c>
      <c r="H3870" s="19" t="s">
        <v>22</v>
      </c>
      <c r="I3870" s="19">
        <v>4</v>
      </c>
      <c r="J3870" s="19">
        <v>0</v>
      </c>
      <c r="K3870" s="19">
        <v>4</v>
      </c>
      <c r="L3870" s="19" t="s">
        <v>44</v>
      </c>
      <c r="M3870" s="21">
        <v>13.2</v>
      </c>
      <c r="N3870">
        <f t="shared" si="60"/>
        <v>0</v>
      </c>
    </row>
    <row r="3871" spans="1:14" x14ac:dyDescent="0.35">
      <c r="A3871" s="22" t="s">
        <v>3941</v>
      </c>
      <c r="B3871" s="23" t="s">
        <v>34</v>
      </c>
      <c r="C3871" s="23">
        <v>5</v>
      </c>
      <c r="D3871" s="24">
        <v>45807</v>
      </c>
      <c r="E3871" s="23" t="s">
        <v>20</v>
      </c>
      <c r="F3871" s="23" t="s">
        <v>14</v>
      </c>
      <c r="G3871" s="23" t="s">
        <v>8364</v>
      </c>
      <c r="H3871" s="23" t="s">
        <v>32</v>
      </c>
      <c r="I3871" s="23">
        <v>8</v>
      </c>
      <c r="J3871" s="23">
        <v>0</v>
      </c>
      <c r="K3871" s="23">
        <v>5</v>
      </c>
      <c r="L3871" s="23" t="s">
        <v>44</v>
      </c>
      <c r="M3871" s="25">
        <v>16.8</v>
      </c>
      <c r="N3871">
        <f t="shared" si="60"/>
        <v>0</v>
      </c>
    </row>
    <row r="3872" spans="1:14" x14ac:dyDescent="0.35">
      <c r="A3872" s="6" t="s">
        <v>3942</v>
      </c>
      <c r="B3872" s="19" t="s">
        <v>97</v>
      </c>
      <c r="C3872" s="19">
        <v>7</v>
      </c>
      <c r="D3872" s="20">
        <v>45839</v>
      </c>
      <c r="E3872" s="19" t="s">
        <v>68</v>
      </c>
      <c r="F3872" s="19" t="s">
        <v>14</v>
      </c>
      <c r="G3872" s="19" t="s">
        <v>15</v>
      </c>
      <c r="H3872" s="19" t="s">
        <v>22</v>
      </c>
      <c r="I3872" s="19">
        <v>8</v>
      </c>
      <c r="J3872" s="19">
        <v>1</v>
      </c>
      <c r="K3872" s="19">
        <v>4</v>
      </c>
      <c r="L3872" s="19" t="s">
        <v>17</v>
      </c>
      <c r="M3872" s="21">
        <v>12.3</v>
      </c>
      <c r="N3872">
        <f t="shared" si="60"/>
        <v>0</v>
      </c>
    </row>
    <row r="3873" spans="1:14" x14ac:dyDescent="0.35">
      <c r="A3873" s="22" t="s">
        <v>3943</v>
      </c>
      <c r="B3873" s="23" t="s">
        <v>92</v>
      </c>
      <c r="C3873" s="23"/>
      <c r="D3873" s="24"/>
      <c r="E3873" s="23" t="s">
        <v>13</v>
      </c>
      <c r="F3873" s="23" t="s">
        <v>37</v>
      </c>
      <c r="G3873" s="23" t="s">
        <v>15</v>
      </c>
      <c r="H3873" s="23" t="s">
        <v>22</v>
      </c>
      <c r="I3873" s="23">
        <v>72</v>
      </c>
      <c r="J3873" s="23">
        <v>1</v>
      </c>
      <c r="K3873" s="23">
        <v>5</v>
      </c>
      <c r="L3873" s="23" t="s">
        <v>75</v>
      </c>
      <c r="M3873" s="25">
        <v>14.1</v>
      </c>
      <c r="N3873">
        <f t="shared" si="60"/>
        <v>1</v>
      </c>
    </row>
    <row r="3874" spans="1:14" x14ac:dyDescent="0.35">
      <c r="A3874" s="6" t="s">
        <v>3944</v>
      </c>
      <c r="B3874" s="19" t="s">
        <v>92</v>
      </c>
      <c r="C3874" s="19">
        <v>2</v>
      </c>
      <c r="D3874" s="20">
        <v>45704</v>
      </c>
      <c r="E3874" s="19" t="s">
        <v>20</v>
      </c>
      <c r="F3874" s="19" t="s">
        <v>43</v>
      </c>
      <c r="G3874" s="19" t="s">
        <v>27</v>
      </c>
      <c r="H3874" s="19" t="s">
        <v>22</v>
      </c>
      <c r="I3874" s="19">
        <v>8</v>
      </c>
      <c r="J3874" s="19">
        <v>0</v>
      </c>
      <c r="K3874" s="19">
        <v>5</v>
      </c>
      <c r="L3874" s="19" t="s">
        <v>75</v>
      </c>
      <c r="M3874" s="21"/>
      <c r="N3874">
        <f t="shared" si="60"/>
        <v>1</v>
      </c>
    </row>
    <row r="3875" spans="1:14" x14ac:dyDescent="0.35">
      <c r="A3875" s="22" t="s">
        <v>3945</v>
      </c>
      <c r="B3875" s="23" t="s">
        <v>97</v>
      </c>
      <c r="C3875" s="23">
        <v>4</v>
      </c>
      <c r="D3875" s="24">
        <v>45761</v>
      </c>
      <c r="E3875" s="23" t="s">
        <v>13</v>
      </c>
      <c r="F3875" s="23" t="s">
        <v>43</v>
      </c>
      <c r="G3875" s="23" t="s">
        <v>31</v>
      </c>
      <c r="H3875" s="23" t="s">
        <v>22</v>
      </c>
      <c r="I3875" s="23">
        <v>72</v>
      </c>
      <c r="J3875" s="23">
        <v>0</v>
      </c>
      <c r="K3875" s="23">
        <v>5</v>
      </c>
      <c r="L3875" s="23" t="s">
        <v>62</v>
      </c>
      <c r="M3875" s="25">
        <v>3.2</v>
      </c>
      <c r="N3875">
        <f t="shared" si="60"/>
        <v>1</v>
      </c>
    </row>
    <row r="3876" spans="1:14" x14ac:dyDescent="0.35">
      <c r="A3876" s="6" t="s">
        <v>3946</v>
      </c>
      <c r="B3876" s="19" t="s">
        <v>47</v>
      </c>
      <c r="C3876" s="19">
        <v>4</v>
      </c>
      <c r="D3876" s="20">
        <v>45759</v>
      </c>
      <c r="E3876" s="19" t="s">
        <v>13</v>
      </c>
      <c r="F3876" s="19" t="s">
        <v>43</v>
      </c>
      <c r="G3876" s="19" t="s">
        <v>27</v>
      </c>
      <c r="H3876" s="19" t="s">
        <v>28</v>
      </c>
      <c r="I3876" s="19">
        <v>72</v>
      </c>
      <c r="J3876" s="19">
        <v>1</v>
      </c>
      <c r="K3876" s="19">
        <v>4</v>
      </c>
      <c r="L3876" s="19" t="s">
        <v>33</v>
      </c>
      <c r="M3876" s="21">
        <v>5.2</v>
      </c>
      <c r="N3876">
        <f t="shared" si="60"/>
        <v>1</v>
      </c>
    </row>
    <row r="3877" spans="1:14" x14ac:dyDescent="0.35">
      <c r="A3877" s="22" t="s">
        <v>3947</v>
      </c>
      <c r="B3877" s="23" t="s">
        <v>51</v>
      </c>
      <c r="C3877" s="23">
        <v>2</v>
      </c>
      <c r="D3877" s="24">
        <v>45713</v>
      </c>
      <c r="E3877" s="23" t="s">
        <v>36</v>
      </c>
      <c r="F3877" s="23" t="s">
        <v>43</v>
      </c>
      <c r="G3877" s="23" t="s">
        <v>31</v>
      </c>
      <c r="H3877" s="23" t="s">
        <v>28</v>
      </c>
      <c r="I3877" s="23">
        <v>48</v>
      </c>
      <c r="J3877" s="23">
        <v>0</v>
      </c>
      <c r="K3877" s="23">
        <v>3</v>
      </c>
      <c r="L3877" s="23" t="s">
        <v>38</v>
      </c>
      <c r="M3877" s="25">
        <v>4.0999999999999996</v>
      </c>
      <c r="N3877">
        <f t="shared" si="60"/>
        <v>1</v>
      </c>
    </row>
    <row r="3878" spans="1:14" x14ac:dyDescent="0.35">
      <c r="A3878" s="6" t="s">
        <v>3948</v>
      </c>
      <c r="B3878" s="19" t="s">
        <v>18</v>
      </c>
      <c r="C3878" s="19">
        <v>10</v>
      </c>
      <c r="D3878" s="20">
        <v>45931</v>
      </c>
      <c r="E3878" s="19" t="s">
        <v>25</v>
      </c>
      <c r="F3878" s="19" t="s">
        <v>14</v>
      </c>
      <c r="G3878" s="19" t="s">
        <v>27</v>
      </c>
      <c r="H3878" s="19" t="s">
        <v>22</v>
      </c>
      <c r="I3878" s="19">
        <v>8</v>
      </c>
      <c r="J3878" s="19">
        <v>0</v>
      </c>
      <c r="K3878" s="19"/>
      <c r="L3878" s="19" t="s">
        <v>55</v>
      </c>
      <c r="M3878" s="21">
        <v>8.3000000000000007</v>
      </c>
      <c r="N3878">
        <f t="shared" si="60"/>
        <v>0</v>
      </c>
    </row>
    <row r="3879" spans="1:14" x14ac:dyDescent="0.35">
      <c r="A3879" s="22" t="s">
        <v>3949</v>
      </c>
      <c r="B3879" s="23" t="s">
        <v>34</v>
      </c>
      <c r="C3879" s="23">
        <v>12</v>
      </c>
      <c r="D3879" s="24">
        <v>45995</v>
      </c>
      <c r="E3879" s="23" t="s">
        <v>8364</v>
      </c>
      <c r="F3879" s="23" t="s">
        <v>40</v>
      </c>
      <c r="G3879" s="23" t="s">
        <v>27</v>
      </c>
      <c r="H3879" s="23" t="s">
        <v>22</v>
      </c>
      <c r="I3879" s="23">
        <v>24</v>
      </c>
      <c r="J3879" s="23">
        <v>2</v>
      </c>
      <c r="K3879" s="23">
        <v>5</v>
      </c>
      <c r="L3879" s="23" t="s">
        <v>44</v>
      </c>
      <c r="M3879" s="25">
        <v>11.5</v>
      </c>
      <c r="N3879">
        <f t="shared" si="60"/>
        <v>1</v>
      </c>
    </row>
    <row r="3880" spans="1:14" x14ac:dyDescent="0.35">
      <c r="A3880" s="6" t="s">
        <v>3950</v>
      </c>
      <c r="B3880" s="19" t="s">
        <v>81</v>
      </c>
      <c r="C3880" s="19">
        <v>1</v>
      </c>
      <c r="D3880" s="20">
        <v>45682</v>
      </c>
      <c r="E3880" s="19" t="s">
        <v>13</v>
      </c>
      <c r="F3880" s="19" t="s">
        <v>59</v>
      </c>
      <c r="G3880" s="19" t="s">
        <v>21</v>
      </c>
      <c r="H3880" s="19" t="s">
        <v>16</v>
      </c>
      <c r="I3880" s="19">
        <v>72</v>
      </c>
      <c r="J3880" s="19">
        <v>0</v>
      </c>
      <c r="K3880" s="19">
        <v>5</v>
      </c>
      <c r="L3880" s="19" t="s">
        <v>38</v>
      </c>
      <c r="M3880" s="21">
        <v>26.8</v>
      </c>
      <c r="N3880">
        <f t="shared" si="60"/>
        <v>1</v>
      </c>
    </row>
    <row r="3881" spans="1:14" x14ac:dyDescent="0.35">
      <c r="A3881" s="22" t="s">
        <v>3951</v>
      </c>
      <c r="B3881" s="23" t="s">
        <v>181</v>
      </c>
      <c r="C3881" s="23">
        <v>2</v>
      </c>
      <c r="D3881" s="24">
        <v>45703</v>
      </c>
      <c r="E3881" s="23" t="s">
        <v>36</v>
      </c>
      <c r="F3881" s="23" t="s">
        <v>14</v>
      </c>
      <c r="G3881" s="23" t="s">
        <v>31</v>
      </c>
      <c r="H3881" s="23" t="s">
        <v>32</v>
      </c>
      <c r="I3881" s="23">
        <v>8</v>
      </c>
      <c r="J3881" s="23">
        <v>0</v>
      </c>
      <c r="K3881" s="23">
        <v>5</v>
      </c>
      <c r="L3881" s="23" t="s">
        <v>8363</v>
      </c>
      <c r="M3881" s="25">
        <v>7.6</v>
      </c>
      <c r="N3881">
        <f t="shared" si="60"/>
        <v>1</v>
      </c>
    </row>
    <row r="3882" spans="1:14" x14ac:dyDescent="0.35">
      <c r="A3882" s="6" t="s">
        <v>3952</v>
      </c>
      <c r="B3882" s="19" t="s">
        <v>236</v>
      </c>
      <c r="C3882" s="19"/>
      <c r="D3882" s="20"/>
      <c r="E3882" s="19" t="s">
        <v>8364</v>
      </c>
      <c r="F3882" s="19" t="s">
        <v>26</v>
      </c>
      <c r="G3882" s="19" t="s">
        <v>31</v>
      </c>
      <c r="H3882" s="19" t="s">
        <v>32</v>
      </c>
      <c r="I3882" s="19">
        <v>24</v>
      </c>
      <c r="J3882" s="19">
        <v>2</v>
      </c>
      <c r="K3882" s="19">
        <v>4</v>
      </c>
      <c r="L3882" s="19" t="s">
        <v>17</v>
      </c>
      <c r="M3882" s="21">
        <v>41.6</v>
      </c>
      <c r="N3882">
        <f t="shared" si="60"/>
        <v>0</v>
      </c>
    </row>
    <row r="3883" spans="1:14" x14ac:dyDescent="0.35">
      <c r="A3883" s="22" t="s">
        <v>3953</v>
      </c>
      <c r="B3883" s="23" t="s">
        <v>85</v>
      </c>
      <c r="C3883" s="23">
        <v>5</v>
      </c>
      <c r="D3883" s="24">
        <v>45779</v>
      </c>
      <c r="E3883" s="23" t="s">
        <v>13</v>
      </c>
      <c r="F3883" s="23" t="s">
        <v>26</v>
      </c>
      <c r="G3883" s="23" t="s">
        <v>8364</v>
      </c>
      <c r="H3883" s="23" t="s">
        <v>22</v>
      </c>
      <c r="I3883" s="23">
        <v>24</v>
      </c>
      <c r="J3883" s="23">
        <v>0</v>
      </c>
      <c r="K3883" s="23"/>
      <c r="L3883" s="23" t="s">
        <v>55</v>
      </c>
      <c r="M3883" s="25">
        <v>15</v>
      </c>
      <c r="N3883">
        <f t="shared" si="60"/>
        <v>1</v>
      </c>
    </row>
    <row r="3884" spans="1:14" x14ac:dyDescent="0.35">
      <c r="A3884" s="6" t="s">
        <v>3954</v>
      </c>
      <c r="B3884" s="19" t="s">
        <v>65</v>
      </c>
      <c r="C3884" s="19">
        <v>12</v>
      </c>
      <c r="D3884" s="20">
        <v>46008</v>
      </c>
      <c r="E3884" s="19" t="s">
        <v>13</v>
      </c>
      <c r="F3884" s="19" t="s">
        <v>8364</v>
      </c>
      <c r="G3884" s="19" t="s">
        <v>27</v>
      </c>
      <c r="H3884" s="19" t="s">
        <v>28</v>
      </c>
      <c r="I3884" s="19">
        <v>4</v>
      </c>
      <c r="J3884" s="19">
        <v>0</v>
      </c>
      <c r="K3884" s="19">
        <v>1</v>
      </c>
      <c r="L3884" s="19" t="s">
        <v>8363</v>
      </c>
      <c r="M3884" s="21">
        <v>15.9</v>
      </c>
      <c r="N3884">
        <f t="shared" si="60"/>
        <v>0</v>
      </c>
    </row>
    <row r="3885" spans="1:14" x14ac:dyDescent="0.35">
      <c r="A3885" s="22" t="s">
        <v>3955</v>
      </c>
      <c r="B3885" s="23" t="s">
        <v>49</v>
      </c>
      <c r="C3885" s="23">
        <v>3</v>
      </c>
      <c r="D3885" s="24">
        <v>45723</v>
      </c>
      <c r="E3885" s="23" t="s">
        <v>68</v>
      </c>
      <c r="F3885" s="23" t="s">
        <v>59</v>
      </c>
      <c r="G3885" s="23" t="s">
        <v>21</v>
      </c>
      <c r="H3885" s="23" t="s">
        <v>28</v>
      </c>
      <c r="I3885" s="23">
        <v>24</v>
      </c>
      <c r="J3885" s="23">
        <v>0</v>
      </c>
      <c r="K3885" s="23">
        <v>3</v>
      </c>
      <c r="L3885" s="23" t="s">
        <v>8363</v>
      </c>
      <c r="M3885" s="25"/>
      <c r="N3885">
        <f t="shared" si="60"/>
        <v>1</v>
      </c>
    </row>
    <row r="3886" spans="1:14" x14ac:dyDescent="0.35">
      <c r="A3886" s="6" t="s">
        <v>3956</v>
      </c>
      <c r="B3886" s="19" t="s">
        <v>69</v>
      </c>
      <c r="C3886" s="19">
        <v>7</v>
      </c>
      <c r="D3886" s="20">
        <v>45841</v>
      </c>
      <c r="E3886" s="19" t="s">
        <v>13</v>
      </c>
      <c r="F3886" s="19" t="s">
        <v>14</v>
      </c>
      <c r="G3886" s="19" t="s">
        <v>27</v>
      </c>
      <c r="H3886" s="19" t="s">
        <v>22</v>
      </c>
      <c r="I3886" s="19">
        <v>72</v>
      </c>
      <c r="J3886" s="19"/>
      <c r="K3886" s="19">
        <v>1</v>
      </c>
      <c r="L3886" s="19" t="s">
        <v>8363</v>
      </c>
      <c r="M3886" s="21">
        <v>34.6</v>
      </c>
      <c r="N3886">
        <f t="shared" si="60"/>
        <v>1</v>
      </c>
    </row>
    <row r="3887" spans="1:14" x14ac:dyDescent="0.35">
      <c r="A3887" s="22" t="s">
        <v>3957</v>
      </c>
      <c r="B3887" s="23" t="s">
        <v>89</v>
      </c>
      <c r="C3887" s="23">
        <v>3</v>
      </c>
      <c r="D3887" s="24">
        <v>45730</v>
      </c>
      <c r="E3887" s="23" t="s">
        <v>20</v>
      </c>
      <c r="F3887" s="23" t="s">
        <v>14</v>
      </c>
      <c r="G3887" s="23" t="s">
        <v>31</v>
      </c>
      <c r="H3887" s="23" t="s">
        <v>22</v>
      </c>
      <c r="I3887" s="23">
        <v>4</v>
      </c>
      <c r="J3887" s="23">
        <v>0</v>
      </c>
      <c r="K3887" s="23">
        <v>4</v>
      </c>
      <c r="L3887" s="23" t="s">
        <v>17</v>
      </c>
      <c r="M3887" s="25">
        <v>5.9</v>
      </c>
      <c r="N3887">
        <f t="shared" si="60"/>
        <v>0</v>
      </c>
    </row>
    <row r="3888" spans="1:14" x14ac:dyDescent="0.35">
      <c r="A3888" s="6" t="s">
        <v>3958</v>
      </c>
      <c r="B3888" s="19" t="s">
        <v>139</v>
      </c>
      <c r="C3888" s="19">
        <v>8</v>
      </c>
      <c r="D3888" s="20">
        <v>45894</v>
      </c>
      <c r="E3888" s="19" t="s">
        <v>25</v>
      </c>
      <c r="F3888" s="19" t="s">
        <v>43</v>
      </c>
      <c r="G3888" s="19" t="s">
        <v>27</v>
      </c>
      <c r="H3888" s="19" t="s">
        <v>28</v>
      </c>
      <c r="I3888" s="19">
        <v>72</v>
      </c>
      <c r="J3888" s="19">
        <v>0</v>
      </c>
      <c r="K3888" s="19">
        <v>5</v>
      </c>
      <c r="L3888" s="19" t="s">
        <v>17</v>
      </c>
      <c r="M3888" s="21">
        <v>5.4</v>
      </c>
      <c r="N3888">
        <f t="shared" si="60"/>
        <v>1</v>
      </c>
    </row>
    <row r="3889" spans="1:14" x14ac:dyDescent="0.35">
      <c r="A3889" s="22" t="s">
        <v>3959</v>
      </c>
      <c r="B3889" s="23" t="s">
        <v>18</v>
      </c>
      <c r="C3889" s="23">
        <v>6</v>
      </c>
      <c r="D3889" s="24">
        <v>45817</v>
      </c>
      <c r="E3889" s="23" t="s">
        <v>13</v>
      </c>
      <c r="F3889" s="23" t="s">
        <v>59</v>
      </c>
      <c r="G3889" s="23" t="s">
        <v>15</v>
      </c>
      <c r="H3889" s="23" t="s">
        <v>32</v>
      </c>
      <c r="I3889" s="23">
        <v>8</v>
      </c>
      <c r="J3889" s="23">
        <v>0</v>
      </c>
      <c r="K3889" s="23">
        <v>4</v>
      </c>
      <c r="L3889" s="23" t="s">
        <v>8363</v>
      </c>
      <c r="M3889" s="25">
        <v>12.9</v>
      </c>
      <c r="N3889">
        <f t="shared" si="60"/>
        <v>0</v>
      </c>
    </row>
    <row r="3890" spans="1:14" x14ac:dyDescent="0.35">
      <c r="A3890" s="6" t="s">
        <v>3960</v>
      </c>
      <c r="B3890" s="19" t="s">
        <v>253</v>
      </c>
      <c r="C3890" s="19">
        <v>10</v>
      </c>
      <c r="D3890" s="20">
        <v>45959</v>
      </c>
      <c r="E3890" s="19" t="s">
        <v>25</v>
      </c>
      <c r="F3890" s="19" t="s">
        <v>26</v>
      </c>
      <c r="G3890" s="19" t="s">
        <v>27</v>
      </c>
      <c r="H3890" s="19" t="s">
        <v>22</v>
      </c>
      <c r="I3890" s="19">
        <v>8</v>
      </c>
      <c r="J3890" s="19">
        <v>0</v>
      </c>
      <c r="K3890" s="19">
        <v>5</v>
      </c>
      <c r="L3890" s="19" t="s">
        <v>75</v>
      </c>
      <c r="M3890" s="21">
        <v>6.8</v>
      </c>
      <c r="N3890">
        <f t="shared" si="60"/>
        <v>1</v>
      </c>
    </row>
    <row r="3891" spans="1:14" x14ac:dyDescent="0.35">
      <c r="A3891" s="22" t="s">
        <v>3961</v>
      </c>
      <c r="B3891" s="23" t="s">
        <v>139</v>
      </c>
      <c r="C3891" s="23">
        <v>5</v>
      </c>
      <c r="D3891" s="24">
        <v>45795</v>
      </c>
      <c r="E3891" s="23" t="s">
        <v>25</v>
      </c>
      <c r="F3891" s="23" t="s">
        <v>8364</v>
      </c>
      <c r="G3891" s="23" t="s">
        <v>8364</v>
      </c>
      <c r="H3891" s="23" t="s">
        <v>28</v>
      </c>
      <c r="I3891" s="23">
        <v>24</v>
      </c>
      <c r="J3891" s="23">
        <v>0</v>
      </c>
      <c r="K3891" s="23">
        <v>1</v>
      </c>
      <c r="L3891" s="23" t="s">
        <v>62</v>
      </c>
      <c r="M3891" s="25">
        <v>2.2000000000000002</v>
      </c>
      <c r="N3891">
        <f t="shared" si="60"/>
        <v>1</v>
      </c>
    </row>
    <row r="3892" spans="1:14" x14ac:dyDescent="0.35">
      <c r="A3892" s="6" t="s">
        <v>3962</v>
      </c>
      <c r="B3892" s="19" t="s">
        <v>87</v>
      </c>
      <c r="C3892" s="19">
        <v>4</v>
      </c>
      <c r="D3892" s="20">
        <v>45754</v>
      </c>
      <c r="E3892" s="19" t="s">
        <v>13</v>
      </c>
      <c r="F3892" s="19" t="s">
        <v>14</v>
      </c>
      <c r="G3892" s="19" t="s">
        <v>21</v>
      </c>
      <c r="H3892" s="19" t="s">
        <v>22</v>
      </c>
      <c r="I3892" s="19">
        <v>4</v>
      </c>
      <c r="J3892" s="19">
        <v>0</v>
      </c>
      <c r="K3892" s="19">
        <v>5</v>
      </c>
      <c r="L3892" s="19" t="s">
        <v>62</v>
      </c>
      <c r="M3892" s="21"/>
      <c r="N3892">
        <f t="shared" si="60"/>
        <v>1</v>
      </c>
    </row>
    <row r="3893" spans="1:14" x14ac:dyDescent="0.35">
      <c r="A3893" s="22" t="s">
        <v>3963</v>
      </c>
      <c r="B3893" s="23" t="s">
        <v>236</v>
      </c>
      <c r="C3893" s="23">
        <v>7</v>
      </c>
      <c r="D3893" s="24">
        <v>45852</v>
      </c>
      <c r="E3893" s="23" t="s">
        <v>13</v>
      </c>
      <c r="F3893" s="23" t="s">
        <v>14</v>
      </c>
      <c r="G3893" s="23" t="s">
        <v>21</v>
      </c>
      <c r="H3893" s="23" t="s">
        <v>28</v>
      </c>
      <c r="I3893" s="23">
        <v>8</v>
      </c>
      <c r="J3893" s="23">
        <v>0</v>
      </c>
      <c r="K3893" s="23">
        <v>4</v>
      </c>
      <c r="L3893" s="23" t="s">
        <v>55</v>
      </c>
      <c r="M3893" s="25">
        <v>17.5</v>
      </c>
      <c r="N3893">
        <f t="shared" si="60"/>
        <v>0</v>
      </c>
    </row>
    <row r="3894" spans="1:14" x14ac:dyDescent="0.35">
      <c r="A3894" s="6" t="s">
        <v>3964</v>
      </c>
      <c r="B3894" s="19" t="s">
        <v>47</v>
      </c>
      <c r="C3894" s="19">
        <v>4</v>
      </c>
      <c r="D3894" s="20">
        <v>45752</v>
      </c>
      <c r="E3894" s="19" t="s">
        <v>13</v>
      </c>
      <c r="F3894" s="19" t="s">
        <v>59</v>
      </c>
      <c r="G3894" s="19" t="s">
        <v>27</v>
      </c>
      <c r="H3894" s="19" t="s">
        <v>22</v>
      </c>
      <c r="I3894" s="19">
        <v>8</v>
      </c>
      <c r="J3894" s="19">
        <v>0</v>
      </c>
      <c r="K3894" s="19">
        <v>3</v>
      </c>
      <c r="L3894" s="19" t="s">
        <v>44</v>
      </c>
      <c r="M3894" s="21">
        <v>1.4</v>
      </c>
      <c r="N3894">
        <f t="shared" si="60"/>
        <v>1</v>
      </c>
    </row>
    <row r="3895" spans="1:14" x14ac:dyDescent="0.35">
      <c r="A3895" s="22" t="s">
        <v>3965</v>
      </c>
      <c r="B3895" s="23" t="s">
        <v>139</v>
      </c>
      <c r="C3895" s="23">
        <v>6</v>
      </c>
      <c r="D3895" s="24">
        <v>45809</v>
      </c>
      <c r="E3895" s="23" t="s">
        <v>20</v>
      </c>
      <c r="F3895" s="23" t="s">
        <v>14</v>
      </c>
      <c r="G3895" s="23" t="s">
        <v>27</v>
      </c>
      <c r="H3895" s="23" t="s">
        <v>28</v>
      </c>
      <c r="I3895" s="23">
        <v>48</v>
      </c>
      <c r="J3895" s="23">
        <v>0</v>
      </c>
      <c r="K3895" s="23">
        <v>5</v>
      </c>
      <c r="L3895" s="23" t="s">
        <v>8363</v>
      </c>
      <c r="M3895" s="25">
        <v>24.4</v>
      </c>
      <c r="N3895">
        <f t="shared" si="60"/>
        <v>1</v>
      </c>
    </row>
    <row r="3896" spans="1:14" x14ac:dyDescent="0.35">
      <c r="A3896" s="6" t="s">
        <v>3966</v>
      </c>
      <c r="B3896" s="19" t="s">
        <v>97</v>
      </c>
      <c r="C3896" s="19">
        <v>11</v>
      </c>
      <c r="D3896" s="20">
        <v>45979</v>
      </c>
      <c r="E3896" s="19" t="s">
        <v>20</v>
      </c>
      <c r="F3896" s="19" t="s">
        <v>26</v>
      </c>
      <c r="G3896" s="19" t="s">
        <v>27</v>
      </c>
      <c r="H3896" s="19" t="s">
        <v>22</v>
      </c>
      <c r="I3896" s="19">
        <v>48</v>
      </c>
      <c r="J3896" s="19">
        <v>0</v>
      </c>
      <c r="K3896" s="19">
        <v>5</v>
      </c>
      <c r="L3896" s="19" t="s">
        <v>75</v>
      </c>
      <c r="M3896" s="21">
        <v>6.5</v>
      </c>
      <c r="N3896">
        <f t="shared" si="60"/>
        <v>1</v>
      </c>
    </row>
    <row r="3897" spans="1:14" x14ac:dyDescent="0.35">
      <c r="A3897" s="22" t="s">
        <v>3967</v>
      </c>
      <c r="B3897" s="23" t="s">
        <v>126</v>
      </c>
      <c r="C3897" s="23"/>
      <c r="D3897" s="24"/>
      <c r="E3897" s="23" t="s">
        <v>68</v>
      </c>
      <c r="F3897" s="23" t="s">
        <v>8364</v>
      </c>
      <c r="G3897" s="23" t="s">
        <v>21</v>
      </c>
      <c r="H3897" s="23" t="s">
        <v>22</v>
      </c>
      <c r="I3897" s="23">
        <v>4</v>
      </c>
      <c r="J3897" s="23">
        <v>0</v>
      </c>
      <c r="K3897" s="23">
        <v>3</v>
      </c>
      <c r="L3897" s="23" t="s">
        <v>17</v>
      </c>
      <c r="M3897" s="25">
        <v>8.8000000000000007</v>
      </c>
      <c r="N3897">
        <f t="shared" si="60"/>
        <v>0</v>
      </c>
    </row>
    <row r="3898" spans="1:14" x14ac:dyDescent="0.35">
      <c r="A3898" s="6" t="s">
        <v>3968</v>
      </c>
      <c r="B3898" s="19" t="s">
        <v>72</v>
      </c>
      <c r="C3898" s="19"/>
      <c r="D3898" s="20"/>
      <c r="E3898" s="19" t="s">
        <v>25</v>
      </c>
      <c r="F3898" s="19" t="s">
        <v>59</v>
      </c>
      <c r="G3898" s="19" t="s">
        <v>27</v>
      </c>
      <c r="H3898" s="19" t="s">
        <v>22</v>
      </c>
      <c r="I3898" s="19">
        <v>48</v>
      </c>
      <c r="J3898" s="19">
        <v>0</v>
      </c>
      <c r="K3898" s="19">
        <v>1</v>
      </c>
      <c r="L3898" s="19" t="s">
        <v>17</v>
      </c>
      <c r="M3898" s="21">
        <v>18.899999999999999</v>
      </c>
      <c r="N3898">
        <f t="shared" si="60"/>
        <v>1</v>
      </c>
    </row>
    <row r="3899" spans="1:14" x14ac:dyDescent="0.35">
      <c r="A3899" s="22" t="s">
        <v>3969</v>
      </c>
      <c r="B3899" s="23" t="s">
        <v>51</v>
      </c>
      <c r="C3899" s="23">
        <v>4</v>
      </c>
      <c r="D3899" s="24">
        <v>45775</v>
      </c>
      <c r="E3899" s="23" t="s">
        <v>25</v>
      </c>
      <c r="F3899" s="23" t="s">
        <v>59</v>
      </c>
      <c r="G3899" s="23" t="s">
        <v>27</v>
      </c>
      <c r="H3899" s="23" t="s">
        <v>28</v>
      </c>
      <c r="I3899" s="23">
        <v>8</v>
      </c>
      <c r="J3899" s="23">
        <v>2</v>
      </c>
      <c r="K3899" s="23">
        <v>4</v>
      </c>
      <c r="L3899" s="23" t="s">
        <v>33</v>
      </c>
      <c r="M3899" s="25">
        <v>2.2000000000000002</v>
      </c>
      <c r="N3899">
        <f t="shared" si="60"/>
        <v>1</v>
      </c>
    </row>
    <row r="3900" spans="1:14" x14ac:dyDescent="0.35">
      <c r="A3900" s="6" t="s">
        <v>3970</v>
      </c>
      <c r="B3900" s="19" t="s">
        <v>39</v>
      </c>
      <c r="C3900" s="19">
        <v>10</v>
      </c>
      <c r="D3900" s="20">
        <v>45941</v>
      </c>
      <c r="E3900" s="19" t="s">
        <v>20</v>
      </c>
      <c r="F3900" s="19" t="s">
        <v>59</v>
      </c>
      <c r="G3900" s="19" t="s">
        <v>27</v>
      </c>
      <c r="H3900" s="19" t="s">
        <v>8364</v>
      </c>
      <c r="I3900" s="19">
        <v>4</v>
      </c>
      <c r="J3900" s="19">
        <v>0</v>
      </c>
      <c r="K3900" s="19">
        <v>1</v>
      </c>
      <c r="L3900" s="19" t="s">
        <v>75</v>
      </c>
      <c r="M3900" s="21">
        <v>18.100000000000001</v>
      </c>
      <c r="N3900">
        <f t="shared" si="60"/>
        <v>0</v>
      </c>
    </row>
    <row r="3901" spans="1:14" x14ac:dyDescent="0.35">
      <c r="A3901" s="22" t="s">
        <v>3971</v>
      </c>
      <c r="B3901" s="23" t="s">
        <v>253</v>
      </c>
      <c r="C3901" s="23">
        <v>6</v>
      </c>
      <c r="D3901" s="24">
        <v>45838</v>
      </c>
      <c r="E3901" s="23" t="s">
        <v>20</v>
      </c>
      <c r="F3901" s="23" t="s">
        <v>14</v>
      </c>
      <c r="G3901" s="23" t="s">
        <v>31</v>
      </c>
      <c r="H3901" s="23" t="s">
        <v>32</v>
      </c>
      <c r="I3901" s="23">
        <v>72</v>
      </c>
      <c r="J3901" s="23">
        <v>0</v>
      </c>
      <c r="K3901" s="23">
        <v>4</v>
      </c>
      <c r="L3901" s="23" t="s">
        <v>75</v>
      </c>
      <c r="M3901" s="25">
        <v>5.3</v>
      </c>
      <c r="N3901">
        <f t="shared" si="60"/>
        <v>1</v>
      </c>
    </row>
    <row r="3902" spans="1:14" x14ac:dyDescent="0.35">
      <c r="A3902" s="6" t="s">
        <v>3972</v>
      </c>
      <c r="B3902" s="19" t="s">
        <v>126</v>
      </c>
      <c r="C3902" s="19">
        <v>1</v>
      </c>
      <c r="D3902" s="20">
        <v>45661</v>
      </c>
      <c r="E3902" s="19" t="s">
        <v>8364</v>
      </c>
      <c r="F3902" s="19" t="s">
        <v>8364</v>
      </c>
      <c r="G3902" s="19" t="s">
        <v>27</v>
      </c>
      <c r="H3902" s="19" t="s">
        <v>28</v>
      </c>
      <c r="I3902" s="19">
        <v>48</v>
      </c>
      <c r="J3902" s="19">
        <v>1</v>
      </c>
      <c r="K3902" s="19">
        <v>3</v>
      </c>
      <c r="L3902" s="19" t="s">
        <v>33</v>
      </c>
      <c r="M3902" s="21">
        <v>21.6</v>
      </c>
      <c r="N3902">
        <f t="shared" si="60"/>
        <v>1</v>
      </c>
    </row>
    <row r="3903" spans="1:14" x14ac:dyDescent="0.35">
      <c r="A3903" s="22" t="s">
        <v>3973</v>
      </c>
      <c r="B3903" s="23" t="s">
        <v>253</v>
      </c>
      <c r="C3903" s="23">
        <v>5</v>
      </c>
      <c r="D3903" s="24">
        <v>45795</v>
      </c>
      <c r="E3903" s="23" t="s">
        <v>68</v>
      </c>
      <c r="F3903" s="23" t="s">
        <v>43</v>
      </c>
      <c r="G3903" s="23" t="s">
        <v>31</v>
      </c>
      <c r="H3903" s="23" t="s">
        <v>22</v>
      </c>
      <c r="I3903" s="23">
        <v>24</v>
      </c>
      <c r="J3903" s="23">
        <v>0</v>
      </c>
      <c r="K3903" s="23">
        <v>5</v>
      </c>
      <c r="L3903" s="23" t="s">
        <v>38</v>
      </c>
      <c r="M3903" s="25">
        <v>8.4</v>
      </c>
      <c r="N3903">
        <f t="shared" si="60"/>
        <v>1</v>
      </c>
    </row>
    <row r="3904" spans="1:14" x14ac:dyDescent="0.35">
      <c r="A3904" s="6" t="s">
        <v>3974</v>
      </c>
      <c r="B3904" s="19" t="s">
        <v>18</v>
      </c>
      <c r="C3904" s="19">
        <v>3</v>
      </c>
      <c r="D3904" s="20">
        <v>45736</v>
      </c>
      <c r="E3904" s="19" t="s">
        <v>20</v>
      </c>
      <c r="F3904" s="19" t="s">
        <v>43</v>
      </c>
      <c r="G3904" s="19" t="s">
        <v>31</v>
      </c>
      <c r="H3904" s="19" t="s">
        <v>28</v>
      </c>
      <c r="I3904" s="19">
        <v>4</v>
      </c>
      <c r="J3904" s="19">
        <v>0</v>
      </c>
      <c r="K3904" s="19">
        <v>3</v>
      </c>
      <c r="L3904" s="19" t="s">
        <v>62</v>
      </c>
      <c r="M3904" s="21">
        <v>7.9</v>
      </c>
      <c r="N3904">
        <f t="shared" si="60"/>
        <v>0</v>
      </c>
    </row>
    <row r="3905" spans="1:14" x14ac:dyDescent="0.35">
      <c r="A3905" s="22" t="s">
        <v>3975</v>
      </c>
      <c r="B3905" s="23" t="s">
        <v>87</v>
      </c>
      <c r="C3905" s="23">
        <v>1</v>
      </c>
      <c r="D3905" s="24">
        <v>45666</v>
      </c>
      <c r="E3905" s="23" t="s">
        <v>20</v>
      </c>
      <c r="F3905" s="23" t="s">
        <v>8364</v>
      </c>
      <c r="G3905" s="23" t="s">
        <v>27</v>
      </c>
      <c r="H3905" s="23" t="s">
        <v>22</v>
      </c>
      <c r="I3905" s="23">
        <v>48</v>
      </c>
      <c r="J3905" s="23">
        <v>1</v>
      </c>
      <c r="K3905" s="23">
        <v>3</v>
      </c>
      <c r="L3905" s="23" t="s">
        <v>33</v>
      </c>
      <c r="M3905" s="25">
        <v>6.6</v>
      </c>
      <c r="N3905">
        <f t="shared" si="60"/>
        <v>1</v>
      </c>
    </row>
    <row r="3906" spans="1:14" x14ac:dyDescent="0.35">
      <c r="A3906" s="6" t="s">
        <v>3976</v>
      </c>
      <c r="B3906" s="19" t="s">
        <v>87</v>
      </c>
      <c r="C3906" s="19">
        <v>5</v>
      </c>
      <c r="D3906" s="20">
        <v>45784</v>
      </c>
      <c r="E3906" s="19" t="s">
        <v>20</v>
      </c>
      <c r="F3906" s="19" t="s">
        <v>37</v>
      </c>
      <c r="G3906" s="19" t="s">
        <v>21</v>
      </c>
      <c r="H3906" s="19" t="s">
        <v>32</v>
      </c>
      <c r="I3906" s="19">
        <v>4</v>
      </c>
      <c r="J3906" s="19">
        <v>1</v>
      </c>
      <c r="K3906" s="19"/>
      <c r="L3906" s="19" t="s">
        <v>38</v>
      </c>
      <c r="M3906" s="21">
        <v>14.9</v>
      </c>
      <c r="N3906">
        <f t="shared" si="60"/>
        <v>0</v>
      </c>
    </row>
    <row r="3907" spans="1:14" x14ac:dyDescent="0.35">
      <c r="A3907" s="22" t="s">
        <v>3977</v>
      </c>
      <c r="B3907" s="23" t="s">
        <v>78</v>
      </c>
      <c r="C3907" s="23">
        <v>4</v>
      </c>
      <c r="D3907" s="24">
        <v>45748</v>
      </c>
      <c r="E3907" s="23" t="s">
        <v>13</v>
      </c>
      <c r="F3907" s="23" t="s">
        <v>14</v>
      </c>
      <c r="G3907" s="23" t="s">
        <v>31</v>
      </c>
      <c r="H3907" s="23" t="s">
        <v>22</v>
      </c>
      <c r="I3907" s="23">
        <v>24</v>
      </c>
      <c r="J3907" s="23">
        <v>0</v>
      </c>
      <c r="K3907" s="23">
        <v>3</v>
      </c>
      <c r="L3907" s="23" t="s">
        <v>33</v>
      </c>
      <c r="M3907" s="25">
        <v>11.4</v>
      </c>
      <c r="N3907">
        <f t="shared" ref="N3907:N3970" si="61">IF(M3907 &lt;= I3907, 1, 0)</f>
        <v>1</v>
      </c>
    </row>
    <row r="3908" spans="1:14" x14ac:dyDescent="0.35">
      <c r="A3908" s="6" t="s">
        <v>3978</v>
      </c>
      <c r="B3908" s="19" t="s">
        <v>65</v>
      </c>
      <c r="C3908" s="19">
        <v>12</v>
      </c>
      <c r="D3908" s="20">
        <v>46012</v>
      </c>
      <c r="E3908" s="19" t="s">
        <v>13</v>
      </c>
      <c r="F3908" s="19" t="s">
        <v>43</v>
      </c>
      <c r="G3908" s="19" t="s">
        <v>21</v>
      </c>
      <c r="H3908" s="19" t="s">
        <v>32</v>
      </c>
      <c r="I3908" s="19">
        <v>24</v>
      </c>
      <c r="J3908" s="19">
        <v>0</v>
      </c>
      <c r="K3908" s="19">
        <v>3</v>
      </c>
      <c r="L3908" s="19" t="s">
        <v>8363</v>
      </c>
      <c r="M3908" s="21">
        <v>10.7</v>
      </c>
      <c r="N3908">
        <f t="shared" si="61"/>
        <v>1</v>
      </c>
    </row>
    <row r="3909" spans="1:14" x14ac:dyDescent="0.35">
      <c r="A3909" s="22" t="s">
        <v>3979</v>
      </c>
      <c r="B3909" s="23" t="s">
        <v>236</v>
      </c>
      <c r="C3909" s="23">
        <v>6</v>
      </c>
      <c r="D3909" s="24">
        <v>45837</v>
      </c>
      <c r="E3909" s="23" t="s">
        <v>8364</v>
      </c>
      <c r="F3909" s="23" t="s">
        <v>26</v>
      </c>
      <c r="G3909" s="23" t="s">
        <v>27</v>
      </c>
      <c r="H3909" s="23" t="s">
        <v>22</v>
      </c>
      <c r="I3909" s="23">
        <v>48</v>
      </c>
      <c r="J3909" s="23">
        <v>0</v>
      </c>
      <c r="K3909" s="23">
        <v>4</v>
      </c>
      <c r="L3909" s="23" t="s">
        <v>75</v>
      </c>
      <c r="M3909" s="25">
        <v>10.3</v>
      </c>
      <c r="N3909">
        <f t="shared" si="61"/>
        <v>1</v>
      </c>
    </row>
    <row r="3910" spans="1:14" x14ac:dyDescent="0.35">
      <c r="A3910" s="6" t="s">
        <v>3980</v>
      </c>
      <c r="B3910" s="19" t="s">
        <v>23</v>
      </c>
      <c r="C3910" s="19">
        <v>3</v>
      </c>
      <c r="D3910" s="20">
        <v>45742</v>
      </c>
      <c r="E3910" s="19" t="s">
        <v>68</v>
      </c>
      <c r="F3910" s="19" t="s">
        <v>43</v>
      </c>
      <c r="G3910" s="19" t="s">
        <v>31</v>
      </c>
      <c r="H3910" s="19" t="s">
        <v>32</v>
      </c>
      <c r="I3910" s="19">
        <v>8</v>
      </c>
      <c r="J3910" s="19">
        <v>0</v>
      </c>
      <c r="K3910" s="19">
        <v>4</v>
      </c>
      <c r="L3910" s="19" t="s">
        <v>62</v>
      </c>
      <c r="M3910" s="21">
        <v>10.3</v>
      </c>
      <c r="N3910">
        <f t="shared" si="61"/>
        <v>0</v>
      </c>
    </row>
    <row r="3911" spans="1:14" x14ac:dyDescent="0.35">
      <c r="A3911" s="22" t="s">
        <v>3981</v>
      </c>
      <c r="B3911" s="23" t="s">
        <v>104</v>
      </c>
      <c r="C3911" s="23">
        <v>5</v>
      </c>
      <c r="D3911" s="24">
        <v>45780</v>
      </c>
      <c r="E3911" s="23" t="s">
        <v>25</v>
      </c>
      <c r="F3911" s="23" t="s">
        <v>8364</v>
      </c>
      <c r="G3911" s="23" t="s">
        <v>31</v>
      </c>
      <c r="H3911" s="23" t="s">
        <v>22</v>
      </c>
      <c r="I3911" s="23">
        <v>48</v>
      </c>
      <c r="J3911" s="23">
        <v>3</v>
      </c>
      <c r="K3911" s="23">
        <v>3</v>
      </c>
      <c r="L3911" s="23" t="s">
        <v>75</v>
      </c>
      <c r="M3911" s="25">
        <v>18</v>
      </c>
      <c r="N3911">
        <f t="shared" si="61"/>
        <v>1</v>
      </c>
    </row>
    <row r="3912" spans="1:14" x14ac:dyDescent="0.35">
      <c r="A3912" s="6" t="s">
        <v>3982</v>
      </c>
      <c r="B3912" s="19" t="s">
        <v>53</v>
      </c>
      <c r="C3912" s="19">
        <v>8</v>
      </c>
      <c r="D3912" s="20">
        <v>45898</v>
      </c>
      <c r="E3912" s="19" t="s">
        <v>25</v>
      </c>
      <c r="F3912" s="19" t="s">
        <v>43</v>
      </c>
      <c r="G3912" s="19" t="s">
        <v>31</v>
      </c>
      <c r="H3912" s="19" t="s">
        <v>28</v>
      </c>
      <c r="I3912" s="19">
        <v>48</v>
      </c>
      <c r="J3912" s="19">
        <v>0</v>
      </c>
      <c r="K3912" s="19">
        <v>5</v>
      </c>
      <c r="L3912" s="19" t="s">
        <v>55</v>
      </c>
      <c r="M3912" s="21">
        <v>24.8</v>
      </c>
      <c r="N3912">
        <f t="shared" si="61"/>
        <v>1</v>
      </c>
    </row>
    <row r="3913" spans="1:14" x14ac:dyDescent="0.35">
      <c r="A3913" s="22" t="s">
        <v>3983</v>
      </c>
      <c r="B3913" s="23" t="s">
        <v>89</v>
      </c>
      <c r="C3913" s="23">
        <v>10</v>
      </c>
      <c r="D3913" s="24">
        <v>45933</v>
      </c>
      <c r="E3913" s="23" t="s">
        <v>13</v>
      </c>
      <c r="F3913" s="23" t="s">
        <v>43</v>
      </c>
      <c r="G3913" s="23" t="s">
        <v>27</v>
      </c>
      <c r="H3913" s="23" t="s">
        <v>32</v>
      </c>
      <c r="I3913" s="23">
        <v>24</v>
      </c>
      <c r="J3913" s="23">
        <v>0</v>
      </c>
      <c r="K3913" s="23">
        <v>4</v>
      </c>
      <c r="L3913" s="23" t="s">
        <v>17</v>
      </c>
      <c r="M3913" s="25">
        <v>18.399999999999999</v>
      </c>
      <c r="N3913">
        <f t="shared" si="61"/>
        <v>1</v>
      </c>
    </row>
    <row r="3914" spans="1:14" x14ac:dyDescent="0.35">
      <c r="A3914" s="6" t="s">
        <v>3984</v>
      </c>
      <c r="B3914" s="19" t="s">
        <v>51</v>
      </c>
      <c r="C3914" s="19">
        <v>4</v>
      </c>
      <c r="D3914" s="20">
        <v>45756</v>
      </c>
      <c r="E3914" s="19" t="s">
        <v>20</v>
      </c>
      <c r="F3914" s="19" t="s">
        <v>59</v>
      </c>
      <c r="G3914" s="19" t="s">
        <v>21</v>
      </c>
      <c r="H3914" s="19" t="s">
        <v>32</v>
      </c>
      <c r="I3914" s="19">
        <v>8</v>
      </c>
      <c r="J3914" s="19">
        <v>0</v>
      </c>
      <c r="K3914" s="19"/>
      <c r="L3914" s="19" t="s">
        <v>8363</v>
      </c>
      <c r="M3914" s="21">
        <v>26.3</v>
      </c>
      <c r="N3914">
        <f t="shared" si="61"/>
        <v>0</v>
      </c>
    </row>
    <row r="3915" spans="1:14" x14ac:dyDescent="0.35">
      <c r="A3915" s="22" t="s">
        <v>3985</v>
      </c>
      <c r="B3915" s="23" t="s">
        <v>51</v>
      </c>
      <c r="C3915" s="23"/>
      <c r="D3915" s="24"/>
      <c r="E3915" s="23" t="s">
        <v>36</v>
      </c>
      <c r="F3915" s="23" t="s">
        <v>14</v>
      </c>
      <c r="G3915" s="23" t="s">
        <v>27</v>
      </c>
      <c r="H3915" s="23" t="s">
        <v>8364</v>
      </c>
      <c r="I3915" s="23">
        <v>72</v>
      </c>
      <c r="J3915" s="23">
        <v>0</v>
      </c>
      <c r="K3915" s="23">
        <v>5</v>
      </c>
      <c r="L3915" s="23" t="s">
        <v>17</v>
      </c>
      <c r="M3915" s="25"/>
      <c r="N3915">
        <f t="shared" si="61"/>
        <v>1</v>
      </c>
    </row>
    <row r="3916" spans="1:14" x14ac:dyDescent="0.35">
      <c r="A3916" s="6" t="s">
        <v>3986</v>
      </c>
      <c r="B3916" s="19" t="s">
        <v>34</v>
      </c>
      <c r="C3916" s="19">
        <v>10</v>
      </c>
      <c r="D3916" s="20">
        <v>45935</v>
      </c>
      <c r="E3916" s="19" t="s">
        <v>36</v>
      </c>
      <c r="F3916" s="19" t="s">
        <v>59</v>
      </c>
      <c r="G3916" s="19" t="s">
        <v>15</v>
      </c>
      <c r="H3916" s="19" t="s">
        <v>22</v>
      </c>
      <c r="I3916" s="19">
        <v>24</v>
      </c>
      <c r="J3916" s="19">
        <v>0</v>
      </c>
      <c r="K3916" s="19">
        <v>2</v>
      </c>
      <c r="L3916" s="19" t="s">
        <v>8363</v>
      </c>
      <c r="M3916" s="21">
        <v>6.1</v>
      </c>
      <c r="N3916">
        <f t="shared" si="61"/>
        <v>1</v>
      </c>
    </row>
    <row r="3917" spans="1:14" x14ac:dyDescent="0.35">
      <c r="A3917" s="22" t="s">
        <v>3987</v>
      </c>
      <c r="B3917" s="23" t="s">
        <v>51</v>
      </c>
      <c r="C3917" s="23">
        <v>10</v>
      </c>
      <c r="D3917" s="24">
        <v>45953</v>
      </c>
      <c r="E3917" s="23" t="s">
        <v>13</v>
      </c>
      <c r="F3917" s="23" t="s">
        <v>14</v>
      </c>
      <c r="G3917" s="23" t="s">
        <v>27</v>
      </c>
      <c r="H3917" s="23" t="s">
        <v>22</v>
      </c>
      <c r="I3917" s="23">
        <v>72</v>
      </c>
      <c r="J3917" s="23">
        <v>2</v>
      </c>
      <c r="K3917" s="23">
        <v>4</v>
      </c>
      <c r="L3917" s="23" t="s">
        <v>17</v>
      </c>
      <c r="M3917" s="25">
        <v>38.200000000000003</v>
      </c>
      <c r="N3917">
        <f t="shared" si="61"/>
        <v>1</v>
      </c>
    </row>
    <row r="3918" spans="1:14" x14ac:dyDescent="0.35">
      <c r="A3918" s="6" t="s">
        <v>3988</v>
      </c>
      <c r="B3918" s="19" t="s">
        <v>130</v>
      </c>
      <c r="C3918" s="19">
        <v>12</v>
      </c>
      <c r="D3918" s="20">
        <v>46019</v>
      </c>
      <c r="E3918" s="19" t="s">
        <v>20</v>
      </c>
      <c r="F3918" s="19" t="s">
        <v>37</v>
      </c>
      <c r="G3918" s="19" t="s">
        <v>21</v>
      </c>
      <c r="H3918" s="19" t="s">
        <v>22</v>
      </c>
      <c r="I3918" s="19">
        <v>48</v>
      </c>
      <c r="J3918" s="19">
        <v>0</v>
      </c>
      <c r="K3918" s="19">
        <v>4</v>
      </c>
      <c r="L3918" s="19" t="s">
        <v>38</v>
      </c>
      <c r="M3918" s="21">
        <v>25.8</v>
      </c>
      <c r="N3918">
        <f t="shared" si="61"/>
        <v>1</v>
      </c>
    </row>
    <row r="3919" spans="1:14" x14ac:dyDescent="0.35">
      <c r="A3919" s="22" t="s">
        <v>3989</v>
      </c>
      <c r="B3919" s="23" t="s">
        <v>146</v>
      </c>
      <c r="C3919" s="23">
        <v>3</v>
      </c>
      <c r="D3919" s="24">
        <v>45718</v>
      </c>
      <c r="E3919" s="23" t="s">
        <v>25</v>
      </c>
      <c r="F3919" s="23" t="s">
        <v>14</v>
      </c>
      <c r="G3919" s="23" t="s">
        <v>31</v>
      </c>
      <c r="H3919" s="23" t="s">
        <v>22</v>
      </c>
      <c r="I3919" s="23">
        <v>4</v>
      </c>
      <c r="J3919" s="23">
        <v>0</v>
      </c>
      <c r="K3919" s="23">
        <v>3</v>
      </c>
      <c r="L3919" s="23" t="s">
        <v>62</v>
      </c>
      <c r="M3919" s="25">
        <v>1.2</v>
      </c>
      <c r="N3919">
        <f t="shared" si="61"/>
        <v>1</v>
      </c>
    </row>
    <row r="3920" spans="1:14" x14ac:dyDescent="0.35">
      <c r="A3920" s="6" t="s">
        <v>3990</v>
      </c>
      <c r="B3920" s="19" t="s">
        <v>158</v>
      </c>
      <c r="C3920" s="19"/>
      <c r="D3920" s="20"/>
      <c r="E3920" s="19" t="s">
        <v>36</v>
      </c>
      <c r="F3920" s="19" t="s">
        <v>59</v>
      </c>
      <c r="G3920" s="19" t="s">
        <v>31</v>
      </c>
      <c r="H3920" s="19" t="s">
        <v>8364</v>
      </c>
      <c r="I3920" s="19">
        <v>4</v>
      </c>
      <c r="J3920" s="19">
        <v>0</v>
      </c>
      <c r="K3920" s="19">
        <v>5</v>
      </c>
      <c r="L3920" s="19" t="s">
        <v>17</v>
      </c>
      <c r="M3920" s="21">
        <v>10.9</v>
      </c>
      <c r="N3920">
        <f t="shared" si="61"/>
        <v>0</v>
      </c>
    </row>
    <row r="3921" spans="1:14" x14ac:dyDescent="0.35">
      <c r="A3921" s="22" t="s">
        <v>3991</v>
      </c>
      <c r="B3921" s="23" t="s">
        <v>39</v>
      </c>
      <c r="C3921" s="23">
        <v>11</v>
      </c>
      <c r="D3921" s="24">
        <v>45966</v>
      </c>
      <c r="E3921" s="23" t="s">
        <v>25</v>
      </c>
      <c r="F3921" s="23" t="s">
        <v>26</v>
      </c>
      <c r="G3921" s="23" t="s">
        <v>21</v>
      </c>
      <c r="H3921" s="23" t="s">
        <v>16</v>
      </c>
      <c r="I3921" s="23">
        <v>24</v>
      </c>
      <c r="J3921" s="23">
        <v>3</v>
      </c>
      <c r="K3921" s="23">
        <v>3</v>
      </c>
      <c r="L3921" s="23" t="s">
        <v>17</v>
      </c>
      <c r="M3921" s="25"/>
      <c r="N3921">
        <f t="shared" si="61"/>
        <v>1</v>
      </c>
    </row>
    <row r="3922" spans="1:14" x14ac:dyDescent="0.35">
      <c r="A3922" s="6" t="s">
        <v>3992</v>
      </c>
      <c r="B3922" s="19" t="s">
        <v>34</v>
      </c>
      <c r="C3922" s="19">
        <v>3</v>
      </c>
      <c r="D3922" s="20">
        <v>45747</v>
      </c>
      <c r="E3922" s="19" t="s">
        <v>25</v>
      </c>
      <c r="F3922" s="19" t="s">
        <v>14</v>
      </c>
      <c r="G3922" s="19" t="s">
        <v>21</v>
      </c>
      <c r="H3922" s="19" t="s">
        <v>8364</v>
      </c>
      <c r="I3922" s="19">
        <v>8</v>
      </c>
      <c r="J3922" s="19">
        <v>0</v>
      </c>
      <c r="K3922" s="19">
        <v>5</v>
      </c>
      <c r="L3922" s="19" t="s">
        <v>75</v>
      </c>
      <c r="M3922" s="21">
        <v>1.4</v>
      </c>
      <c r="N3922">
        <f t="shared" si="61"/>
        <v>1</v>
      </c>
    </row>
    <row r="3923" spans="1:14" x14ac:dyDescent="0.35">
      <c r="A3923" s="22" t="s">
        <v>3993</v>
      </c>
      <c r="B3923" s="23" t="s">
        <v>85</v>
      </c>
      <c r="C3923" s="23"/>
      <c r="D3923" s="24"/>
      <c r="E3923" s="23" t="s">
        <v>13</v>
      </c>
      <c r="F3923" s="23" t="s">
        <v>43</v>
      </c>
      <c r="G3923" s="23" t="s">
        <v>15</v>
      </c>
      <c r="H3923" s="23" t="s">
        <v>22</v>
      </c>
      <c r="I3923" s="23">
        <v>48</v>
      </c>
      <c r="J3923" s="23">
        <v>0</v>
      </c>
      <c r="K3923" s="23">
        <v>5</v>
      </c>
      <c r="L3923" s="23" t="s">
        <v>62</v>
      </c>
      <c r="M3923" s="25">
        <v>14.9</v>
      </c>
      <c r="N3923">
        <f t="shared" si="61"/>
        <v>1</v>
      </c>
    </row>
    <row r="3924" spans="1:14" x14ac:dyDescent="0.35">
      <c r="A3924" s="6" t="s">
        <v>3994</v>
      </c>
      <c r="B3924" s="19" t="s">
        <v>18</v>
      </c>
      <c r="C3924" s="19">
        <v>6</v>
      </c>
      <c r="D3924" s="20">
        <v>45829</v>
      </c>
      <c r="E3924" s="19" t="s">
        <v>8364</v>
      </c>
      <c r="F3924" s="19" t="s">
        <v>43</v>
      </c>
      <c r="G3924" s="19" t="s">
        <v>8364</v>
      </c>
      <c r="H3924" s="19" t="s">
        <v>22</v>
      </c>
      <c r="I3924" s="19">
        <v>24</v>
      </c>
      <c r="J3924" s="19">
        <v>0</v>
      </c>
      <c r="K3924" s="19"/>
      <c r="L3924" s="19" t="s">
        <v>33</v>
      </c>
      <c r="M3924" s="21">
        <v>12.6</v>
      </c>
      <c r="N3924">
        <f t="shared" si="61"/>
        <v>1</v>
      </c>
    </row>
    <row r="3925" spans="1:14" x14ac:dyDescent="0.35">
      <c r="A3925" s="22" t="s">
        <v>3995</v>
      </c>
      <c r="B3925" s="23" t="s">
        <v>126</v>
      </c>
      <c r="C3925" s="23">
        <v>2</v>
      </c>
      <c r="D3925" s="24">
        <v>45713</v>
      </c>
      <c r="E3925" s="23" t="s">
        <v>25</v>
      </c>
      <c r="F3925" s="23" t="s">
        <v>14</v>
      </c>
      <c r="G3925" s="23" t="s">
        <v>27</v>
      </c>
      <c r="H3925" s="23" t="s">
        <v>16</v>
      </c>
      <c r="I3925" s="23">
        <v>8</v>
      </c>
      <c r="J3925" s="23">
        <v>0</v>
      </c>
      <c r="K3925" s="23">
        <v>4</v>
      </c>
      <c r="L3925" s="23" t="s">
        <v>8363</v>
      </c>
      <c r="M3925" s="25"/>
      <c r="N3925">
        <f t="shared" si="61"/>
        <v>1</v>
      </c>
    </row>
    <row r="3926" spans="1:14" x14ac:dyDescent="0.35">
      <c r="A3926" s="6" t="s">
        <v>3996</v>
      </c>
      <c r="B3926" s="19" t="s">
        <v>45</v>
      </c>
      <c r="C3926" s="19">
        <v>12</v>
      </c>
      <c r="D3926" s="20">
        <v>46013</v>
      </c>
      <c r="E3926" s="19" t="s">
        <v>36</v>
      </c>
      <c r="F3926" s="19" t="s">
        <v>14</v>
      </c>
      <c r="G3926" s="19" t="s">
        <v>21</v>
      </c>
      <c r="H3926" s="19" t="s">
        <v>32</v>
      </c>
      <c r="I3926" s="19">
        <v>4</v>
      </c>
      <c r="J3926" s="19">
        <v>0</v>
      </c>
      <c r="K3926" s="19">
        <v>4</v>
      </c>
      <c r="L3926" s="19" t="s">
        <v>8363</v>
      </c>
      <c r="M3926" s="21">
        <v>2.6</v>
      </c>
      <c r="N3926">
        <f t="shared" si="61"/>
        <v>1</v>
      </c>
    </row>
    <row r="3927" spans="1:14" x14ac:dyDescent="0.35">
      <c r="A3927" s="22" t="s">
        <v>3997</v>
      </c>
      <c r="B3927" s="23" t="s">
        <v>130</v>
      </c>
      <c r="C3927" s="23">
        <v>6</v>
      </c>
      <c r="D3927" s="24">
        <v>45810</v>
      </c>
      <c r="E3927" s="23" t="s">
        <v>68</v>
      </c>
      <c r="F3927" s="23" t="s">
        <v>14</v>
      </c>
      <c r="G3927" s="23" t="s">
        <v>31</v>
      </c>
      <c r="H3927" s="23" t="s">
        <v>22</v>
      </c>
      <c r="I3927" s="23">
        <v>8</v>
      </c>
      <c r="J3927" s="23">
        <v>0</v>
      </c>
      <c r="K3927" s="23">
        <v>4</v>
      </c>
      <c r="L3927" s="23" t="s">
        <v>17</v>
      </c>
      <c r="M3927" s="25">
        <v>15.7</v>
      </c>
      <c r="N3927">
        <f t="shared" si="61"/>
        <v>0</v>
      </c>
    </row>
    <row r="3928" spans="1:14" x14ac:dyDescent="0.35">
      <c r="A3928" s="6" t="s">
        <v>3998</v>
      </c>
      <c r="B3928" s="19" t="s">
        <v>78</v>
      </c>
      <c r="C3928" s="19">
        <v>5</v>
      </c>
      <c r="D3928" s="20">
        <v>45803</v>
      </c>
      <c r="E3928" s="19" t="s">
        <v>13</v>
      </c>
      <c r="F3928" s="19" t="s">
        <v>37</v>
      </c>
      <c r="G3928" s="19" t="s">
        <v>27</v>
      </c>
      <c r="H3928" s="19" t="s">
        <v>16</v>
      </c>
      <c r="I3928" s="19">
        <v>48</v>
      </c>
      <c r="J3928" s="19">
        <v>0</v>
      </c>
      <c r="K3928" s="19">
        <v>5</v>
      </c>
      <c r="L3928" s="19" t="s">
        <v>8363</v>
      </c>
      <c r="M3928" s="21">
        <v>14.7</v>
      </c>
      <c r="N3928">
        <f t="shared" si="61"/>
        <v>1</v>
      </c>
    </row>
    <row r="3929" spans="1:14" x14ac:dyDescent="0.35">
      <c r="A3929" s="22" t="s">
        <v>3999</v>
      </c>
      <c r="B3929" s="23" t="s">
        <v>49</v>
      </c>
      <c r="C3929" s="23">
        <v>4</v>
      </c>
      <c r="D3929" s="24">
        <v>45772</v>
      </c>
      <c r="E3929" s="23" t="s">
        <v>8364</v>
      </c>
      <c r="F3929" s="23" t="s">
        <v>43</v>
      </c>
      <c r="G3929" s="23" t="s">
        <v>27</v>
      </c>
      <c r="H3929" s="23" t="s">
        <v>28</v>
      </c>
      <c r="I3929" s="23">
        <v>24</v>
      </c>
      <c r="J3929" s="23">
        <v>2</v>
      </c>
      <c r="K3929" s="23">
        <v>4</v>
      </c>
      <c r="L3929" s="23" t="s">
        <v>44</v>
      </c>
      <c r="M3929" s="25">
        <v>3.4</v>
      </c>
      <c r="N3929">
        <f t="shared" si="61"/>
        <v>1</v>
      </c>
    </row>
    <row r="3930" spans="1:14" x14ac:dyDescent="0.35">
      <c r="A3930" s="6" t="s">
        <v>4000</v>
      </c>
      <c r="B3930" s="19" t="s">
        <v>39</v>
      </c>
      <c r="C3930" s="19">
        <v>5</v>
      </c>
      <c r="D3930" s="20">
        <v>45793</v>
      </c>
      <c r="E3930" s="19" t="s">
        <v>36</v>
      </c>
      <c r="F3930" s="19" t="s">
        <v>14</v>
      </c>
      <c r="G3930" s="19" t="s">
        <v>31</v>
      </c>
      <c r="H3930" s="19" t="s">
        <v>8364</v>
      </c>
      <c r="I3930" s="19">
        <v>8</v>
      </c>
      <c r="J3930" s="19">
        <v>0</v>
      </c>
      <c r="K3930" s="19">
        <v>4</v>
      </c>
      <c r="L3930" s="19" t="s">
        <v>75</v>
      </c>
      <c r="M3930" s="21">
        <v>21.9</v>
      </c>
      <c r="N3930">
        <f t="shared" si="61"/>
        <v>0</v>
      </c>
    </row>
    <row r="3931" spans="1:14" x14ac:dyDescent="0.35">
      <c r="A3931" s="22" t="s">
        <v>4001</v>
      </c>
      <c r="B3931" s="23" t="s">
        <v>57</v>
      </c>
      <c r="C3931" s="23">
        <v>5</v>
      </c>
      <c r="D3931" s="24">
        <v>45794</v>
      </c>
      <c r="E3931" s="23" t="s">
        <v>68</v>
      </c>
      <c r="F3931" s="23" t="s">
        <v>26</v>
      </c>
      <c r="G3931" s="23" t="s">
        <v>15</v>
      </c>
      <c r="H3931" s="23" t="s">
        <v>28</v>
      </c>
      <c r="I3931" s="23">
        <v>24</v>
      </c>
      <c r="J3931" s="23">
        <v>0</v>
      </c>
      <c r="K3931" s="23">
        <v>3</v>
      </c>
      <c r="L3931" s="23" t="s">
        <v>38</v>
      </c>
      <c r="M3931" s="25">
        <v>12.1</v>
      </c>
      <c r="N3931">
        <f t="shared" si="61"/>
        <v>1</v>
      </c>
    </row>
    <row r="3932" spans="1:14" x14ac:dyDescent="0.35">
      <c r="A3932" s="6" t="s">
        <v>4002</v>
      </c>
      <c r="B3932" s="19" t="s">
        <v>23</v>
      </c>
      <c r="C3932" s="19">
        <v>8</v>
      </c>
      <c r="D3932" s="20">
        <v>45884</v>
      </c>
      <c r="E3932" s="19" t="s">
        <v>13</v>
      </c>
      <c r="F3932" s="19" t="s">
        <v>26</v>
      </c>
      <c r="G3932" s="19" t="s">
        <v>15</v>
      </c>
      <c r="H3932" s="19" t="s">
        <v>8364</v>
      </c>
      <c r="I3932" s="19">
        <v>8</v>
      </c>
      <c r="J3932" s="19">
        <v>0</v>
      </c>
      <c r="K3932" s="19">
        <v>2</v>
      </c>
      <c r="L3932" s="19" t="s">
        <v>75</v>
      </c>
      <c r="M3932" s="21">
        <v>7.7</v>
      </c>
      <c r="N3932">
        <f t="shared" si="61"/>
        <v>1</v>
      </c>
    </row>
    <row r="3933" spans="1:14" x14ac:dyDescent="0.35">
      <c r="A3933" s="22" t="s">
        <v>4003</v>
      </c>
      <c r="B3933" s="23" t="s">
        <v>47</v>
      </c>
      <c r="C3933" s="23"/>
      <c r="D3933" s="24"/>
      <c r="E3933" s="23" t="s">
        <v>13</v>
      </c>
      <c r="F3933" s="23" t="s">
        <v>14</v>
      </c>
      <c r="G3933" s="23" t="s">
        <v>31</v>
      </c>
      <c r="H3933" s="23" t="s">
        <v>22</v>
      </c>
      <c r="I3933" s="23">
        <v>48</v>
      </c>
      <c r="J3933" s="23">
        <v>3</v>
      </c>
      <c r="K3933" s="23">
        <v>4</v>
      </c>
      <c r="L3933" s="23" t="s">
        <v>8363</v>
      </c>
      <c r="M3933" s="25">
        <v>5.5</v>
      </c>
      <c r="N3933">
        <f t="shared" si="61"/>
        <v>1</v>
      </c>
    </row>
    <row r="3934" spans="1:14" x14ac:dyDescent="0.35">
      <c r="A3934" s="6" t="s">
        <v>4004</v>
      </c>
      <c r="B3934" s="19" t="s">
        <v>65</v>
      </c>
      <c r="C3934" s="19">
        <v>9</v>
      </c>
      <c r="D3934" s="20">
        <v>45929</v>
      </c>
      <c r="E3934" s="19" t="s">
        <v>68</v>
      </c>
      <c r="F3934" s="19" t="s">
        <v>8364</v>
      </c>
      <c r="G3934" s="19" t="s">
        <v>27</v>
      </c>
      <c r="H3934" s="19" t="s">
        <v>28</v>
      </c>
      <c r="I3934" s="19">
        <v>48</v>
      </c>
      <c r="J3934" s="19">
        <v>0</v>
      </c>
      <c r="K3934" s="19">
        <v>5</v>
      </c>
      <c r="L3934" s="19" t="s">
        <v>55</v>
      </c>
      <c r="M3934" s="21">
        <v>2.5</v>
      </c>
      <c r="N3934">
        <f t="shared" si="61"/>
        <v>1</v>
      </c>
    </row>
    <row r="3935" spans="1:14" x14ac:dyDescent="0.35">
      <c r="A3935" s="22" t="s">
        <v>4005</v>
      </c>
      <c r="B3935" s="23" t="s">
        <v>69</v>
      </c>
      <c r="C3935" s="23">
        <v>10</v>
      </c>
      <c r="D3935" s="24">
        <v>45937</v>
      </c>
      <c r="E3935" s="23" t="s">
        <v>68</v>
      </c>
      <c r="F3935" s="23" t="s">
        <v>59</v>
      </c>
      <c r="G3935" s="23" t="s">
        <v>21</v>
      </c>
      <c r="H3935" s="23" t="s">
        <v>32</v>
      </c>
      <c r="I3935" s="23">
        <v>24</v>
      </c>
      <c r="J3935" s="23">
        <v>0</v>
      </c>
      <c r="K3935" s="23">
        <v>5</v>
      </c>
      <c r="L3935" s="23" t="s">
        <v>75</v>
      </c>
      <c r="M3935" s="25"/>
      <c r="N3935">
        <f t="shared" si="61"/>
        <v>1</v>
      </c>
    </row>
    <row r="3936" spans="1:14" x14ac:dyDescent="0.35">
      <c r="A3936" s="6" t="s">
        <v>4006</v>
      </c>
      <c r="B3936" s="19" t="s">
        <v>92</v>
      </c>
      <c r="C3936" s="19">
        <v>10</v>
      </c>
      <c r="D3936" s="20">
        <v>45953</v>
      </c>
      <c r="E3936" s="19" t="s">
        <v>25</v>
      </c>
      <c r="F3936" s="19" t="s">
        <v>14</v>
      </c>
      <c r="G3936" s="19" t="s">
        <v>15</v>
      </c>
      <c r="H3936" s="19" t="s">
        <v>8364</v>
      </c>
      <c r="I3936" s="19">
        <v>8</v>
      </c>
      <c r="J3936" s="19">
        <v>1</v>
      </c>
      <c r="K3936" s="19">
        <v>2</v>
      </c>
      <c r="L3936" s="19" t="s">
        <v>75</v>
      </c>
      <c r="M3936" s="21">
        <v>12.3</v>
      </c>
      <c r="N3936">
        <f t="shared" si="61"/>
        <v>0</v>
      </c>
    </row>
    <row r="3937" spans="1:14" x14ac:dyDescent="0.35">
      <c r="A3937" s="22" t="s">
        <v>4007</v>
      </c>
      <c r="B3937" s="23" t="s">
        <v>65</v>
      </c>
      <c r="C3937" s="23">
        <v>10</v>
      </c>
      <c r="D3937" s="24">
        <v>45940</v>
      </c>
      <c r="E3937" s="23" t="s">
        <v>25</v>
      </c>
      <c r="F3937" s="23" t="s">
        <v>14</v>
      </c>
      <c r="G3937" s="23" t="s">
        <v>15</v>
      </c>
      <c r="H3937" s="23" t="s">
        <v>16</v>
      </c>
      <c r="I3937" s="23">
        <v>8</v>
      </c>
      <c r="J3937" s="23">
        <v>3</v>
      </c>
      <c r="K3937" s="23">
        <v>4</v>
      </c>
      <c r="L3937" s="23" t="s">
        <v>33</v>
      </c>
      <c r="M3937" s="25">
        <v>10.1</v>
      </c>
      <c r="N3937">
        <f t="shared" si="61"/>
        <v>0</v>
      </c>
    </row>
    <row r="3938" spans="1:14" x14ac:dyDescent="0.35">
      <c r="A3938" s="6" t="s">
        <v>4008</v>
      </c>
      <c r="B3938" s="19" t="s">
        <v>108</v>
      </c>
      <c r="C3938" s="19"/>
      <c r="D3938" s="20"/>
      <c r="E3938" s="19" t="s">
        <v>8364</v>
      </c>
      <c r="F3938" s="19" t="s">
        <v>59</v>
      </c>
      <c r="G3938" s="19" t="s">
        <v>21</v>
      </c>
      <c r="H3938" s="19" t="s">
        <v>16</v>
      </c>
      <c r="I3938" s="19">
        <v>72</v>
      </c>
      <c r="J3938" s="19">
        <v>3</v>
      </c>
      <c r="K3938" s="19">
        <v>4</v>
      </c>
      <c r="L3938" s="19" t="s">
        <v>8363</v>
      </c>
      <c r="M3938" s="21">
        <v>6.2</v>
      </c>
      <c r="N3938">
        <f t="shared" si="61"/>
        <v>1</v>
      </c>
    </row>
    <row r="3939" spans="1:14" x14ac:dyDescent="0.35">
      <c r="A3939" s="22" t="s">
        <v>4009</v>
      </c>
      <c r="B3939" s="23" t="s">
        <v>92</v>
      </c>
      <c r="C3939" s="23">
        <v>9</v>
      </c>
      <c r="D3939" s="24">
        <v>45927</v>
      </c>
      <c r="E3939" s="23" t="s">
        <v>13</v>
      </c>
      <c r="F3939" s="23" t="s">
        <v>43</v>
      </c>
      <c r="G3939" s="23" t="s">
        <v>15</v>
      </c>
      <c r="H3939" s="23" t="s">
        <v>16</v>
      </c>
      <c r="I3939" s="23">
        <v>8</v>
      </c>
      <c r="J3939" s="23">
        <v>0</v>
      </c>
      <c r="K3939" s="23">
        <v>3</v>
      </c>
      <c r="L3939" s="23" t="s">
        <v>33</v>
      </c>
      <c r="M3939" s="25">
        <v>23.8</v>
      </c>
      <c r="N3939">
        <f t="shared" si="61"/>
        <v>0</v>
      </c>
    </row>
    <row r="3940" spans="1:14" x14ac:dyDescent="0.35">
      <c r="A3940" s="6" t="s">
        <v>4010</v>
      </c>
      <c r="B3940" s="19" t="s">
        <v>99</v>
      </c>
      <c r="C3940" s="19">
        <v>10</v>
      </c>
      <c r="D3940" s="20">
        <v>45944</v>
      </c>
      <c r="E3940" s="19" t="s">
        <v>68</v>
      </c>
      <c r="F3940" s="19" t="s">
        <v>40</v>
      </c>
      <c r="G3940" s="19" t="s">
        <v>21</v>
      </c>
      <c r="H3940" s="19" t="s">
        <v>22</v>
      </c>
      <c r="I3940" s="19">
        <v>24</v>
      </c>
      <c r="J3940" s="19">
        <v>0</v>
      </c>
      <c r="K3940" s="19"/>
      <c r="L3940" s="19" t="s">
        <v>62</v>
      </c>
      <c r="M3940" s="21">
        <v>5.4</v>
      </c>
      <c r="N3940">
        <f t="shared" si="61"/>
        <v>1</v>
      </c>
    </row>
    <row r="3941" spans="1:14" x14ac:dyDescent="0.35">
      <c r="A3941" s="22" t="s">
        <v>4011</v>
      </c>
      <c r="B3941" s="23" t="s">
        <v>236</v>
      </c>
      <c r="C3941" s="23">
        <v>10</v>
      </c>
      <c r="D3941" s="24">
        <v>45938</v>
      </c>
      <c r="E3941" s="23" t="s">
        <v>25</v>
      </c>
      <c r="F3941" s="23" t="s">
        <v>40</v>
      </c>
      <c r="G3941" s="23" t="s">
        <v>27</v>
      </c>
      <c r="H3941" s="23" t="s">
        <v>22</v>
      </c>
      <c r="I3941" s="23">
        <v>48</v>
      </c>
      <c r="J3941" s="23">
        <v>0</v>
      </c>
      <c r="K3941" s="23">
        <v>5</v>
      </c>
      <c r="L3941" s="23" t="s">
        <v>75</v>
      </c>
      <c r="M3941" s="25">
        <v>7.6</v>
      </c>
      <c r="N3941">
        <f t="shared" si="61"/>
        <v>1</v>
      </c>
    </row>
    <row r="3942" spans="1:14" x14ac:dyDescent="0.35">
      <c r="A3942" s="6" t="s">
        <v>4012</v>
      </c>
      <c r="B3942" s="19" t="s">
        <v>99</v>
      </c>
      <c r="C3942" s="19">
        <v>3</v>
      </c>
      <c r="D3942" s="20">
        <v>45739</v>
      </c>
      <c r="E3942" s="19" t="s">
        <v>25</v>
      </c>
      <c r="F3942" s="19" t="s">
        <v>26</v>
      </c>
      <c r="G3942" s="19" t="s">
        <v>31</v>
      </c>
      <c r="H3942" s="19" t="s">
        <v>16</v>
      </c>
      <c r="I3942" s="19">
        <v>24</v>
      </c>
      <c r="J3942" s="19">
        <v>0</v>
      </c>
      <c r="K3942" s="19">
        <v>4</v>
      </c>
      <c r="L3942" s="19" t="s">
        <v>33</v>
      </c>
      <c r="M3942" s="21">
        <v>10.1</v>
      </c>
      <c r="N3942">
        <f t="shared" si="61"/>
        <v>1</v>
      </c>
    </row>
    <row r="3943" spans="1:14" x14ac:dyDescent="0.35">
      <c r="A3943" s="22" t="s">
        <v>4013</v>
      </c>
      <c r="B3943" s="23" t="s">
        <v>143</v>
      </c>
      <c r="C3943" s="23">
        <v>2</v>
      </c>
      <c r="D3943" s="24">
        <v>45702</v>
      </c>
      <c r="E3943" s="23" t="s">
        <v>13</v>
      </c>
      <c r="F3943" s="23" t="s">
        <v>14</v>
      </c>
      <c r="G3943" s="23" t="s">
        <v>31</v>
      </c>
      <c r="H3943" s="23" t="s">
        <v>16</v>
      </c>
      <c r="I3943" s="23">
        <v>24</v>
      </c>
      <c r="J3943" s="23">
        <v>0</v>
      </c>
      <c r="K3943" s="23">
        <v>5</v>
      </c>
      <c r="L3943" s="23" t="s">
        <v>75</v>
      </c>
      <c r="M3943" s="25">
        <v>6.6</v>
      </c>
      <c r="N3943">
        <f t="shared" si="61"/>
        <v>1</v>
      </c>
    </row>
    <row r="3944" spans="1:14" x14ac:dyDescent="0.35">
      <c r="A3944" s="6" t="s">
        <v>4014</v>
      </c>
      <c r="B3944" s="19" t="s">
        <v>181</v>
      </c>
      <c r="C3944" s="19">
        <v>7</v>
      </c>
      <c r="D3944" s="20">
        <v>45840</v>
      </c>
      <c r="E3944" s="19" t="s">
        <v>8364</v>
      </c>
      <c r="F3944" s="19" t="s">
        <v>59</v>
      </c>
      <c r="G3944" s="19" t="s">
        <v>31</v>
      </c>
      <c r="H3944" s="19" t="s">
        <v>22</v>
      </c>
      <c r="I3944" s="19">
        <v>24</v>
      </c>
      <c r="J3944" s="19">
        <v>0</v>
      </c>
      <c r="K3944" s="19">
        <v>4</v>
      </c>
      <c r="L3944" s="19" t="s">
        <v>55</v>
      </c>
      <c r="M3944" s="21">
        <v>15.4</v>
      </c>
      <c r="N3944">
        <f t="shared" si="61"/>
        <v>1</v>
      </c>
    </row>
    <row r="3945" spans="1:14" x14ac:dyDescent="0.35">
      <c r="A3945" s="22" t="s">
        <v>4015</v>
      </c>
      <c r="B3945" s="23" t="s">
        <v>97</v>
      </c>
      <c r="C3945" s="23"/>
      <c r="D3945" s="24"/>
      <c r="E3945" s="23" t="s">
        <v>8364</v>
      </c>
      <c r="F3945" s="23" t="s">
        <v>14</v>
      </c>
      <c r="G3945" s="23" t="s">
        <v>21</v>
      </c>
      <c r="H3945" s="23" t="s">
        <v>8364</v>
      </c>
      <c r="I3945" s="23">
        <v>72</v>
      </c>
      <c r="J3945" s="23">
        <v>0</v>
      </c>
      <c r="K3945" s="23">
        <v>4</v>
      </c>
      <c r="L3945" s="23" t="s">
        <v>44</v>
      </c>
      <c r="M3945" s="25">
        <v>35.200000000000003</v>
      </c>
      <c r="N3945">
        <f t="shared" si="61"/>
        <v>1</v>
      </c>
    </row>
    <row r="3946" spans="1:14" x14ac:dyDescent="0.35">
      <c r="A3946" s="6" t="s">
        <v>4016</v>
      </c>
      <c r="B3946" s="19" t="s">
        <v>253</v>
      </c>
      <c r="C3946" s="19">
        <v>11</v>
      </c>
      <c r="D3946" s="20">
        <v>45977</v>
      </c>
      <c r="E3946" s="19" t="s">
        <v>8364</v>
      </c>
      <c r="F3946" s="19" t="s">
        <v>8364</v>
      </c>
      <c r="G3946" s="19" t="s">
        <v>27</v>
      </c>
      <c r="H3946" s="19" t="s">
        <v>32</v>
      </c>
      <c r="I3946" s="19">
        <v>24</v>
      </c>
      <c r="J3946" s="19">
        <v>0</v>
      </c>
      <c r="K3946" s="19">
        <v>4</v>
      </c>
      <c r="L3946" s="19" t="s">
        <v>55</v>
      </c>
      <c r="M3946" s="21">
        <v>17.7</v>
      </c>
      <c r="N3946">
        <f t="shared" si="61"/>
        <v>1</v>
      </c>
    </row>
    <row r="3947" spans="1:14" x14ac:dyDescent="0.35">
      <c r="A3947" s="22" t="s">
        <v>4017</v>
      </c>
      <c r="B3947" s="23" t="s">
        <v>51</v>
      </c>
      <c r="C3947" s="23"/>
      <c r="D3947" s="24"/>
      <c r="E3947" s="23" t="s">
        <v>25</v>
      </c>
      <c r="F3947" s="23" t="s">
        <v>37</v>
      </c>
      <c r="G3947" s="23" t="s">
        <v>31</v>
      </c>
      <c r="H3947" s="23" t="s">
        <v>22</v>
      </c>
      <c r="I3947" s="23">
        <v>8</v>
      </c>
      <c r="J3947" s="23">
        <v>0</v>
      </c>
      <c r="K3947" s="23">
        <v>5</v>
      </c>
      <c r="L3947" s="23" t="s">
        <v>33</v>
      </c>
      <c r="M3947" s="25">
        <v>36</v>
      </c>
      <c r="N3947">
        <f t="shared" si="61"/>
        <v>0</v>
      </c>
    </row>
    <row r="3948" spans="1:14" x14ac:dyDescent="0.35">
      <c r="A3948" s="6" t="s">
        <v>4018</v>
      </c>
      <c r="B3948" s="19" t="s">
        <v>65</v>
      </c>
      <c r="C3948" s="19">
        <v>3</v>
      </c>
      <c r="D3948" s="20">
        <v>45735</v>
      </c>
      <c r="E3948" s="19" t="s">
        <v>13</v>
      </c>
      <c r="F3948" s="19" t="s">
        <v>59</v>
      </c>
      <c r="G3948" s="19" t="s">
        <v>31</v>
      </c>
      <c r="H3948" s="19" t="s">
        <v>22</v>
      </c>
      <c r="I3948" s="19">
        <v>4</v>
      </c>
      <c r="J3948" s="19">
        <v>0</v>
      </c>
      <c r="K3948" s="19">
        <v>4</v>
      </c>
      <c r="L3948" s="19" t="s">
        <v>62</v>
      </c>
      <c r="M3948" s="21">
        <v>10.4</v>
      </c>
      <c r="N3948">
        <f t="shared" si="61"/>
        <v>0</v>
      </c>
    </row>
    <row r="3949" spans="1:14" x14ac:dyDescent="0.35">
      <c r="A3949" s="22" t="s">
        <v>4019</v>
      </c>
      <c r="B3949" s="23" t="s">
        <v>53</v>
      </c>
      <c r="C3949" s="23">
        <v>3</v>
      </c>
      <c r="D3949" s="24">
        <v>45736</v>
      </c>
      <c r="E3949" s="23" t="s">
        <v>13</v>
      </c>
      <c r="F3949" s="23" t="s">
        <v>43</v>
      </c>
      <c r="G3949" s="23" t="s">
        <v>27</v>
      </c>
      <c r="H3949" s="23" t="s">
        <v>22</v>
      </c>
      <c r="I3949" s="23">
        <v>8</v>
      </c>
      <c r="J3949" s="23">
        <v>1</v>
      </c>
      <c r="K3949" s="23">
        <v>5</v>
      </c>
      <c r="L3949" s="23" t="s">
        <v>75</v>
      </c>
      <c r="M3949" s="25">
        <v>19.399999999999999</v>
      </c>
      <c r="N3949">
        <f t="shared" si="61"/>
        <v>0</v>
      </c>
    </row>
    <row r="3950" spans="1:14" x14ac:dyDescent="0.35">
      <c r="A3950" s="6" t="s">
        <v>4020</v>
      </c>
      <c r="B3950" s="19" t="s">
        <v>69</v>
      </c>
      <c r="C3950" s="19">
        <v>6</v>
      </c>
      <c r="D3950" s="20">
        <v>45817</v>
      </c>
      <c r="E3950" s="19" t="s">
        <v>20</v>
      </c>
      <c r="F3950" s="19" t="s">
        <v>40</v>
      </c>
      <c r="G3950" s="19" t="s">
        <v>31</v>
      </c>
      <c r="H3950" s="19" t="s">
        <v>32</v>
      </c>
      <c r="I3950" s="19">
        <v>8</v>
      </c>
      <c r="J3950" s="19">
        <v>0</v>
      </c>
      <c r="K3950" s="19">
        <v>5</v>
      </c>
      <c r="L3950" s="19" t="s">
        <v>62</v>
      </c>
      <c r="M3950" s="21">
        <v>20.9</v>
      </c>
      <c r="N3950">
        <f t="shared" si="61"/>
        <v>0</v>
      </c>
    </row>
    <row r="3951" spans="1:14" x14ac:dyDescent="0.35">
      <c r="A3951" s="22" t="s">
        <v>4021</v>
      </c>
      <c r="B3951" s="23" t="s">
        <v>49</v>
      </c>
      <c r="C3951" s="23">
        <v>11</v>
      </c>
      <c r="D3951" s="24">
        <v>45971</v>
      </c>
      <c r="E3951" s="23" t="s">
        <v>25</v>
      </c>
      <c r="F3951" s="23" t="s">
        <v>14</v>
      </c>
      <c r="G3951" s="23" t="s">
        <v>31</v>
      </c>
      <c r="H3951" s="23" t="s">
        <v>28</v>
      </c>
      <c r="I3951" s="23">
        <v>4</v>
      </c>
      <c r="J3951" s="23">
        <v>0</v>
      </c>
      <c r="K3951" s="23">
        <v>4</v>
      </c>
      <c r="L3951" s="23" t="s">
        <v>55</v>
      </c>
      <c r="M3951" s="25">
        <v>7.2</v>
      </c>
      <c r="N3951">
        <f t="shared" si="61"/>
        <v>0</v>
      </c>
    </row>
    <row r="3952" spans="1:14" x14ac:dyDescent="0.35">
      <c r="A3952" s="6" t="s">
        <v>4022</v>
      </c>
      <c r="B3952" s="19" t="s">
        <v>97</v>
      </c>
      <c r="C3952" s="19"/>
      <c r="D3952" s="20"/>
      <c r="E3952" s="19" t="s">
        <v>25</v>
      </c>
      <c r="F3952" s="19" t="s">
        <v>40</v>
      </c>
      <c r="G3952" s="19" t="s">
        <v>21</v>
      </c>
      <c r="H3952" s="19" t="s">
        <v>22</v>
      </c>
      <c r="I3952" s="19">
        <v>24</v>
      </c>
      <c r="J3952" s="19">
        <v>1</v>
      </c>
      <c r="K3952" s="19">
        <v>4</v>
      </c>
      <c r="L3952" s="19" t="s">
        <v>75</v>
      </c>
      <c r="M3952" s="21">
        <v>3.1</v>
      </c>
      <c r="N3952">
        <f t="shared" si="61"/>
        <v>1</v>
      </c>
    </row>
    <row r="3953" spans="1:14" x14ac:dyDescent="0.35">
      <c r="A3953" s="22" t="s">
        <v>4023</v>
      </c>
      <c r="B3953" s="23" t="s">
        <v>143</v>
      </c>
      <c r="C3953" s="23">
        <v>8</v>
      </c>
      <c r="D3953" s="24">
        <v>45893</v>
      </c>
      <c r="E3953" s="23" t="s">
        <v>68</v>
      </c>
      <c r="F3953" s="23" t="s">
        <v>14</v>
      </c>
      <c r="G3953" s="23" t="s">
        <v>31</v>
      </c>
      <c r="H3953" s="23" t="s">
        <v>22</v>
      </c>
      <c r="I3953" s="23">
        <v>24</v>
      </c>
      <c r="J3953" s="23">
        <v>0</v>
      </c>
      <c r="K3953" s="23">
        <v>4</v>
      </c>
      <c r="L3953" s="23" t="s">
        <v>75</v>
      </c>
      <c r="M3953" s="25">
        <v>18.899999999999999</v>
      </c>
      <c r="N3953">
        <f t="shared" si="61"/>
        <v>1</v>
      </c>
    </row>
    <row r="3954" spans="1:14" x14ac:dyDescent="0.35">
      <c r="A3954" s="6" t="s">
        <v>4024</v>
      </c>
      <c r="B3954" s="19" t="s">
        <v>108</v>
      </c>
      <c r="C3954" s="19">
        <v>6</v>
      </c>
      <c r="D3954" s="20">
        <v>45836</v>
      </c>
      <c r="E3954" s="19" t="s">
        <v>8364</v>
      </c>
      <c r="F3954" s="19" t="s">
        <v>59</v>
      </c>
      <c r="G3954" s="19" t="s">
        <v>27</v>
      </c>
      <c r="H3954" s="19" t="s">
        <v>28</v>
      </c>
      <c r="I3954" s="19">
        <v>72</v>
      </c>
      <c r="J3954" s="19">
        <v>0</v>
      </c>
      <c r="K3954" s="19">
        <v>5</v>
      </c>
      <c r="L3954" s="19" t="s">
        <v>8363</v>
      </c>
      <c r="M3954" s="21">
        <v>26.1</v>
      </c>
      <c r="N3954">
        <f t="shared" si="61"/>
        <v>1</v>
      </c>
    </row>
    <row r="3955" spans="1:14" x14ac:dyDescent="0.35">
      <c r="A3955" s="22" t="s">
        <v>4025</v>
      </c>
      <c r="B3955" s="23" t="s">
        <v>34</v>
      </c>
      <c r="C3955" s="23">
        <v>1</v>
      </c>
      <c r="D3955" s="24">
        <v>45668</v>
      </c>
      <c r="E3955" s="23" t="s">
        <v>68</v>
      </c>
      <c r="F3955" s="23" t="s">
        <v>37</v>
      </c>
      <c r="G3955" s="23" t="s">
        <v>27</v>
      </c>
      <c r="H3955" s="23" t="s">
        <v>22</v>
      </c>
      <c r="I3955" s="23">
        <v>8</v>
      </c>
      <c r="J3955" s="23">
        <v>0</v>
      </c>
      <c r="K3955" s="23">
        <v>3</v>
      </c>
      <c r="L3955" s="23" t="s">
        <v>33</v>
      </c>
      <c r="M3955" s="25">
        <v>16.5</v>
      </c>
      <c r="N3955">
        <f t="shared" si="61"/>
        <v>0</v>
      </c>
    </row>
    <row r="3956" spans="1:14" x14ac:dyDescent="0.35">
      <c r="A3956" s="6" t="s">
        <v>4026</v>
      </c>
      <c r="B3956" s="19" t="s">
        <v>34</v>
      </c>
      <c r="C3956" s="19">
        <v>3</v>
      </c>
      <c r="D3956" s="20">
        <v>45722</v>
      </c>
      <c r="E3956" s="19" t="s">
        <v>25</v>
      </c>
      <c r="F3956" s="19" t="s">
        <v>8364</v>
      </c>
      <c r="G3956" s="19" t="s">
        <v>31</v>
      </c>
      <c r="H3956" s="19" t="s">
        <v>22</v>
      </c>
      <c r="I3956" s="19">
        <v>8</v>
      </c>
      <c r="J3956" s="19">
        <v>0</v>
      </c>
      <c r="K3956" s="19"/>
      <c r="L3956" s="19" t="s">
        <v>8363</v>
      </c>
      <c r="M3956" s="21">
        <v>0.4</v>
      </c>
      <c r="N3956">
        <f t="shared" si="61"/>
        <v>1</v>
      </c>
    </row>
    <row r="3957" spans="1:14" x14ac:dyDescent="0.35">
      <c r="A3957" s="22" t="s">
        <v>4027</v>
      </c>
      <c r="B3957" s="23" t="s">
        <v>146</v>
      </c>
      <c r="C3957" s="23">
        <v>8</v>
      </c>
      <c r="D3957" s="24">
        <v>45874</v>
      </c>
      <c r="E3957" s="23" t="s">
        <v>68</v>
      </c>
      <c r="F3957" s="23" t="s">
        <v>43</v>
      </c>
      <c r="G3957" s="23" t="s">
        <v>27</v>
      </c>
      <c r="H3957" s="23" t="s">
        <v>16</v>
      </c>
      <c r="I3957" s="23">
        <v>24</v>
      </c>
      <c r="J3957" s="23">
        <v>1</v>
      </c>
      <c r="K3957" s="23">
        <v>5</v>
      </c>
      <c r="L3957" s="23" t="s">
        <v>44</v>
      </c>
      <c r="M3957" s="25">
        <v>14.2</v>
      </c>
      <c r="N3957">
        <f t="shared" si="61"/>
        <v>1</v>
      </c>
    </row>
    <row r="3958" spans="1:14" x14ac:dyDescent="0.35">
      <c r="A3958" s="6" t="s">
        <v>4028</v>
      </c>
      <c r="B3958" s="19" t="s">
        <v>253</v>
      </c>
      <c r="C3958" s="19">
        <v>10</v>
      </c>
      <c r="D3958" s="20">
        <v>45934</v>
      </c>
      <c r="E3958" s="19" t="s">
        <v>36</v>
      </c>
      <c r="F3958" s="19" t="s">
        <v>43</v>
      </c>
      <c r="G3958" s="19" t="s">
        <v>21</v>
      </c>
      <c r="H3958" s="19" t="s">
        <v>22</v>
      </c>
      <c r="I3958" s="19">
        <v>48</v>
      </c>
      <c r="J3958" s="19">
        <v>1</v>
      </c>
      <c r="K3958" s="19">
        <v>4</v>
      </c>
      <c r="L3958" s="19" t="s">
        <v>75</v>
      </c>
      <c r="M3958" s="21"/>
      <c r="N3958">
        <f t="shared" si="61"/>
        <v>1</v>
      </c>
    </row>
    <row r="3959" spans="1:14" x14ac:dyDescent="0.35">
      <c r="A3959" s="22" t="s">
        <v>4029</v>
      </c>
      <c r="B3959" s="23" t="s">
        <v>47</v>
      </c>
      <c r="C3959" s="23">
        <v>4</v>
      </c>
      <c r="D3959" s="24">
        <v>45770</v>
      </c>
      <c r="E3959" s="23" t="s">
        <v>8364</v>
      </c>
      <c r="F3959" s="23" t="s">
        <v>8364</v>
      </c>
      <c r="G3959" s="23" t="s">
        <v>31</v>
      </c>
      <c r="H3959" s="23" t="s">
        <v>22</v>
      </c>
      <c r="I3959" s="23">
        <v>24</v>
      </c>
      <c r="J3959" s="23">
        <v>0</v>
      </c>
      <c r="K3959" s="23">
        <v>4</v>
      </c>
      <c r="L3959" s="23" t="s">
        <v>75</v>
      </c>
      <c r="M3959" s="25">
        <v>13.9</v>
      </c>
      <c r="N3959">
        <f t="shared" si="61"/>
        <v>1</v>
      </c>
    </row>
    <row r="3960" spans="1:14" x14ac:dyDescent="0.35">
      <c r="A3960" s="6" t="s">
        <v>4030</v>
      </c>
      <c r="B3960" s="19" t="s">
        <v>146</v>
      </c>
      <c r="C3960" s="19">
        <v>7</v>
      </c>
      <c r="D3960" s="20">
        <v>45841</v>
      </c>
      <c r="E3960" s="19" t="s">
        <v>25</v>
      </c>
      <c r="F3960" s="19" t="s">
        <v>59</v>
      </c>
      <c r="G3960" s="19" t="s">
        <v>31</v>
      </c>
      <c r="H3960" s="19" t="s">
        <v>28</v>
      </c>
      <c r="I3960" s="19">
        <v>24</v>
      </c>
      <c r="J3960" s="19">
        <v>0</v>
      </c>
      <c r="K3960" s="19">
        <v>5</v>
      </c>
      <c r="L3960" s="19" t="s">
        <v>44</v>
      </c>
      <c r="M3960" s="21">
        <v>5.7</v>
      </c>
      <c r="N3960">
        <f t="shared" si="61"/>
        <v>1</v>
      </c>
    </row>
    <row r="3961" spans="1:14" x14ac:dyDescent="0.35">
      <c r="A3961" s="22" t="s">
        <v>4031</v>
      </c>
      <c r="B3961" s="23" t="s">
        <v>23</v>
      </c>
      <c r="C3961" s="23">
        <v>5</v>
      </c>
      <c r="D3961" s="24">
        <v>45786</v>
      </c>
      <c r="E3961" s="23" t="s">
        <v>68</v>
      </c>
      <c r="F3961" s="23" t="s">
        <v>8364</v>
      </c>
      <c r="G3961" s="23" t="s">
        <v>15</v>
      </c>
      <c r="H3961" s="23" t="s">
        <v>28</v>
      </c>
      <c r="I3961" s="23">
        <v>4</v>
      </c>
      <c r="J3961" s="23">
        <v>0</v>
      </c>
      <c r="K3961" s="23"/>
      <c r="L3961" s="23" t="s">
        <v>33</v>
      </c>
      <c r="M3961" s="25">
        <v>4.5999999999999996</v>
      </c>
      <c r="N3961">
        <f t="shared" si="61"/>
        <v>0</v>
      </c>
    </row>
    <row r="3962" spans="1:14" x14ac:dyDescent="0.35">
      <c r="A3962" s="6" t="s">
        <v>4032</v>
      </c>
      <c r="B3962" s="19" t="s">
        <v>101</v>
      </c>
      <c r="C3962" s="19">
        <v>4</v>
      </c>
      <c r="D3962" s="20">
        <v>45770</v>
      </c>
      <c r="E3962" s="19" t="s">
        <v>68</v>
      </c>
      <c r="F3962" s="19" t="s">
        <v>37</v>
      </c>
      <c r="G3962" s="19" t="s">
        <v>27</v>
      </c>
      <c r="H3962" s="19" t="s">
        <v>8364</v>
      </c>
      <c r="I3962" s="19">
        <v>24</v>
      </c>
      <c r="J3962" s="19">
        <v>0</v>
      </c>
      <c r="K3962" s="19">
        <v>3</v>
      </c>
      <c r="L3962" s="19" t="s">
        <v>17</v>
      </c>
      <c r="M3962" s="21">
        <v>20.8</v>
      </c>
      <c r="N3962">
        <f t="shared" si="61"/>
        <v>1</v>
      </c>
    </row>
    <row r="3963" spans="1:14" x14ac:dyDescent="0.35">
      <c r="A3963" s="22" t="s">
        <v>4033</v>
      </c>
      <c r="B3963" s="23" t="s">
        <v>126</v>
      </c>
      <c r="C3963" s="23">
        <v>10</v>
      </c>
      <c r="D3963" s="24">
        <v>45959</v>
      </c>
      <c r="E3963" s="23" t="s">
        <v>68</v>
      </c>
      <c r="F3963" s="23" t="s">
        <v>14</v>
      </c>
      <c r="G3963" s="23" t="s">
        <v>31</v>
      </c>
      <c r="H3963" s="23" t="s">
        <v>22</v>
      </c>
      <c r="I3963" s="23">
        <v>4</v>
      </c>
      <c r="J3963" s="23">
        <v>0</v>
      </c>
      <c r="K3963" s="23">
        <v>2</v>
      </c>
      <c r="L3963" s="23" t="s">
        <v>17</v>
      </c>
      <c r="M3963" s="25">
        <v>3.4</v>
      </c>
      <c r="N3963">
        <f t="shared" si="61"/>
        <v>1</v>
      </c>
    </row>
    <row r="3964" spans="1:14" x14ac:dyDescent="0.35">
      <c r="A3964" s="6" t="s">
        <v>4034</v>
      </c>
      <c r="B3964" s="19" t="s">
        <v>181</v>
      </c>
      <c r="C3964" s="19"/>
      <c r="D3964" s="20"/>
      <c r="E3964" s="19" t="s">
        <v>8364</v>
      </c>
      <c r="F3964" s="19" t="s">
        <v>43</v>
      </c>
      <c r="G3964" s="19" t="s">
        <v>8364</v>
      </c>
      <c r="H3964" s="19" t="s">
        <v>8364</v>
      </c>
      <c r="I3964" s="19">
        <v>72</v>
      </c>
      <c r="J3964" s="19">
        <v>0</v>
      </c>
      <c r="K3964" s="19">
        <v>4</v>
      </c>
      <c r="L3964" s="19" t="s">
        <v>75</v>
      </c>
      <c r="M3964" s="21">
        <v>14.3</v>
      </c>
      <c r="N3964">
        <f t="shared" si="61"/>
        <v>1</v>
      </c>
    </row>
    <row r="3965" spans="1:14" x14ac:dyDescent="0.35">
      <c r="A3965" s="22" t="s">
        <v>4035</v>
      </c>
      <c r="B3965" s="23" t="s">
        <v>69</v>
      </c>
      <c r="C3965" s="23">
        <v>8</v>
      </c>
      <c r="D3965" s="24">
        <v>45876</v>
      </c>
      <c r="E3965" s="23" t="s">
        <v>25</v>
      </c>
      <c r="F3965" s="23" t="s">
        <v>8364</v>
      </c>
      <c r="G3965" s="23" t="s">
        <v>27</v>
      </c>
      <c r="H3965" s="23" t="s">
        <v>22</v>
      </c>
      <c r="I3965" s="23">
        <v>24</v>
      </c>
      <c r="J3965" s="23">
        <v>0</v>
      </c>
      <c r="K3965" s="23">
        <v>4</v>
      </c>
      <c r="L3965" s="23" t="s">
        <v>17</v>
      </c>
      <c r="M3965" s="25"/>
      <c r="N3965">
        <f t="shared" si="61"/>
        <v>1</v>
      </c>
    </row>
    <row r="3966" spans="1:14" x14ac:dyDescent="0.35">
      <c r="A3966" s="6" t="s">
        <v>4036</v>
      </c>
      <c r="B3966" s="19" t="s">
        <v>92</v>
      </c>
      <c r="C3966" s="19">
        <v>12</v>
      </c>
      <c r="D3966" s="20">
        <v>45993</v>
      </c>
      <c r="E3966" s="19" t="s">
        <v>25</v>
      </c>
      <c r="F3966" s="19" t="s">
        <v>59</v>
      </c>
      <c r="G3966" s="19" t="s">
        <v>27</v>
      </c>
      <c r="H3966" s="19" t="s">
        <v>22</v>
      </c>
      <c r="I3966" s="19">
        <v>8</v>
      </c>
      <c r="J3966" s="19">
        <v>0</v>
      </c>
      <c r="K3966" s="19"/>
      <c r="L3966" s="19" t="s">
        <v>17</v>
      </c>
      <c r="M3966" s="21"/>
      <c r="N3966">
        <f t="shared" si="61"/>
        <v>1</v>
      </c>
    </row>
    <row r="3967" spans="1:14" x14ac:dyDescent="0.35">
      <c r="A3967" s="22" t="s">
        <v>4037</v>
      </c>
      <c r="B3967" s="23" t="s">
        <v>181</v>
      </c>
      <c r="C3967" s="23">
        <v>11</v>
      </c>
      <c r="D3967" s="24">
        <v>45988</v>
      </c>
      <c r="E3967" s="23" t="s">
        <v>25</v>
      </c>
      <c r="F3967" s="23" t="s">
        <v>43</v>
      </c>
      <c r="G3967" s="23" t="s">
        <v>27</v>
      </c>
      <c r="H3967" s="23" t="s">
        <v>22</v>
      </c>
      <c r="I3967" s="23">
        <v>24</v>
      </c>
      <c r="J3967" s="23">
        <v>1</v>
      </c>
      <c r="K3967" s="23">
        <v>4</v>
      </c>
      <c r="L3967" s="23" t="s">
        <v>8363</v>
      </c>
      <c r="M3967" s="25">
        <v>18.399999999999999</v>
      </c>
      <c r="N3967">
        <f t="shared" si="61"/>
        <v>1</v>
      </c>
    </row>
    <row r="3968" spans="1:14" x14ac:dyDescent="0.35">
      <c r="A3968" s="6" t="s">
        <v>4038</v>
      </c>
      <c r="B3968" s="19" t="s">
        <v>53</v>
      </c>
      <c r="C3968" s="19">
        <v>1</v>
      </c>
      <c r="D3968" s="20">
        <v>45678</v>
      </c>
      <c r="E3968" s="19" t="s">
        <v>36</v>
      </c>
      <c r="F3968" s="19" t="s">
        <v>43</v>
      </c>
      <c r="G3968" s="19" t="s">
        <v>21</v>
      </c>
      <c r="H3968" s="19" t="s">
        <v>28</v>
      </c>
      <c r="I3968" s="19">
        <v>8</v>
      </c>
      <c r="J3968" s="19">
        <v>0</v>
      </c>
      <c r="K3968" s="19">
        <v>4</v>
      </c>
      <c r="L3968" s="19" t="s">
        <v>33</v>
      </c>
      <c r="M3968" s="21">
        <v>2.2999999999999998</v>
      </c>
      <c r="N3968">
        <f t="shared" si="61"/>
        <v>1</v>
      </c>
    </row>
    <row r="3969" spans="1:14" x14ac:dyDescent="0.35">
      <c r="A3969" s="22" t="s">
        <v>4039</v>
      </c>
      <c r="B3969" s="23" t="s">
        <v>45</v>
      </c>
      <c r="C3969" s="23">
        <v>7</v>
      </c>
      <c r="D3969" s="24">
        <v>45846</v>
      </c>
      <c r="E3969" s="23" t="s">
        <v>36</v>
      </c>
      <c r="F3969" s="23" t="s">
        <v>14</v>
      </c>
      <c r="G3969" s="23" t="s">
        <v>27</v>
      </c>
      <c r="H3969" s="23" t="s">
        <v>8364</v>
      </c>
      <c r="I3969" s="23">
        <v>8</v>
      </c>
      <c r="J3969" s="23">
        <v>0</v>
      </c>
      <c r="K3969" s="23">
        <v>3</v>
      </c>
      <c r="L3969" s="23" t="s">
        <v>38</v>
      </c>
      <c r="M3969" s="25">
        <v>20.9</v>
      </c>
      <c r="N3969">
        <f t="shared" si="61"/>
        <v>0</v>
      </c>
    </row>
    <row r="3970" spans="1:14" x14ac:dyDescent="0.35">
      <c r="A3970" s="6" t="s">
        <v>4040</v>
      </c>
      <c r="B3970" s="19" t="s">
        <v>53</v>
      </c>
      <c r="C3970" s="19">
        <v>8</v>
      </c>
      <c r="D3970" s="20">
        <v>45897</v>
      </c>
      <c r="E3970" s="19" t="s">
        <v>36</v>
      </c>
      <c r="F3970" s="19" t="s">
        <v>59</v>
      </c>
      <c r="G3970" s="19" t="s">
        <v>27</v>
      </c>
      <c r="H3970" s="19" t="s">
        <v>28</v>
      </c>
      <c r="I3970" s="19">
        <v>72</v>
      </c>
      <c r="J3970" s="19">
        <v>0</v>
      </c>
      <c r="K3970" s="19"/>
      <c r="L3970" s="19" t="s">
        <v>33</v>
      </c>
      <c r="M3970" s="21">
        <v>13.7</v>
      </c>
      <c r="N3970">
        <f t="shared" si="61"/>
        <v>1</v>
      </c>
    </row>
    <row r="3971" spans="1:14" x14ac:dyDescent="0.35">
      <c r="A3971" s="22" t="s">
        <v>4041</v>
      </c>
      <c r="B3971" s="23" t="s">
        <v>57</v>
      </c>
      <c r="C3971" s="23">
        <v>12</v>
      </c>
      <c r="D3971" s="24">
        <v>45995</v>
      </c>
      <c r="E3971" s="23" t="s">
        <v>25</v>
      </c>
      <c r="F3971" s="23" t="s">
        <v>26</v>
      </c>
      <c r="G3971" s="23" t="s">
        <v>31</v>
      </c>
      <c r="H3971" s="23" t="s">
        <v>8364</v>
      </c>
      <c r="I3971" s="23">
        <v>8</v>
      </c>
      <c r="J3971" s="23">
        <v>0</v>
      </c>
      <c r="K3971" s="23">
        <v>4</v>
      </c>
      <c r="L3971" s="23" t="s">
        <v>33</v>
      </c>
      <c r="M3971" s="25">
        <v>25.6</v>
      </c>
      <c r="N3971">
        <f t="shared" ref="N3971:N4034" si="62">IF(M3971 &lt;= I3971, 1, 0)</f>
        <v>0</v>
      </c>
    </row>
    <row r="3972" spans="1:14" x14ac:dyDescent="0.35">
      <c r="A3972" s="6" t="s">
        <v>4042</v>
      </c>
      <c r="B3972" s="19" t="s">
        <v>47</v>
      </c>
      <c r="C3972" s="19">
        <v>2</v>
      </c>
      <c r="D3972" s="20">
        <v>45714</v>
      </c>
      <c r="E3972" s="19" t="s">
        <v>25</v>
      </c>
      <c r="F3972" s="19" t="s">
        <v>14</v>
      </c>
      <c r="G3972" s="19" t="s">
        <v>21</v>
      </c>
      <c r="H3972" s="19" t="s">
        <v>32</v>
      </c>
      <c r="I3972" s="19">
        <v>4</v>
      </c>
      <c r="J3972" s="19">
        <v>0</v>
      </c>
      <c r="K3972" s="19">
        <v>5</v>
      </c>
      <c r="L3972" s="19" t="s">
        <v>75</v>
      </c>
      <c r="M3972" s="21">
        <v>4.2</v>
      </c>
      <c r="N3972">
        <f t="shared" si="62"/>
        <v>0</v>
      </c>
    </row>
    <row r="3973" spans="1:14" x14ac:dyDescent="0.35">
      <c r="A3973" s="22" t="s">
        <v>4043</v>
      </c>
      <c r="B3973" s="23" t="s">
        <v>23</v>
      </c>
      <c r="C3973" s="23">
        <v>5</v>
      </c>
      <c r="D3973" s="24">
        <v>45780</v>
      </c>
      <c r="E3973" s="23" t="s">
        <v>68</v>
      </c>
      <c r="F3973" s="23" t="s">
        <v>43</v>
      </c>
      <c r="G3973" s="23" t="s">
        <v>27</v>
      </c>
      <c r="H3973" s="23" t="s">
        <v>22</v>
      </c>
      <c r="I3973" s="23">
        <v>4</v>
      </c>
      <c r="J3973" s="23">
        <v>0</v>
      </c>
      <c r="K3973" s="23">
        <v>5</v>
      </c>
      <c r="L3973" s="23" t="s">
        <v>62</v>
      </c>
      <c r="M3973" s="25">
        <v>19.7</v>
      </c>
      <c r="N3973">
        <f t="shared" si="62"/>
        <v>0</v>
      </c>
    </row>
    <row r="3974" spans="1:14" x14ac:dyDescent="0.35">
      <c r="A3974" s="6" t="s">
        <v>4044</v>
      </c>
      <c r="B3974" s="19" t="s">
        <v>139</v>
      </c>
      <c r="C3974" s="19">
        <v>3</v>
      </c>
      <c r="D3974" s="20">
        <v>45740</v>
      </c>
      <c r="E3974" s="19" t="s">
        <v>8364</v>
      </c>
      <c r="F3974" s="19" t="s">
        <v>8364</v>
      </c>
      <c r="G3974" s="19" t="s">
        <v>27</v>
      </c>
      <c r="H3974" s="19" t="s">
        <v>22</v>
      </c>
      <c r="I3974" s="19">
        <v>8</v>
      </c>
      <c r="J3974" s="19">
        <v>3</v>
      </c>
      <c r="K3974" s="19">
        <v>4</v>
      </c>
      <c r="L3974" s="19" t="s">
        <v>55</v>
      </c>
      <c r="M3974" s="21">
        <v>8.8000000000000007</v>
      </c>
      <c r="N3974">
        <f t="shared" si="62"/>
        <v>0</v>
      </c>
    </row>
    <row r="3975" spans="1:14" x14ac:dyDescent="0.35">
      <c r="A3975" s="22" t="s">
        <v>4045</v>
      </c>
      <c r="B3975" s="23" t="s">
        <v>65</v>
      </c>
      <c r="C3975" s="23">
        <v>7</v>
      </c>
      <c r="D3975" s="24">
        <v>45839</v>
      </c>
      <c r="E3975" s="23" t="s">
        <v>25</v>
      </c>
      <c r="F3975" s="23" t="s">
        <v>59</v>
      </c>
      <c r="G3975" s="23" t="s">
        <v>31</v>
      </c>
      <c r="H3975" s="23" t="s">
        <v>16</v>
      </c>
      <c r="I3975" s="23">
        <v>72</v>
      </c>
      <c r="J3975" s="23">
        <v>2</v>
      </c>
      <c r="K3975" s="23">
        <v>4</v>
      </c>
      <c r="L3975" s="23" t="s">
        <v>55</v>
      </c>
      <c r="M3975" s="25">
        <v>2.5</v>
      </c>
      <c r="N3975">
        <f t="shared" si="62"/>
        <v>1</v>
      </c>
    </row>
    <row r="3976" spans="1:14" x14ac:dyDescent="0.35">
      <c r="A3976" s="6" t="s">
        <v>4046</v>
      </c>
      <c r="B3976" s="19" t="s">
        <v>108</v>
      </c>
      <c r="C3976" s="19">
        <v>7</v>
      </c>
      <c r="D3976" s="20">
        <v>45843</v>
      </c>
      <c r="E3976" s="19" t="s">
        <v>8364</v>
      </c>
      <c r="F3976" s="19" t="s">
        <v>26</v>
      </c>
      <c r="G3976" s="19" t="s">
        <v>8364</v>
      </c>
      <c r="H3976" s="19" t="s">
        <v>22</v>
      </c>
      <c r="I3976" s="19">
        <v>24</v>
      </c>
      <c r="J3976" s="19">
        <v>0</v>
      </c>
      <c r="K3976" s="19">
        <v>5</v>
      </c>
      <c r="L3976" s="19" t="s">
        <v>55</v>
      </c>
      <c r="M3976" s="21">
        <v>8.1999999999999993</v>
      </c>
      <c r="N3976">
        <f t="shared" si="62"/>
        <v>1</v>
      </c>
    </row>
    <row r="3977" spans="1:14" x14ac:dyDescent="0.35">
      <c r="A3977" s="22" t="s">
        <v>4047</v>
      </c>
      <c r="B3977" s="23" t="s">
        <v>69</v>
      </c>
      <c r="C3977" s="23">
        <v>9</v>
      </c>
      <c r="D3977" s="24">
        <v>45929</v>
      </c>
      <c r="E3977" s="23" t="s">
        <v>8364</v>
      </c>
      <c r="F3977" s="23" t="s">
        <v>59</v>
      </c>
      <c r="G3977" s="23" t="s">
        <v>31</v>
      </c>
      <c r="H3977" s="23" t="s">
        <v>16</v>
      </c>
      <c r="I3977" s="23">
        <v>72</v>
      </c>
      <c r="J3977" s="23">
        <v>0</v>
      </c>
      <c r="K3977" s="23">
        <v>2</v>
      </c>
      <c r="L3977" s="23" t="s">
        <v>38</v>
      </c>
      <c r="M3977" s="25">
        <v>17.600000000000001</v>
      </c>
      <c r="N3977">
        <f t="shared" si="62"/>
        <v>1</v>
      </c>
    </row>
    <row r="3978" spans="1:14" x14ac:dyDescent="0.35">
      <c r="A3978" s="6" t="s">
        <v>4048</v>
      </c>
      <c r="B3978" s="19" t="s">
        <v>92</v>
      </c>
      <c r="C3978" s="19">
        <v>6</v>
      </c>
      <c r="D3978" s="20">
        <v>45819</v>
      </c>
      <c r="E3978" s="19" t="s">
        <v>8364</v>
      </c>
      <c r="F3978" s="19" t="s">
        <v>14</v>
      </c>
      <c r="G3978" s="19" t="s">
        <v>27</v>
      </c>
      <c r="H3978" s="19" t="s">
        <v>8364</v>
      </c>
      <c r="I3978" s="19">
        <v>48</v>
      </c>
      <c r="J3978" s="19">
        <v>0</v>
      </c>
      <c r="K3978" s="19">
        <v>3</v>
      </c>
      <c r="L3978" s="19" t="s">
        <v>44</v>
      </c>
      <c r="M3978" s="21">
        <v>13.3</v>
      </c>
      <c r="N3978">
        <f t="shared" si="62"/>
        <v>1</v>
      </c>
    </row>
    <row r="3979" spans="1:14" x14ac:dyDescent="0.35">
      <c r="A3979" s="22" t="s">
        <v>4049</v>
      </c>
      <c r="B3979" s="23" t="s">
        <v>34</v>
      </c>
      <c r="C3979" s="23">
        <v>5</v>
      </c>
      <c r="D3979" s="24">
        <v>45800</v>
      </c>
      <c r="E3979" s="23" t="s">
        <v>68</v>
      </c>
      <c r="F3979" s="23" t="s">
        <v>37</v>
      </c>
      <c r="G3979" s="23" t="s">
        <v>8364</v>
      </c>
      <c r="H3979" s="23" t="s">
        <v>28</v>
      </c>
      <c r="I3979" s="23">
        <v>72</v>
      </c>
      <c r="J3979" s="23">
        <v>0</v>
      </c>
      <c r="K3979" s="23">
        <v>5</v>
      </c>
      <c r="L3979" s="23" t="s">
        <v>62</v>
      </c>
      <c r="M3979" s="25">
        <v>3.9</v>
      </c>
      <c r="N3979">
        <f t="shared" si="62"/>
        <v>1</v>
      </c>
    </row>
    <row r="3980" spans="1:14" x14ac:dyDescent="0.35">
      <c r="A3980" s="6" t="s">
        <v>4050</v>
      </c>
      <c r="B3980" s="19" t="s">
        <v>65</v>
      </c>
      <c r="C3980" s="19">
        <v>6</v>
      </c>
      <c r="D3980" s="20">
        <v>45812</v>
      </c>
      <c r="E3980" s="19" t="s">
        <v>20</v>
      </c>
      <c r="F3980" s="19" t="s">
        <v>14</v>
      </c>
      <c r="G3980" s="19" t="s">
        <v>15</v>
      </c>
      <c r="H3980" s="19" t="s">
        <v>32</v>
      </c>
      <c r="I3980" s="19">
        <v>72</v>
      </c>
      <c r="J3980" s="19">
        <v>0</v>
      </c>
      <c r="K3980" s="19">
        <v>5</v>
      </c>
      <c r="L3980" s="19" t="s">
        <v>8363</v>
      </c>
      <c r="M3980" s="21">
        <v>12.1</v>
      </c>
      <c r="N3980">
        <f t="shared" si="62"/>
        <v>1</v>
      </c>
    </row>
    <row r="3981" spans="1:14" x14ac:dyDescent="0.35">
      <c r="A3981" s="22" t="s">
        <v>4051</v>
      </c>
      <c r="B3981" s="23" t="s">
        <v>57</v>
      </c>
      <c r="C3981" s="23">
        <v>2</v>
      </c>
      <c r="D3981" s="24">
        <v>45692</v>
      </c>
      <c r="E3981" s="23" t="s">
        <v>13</v>
      </c>
      <c r="F3981" s="23" t="s">
        <v>26</v>
      </c>
      <c r="G3981" s="23" t="s">
        <v>8364</v>
      </c>
      <c r="H3981" s="23" t="s">
        <v>32</v>
      </c>
      <c r="I3981" s="23">
        <v>72</v>
      </c>
      <c r="J3981" s="23">
        <v>0</v>
      </c>
      <c r="K3981" s="23">
        <v>5</v>
      </c>
      <c r="L3981" s="23" t="s">
        <v>33</v>
      </c>
      <c r="M3981" s="25">
        <v>4.4000000000000004</v>
      </c>
      <c r="N3981">
        <f t="shared" si="62"/>
        <v>1</v>
      </c>
    </row>
    <row r="3982" spans="1:14" x14ac:dyDescent="0.35">
      <c r="A3982" s="6" t="s">
        <v>4052</v>
      </c>
      <c r="B3982" s="19" t="s">
        <v>78</v>
      </c>
      <c r="C3982" s="19">
        <v>10</v>
      </c>
      <c r="D3982" s="20">
        <v>45944</v>
      </c>
      <c r="E3982" s="19" t="s">
        <v>8364</v>
      </c>
      <c r="F3982" s="19" t="s">
        <v>8364</v>
      </c>
      <c r="G3982" s="19" t="s">
        <v>31</v>
      </c>
      <c r="H3982" s="19" t="s">
        <v>8364</v>
      </c>
      <c r="I3982" s="19">
        <v>72</v>
      </c>
      <c r="J3982" s="19">
        <v>0</v>
      </c>
      <c r="K3982" s="19"/>
      <c r="L3982" s="19" t="s">
        <v>8363</v>
      </c>
      <c r="M3982" s="21">
        <v>5.3</v>
      </c>
      <c r="N3982">
        <f t="shared" si="62"/>
        <v>1</v>
      </c>
    </row>
    <row r="3983" spans="1:14" x14ac:dyDescent="0.35">
      <c r="A3983" s="22" t="s">
        <v>4053</v>
      </c>
      <c r="B3983" s="23" t="s">
        <v>81</v>
      </c>
      <c r="C3983" s="23">
        <v>5</v>
      </c>
      <c r="D3983" s="24">
        <v>45792</v>
      </c>
      <c r="E3983" s="23" t="s">
        <v>68</v>
      </c>
      <c r="F3983" s="23" t="s">
        <v>43</v>
      </c>
      <c r="G3983" s="23" t="s">
        <v>31</v>
      </c>
      <c r="H3983" s="23" t="s">
        <v>28</v>
      </c>
      <c r="I3983" s="23">
        <v>24</v>
      </c>
      <c r="J3983" s="23">
        <v>3</v>
      </c>
      <c r="K3983" s="23">
        <v>4</v>
      </c>
      <c r="L3983" s="23" t="s">
        <v>33</v>
      </c>
      <c r="M3983" s="25">
        <v>7.7</v>
      </c>
      <c r="N3983">
        <f t="shared" si="62"/>
        <v>1</v>
      </c>
    </row>
    <row r="3984" spans="1:14" x14ac:dyDescent="0.35">
      <c r="A3984" s="6" t="s">
        <v>4054</v>
      </c>
      <c r="B3984" s="19" t="s">
        <v>126</v>
      </c>
      <c r="C3984" s="19"/>
      <c r="D3984" s="20"/>
      <c r="E3984" s="19" t="s">
        <v>68</v>
      </c>
      <c r="F3984" s="19" t="s">
        <v>43</v>
      </c>
      <c r="G3984" s="19" t="s">
        <v>8364</v>
      </c>
      <c r="H3984" s="19" t="s">
        <v>28</v>
      </c>
      <c r="I3984" s="19">
        <v>72</v>
      </c>
      <c r="J3984" s="19">
        <v>2</v>
      </c>
      <c r="K3984" s="19">
        <v>4</v>
      </c>
      <c r="L3984" s="19" t="s">
        <v>33</v>
      </c>
      <c r="M3984" s="21">
        <v>7.3</v>
      </c>
      <c r="N3984">
        <f t="shared" si="62"/>
        <v>1</v>
      </c>
    </row>
    <row r="3985" spans="1:14" x14ac:dyDescent="0.35">
      <c r="A3985" s="22" t="s">
        <v>4055</v>
      </c>
      <c r="B3985" s="23" t="s">
        <v>130</v>
      </c>
      <c r="C3985" s="23">
        <v>1</v>
      </c>
      <c r="D3985" s="24">
        <v>45684</v>
      </c>
      <c r="E3985" s="23" t="s">
        <v>36</v>
      </c>
      <c r="F3985" s="23" t="s">
        <v>40</v>
      </c>
      <c r="G3985" s="23" t="s">
        <v>27</v>
      </c>
      <c r="H3985" s="23" t="s">
        <v>22</v>
      </c>
      <c r="I3985" s="23">
        <v>72</v>
      </c>
      <c r="J3985" s="23">
        <v>0</v>
      </c>
      <c r="K3985" s="23">
        <v>5</v>
      </c>
      <c r="L3985" s="23" t="s">
        <v>44</v>
      </c>
      <c r="M3985" s="25">
        <v>3.4</v>
      </c>
      <c r="N3985">
        <f t="shared" si="62"/>
        <v>1</v>
      </c>
    </row>
    <row r="3986" spans="1:14" x14ac:dyDescent="0.35">
      <c r="A3986" s="6" t="s">
        <v>4056</v>
      </c>
      <c r="B3986" s="19" t="s">
        <v>236</v>
      </c>
      <c r="C3986" s="19">
        <v>7</v>
      </c>
      <c r="D3986" s="20">
        <v>45840</v>
      </c>
      <c r="E3986" s="19" t="s">
        <v>25</v>
      </c>
      <c r="F3986" s="19" t="s">
        <v>37</v>
      </c>
      <c r="G3986" s="19" t="s">
        <v>8364</v>
      </c>
      <c r="H3986" s="19" t="s">
        <v>32</v>
      </c>
      <c r="I3986" s="19">
        <v>8</v>
      </c>
      <c r="J3986" s="19">
        <v>1</v>
      </c>
      <c r="K3986" s="19">
        <v>1</v>
      </c>
      <c r="L3986" s="19" t="s">
        <v>75</v>
      </c>
      <c r="M3986" s="21">
        <v>3.4</v>
      </c>
      <c r="N3986">
        <f t="shared" si="62"/>
        <v>1</v>
      </c>
    </row>
    <row r="3987" spans="1:14" x14ac:dyDescent="0.35">
      <c r="A3987" s="22" t="s">
        <v>4057</v>
      </c>
      <c r="B3987" s="23" t="s">
        <v>34</v>
      </c>
      <c r="C3987" s="23">
        <v>9</v>
      </c>
      <c r="D3987" s="24">
        <v>45924</v>
      </c>
      <c r="E3987" s="23" t="s">
        <v>13</v>
      </c>
      <c r="F3987" s="23" t="s">
        <v>26</v>
      </c>
      <c r="G3987" s="23" t="s">
        <v>15</v>
      </c>
      <c r="H3987" s="23" t="s">
        <v>28</v>
      </c>
      <c r="I3987" s="23">
        <v>24</v>
      </c>
      <c r="J3987" s="23">
        <v>0</v>
      </c>
      <c r="K3987" s="23"/>
      <c r="L3987" s="23" t="s">
        <v>33</v>
      </c>
      <c r="M3987" s="25">
        <v>3.9</v>
      </c>
      <c r="N3987">
        <f t="shared" si="62"/>
        <v>1</v>
      </c>
    </row>
    <row r="3988" spans="1:14" x14ac:dyDescent="0.35">
      <c r="A3988" s="6" t="s">
        <v>4058</v>
      </c>
      <c r="B3988" s="19" t="s">
        <v>97</v>
      </c>
      <c r="C3988" s="19">
        <v>9</v>
      </c>
      <c r="D3988" s="20">
        <v>45913</v>
      </c>
      <c r="E3988" s="19" t="s">
        <v>25</v>
      </c>
      <c r="F3988" s="19" t="s">
        <v>14</v>
      </c>
      <c r="G3988" s="19" t="s">
        <v>8364</v>
      </c>
      <c r="H3988" s="19" t="s">
        <v>32</v>
      </c>
      <c r="I3988" s="19">
        <v>24</v>
      </c>
      <c r="J3988" s="19">
        <v>0</v>
      </c>
      <c r="K3988" s="19">
        <v>4</v>
      </c>
      <c r="L3988" s="19" t="s">
        <v>38</v>
      </c>
      <c r="M3988" s="21">
        <v>2.1</v>
      </c>
      <c r="N3988">
        <f t="shared" si="62"/>
        <v>1</v>
      </c>
    </row>
    <row r="3989" spans="1:14" x14ac:dyDescent="0.35">
      <c r="A3989" s="22" t="s">
        <v>4059</v>
      </c>
      <c r="B3989" s="23" t="s">
        <v>51</v>
      </c>
      <c r="C3989" s="23">
        <v>7</v>
      </c>
      <c r="D3989" s="24">
        <v>45842</v>
      </c>
      <c r="E3989" s="23" t="s">
        <v>36</v>
      </c>
      <c r="F3989" s="23" t="s">
        <v>43</v>
      </c>
      <c r="G3989" s="23" t="s">
        <v>31</v>
      </c>
      <c r="H3989" s="23" t="s">
        <v>8364</v>
      </c>
      <c r="I3989" s="23">
        <v>8</v>
      </c>
      <c r="J3989" s="23">
        <v>0</v>
      </c>
      <c r="K3989" s="23">
        <v>5</v>
      </c>
      <c r="L3989" s="23" t="s">
        <v>62</v>
      </c>
      <c r="M3989" s="25">
        <v>11.7</v>
      </c>
      <c r="N3989">
        <f t="shared" si="62"/>
        <v>0</v>
      </c>
    </row>
    <row r="3990" spans="1:14" x14ac:dyDescent="0.35">
      <c r="A3990" s="6" t="s">
        <v>4060</v>
      </c>
      <c r="B3990" s="19" t="s">
        <v>101</v>
      </c>
      <c r="C3990" s="19">
        <v>4</v>
      </c>
      <c r="D3990" s="20">
        <v>45755</v>
      </c>
      <c r="E3990" s="19" t="s">
        <v>8364</v>
      </c>
      <c r="F3990" s="19" t="s">
        <v>14</v>
      </c>
      <c r="G3990" s="19" t="s">
        <v>31</v>
      </c>
      <c r="H3990" s="19" t="s">
        <v>22</v>
      </c>
      <c r="I3990" s="19">
        <v>8</v>
      </c>
      <c r="J3990" s="19">
        <v>0</v>
      </c>
      <c r="K3990" s="19">
        <v>3</v>
      </c>
      <c r="L3990" s="19" t="s">
        <v>55</v>
      </c>
      <c r="M3990" s="21">
        <v>8</v>
      </c>
      <c r="N3990">
        <f t="shared" si="62"/>
        <v>1</v>
      </c>
    </row>
    <row r="3991" spans="1:14" x14ac:dyDescent="0.35">
      <c r="A3991" s="22" t="s">
        <v>4061</v>
      </c>
      <c r="B3991" s="23" t="s">
        <v>57</v>
      </c>
      <c r="C3991" s="23">
        <v>10</v>
      </c>
      <c r="D3991" s="24">
        <v>45932</v>
      </c>
      <c r="E3991" s="23" t="s">
        <v>36</v>
      </c>
      <c r="F3991" s="23" t="s">
        <v>40</v>
      </c>
      <c r="G3991" s="23" t="s">
        <v>31</v>
      </c>
      <c r="H3991" s="23" t="s">
        <v>16</v>
      </c>
      <c r="I3991" s="23">
        <v>4</v>
      </c>
      <c r="J3991" s="23">
        <v>1</v>
      </c>
      <c r="K3991" s="23">
        <v>5</v>
      </c>
      <c r="L3991" s="23" t="s">
        <v>17</v>
      </c>
      <c r="M3991" s="25">
        <v>8.1999999999999993</v>
      </c>
      <c r="N3991">
        <f t="shared" si="62"/>
        <v>0</v>
      </c>
    </row>
    <row r="3992" spans="1:14" x14ac:dyDescent="0.35">
      <c r="A3992" s="6" t="s">
        <v>4062</v>
      </c>
      <c r="B3992" s="19" t="s">
        <v>126</v>
      </c>
      <c r="C3992" s="19">
        <v>10</v>
      </c>
      <c r="D3992" s="20">
        <v>45948</v>
      </c>
      <c r="E3992" s="19" t="s">
        <v>13</v>
      </c>
      <c r="F3992" s="19" t="s">
        <v>40</v>
      </c>
      <c r="G3992" s="19" t="s">
        <v>15</v>
      </c>
      <c r="H3992" s="19" t="s">
        <v>28</v>
      </c>
      <c r="I3992" s="19">
        <v>4</v>
      </c>
      <c r="J3992" s="19">
        <v>0</v>
      </c>
      <c r="K3992" s="19">
        <v>5</v>
      </c>
      <c r="L3992" s="19" t="s">
        <v>75</v>
      </c>
      <c r="M3992" s="21">
        <v>4</v>
      </c>
      <c r="N3992">
        <f t="shared" si="62"/>
        <v>1</v>
      </c>
    </row>
    <row r="3993" spans="1:14" x14ac:dyDescent="0.35">
      <c r="A3993" s="22" t="s">
        <v>4063</v>
      </c>
      <c r="B3993" s="23" t="s">
        <v>23</v>
      </c>
      <c r="C3993" s="23">
        <v>8</v>
      </c>
      <c r="D3993" s="24">
        <v>45897</v>
      </c>
      <c r="E3993" s="23" t="s">
        <v>36</v>
      </c>
      <c r="F3993" s="23" t="s">
        <v>59</v>
      </c>
      <c r="G3993" s="23" t="s">
        <v>31</v>
      </c>
      <c r="H3993" s="23" t="s">
        <v>32</v>
      </c>
      <c r="I3993" s="23">
        <v>72</v>
      </c>
      <c r="J3993" s="23">
        <v>0</v>
      </c>
      <c r="K3993" s="23">
        <v>5</v>
      </c>
      <c r="L3993" s="23" t="s">
        <v>38</v>
      </c>
      <c r="M3993" s="25">
        <v>6.2</v>
      </c>
      <c r="N3993">
        <f t="shared" si="62"/>
        <v>1</v>
      </c>
    </row>
    <row r="3994" spans="1:14" x14ac:dyDescent="0.35">
      <c r="A3994" s="6" t="s">
        <v>4064</v>
      </c>
      <c r="B3994" s="19" t="s">
        <v>57</v>
      </c>
      <c r="C3994" s="19">
        <v>9</v>
      </c>
      <c r="D3994" s="20">
        <v>45928</v>
      </c>
      <c r="E3994" s="19" t="s">
        <v>13</v>
      </c>
      <c r="F3994" s="19" t="s">
        <v>8364</v>
      </c>
      <c r="G3994" s="19" t="s">
        <v>31</v>
      </c>
      <c r="H3994" s="19" t="s">
        <v>16</v>
      </c>
      <c r="I3994" s="19">
        <v>72</v>
      </c>
      <c r="J3994" s="19">
        <v>0</v>
      </c>
      <c r="K3994" s="19">
        <v>5</v>
      </c>
      <c r="L3994" s="19" t="s">
        <v>8363</v>
      </c>
      <c r="M3994" s="21">
        <v>20.3</v>
      </c>
      <c r="N3994">
        <f t="shared" si="62"/>
        <v>1</v>
      </c>
    </row>
    <row r="3995" spans="1:14" x14ac:dyDescent="0.35">
      <c r="A3995" s="22" t="s">
        <v>4065</v>
      </c>
      <c r="B3995" s="23" t="s">
        <v>89</v>
      </c>
      <c r="C3995" s="23">
        <v>12</v>
      </c>
      <c r="D3995" s="24">
        <v>46022</v>
      </c>
      <c r="E3995" s="23" t="s">
        <v>25</v>
      </c>
      <c r="F3995" s="23" t="s">
        <v>14</v>
      </c>
      <c r="G3995" s="23" t="s">
        <v>15</v>
      </c>
      <c r="H3995" s="23" t="s">
        <v>32</v>
      </c>
      <c r="I3995" s="23">
        <v>24</v>
      </c>
      <c r="J3995" s="23">
        <v>0</v>
      </c>
      <c r="K3995" s="23">
        <v>1</v>
      </c>
      <c r="L3995" s="23" t="s">
        <v>75</v>
      </c>
      <c r="M3995" s="25">
        <v>1.9</v>
      </c>
      <c r="N3995">
        <f t="shared" si="62"/>
        <v>1</v>
      </c>
    </row>
    <row r="3996" spans="1:14" x14ac:dyDescent="0.35">
      <c r="A3996" s="6" t="s">
        <v>4066</v>
      </c>
      <c r="B3996" s="19" t="s">
        <v>89</v>
      </c>
      <c r="C3996" s="19">
        <v>7</v>
      </c>
      <c r="D3996" s="20">
        <v>45842</v>
      </c>
      <c r="E3996" s="19" t="s">
        <v>8364</v>
      </c>
      <c r="F3996" s="19" t="s">
        <v>43</v>
      </c>
      <c r="G3996" s="19" t="s">
        <v>27</v>
      </c>
      <c r="H3996" s="19" t="s">
        <v>32</v>
      </c>
      <c r="I3996" s="19">
        <v>8</v>
      </c>
      <c r="J3996" s="19">
        <v>2</v>
      </c>
      <c r="K3996" s="19">
        <v>4</v>
      </c>
      <c r="L3996" s="19" t="s">
        <v>17</v>
      </c>
      <c r="M3996" s="21">
        <v>20.8</v>
      </c>
      <c r="N3996">
        <f t="shared" si="62"/>
        <v>0</v>
      </c>
    </row>
    <row r="3997" spans="1:14" x14ac:dyDescent="0.35">
      <c r="A3997" s="22" t="s">
        <v>4067</v>
      </c>
      <c r="B3997" s="23" t="s">
        <v>41</v>
      </c>
      <c r="C3997" s="23">
        <v>1</v>
      </c>
      <c r="D3997" s="24">
        <v>45676</v>
      </c>
      <c r="E3997" s="23" t="s">
        <v>13</v>
      </c>
      <c r="F3997" s="23" t="s">
        <v>37</v>
      </c>
      <c r="G3997" s="23" t="s">
        <v>31</v>
      </c>
      <c r="H3997" s="23" t="s">
        <v>22</v>
      </c>
      <c r="I3997" s="23">
        <v>4</v>
      </c>
      <c r="J3997" s="23">
        <v>1</v>
      </c>
      <c r="K3997" s="23">
        <v>3</v>
      </c>
      <c r="L3997" s="23" t="s">
        <v>38</v>
      </c>
      <c r="M3997" s="25">
        <v>3.4</v>
      </c>
      <c r="N3997">
        <f t="shared" si="62"/>
        <v>1</v>
      </c>
    </row>
    <row r="3998" spans="1:14" x14ac:dyDescent="0.35">
      <c r="A3998" s="6" t="s">
        <v>4068</v>
      </c>
      <c r="B3998" s="19" t="s">
        <v>39</v>
      </c>
      <c r="C3998" s="19">
        <v>1</v>
      </c>
      <c r="D3998" s="20">
        <v>45675</v>
      </c>
      <c r="E3998" s="19" t="s">
        <v>20</v>
      </c>
      <c r="F3998" s="19" t="s">
        <v>37</v>
      </c>
      <c r="G3998" s="19" t="s">
        <v>15</v>
      </c>
      <c r="H3998" s="19" t="s">
        <v>32</v>
      </c>
      <c r="I3998" s="19">
        <v>72</v>
      </c>
      <c r="J3998" s="19">
        <v>1</v>
      </c>
      <c r="K3998" s="19">
        <v>4</v>
      </c>
      <c r="L3998" s="19" t="s">
        <v>75</v>
      </c>
      <c r="M3998" s="21">
        <v>13.7</v>
      </c>
      <c r="N3998">
        <f t="shared" si="62"/>
        <v>1</v>
      </c>
    </row>
    <row r="3999" spans="1:14" x14ac:dyDescent="0.35">
      <c r="A3999" s="22" t="s">
        <v>4069</v>
      </c>
      <c r="B3999" s="23" t="s">
        <v>99</v>
      </c>
      <c r="C3999" s="23">
        <v>4</v>
      </c>
      <c r="D3999" s="24">
        <v>45748</v>
      </c>
      <c r="E3999" s="23" t="s">
        <v>25</v>
      </c>
      <c r="F3999" s="23" t="s">
        <v>14</v>
      </c>
      <c r="G3999" s="23" t="s">
        <v>21</v>
      </c>
      <c r="H3999" s="23" t="s">
        <v>32</v>
      </c>
      <c r="I3999" s="23">
        <v>72</v>
      </c>
      <c r="J3999" s="23">
        <v>0</v>
      </c>
      <c r="K3999" s="23"/>
      <c r="L3999" s="23" t="s">
        <v>38</v>
      </c>
      <c r="M3999" s="25">
        <v>2.7</v>
      </c>
      <c r="N3999">
        <f t="shared" si="62"/>
        <v>1</v>
      </c>
    </row>
    <row r="4000" spans="1:14" x14ac:dyDescent="0.35">
      <c r="A4000" s="6" t="s">
        <v>4070</v>
      </c>
      <c r="B4000" s="19" t="s">
        <v>101</v>
      </c>
      <c r="C4000" s="19">
        <v>9</v>
      </c>
      <c r="D4000" s="20">
        <v>45904</v>
      </c>
      <c r="E4000" s="19" t="s">
        <v>8364</v>
      </c>
      <c r="F4000" s="19" t="s">
        <v>40</v>
      </c>
      <c r="G4000" s="19" t="s">
        <v>15</v>
      </c>
      <c r="H4000" s="19" t="s">
        <v>32</v>
      </c>
      <c r="I4000" s="19">
        <v>4</v>
      </c>
      <c r="J4000" s="19">
        <v>0</v>
      </c>
      <c r="K4000" s="19">
        <v>3</v>
      </c>
      <c r="L4000" s="19" t="s">
        <v>8363</v>
      </c>
      <c r="M4000" s="21">
        <v>3.7</v>
      </c>
      <c r="N4000">
        <f t="shared" si="62"/>
        <v>1</v>
      </c>
    </row>
    <row r="4001" spans="1:14" x14ac:dyDescent="0.35">
      <c r="A4001" s="22" t="s">
        <v>4071</v>
      </c>
      <c r="B4001" s="23" t="s">
        <v>47</v>
      </c>
      <c r="C4001" s="23">
        <v>12</v>
      </c>
      <c r="D4001" s="24">
        <v>46011</v>
      </c>
      <c r="E4001" s="23" t="s">
        <v>25</v>
      </c>
      <c r="F4001" s="23" t="s">
        <v>8364</v>
      </c>
      <c r="G4001" s="23" t="s">
        <v>15</v>
      </c>
      <c r="H4001" s="23" t="s">
        <v>28</v>
      </c>
      <c r="I4001" s="23">
        <v>72</v>
      </c>
      <c r="J4001" s="23">
        <v>0</v>
      </c>
      <c r="K4001" s="23">
        <v>5</v>
      </c>
      <c r="L4001" s="23" t="s">
        <v>44</v>
      </c>
      <c r="M4001" s="25">
        <v>2.9</v>
      </c>
      <c r="N4001">
        <f t="shared" si="62"/>
        <v>1</v>
      </c>
    </row>
    <row r="4002" spans="1:14" x14ac:dyDescent="0.35">
      <c r="A4002" s="6" t="s">
        <v>4072</v>
      </c>
      <c r="B4002" s="19" t="s">
        <v>81</v>
      </c>
      <c r="C4002" s="19">
        <v>7</v>
      </c>
      <c r="D4002" s="20">
        <v>45859</v>
      </c>
      <c r="E4002" s="19" t="s">
        <v>13</v>
      </c>
      <c r="F4002" s="19" t="s">
        <v>59</v>
      </c>
      <c r="G4002" s="19" t="s">
        <v>31</v>
      </c>
      <c r="H4002" s="19" t="s">
        <v>22</v>
      </c>
      <c r="I4002" s="19">
        <v>48</v>
      </c>
      <c r="J4002" s="19">
        <v>0</v>
      </c>
      <c r="K4002" s="19">
        <v>4</v>
      </c>
      <c r="L4002" s="19" t="s">
        <v>8363</v>
      </c>
      <c r="M4002" s="21">
        <v>1.4</v>
      </c>
      <c r="N4002">
        <f t="shared" si="62"/>
        <v>1</v>
      </c>
    </row>
    <row r="4003" spans="1:14" x14ac:dyDescent="0.35">
      <c r="A4003" s="22" t="s">
        <v>4073</v>
      </c>
      <c r="B4003" s="23" t="s">
        <v>49</v>
      </c>
      <c r="C4003" s="23">
        <v>7</v>
      </c>
      <c r="D4003" s="24">
        <v>45853</v>
      </c>
      <c r="E4003" s="23" t="s">
        <v>68</v>
      </c>
      <c r="F4003" s="23" t="s">
        <v>8364</v>
      </c>
      <c r="G4003" s="23" t="s">
        <v>31</v>
      </c>
      <c r="H4003" s="23" t="s">
        <v>8364</v>
      </c>
      <c r="I4003" s="23">
        <v>8</v>
      </c>
      <c r="J4003" s="23">
        <v>0</v>
      </c>
      <c r="K4003" s="23">
        <v>5</v>
      </c>
      <c r="L4003" s="23" t="s">
        <v>75</v>
      </c>
      <c r="M4003" s="25">
        <v>10.8</v>
      </c>
      <c r="N4003">
        <f t="shared" si="62"/>
        <v>0</v>
      </c>
    </row>
    <row r="4004" spans="1:14" x14ac:dyDescent="0.35">
      <c r="A4004" s="6" t="s">
        <v>4074</v>
      </c>
      <c r="B4004" s="19" t="s">
        <v>139</v>
      </c>
      <c r="C4004" s="19">
        <v>11</v>
      </c>
      <c r="D4004" s="20">
        <v>45971</v>
      </c>
      <c r="E4004" s="19" t="s">
        <v>36</v>
      </c>
      <c r="F4004" s="19" t="s">
        <v>40</v>
      </c>
      <c r="G4004" s="19" t="s">
        <v>21</v>
      </c>
      <c r="H4004" s="19" t="s">
        <v>22</v>
      </c>
      <c r="I4004" s="19">
        <v>72</v>
      </c>
      <c r="J4004" s="19">
        <v>0</v>
      </c>
      <c r="K4004" s="19">
        <v>4</v>
      </c>
      <c r="L4004" s="19" t="s">
        <v>8363</v>
      </c>
      <c r="M4004" s="21">
        <v>3</v>
      </c>
      <c r="N4004">
        <f t="shared" si="62"/>
        <v>1</v>
      </c>
    </row>
    <row r="4005" spans="1:14" x14ac:dyDescent="0.35">
      <c r="A4005" s="22" t="s">
        <v>4075</v>
      </c>
      <c r="B4005" s="23" t="s">
        <v>47</v>
      </c>
      <c r="C4005" s="23">
        <v>10</v>
      </c>
      <c r="D4005" s="24">
        <v>45931</v>
      </c>
      <c r="E4005" s="23" t="s">
        <v>36</v>
      </c>
      <c r="F4005" s="23" t="s">
        <v>8364</v>
      </c>
      <c r="G4005" s="23" t="s">
        <v>8364</v>
      </c>
      <c r="H4005" s="23" t="s">
        <v>16</v>
      </c>
      <c r="I4005" s="23">
        <v>8</v>
      </c>
      <c r="J4005" s="23">
        <v>0</v>
      </c>
      <c r="K4005" s="23">
        <v>3</v>
      </c>
      <c r="L4005" s="23" t="s">
        <v>17</v>
      </c>
      <c r="M4005" s="25">
        <v>2.5</v>
      </c>
      <c r="N4005">
        <f t="shared" si="62"/>
        <v>1</v>
      </c>
    </row>
    <row r="4006" spans="1:14" x14ac:dyDescent="0.35">
      <c r="A4006" s="6" t="s">
        <v>4076</v>
      </c>
      <c r="B4006" s="19" t="s">
        <v>89</v>
      </c>
      <c r="C4006" s="19">
        <v>2</v>
      </c>
      <c r="D4006" s="20">
        <v>45698</v>
      </c>
      <c r="E4006" s="19" t="s">
        <v>25</v>
      </c>
      <c r="F4006" s="19" t="s">
        <v>59</v>
      </c>
      <c r="G4006" s="19" t="s">
        <v>21</v>
      </c>
      <c r="H4006" s="19" t="s">
        <v>22</v>
      </c>
      <c r="I4006" s="19">
        <v>24</v>
      </c>
      <c r="J4006" s="19">
        <v>0</v>
      </c>
      <c r="K4006" s="19">
        <v>5</v>
      </c>
      <c r="L4006" s="19" t="s">
        <v>8363</v>
      </c>
      <c r="M4006" s="21">
        <v>46.3</v>
      </c>
      <c r="N4006">
        <f t="shared" si="62"/>
        <v>0</v>
      </c>
    </row>
    <row r="4007" spans="1:14" x14ac:dyDescent="0.35">
      <c r="A4007" s="22" t="s">
        <v>4077</v>
      </c>
      <c r="B4007" s="23" t="s">
        <v>108</v>
      </c>
      <c r="C4007" s="23">
        <v>4</v>
      </c>
      <c r="D4007" s="24">
        <v>45765</v>
      </c>
      <c r="E4007" s="23" t="s">
        <v>20</v>
      </c>
      <c r="F4007" s="23" t="s">
        <v>59</v>
      </c>
      <c r="G4007" s="23" t="s">
        <v>27</v>
      </c>
      <c r="H4007" s="23" t="s">
        <v>22</v>
      </c>
      <c r="I4007" s="23">
        <v>4</v>
      </c>
      <c r="J4007" s="23">
        <v>0</v>
      </c>
      <c r="K4007" s="23">
        <v>3</v>
      </c>
      <c r="L4007" s="23" t="s">
        <v>8363</v>
      </c>
      <c r="M4007" s="25">
        <v>29.1</v>
      </c>
      <c r="N4007">
        <f t="shared" si="62"/>
        <v>0</v>
      </c>
    </row>
    <row r="4008" spans="1:14" x14ac:dyDescent="0.35">
      <c r="A4008" s="6" t="s">
        <v>4078</v>
      </c>
      <c r="B4008" s="19" t="s">
        <v>69</v>
      </c>
      <c r="C4008" s="19">
        <v>9</v>
      </c>
      <c r="D4008" s="20">
        <v>45913</v>
      </c>
      <c r="E4008" s="19" t="s">
        <v>13</v>
      </c>
      <c r="F4008" s="19" t="s">
        <v>8364</v>
      </c>
      <c r="G4008" s="19" t="s">
        <v>15</v>
      </c>
      <c r="H4008" s="19" t="s">
        <v>16</v>
      </c>
      <c r="I4008" s="19">
        <v>8</v>
      </c>
      <c r="J4008" s="19">
        <v>0</v>
      </c>
      <c r="K4008" s="19">
        <v>4</v>
      </c>
      <c r="L4008" s="19" t="s">
        <v>8363</v>
      </c>
      <c r="M4008" s="21">
        <v>4.2</v>
      </c>
      <c r="N4008">
        <f t="shared" si="62"/>
        <v>1</v>
      </c>
    </row>
    <row r="4009" spans="1:14" x14ac:dyDescent="0.35">
      <c r="A4009" s="22" t="s">
        <v>4079</v>
      </c>
      <c r="B4009" s="23" t="s">
        <v>81</v>
      </c>
      <c r="C4009" s="23">
        <v>5</v>
      </c>
      <c r="D4009" s="24">
        <v>45804</v>
      </c>
      <c r="E4009" s="23" t="s">
        <v>13</v>
      </c>
      <c r="F4009" s="23" t="s">
        <v>40</v>
      </c>
      <c r="G4009" s="23" t="s">
        <v>27</v>
      </c>
      <c r="H4009" s="23" t="s">
        <v>22</v>
      </c>
      <c r="I4009" s="23">
        <v>4</v>
      </c>
      <c r="J4009" s="23">
        <v>0</v>
      </c>
      <c r="K4009" s="23">
        <v>5</v>
      </c>
      <c r="L4009" s="23" t="s">
        <v>17</v>
      </c>
      <c r="M4009" s="25">
        <v>1.5</v>
      </c>
      <c r="N4009">
        <f t="shared" si="62"/>
        <v>1</v>
      </c>
    </row>
    <row r="4010" spans="1:14" x14ac:dyDescent="0.35">
      <c r="A4010" s="6" t="s">
        <v>4080</v>
      </c>
      <c r="B4010" s="19" t="s">
        <v>130</v>
      </c>
      <c r="C4010" s="19">
        <v>10</v>
      </c>
      <c r="D4010" s="20">
        <v>45931</v>
      </c>
      <c r="E4010" s="19" t="s">
        <v>25</v>
      </c>
      <c r="F4010" s="19" t="s">
        <v>59</v>
      </c>
      <c r="G4010" s="19" t="s">
        <v>27</v>
      </c>
      <c r="H4010" s="19" t="s">
        <v>28</v>
      </c>
      <c r="I4010" s="19">
        <v>4</v>
      </c>
      <c r="J4010" s="19">
        <v>1</v>
      </c>
      <c r="K4010" s="19">
        <v>3</v>
      </c>
      <c r="L4010" s="19" t="s">
        <v>17</v>
      </c>
      <c r="M4010" s="21">
        <v>6.5</v>
      </c>
      <c r="N4010">
        <f t="shared" si="62"/>
        <v>0</v>
      </c>
    </row>
    <row r="4011" spans="1:14" x14ac:dyDescent="0.35">
      <c r="A4011" s="22" t="s">
        <v>4081</v>
      </c>
      <c r="B4011" s="23" t="s">
        <v>29</v>
      </c>
      <c r="C4011" s="23">
        <v>7</v>
      </c>
      <c r="D4011" s="24">
        <v>45852</v>
      </c>
      <c r="E4011" s="23" t="s">
        <v>13</v>
      </c>
      <c r="F4011" s="23" t="s">
        <v>14</v>
      </c>
      <c r="G4011" s="23" t="s">
        <v>21</v>
      </c>
      <c r="H4011" s="23" t="s">
        <v>22</v>
      </c>
      <c r="I4011" s="23">
        <v>72</v>
      </c>
      <c r="J4011" s="23">
        <v>0</v>
      </c>
      <c r="K4011" s="23">
        <v>5</v>
      </c>
      <c r="L4011" s="23" t="s">
        <v>62</v>
      </c>
      <c r="M4011" s="25">
        <v>4.2</v>
      </c>
      <c r="N4011">
        <f t="shared" si="62"/>
        <v>1</v>
      </c>
    </row>
    <row r="4012" spans="1:14" x14ac:dyDescent="0.35">
      <c r="A4012" s="6" t="s">
        <v>4082</v>
      </c>
      <c r="B4012" s="19" t="s">
        <v>41</v>
      </c>
      <c r="C4012" s="19">
        <v>12</v>
      </c>
      <c r="D4012" s="20">
        <v>46009</v>
      </c>
      <c r="E4012" s="19" t="s">
        <v>25</v>
      </c>
      <c r="F4012" s="19" t="s">
        <v>43</v>
      </c>
      <c r="G4012" s="19" t="s">
        <v>31</v>
      </c>
      <c r="H4012" s="19" t="s">
        <v>28</v>
      </c>
      <c r="I4012" s="19">
        <v>24</v>
      </c>
      <c r="J4012" s="19">
        <v>3</v>
      </c>
      <c r="K4012" s="19">
        <v>3</v>
      </c>
      <c r="L4012" s="19" t="s">
        <v>62</v>
      </c>
      <c r="M4012" s="21">
        <v>8.8000000000000007</v>
      </c>
      <c r="N4012">
        <f t="shared" si="62"/>
        <v>1</v>
      </c>
    </row>
    <row r="4013" spans="1:14" x14ac:dyDescent="0.35">
      <c r="A4013" s="22" t="s">
        <v>4083</v>
      </c>
      <c r="B4013" s="23" t="s">
        <v>49</v>
      </c>
      <c r="C4013" s="23">
        <v>7</v>
      </c>
      <c r="D4013" s="24">
        <v>45846</v>
      </c>
      <c r="E4013" s="23" t="s">
        <v>13</v>
      </c>
      <c r="F4013" s="23" t="s">
        <v>43</v>
      </c>
      <c r="G4013" s="23" t="s">
        <v>27</v>
      </c>
      <c r="H4013" s="23" t="s">
        <v>22</v>
      </c>
      <c r="I4013" s="23">
        <v>48</v>
      </c>
      <c r="J4013" s="23">
        <v>0</v>
      </c>
      <c r="K4013" s="23">
        <v>5</v>
      </c>
      <c r="L4013" s="23" t="s">
        <v>8363</v>
      </c>
      <c r="M4013" s="25">
        <v>9.6999999999999993</v>
      </c>
      <c r="N4013">
        <f t="shared" si="62"/>
        <v>1</v>
      </c>
    </row>
    <row r="4014" spans="1:14" x14ac:dyDescent="0.35">
      <c r="A4014" s="6" t="s">
        <v>4084</v>
      </c>
      <c r="B4014" s="19" t="s">
        <v>65</v>
      </c>
      <c r="C4014" s="19"/>
      <c r="D4014" s="20"/>
      <c r="E4014" s="19" t="s">
        <v>68</v>
      </c>
      <c r="F4014" s="19" t="s">
        <v>8364</v>
      </c>
      <c r="G4014" s="19" t="s">
        <v>21</v>
      </c>
      <c r="H4014" s="19" t="s">
        <v>22</v>
      </c>
      <c r="I4014" s="19">
        <v>4</v>
      </c>
      <c r="J4014" s="19">
        <v>1</v>
      </c>
      <c r="K4014" s="19">
        <v>4</v>
      </c>
      <c r="L4014" s="19" t="s">
        <v>8363</v>
      </c>
      <c r="M4014" s="21">
        <v>15.6</v>
      </c>
      <c r="N4014">
        <f t="shared" si="62"/>
        <v>0</v>
      </c>
    </row>
    <row r="4015" spans="1:14" x14ac:dyDescent="0.35">
      <c r="A4015" s="22" t="s">
        <v>4085</v>
      </c>
      <c r="B4015" s="23" t="s">
        <v>41</v>
      </c>
      <c r="C4015" s="23">
        <v>3</v>
      </c>
      <c r="D4015" s="24">
        <v>45733</v>
      </c>
      <c r="E4015" s="23" t="s">
        <v>25</v>
      </c>
      <c r="F4015" s="23" t="s">
        <v>14</v>
      </c>
      <c r="G4015" s="23" t="s">
        <v>27</v>
      </c>
      <c r="H4015" s="23" t="s">
        <v>22</v>
      </c>
      <c r="I4015" s="23">
        <v>4</v>
      </c>
      <c r="J4015" s="23">
        <v>0</v>
      </c>
      <c r="K4015" s="23">
        <v>5</v>
      </c>
      <c r="L4015" s="23" t="s">
        <v>38</v>
      </c>
      <c r="M4015" s="25">
        <v>30.5</v>
      </c>
      <c r="N4015">
        <f t="shared" si="62"/>
        <v>0</v>
      </c>
    </row>
    <row r="4016" spans="1:14" x14ac:dyDescent="0.35">
      <c r="A4016" s="6" t="s">
        <v>4086</v>
      </c>
      <c r="B4016" s="19" t="s">
        <v>97</v>
      </c>
      <c r="C4016" s="19">
        <v>12</v>
      </c>
      <c r="D4016" s="20">
        <v>45998</v>
      </c>
      <c r="E4016" s="19" t="s">
        <v>13</v>
      </c>
      <c r="F4016" s="19" t="s">
        <v>59</v>
      </c>
      <c r="G4016" s="19" t="s">
        <v>21</v>
      </c>
      <c r="H4016" s="19" t="s">
        <v>22</v>
      </c>
      <c r="I4016" s="19">
        <v>72</v>
      </c>
      <c r="J4016" s="19">
        <v>3</v>
      </c>
      <c r="K4016" s="19">
        <v>3</v>
      </c>
      <c r="L4016" s="19" t="s">
        <v>38</v>
      </c>
      <c r="M4016" s="21">
        <v>10</v>
      </c>
      <c r="N4016">
        <f t="shared" si="62"/>
        <v>1</v>
      </c>
    </row>
    <row r="4017" spans="1:14" x14ac:dyDescent="0.35">
      <c r="A4017" s="22" t="s">
        <v>4087</v>
      </c>
      <c r="B4017" s="23" t="s">
        <v>87</v>
      </c>
      <c r="C4017" s="23">
        <v>2</v>
      </c>
      <c r="D4017" s="24">
        <v>45699</v>
      </c>
      <c r="E4017" s="23" t="s">
        <v>8364</v>
      </c>
      <c r="F4017" s="23" t="s">
        <v>37</v>
      </c>
      <c r="G4017" s="23" t="s">
        <v>8364</v>
      </c>
      <c r="H4017" s="23" t="s">
        <v>8364</v>
      </c>
      <c r="I4017" s="23">
        <v>72</v>
      </c>
      <c r="J4017" s="23">
        <v>0</v>
      </c>
      <c r="K4017" s="23">
        <v>3</v>
      </c>
      <c r="L4017" s="23" t="s">
        <v>33</v>
      </c>
      <c r="M4017" s="25">
        <v>13.5</v>
      </c>
      <c r="N4017">
        <f t="shared" si="62"/>
        <v>1</v>
      </c>
    </row>
    <row r="4018" spans="1:14" x14ac:dyDescent="0.35">
      <c r="A4018" s="6" t="s">
        <v>4088</v>
      </c>
      <c r="B4018" s="19" t="s">
        <v>146</v>
      </c>
      <c r="C4018" s="19">
        <v>5</v>
      </c>
      <c r="D4018" s="20">
        <v>45783</v>
      </c>
      <c r="E4018" s="19" t="s">
        <v>13</v>
      </c>
      <c r="F4018" s="19" t="s">
        <v>37</v>
      </c>
      <c r="G4018" s="19" t="s">
        <v>31</v>
      </c>
      <c r="H4018" s="19" t="s">
        <v>8364</v>
      </c>
      <c r="I4018" s="19">
        <v>8</v>
      </c>
      <c r="J4018" s="19">
        <v>0</v>
      </c>
      <c r="K4018" s="19">
        <v>4</v>
      </c>
      <c r="L4018" s="19" t="s">
        <v>55</v>
      </c>
      <c r="M4018" s="21">
        <v>3.8</v>
      </c>
      <c r="N4018">
        <f t="shared" si="62"/>
        <v>1</v>
      </c>
    </row>
    <row r="4019" spans="1:14" x14ac:dyDescent="0.35">
      <c r="A4019" s="22" t="s">
        <v>4089</v>
      </c>
      <c r="B4019" s="23" t="s">
        <v>130</v>
      </c>
      <c r="C4019" s="23">
        <v>1</v>
      </c>
      <c r="D4019" s="24">
        <v>45661</v>
      </c>
      <c r="E4019" s="23" t="s">
        <v>36</v>
      </c>
      <c r="F4019" s="23" t="s">
        <v>40</v>
      </c>
      <c r="G4019" s="23" t="s">
        <v>31</v>
      </c>
      <c r="H4019" s="23" t="s">
        <v>16</v>
      </c>
      <c r="I4019" s="23">
        <v>48</v>
      </c>
      <c r="J4019" s="23">
        <v>0</v>
      </c>
      <c r="K4019" s="23">
        <v>4</v>
      </c>
      <c r="L4019" s="23" t="s">
        <v>8363</v>
      </c>
      <c r="M4019" s="25">
        <v>9.1999999999999993</v>
      </c>
      <c r="N4019">
        <f t="shared" si="62"/>
        <v>1</v>
      </c>
    </row>
    <row r="4020" spans="1:14" x14ac:dyDescent="0.35">
      <c r="A4020" s="6" t="s">
        <v>4090</v>
      </c>
      <c r="B4020" s="19" t="s">
        <v>69</v>
      </c>
      <c r="C4020" s="19">
        <v>5</v>
      </c>
      <c r="D4020" s="20">
        <v>45780</v>
      </c>
      <c r="E4020" s="19" t="s">
        <v>13</v>
      </c>
      <c r="F4020" s="19" t="s">
        <v>14</v>
      </c>
      <c r="G4020" s="19" t="s">
        <v>31</v>
      </c>
      <c r="H4020" s="19" t="s">
        <v>22</v>
      </c>
      <c r="I4020" s="19">
        <v>24</v>
      </c>
      <c r="J4020" s="19">
        <v>0</v>
      </c>
      <c r="K4020" s="19"/>
      <c r="L4020" s="19" t="s">
        <v>8363</v>
      </c>
      <c r="M4020" s="21">
        <v>12.3</v>
      </c>
      <c r="N4020">
        <f t="shared" si="62"/>
        <v>1</v>
      </c>
    </row>
    <row r="4021" spans="1:14" x14ac:dyDescent="0.35">
      <c r="A4021" s="22" t="s">
        <v>4091</v>
      </c>
      <c r="B4021" s="23" t="s">
        <v>34</v>
      </c>
      <c r="C4021" s="23"/>
      <c r="D4021" s="24"/>
      <c r="E4021" s="23" t="s">
        <v>68</v>
      </c>
      <c r="F4021" s="23" t="s">
        <v>43</v>
      </c>
      <c r="G4021" s="23" t="s">
        <v>15</v>
      </c>
      <c r="H4021" s="23" t="s">
        <v>32</v>
      </c>
      <c r="I4021" s="23">
        <v>4</v>
      </c>
      <c r="J4021" s="23"/>
      <c r="K4021" s="23"/>
      <c r="L4021" s="23" t="s">
        <v>33</v>
      </c>
      <c r="M4021" s="25">
        <v>10.9</v>
      </c>
      <c r="N4021">
        <f t="shared" si="62"/>
        <v>0</v>
      </c>
    </row>
    <row r="4022" spans="1:14" x14ac:dyDescent="0.35">
      <c r="A4022" s="6" t="s">
        <v>4092</v>
      </c>
      <c r="B4022" s="19" t="s">
        <v>81</v>
      </c>
      <c r="C4022" s="19">
        <v>2</v>
      </c>
      <c r="D4022" s="20">
        <v>45700</v>
      </c>
      <c r="E4022" s="19" t="s">
        <v>25</v>
      </c>
      <c r="F4022" s="19" t="s">
        <v>59</v>
      </c>
      <c r="G4022" s="19" t="s">
        <v>21</v>
      </c>
      <c r="H4022" s="19" t="s">
        <v>8364</v>
      </c>
      <c r="I4022" s="19">
        <v>4</v>
      </c>
      <c r="J4022" s="19">
        <v>0</v>
      </c>
      <c r="K4022" s="19">
        <v>3</v>
      </c>
      <c r="L4022" s="19" t="s">
        <v>38</v>
      </c>
      <c r="M4022" s="21">
        <v>6.2</v>
      </c>
      <c r="N4022">
        <f t="shared" si="62"/>
        <v>0</v>
      </c>
    </row>
    <row r="4023" spans="1:14" x14ac:dyDescent="0.35">
      <c r="A4023" s="22" t="s">
        <v>4093</v>
      </c>
      <c r="B4023" s="23" t="s">
        <v>49</v>
      </c>
      <c r="C4023" s="23">
        <v>3</v>
      </c>
      <c r="D4023" s="24">
        <v>45746</v>
      </c>
      <c r="E4023" s="23" t="s">
        <v>36</v>
      </c>
      <c r="F4023" s="23" t="s">
        <v>43</v>
      </c>
      <c r="G4023" s="23" t="s">
        <v>31</v>
      </c>
      <c r="H4023" s="23" t="s">
        <v>28</v>
      </c>
      <c r="I4023" s="23">
        <v>8</v>
      </c>
      <c r="J4023" s="23">
        <v>0</v>
      </c>
      <c r="K4023" s="23">
        <v>3</v>
      </c>
      <c r="L4023" s="23" t="s">
        <v>33</v>
      </c>
      <c r="M4023" s="25">
        <v>24.3</v>
      </c>
      <c r="N4023">
        <f t="shared" si="62"/>
        <v>0</v>
      </c>
    </row>
    <row r="4024" spans="1:14" x14ac:dyDescent="0.35">
      <c r="A4024" s="6" t="s">
        <v>4094</v>
      </c>
      <c r="B4024" s="19" t="s">
        <v>69</v>
      </c>
      <c r="C4024" s="19">
        <v>3</v>
      </c>
      <c r="D4024" s="20">
        <v>45737</v>
      </c>
      <c r="E4024" s="19" t="s">
        <v>20</v>
      </c>
      <c r="F4024" s="19" t="s">
        <v>40</v>
      </c>
      <c r="G4024" s="19" t="s">
        <v>31</v>
      </c>
      <c r="H4024" s="19" t="s">
        <v>28</v>
      </c>
      <c r="I4024" s="19">
        <v>4</v>
      </c>
      <c r="J4024" s="19">
        <v>0</v>
      </c>
      <c r="K4024" s="19">
        <v>4</v>
      </c>
      <c r="L4024" s="19" t="s">
        <v>75</v>
      </c>
      <c r="M4024" s="21">
        <v>13.4</v>
      </c>
      <c r="N4024">
        <f t="shared" si="62"/>
        <v>0</v>
      </c>
    </row>
    <row r="4025" spans="1:14" x14ac:dyDescent="0.35">
      <c r="A4025" s="22" t="s">
        <v>4095</v>
      </c>
      <c r="B4025" s="23" t="s">
        <v>85</v>
      </c>
      <c r="C4025" s="23">
        <v>8</v>
      </c>
      <c r="D4025" s="24">
        <v>45894</v>
      </c>
      <c r="E4025" s="23" t="s">
        <v>36</v>
      </c>
      <c r="F4025" s="23" t="s">
        <v>59</v>
      </c>
      <c r="G4025" s="23" t="s">
        <v>27</v>
      </c>
      <c r="H4025" s="23" t="s">
        <v>22</v>
      </c>
      <c r="I4025" s="23">
        <v>8</v>
      </c>
      <c r="J4025" s="23">
        <v>0</v>
      </c>
      <c r="K4025" s="23">
        <v>4</v>
      </c>
      <c r="L4025" s="23" t="s">
        <v>44</v>
      </c>
      <c r="M4025" s="25"/>
      <c r="N4025">
        <f t="shared" si="62"/>
        <v>1</v>
      </c>
    </row>
    <row r="4026" spans="1:14" x14ac:dyDescent="0.35">
      <c r="A4026" s="6" t="s">
        <v>4096</v>
      </c>
      <c r="B4026" s="19" t="s">
        <v>34</v>
      </c>
      <c r="C4026" s="19">
        <v>5</v>
      </c>
      <c r="D4026" s="20">
        <v>45778</v>
      </c>
      <c r="E4026" s="19" t="s">
        <v>36</v>
      </c>
      <c r="F4026" s="19" t="s">
        <v>14</v>
      </c>
      <c r="G4026" s="19" t="s">
        <v>31</v>
      </c>
      <c r="H4026" s="19" t="s">
        <v>28</v>
      </c>
      <c r="I4026" s="19">
        <v>8</v>
      </c>
      <c r="J4026" s="19">
        <v>0</v>
      </c>
      <c r="K4026" s="19">
        <v>4</v>
      </c>
      <c r="L4026" s="19" t="s">
        <v>8363</v>
      </c>
      <c r="M4026" s="21"/>
      <c r="N4026">
        <f t="shared" si="62"/>
        <v>1</v>
      </c>
    </row>
    <row r="4027" spans="1:14" x14ac:dyDescent="0.35">
      <c r="A4027" s="22" t="s">
        <v>4097</v>
      </c>
      <c r="B4027" s="23" t="s">
        <v>143</v>
      </c>
      <c r="C4027" s="23">
        <v>1</v>
      </c>
      <c r="D4027" s="24">
        <v>45658</v>
      </c>
      <c r="E4027" s="23" t="s">
        <v>20</v>
      </c>
      <c r="F4027" s="23" t="s">
        <v>43</v>
      </c>
      <c r="G4027" s="23" t="s">
        <v>21</v>
      </c>
      <c r="H4027" s="23" t="s">
        <v>22</v>
      </c>
      <c r="I4027" s="23">
        <v>8</v>
      </c>
      <c r="J4027" s="23">
        <v>0</v>
      </c>
      <c r="K4027" s="23">
        <v>3</v>
      </c>
      <c r="L4027" s="23" t="s">
        <v>33</v>
      </c>
      <c r="M4027" s="25">
        <v>11.2</v>
      </c>
      <c r="N4027">
        <f t="shared" si="62"/>
        <v>0</v>
      </c>
    </row>
    <row r="4028" spans="1:14" x14ac:dyDescent="0.35">
      <c r="A4028" s="6" t="s">
        <v>4098</v>
      </c>
      <c r="B4028" s="19" t="s">
        <v>81</v>
      </c>
      <c r="C4028" s="19">
        <v>11</v>
      </c>
      <c r="D4028" s="20">
        <v>45962</v>
      </c>
      <c r="E4028" s="19" t="s">
        <v>68</v>
      </c>
      <c r="F4028" s="19" t="s">
        <v>26</v>
      </c>
      <c r="G4028" s="19" t="s">
        <v>8364</v>
      </c>
      <c r="H4028" s="19" t="s">
        <v>32</v>
      </c>
      <c r="I4028" s="19">
        <v>48</v>
      </c>
      <c r="J4028" s="19">
        <v>3</v>
      </c>
      <c r="K4028" s="19">
        <v>2</v>
      </c>
      <c r="L4028" s="19" t="s">
        <v>62</v>
      </c>
      <c r="M4028" s="21">
        <v>4.3</v>
      </c>
      <c r="N4028">
        <f t="shared" si="62"/>
        <v>1</v>
      </c>
    </row>
    <row r="4029" spans="1:14" x14ac:dyDescent="0.35">
      <c r="A4029" s="22" t="s">
        <v>4099</v>
      </c>
      <c r="B4029" s="23" t="s">
        <v>72</v>
      </c>
      <c r="C4029" s="23">
        <v>3</v>
      </c>
      <c r="D4029" s="24">
        <v>45720</v>
      </c>
      <c r="E4029" s="23" t="s">
        <v>25</v>
      </c>
      <c r="F4029" s="23" t="s">
        <v>14</v>
      </c>
      <c r="G4029" s="23" t="s">
        <v>27</v>
      </c>
      <c r="H4029" s="23" t="s">
        <v>32</v>
      </c>
      <c r="I4029" s="23">
        <v>8</v>
      </c>
      <c r="J4029" s="23">
        <v>0</v>
      </c>
      <c r="K4029" s="23">
        <v>1</v>
      </c>
      <c r="L4029" s="23" t="s">
        <v>8363</v>
      </c>
      <c r="M4029" s="25">
        <v>8.9</v>
      </c>
      <c r="N4029">
        <f t="shared" si="62"/>
        <v>0</v>
      </c>
    </row>
    <row r="4030" spans="1:14" x14ac:dyDescent="0.35">
      <c r="A4030" s="6" t="s">
        <v>4100</v>
      </c>
      <c r="B4030" s="19" t="s">
        <v>253</v>
      </c>
      <c r="C4030" s="19">
        <v>10</v>
      </c>
      <c r="D4030" s="20">
        <v>45945</v>
      </c>
      <c r="E4030" s="19" t="s">
        <v>68</v>
      </c>
      <c r="F4030" s="19" t="s">
        <v>14</v>
      </c>
      <c r="G4030" s="19" t="s">
        <v>31</v>
      </c>
      <c r="H4030" s="19" t="s">
        <v>16</v>
      </c>
      <c r="I4030" s="19">
        <v>72</v>
      </c>
      <c r="J4030" s="19">
        <v>0</v>
      </c>
      <c r="K4030" s="19">
        <v>2</v>
      </c>
      <c r="L4030" s="19" t="s">
        <v>38</v>
      </c>
      <c r="M4030" s="21">
        <v>7.9</v>
      </c>
      <c r="N4030">
        <f t="shared" si="62"/>
        <v>1</v>
      </c>
    </row>
    <row r="4031" spans="1:14" x14ac:dyDescent="0.35">
      <c r="A4031" s="22" t="s">
        <v>4101</v>
      </c>
      <c r="B4031" s="23" t="s">
        <v>34</v>
      </c>
      <c r="C4031" s="23">
        <v>1</v>
      </c>
      <c r="D4031" s="24">
        <v>45687</v>
      </c>
      <c r="E4031" s="23" t="s">
        <v>68</v>
      </c>
      <c r="F4031" s="23" t="s">
        <v>8364</v>
      </c>
      <c r="G4031" s="23" t="s">
        <v>31</v>
      </c>
      <c r="H4031" s="23" t="s">
        <v>22</v>
      </c>
      <c r="I4031" s="23">
        <v>4</v>
      </c>
      <c r="J4031" s="23">
        <v>0</v>
      </c>
      <c r="K4031" s="23">
        <v>4</v>
      </c>
      <c r="L4031" s="23" t="s">
        <v>75</v>
      </c>
      <c r="M4031" s="25">
        <v>15.3</v>
      </c>
      <c r="N4031">
        <f t="shared" si="62"/>
        <v>0</v>
      </c>
    </row>
    <row r="4032" spans="1:14" x14ac:dyDescent="0.35">
      <c r="A4032" s="6" t="s">
        <v>4102</v>
      </c>
      <c r="B4032" s="19" t="s">
        <v>57</v>
      </c>
      <c r="C4032" s="19">
        <v>9</v>
      </c>
      <c r="D4032" s="20">
        <v>45929</v>
      </c>
      <c r="E4032" s="19" t="s">
        <v>25</v>
      </c>
      <c r="F4032" s="19" t="s">
        <v>14</v>
      </c>
      <c r="G4032" s="19" t="s">
        <v>21</v>
      </c>
      <c r="H4032" s="19" t="s">
        <v>22</v>
      </c>
      <c r="I4032" s="19">
        <v>72</v>
      </c>
      <c r="J4032" s="19">
        <v>0</v>
      </c>
      <c r="K4032" s="19">
        <v>5</v>
      </c>
      <c r="L4032" s="19" t="s">
        <v>75</v>
      </c>
      <c r="M4032" s="21">
        <v>7</v>
      </c>
      <c r="N4032">
        <f t="shared" si="62"/>
        <v>1</v>
      </c>
    </row>
    <row r="4033" spans="1:14" x14ac:dyDescent="0.35">
      <c r="A4033" s="22" t="s">
        <v>4103</v>
      </c>
      <c r="B4033" s="23" t="s">
        <v>47</v>
      </c>
      <c r="C4033" s="23">
        <v>5</v>
      </c>
      <c r="D4033" s="24">
        <v>45786</v>
      </c>
      <c r="E4033" s="23" t="s">
        <v>68</v>
      </c>
      <c r="F4033" s="23" t="s">
        <v>37</v>
      </c>
      <c r="G4033" s="23" t="s">
        <v>27</v>
      </c>
      <c r="H4033" s="23" t="s">
        <v>22</v>
      </c>
      <c r="I4033" s="23">
        <v>8</v>
      </c>
      <c r="J4033" s="23">
        <v>0</v>
      </c>
      <c r="K4033" s="23">
        <v>3</v>
      </c>
      <c r="L4033" s="23" t="s">
        <v>17</v>
      </c>
      <c r="M4033" s="25">
        <v>17.5</v>
      </c>
      <c r="N4033">
        <f t="shared" si="62"/>
        <v>0</v>
      </c>
    </row>
    <row r="4034" spans="1:14" x14ac:dyDescent="0.35">
      <c r="A4034" s="6" t="s">
        <v>4104</v>
      </c>
      <c r="B4034" s="19" t="s">
        <v>143</v>
      </c>
      <c r="C4034" s="19">
        <v>12</v>
      </c>
      <c r="D4034" s="20">
        <v>45995</v>
      </c>
      <c r="E4034" s="19" t="s">
        <v>25</v>
      </c>
      <c r="F4034" s="19" t="s">
        <v>43</v>
      </c>
      <c r="G4034" s="19" t="s">
        <v>27</v>
      </c>
      <c r="H4034" s="19" t="s">
        <v>22</v>
      </c>
      <c r="I4034" s="19">
        <v>72</v>
      </c>
      <c r="J4034" s="19">
        <v>0</v>
      </c>
      <c r="K4034" s="19">
        <v>1</v>
      </c>
      <c r="L4034" s="19" t="s">
        <v>8363</v>
      </c>
      <c r="M4034" s="21">
        <v>30.6</v>
      </c>
      <c r="N4034">
        <f t="shared" si="62"/>
        <v>1</v>
      </c>
    </row>
    <row r="4035" spans="1:14" x14ac:dyDescent="0.35">
      <c r="A4035" s="22" t="s">
        <v>4105</v>
      </c>
      <c r="B4035" s="23" t="s">
        <v>53</v>
      </c>
      <c r="C4035" s="23">
        <v>7</v>
      </c>
      <c r="D4035" s="24">
        <v>45858</v>
      </c>
      <c r="E4035" s="23" t="s">
        <v>25</v>
      </c>
      <c r="F4035" s="23" t="s">
        <v>14</v>
      </c>
      <c r="G4035" s="23" t="s">
        <v>31</v>
      </c>
      <c r="H4035" s="23" t="s">
        <v>28</v>
      </c>
      <c r="I4035" s="23">
        <v>72</v>
      </c>
      <c r="J4035" s="23">
        <v>0</v>
      </c>
      <c r="K4035" s="23"/>
      <c r="L4035" s="23" t="s">
        <v>44</v>
      </c>
      <c r="M4035" s="25">
        <v>3.2</v>
      </c>
      <c r="N4035">
        <f t="shared" ref="N4035:N4098" si="63">IF(M4035 &lt;= I4035, 1, 0)</f>
        <v>1</v>
      </c>
    </row>
    <row r="4036" spans="1:14" x14ac:dyDescent="0.35">
      <c r="A4036" s="6" t="s">
        <v>4106</v>
      </c>
      <c r="B4036" s="19" t="s">
        <v>65</v>
      </c>
      <c r="C4036" s="19">
        <v>7</v>
      </c>
      <c r="D4036" s="20">
        <v>45841</v>
      </c>
      <c r="E4036" s="19" t="s">
        <v>68</v>
      </c>
      <c r="F4036" s="19" t="s">
        <v>40</v>
      </c>
      <c r="G4036" s="19" t="s">
        <v>27</v>
      </c>
      <c r="H4036" s="19" t="s">
        <v>22</v>
      </c>
      <c r="I4036" s="19">
        <v>24</v>
      </c>
      <c r="J4036" s="19">
        <v>0</v>
      </c>
      <c r="K4036" s="19">
        <v>3</v>
      </c>
      <c r="L4036" s="19" t="s">
        <v>8363</v>
      </c>
      <c r="M4036" s="21">
        <v>16</v>
      </c>
      <c r="N4036">
        <f t="shared" si="63"/>
        <v>1</v>
      </c>
    </row>
    <row r="4037" spans="1:14" x14ac:dyDescent="0.35">
      <c r="A4037" s="22" t="s">
        <v>4107</v>
      </c>
      <c r="B4037" s="23" t="s">
        <v>72</v>
      </c>
      <c r="C4037" s="23">
        <v>8</v>
      </c>
      <c r="D4037" s="24">
        <v>45890</v>
      </c>
      <c r="E4037" s="23" t="s">
        <v>25</v>
      </c>
      <c r="F4037" s="23" t="s">
        <v>37</v>
      </c>
      <c r="G4037" s="23" t="s">
        <v>21</v>
      </c>
      <c r="H4037" s="23" t="s">
        <v>22</v>
      </c>
      <c r="I4037" s="23">
        <v>48</v>
      </c>
      <c r="J4037" s="23">
        <v>0</v>
      </c>
      <c r="K4037" s="23">
        <v>5</v>
      </c>
      <c r="L4037" s="23" t="s">
        <v>62</v>
      </c>
      <c r="M4037" s="25">
        <v>6.8</v>
      </c>
      <c r="N4037">
        <f t="shared" si="63"/>
        <v>1</v>
      </c>
    </row>
    <row r="4038" spans="1:14" x14ac:dyDescent="0.35">
      <c r="A4038" s="6" t="s">
        <v>4108</v>
      </c>
      <c r="B4038" s="19" t="s">
        <v>99</v>
      </c>
      <c r="C4038" s="19"/>
      <c r="D4038" s="20"/>
      <c r="E4038" s="19" t="s">
        <v>20</v>
      </c>
      <c r="F4038" s="19" t="s">
        <v>14</v>
      </c>
      <c r="G4038" s="19" t="s">
        <v>31</v>
      </c>
      <c r="H4038" s="19" t="s">
        <v>8364</v>
      </c>
      <c r="I4038" s="19">
        <v>24</v>
      </c>
      <c r="J4038" s="19">
        <v>0</v>
      </c>
      <c r="K4038" s="19">
        <v>4</v>
      </c>
      <c r="L4038" s="19" t="s">
        <v>8363</v>
      </c>
      <c r="M4038" s="21">
        <v>26.7</v>
      </c>
      <c r="N4038">
        <f t="shared" si="63"/>
        <v>0</v>
      </c>
    </row>
    <row r="4039" spans="1:14" x14ac:dyDescent="0.35">
      <c r="A4039" s="22" t="s">
        <v>4109</v>
      </c>
      <c r="B4039" s="23" t="s">
        <v>34</v>
      </c>
      <c r="C4039" s="23">
        <v>1</v>
      </c>
      <c r="D4039" s="24">
        <v>45658</v>
      </c>
      <c r="E4039" s="23" t="s">
        <v>25</v>
      </c>
      <c r="F4039" s="23" t="s">
        <v>40</v>
      </c>
      <c r="G4039" s="23" t="s">
        <v>15</v>
      </c>
      <c r="H4039" s="23" t="s">
        <v>8364</v>
      </c>
      <c r="I4039" s="23">
        <v>24</v>
      </c>
      <c r="J4039" s="23">
        <v>1</v>
      </c>
      <c r="K4039" s="23">
        <v>4</v>
      </c>
      <c r="L4039" s="23" t="s">
        <v>17</v>
      </c>
      <c r="M4039" s="25">
        <v>4</v>
      </c>
      <c r="N4039">
        <f t="shared" si="63"/>
        <v>1</v>
      </c>
    </row>
    <row r="4040" spans="1:14" x14ac:dyDescent="0.35">
      <c r="A4040" s="6" t="s">
        <v>4110</v>
      </c>
      <c r="B4040" s="19" t="s">
        <v>92</v>
      </c>
      <c r="C4040" s="19">
        <v>5</v>
      </c>
      <c r="D4040" s="20">
        <v>45786</v>
      </c>
      <c r="E4040" s="19" t="s">
        <v>25</v>
      </c>
      <c r="F4040" s="19" t="s">
        <v>26</v>
      </c>
      <c r="G4040" s="19" t="s">
        <v>27</v>
      </c>
      <c r="H4040" s="19" t="s">
        <v>22</v>
      </c>
      <c r="I4040" s="19">
        <v>8</v>
      </c>
      <c r="J4040" s="19">
        <v>0</v>
      </c>
      <c r="K4040" s="19">
        <v>5</v>
      </c>
      <c r="L4040" s="19" t="s">
        <v>75</v>
      </c>
      <c r="M4040" s="21">
        <v>40.4</v>
      </c>
      <c r="N4040">
        <f t="shared" si="63"/>
        <v>0</v>
      </c>
    </row>
    <row r="4041" spans="1:14" x14ac:dyDescent="0.35">
      <c r="A4041" s="22" t="s">
        <v>4111</v>
      </c>
      <c r="B4041" s="23" t="s">
        <v>78</v>
      </c>
      <c r="C4041" s="23">
        <v>5</v>
      </c>
      <c r="D4041" s="24">
        <v>45792</v>
      </c>
      <c r="E4041" s="23" t="s">
        <v>8364</v>
      </c>
      <c r="F4041" s="23" t="s">
        <v>14</v>
      </c>
      <c r="G4041" s="23" t="s">
        <v>31</v>
      </c>
      <c r="H4041" s="23" t="s">
        <v>28</v>
      </c>
      <c r="I4041" s="23">
        <v>4</v>
      </c>
      <c r="J4041" s="23">
        <v>1</v>
      </c>
      <c r="K4041" s="23"/>
      <c r="L4041" s="23" t="s">
        <v>38</v>
      </c>
      <c r="M4041" s="25">
        <v>16</v>
      </c>
      <c r="N4041">
        <f t="shared" si="63"/>
        <v>0</v>
      </c>
    </row>
    <row r="4042" spans="1:14" x14ac:dyDescent="0.35">
      <c r="A4042" s="6" t="s">
        <v>4112</v>
      </c>
      <c r="B4042" s="19" t="s">
        <v>126</v>
      </c>
      <c r="C4042" s="19"/>
      <c r="D4042" s="20"/>
      <c r="E4042" s="19" t="s">
        <v>13</v>
      </c>
      <c r="F4042" s="19" t="s">
        <v>59</v>
      </c>
      <c r="G4042" s="19" t="s">
        <v>8364</v>
      </c>
      <c r="H4042" s="19" t="s">
        <v>22</v>
      </c>
      <c r="I4042" s="19">
        <v>72</v>
      </c>
      <c r="J4042" s="19">
        <v>0</v>
      </c>
      <c r="K4042" s="19">
        <v>4</v>
      </c>
      <c r="L4042" s="19" t="s">
        <v>38</v>
      </c>
      <c r="M4042" s="21">
        <v>17.7</v>
      </c>
      <c r="N4042">
        <f t="shared" si="63"/>
        <v>1</v>
      </c>
    </row>
    <row r="4043" spans="1:14" x14ac:dyDescent="0.35">
      <c r="A4043" s="22" t="s">
        <v>4113</v>
      </c>
      <c r="B4043" s="23" t="s">
        <v>65</v>
      </c>
      <c r="C4043" s="23">
        <v>8</v>
      </c>
      <c r="D4043" s="24">
        <v>45889</v>
      </c>
      <c r="E4043" s="23" t="s">
        <v>68</v>
      </c>
      <c r="F4043" s="23" t="s">
        <v>40</v>
      </c>
      <c r="G4043" s="23" t="s">
        <v>27</v>
      </c>
      <c r="H4043" s="23" t="s">
        <v>16</v>
      </c>
      <c r="I4043" s="23">
        <v>72</v>
      </c>
      <c r="J4043" s="23">
        <v>1</v>
      </c>
      <c r="K4043" s="23">
        <v>5</v>
      </c>
      <c r="L4043" s="23" t="s">
        <v>17</v>
      </c>
      <c r="M4043" s="25"/>
      <c r="N4043">
        <f t="shared" si="63"/>
        <v>1</v>
      </c>
    </row>
    <row r="4044" spans="1:14" x14ac:dyDescent="0.35">
      <c r="A4044" s="6" t="s">
        <v>4114</v>
      </c>
      <c r="B4044" s="19" t="s">
        <v>143</v>
      </c>
      <c r="C4044" s="19"/>
      <c r="D4044" s="20"/>
      <c r="E4044" s="19" t="s">
        <v>20</v>
      </c>
      <c r="F4044" s="19" t="s">
        <v>14</v>
      </c>
      <c r="G4044" s="19" t="s">
        <v>15</v>
      </c>
      <c r="H4044" s="19" t="s">
        <v>22</v>
      </c>
      <c r="I4044" s="19">
        <v>72</v>
      </c>
      <c r="J4044" s="19">
        <v>0</v>
      </c>
      <c r="K4044" s="19">
        <v>2</v>
      </c>
      <c r="L4044" s="19" t="s">
        <v>55</v>
      </c>
      <c r="M4044" s="21"/>
      <c r="N4044">
        <f t="shared" si="63"/>
        <v>1</v>
      </c>
    </row>
    <row r="4045" spans="1:14" x14ac:dyDescent="0.35">
      <c r="A4045" s="22" t="s">
        <v>4115</v>
      </c>
      <c r="B4045" s="23" t="s">
        <v>253</v>
      </c>
      <c r="C4045" s="23">
        <v>10</v>
      </c>
      <c r="D4045" s="24">
        <v>45958</v>
      </c>
      <c r="E4045" s="23" t="s">
        <v>20</v>
      </c>
      <c r="F4045" s="23" t="s">
        <v>14</v>
      </c>
      <c r="G4045" s="23" t="s">
        <v>15</v>
      </c>
      <c r="H4045" s="23" t="s">
        <v>32</v>
      </c>
      <c r="I4045" s="23">
        <v>4</v>
      </c>
      <c r="J4045" s="23">
        <v>0</v>
      </c>
      <c r="K4045" s="23">
        <v>5</v>
      </c>
      <c r="L4045" s="23" t="s">
        <v>75</v>
      </c>
      <c r="M4045" s="25">
        <v>20.399999999999999</v>
      </c>
      <c r="N4045">
        <f t="shared" si="63"/>
        <v>0</v>
      </c>
    </row>
    <row r="4046" spans="1:14" x14ac:dyDescent="0.35">
      <c r="A4046" s="6" t="s">
        <v>4116</v>
      </c>
      <c r="B4046" s="19" t="s">
        <v>47</v>
      </c>
      <c r="C4046" s="19"/>
      <c r="D4046" s="20"/>
      <c r="E4046" s="19" t="s">
        <v>36</v>
      </c>
      <c r="F4046" s="19" t="s">
        <v>14</v>
      </c>
      <c r="G4046" s="19" t="s">
        <v>31</v>
      </c>
      <c r="H4046" s="19" t="s">
        <v>22</v>
      </c>
      <c r="I4046" s="19">
        <v>72</v>
      </c>
      <c r="J4046" s="19">
        <v>3</v>
      </c>
      <c r="K4046" s="19">
        <v>5</v>
      </c>
      <c r="L4046" s="19" t="s">
        <v>75</v>
      </c>
      <c r="M4046" s="21">
        <v>27.7</v>
      </c>
      <c r="N4046">
        <f t="shared" si="63"/>
        <v>1</v>
      </c>
    </row>
    <row r="4047" spans="1:14" x14ac:dyDescent="0.35">
      <c r="A4047" s="22" t="s">
        <v>4117</v>
      </c>
      <c r="B4047" s="23" t="s">
        <v>81</v>
      </c>
      <c r="C4047" s="23">
        <v>5</v>
      </c>
      <c r="D4047" s="24">
        <v>45803</v>
      </c>
      <c r="E4047" s="23" t="s">
        <v>25</v>
      </c>
      <c r="F4047" s="23" t="s">
        <v>14</v>
      </c>
      <c r="G4047" s="23" t="s">
        <v>21</v>
      </c>
      <c r="H4047" s="23" t="s">
        <v>32</v>
      </c>
      <c r="I4047" s="23">
        <v>24</v>
      </c>
      <c r="J4047" s="23">
        <v>1</v>
      </c>
      <c r="K4047" s="23">
        <v>5</v>
      </c>
      <c r="L4047" s="23" t="s">
        <v>44</v>
      </c>
      <c r="M4047" s="25">
        <v>12.8</v>
      </c>
      <c r="N4047">
        <f t="shared" si="63"/>
        <v>1</v>
      </c>
    </row>
    <row r="4048" spans="1:14" x14ac:dyDescent="0.35">
      <c r="A4048" s="6" t="s">
        <v>4118</v>
      </c>
      <c r="B4048" s="19" t="s">
        <v>72</v>
      </c>
      <c r="C4048" s="19">
        <v>9</v>
      </c>
      <c r="D4048" s="20">
        <v>45901</v>
      </c>
      <c r="E4048" s="19" t="s">
        <v>25</v>
      </c>
      <c r="F4048" s="19" t="s">
        <v>14</v>
      </c>
      <c r="G4048" s="19" t="s">
        <v>21</v>
      </c>
      <c r="H4048" s="19" t="s">
        <v>8364</v>
      </c>
      <c r="I4048" s="19">
        <v>4</v>
      </c>
      <c r="J4048" s="19">
        <v>0</v>
      </c>
      <c r="K4048" s="19">
        <v>5</v>
      </c>
      <c r="L4048" s="19" t="s">
        <v>38</v>
      </c>
      <c r="M4048" s="21">
        <v>15.9</v>
      </c>
      <c r="N4048">
        <f t="shared" si="63"/>
        <v>0</v>
      </c>
    </row>
    <row r="4049" spans="1:14" x14ac:dyDescent="0.35">
      <c r="A4049" s="22" t="s">
        <v>4119</v>
      </c>
      <c r="B4049" s="23" t="s">
        <v>89</v>
      </c>
      <c r="C4049" s="23">
        <v>12</v>
      </c>
      <c r="D4049" s="24">
        <v>45997</v>
      </c>
      <c r="E4049" s="23" t="s">
        <v>8364</v>
      </c>
      <c r="F4049" s="23" t="s">
        <v>43</v>
      </c>
      <c r="G4049" s="23" t="s">
        <v>31</v>
      </c>
      <c r="H4049" s="23" t="s">
        <v>22</v>
      </c>
      <c r="I4049" s="23">
        <v>8</v>
      </c>
      <c r="J4049" s="23">
        <v>1</v>
      </c>
      <c r="K4049" s="23">
        <v>5</v>
      </c>
      <c r="L4049" s="23" t="s">
        <v>33</v>
      </c>
      <c r="M4049" s="25">
        <v>7.6</v>
      </c>
      <c r="N4049">
        <f t="shared" si="63"/>
        <v>1</v>
      </c>
    </row>
    <row r="4050" spans="1:14" x14ac:dyDescent="0.35">
      <c r="A4050" s="6" t="s">
        <v>4120</v>
      </c>
      <c r="B4050" s="19" t="s">
        <v>69</v>
      </c>
      <c r="C4050" s="19">
        <v>10</v>
      </c>
      <c r="D4050" s="20">
        <v>45936</v>
      </c>
      <c r="E4050" s="19" t="s">
        <v>68</v>
      </c>
      <c r="F4050" s="19" t="s">
        <v>14</v>
      </c>
      <c r="G4050" s="19" t="s">
        <v>8364</v>
      </c>
      <c r="H4050" s="19" t="s">
        <v>32</v>
      </c>
      <c r="I4050" s="19">
        <v>48</v>
      </c>
      <c r="J4050" s="19">
        <v>0</v>
      </c>
      <c r="K4050" s="19">
        <v>5</v>
      </c>
      <c r="L4050" s="19" t="s">
        <v>17</v>
      </c>
      <c r="M4050" s="21">
        <v>12.6</v>
      </c>
      <c r="N4050">
        <f t="shared" si="63"/>
        <v>1</v>
      </c>
    </row>
    <row r="4051" spans="1:14" x14ac:dyDescent="0.35">
      <c r="A4051" s="22" t="s">
        <v>4121</v>
      </c>
      <c r="B4051" s="23" t="s">
        <v>34</v>
      </c>
      <c r="C4051" s="23">
        <v>6</v>
      </c>
      <c r="D4051" s="24">
        <v>45821</v>
      </c>
      <c r="E4051" s="23" t="s">
        <v>68</v>
      </c>
      <c r="F4051" s="23" t="s">
        <v>26</v>
      </c>
      <c r="G4051" s="23" t="s">
        <v>8364</v>
      </c>
      <c r="H4051" s="23" t="s">
        <v>32</v>
      </c>
      <c r="I4051" s="23">
        <v>4</v>
      </c>
      <c r="J4051" s="23">
        <v>0</v>
      </c>
      <c r="K4051" s="23">
        <v>4</v>
      </c>
      <c r="L4051" s="23" t="s">
        <v>75</v>
      </c>
      <c r="M4051" s="25">
        <v>7.7</v>
      </c>
      <c r="N4051">
        <f t="shared" si="63"/>
        <v>0</v>
      </c>
    </row>
    <row r="4052" spans="1:14" x14ac:dyDescent="0.35">
      <c r="A4052" s="6" t="s">
        <v>4122</v>
      </c>
      <c r="B4052" s="19" t="s">
        <v>130</v>
      </c>
      <c r="C4052" s="19">
        <v>2</v>
      </c>
      <c r="D4052" s="20">
        <v>45709</v>
      </c>
      <c r="E4052" s="19" t="s">
        <v>13</v>
      </c>
      <c r="F4052" s="19" t="s">
        <v>37</v>
      </c>
      <c r="G4052" s="19" t="s">
        <v>21</v>
      </c>
      <c r="H4052" s="19" t="s">
        <v>22</v>
      </c>
      <c r="I4052" s="19">
        <v>8</v>
      </c>
      <c r="J4052" s="19">
        <v>0</v>
      </c>
      <c r="K4052" s="19"/>
      <c r="L4052" s="19" t="s">
        <v>8363</v>
      </c>
      <c r="M4052" s="21">
        <v>35.5</v>
      </c>
      <c r="N4052">
        <f t="shared" si="63"/>
        <v>0</v>
      </c>
    </row>
    <row r="4053" spans="1:14" x14ac:dyDescent="0.35">
      <c r="A4053" s="22" t="s">
        <v>4123</v>
      </c>
      <c r="B4053" s="23" t="s">
        <v>47</v>
      </c>
      <c r="C4053" s="23">
        <v>5</v>
      </c>
      <c r="D4053" s="24">
        <v>45803</v>
      </c>
      <c r="E4053" s="23" t="s">
        <v>8364</v>
      </c>
      <c r="F4053" s="23" t="s">
        <v>59</v>
      </c>
      <c r="G4053" s="23" t="s">
        <v>8364</v>
      </c>
      <c r="H4053" s="23" t="s">
        <v>16</v>
      </c>
      <c r="I4053" s="23">
        <v>8</v>
      </c>
      <c r="J4053" s="23">
        <v>1</v>
      </c>
      <c r="K4053" s="23">
        <v>5</v>
      </c>
      <c r="L4053" s="23" t="s">
        <v>62</v>
      </c>
      <c r="M4053" s="25">
        <v>54.1</v>
      </c>
      <c r="N4053">
        <f t="shared" si="63"/>
        <v>0</v>
      </c>
    </row>
    <row r="4054" spans="1:14" x14ac:dyDescent="0.35">
      <c r="A4054" s="6" t="s">
        <v>4124</v>
      </c>
      <c r="B4054" s="19" t="s">
        <v>81</v>
      </c>
      <c r="C4054" s="19">
        <v>2</v>
      </c>
      <c r="D4054" s="20">
        <v>45701</v>
      </c>
      <c r="E4054" s="19" t="s">
        <v>13</v>
      </c>
      <c r="F4054" s="19" t="s">
        <v>26</v>
      </c>
      <c r="G4054" s="19" t="s">
        <v>27</v>
      </c>
      <c r="H4054" s="19" t="s">
        <v>22</v>
      </c>
      <c r="I4054" s="19">
        <v>48</v>
      </c>
      <c r="J4054" s="19">
        <v>1</v>
      </c>
      <c r="K4054" s="19">
        <v>5</v>
      </c>
      <c r="L4054" s="19" t="s">
        <v>55</v>
      </c>
      <c r="M4054" s="21">
        <v>11.5</v>
      </c>
      <c r="N4054">
        <f t="shared" si="63"/>
        <v>1</v>
      </c>
    </row>
    <row r="4055" spans="1:14" x14ac:dyDescent="0.35">
      <c r="A4055" s="22" t="s">
        <v>4125</v>
      </c>
      <c r="B4055" s="23" t="s">
        <v>139</v>
      </c>
      <c r="C4055" s="23">
        <v>8</v>
      </c>
      <c r="D4055" s="24">
        <v>45872</v>
      </c>
      <c r="E4055" s="23" t="s">
        <v>20</v>
      </c>
      <c r="F4055" s="23" t="s">
        <v>43</v>
      </c>
      <c r="G4055" s="23" t="s">
        <v>21</v>
      </c>
      <c r="H4055" s="23" t="s">
        <v>28</v>
      </c>
      <c r="I4055" s="23">
        <v>8</v>
      </c>
      <c r="J4055" s="23">
        <v>0</v>
      </c>
      <c r="K4055" s="23">
        <v>2</v>
      </c>
      <c r="L4055" s="23" t="s">
        <v>62</v>
      </c>
      <c r="M4055" s="25">
        <v>9.5</v>
      </c>
      <c r="N4055">
        <f t="shared" si="63"/>
        <v>0</v>
      </c>
    </row>
    <row r="4056" spans="1:14" x14ac:dyDescent="0.35">
      <c r="A4056" s="6" t="s">
        <v>4126</v>
      </c>
      <c r="B4056" s="19" t="s">
        <v>51</v>
      </c>
      <c r="C4056" s="19">
        <v>6</v>
      </c>
      <c r="D4056" s="20">
        <v>45833</v>
      </c>
      <c r="E4056" s="19" t="s">
        <v>20</v>
      </c>
      <c r="F4056" s="19" t="s">
        <v>8364</v>
      </c>
      <c r="G4056" s="19" t="s">
        <v>27</v>
      </c>
      <c r="H4056" s="19" t="s">
        <v>28</v>
      </c>
      <c r="I4056" s="19">
        <v>24</v>
      </c>
      <c r="J4056" s="19">
        <v>0</v>
      </c>
      <c r="K4056" s="19"/>
      <c r="L4056" s="19" t="s">
        <v>8363</v>
      </c>
      <c r="M4056" s="21">
        <v>25.1</v>
      </c>
      <c r="N4056">
        <f t="shared" si="63"/>
        <v>0</v>
      </c>
    </row>
    <row r="4057" spans="1:14" x14ac:dyDescent="0.35">
      <c r="A4057" s="22" t="s">
        <v>4127</v>
      </c>
      <c r="B4057" s="23" t="s">
        <v>101</v>
      </c>
      <c r="C4057" s="23">
        <v>7</v>
      </c>
      <c r="D4057" s="24">
        <v>45857</v>
      </c>
      <c r="E4057" s="23" t="s">
        <v>25</v>
      </c>
      <c r="F4057" s="23" t="s">
        <v>43</v>
      </c>
      <c r="G4057" s="23" t="s">
        <v>21</v>
      </c>
      <c r="H4057" s="23" t="s">
        <v>8364</v>
      </c>
      <c r="I4057" s="23">
        <v>72</v>
      </c>
      <c r="J4057" s="23">
        <v>0</v>
      </c>
      <c r="K4057" s="23">
        <v>1</v>
      </c>
      <c r="L4057" s="23" t="s">
        <v>33</v>
      </c>
      <c r="M4057" s="25">
        <v>54.7</v>
      </c>
      <c r="N4057">
        <f t="shared" si="63"/>
        <v>1</v>
      </c>
    </row>
    <row r="4058" spans="1:14" x14ac:dyDescent="0.35">
      <c r="A4058" s="6" t="s">
        <v>4128</v>
      </c>
      <c r="B4058" s="19" t="s">
        <v>158</v>
      </c>
      <c r="C4058" s="19">
        <v>7</v>
      </c>
      <c r="D4058" s="20">
        <v>45862</v>
      </c>
      <c r="E4058" s="19" t="s">
        <v>25</v>
      </c>
      <c r="F4058" s="19" t="s">
        <v>43</v>
      </c>
      <c r="G4058" s="19" t="s">
        <v>31</v>
      </c>
      <c r="H4058" s="19" t="s">
        <v>32</v>
      </c>
      <c r="I4058" s="19">
        <v>8</v>
      </c>
      <c r="J4058" s="19">
        <v>0</v>
      </c>
      <c r="K4058" s="19">
        <v>4</v>
      </c>
      <c r="L4058" s="19" t="s">
        <v>44</v>
      </c>
      <c r="M4058" s="21">
        <v>34.1</v>
      </c>
      <c r="N4058">
        <f t="shared" si="63"/>
        <v>0</v>
      </c>
    </row>
    <row r="4059" spans="1:14" x14ac:dyDescent="0.35">
      <c r="A4059" s="22" t="s">
        <v>4129</v>
      </c>
      <c r="B4059" s="23" t="s">
        <v>236</v>
      </c>
      <c r="C4059" s="23">
        <v>12</v>
      </c>
      <c r="D4059" s="24">
        <v>45992</v>
      </c>
      <c r="E4059" s="23" t="s">
        <v>68</v>
      </c>
      <c r="F4059" s="23" t="s">
        <v>59</v>
      </c>
      <c r="G4059" s="23" t="s">
        <v>27</v>
      </c>
      <c r="H4059" s="23" t="s">
        <v>22</v>
      </c>
      <c r="I4059" s="23">
        <v>48</v>
      </c>
      <c r="J4059" s="23">
        <v>0</v>
      </c>
      <c r="K4059" s="23">
        <v>3</v>
      </c>
      <c r="L4059" s="23" t="s">
        <v>62</v>
      </c>
      <c r="M4059" s="25">
        <v>21.4</v>
      </c>
      <c r="N4059">
        <f t="shared" si="63"/>
        <v>1</v>
      </c>
    </row>
    <row r="4060" spans="1:14" x14ac:dyDescent="0.35">
      <c r="A4060" s="6" t="s">
        <v>4130</v>
      </c>
      <c r="B4060" s="19" t="s">
        <v>69</v>
      </c>
      <c r="C4060" s="19">
        <v>7</v>
      </c>
      <c r="D4060" s="20">
        <v>45848</v>
      </c>
      <c r="E4060" s="19" t="s">
        <v>25</v>
      </c>
      <c r="F4060" s="19" t="s">
        <v>26</v>
      </c>
      <c r="G4060" s="19" t="s">
        <v>31</v>
      </c>
      <c r="H4060" s="19" t="s">
        <v>32</v>
      </c>
      <c r="I4060" s="19">
        <v>72</v>
      </c>
      <c r="J4060" s="19">
        <v>0</v>
      </c>
      <c r="K4060" s="19">
        <v>3</v>
      </c>
      <c r="L4060" s="19" t="s">
        <v>17</v>
      </c>
      <c r="M4060" s="21">
        <v>8.1</v>
      </c>
      <c r="N4060">
        <f t="shared" si="63"/>
        <v>1</v>
      </c>
    </row>
    <row r="4061" spans="1:14" x14ac:dyDescent="0.35">
      <c r="A4061" s="22" t="s">
        <v>4131</v>
      </c>
      <c r="B4061" s="23" t="s">
        <v>181</v>
      </c>
      <c r="C4061" s="23">
        <v>11</v>
      </c>
      <c r="D4061" s="24">
        <v>45964</v>
      </c>
      <c r="E4061" s="23" t="s">
        <v>20</v>
      </c>
      <c r="F4061" s="23" t="s">
        <v>43</v>
      </c>
      <c r="G4061" s="23" t="s">
        <v>27</v>
      </c>
      <c r="H4061" s="23" t="s">
        <v>16</v>
      </c>
      <c r="I4061" s="23">
        <v>48</v>
      </c>
      <c r="J4061" s="23">
        <v>1</v>
      </c>
      <c r="K4061" s="23">
        <v>5</v>
      </c>
      <c r="L4061" s="23" t="s">
        <v>17</v>
      </c>
      <c r="M4061" s="25">
        <v>3.9</v>
      </c>
      <c r="N4061">
        <f t="shared" si="63"/>
        <v>1</v>
      </c>
    </row>
    <row r="4062" spans="1:14" x14ac:dyDescent="0.35">
      <c r="A4062" s="6" t="s">
        <v>4132</v>
      </c>
      <c r="B4062" s="19" t="s">
        <v>104</v>
      </c>
      <c r="C4062" s="19"/>
      <c r="D4062" s="20"/>
      <c r="E4062" s="19" t="s">
        <v>8364</v>
      </c>
      <c r="F4062" s="19" t="s">
        <v>43</v>
      </c>
      <c r="G4062" s="19" t="s">
        <v>21</v>
      </c>
      <c r="H4062" s="19" t="s">
        <v>28</v>
      </c>
      <c r="I4062" s="19">
        <v>4</v>
      </c>
      <c r="J4062" s="19">
        <v>0</v>
      </c>
      <c r="K4062" s="19"/>
      <c r="L4062" s="19" t="s">
        <v>55</v>
      </c>
      <c r="M4062" s="21">
        <v>8.6999999999999993</v>
      </c>
      <c r="N4062">
        <f t="shared" si="63"/>
        <v>0</v>
      </c>
    </row>
    <row r="4063" spans="1:14" x14ac:dyDescent="0.35">
      <c r="A4063" s="22" t="s">
        <v>4133</v>
      </c>
      <c r="B4063" s="23" t="s">
        <v>81</v>
      </c>
      <c r="C4063" s="23">
        <v>12</v>
      </c>
      <c r="D4063" s="24">
        <v>46018</v>
      </c>
      <c r="E4063" s="23" t="s">
        <v>36</v>
      </c>
      <c r="F4063" s="23" t="s">
        <v>8364</v>
      </c>
      <c r="G4063" s="23" t="s">
        <v>8364</v>
      </c>
      <c r="H4063" s="23" t="s">
        <v>22</v>
      </c>
      <c r="I4063" s="23">
        <v>24</v>
      </c>
      <c r="J4063" s="23">
        <v>0</v>
      </c>
      <c r="K4063" s="23"/>
      <c r="L4063" s="23" t="s">
        <v>44</v>
      </c>
      <c r="M4063" s="25">
        <v>7.2</v>
      </c>
      <c r="N4063">
        <f t="shared" si="63"/>
        <v>1</v>
      </c>
    </row>
    <row r="4064" spans="1:14" x14ac:dyDescent="0.35">
      <c r="A4064" s="6" t="s">
        <v>4134</v>
      </c>
      <c r="B4064" s="19" t="s">
        <v>69</v>
      </c>
      <c r="C4064" s="19">
        <v>6</v>
      </c>
      <c r="D4064" s="20">
        <v>45822</v>
      </c>
      <c r="E4064" s="19" t="s">
        <v>13</v>
      </c>
      <c r="F4064" s="19" t="s">
        <v>14</v>
      </c>
      <c r="G4064" s="19" t="s">
        <v>27</v>
      </c>
      <c r="H4064" s="19" t="s">
        <v>22</v>
      </c>
      <c r="I4064" s="19">
        <v>48</v>
      </c>
      <c r="J4064" s="19">
        <v>0</v>
      </c>
      <c r="K4064" s="19">
        <v>1</v>
      </c>
      <c r="L4064" s="19" t="s">
        <v>62</v>
      </c>
      <c r="M4064" s="21"/>
      <c r="N4064">
        <f t="shared" si="63"/>
        <v>1</v>
      </c>
    </row>
    <row r="4065" spans="1:14" x14ac:dyDescent="0.35">
      <c r="A4065" s="22" t="s">
        <v>4135</v>
      </c>
      <c r="B4065" s="23" t="s">
        <v>23</v>
      </c>
      <c r="C4065" s="23">
        <v>5</v>
      </c>
      <c r="D4065" s="24">
        <v>45784</v>
      </c>
      <c r="E4065" s="23" t="s">
        <v>25</v>
      </c>
      <c r="F4065" s="23" t="s">
        <v>14</v>
      </c>
      <c r="G4065" s="23" t="s">
        <v>27</v>
      </c>
      <c r="H4065" s="23" t="s">
        <v>22</v>
      </c>
      <c r="I4065" s="23">
        <v>8</v>
      </c>
      <c r="J4065" s="23">
        <v>2</v>
      </c>
      <c r="K4065" s="23">
        <v>5</v>
      </c>
      <c r="L4065" s="23" t="s">
        <v>8363</v>
      </c>
      <c r="M4065" s="25"/>
      <c r="N4065">
        <f t="shared" si="63"/>
        <v>1</v>
      </c>
    </row>
    <row r="4066" spans="1:14" x14ac:dyDescent="0.35">
      <c r="A4066" s="6" t="s">
        <v>4136</v>
      </c>
      <c r="B4066" s="19" t="s">
        <v>89</v>
      </c>
      <c r="C4066" s="19">
        <v>11</v>
      </c>
      <c r="D4066" s="20">
        <v>45972</v>
      </c>
      <c r="E4066" s="19" t="s">
        <v>13</v>
      </c>
      <c r="F4066" s="19" t="s">
        <v>40</v>
      </c>
      <c r="G4066" s="19" t="s">
        <v>31</v>
      </c>
      <c r="H4066" s="19" t="s">
        <v>32</v>
      </c>
      <c r="I4066" s="19">
        <v>72</v>
      </c>
      <c r="J4066" s="19">
        <v>0</v>
      </c>
      <c r="K4066" s="19">
        <v>3</v>
      </c>
      <c r="L4066" s="19" t="s">
        <v>8363</v>
      </c>
      <c r="M4066" s="21">
        <v>4.3</v>
      </c>
      <c r="N4066">
        <f t="shared" si="63"/>
        <v>1</v>
      </c>
    </row>
    <row r="4067" spans="1:14" x14ac:dyDescent="0.35">
      <c r="A4067" s="22" t="s">
        <v>4137</v>
      </c>
      <c r="B4067" s="23" t="s">
        <v>45</v>
      </c>
      <c r="C4067" s="23">
        <v>9</v>
      </c>
      <c r="D4067" s="24">
        <v>45913</v>
      </c>
      <c r="E4067" s="23" t="s">
        <v>68</v>
      </c>
      <c r="F4067" s="23" t="s">
        <v>59</v>
      </c>
      <c r="G4067" s="23" t="s">
        <v>15</v>
      </c>
      <c r="H4067" s="23" t="s">
        <v>28</v>
      </c>
      <c r="I4067" s="23">
        <v>72</v>
      </c>
      <c r="J4067" s="23">
        <v>0</v>
      </c>
      <c r="K4067" s="23"/>
      <c r="L4067" s="23" t="s">
        <v>38</v>
      </c>
      <c r="M4067" s="25">
        <v>8</v>
      </c>
      <c r="N4067">
        <f t="shared" si="63"/>
        <v>1</v>
      </c>
    </row>
    <row r="4068" spans="1:14" x14ac:dyDescent="0.35">
      <c r="A4068" s="6" t="s">
        <v>4138</v>
      </c>
      <c r="B4068" s="19" t="s">
        <v>181</v>
      </c>
      <c r="C4068" s="19">
        <v>4</v>
      </c>
      <c r="D4068" s="20">
        <v>45762</v>
      </c>
      <c r="E4068" s="19" t="s">
        <v>36</v>
      </c>
      <c r="F4068" s="19" t="s">
        <v>8364</v>
      </c>
      <c r="G4068" s="19" t="s">
        <v>15</v>
      </c>
      <c r="H4068" s="19" t="s">
        <v>16</v>
      </c>
      <c r="I4068" s="19">
        <v>24</v>
      </c>
      <c r="J4068" s="19">
        <v>0</v>
      </c>
      <c r="K4068" s="19">
        <v>4</v>
      </c>
      <c r="L4068" s="19" t="s">
        <v>38</v>
      </c>
      <c r="M4068" s="21">
        <v>17.100000000000001</v>
      </c>
      <c r="N4068">
        <f t="shared" si="63"/>
        <v>1</v>
      </c>
    </row>
    <row r="4069" spans="1:14" x14ac:dyDescent="0.35">
      <c r="A4069" s="22" t="s">
        <v>4139</v>
      </c>
      <c r="B4069" s="23" t="s">
        <v>18</v>
      </c>
      <c r="C4069" s="23">
        <v>1</v>
      </c>
      <c r="D4069" s="24">
        <v>45658</v>
      </c>
      <c r="E4069" s="23" t="s">
        <v>13</v>
      </c>
      <c r="F4069" s="23" t="s">
        <v>40</v>
      </c>
      <c r="G4069" s="23" t="s">
        <v>27</v>
      </c>
      <c r="H4069" s="23" t="s">
        <v>28</v>
      </c>
      <c r="I4069" s="23">
        <v>4</v>
      </c>
      <c r="J4069" s="23">
        <v>1</v>
      </c>
      <c r="K4069" s="23"/>
      <c r="L4069" s="23" t="s">
        <v>8363</v>
      </c>
      <c r="M4069" s="25">
        <v>2.1</v>
      </c>
      <c r="N4069">
        <f t="shared" si="63"/>
        <v>1</v>
      </c>
    </row>
    <row r="4070" spans="1:14" x14ac:dyDescent="0.35">
      <c r="A4070" s="6" t="s">
        <v>4140</v>
      </c>
      <c r="B4070" s="19" t="s">
        <v>51</v>
      </c>
      <c r="C4070" s="19">
        <v>5</v>
      </c>
      <c r="D4070" s="20">
        <v>45788</v>
      </c>
      <c r="E4070" s="19" t="s">
        <v>8364</v>
      </c>
      <c r="F4070" s="19" t="s">
        <v>59</v>
      </c>
      <c r="G4070" s="19" t="s">
        <v>31</v>
      </c>
      <c r="H4070" s="19" t="s">
        <v>32</v>
      </c>
      <c r="I4070" s="19">
        <v>8</v>
      </c>
      <c r="J4070" s="19">
        <v>0</v>
      </c>
      <c r="K4070" s="19">
        <v>5</v>
      </c>
      <c r="L4070" s="19" t="s">
        <v>33</v>
      </c>
      <c r="M4070" s="21">
        <v>6.6</v>
      </c>
      <c r="N4070">
        <f t="shared" si="63"/>
        <v>1</v>
      </c>
    </row>
    <row r="4071" spans="1:14" x14ac:dyDescent="0.35">
      <c r="A4071" s="22" t="s">
        <v>4141</v>
      </c>
      <c r="B4071" s="23" t="s">
        <v>69</v>
      </c>
      <c r="C4071" s="23">
        <v>5</v>
      </c>
      <c r="D4071" s="24">
        <v>45785</v>
      </c>
      <c r="E4071" s="23" t="s">
        <v>36</v>
      </c>
      <c r="F4071" s="23" t="s">
        <v>40</v>
      </c>
      <c r="G4071" s="23" t="s">
        <v>21</v>
      </c>
      <c r="H4071" s="23" t="s">
        <v>16</v>
      </c>
      <c r="I4071" s="23">
        <v>72</v>
      </c>
      <c r="J4071" s="23">
        <v>1</v>
      </c>
      <c r="K4071" s="23"/>
      <c r="L4071" s="23" t="s">
        <v>55</v>
      </c>
      <c r="M4071" s="25">
        <v>30.2</v>
      </c>
      <c r="N4071">
        <f t="shared" si="63"/>
        <v>1</v>
      </c>
    </row>
    <row r="4072" spans="1:14" x14ac:dyDescent="0.35">
      <c r="A4072" s="6" t="s">
        <v>4142</v>
      </c>
      <c r="B4072" s="19" t="s">
        <v>158</v>
      </c>
      <c r="C4072" s="19">
        <v>3</v>
      </c>
      <c r="D4072" s="20">
        <v>45724</v>
      </c>
      <c r="E4072" s="19" t="s">
        <v>25</v>
      </c>
      <c r="F4072" s="19" t="s">
        <v>37</v>
      </c>
      <c r="G4072" s="19" t="s">
        <v>21</v>
      </c>
      <c r="H4072" s="19" t="s">
        <v>8364</v>
      </c>
      <c r="I4072" s="19">
        <v>24</v>
      </c>
      <c r="J4072" s="19">
        <v>0</v>
      </c>
      <c r="K4072" s="19">
        <v>1</v>
      </c>
      <c r="L4072" s="19" t="s">
        <v>55</v>
      </c>
      <c r="M4072" s="21">
        <v>17.899999999999999</v>
      </c>
      <c r="N4072">
        <f t="shared" si="63"/>
        <v>1</v>
      </c>
    </row>
    <row r="4073" spans="1:14" x14ac:dyDescent="0.35">
      <c r="A4073" s="22" t="s">
        <v>4143</v>
      </c>
      <c r="B4073" s="23" t="s">
        <v>34</v>
      </c>
      <c r="C4073" s="23"/>
      <c r="D4073" s="24"/>
      <c r="E4073" s="23" t="s">
        <v>13</v>
      </c>
      <c r="F4073" s="23" t="s">
        <v>59</v>
      </c>
      <c r="G4073" s="23" t="s">
        <v>15</v>
      </c>
      <c r="H4073" s="23" t="s">
        <v>8364</v>
      </c>
      <c r="I4073" s="23">
        <v>4</v>
      </c>
      <c r="J4073" s="23">
        <v>0</v>
      </c>
      <c r="K4073" s="23">
        <v>4</v>
      </c>
      <c r="L4073" s="23" t="s">
        <v>17</v>
      </c>
      <c r="M4073" s="25">
        <v>6.1</v>
      </c>
      <c r="N4073">
        <f t="shared" si="63"/>
        <v>0</v>
      </c>
    </row>
    <row r="4074" spans="1:14" x14ac:dyDescent="0.35">
      <c r="A4074" s="6" t="s">
        <v>4144</v>
      </c>
      <c r="B4074" s="19" t="s">
        <v>81</v>
      </c>
      <c r="C4074" s="19">
        <v>10</v>
      </c>
      <c r="D4074" s="20">
        <v>45961</v>
      </c>
      <c r="E4074" s="19" t="s">
        <v>8364</v>
      </c>
      <c r="F4074" s="19" t="s">
        <v>14</v>
      </c>
      <c r="G4074" s="19" t="s">
        <v>15</v>
      </c>
      <c r="H4074" s="19" t="s">
        <v>32</v>
      </c>
      <c r="I4074" s="19">
        <v>72</v>
      </c>
      <c r="J4074" s="19">
        <v>0</v>
      </c>
      <c r="K4074" s="19">
        <v>4</v>
      </c>
      <c r="L4074" s="19" t="s">
        <v>75</v>
      </c>
      <c r="M4074" s="21">
        <v>19.399999999999999</v>
      </c>
      <c r="N4074">
        <f t="shared" si="63"/>
        <v>1</v>
      </c>
    </row>
    <row r="4075" spans="1:14" x14ac:dyDescent="0.35">
      <c r="A4075" s="22" t="s">
        <v>4145</v>
      </c>
      <c r="B4075" s="23" t="s">
        <v>101</v>
      </c>
      <c r="C4075" s="23">
        <v>5</v>
      </c>
      <c r="D4075" s="24">
        <v>45790</v>
      </c>
      <c r="E4075" s="23" t="s">
        <v>20</v>
      </c>
      <c r="F4075" s="23" t="s">
        <v>43</v>
      </c>
      <c r="G4075" s="23" t="s">
        <v>21</v>
      </c>
      <c r="H4075" s="23" t="s">
        <v>28</v>
      </c>
      <c r="I4075" s="23">
        <v>24</v>
      </c>
      <c r="J4075" s="23">
        <v>2</v>
      </c>
      <c r="K4075" s="23">
        <v>3</v>
      </c>
      <c r="L4075" s="23" t="s">
        <v>55</v>
      </c>
      <c r="M4075" s="25">
        <v>5.0999999999999996</v>
      </c>
      <c r="N4075">
        <f t="shared" si="63"/>
        <v>1</v>
      </c>
    </row>
    <row r="4076" spans="1:14" x14ac:dyDescent="0.35">
      <c r="A4076" s="6" t="s">
        <v>4146</v>
      </c>
      <c r="B4076" s="19" t="s">
        <v>78</v>
      </c>
      <c r="C4076" s="19">
        <v>3</v>
      </c>
      <c r="D4076" s="20">
        <v>45747</v>
      </c>
      <c r="E4076" s="19" t="s">
        <v>36</v>
      </c>
      <c r="F4076" s="19" t="s">
        <v>26</v>
      </c>
      <c r="G4076" s="19" t="s">
        <v>21</v>
      </c>
      <c r="H4076" s="19" t="s">
        <v>8364</v>
      </c>
      <c r="I4076" s="19">
        <v>8</v>
      </c>
      <c r="J4076" s="19">
        <v>0</v>
      </c>
      <c r="K4076" s="19">
        <v>3</v>
      </c>
      <c r="L4076" s="19" t="s">
        <v>44</v>
      </c>
      <c r="M4076" s="21">
        <v>13.8</v>
      </c>
      <c r="N4076">
        <f t="shared" si="63"/>
        <v>0</v>
      </c>
    </row>
    <row r="4077" spans="1:14" x14ac:dyDescent="0.35">
      <c r="A4077" s="22" t="s">
        <v>4147</v>
      </c>
      <c r="B4077" s="23" t="s">
        <v>99</v>
      </c>
      <c r="C4077" s="23">
        <v>4</v>
      </c>
      <c r="D4077" s="24">
        <v>45767</v>
      </c>
      <c r="E4077" s="23" t="s">
        <v>13</v>
      </c>
      <c r="F4077" s="23" t="s">
        <v>43</v>
      </c>
      <c r="G4077" s="23" t="s">
        <v>31</v>
      </c>
      <c r="H4077" s="23" t="s">
        <v>22</v>
      </c>
      <c r="I4077" s="23">
        <v>48</v>
      </c>
      <c r="J4077" s="23">
        <v>0</v>
      </c>
      <c r="K4077" s="23">
        <v>3</v>
      </c>
      <c r="L4077" s="23" t="s">
        <v>55</v>
      </c>
      <c r="M4077" s="25"/>
      <c r="N4077">
        <f t="shared" si="63"/>
        <v>1</v>
      </c>
    </row>
    <row r="4078" spans="1:14" x14ac:dyDescent="0.35">
      <c r="A4078" s="6" t="s">
        <v>4148</v>
      </c>
      <c r="B4078" s="19" t="s">
        <v>41</v>
      </c>
      <c r="C4078" s="19">
        <v>4</v>
      </c>
      <c r="D4078" s="20">
        <v>45748</v>
      </c>
      <c r="E4078" s="19" t="s">
        <v>20</v>
      </c>
      <c r="F4078" s="19" t="s">
        <v>8364</v>
      </c>
      <c r="G4078" s="19" t="s">
        <v>15</v>
      </c>
      <c r="H4078" s="19" t="s">
        <v>8364</v>
      </c>
      <c r="I4078" s="19">
        <v>4</v>
      </c>
      <c r="J4078" s="19">
        <v>0</v>
      </c>
      <c r="K4078" s="19">
        <v>1</v>
      </c>
      <c r="L4078" s="19" t="s">
        <v>44</v>
      </c>
      <c r="M4078" s="21">
        <v>6.4</v>
      </c>
      <c r="N4078">
        <f t="shared" si="63"/>
        <v>0</v>
      </c>
    </row>
    <row r="4079" spans="1:14" x14ac:dyDescent="0.35">
      <c r="A4079" s="22" t="s">
        <v>4149</v>
      </c>
      <c r="B4079" s="23" t="s">
        <v>51</v>
      </c>
      <c r="C4079" s="23">
        <v>5</v>
      </c>
      <c r="D4079" s="24">
        <v>45806</v>
      </c>
      <c r="E4079" s="23" t="s">
        <v>8364</v>
      </c>
      <c r="F4079" s="23" t="s">
        <v>8364</v>
      </c>
      <c r="G4079" s="23" t="s">
        <v>27</v>
      </c>
      <c r="H4079" s="23" t="s">
        <v>28</v>
      </c>
      <c r="I4079" s="23">
        <v>4</v>
      </c>
      <c r="J4079" s="23">
        <v>0</v>
      </c>
      <c r="K4079" s="23">
        <v>5</v>
      </c>
      <c r="L4079" s="23" t="s">
        <v>55</v>
      </c>
      <c r="M4079" s="25">
        <v>2.4</v>
      </c>
      <c r="N4079">
        <f t="shared" si="63"/>
        <v>1</v>
      </c>
    </row>
    <row r="4080" spans="1:14" x14ac:dyDescent="0.35">
      <c r="A4080" s="6" t="s">
        <v>4150</v>
      </c>
      <c r="B4080" s="19" t="s">
        <v>34</v>
      </c>
      <c r="C4080" s="19">
        <v>11</v>
      </c>
      <c r="D4080" s="20">
        <v>45962</v>
      </c>
      <c r="E4080" s="19" t="s">
        <v>13</v>
      </c>
      <c r="F4080" s="19" t="s">
        <v>43</v>
      </c>
      <c r="G4080" s="19" t="s">
        <v>21</v>
      </c>
      <c r="H4080" s="19" t="s">
        <v>16</v>
      </c>
      <c r="I4080" s="19">
        <v>48</v>
      </c>
      <c r="J4080" s="19">
        <v>2</v>
      </c>
      <c r="K4080" s="19"/>
      <c r="L4080" s="19" t="s">
        <v>55</v>
      </c>
      <c r="M4080" s="21">
        <v>3.3</v>
      </c>
      <c r="N4080">
        <f t="shared" si="63"/>
        <v>1</v>
      </c>
    </row>
    <row r="4081" spans="1:14" x14ac:dyDescent="0.35">
      <c r="A4081" s="22" t="s">
        <v>4151</v>
      </c>
      <c r="B4081" s="23" t="s">
        <v>81</v>
      </c>
      <c r="C4081" s="23">
        <v>6</v>
      </c>
      <c r="D4081" s="24">
        <v>45830</v>
      </c>
      <c r="E4081" s="23" t="s">
        <v>36</v>
      </c>
      <c r="F4081" s="23" t="s">
        <v>26</v>
      </c>
      <c r="G4081" s="23" t="s">
        <v>31</v>
      </c>
      <c r="H4081" s="23" t="s">
        <v>22</v>
      </c>
      <c r="I4081" s="23">
        <v>8</v>
      </c>
      <c r="J4081" s="23">
        <v>0</v>
      </c>
      <c r="K4081" s="23">
        <v>5</v>
      </c>
      <c r="L4081" s="23" t="s">
        <v>8363</v>
      </c>
      <c r="M4081" s="25">
        <v>3</v>
      </c>
      <c r="N4081">
        <f t="shared" si="63"/>
        <v>1</v>
      </c>
    </row>
    <row r="4082" spans="1:14" x14ac:dyDescent="0.35">
      <c r="A4082" s="6" t="s">
        <v>4152</v>
      </c>
      <c r="B4082" s="19" t="s">
        <v>65</v>
      </c>
      <c r="C4082" s="19">
        <v>10</v>
      </c>
      <c r="D4082" s="20">
        <v>45951</v>
      </c>
      <c r="E4082" s="19" t="s">
        <v>68</v>
      </c>
      <c r="F4082" s="19" t="s">
        <v>43</v>
      </c>
      <c r="G4082" s="19" t="s">
        <v>31</v>
      </c>
      <c r="H4082" s="19" t="s">
        <v>16</v>
      </c>
      <c r="I4082" s="19">
        <v>24</v>
      </c>
      <c r="J4082" s="19">
        <v>0</v>
      </c>
      <c r="K4082" s="19">
        <v>1</v>
      </c>
      <c r="L4082" s="19" t="s">
        <v>33</v>
      </c>
      <c r="M4082" s="21">
        <v>26</v>
      </c>
      <c r="N4082">
        <f t="shared" si="63"/>
        <v>0</v>
      </c>
    </row>
    <row r="4083" spans="1:14" x14ac:dyDescent="0.35">
      <c r="A4083" s="22" t="s">
        <v>4153</v>
      </c>
      <c r="B4083" s="23" t="s">
        <v>53</v>
      </c>
      <c r="C4083" s="23">
        <v>7</v>
      </c>
      <c r="D4083" s="24">
        <v>45841</v>
      </c>
      <c r="E4083" s="23" t="s">
        <v>8364</v>
      </c>
      <c r="F4083" s="23" t="s">
        <v>43</v>
      </c>
      <c r="G4083" s="23" t="s">
        <v>27</v>
      </c>
      <c r="H4083" s="23" t="s">
        <v>32</v>
      </c>
      <c r="I4083" s="23">
        <v>4</v>
      </c>
      <c r="J4083" s="23">
        <v>1</v>
      </c>
      <c r="K4083" s="23">
        <v>5</v>
      </c>
      <c r="L4083" s="23" t="s">
        <v>8363</v>
      </c>
      <c r="M4083" s="25">
        <v>8</v>
      </c>
      <c r="N4083">
        <f t="shared" si="63"/>
        <v>0</v>
      </c>
    </row>
    <row r="4084" spans="1:14" x14ac:dyDescent="0.35">
      <c r="A4084" s="6" t="s">
        <v>4154</v>
      </c>
      <c r="B4084" s="19" t="s">
        <v>236</v>
      </c>
      <c r="C4084" s="19"/>
      <c r="D4084" s="20"/>
      <c r="E4084" s="19" t="s">
        <v>25</v>
      </c>
      <c r="F4084" s="19" t="s">
        <v>43</v>
      </c>
      <c r="G4084" s="19" t="s">
        <v>21</v>
      </c>
      <c r="H4084" s="19" t="s">
        <v>22</v>
      </c>
      <c r="I4084" s="19">
        <v>24</v>
      </c>
      <c r="J4084" s="19">
        <v>3</v>
      </c>
      <c r="K4084" s="19">
        <v>5</v>
      </c>
      <c r="L4084" s="19" t="s">
        <v>17</v>
      </c>
      <c r="M4084" s="21">
        <v>9.1999999999999993</v>
      </c>
      <c r="N4084">
        <f t="shared" si="63"/>
        <v>1</v>
      </c>
    </row>
    <row r="4085" spans="1:14" x14ac:dyDescent="0.35">
      <c r="A4085" s="22" t="s">
        <v>4155</v>
      </c>
      <c r="B4085" s="23" t="s">
        <v>51</v>
      </c>
      <c r="C4085" s="23">
        <v>12</v>
      </c>
      <c r="D4085" s="24">
        <v>45992</v>
      </c>
      <c r="E4085" s="23" t="s">
        <v>25</v>
      </c>
      <c r="F4085" s="23" t="s">
        <v>26</v>
      </c>
      <c r="G4085" s="23" t="s">
        <v>31</v>
      </c>
      <c r="H4085" s="23" t="s">
        <v>8364</v>
      </c>
      <c r="I4085" s="23">
        <v>24</v>
      </c>
      <c r="J4085" s="23">
        <v>0</v>
      </c>
      <c r="K4085" s="23">
        <v>5</v>
      </c>
      <c r="L4085" s="23" t="s">
        <v>55</v>
      </c>
      <c r="M4085" s="25">
        <v>9.5</v>
      </c>
      <c r="N4085">
        <f t="shared" si="63"/>
        <v>1</v>
      </c>
    </row>
    <row r="4086" spans="1:14" x14ac:dyDescent="0.35">
      <c r="A4086" s="6" t="s">
        <v>4156</v>
      </c>
      <c r="B4086" s="19" t="s">
        <v>49</v>
      </c>
      <c r="C4086" s="19">
        <v>9</v>
      </c>
      <c r="D4086" s="20">
        <v>45910</v>
      </c>
      <c r="E4086" s="19" t="s">
        <v>68</v>
      </c>
      <c r="F4086" s="19" t="s">
        <v>14</v>
      </c>
      <c r="G4086" s="19" t="s">
        <v>21</v>
      </c>
      <c r="H4086" s="19" t="s">
        <v>8364</v>
      </c>
      <c r="I4086" s="19">
        <v>4</v>
      </c>
      <c r="J4086" s="19">
        <v>0</v>
      </c>
      <c r="K4086" s="19">
        <v>5</v>
      </c>
      <c r="L4086" s="19" t="s">
        <v>8363</v>
      </c>
      <c r="M4086" s="21"/>
      <c r="N4086">
        <f t="shared" si="63"/>
        <v>1</v>
      </c>
    </row>
    <row r="4087" spans="1:14" x14ac:dyDescent="0.35">
      <c r="A4087" s="22" t="s">
        <v>4157</v>
      </c>
      <c r="B4087" s="23" t="s">
        <v>81</v>
      </c>
      <c r="C4087" s="23">
        <v>11</v>
      </c>
      <c r="D4087" s="24">
        <v>45973</v>
      </c>
      <c r="E4087" s="23" t="s">
        <v>13</v>
      </c>
      <c r="F4087" s="23" t="s">
        <v>59</v>
      </c>
      <c r="G4087" s="23" t="s">
        <v>27</v>
      </c>
      <c r="H4087" s="23" t="s">
        <v>28</v>
      </c>
      <c r="I4087" s="23">
        <v>4</v>
      </c>
      <c r="J4087" s="23">
        <v>0</v>
      </c>
      <c r="K4087" s="23">
        <v>5</v>
      </c>
      <c r="L4087" s="23" t="s">
        <v>55</v>
      </c>
      <c r="M4087" s="25">
        <v>20.399999999999999</v>
      </c>
      <c r="N4087">
        <f t="shared" si="63"/>
        <v>0</v>
      </c>
    </row>
    <row r="4088" spans="1:14" x14ac:dyDescent="0.35">
      <c r="A4088" s="6" t="s">
        <v>4158</v>
      </c>
      <c r="B4088" s="19" t="s">
        <v>78</v>
      </c>
      <c r="C4088" s="19">
        <v>5</v>
      </c>
      <c r="D4088" s="20">
        <v>45793</v>
      </c>
      <c r="E4088" s="19" t="s">
        <v>25</v>
      </c>
      <c r="F4088" s="19" t="s">
        <v>37</v>
      </c>
      <c r="G4088" s="19" t="s">
        <v>21</v>
      </c>
      <c r="H4088" s="19" t="s">
        <v>22</v>
      </c>
      <c r="I4088" s="19">
        <v>24</v>
      </c>
      <c r="J4088" s="19">
        <v>0</v>
      </c>
      <c r="K4088" s="19">
        <v>4</v>
      </c>
      <c r="L4088" s="19" t="s">
        <v>55</v>
      </c>
      <c r="M4088" s="21">
        <v>5.4</v>
      </c>
      <c r="N4088">
        <f t="shared" si="63"/>
        <v>1</v>
      </c>
    </row>
    <row r="4089" spans="1:14" x14ac:dyDescent="0.35">
      <c r="A4089" s="22" t="s">
        <v>4159</v>
      </c>
      <c r="B4089" s="23" t="s">
        <v>23</v>
      </c>
      <c r="C4089" s="23">
        <v>9</v>
      </c>
      <c r="D4089" s="24">
        <v>45919</v>
      </c>
      <c r="E4089" s="23" t="s">
        <v>13</v>
      </c>
      <c r="F4089" s="23" t="s">
        <v>8364</v>
      </c>
      <c r="G4089" s="23" t="s">
        <v>15</v>
      </c>
      <c r="H4089" s="23" t="s">
        <v>22</v>
      </c>
      <c r="I4089" s="23">
        <v>24</v>
      </c>
      <c r="J4089" s="23">
        <v>0</v>
      </c>
      <c r="K4089" s="23"/>
      <c r="L4089" s="23" t="s">
        <v>62</v>
      </c>
      <c r="M4089" s="25">
        <v>19</v>
      </c>
      <c r="N4089">
        <f t="shared" si="63"/>
        <v>1</v>
      </c>
    </row>
    <row r="4090" spans="1:14" x14ac:dyDescent="0.35">
      <c r="A4090" s="6" t="s">
        <v>4160</v>
      </c>
      <c r="B4090" s="19" t="s">
        <v>89</v>
      </c>
      <c r="C4090" s="19">
        <v>9</v>
      </c>
      <c r="D4090" s="20">
        <v>45911</v>
      </c>
      <c r="E4090" s="19" t="s">
        <v>36</v>
      </c>
      <c r="F4090" s="19" t="s">
        <v>8364</v>
      </c>
      <c r="G4090" s="19" t="s">
        <v>31</v>
      </c>
      <c r="H4090" s="19" t="s">
        <v>16</v>
      </c>
      <c r="I4090" s="19">
        <v>4</v>
      </c>
      <c r="J4090" s="19">
        <v>0</v>
      </c>
      <c r="K4090" s="19">
        <v>5</v>
      </c>
      <c r="L4090" s="19" t="s">
        <v>8363</v>
      </c>
      <c r="M4090" s="21">
        <v>18.5</v>
      </c>
      <c r="N4090">
        <f t="shared" si="63"/>
        <v>0</v>
      </c>
    </row>
    <row r="4091" spans="1:14" x14ac:dyDescent="0.35">
      <c r="A4091" s="22" t="s">
        <v>4161</v>
      </c>
      <c r="B4091" s="23" t="s">
        <v>89</v>
      </c>
      <c r="C4091" s="23">
        <v>8</v>
      </c>
      <c r="D4091" s="24">
        <v>45886</v>
      </c>
      <c r="E4091" s="23" t="s">
        <v>25</v>
      </c>
      <c r="F4091" s="23" t="s">
        <v>37</v>
      </c>
      <c r="G4091" s="23" t="s">
        <v>27</v>
      </c>
      <c r="H4091" s="23" t="s">
        <v>28</v>
      </c>
      <c r="I4091" s="23">
        <v>48</v>
      </c>
      <c r="J4091" s="23">
        <v>1</v>
      </c>
      <c r="K4091" s="23">
        <v>4</v>
      </c>
      <c r="L4091" s="23" t="s">
        <v>55</v>
      </c>
      <c r="M4091" s="25">
        <v>2.6</v>
      </c>
      <c r="N4091">
        <f t="shared" si="63"/>
        <v>1</v>
      </c>
    </row>
    <row r="4092" spans="1:14" x14ac:dyDescent="0.35">
      <c r="A4092" s="6" t="s">
        <v>4162</v>
      </c>
      <c r="B4092" s="19" t="s">
        <v>101</v>
      </c>
      <c r="C4092" s="19">
        <v>11</v>
      </c>
      <c r="D4092" s="20">
        <v>45979</v>
      </c>
      <c r="E4092" s="19" t="s">
        <v>25</v>
      </c>
      <c r="F4092" s="19" t="s">
        <v>26</v>
      </c>
      <c r="G4092" s="19" t="s">
        <v>15</v>
      </c>
      <c r="H4092" s="19" t="s">
        <v>22</v>
      </c>
      <c r="I4092" s="19">
        <v>8</v>
      </c>
      <c r="J4092" s="19">
        <v>0</v>
      </c>
      <c r="K4092" s="19">
        <v>4</v>
      </c>
      <c r="L4092" s="19" t="s">
        <v>17</v>
      </c>
      <c r="M4092" s="21">
        <v>4.5999999999999996</v>
      </c>
      <c r="N4092">
        <f t="shared" si="63"/>
        <v>1</v>
      </c>
    </row>
    <row r="4093" spans="1:14" x14ac:dyDescent="0.35">
      <c r="A4093" s="22" t="s">
        <v>4163</v>
      </c>
      <c r="B4093" s="23" t="s">
        <v>158</v>
      </c>
      <c r="C4093" s="23">
        <v>4</v>
      </c>
      <c r="D4093" s="24">
        <v>45774</v>
      </c>
      <c r="E4093" s="23" t="s">
        <v>68</v>
      </c>
      <c r="F4093" s="23" t="s">
        <v>14</v>
      </c>
      <c r="G4093" s="23" t="s">
        <v>27</v>
      </c>
      <c r="H4093" s="23" t="s">
        <v>28</v>
      </c>
      <c r="I4093" s="23">
        <v>4</v>
      </c>
      <c r="J4093" s="23">
        <v>1</v>
      </c>
      <c r="K4093" s="23">
        <v>3</v>
      </c>
      <c r="L4093" s="23" t="s">
        <v>38</v>
      </c>
      <c r="M4093" s="25">
        <v>2.4</v>
      </c>
      <c r="N4093">
        <f t="shared" si="63"/>
        <v>1</v>
      </c>
    </row>
    <row r="4094" spans="1:14" x14ac:dyDescent="0.35">
      <c r="A4094" s="6" t="s">
        <v>4164</v>
      </c>
      <c r="B4094" s="19" t="s">
        <v>108</v>
      </c>
      <c r="C4094" s="19">
        <v>9</v>
      </c>
      <c r="D4094" s="20">
        <v>45916</v>
      </c>
      <c r="E4094" s="19" t="s">
        <v>13</v>
      </c>
      <c r="F4094" s="19" t="s">
        <v>14</v>
      </c>
      <c r="G4094" s="19" t="s">
        <v>31</v>
      </c>
      <c r="H4094" s="19" t="s">
        <v>16</v>
      </c>
      <c r="I4094" s="19">
        <v>8</v>
      </c>
      <c r="J4094" s="19">
        <v>0</v>
      </c>
      <c r="K4094" s="19">
        <v>2</v>
      </c>
      <c r="L4094" s="19" t="s">
        <v>44</v>
      </c>
      <c r="M4094" s="21">
        <v>8.8000000000000007</v>
      </c>
      <c r="N4094">
        <f t="shared" si="63"/>
        <v>0</v>
      </c>
    </row>
    <row r="4095" spans="1:14" x14ac:dyDescent="0.35">
      <c r="A4095" s="22" t="s">
        <v>4165</v>
      </c>
      <c r="B4095" s="23" t="s">
        <v>143</v>
      </c>
      <c r="C4095" s="23">
        <v>6</v>
      </c>
      <c r="D4095" s="24">
        <v>45833</v>
      </c>
      <c r="E4095" s="23" t="s">
        <v>8364</v>
      </c>
      <c r="F4095" s="23" t="s">
        <v>14</v>
      </c>
      <c r="G4095" s="23" t="s">
        <v>15</v>
      </c>
      <c r="H4095" s="23" t="s">
        <v>16</v>
      </c>
      <c r="I4095" s="23">
        <v>24</v>
      </c>
      <c r="J4095" s="23">
        <v>1</v>
      </c>
      <c r="K4095" s="23">
        <v>3</v>
      </c>
      <c r="L4095" s="23" t="s">
        <v>62</v>
      </c>
      <c r="M4095" s="25">
        <v>2.2999999999999998</v>
      </c>
      <c r="N4095">
        <f t="shared" si="63"/>
        <v>1</v>
      </c>
    </row>
    <row r="4096" spans="1:14" x14ac:dyDescent="0.35">
      <c r="A4096" s="6" t="s">
        <v>4166</v>
      </c>
      <c r="B4096" s="19" t="s">
        <v>181</v>
      </c>
      <c r="C4096" s="19">
        <v>12</v>
      </c>
      <c r="D4096" s="20">
        <v>45997</v>
      </c>
      <c r="E4096" s="19" t="s">
        <v>25</v>
      </c>
      <c r="F4096" s="19" t="s">
        <v>40</v>
      </c>
      <c r="G4096" s="19" t="s">
        <v>21</v>
      </c>
      <c r="H4096" s="19" t="s">
        <v>22</v>
      </c>
      <c r="I4096" s="19">
        <v>4</v>
      </c>
      <c r="J4096" s="19">
        <v>0</v>
      </c>
      <c r="K4096" s="19">
        <v>4</v>
      </c>
      <c r="L4096" s="19" t="s">
        <v>75</v>
      </c>
      <c r="M4096" s="21">
        <v>15</v>
      </c>
      <c r="N4096">
        <f t="shared" si="63"/>
        <v>0</v>
      </c>
    </row>
    <row r="4097" spans="1:14" x14ac:dyDescent="0.35">
      <c r="A4097" s="22" t="s">
        <v>4167</v>
      </c>
      <c r="B4097" s="23" t="s">
        <v>18</v>
      </c>
      <c r="C4097" s="23">
        <v>9</v>
      </c>
      <c r="D4097" s="24">
        <v>45929</v>
      </c>
      <c r="E4097" s="23" t="s">
        <v>36</v>
      </c>
      <c r="F4097" s="23" t="s">
        <v>43</v>
      </c>
      <c r="G4097" s="23" t="s">
        <v>27</v>
      </c>
      <c r="H4097" s="23" t="s">
        <v>28</v>
      </c>
      <c r="I4097" s="23">
        <v>8</v>
      </c>
      <c r="J4097" s="23">
        <v>1</v>
      </c>
      <c r="K4097" s="23">
        <v>4</v>
      </c>
      <c r="L4097" s="23" t="s">
        <v>33</v>
      </c>
      <c r="M4097" s="25">
        <v>8.3000000000000007</v>
      </c>
      <c r="N4097">
        <f t="shared" si="63"/>
        <v>0</v>
      </c>
    </row>
    <row r="4098" spans="1:14" x14ac:dyDescent="0.35">
      <c r="A4098" s="6" t="s">
        <v>4168</v>
      </c>
      <c r="B4098" s="19" t="s">
        <v>146</v>
      </c>
      <c r="C4098" s="19">
        <v>1</v>
      </c>
      <c r="D4098" s="20">
        <v>45681</v>
      </c>
      <c r="E4098" s="19" t="s">
        <v>25</v>
      </c>
      <c r="F4098" s="19" t="s">
        <v>8364</v>
      </c>
      <c r="G4098" s="19" t="s">
        <v>31</v>
      </c>
      <c r="H4098" s="19" t="s">
        <v>8364</v>
      </c>
      <c r="I4098" s="19">
        <v>48</v>
      </c>
      <c r="J4098" s="19">
        <v>0</v>
      </c>
      <c r="K4098" s="19">
        <v>4</v>
      </c>
      <c r="L4098" s="19" t="s">
        <v>44</v>
      </c>
      <c r="M4098" s="21">
        <v>3.9</v>
      </c>
      <c r="N4098">
        <f t="shared" si="63"/>
        <v>1</v>
      </c>
    </row>
    <row r="4099" spans="1:14" x14ac:dyDescent="0.35">
      <c r="A4099" s="22" t="s">
        <v>4169</v>
      </c>
      <c r="B4099" s="23" t="s">
        <v>81</v>
      </c>
      <c r="C4099" s="23">
        <v>7</v>
      </c>
      <c r="D4099" s="24">
        <v>45840</v>
      </c>
      <c r="E4099" s="23" t="s">
        <v>20</v>
      </c>
      <c r="F4099" s="23" t="s">
        <v>14</v>
      </c>
      <c r="G4099" s="23" t="s">
        <v>27</v>
      </c>
      <c r="H4099" s="23" t="s">
        <v>22</v>
      </c>
      <c r="I4099" s="23">
        <v>72</v>
      </c>
      <c r="J4099" s="23">
        <v>1</v>
      </c>
      <c r="K4099" s="23">
        <v>4</v>
      </c>
      <c r="L4099" s="23" t="s">
        <v>38</v>
      </c>
      <c r="M4099" s="25">
        <v>5</v>
      </c>
      <c r="N4099">
        <f t="shared" ref="N4099:N4162" si="64">IF(M4099 &lt;= I4099, 1, 0)</f>
        <v>1</v>
      </c>
    </row>
    <row r="4100" spans="1:14" x14ac:dyDescent="0.35">
      <c r="A4100" s="6" t="s">
        <v>4170</v>
      </c>
      <c r="B4100" s="19" t="s">
        <v>104</v>
      </c>
      <c r="C4100" s="19">
        <v>9</v>
      </c>
      <c r="D4100" s="20">
        <v>45907</v>
      </c>
      <c r="E4100" s="19" t="s">
        <v>13</v>
      </c>
      <c r="F4100" s="19" t="s">
        <v>43</v>
      </c>
      <c r="G4100" s="19" t="s">
        <v>31</v>
      </c>
      <c r="H4100" s="19" t="s">
        <v>32</v>
      </c>
      <c r="I4100" s="19">
        <v>48</v>
      </c>
      <c r="J4100" s="19">
        <v>2</v>
      </c>
      <c r="K4100" s="19">
        <v>5</v>
      </c>
      <c r="L4100" s="19" t="s">
        <v>44</v>
      </c>
      <c r="M4100" s="21">
        <v>8.1999999999999993</v>
      </c>
      <c r="N4100">
        <f t="shared" si="64"/>
        <v>1</v>
      </c>
    </row>
    <row r="4101" spans="1:14" x14ac:dyDescent="0.35">
      <c r="A4101" s="22" t="s">
        <v>4171</v>
      </c>
      <c r="B4101" s="23" t="s">
        <v>23</v>
      </c>
      <c r="C4101" s="23">
        <v>7</v>
      </c>
      <c r="D4101" s="24">
        <v>45841</v>
      </c>
      <c r="E4101" s="23" t="s">
        <v>13</v>
      </c>
      <c r="F4101" s="23" t="s">
        <v>59</v>
      </c>
      <c r="G4101" s="23" t="s">
        <v>31</v>
      </c>
      <c r="H4101" s="23" t="s">
        <v>32</v>
      </c>
      <c r="I4101" s="23">
        <v>48</v>
      </c>
      <c r="J4101" s="23">
        <v>0</v>
      </c>
      <c r="K4101" s="23">
        <v>4</v>
      </c>
      <c r="L4101" s="23" t="s">
        <v>38</v>
      </c>
      <c r="M4101" s="25">
        <v>6.3</v>
      </c>
      <c r="N4101">
        <f t="shared" si="64"/>
        <v>1</v>
      </c>
    </row>
    <row r="4102" spans="1:14" x14ac:dyDescent="0.35">
      <c r="A4102" s="6" t="s">
        <v>4172</v>
      </c>
      <c r="B4102" s="19" t="s">
        <v>104</v>
      </c>
      <c r="C4102" s="19">
        <v>1</v>
      </c>
      <c r="D4102" s="20">
        <v>45666</v>
      </c>
      <c r="E4102" s="19" t="s">
        <v>13</v>
      </c>
      <c r="F4102" s="19" t="s">
        <v>37</v>
      </c>
      <c r="G4102" s="19" t="s">
        <v>21</v>
      </c>
      <c r="H4102" s="19" t="s">
        <v>22</v>
      </c>
      <c r="I4102" s="19">
        <v>4</v>
      </c>
      <c r="J4102" s="19">
        <v>0</v>
      </c>
      <c r="K4102" s="19">
        <v>2</v>
      </c>
      <c r="L4102" s="19" t="s">
        <v>62</v>
      </c>
      <c r="M4102" s="21">
        <v>2.6</v>
      </c>
      <c r="N4102">
        <f t="shared" si="64"/>
        <v>1</v>
      </c>
    </row>
    <row r="4103" spans="1:14" x14ac:dyDescent="0.35">
      <c r="A4103" s="22" t="s">
        <v>4173</v>
      </c>
      <c r="B4103" s="23" t="s">
        <v>130</v>
      </c>
      <c r="C4103" s="23">
        <v>5</v>
      </c>
      <c r="D4103" s="24">
        <v>45807</v>
      </c>
      <c r="E4103" s="23" t="s">
        <v>25</v>
      </c>
      <c r="F4103" s="23" t="s">
        <v>14</v>
      </c>
      <c r="G4103" s="23" t="s">
        <v>8364</v>
      </c>
      <c r="H4103" s="23" t="s">
        <v>22</v>
      </c>
      <c r="I4103" s="23">
        <v>48</v>
      </c>
      <c r="J4103" s="23">
        <v>1</v>
      </c>
      <c r="K4103" s="23">
        <v>4</v>
      </c>
      <c r="L4103" s="23" t="s">
        <v>44</v>
      </c>
      <c r="M4103" s="25">
        <v>4.9000000000000004</v>
      </c>
      <c r="N4103">
        <f t="shared" si="64"/>
        <v>1</v>
      </c>
    </row>
    <row r="4104" spans="1:14" x14ac:dyDescent="0.35">
      <c r="A4104" s="6" t="s">
        <v>4174</v>
      </c>
      <c r="B4104" s="19" t="s">
        <v>65</v>
      </c>
      <c r="C4104" s="19"/>
      <c r="D4104" s="20"/>
      <c r="E4104" s="19" t="s">
        <v>68</v>
      </c>
      <c r="F4104" s="19" t="s">
        <v>8364</v>
      </c>
      <c r="G4104" s="19" t="s">
        <v>21</v>
      </c>
      <c r="H4104" s="19" t="s">
        <v>28</v>
      </c>
      <c r="I4104" s="19">
        <v>4</v>
      </c>
      <c r="J4104" s="19">
        <v>2</v>
      </c>
      <c r="K4104" s="19">
        <v>4</v>
      </c>
      <c r="L4104" s="19" t="s">
        <v>8363</v>
      </c>
      <c r="M4104" s="21">
        <v>19.100000000000001</v>
      </c>
      <c r="N4104">
        <f t="shared" si="64"/>
        <v>0</v>
      </c>
    </row>
    <row r="4105" spans="1:14" x14ac:dyDescent="0.35">
      <c r="A4105" s="22" t="s">
        <v>4175</v>
      </c>
      <c r="B4105" s="23" t="s">
        <v>51</v>
      </c>
      <c r="C4105" s="23">
        <v>9</v>
      </c>
      <c r="D4105" s="24">
        <v>45926</v>
      </c>
      <c r="E4105" s="23" t="s">
        <v>20</v>
      </c>
      <c r="F4105" s="23" t="s">
        <v>14</v>
      </c>
      <c r="G4105" s="23" t="s">
        <v>27</v>
      </c>
      <c r="H4105" s="23" t="s">
        <v>22</v>
      </c>
      <c r="I4105" s="23">
        <v>8</v>
      </c>
      <c r="J4105" s="23">
        <v>0</v>
      </c>
      <c r="K4105" s="23">
        <v>4</v>
      </c>
      <c r="L4105" s="23" t="s">
        <v>8363</v>
      </c>
      <c r="M4105" s="25">
        <v>14.1</v>
      </c>
      <c r="N4105">
        <f t="shared" si="64"/>
        <v>0</v>
      </c>
    </row>
    <row r="4106" spans="1:14" x14ac:dyDescent="0.35">
      <c r="A4106" s="6" t="s">
        <v>4176</v>
      </c>
      <c r="B4106" s="19" t="s">
        <v>97</v>
      </c>
      <c r="C4106" s="19">
        <v>7</v>
      </c>
      <c r="D4106" s="20">
        <v>45841</v>
      </c>
      <c r="E4106" s="19" t="s">
        <v>25</v>
      </c>
      <c r="F4106" s="19" t="s">
        <v>43</v>
      </c>
      <c r="G4106" s="19" t="s">
        <v>27</v>
      </c>
      <c r="H4106" s="19" t="s">
        <v>32</v>
      </c>
      <c r="I4106" s="19">
        <v>72</v>
      </c>
      <c r="J4106" s="19">
        <v>0</v>
      </c>
      <c r="K4106" s="19">
        <v>3</v>
      </c>
      <c r="L4106" s="19" t="s">
        <v>62</v>
      </c>
      <c r="M4106" s="21">
        <v>15.8</v>
      </c>
      <c r="N4106">
        <f t="shared" si="64"/>
        <v>1</v>
      </c>
    </row>
    <row r="4107" spans="1:14" x14ac:dyDescent="0.35">
      <c r="A4107" s="22" t="s">
        <v>4177</v>
      </c>
      <c r="B4107" s="23" t="s">
        <v>158</v>
      </c>
      <c r="C4107" s="23">
        <v>7</v>
      </c>
      <c r="D4107" s="24">
        <v>45851</v>
      </c>
      <c r="E4107" s="23" t="s">
        <v>13</v>
      </c>
      <c r="F4107" s="23" t="s">
        <v>59</v>
      </c>
      <c r="G4107" s="23" t="s">
        <v>31</v>
      </c>
      <c r="H4107" s="23" t="s">
        <v>16</v>
      </c>
      <c r="I4107" s="23">
        <v>72</v>
      </c>
      <c r="J4107" s="23">
        <v>0</v>
      </c>
      <c r="K4107" s="23"/>
      <c r="L4107" s="23" t="s">
        <v>8363</v>
      </c>
      <c r="M4107" s="25">
        <v>7.1</v>
      </c>
      <c r="N4107">
        <f t="shared" si="64"/>
        <v>1</v>
      </c>
    </row>
    <row r="4108" spans="1:14" x14ac:dyDescent="0.35">
      <c r="A4108" s="6" t="s">
        <v>4178</v>
      </c>
      <c r="B4108" s="19" t="s">
        <v>253</v>
      </c>
      <c r="C4108" s="19">
        <v>10</v>
      </c>
      <c r="D4108" s="20">
        <v>45932</v>
      </c>
      <c r="E4108" s="19" t="s">
        <v>68</v>
      </c>
      <c r="F4108" s="19" t="s">
        <v>26</v>
      </c>
      <c r="G4108" s="19" t="s">
        <v>21</v>
      </c>
      <c r="H4108" s="19" t="s">
        <v>28</v>
      </c>
      <c r="I4108" s="19">
        <v>8</v>
      </c>
      <c r="J4108" s="19">
        <v>0</v>
      </c>
      <c r="K4108" s="19">
        <v>2</v>
      </c>
      <c r="L4108" s="19" t="s">
        <v>44</v>
      </c>
      <c r="M4108" s="21">
        <v>8</v>
      </c>
      <c r="N4108">
        <f t="shared" si="64"/>
        <v>1</v>
      </c>
    </row>
    <row r="4109" spans="1:14" x14ac:dyDescent="0.35">
      <c r="A4109" s="22" t="s">
        <v>4179</v>
      </c>
      <c r="B4109" s="23" t="s">
        <v>49</v>
      </c>
      <c r="C4109" s="23">
        <v>7</v>
      </c>
      <c r="D4109" s="24">
        <v>45859</v>
      </c>
      <c r="E4109" s="23" t="s">
        <v>68</v>
      </c>
      <c r="F4109" s="23" t="s">
        <v>40</v>
      </c>
      <c r="G4109" s="23" t="s">
        <v>31</v>
      </c>
      <c r="H4109" s="23" t="s">
        <v>32</v>
      </c>
      <c r="I4109" s="23">
        <v>8</v>
      </c>
      <c r="J4109" s="23">
        <v>0</v>
      </c>
      <c r="K4109" s="23">
        <v>4</v>
      </c>
      <c r="L4109" s="23" t="s">
        <v>55</v>
      </c>
      <c r="M4109" s="25">
        <v>2.2999999999999998</v>
      </c>
      <c r="N4109">
        <f t="shared" si="64"/>
        <v>1</v>
      </c>
    </row>
    <row r="4110" spans="1:14" x14ac:dyDescent="0.35">
      <c r="A4110" s="6" t="s">
        <v>4180</v>
      </c>
      <c r="B4110" s="19" t="s">
        <v>47</v>
      </c>
      <c r="C4110" s="19">
        <v>9</v>
      </c>
      <c r="D4110" s="20">
        <v>45922</v>
      </c>
      <c r="E4110" s="19" t="s">
        <v>25</v>
      </c>
      <c r="F4110" s="19" t="s">
        <v>40</v>
      </c>
      <c r="G4110" s="19" t="s">
        <v>21</v>
      </c>
      <c r="H4110" s="19" t="s">
        <v>28</v>
      </c>
      <c r="I4110" s="19">
        <v>24</v>
      </c>
      <c r="J4110" s="19">
        <v>0</v>
      </c>
      <c r="K4110" s="19">
        <v>5</v>
      </c>
      <c r="L4110" s="19" t="s">
        <v>8363</v>
      </c>
      <c r="M4110" s="21">
        <v>4.7</v>
      </c>
      <c r="N4110">
        <f t="shared" si="64"/>
        <v>1</v>
      </c>
    </row>
    <row r="4111" spans="1:14" x14ac:dyDescent="0.35">
      <c r="A4111" s="22" t="s">
        <v>4181</v>
      </c>
      <c r="B4111" s="23" t="s">
        <v>126</v>
      </c>
      <c r="C4111" s="23">
        <v>6</v>
      </c>
      <c r="D4111" s="24">
        <v>45830</v>
      </c>
      <c r="E4111" s="23" t="s">
        <v>13</v>
      </c>
      <c r="F4111" s="23" t="s">
        <v>43</v>
      </c>
      <c r="G4111" s="23" t="s">
        <v>27</v>
      </c>
      <c r="H4111" s="23" t="s">
        <v>22</v>
      </c>
      <c r="I4111" s="23">
        <v>8</v>
      </c>
      <c r="J4111" s="23">
        <v>0</v>
      </c>
      <c r="K4111" s="23">
        <v>2</v>
      </c>
      <c r="L4111" s="23" t="s">
        <v>38</v>
      </c>
      <c r="M4111" s="25">
        <v>3.2</v>
      </c>
      <c r="N4111">
        <f t="shared" si="64"/>
        <v>1</v>
      </c>
    </row>
    <row r="4112" spans="1:14" x14ac:dyDescent="0.35">
      <c r="A4112" s="6" t="s">
        <v>4182</v>
      </c>
      <c r="B4112" s="19" t="s">
        <v>139</v>
      </c>
      <c r="C4112" s="19">
        <v>4</v>
      </c>
      <c r="D4112" s="20">
        <v>45769</v>
      </c>
      <c r="E4112" s="19" t="s">
        <v>8364</v>
      </c>
      <c r="F4112" s="19" t="s">
        <v>43</v>
      </c>
      <c r="G4112" s="19" t="s">
        <v>15</v>
      </c>
      <c r="H4112" s="19" t="s">
        <v>28</v>
      </c>
      <c r="I4112" s="19">
        <v>72</v>
      </c>
      <c r="J4112" s="19">
        <v>2</v>
      </c>
      <c r="K4112" s="19">
        <v>4</v>
      </c>
      <c r="L4112" s="19" t="s">
        <v>62</v>
      </c>
      <c r="M4112" s="21">
        <v>3.6</v>
      </c>
      <c r="N4112">
        <f t="shared" si="64"/>
        <v>1</v>
      </c>
    </row>
    <row r="4113" spans="1:14" x14ac:dyDescent="0.35">
      <c r="A4113" s="22" t="s">
        <v>4183</v>
      </c>
      <c r="B4113" s="23" t="s">
        <v>49</v>
      </c>
      <c r="C4113" s="23"/>
      <c r="D4113" s="24"/>
      <c r="E4113" s="23" t="s">
        <v>25</v>
      </c>
      <c r="F4113" s="23" t="s">
        <v>14</v>
      </c>
      <c r="G4113" s="23" t="s">
        <v>8364</v>
      </c>
      <c r="H4113" s="23" t="s">
        <v>8364</v>
      </c>
      <c r="I4113" s="23">
        <v>8</v>
      </c>
      <c r="J4113" s="23">
        <v>0</v>
      </c>
      <c r="K4113" s="23">
        <v>2</v>
      </c>
      <c r="L4113" s="23" t="s">
        <v>55</v>
      </c>
      <c r="M4113" s="25">
        <v>4.5</v>
      </c>
      <c r="N4113">
        <f t="shared" si="64"/>
        <v>1</v>
      </c>
    </row>
    <row r="4114" spans="1:14" x14ac:dyDescent="0.35">
      <c r="A4114" s="6" t="s">
        <v>4184</v>
      </c>
      <c r="B4114" s="19" t="s">
        <v>99</v>
      </c>
      <c r="C4114" s="19">
        <v>5</v>
      </c>
      <c r="D4114" s="20">
        <v>45799</v>
      </c>
      <c r="E4114" s="19" t="s">
        <v>8364</v>
      </c>
      <c r="F4114" s="19" t="s">
        <v>14</v>
      </c>
      <c r="G4114" s="19" t="s">
        <v>21</v>
      </c>
      <c r="H4114" s="19" t="s">
        <v>28</v>
      </c>
      <c r="I4114" s="19">
        <v>24</v>
      </c>
      <c r="J4114" s="19">
        <v>0</v>
      </c>
      <c r="K4114" s="19">
        <v>3</v>
      </c>
      <c r="L4114" s="19" t="s">
        <v>38</v>
      </c>
      <c r="M4114" s="21">
        <v>15.5</v>
      </c>
      <c r="N4114">
        <f t="shared" si="64"/>
        <v>1</v>
      </c>
    </row>
    <row r="4115" spans="1:14" x14ac:dyDescent="0.35">
      <c r="A4115" s="22" t="s">
        <v>4185</v>
      </c>
      <c r="B4115" s="23" t="s">
        <v>181</v>
      </c>
      <c r="C4115" s="23">
        <v>12</v>
      </c>
      <c r="D4115" s="24">
        <v>46000</v>
      </c>
      <c r="E4115" s="23" t="s">
        <v>8364</v>
      </c>
      <c r="F4115" s="23" t="s">
        <v>14</v>
      </c>
      <c r="G4115" s="23" t="s">
        <v>21</v>
      </c>
      <c r="H4115" s="23" t="s">
        <v>22</v>
      </c>
      <c r="I4115" s="23">
        <v>48</v>
      </c>
      <c r="J4115" s="23">
        <v>0</v>
      </c>
      <c r="K4115" s="23">
        <v>3</v>
      </c>
      <c r="L4115" s="23" t="s">
        <v>62</v>
      </c>
      <c r="M4115" s="25">
        <v>5.3</v>
      </c>
      <c r="N4115">
        <f t="shared" si="64"/>
        <v>1</v>
      </c>
    </row>
    <row r="4116" spans="1:14" x14ac:dyDescent="0.35">
      <c r="A4116" s="6" t="s">
        <v>4186</v>
      </c>
      <c r="B4116" s="19" t="s">
        <v>253</v>
      </c>
      <c r="C4116" s="19"/>
      <c r="D4116" s="20"/>
      <c r="E4116" s="19" t="s">
        <v>25</v>
      </c>
      <c r="F4116" s="19" t="s">
        <v>59</v>
      </c>
      <c r="G4116" s="19" t="s">
        <v>27</v>
      </c>
      <c r="H4116" s="19" t="s">
        <v>22</v>
      </c>
      <c r="I4116" s="19">
        <v>72</v>
      </c>
      <c r="J4116" s="19">
        <v>0</v>
      </c>
      <c r="K4116" s="19">
        <v>4</v>
      </c>
      <c r="L4116" s="19" t="s">
        <v>33</v>
      </c>
      <c r="M4116" s="21">
        <v>10.5</v>
      </c>
      <c r="N4116">
        <f t="shared" si="64"/>
        <v>1</v>
      </c>
    </row>
    <row r="4117" spans="1:14" x14ac:dyDescent="0.35">
      <c r="A4117" s="22" t="s">
        <v>4187</v>
      </c>
      <c r="B4117" s="23" t="s">
        <v>23</v>
      </c>
      <c r="C4117" s="23">
        <v>6</v>
      </c>
      <c r="D4117" s="24">
        <v>45824</v>
      </c>
      <c r="E4117" s="23" t="s">
        <v>68</v>
      </c>
      <c r="F4117" s="23" t="s">
        <v>8364</v>
      </c>
      <c r="G4117" s="23" t="s">
        <v>31</v>
      </c>
      <c r="H4117" s="23" t="s">
        <v>28</v>
      </c>
      <c r="I4117" s="23">
        <v>4</v>
      </c>
      <c r="J4117" s="23">
        <v>0</v>
      </c>
      <c r="K4117" s="23"/>
      <c r="L4117" s="23" t="s">
        <v>75</v>
      </c>
      <c r="M4117" s="25">
        <v>7.3</v>
      </c>
      <c r="N4117">
        <f t="shared" si="64"/>
        <v>0</v>
      </c>
    </row>
    <row r="4118" spans="1:14" x14ac:dyDescent="0.35">
      <c r="A4118" s="6" t="s">
        <v>4188</v>
      </c>
      <c r="B4118" s="19" t="s">
        <v>139</v>
      </c>
      <c r="C4118" s="19">
        <v>12</v>
      </c>
      <c r="D4118" s="20">
        <v>46018</v>
      </c>
      <c r="E4118" s="19" t="s">
        <v>8364</v>
      </c>
      <c r="F4118" s="19" t="s">
        <v>26</v>
      </c>
      <c r="G4118" s="19" t="s">
        <v>31</v>
      </c>
      <c r="H4118" s="19" t="s">
        <v>22</v>
      </c>
      <c r="I4118" s="19">
        <v>72</v>
      </c>
      <c r="J4118" s="19">
        <v>0</v>
      </c>
      <c r="K4118" s="19"/>
      <c r="L4118" s="19" t="s">
        <v>8363</v>
      </c>
      <c r="M4118" s="21">
        <v>3.9</v>
      </c>
      <c r="N4118">
        <f t="shared" si="64"/>
        <v>1</v>
      </c>
    </row>
    <row r="4119" spans="1:14" x14ac:dyDescent="0.35">
      <c r="A4119" s="22" t="s">
        <v>4189</v>
      </c>
      <c r="B4119" s="23" t="s">
        <v>23</v>
      </c>
      <c r="C4119" s="23">
        <v>3</v>
      </c>
      <c r="D4119" s="24">
        <v>45732</v>
      </c>
      <c r="E4119" s="23" t="s">
        <v>36</v>
      </c>
      <c r="F4119" s="23" t="s">
        <v>14</v>
      </c>
      <c r="G4119" s="23" t="s">
        <v>27</v>
      </c>
      <c r="H4119" s="23" t="s">
        <v>22</v>
      </c>
      <c r="I4119" s="23">
        <v>72</v>
      </c>
      <c r="J4119" s="23">
        <v>0</v>
      </c>
      <c r="K4119" s="23">
        <v>5</v>
      </c>
      <c r="L4119" s="23" t="s">
        <v>38</v>
      </c>
      <c r="M4119" s="25">
        <v>9.6999999999999993</v>
      </c>
      <c r="N4119">
        <f t="shared" si="64"/>
        <v>1</v>
      </c>
    </row>
    <row r="4120" spans="1:14" x14ac:dyDescent="0.35">
      <c r="A4120" s="6" t="s">
        <v>4190</v>
      </c>
      <c r="B4120" s="19" t="s">
        <v>108</v>
      </c>
      <c r="C4120" s="19">
        <v>1</v>
      </c>
      <c r="D4120" s="20">
        <v>45686</v>
      </c>
      <c r="E4120" s="19" t="s">
        <v>36</v>
      </c>
      <c r="F4120" s="19" t="s">
        <v>14</v>
      </c>
      <c r="G4120" s="19" t="s">
        <v>21</v>
      </c>
      <c r="H4120" s="19" t="s">
        <v>8364</v>
      </c>
      <c r="I4120" s="19">
        <v>72</v>
      </c>
      <c r="J4120" s="19">
        <v>1</v>
      </c>
      <c r="K4120" s="19">
        <v>5</v>
      </c>
      <c r="L4120" s="19" t="s">
        <v>17</v>
      </c>
      <c r="M4120" s="21">
        <v>9.9</v>
      </c>
      <c r="N4120">
        <f t="shared" si="64"/>
        <v>1</v>
      </c>
    </row>
    <row r="4121" spans="1:14" x14ac:dyDescent="0.35">
      <c r="A4121" s="22" t="s">
        <v>4191</v>
      </c>
      <c r="B4121" s="23" t="s">
        <v>57</v>
      </c>
      <c r="C4121" s="23">
        <v>7</v>
      </c>
      <c r="D4121" s="24">
        <v>45848</v>
      </c>
      <c r="E4121" s="23" t="s">
        <v>25</v>
      </c>
      <c r="F4121" s="23" t="s">
        <v>14</v>
      </c>
      <c r="G4121" s="23" t="s">
        <v>21</v>
      </c>
      <c r="H4121" s="23" t="s">
        <v>22</v>
      </c>
      <c r="I4121" s="23">
        <v>4</v>
      </c>
      <c r="J4121" s="23">
        <v>0</v>
      </c>
      <c r="K4121" s="23">
        <v>1</v>
      </c>
      <c r="L4121" s="23" t="s">
        <v>75</v>
      </c>
      <c r="M4121" s="25">
        <v>2.2999999999999998</v>
      </c>
      <c r="N4121">
        <f t="shared" si="64"/>
        <v>1</v>
      </c>
    </row>
    <row r="4122" spans="1:14" x14ac:dyDescent="0.35">
      <c r="A4122" s="6" t="s">
        <v>4192</v>
      </c>
      <c r="B4122" s="19" t="s">
        <v>53</v>
      </c>
      <c r="C4122" s="19">
        <v>7</v>
      </c>
      <c r="D4122" s="20">
        <v>45849</v>
      </c>
      <c r="E4122" s="19" t="s">
        <v>25</v>
      </c>
      <c r="F4122" s="19" t="s">
        <v>37</v>
      </c>
      <c r="G4122" s="19" t="s">
        <v>27</v>
      </c>
      <c r="H4122" s="19" t="s">
        <v>16</v>
      </c>
      <c r="I4122" s="19">
        <v>8</v>
      </c>
      <c r="J4122" s="19">
        <v>0</v>
      </c>
      <c r="K4122" s="19">
        <v>2</v>
      </c>
      <c r="L4122" s="19" t="s">
        <v>38</v>
      </c>
      <c r="M4122" s="21">
        <v>90</v>
      </c>
      <c r="N4122">
        <f t="shared" si="64"/>
        <v>0</v>
      </c>
    </row>
    <row r="4123" spans="1:14" x14ac:dyDescent="0.35">
      <c r="A4123" s="22" t="s">
        <v>4193</v>
      </c>
      <c r="B4123" s="23" t="s">
        <v>39</v>
      </c>
      <c r="C4123" s="23">
        <v>12</v>
      </c>
      <c r="D4123" s="24">
        <v>46004</v>
      </c>
      <c r="E4123" s="23" t="s">
        <v>25</v>
      </c>
      <c r="F4123" s="23" t="s">
        <v>37</v>
      </c>
      <c r="G4123" s="23" t="s">
        <v>21</v>
      </c>
      <c r="H4123" s="23" t="s">
        <v>8364</v>
      </c>
      <c r="I4123" s="23">
        <v>48</v>
      </c>
      <c r="J4123" s="23">
        <v>0</v>
      </c>
      <c r="K4123" s="23">
        <v>5</v>
      </c>
      <c r="L4123" s="23" t="s">
        <v>44</v>
      </c>
      <c r="M4123" s="25">
        <v>17.7</v>
      </c>
      <c r="N4123">
        <f t="shared" si="64"/>
        <v>1</v>
      </c>
    </row>
    <row r="4124" spans="1:14" x14ac:dyDescent="0.35">
      <c r="A4124" s="6" t="s">
        <v>4194</v>
      </c>
      <c r="B4124" s="19" t="s">
        <v>92</v>
      </c>
      <c r="C4124" s="19">
        <v>7</v>
      </c>
      <c r="D4124" s="20">
        <v>45848</v>
      </c>
      <c r="E4124" s="19" t="s">
        <v>68</v>
      </c>
      <c r="F4124" s="19" t="s">
        <v>14</v>
      </c>
      <c r="G4124" s="19" t="s">
        <v>31</v>
      </c>
      <c r="H4124" s="19" t="s">
        <v>8364</v>
      </c>
      <c r="I4124" s="19">
        <v>48</v>
      </c>
      <c r="J4124" s="19">
        <v>0</v>
      </c>
      <c r="K4124" s="19">
        <v>5</v>
      </c>
      <c r="L4124" s="19" t="s">
        <v>62</v>
      </c>
      <c r="M4124" s="21">
        <v>5</v>
      </c>
      <c r="N4124">
        <f t="shared" si="64"/>
        <v>1</v>
      </c>
    </row>
    <row r="4125" spans="1:14" x14ac:dyDescent="0.35">
      <c r="A4125" s="22" t="s">
        <v>4195</v>
      </c>
      <c r="B4125" s="23" t="s">
        <v>253</v>
      </c>
      <c r="C4125" s="23">
        <v>9</v>
      </c>
      <c r="D4125" s="24">
        <v>45907</v>
      </c>
      <c r="E4125" s="23" t="s">
        <v>25</v>
      </c>
      <c r="F4125" s="23" t="s">
        <v>37</v>
      </c>
      <c r="G4125" s="23" t="s">
        <v>8364</v>
      </c>
      <c r="H4125" s="23" t="s">
        <v>32</v>
      </c>
      <c r="I4125" s="23">
        <v>72</v>
      </c>
      <c r="J4125" s="23">
        <v>0</v>
      </c>
      <c r="K4125" s="23">
        <v>1</v>
      </c>
      <c r="L4125" s="23" t="s">
        <v>8363</v>
      </c>
      <c r="M4125" s="25">
        <v>2.4</v>
      </c>
      <c r="N4125">
        <f t="shared" si="64"/>
        <v>1</v>
      </c>
    </row>
    <row r="4126" spans="1:14" x14ac:dyDescent="0.35">
      <c r="A4126" s="6" t="s">
        <v>4196</v>
      </c>
      <c r="B4126" s="19" t="s">
        <v>143</v>
      </c>
      <c r="C4126" s="19">
        <v>7</v>
      </c>
      <c r="D4126" s="20">
        <v>45843</v>
      </c>
      <c r="E4126" s="19" t="s">
        <v>8364</v>
      </c>
      <c r="F4126" s="19" t="s">
        <v>43</v>
      </c>
      <c r="G4126" s="19" t="s">
        <v>21</v>
      </c>
      <c r="H4126" s="19" t="s">
        <v>32</v>
      </c>
      <c r="I4126" s="19">
        <v>8</v>
      </c>
      <c r="J4126" s="19">
        <v>0</v>
      </c>
      <c r="K4126" s="19">
        <v>5</v>
      </c>
      <c r="L4126" s="19" t="s">
        <v>17</v>
      </c>
      <c r="M4126" s="21">
        <v>10.3</v>
      </c>
      <c r="N4126">
        <f t="shared" si="64"/>
        <v>0</v>
      </c>
    </row>
    <row r="4127" spans="1:14" x14ac:dyDescent="0.35">
      <c r="A4127" s="22" t="s">
        <v>4197</v>
      </c>
      <c r="B4127" s="23" t="s">
        <v>101</v>
      </c>
      <c r="C4127" s="23">
        <v>7</v>
      </c>
      <c r="D4127" s="24">
        <v>45839</v>
      </c>
      <c r="E4127" s="23" t="s">
        <v>36</v>
      </c>
      <c r="F4127" s="23" t="s">
        <v>14</v>
      </c>
      <c r="G4127" s="23" t="s">
        <v>31</v>
      </c>
      <c r="H4127" s="23" t="s">
        <v>28</v>
      </c>
      <c r="I4127" s="23">
        <v>72</v>
      </c>
      <c r="J4127" s="23">
        <v>0</v>
      </c>
      <c r="K4127" s="23">
        <v>3</v>
      </c>
      <c r="L4127" s="23" t="s">
        <v>8363</v>
      </c>
      <c r="M4127" s="25">
        <v>17.600000000000001</v>
      </c>
      <c r="N4127">
        <f t="shared" si="64"/>
        <v>1</v>
      </c>
    </row>
    <row r="4128" spans="1:14" x14ac:dyDescent="0.35">
      <c r="A4128" s="6" t="s">
        <v>4198</v>
      </c>
      <c r="B4128" s="19" t="s">
        <v>89</v>
      </c>
      <c r="C4128" s="19">
        <v>5</v>
      </c>
      <c r="D4128" s="20">
        <v>45782</v>
      </c>
      <c r="E4128" s="19" t="s">
        <v>13</v>
      </c>
      <c r="F4128" s="19" t="s">
        <v>14</v>
      </c>
      <c r="G4128" s="19" t="s">
        <v>31</v>
      </c>
      <c r="H4128" s="19" t="s">
        <v>32</v>
      </c>
      <c r="I4128" s="19">
        <v>8</v>
      </c>
      <c r="J4128" s="19">
        <v>0</v>
      </c>
      <c r="K4128" s="19">
        <v>4</v>
      </c>
      <c r="L4128" s="19" t="s">
        <v>17</v>
      </c>
      <c r="M4128" s="21">
        <v>15</v>
      </c>
      <c r="N4128">
        <f t="shared" si="64"/>
        <v>0</v>
      </c>
    </row>
    <row r="4129" spans="1:14" x14ac:dyDescent="0.35">
      <c r="A4129" s="22" t="s">
        <v>4199</v>
      </c>
      <c r="B4129" s="23" t="s">
        <v>49</v>
      </c>
      <c r="C4129" s="23">
        <v>12</v>
      </c>
      <c r="D4129" s="24">
        <v>46019</v>
      </c>
      <c r="E4129" s="23" t="s">
        <v>8364</v>
      </c>
      <c r="F4129" s="23" t="s">
        <v>43</v>
      </c>
      <c r="G4129" s="23" t="s">
        <v>21</v>
      </c>
      <c r="H4129" s="23" t="s">
        <v>28</v>
      </c>
      <c r="I4129" s="23">
        <v>24</v>
      </c>
      <c r="J4129" s="23">
        <v>0</v>
      </c>
      <c r="K4129" s="23">
        <v>5</v>
      </c>
      <c r="L4129" s="23" t="s">
        <v>33</v>
      </c>
      <c r="M4129" s="25">
        <v>6.9</v>
      </c>
      <c r="N4129">
        <f t="shared" si="64"/>
        <v>1</v>
      </c>
    </row>
    <row r="4130" spans="1:14" x14ac:dyDescent="0.35">
      <c r="A4130" s="6" t="s">
        <v>4200</v>
      </c>
      <c r="B4130" s="19" t="s">
        <v>29</v>
      </c>
      <c r="C4130" s="19">
        <v>2</v>
      </c>
      <c r="D4130" s="20">
        <v>45690</v>
      </c>
      <c r="E4130" s="19" t="s">
        <v>20</v>
      </c>
      <c r="F4130" s="19" t="s">
        <v>43</v>
      </c>
      <c r="G4130" s="19" t="s">
        <v>27</v>
      </c>
      <c r="H4130" s="19" t="s">
        <v>22</v>
      </c>
      <c r="I4130" s="19">
        <v>72</v>
      </c>
      <c r="J4130" s="19">
        <v>0</v>
      </c>
      <c r="K4130" s="19">
        <v>4</v>
      </c>
      <c r="L4130" s="19" t="s">
        <v>75</v>
      </c>
      <c r="M4130" s="21">
        <v>6.7</v>
      </c>
      <c r="N4130">
        <f t="shared" si="64"/>
        <v>1</v>
      </c>
    </row>
    <row r="4131" spans="1:14" x14ac:dyDescent="0.35">
      <c r="A4131" s="22" t="s">
        <v>4201</v>
      </c>
      <c r="B4131" s="23" t="s">
        <v>130</v>
      </c>
      <c r="C4131" s="23">
        <v>7</v>
      </c>
      <c r="D4131" s="24">
        <v>45840</v>
      </c>
      <c r="E4131" s="23" t="s">
        <v>13</v>
      </c>
      <c r="F4131" s="23" t="s">
        <v>14</v>
      </c>
      <c r="G4131" s="23" t="s">
        <v>27</v>
      </c>
      <c r="H4131" s="23" t="s">
        <v>22</v>
      </c>
      <c r="I4131" s="23">
        <v>4</v>
      </c>
      <c r="J4131" s="23">
        <v>0</v>
      </c>
      <c r="K4131" s="23">
        <v>4</v>
      </c>
      <c r="L4131" s="23" t="s">
        <v>8363</v>
      </c>
      <c r="M4131" s="25">
        <v>14.6</v>
      </c>
      <c r="N4131">
        <f t="shared" si="64"/>
        <v>0</v>
      </c>
    </row>
    <row r="4132" spans="1:14" x14ac:dyDescent="0.35">
      <c r="A4132" s="6" t="s">
        <v>4202</v>
      </c>
      <c r="B4132" s="19" t="s">
        <v>23</v>
      </c>
      <c r="C4132" s="19">
        <v>3</v>
      </c>
      <c r="D4132" s="20">
        <v>45743</v>
      </c>
      <c r="E4132" s="19" t="s">
        <v>68</v>
      </c>
      <c r="F4132" s="19" t="s">
        <v>37</v>
      </c>
      <c r="G4132" s="19" t="s">
        <v>27</v>
      </c>
      <c r="H4132" s="19" t="s">
        <v>22</v>
      </c>
      <c r="I4132" s="19">
        <v>72</v>
      </c>
      <c r="J4132" s="19">
        <v>1</v>
      </c>
      <c r="K4132" s="19">
        <v>5</v>
      </c>
      <c r="L4132" s="19" t="s">
        <v>8363</v>
      </c>
      <c r="M4132" s="21">
        <v>6.2</v>
      </c>
      <c r="N4132">
        <f t="shared" si="64"/>
        <v>1</v>
      </c>
    </row>
    <row r="4133" spans="1:14" x14ac:dyDescent="0.35">
      <c r="A4133" s="22" t="s">
        <v>4203</v>
      </c>
      <c r="B4133" s="23" t="s">
        <v>81</v>
      </c>
      <c r="C4133" s="23">
        <v>2</v>
      </c>
      <c r="D4133" s="24">
        <v>45713</v>
      </c>
      <c r="E4133" s="23" t="s">
        <v>36</v>
      </c>
      <c r="F4133" s="23" t="s">
        <v>14</v>
      </c>
      <c r="G4133" s="23" t="s">
        <v>27</v>
      </c>
      <c r="H4133" s="23" t="s">
        <v>22</v>
      </c>
      <c r="I4133" s="23">
        <v>24</v>
      </c>
      <c r="J4133" s="23">
        <v>0</v>
      </c>
      <c r="K4133" s="23">
        <v>5</v>
      </c>
      <c r="L4133" s="23" t="s">
        <v>75</v>
      </c>
      <c r="M4133" s="25"/>
      <c r="N4133">
        <f t="shared" si="64"/>
        <v>1</v>
      </c>
    </row>
    <row r="4134" spans="1:14" x14ac:dyDescent="0.35">
      <c r="A4134" s="6" t="s">
        <v>4204</v>
      </c>
      <c r="B4134" s="19" t="s">
        <v>99</v>
      </c>
      <c r="C4134" s="19">
        <v>7</v>
      </c>
      <c r="D4134" s="20">
        <v>45868</v>
      </c>
      <c r="E4134" s="19" t="s">
        <v>36</v>
      </c>
      <c r="F4134" s="19" t="s">
        <v>43</v>
      </c>
      <c r="G4134" s="19" t="s">
        <v>21</v>
      </c>
      <c r="H4134" s="19" t="s">
        <v>22</v>
      </c>
      <c r="I4134" s="19">
        <v>24</v>
      </c>
      <c r="J4134" s="19">
        <v>0</v>
      </c>
      <c r="K4134" s="19">
        <v>4</v>
      </c>
      <c r="L4134" s="19" t="s">
        <v>8363</v>
      </c>
      <c r="M4134" s="21">
        <v>16.2</v>
      </c>
      <c r="N4134">
        <f t="shared" si="64"/>
        <v>1</v>
      </c>
    </row>
    <row r="4135" spans="1:14" x14ac:dyDescent="0.35">
      <c r="A4135" s="22" t="s">
        <v>4205</v>
      </c>
      <c r="B4135" s="23" t="s">
        <v>253</v>
      </c>
      <c r="C4135" s="23">
        <v>9</v>
      </c>
      <c r="D4135" s="24">
        <v>45928</v>
      </c>
      <c r="E4135" s="23" t="s">
        <v>13</v>
      </c>
      <c r="F4135" s="23" t="s">
        <v>14</v>
      </c>
      <c r="G4135" s="23" t="s">
        <v>31</v>
      </c>
      <c r="H4135" s="23" t="s">
        <v>22</v>
      </c>
      <c r="I4135" s="23">
        <v>24</v>
      </c>
      <c r="J4135" s="23">
        <v>0</v>
      </c>
      <c r="K4135" s="23">
        <v>5</v>
      </c>
      <c r="L4135" s="23" t="s">
        <v>44</v>
      </c>
      <c r="M4135" s="25">
        <v>28.2</v>
      </c>
      <c r="N4135">
        <f t="shared" si="64"/>
        <v>0</v>
      </c>
    </row>
    <row r="4136" spans="1:14" x14ac:dyDescent="0.35">
      <c r="A4136" s="6" t="s">
        <v>4206</v>
      </c>
      <c r="B4136" s="19" t="s">
        <v>47</v>
      </c>
      <c r="C4136" s="19">
        <v>11</v>
      </c>
      <c r="D4136" s="20">
        <v>45991</v>
      </c>
      <c r="E4136" s="19" t="s">
        <v>25</v>
      </c>
      <c r="F4136" s="19" t="s">
        <v>59</v>
      </c>
      <c r="G4136" s="19" t="s">
        <v>8364</v>
      </c>
      <c r="H4136" s="19" t="s">
        <v>32</v>
      </c>
      <c r="I4136" s="19">
        <v>48</v>
      </c>
      <c r="J4136" s="19">
        <v>0</v>
      </c>
      <c r="K4136" s="19">
        <v>3</v>
      </c>
      <c r="L4136" s="19" t="s">
        <v>17</v>
      </c>
      <c r="M4136" s="21">
        <v>2.2000000000000002</v>
      </c>
      <c r="N4136">
        <f t="shared" si="64"/>
        <v>1</v>
      </c>
    </row>
    <row r="4137" spans="1:14" x14ac:dyDescent="0.35">
      <c r="A4137" s="22" t="s">
        <v>4207</v>
      </c>
      <c r="B4137" s="23" t="s">
        <v>143</v>
      </c>
      <c r="C4137" s="23">
        <v>7</v>
      </c>
      <c r="D4137" s="24">
        <v>45850</v>
      </c>
      <c r="E4137" s="23" t="s">
        <v>20</v>
      </c>
      <c r="F4137" s="23" t="s">
        <v>43</v>
      </c>
      <c r="G4137" s="23" t="s">
        <v>21</v>
      </c>
      <c r="H4137" s="23" t="s">
        <v>8364</v>
      </c>
      <c r="I4137" s="23">
        <v>24</v>
      </c>
      <c r="J4137" s="23">
        <v>0</v>
      </c>
      <c r="K4137" s="23">
        <v>4</v>
      </c>
      <c r="L4137" s="23" t="s">
        <v>55</v>
      </c>
      <c r="M4137" s="25">
        <v>6.5</v>
      </c>
      <c r="N4137">
        <f t="shared" si="64"/>
        <v>1</v>
      </c>
    </row>
    <row r="4138" spans="1:14" x14ac:dyDescent="0.35">
      <c r="A4138" s="6" t="s">
        <v>4208</v>
      </c>
      <c r="B4138" s="19" t="s">
        <v>49</v>
      </c>
      <c r="C4138" s="19">
        <v>4</v>
      </c>
      <c r="D4138" s="20">
        <v>45755</v>
      </c>
      <c r="E4138" s="19" t="s">
        <v>36</v>
      </c>
      <c r="F4138" s="19" t="s">
        <v>14</v>
      </c>
      <c r="G4138" s="19" t="s">
        <v>31</v>
      </c>
      <c r="H4138" s="19" t="s">
        <v>16</v>
      </c>
      <c r="I4138" s="19">
        <v>72</v>
      </c>
      <c r="J4138" s="19">
        <v>0</v>
      </c>
      <c r="K4138" s="19">
        <v>4</v>
      </c>
      <c r="L4138" s="19" t="s">
        <v>8363</v>
      </c>
      <c r="M4138" s="21">
        <v>3.7</v>
      </c>
      <c r="N4138">
        <f t="shared" si="64"/>
        <v>1</v>
      </c>
    </row>
    <row r="4139" spans="1:14" x14ac:dyDescent="0.35">
      <c r="A4139" s="22" t="s">
        <v>4209</v>
      </c>
      <c r="B4139" s="23" t="s">
        <v>47</v>
      </c>
      <c r="C4139" s="23">
        <v>10</v>
      </c>
      <c r="D4139" s="24">
        <v>45955</v>
      </c>
      <c r="E4139" s="23" t="s">
        <v>8364</v>
      </c>
      <c r="F4139" s="23" t="s">
        <v>59</v>
      </c>
      <c r="G4139" s="23" t="s">
        <v>8364</v>
      </c>
      <c r="H4139" s="23" t="s">
        <v>8364</v>
      </c>
      <c r="I4139" s="23">
        <v>4</v>
      </c>
      <c r="J4139" s="23">
        <v>0</v>
      </c>
      <c r="K4139" s="23">
        <v>4</v>
      </c>
      <c r="L4139" s="23" t="s">
        <v>17</v>
      </c>
      <c r="M4139" s="25">
        <v>20.399999999999999</v>
      </c>
      <c r="N4139">
        <f t="shared" si="64"/>
        <v>0</v>
      </c>
    </row>
    <row r="4140" spans="1:14" x14ac:dyDescent="0.35">
      <c r="A4140" s="6" t="s">
        <v>4210</v>
      </c>
      <c r="B4140" s="19" t="s">
        <v>81</v>
      </c>
      <c r="C4140" s="19">
        <v>4</v>
      </c>
      <c r="D4140" s="20">
        <v>45753</v>
      </c>
      <c r="E4140" s="19" t="s">
        <v>13</v>
      </c>
      <c r="F4140" s="19" t="s">
        <v>14</v>
      </c>
      <c r="G4140" s="19" t="s">
        <v>8364</v>
      </c>
      <c r="H4140" s="19" t="s">
        <v>22</v>
      </c>
      <c r="I4140" s="19">
        <v>72</v>
      </c>
      <c r="J4140" s="19">
        <v>2</v>
      </c>
      <c r="K4140" s="19">
        <v>4</v>
      </c>
      <c r="L4140" s="19" t="s">
        <v>33</v>
      </c>
      <c r="M4140" s="21">
        <v>14.6</v>
      </c>
      <c r="N4140">
        <f t="shared" si="64"/>
        <v>1</v>
      </c>
    </row>
    <row r="4141" spans="1:14" x14ac:dyDescent="0.35">
      <c r="A4141" s="22" t="s">
        <v>4211</v>
      </c>
      <c r="B4141" s="23" t="s">
        <v>69</v>
      </c>
      <c r="C4141" s="23">
        <v>11</v>
      </c>
      <c r="D4141" s="24">
        <v>45981</v>
      </c>
      <c r="E4141" s="23" t="s">
        <v>68</v>
      </c>
      <c r="F4141" s="23" t="s">
        <v>14</v>
      </c>
      <c r="G4141" s="23" t="s">
        <v>27</v>
      </c>
      <c r="H4141" s="23" t="s">
        <v>8364</v>
      </c>
      <c r="I4141" s="23">
        <v>8</v>
      </c>
      <c r="J4141" s="23">
        <v>0</v>
      </c>
      <c r="K4141" s="23">
        <v>5</v>
      </c>
      <c r="L4141" s="23" t="s">
        <v>17</v>
      </c>
      <c r="M4141" s="25">
        <v>3.7</v>
      </c>
      <c r="N4141">
        <f t="shared" si="64"/>
        <v>1</v>
      </c>
    </row>
    <row r="4142" spans="1:14" x14ac:dyDescent="0.35">
      <c r="A4142" s="6" t="s">
        <v>4212</v>
      </c>
      <c r="B4142" s="19" t="s">
        <v>29</v>
      </c>
      <c r="C4142" s="19">
        <v>1</v>
      </c>
      <c r="D4142" s="20">
        <v>45666</v>
      </c>
      <c r="E4142" s="19" t="s">
        <v>13</v>
      </c>
      <c r="F4142" s="19" t="s">
        <v>40</v>
      </c>
      <c r="G4142" s="19" t="s">
        <v>31</v>
      </c>
      <c r="H4142" s="19" t="s">
        <v>8364</v>
      </c>
      <c r="I4142" s="19">
        <v>48</v>
      </c>
      <c r="J4142" s="19">
        <v>0</v>
      </c>
      <c r="K4142" s="19"/>
      <c r="L4142" s="19" t="s">
        <v>33</v>
      </c>
      <c r="M4142" s="21">
        <v>35.700000000000003</v>
      </c>
      <c r="N4142">
        <f t="shared" si="64"/>
        <v>1</v>
      </c>
    </row>
    <row r="4143" spans="1:14" x14ac:dyDescent="0.35">
      <c r="A4143" s="22" t="s">
        <v>4213</v>
      </c>
      <c r="B4143" s="23" t="s">
        <v>69</v>
      </c>
      <c r="C4143" s="23">
        <v>4</v>
      </c>
      <c r="D4143" s="24">
        <v>45748</v>
      </c>
      <c r="E4143" s="23" t="s">
        <v>20</v>
      </c>
      <c r="F4143" s="23" t="s">
        <v>40</v>
      </c>
      <c r="G4143" s="23" t="s">
        <v>8364</v>
      </c>
      <c r="H4143" s="23" t="s">
        <v>32</v>
      </c>
      <c r="I4143" s="23">
        <v>8</v>
      </c>
      <c r="J4143" s="23">
        <v>0</v>
      </c>
      <c r="K4143" s="23">
        <v>5</v>
      </c>
      <c r="L4143" s="23" t="s">
        <v>8363</v>
      </c>
      <c r="M4143" s="25">
        <v>3.9</v>
      </c>
      <c r="N4143">
        <f t="shared" si="64"/>
        <v>1</v>
      </c>
    </row>
    <row r="4144" spans="1:14" x14ac:dyDescent="0.35">
      <c r="A4144" s="6" t="s">
        <v>4214</v>
      </c>
      <c r="B4144" s="19" t="s">
        <v>23</v>
      </c>
      <c r="C4144" s="19">
        <v>3</v>
      </c>
      <c r="D4144" s="20">
        <v>45736</v>
      </c>
      <c r="E4144" s="19" t="s">
        <v>13</v>
      </c>
      <c r="F4144" s="19" t="s">
        <v>40</v>
      </c>
      <c r="G4144" s="19" t="s">
        <v>27</v>
      </c>
      <c r="H4144" s="19" t="s">
        <v>32</v>
      </c>
      <c r="I4144" s="19">
        <v>24</v>
      </c>
      <c r="J4144" s="19">
        <v>0</v>
      </c>
      <c r="K4144" s="19">
        <v>4</v>
      </c>
      <c r="L4144" s="19" t="s">
        <v>33</v>
      </c>
      <c r="M4144" s="21">
        <v>5.3</v>
      </c>
      <c r="N4144">
        <f t="shared" si="64"/>
        <v>1</v>
      </c>
    </row>
    <row r="4145" spans="1:14" x14ac:dyDescent="0.35">
      <c r="A4145" s="22" t="s">
        <v>4215</v>
      </c>
      <c r="B4145" s="23" t="s">
        <v>49</v>
      </c>
      <c r="C4145" s="23">
        <v>3</v>
      </c>
      <c r="D4145" s="24">
        <v>45747</v>
      </c>
      <c r="E4145" s="23" t="s">
        <v>20</v>
      </c>
      <c r="F4145" s="23" t="s">
        <v>14</v>
      </c>
      <c r="G4145" s="23" t="s">
        <v>27</v>
      </c>
      <c r="H4145" s="23" t="s">
        <v>8364</v>
      </c>
      <c r="I4145" s="23">
        <v>72</v>
      </c>
      <c r="J4145" s="23">
        <v>0</v>
      </c>
      <c r="K4145" s="23">
        <v>4</v>
      </c>
      <c r="L4145" s="23" t="s">
        <v>44</v>
      </c>
      <c r="M4145" s="25">
        <v>4.5999999999999996</v>
      </c>
      <c r="N4145">
        <f t="shared" si="64"/>
        <v>1</v>
      </c>
    </row>
    <row r="4146" spans="1:14" x14ac:dyDescent="0.35">
      <c r="A4146" s="6" t="s">
        <v>4216</v>
      </c>
      <c r="B4146" s="19" t="s">
        <v>126</v>
      </c>
      <c r="C4146" s="19">
        <v>4</v>
      </c>
      <c r="D4146" s="20">
        <v>45768</v>
      </c>
      <c r="E4146" s="19" t="s">
        <v>25</v>
      </c>
      <c r="F4146" s="19" t="s">
        <v>14</v>
      </c>
      <c r="G4146" s="19" t="s">
        <v>8364</v>
      </c>
      <c r="H4146" s="19" t="s">
        <v>16</v>
      </c>
      <c r="I4146" s="19">
        <v>8</v>
      </c>
      <c r="J4146" s="19">
        <v>2</v>
      </c>
      <c r="K4146" s="19">
        <v>5</v>
      </c>
      <c r="L4146" s="19" t="s">
        <v>17</v>
      </c>
      <c r="M4146" s="21">
        <v>28</v>
      </c>
      <c r="N4146">
        <f t="shared" si="64"/>
        <v>0</v>
      </c>
    </row>
    <row r="4147" spans="1:14" x14ac:dyDescent="0.35">
      <c r="A4147" s="22" t="s">
        <v>4217</v>
      </c>
      <c r="B4147" s="23" t="s">
        <v>23</v>
      </c>
      <c r="C4147" s="23"/>
      <c r="D4147" s="24"/>
      <c r="E4147" s="23" t="s">
        <v>13</v>
      </c>
      <c r="F4147" s="23" t="s">
        <v>14</v>
      </c>
      <c r="G4147" s="23" t="s">
        <v>27</v>
      </c>
      <c r="H4147" s="23" t="s">
        <v>22</v>
      </c>
      <c r="I4147" s="23">
        <v>4</v>
      </c>
      <c r="J4147" s="23">
        <v>2</v>
      </c>
      <c r="K4147" s="23">
        <v>4</v>
      </c>
      <c r="L4147" s="23" t="s">
        <v>8363</v>
      </c>
      <c r="M4147" s="25">
        <v>2.1</v>
      </c>
      <c r="N4147">
        <f t="shared" si="64"/>
        <v>1</v>
      </c>
    </row>
    <row r="4148" spans="1:14" x14ac:dyDescent="0.35">
      <c r="A4148" s="6" t="s">
        <v>4218</v>
      </c>
      <c r="B4148" s="19" t="s">
        <v>41</v>
      </c>
      <c r="C4148" s="19">
        <v>1</v>
      </c>
      <c r="D4148" s="20">
        <v>45681</v>
      </c>
      <c r="E4148" s="19" t="s">
        <v>20</v>
      </c>
      <c r="F4148" s="19" t="s">
        <v>43</v>
      </c>
      <c r="G4148" s="19" t="s">
        <v>8364</v>
      </c>
      <c r="H4148" s="19" t="s">
        <v>22</v>
      </c>
      <c r="I4148" s="19">
        <v>4</v>
      </c>
      <c r="J4148" s="19">
        <v>0</v>
      </c>
      <c r="K4148" s="19"/>
      <c r="L4148" s="19" t="s">
        <v>17</v>
      </c>
      <c r="M4148" s="21">
        <v>9.3000000000000007</v>
      </c>
      <c r="N4148">
        <f t="shared" si="64"/>
        <v>0</v>
      </c>
    </row>
    <row r="4149" spans="1:14" x14ac:dyDescent="0.35">
      <c r="A4149" s="22" t="s">
        <v>4219</v>
      </c>
      <c r="B4149" s="23" t="s">
        <v>108</v>
      </c>
      <c r="C4149" s="23">
        <v>12</v>
      </c>
      <c r="D4149" s="24">
        <v>46007</v>
      </c>
      <c r="E4149" s="23" t="s">
        <v>25</v>
      </c>
      <c r="F4149" s="23" t="s">
        <v>59</v>
      </c>
      <c r="G4149" s="23" t="s">
        <v>27</v>
      </c>
      <c r="H4149" s="23" t="s">
        <v>22</v>
      </c>
      <c r="I4149" s="23">
        <v>4</v>
      </c>
      <c r="J4149" s="23">
        <v>0</v>
      </c>
      <c r="K4149" s="23"/>
      <c r="L4149" s="23" t="s">
        <v>8363</v>
      </c>
      <c r="M4149" s="25">
        <v>15.3</v>
      </c>
      <c r="N4149">
        <f t="shared" si="64"/>
        <v>0</v>
      </c>
    </row>
    <row r="4150" spans="1:14" x14ac:dyDescent="0.35">
      <c r="A4150" s="6" t="s">
        <v>4220</v>
      </c>
      <c r="B4150" s="19" t="s">
        <v>99</v>
      </c>
      <c r="C4150" s="19">
        <v>4</v>
      </c>
      <c r="D4150" s="20">
        <v>45755</v>
      </c>
      <c r="E4150" s="19" t="s">
        <v>36</v>
      </c>
      <c r="F4150" s="19" t="s">
        <v>59</v>
      </c>
      <c r="G4150" s="19" t="s">
        <v>27</v>
      </c>
      <c r="H4150" s="19" t="s">
        <v>8364</v>
      </c>
      <c r="I4150" s="19">
        <v>8</v>
      </c>
      <c r="J4150" s="19">
        <v>0</v>
      </c>
      <c r="K4150" s="19">
        <v>4</v>
      </c>
      <c r="L4150" s="19" t="s">
        <v>17</v>
      </c>
      <c r="M4150" s="21">
        <v>21.9</v>
      </c>
      <c r="N4150">
        <f t="shared" si="64"/>
        <v>0</v>
      </c>
    </row>
    <row r="4151" spans="1:14" x14ac:dyDescent="0.35">
      <c r="A4151" s="22" t="s">
        <v>4221</v>
      </c>
      <c r="B4151" s="23" t="s">
        <v>87</v>
      </c>
      <c r="C4151" s="23">
        <v>3</v>
      </c>
      <c r="D4151" s="24">
        <v>45723</v>
      </c>
      <c r="E4151" s="23" t="s">
        <v>13</v>
      </c>
      <c r="F4151" s="23" t="s">
        <v>26</v>
      </c>
      <c r="G4151" s="23" t="s">
        <v>15</v>
      </c>
      <c r="H4151" s="23" t="s">
        <v>28</v>
      </c>
      <c r="I4151" s="23">
        <v>4</v>
      </c>
      <c r="J4151" s="23">
        <v>2</v>
      </c>
      <c r="K4151" s="23">
        <v>4</v>
      </c>
      <c r="L4151" s="23" t="s">
        <v>55</v>
      </c>
      <c r="M4151" s="25">
        <v>2.8</v>
      </c>
      <c r="N4151">
        <f t="shared" si="64"/>
        <v>1</v>
      </c>
    </row>
    <row r="4152" spans="1:14" x14ac:dyDescent="0.35">
      <c r="A4152" s="6" t="s">
        <v>4222</v>
      </c>
      <c r="B4152" s="19" t="s">
        <v>57</v>
      </c>
      <c r="C4152" s="19">
        <v>8</v>
      </c>
      <c r="D4152" s="20">
        <v>45889</v>
      </c>
      <c r="E4152" s="19" t="s">
        <v>68</v>
      </c>
      <c r="F4152" s="19" t="s">
        <v>43</v>
      </c>
      <c r="G4152" s="19" t="s">
        <v>31</v>
      </c>
      <c r="H4152" s="19" t="s">
        <v>32</v>
      </c>
      <c r="I4152" s="19">
        <v>48</v>
      </c>
      <c r="J4152" s="19">
        <v>1</v>
      </c>
      <c r="K4152" s="19">
        <v>4</v>
      </c>
      <c r="L4152" s="19" t="s">
        <v>55</v>
      </c>
      <c r="M4152" s="21">
        <v>10.9</v>
      </c>
      <c r="N4152">
        <f t="shared" si="64"/>
        <v>1</v>
      </c>
    </row>
    <row r="4153" spans="1:14" x14ac:dyDescent="0.35">
      <c r="A4153" s="22" t="s">
        <v>4223</v>
      </c>
      <c r="B4153" s="23" t="s">
        <v>53</v>
      </c>
      <c r="C4153" s="23">
        <v>1</v>
      </c>
      <c r="D4153" s="24">
        <v>45669</v>
      </c>
      <c r="E4153" s="23" t="s">
        <v>13</v>
      </c>
      <c r="F4153" s="23" t="s">
        <v>43</v>
      </c>
      <c r="G4153" s="23" t="s">
        <v>31</v>
      </c>
      <c r="H4153" s="23" t="s">
        <v>22</v>
      </c>
      <c r="I4153" s="23">
        <v>48</v>
      </c>
      <c r="J4153" s="23">
        <v>0</v>
      </c>
      <c r="K4153" s="23">
        <v>4</v>
      </c>
      <c r="L4153" s="23" t="s">
        <v>55</v>
      </c>
      <c r="M4153" s="25">
        <v>17.8</v>
      </c>
      <c r="N4153">
        <f t="shared" si="64"/>
        <v>1</v>
      </c>
    </row>
    <row r="4154" spans="1:14" x14ac:dyDescent="0.35">
      <c r="A4154" s="6" t="s">
        <v>4224</v>
      </c>
      <c r="B4154" s="19" t="s">
        <v>78</v>
      </c>
      <c r="C4154" s="19">
        <v>12</v>
      </c>
      <c r="D4154" s="20">
        <v>45995</v>
      </c>
      <c r="E4154" s="19" t="s">
        <v>36</v>
      </c>
      <c r="F4154" s="19" t="s">
        <v>8364</v>
      </c>
      <c r="G4154" s="19" t="s">
        <v>15</v>
      </c>
      <c r="H4154" s="19" t="s">
        <v>16</v>
      </c>
      <c r="I4154" s="19">
        <v>4</v>
      </c>
      <c r="J4154" s="19">
        <v>1</v>
      </c>
      <c r="K4154" s="19">
        <v>3</v>
      </c>
      <c r="L4154" s="19" t="s">
        <v>8363</v>
      </c>
      <c r="M4154" s="21">
        <v>12.4</v>
      </c>
      <c r="N4154">
        <f t="shared" si="64"/>
        <v>0</v>
      </c>
    </row>
    <row r="4155" spans="1:14" x14ac:dyDescent="0.35">
      <c r="A4155" s="22" t="s">
        <v>4225</v>
      </c>
      <c r="B4155" s="23" t="s">
        <v>41</v>
      </c>
      <c r="C4155" s="23">
        <v>9</v>
      </c>
      <c r="D4155" s="24">
        <v>45918</v>
      </c>
      <c r="E4155" s="23" t="s">
        <v>25</v>
      </c>
      <c r="F4155" s="23" t="s">
        <v>43</v>
      </c>
      <c r="G4155" s="23" t="s">
        <v>15</v>
      </c>
      <c r="H4155" s="23" t="s">
        <v>28</v>
      </c>
      <c r="I4155" s="23">
        <v>72</v>
      </c>
      <c r="J4155" s="23">
        <v>2</v>
      </c>
      <c r="K4155" s="23">
        <v>1</v>
      </c>
      <c r="L4155" s="23" t="s">
        <v>44</v>
      </c>
      <c r="M4155" s="25">
        <v>5.6</v>
      </c>
      <c r="N4155">
        <f t="shared" si="64"/>
        <v>1</v>
      </c>
    </row>
    <row r="4156" spans="1:14" x14ac:dyDescent="0.35">
      <c r="A4156" s="6" t="s">
        <v>4226</v>
      </c>
      <c r="B4156" s="19" t="s">
        <v>72</v>
      </c>
      <c r="C4156" s="19">
        <v>11</v>
      </c>
      <c r="D4156" s="20">
        <v>45964</v>
      </c>
      <c r="E4156" s="19" t="s">
        <v>36</v>
      </c>
      <c r="F4156" s="19" t="s">
        <v>40</v>
      </c>
      <c r="G4156" s="19" t="s">
        <v>8364</v>
      </c>
      <c r="H4156" s="19" t="s">
        <v>32</v>
      </c>
      <c r="I4156" s="19">
        <v>8</v>
      </c>
      <c r="J4156" s="19">
        <v>0</v>
      </c>
      <c r="K4156" s="19">
        <v>4</v>
      </c>
      <c r="L4156" s="19" t="s">
        <v>17</v>
      </c>
      <c r="M4156" s="21">
        <v>10.199999999999999</v>
      </c>
      <c r="N4156">
        <f t="shared" si="64"/>
        <v>0</v>
      </c>
    </row>
    <row r="4157" spans="1:14" x14ac:dyDescent="0.35">
      <c r="A4157" s="22" t="s">
        <v>4227</v>
      </c>
      <c r="B4157" s="23" t="s">
        <v>81</v>
      </c>
      <c r="C4157" s="23">
        <v>7</v>
      </c>
      <c r="D4157" s="24">
        <v>45865</v>
      </c>
      <c r="E4157" s="23" t="s">
        <v>68</v>
      </c>
      <c r="F4157" s="23" t="s">
        <v>59</v>
      </c>
      <c r="G4157" s="23" t="s">
        <v>31</v>
      </c>
      <c r="H4157" s="23" t="s">
        <v>8364</v>
      </c>
      <c r="I4157" s="23">
        <v>48</v>
      </c>
      <c r="J4157" s="23">
        <v>0</v>
      </c>
      <c r="K4157" s="23">
        <v>3</v>
      </c>
      <c r="L4157" s="23" t="s">
        <v>75</v>
      </c>
      <c r="M4157" s="25">
        <v>4.0999999999999996</v>
      </c>
      <c r="N4157">
        <f t="shared" si="64"/>
        <v>1</v>
      </c>
    </row>
    <row r="4158" spans="1:14" x14ac:dyDescent="0.35">
      <c r="A4158" s="6" t="s">
        <v>4228</v>
      </c>
      <c r="B4158" s="19" t="s">
        <v>101</v>
      </c>
      <c r="C4158" s="19">
        <v>11</v>
      </c>
      <c r="D4158" s="20">
        <v>45987</v>
      </c>
      <c r="E4158" s="19" t="s">
        <v>8364</v>
      </c>
      <c r="F4158" s="19" t="s">
        <v>8364</v>
      </c>
      <c r="G4158" s="19" t="s">
        <v>31</v>
      </c>
      <c r="H4158" s="19" t="s">
        <v>22</v>
      </c>
      <c r="I4158" s="19">
        <v>48</v>
      </c>
      <c r="J4158" s="19">
        <v>2</v>
      </c>
      <c r="K4158" s="19">
        <v>3</v>
      </c>
      <c r="L4158" s="19" t="s">
        <v>62</v>
      </c>
      <c r="M4158" s="21">
        <v>13.8</v>
      </c>
      <c r="N4158">
        <f t="shared" si="64"/>
        <v>1</v>
      </c>
    </row>
    <row r="4159" spans="1:14" x14ac:dyDescent="0.35">
      <c r="A4159" s="22" t="s">
        <v>4229</v>
      </c>
      <c r="B4159" s="23" t="s">
        <v>158</v>
      </c>
      <c r="C4159" s="23">
        <v>9</v>
      </c>
      <c r="D4159" s="24">
        <v>45927</v>
      </c>
      <c r="E4159" s="23" t="s">
        <v>13</v>
      </c>
      <c r="F4159" s="23" t="s">
        <v>37</v>
      </c>
      <c r="G4159" s="23" t="s">
        <v>27</v>
      </c>
      <c r="H4159" s="23" t="s">
        <v>22</v>
      </c>
      <c r="I4159" s="23">
        <v>48</v>
      </c>
      <c r="J4159" s="23">
        <v>0</v>
      </c>
      <c r="K4159" s="23">
        <v>5</v>
      </c>
      <c r="L4159" s="23" t="s">
        <v>8363</v>
      </c>
      <c r="M4159" s="25">
        <v>18.3</v>
      </c>
      <c r="N4159">
        <f t="shared" si="64"/>
        <v>1</v>
      </c>
    </row>
    <row r="4160" spans="1:14" x14ac:dyDescent="0.35">
      <c r="A4160" s="6" t="s">
        <v>4230</v>
      </c>
      <c r="B4160" s="19" t="s">
        <v>69</v>
      </c>
      <c r="C4160" s="19">
        <v>9</v>
      </c>
      <c r="D4160" s="20">
        <v>45923</v>
      </c>
      <c r="E4160" s="19" t="s">
        <v>36</v>
      </c>
      <c r="F4160" s="19" t="s">
        <v>40</v>
      </c>
      <c r="G4160" s="19" t="s">
        <v>27</v>
      </c>
      <c r="H4160" s="19" t="s">
        <v>8364</v>
      </c>
      <c r="I4160" s="19">
        <v>8</v>
      </c>
      <c r="J4160" s="19">
        <v>0</v>
      </c>
      <c r="K4160" s="19">
        <v>4</v>
      </c>
      <c r="L4160" s="19" t="s">
        <v>8363</v>
      </c>
      <c r="M4160" s="21">
        <v>19.100000000000001</v>
      </c>
      <c r="N4160">
        <f t="shared" si="64"/>
        <v>0</v>
      </c>
    </row>
    <row r="4161" spans="1:14" x14ac:dyDescent="0.35">
      <c r="A4161" s="22" t="s">
        <v>4231</v>
      </c>
      <c r="B4161" s="23" t="s">
        <v>99</v>
      </c>
      <c r="C4161" s="23">
        <v>2</v>
      </c>
      <c r="D4161" s="24">
        <v>45712</v>
      </c>
      <c r="E4161" s="23" t="s">
        <v>20</v>
      </c>
      <c r="F4161" s="23" t="s">
        <v>43</v>
      </c>
      <c r="G4161" s="23" t="s">
        <v>21</v>
      </c>
      <c r="H4161" s="23" t="s">
        <v>28</v>
      </c>
      <c r="I4161" s="23">
        <v>8</v>
      </c>
      <c r="J4161" s="23">
        <v>0</v>
      </c>
      <c r="K4161" s="23">
        <v>4</v>
      </c>
      <c r="L4161" s="23" t="s">
        <v>44</v>
      </c>
      <c r="M4161" s="25">
        <v>10</v>
      </c>
      <c r="N4161">
        <f t="shared" si="64"/>
        <v>0</v>
      </c>
    </row>
    <row r="4162" spans="1:14" x14ac:dyDescent="0.35">
      <c r="A4162" s="6" t="s">
        <v>4232</v>
      </c>
      <c r="B4162" s="19" t="s">
        <v>130</v>
      </c>
      <c r="C4162" s="19">
        <v>12</v>
      </c>
      <c r="D4162" s="20">
        <v>46013</v>
      </c>
      <c r="E4162" s="19" t="s">
        <v>13</v>
      </c>
      <c r="F4162" s="19" t="s">
        <v>14</v>
      </c>
      <c r="G4162" s="19" t="s">
        <v>31</v>
      </c>
      <c r="H4162" s="19" t="s">
        <v>28</v>
      </c>
      <c r="I4162" s="19">
        <v>8</v>
      </c>
      <c r="J4162" s="19">
        <v>0</v>
      </c>
      <c r="K4162" s="19"/>
      <c r="L4162" s="19" t="s">
        <v>75</v>
      </c>
      <c r="M4162" s="21">
        <v>0.6</v>
      </c>
      <c r="N4162">
        <f t="shared" si="64"/>
        <v>1</v>
      </c>
    </row>
    <row r="4163" spans="1:14" x14ac:dyDescent="0.35">
      <c r="A4163" s="22" t="s">
        <v>4233</v>
      </c>
      <c r="B4163" s="23" t="s">
        <v>65</v>
      </c>
      <c r="C4163" s="23">
        <v>3</v>
      </c>
      <c r="D4163" s="24">
        <v>45736</v>
      </c>
      <c r="E4163" s="23" t="s">
        <v>13</v>
      </c>
      <c r="F4163" s="23" t="s">
        <v>8364</v>
      </c>
      <c r="G4163" s="23" t="s">
        <v>21</v>
      </c>
      <c r="H4163" s="23" t="s">
        <v>32</v>
      </c>
      <c r="I4163" s="23">
        <v>24</v>
      </c>
      <c r="J4163" s="23">
        <v>3</v>
      </c>
      <c r="K4163" s="23">
        <v>4</v>
      </c>
      <c r="L4163" s="23" t="s">
        <v>8363</v>
      </c>
      <c r="M4163" s="25">
        <v>11.1</v>
      </c>
      <c r="N4163">
        <f t="shared" ref="N4163:N4226" si="65">IF(M4163 &lt;= I4163, 1, 0)</f>
        <v>1</v>
      </c>
    </row>
    <row r="4164" spans="1:14" x14ac:dyDescent="0.35">
      <c r="A4164" s="6" t="s">
        <v>4234</v>
      </c>
      <c r="B4164" s="19" t="s">
        <v>104</v>
      </c>
      <c r="C4164" s="19"/>
      <c r="D4164" s="20"/>
      <c r="E4164" s="19" t="s">
        <v>13</v>
      </c>
      <c r="F4164" s="19" t="s">
        <v>14</v>
      </c>
      <c r="G4164" s="19" t="s">
        <v>31</v>
      </c>
      <c r="H4164" s="19" t="s">
        <v>32</v>
      </c>
      <c r="I4164" s="19">
        <v>48</v>
      </c>
      <c r="J4164" s="19">
        <v>0</v>
      </c>
      <c r="K4164" s="19">
        <v>5</v>
      </c>
      <c r="L4164" s="19" t="s">
        <v>55</v>
      </c>
      <c r="M4164" s="21">
        <v>3.2</v>
      </c>
      <c r="N4164">
        <f t="shared" si="65"/>
        <v>1</v>
      </c>
    </row>
    <row r="4165" spans="1:14" x14ac:dyDescent="0.35">
      <c r="A4165" s="22" t="s">
        <v>4235</v>
      </c>
      <c r="B4165" s="23" t="s">
        <v>181</v>
      </c>
      <c r="C4165" s="23">
        <v>5</v>
      </c>
      <c r="D4165" s="24">
        <v>45800</v>
      </c>
      <c r="E4165" s="23" t="s">
        <v>68</v>
      </c>
      <c r="F4165" s="23" t="s">
        <v>14</v>
      </c>
      <c r="G4165" s="23" t="s">
        <v>15</v>
      </c>
      <c r="H4165" s="23" t="s">
        <v>16</v>
      </c>
      <c r="I4165" s="23">
        <v>48</v>
      </c>
      <c r="J4165" s="23">
        <v>0</v>
      </c>
      <c r="K4165" s="23">
        <v>5</v>
      </c>
      <c r="L4165" s="23" t="s">
        <v>55</v>
      </c>
      <c r="M4165" s="25"/>
      <c r="N4165">
        <f t="shared" si="65"/>
        <v>1</v>
      </c>
    </row>
    <row r="4166" spans="1:14" x14ac:dyDescent="0.35">
      <c r="A4166" s="6" t="s">
        <v>4236</v>
      </c>
      <c r="B4166" s="19" t="s">
        <v>69</v>
      </c>
      <c r="C4166" s="19">
        <v>6</v>
      </c>
      <c r="D4166" s="20">
        <v>45828</v>
      </c>
      <c r="E4166" s="19" t="s">
        <v>13</v>
      </c>
      <c r="F4166" s="19" t="s">
        <v>14</v>
      </c>
      <c r="G4166" s="19" t="s">
        <v>27</v>
      </c>
      <c r="H4166" s="19" t="s">
        <v>8364</v>
      </c>
      <c r="I4166" s="19">
        <v>72</v>
      </c>
      <c r="J4166" s="19">
        <v>3</v>
      </c>
      <c r="K4166" s="19"/>
      <c r="L4166" s="19" t="s">
        <v>75</v>
      </c>
      <c r="M4166" s="21"/>
      <c r="N4166">
        <f t="shared" si="65"/>
        <v>1</v>
      </c>
    </row>
    <row r="4167" spans="1:14" x14ac:dyDescent="0.35">
      <c r="A4167" s="22" t="s">
        <v>4237</v>
      </c>
      <c r="B4167" s="23" t="s">
        <v>57</v>
      </c>
      <c r="C4167" s="23">
        <v>6</v>
      </c>
      <c r="D4167" s="24">
        <v>45809</v>
      </c>
      <c r="E4167" s="23" t="s">
        <v>36</v>
      </c>
      <c r="F4167" s="23" t="s">
        <v>14</v>
      </c>
      <c r="G4167" s="23" t="s">
        <v>27</v>
      </c>
      <c r="H4167" s="23" t="s">
        <v>22</v>
      </c>
      <c r="I4167" s="23">
        <v>72</v>
      </c>
      <c r="J4167" s="23">
        <v>0</v>
      </c>
      <c r="K4167" s="23">
        <v>5</v>
      </c>
      <c r="L4167" s="23" t="s">
        <v>62</v>
      </c>
      <c r="M4167" s="25"/>
      <c r="N4167">
        <f t="shared" si="65"/>
        <v>1</v>
      </c>
    </row>
    <row r="4168" spans="1:14" x14ac:dyDescent="0.35">
      <c r="A4168" s="6" t="s">
        <v>4238</v>
      </c>
      <c r="B4168" s="19" t="s">
        <v>130</v>
      </c>
      <c r="C4168" s="19">
        <v>10</v>
      </c>
      <c r="D4168" s="20">
        <v>45956</v>
      </c>
      <c r="E4168" s="19" t="s">
        <v>13</v>
      </c>
      <c r="F4168" s="19" t="s">
        <v>43</v>
      </c>
      <c r="G4168" s="19" t="s">
        <v>27</v>
      </c>
      <c r="H4168" s="19" t="s">
        <v>32</v>
      </c>
      <c r="I4168" s="19">
        <v>8</v>
      </c>
      <c r="J4168" s="19">
        <v>0</v>
      </c>
      <c r="K4168" s="19">
        <v>5</v>
      </c>
      <c r="L4168" s="19" t="s">
        <v>75</v>
      </c>
      <c r="M4168" s="21">
        <v>12.1</v>
      </c>
      <c r="N4168">
        <f t="shared" si="65"/>
        <v>0</v>
      </c>
    </row>
    <row r="4169" spans="1:14" x14ac:dyDescent="0.35">
      <c r="A4169" s="22" t="s">
        <v>4239</v>
      </c>
      <c r="B4169" s="23" t="s">
        <v>34</v>
      </c>
      <c r="C4169" s="23">
        <v>4</v>
      </c>
      <c r="D4169" s="24">
        <v>45761</v>
      </c>
      <c r="E4169" s="23" t="s">
        <v>8364</v>
      </c>
      <c r="F4169" s="23" t="s">
        <v>8364</v>
      </c>
      <c r="G4169" s="23" t="s">
        <v>21</v>
      </c>
      <c r="H4169" s="23" t="s">
        <v>8364</v>
      </c>
      <c r="I4169" s="23">
        <v>8</v>
      </c>
      <c r="J4169" s="23">
        <v>1</v>
      </c>
      <c r="K4169" s="23">
        <v>3</v>
      </c>
      <c r="L4169" s="23" t="s">
        <v>8363</v>
      </c>
      <c r="M4169" s="25">
        <v>12.1</v>
      </c>
      <c r="N4169">
        <f t="shared" si="65"/>
        <v>0</v>
      </c>
    </row>
    <row r="4170" spans="1:14" x14ac:dyDescent="0.35">
      <c r="A4170" s="6" t="s">
        <v>4240</v>
      </c>
      <c r="B4170" s="19" t="s">
        <v>47</v>
      </c>
      <c r="C4170" s="19"/>
      <c r="D4170" s="20"/>
      <c r="E4170" s="19" t="s">
        <v>8364</v>
      </c>
      <c r="F4170" s="19" t="s">
        <v>43</v>
      </c>
      <c r="G4170" s="19" t="s">
        <v>21</v>
      </c>
      <c r="H4170" s="19" t="s">
        <v>28</v>
      </c>
      <c r="I4170" s="19">
        <v>72</v>
      </c>
      <c r="J4170" s="19">
        <v>0</v>
      </c>
      <c r="K4170" s="19">
        <v>3</v>
      </c>
      <c r="L4170" s="19" t="s">
        <v>38</v>
      </c>
      <c r="M4170" s="21">
        <v>10.9</v>
      </c>
      <c r="N4170">
        <f t="shared" si="65"/>
        <v>1</v>
      </c>
    </row>
    <row r="4171" spans="1:14" x14ac:dyDescent="0.35">
      <c r="A4171" s="22" t="s">
        <v>4241</v>
      </c>
      <c r="B4171" s="23" t="s">
        <v>253</v>
      </c>
      <c r="C4171" s="23">
        <v>5</v>
      </c>
      <c r="D4171" s="24">
        <v>45799</v>
      </c>
      <c r="E4171" s="23" t="s">
        <v>25</v>
      </c>
      <c r="F4171" s="23" t="s">
        <v>14</v>
      </c>
      <c r="G4171" s="23" t="s">
        <v>31</v>
      </c>
      <c r="H4171" s="23" t="s">
        <v>28</v>
      </c>
      <c r="I4171" s="23">
        <v>24</v>
      </c>
      <c r="J4171" s="23">
        <v>0</v>
      </c>
      <c r="K4171" s="23">
        <v>5</v>
      </c>
      <c r="L4171" s="23" t="s">
        <v>17</v>
      </c>
      <c r="M4171" s="25">
        <v>6.5</v>
      </c>
      <c r="N4171">
        <f t="shared" si="65"/>
        <v>1</v>
      </c>
    </row>
    <row r="4172" spans="1:14" x14ac:dyDescent="0.35">
      <c r="A4172" s="6" t="s">
        <v>4242</v>
      </c>
      <c r="B4172" s="19" t="s">
        <v>53</v>
      </c>
      <c r="C4172" s="19">
        <v>10</v>
      </c>
      <c r="D4172" s="20">
        <v>45959</v>
      </c>
      <c r="E4172" s="19" t="s">
        <v>13</v>
      </c>
      <c r="F4172" s="19" t="s">
        <v>59</v>
      </c>
      <c r="G4172" s="19" t="s">
        <v>27</v>
      </c>
      <c r="H4172" s="19" t="s">
        <v>28</v>
      </c>
      <c r="I4172" s="19">
        <v>24</v>
      </c>
      <c r="J4172" s="19">
        <v>0</v>
      </c>
      <c r="K4172" s="19">
        <v>5</v>
      </c>
      <c r="L4172" s="19" t="s">
        <v>8363</v>
      </c>
      <c r="M4172" s="21">
        <v>26.3</v>
      </c>
      <c r="N4172">
        <f t="shared" si="65"/>
        <v>0</v>
      </c>
    </row>
    <row r="4173" spans="1:14" x14ac:dyDescent="0.35">
      <c r="A4173" s="22" t="s">
        <v>4243</v>
      </c>
      <c r="B4173" s="23" t="s">
        <v>89</v>
      </c>
      <c r="C4173" s="23">
        <v>12</v>
      </c>
      <c r="D4173" s="24">
        <v>46009</v>
      </c>
      <c r="E4173" s="23" t="s">
        <v>36</v>
      </c>
      <c r="F4173" s="23" t="s">
        <v>43</v>
      </c>
      <c r="G4173" s="23" t="s">
        <v>27</v>
      </c>
      <c r="H4173" s="23" t="s">
        <v>16</v>
      </c>
      <c r="I4173" s="23">
        <v>72</v>
      </c>
      <c r="J4173" s="23">
        <v>1</v>
      </c>
      <c r="K4173" s="23">
        <v>5</v>
      </c>
      <c r="L4173" s="23" t="s">
        <v>55</v>
      </c>
      <c r="M4173" s="25">
        <v>15.4</v>
      </c>
      <c r="N4173">
        <f t="shared" si="65"/>
        <v>1</v>
      </c>
    </row>
    <row r="4174" spans="1:14" x14ac:dyDescent="0.35">
      <c r="A4174" s="6" t="s">
        <v>4244</v>
      </c>
      <c r="B4174" s="19" t="s">
        <v>108</v>
      </c>
      <c r="C4174" s="19">
        <v>1</v>
      </c>
      <c r="D4174" s="20">
        <v>45686</v>
      </c>
      <c r="E4174" s="19" t="s">
        <v>25</v>
      </c>
      <c r="F4174" s="19" t="s">
        <v>43</v>
      </c>
      <c r="G4174" s="19" t="s">
        <v>15</v>
      </c>
      <c r="H4174" s="19" t="s">
        <v>28</v>
      </c>
      <c r="I4174" s="19">
        <v>8</v>
      </c>
      <c r="J4174" s="19">
        <v>1</v>
      </c>
      <c r="K4174" s="19">
        <v>3</v>
      </c>
      <c r="L4174" s="19" t="s">
        <v>62</v>
      </c>
      <c r="M4174" s="21">
        <v>4.9000000000000004</v>
      </c>
      <c r="N4174">
        <f t="shared" si="65"/>
        <v>1</v>
      </c>
    </row>
    <row r="4175" spans="1:14" x14ac:dyDescent="0.35">
      <c r="A4175" s="22" t="s">
        <v>4245</v>
      </c>
      <c r="B4175" s="23" t="s">
        <v>65</v>
      </c>
      <c r="C4175" s="23">
        <v>11</v>
      </c>
      <c r="D4175" s="24">
        <v>45963</v>
      </c>
      <c r="E4175" s="23" t="s">
        <v>20</v>
      </c>
      <c r="F4175" s="23" t="s">
        <v>40</v>
      </c>
      <c r="G4175" s="23" t="s">
        <v>15</v>
      </c>
      <c r="H4175" s="23" t="s">
        <v>22</v>
      </c>
      <c r="I4175" s="23">
        <v>72</v>
      </c>
      <c r="J4175" s="23">
        <v>0</v>
      </c>
      <c r="K4175" s="23">
        <v>3</v>
      </c>
      <c r="L4175" s="23" t="s">
        <v>62</v>
      </c>
      <c r="M4175" s="25">
        <v>36.6</v>
      </c>
      <c r="N4175">
        <f t="shared" si="65"/>
        <v>1</v>
      </c>
    </row>
    <row r="4176" spans="1:14" x14ac:dyDescent="0.35">
      <c r="A4176" s="6" t="s">
        <v>4246</v>
      </c>
      <c r="B4176" s="19" t="s">
        <v>101</v>
      </c>
      <c r="C4176" s="19">
        <v>8</v>
      </c>
      <c r="D4176" s="20">
        <v>45898</v>
      </c>
      <c r="E4176" s="19" t="s">
        <v>36</v>
      </c>
      <c r="F4176" s="19" t="s">
        <v>43</v>
      </c>
      <c r="G4176" s="19" t="s">
        <v>27</v>
      </c>
      <c r="H4176" s="19" t="s">
        <v>8364</v>
      </c>
      <c r="I4176" s="19">
        <v>4</v>
      </c>
      <c r="J4176" s="19">
        <v>0</v>
      </c>
      <c r="K4176" s="19">
        <v>4</v>
      </c>
      <c r="L4176" s="19" t="s">
        <v>62</v>
      </c>
      <c r="M4176" s="21"/>
      <c r="N4176">
        <f t="shared" si="65"/>
        <v>1</v>
      </c>
    </row>
    <row r="4177" spans="1:14" x14ac:dyDescent="0.35">
      <c r="A4177" s="22" t="s">
        <v>4247</v>
      </c>
      <c r="B4177" s="23" t="s">
        <v>97</v>
      </c>
      <c r="C4177" s="23">
        <v>12</v>
      </c>
      <c r="D4177" s="24">
        <v>45993</v>
      </c>
      <c r="E4177" s="23" t="s">
        <v>8364</v>
      </c>
      <c r="F4177" s="23" t="s">
        <v>37</v>
      </c>
      <c r="G4177" s="23" t="s">
        <v>21</v>
      </c>
      <c r="H4177" s="23" t="s">
        <v>16</v>
      </c>
      <c r="I4177" s="23">
        <v>24</v>
      </c>
      <c r="J4177" s="23">
        <v>0</v>
      </c>
      <c r="K4177" s="23">
        <v>5</v>
      </c>
      <c r="L4177" s="23" t="s">
        <v>55</v>
      </c>
      <c r="M4177" s="25">
        <v>5.9</v>
      </c>
      <c r="N4177">
        <f t="shared" si="65"/>
        <v>1</v>
      </c>
    </row>
    <row r="4178" spans="1:14" x14ac:dyDescent="0.35">
      <c r="A4178" s="6" t="s">
        <v>4248</v>
      </c>
      <c r="B4178" s="19" t="s">
        <v>143</v>
      </c>
      <c r="C4178" s="19">
        <v>6</v>
      </c>
      <c r="D4178" s="20">
        <v>45824</v>
      </c>
      <c r="E4178" s="19" t="s">
        <v>20</v>
      </c>
      <c r="F4178" s="19" t="s">
        <v>59</v>
      </c>
      <c r="G4178" s="19" t="s">
        <v>31</v>
      </c>
      <c r="H4178" s="19" t="s">
        <v>32</v>
      </c>
      <c r="I4178" s="19">
        <v>48</v>
      </c>
      <c r="J4178" s="19">
        <v>1</v>
      </c>
      <c r="K4178" s="19">
        <v>5</v>
      </c>
      <c r="L4178" s="19" t="s">
        <v>17</v>
      </c>
      <c r="M4178" s="21">
        <v>4</v>
      </c>
      <c r="N4178">
        <f t="shared" si="65"/>
        <v>1</v>
      </c>
    </row>
    <row r="4179" spans="1:14" x14ac:dyDescent="0.35">
      <c r="A4179" s="22" t="s">
        <v>4249</v>
      </c>
      <c r="B4179" s="23" t="s">
        <v>41</v>
      </c>
      <c r="C4179" s="23">
        <v>5</v>
      </c>
      <c r="D4179" s="24">
        <v>45796</v>
      </c>
      <c r="E4179" s="23" t="s">
        <v>25</v>
      </c>
      <c r="F4179" s="23" t="s">
        <v>14</v>
      </c>
      <c r="G4179" s="23" t="s">
        <v>27</v>
      </c>
      <c r="H4179" s="23" t="s">
        <v>32</v>
      </c>
      <c r="I4179" s="23">
        <v>48</v>
      </c>
      <c r="J4179" s="23">
        <v>0</v>
      </c>
      <c r="K4179" s="23">
        <v>3</v>
      </c>
      <c r="L4179" s="23" t="s">
        <v>8363</v>
      </c>
      <c r="M4179" s="25">
        <v>3.9</v>
      </c>
      <c r="N4179">
        <f t="shared" si="65"/>
        <v>1</v>
      </c>
    </row>
    <row r="4180" spans="1:14" x14ac:dyDescent="0.35">
      <c r="A4180" s="6" t="s">
        <v>4250</v>
      </c>
      <c r="B4180" s="19" t="s">
        <v>89</v>
      </c>
      <c r="C4180" s="19">
        <v>2</v>
      </c>
      <c r="D4180" s="20">
        <v>45697</v>
      </c>
      <c r="E4180" s="19" t="s">
        <v>25</v>
      </c>
      <c r="F4180" s="19" t="s">
        <v>14</v>
      </c>
      <c r="G4180" s="19" t="s">
        <v>21</v>
      </c>
      <c r="H4180" s="19" t="s">
        <v>22</v>
      </c>
      <c r="I4180" s="19">
        <v>8</v>
      </c>
      <c r="J4180" s="19">
        <v>0</v>
      </c>
      <c r="K4180" s="19">
        <v>5</v>
      </c>
      <c r="L4180" s="19" t="s">
        <v>44</v>
      </c>
      <c r="M4180" s="21">
        <v>4.2</v>
      </c>
      <c r="N4180">
        <f t="shared" si="65"/>
        <v>1</v>
      </c>
    </row>
    <row r="4181" spans="1:14" x14ac:dyDescent="0.35">
      <c r="A4181" s="22" t="s">
        <v>4251</v>
      </c>
      <c r="B4181" s="23" t="s">
        <v>69</v>
      </c>
      <c r="C4181" s="23">
        <v>2</v>
      </c>
      <c r="D4181" s="24">
        <v>45710</v>
      </c>
      <c r="E4181" s="23" t="s">
        <v>20</v>
      </c>
      <c r="F4181" s="23" t="s">
        <v>14</v>
      </c>
      <c r="G4181" s="23" t="s">
        <v>27</v>
      </c>
      <c r="H4181" s="23" t="s">
        <v>8364</v>
      </c>
      <c r="I4181" s="23">
        <v>24</v>
      </c>
      <c r="J4181" s="23">
        <v>1</v>
      </c>
      <c r="K4181" s="23">
        <v>4</v>
      </c>
      <c r="L4181" s="23" t="s">
        <v>75</v>
      </c>
      <c r="M4181" s="25">
        <v>4.0999999999999996</v>
      </c>
      <c r="N4181">
        <f t="shared" si="65"/>
        <v>1</v>
      </c>
    </row>
    <row r="4182" spans="1:14" x14ac:dyDescent="0.35">
      <c r="A4182" s="6" t="s">
        <v>4252</v>
      </c>
      <c r="B4182" s="19" t="s">
        <v>69</v>
      </c>
      <c r="C4182" s="19">
        <v>7</v>
      </c>
      <c r="D4182" s="20">
        <v>45855</v>
      </c>
      <c r="E4182" s="19" t="s">
        <v>20</v>
      </c>
      <c r="F4182" s="19" t="s">
        <v>40</v>
      </c>
      <c r="G4182" s="19" t="s">
        <v>15</v>
      </c>
      <c r="H4182" s="19" t="s">
        <v>28</v>
      </c>
      <c r="I4182" s="19">
        <v>8</v>
      </c>
      <c r="J4182" s="19">
        <v>0</v>
      </c>
      <c r="K4182" s="19">
        <v>5</v>
      </c>
      <c r="L4182" s="19" t="s">
        <v>62</v>
      </c>
      <c r="M4182" s="21">
        <v>2.8</v>
      </c>
      <c r="N4182">
        <f t="shared" si="65"/>
        <v>1</v>
      </c>
    </row>
    <row r="4183" spans="1:14" x14ac:dyDescent="0.35">
      <c r="A4183" s="22" t="s">
        <v>4253</v>
      </c>
      <c r="B4183" s="23" t="s">
        <v>81</v>
      </c>
      <c r="C4183" s="23">
        <v>10</v>
      </c>
      <c r="D4183" s="24">
        <v>45944</v>
      </c>
      <c r="E4183" s="23" t="s">
        <v>20</v>
      </c>
      <c r="F4183" s="23" t="s">
        <v>43</v>
      </c>
      <c r="G4183" s="23" t="s">
        <v>15</v>
      </c>
      <c r="H4183" s="23" t="s">
        <v>28</v>
      </c>
      <c r="I4183" s="23">
        <v>24</v>
      </c>
      <c r="J4183" s="23">
        <v>0</v>
      </c>
      <c r="K4183" s="23"/>
      <c r="L4183" s="23" t="s">
        <v>33</v>
      </c>
      <c r="M4183" s="25">
        <v>8.1999999999999993</v>
      </c>
      <c r="N4183">
        <f t="shared" si="65"/>
        <v>1</v>
      </c>
    </row>
    <row r="4184" spans="1:14" x14ac:dyDescent="0.35">
      <c r="A4184" s="6" t="s">
        <v>4254</v>
      </c>
      <c r="B4184" s="19" t="s">
        <v>101</v>
      </c>
      <c r="C4184" s="19">
        <v>8</v>
      </c>
      <c r="D4184" s="20">
        <v>45900</v>
      </c>
      <c r="E4184" s="19" t="s">
        <v>36</v>
      </c>
      <c r="F4184" s="19" t="s">
        <v>14</v>
      </c>
      <c r="G4184" s="19" t="s">
        <v>8364</v>
      </c>
      <c r="H4184" s="19" t="s">
        <v>22</v>
      </c>
      <c r="I4184" s="19">
        <v>24</v>
      </c>
      <c r="J4184" s="19">
        <v>0</v>
      </c>
      <c r="K4184" s="19">
        <v>5</v>
      </c>
      <c r="L4184" s="19" t="s">
        <v>17</v>
      </c>
      <c r="M4184" s="21">
        <v>4.7</v>
      </c>
      <c r="N4184">
        <f t="shared" si="65"/>
        <v>1</v>
      </c>
    </row>
    <row r="4185" spans="1:14" x14ac:dyDescent="0.35">
      <c r="A4185" s="22" t="s">
        <v>4255</v>
      </c>
      <c r="B4185" s="23" t="s">
        <v>108</v>
      </c>
      <c r="C4185" s="23">
        <v>1</v>
      </c>
      <c r="D4185" s="24">
        <v>45675</v>
      </c>
      <c r="E4185" s="23" t="s">
        <v>8364</v>
      </c>
      <c r="F4185" s="23" t="s">
        <v>40</v>
      </c>
      <c r="G4185" s="23" t="s">
        <v>27</v>
      </c>
      <c r="H4185" s="23" t="s">
        <v>22</v>
      </c>
      <c r="I4185" s="23">
        <v>48</v>
      </c>
      <c r="J4185" s="23">
        <v>1</v>
      </c>
      <c r="K4185" s="23">
        <v>5</v>
      </c>
      <c r="L4185" s="23" t="s">
        <v>17</v>
      </c>
      <c r="M4185" s="25">
        <v>16.399999999999999</v>
      </c>
      <c r="N4185">
        <f t="shared" si="65"/>
        <v>1</v>
      </c>
    </row>
    <row r="4186" spans="1:14" x14ac:dyDescent="0.35">
      <c r="A4186" s="6" t="s">
        <v>4256</v>
      </c>
      <c r="B4186" s="19" t="s">
        <v>51</v>
      </c>
      <c r="C4186" s="19">
        <v>5</v>
      </c>
      <c r="D4186" s="20">
        <v>45781</v>
      </c>
      <c r="E4186" s="19" t="s">
        <v>25</v>
      </c>
      <c r="F4186" s="19" t="s">
        <v>14</v>
      </c>
      <c r="G4186" s="19" t="s">
        <v>27</v>
      </c>
      <c r="H4186" s="19" t="s">
        <v>8364</v>
      </c>
      <c r="I4186" s="19">
        <v>8</v>
      </c>
      <c r="J4186" s="19">
        <v>0</v>
      </c>
      <c r="K4186" s="19">
        <v>4</v>
      </c>
      <c r="L4186" s="19" t="s">
        <v>38</v>
      </c>
      <c r="M4186" s="21"/>
      <c r="N4186">
        <f t="shared" si="65"/>
        <v>1</v>
      </c>
    </row>
    <row r="4187" spans="1:14" x14ac:dyDescent="0.35">
      <c r="A4187" s="22" t="s">
        <v>4257</v>
      </c>
      <c r="B4187" s="23" t="s">
        <v>41</v>
      </c>
      <c r="C4187" s="23">
        <v>9</v>
      </c>
      <c r="D4187" s="24">
        <v>45902</v>
      </c>
      <c r="E4187" s="23" t="s">
        <v>8364</v>
      </c>
      <c r="F4187" s="23" t="s">
        <v>59</v>
      </c>
      <c r="G4187" s="23" t="s">
        <v>27</v>
      </c>
      <c r="H4187" s="23" t="s">
        <v>8364</v>
      </c>
      <c r="I4187" s="23">
        <v>24</v>
      </c>
      <c r="J4187" s="23">
        <v>0</v>
      </c>
      <c r="K4187" s="23">
        <v>3</v>
      </c>
      <c r="L4187" s="23" t="s">
        <v>17</v>
      </c>
      <c r="M4187" s="25">
        <v>22</v>
      </c>
      <c r="N4187">
        <f t="shared" si="65"/>
        <v>1</v>
      </c>
    </row>
    <row r="4188" spans="1:14" x14ac:dyDescent="0.35">
      <c r="A4188" s="6" t="s">
        <v>4258</v>
      </c>
      <c r="B4188" s="19" t="s">
        <v>92</v>
      </c>
      <c r="C4188" s="19">
        <v>7</v>
      </c>
      <c r="D4188" s="20">
        <v>45862</v>
      </c>
      <c r="E4188" s="19" t="s">
        <v>13</v>
      </c>
      <c r="F4188" s="19" t="s">
        <v>26</v>
      </c>
      <c r="G4188" s="19" t="s">
        <v>27</v>
      </c>
      <c r="H4188" s="19" t="s">
        <v>28</v>
      </c>
      <c r="I4188" s="19">
        <v>24</v>
      </c>
      <c r="J4188" s="19">
        <v>0</v>
      </c>
      <c r="K4188" s="19">
        <v>4</v>
      </c>
      <c r="L4188" s="19" t="s">
        <v>33</v>
      </c>
      <c r="M4188" s="21">
        <v>17.399999999999999</v>
      </c>
      <c r="N4188">
        <f t="shared" si="65"/>
        <v>1</v>
      </c>
    </row>
    <row r="4189" spans="1:14" x14ac:dyDescent="0.35">
      <c r="A4189" s="22" t="s">
        <v>4259</v>
      </c>
      <c r="B4189" s="23" t="s">
        <v>34</v>
      </c>
      <c r="C4189" s="23"/>
      <c r="D4189" s="24"/>
      <c r="E4189" s="23" t="s">
        <v>8364</v>
      </c>
      <c r="F4189" s="23" t="s">
        <v>43</v>
      </c>
      <c r="G4189" s="23" t="s">
        <v>31</v>
      </c>
      <c r="H4189" s="23" t="s">
        <v>22</v>
      </c>
      <c r="I4189" s="23">
        <v>72</v>
      </c>
      <c r="J4189" s="23">
        <v>0</v>
      </c>
      <c r="K4189" s="23">
        <v>5</v>
      </c>
      <c r="L4189" s="23" t="s">
        <v>8363</v>
      </c>
      <c r="M4189" s="25">
        <v>12.2</v>
      </c>
      <c r="N4189">
        <f t="shared" si="65"/>
        <v>1</v>
      </c>
    </row>
    <row r="4190" spans="1:14" x14ac:dyDescent="0.35">
      <c r="A4190" s="6" t="s">
        <v>4260</v>
      </c>
      <c r="B4190" s="19" t="s">
        <v>51</v>
      </c>
      <c r="C4190" s="19">
        <v>4</v>
      </c>
      <c r="D4190" s="20">
        <v>45768</v>
      </c>
      <c r="E4190" s="19" t="s">
        <v>68</v>
      </c>
      <c r="F4190" s="19" t="s">
        <v>59</v>
      </c>
      <c r="G4190" s="19" t="s">
        <v>15</v>
      </c>
      <c r="H4190" s="19" t="s">
        <v>22</v>
      </c>
      <c r="I4190" s="19">
        <v>48</v>
      </c>
      <c r="J4190" s="19">
        <v>0</v>
      </c>
      <c r="K4190" s="19">
        <v>5</v>
      </c>
      <c r="L4190" s="19" t="s">
        <v>62</v>
      </c>
      <c r="M4190" s="21">
        <v>16.7</v>
      </c>
      <c r="N4190">
        <f t="shared" si="65"/>
        <v>1</v>
      </c>
    </row>
    <row r="4191" spans="1:14" x14ac:dyDescent="0.35">
      <c r="A4191" s="22" t="s">
        <v>4261</v>
      </c>
      <c r="B4191" s="23" t="s">
        <v>65</v>
      </c>
      <c r="C4191" s="23">
        <v>12</v>
      </c>
      <c r="D4191" s="24">
        <v>46000</v>
      </c>
      <c r="E4191" s="23" t="s">
        <v>36</v>
      </c>
      <c r="F4191" s="23" t="s">
        <v>14</v>
      </c>
      <c r="G4191" s="23" t="s">
        <v>27</v>
      </c>
      <c r="H4191" s="23" t="s">
        <v>22</v>
      </c>
      <c r="I4191" s="23">
        <v>72</v>
      </c>
      <c r="J4191" s="23">
        <v>0</v>
      </c>
      <c r="K4191" s="23">
        <v>5</v>
      </c>
      <c r="L4191" s="23" t="s">
        <v>8363</v>
      </c>
      <c r="M4191" s="25"/>
      <c r="N4191">
        <f t="shared" si="65"/>
        <v>1</v>
      </c>
    </row>
    <row r="4192" spans="1:14" x14ac:dyDescent="0.35">
      <c r="A4192" s="6" t="s">
        <v>4262</v>
      </c>
      <c r="B4192" s="19" t="s">
        <v>158</v>
      </c>
      <c r="C4192" s="19">
        <v>9</v>
      </c>
      <c r="D4192" s="20">
        <v>45930</v>
      </c>
      <c r="E4192" s="19" t="s">
        <v>36</v>
      </c>
      <c r="F4192" s="19" t="s">
        <v>14</v>
      </c>
      <c r="G4192" s="19" t="s">
        <v>21</v>
      </c>
      <c r="H4192" s="19" t="s">
        <v>22</v>
      </c>
      <c r="I4192" s="19">
        <v>4</v>
      </c>
      <c r="J4192" s="19">
        <v>0</v>
      </c>
      <c r="K4192" s="19"/>
      <c r="L4192" s="19" t="s">
        <v>33</v>
      </c>
      <c r="M4192" s="21">
        <v>7.4</v>
      </c>
      <c r="N4192">
        <f t="shared" si="65"/>
        <v>0</v>
      </c>
    </row>
    <row r="4193" spans="1:14" x14ac:dyDescent="0.35">
      <c r="A4193" s="22" t="s">
        <v>4263</v>
      </c>
      <c r="B4193" s="23" t="s">
        <v>51</v>
      </c>
      <c r="C4193" s="23">
        <v>3</v>
      </c>
      <c r="D4193" s="24">
        <v>45725</v>
      </c>
      <c r="E4193" s="23" t="s">
        <v>36</v>
      </c>
      <c r="F4193" s="23" t="s">
        <v>14</v>
      </c>
      <c r="G4193" s="23" t="s">
        <v>8364</v>
      </c>
      <c r="H4193" s="23" t="s">
        <v>8364</v>
      </c>
      <c r="I4193" s="23">
        <v>48</v>
      </c>
      <c r="J4193" s="23">
        <v>0</v>
      </c>
      <c r="K4193" s="23">
        <v>5</v>
      </c>
      <c r="L4193" s="23" t="s">
        <v>38</v>
      </c>
      <c r="M4193" s="25">
        <v>11</v>
      </c>
      <c r="N4193">
        <f t="shared" si="65"/>
        <v>1</v>
      </c>
    </row>
    <row r="4194" spans="1:14" x14ac:dyDescent="0.35">
      <c r="A4194" s="6" t="s">
        <v>4264</v>
      </c>
      <c r="B4194" s="19" t="s">
        <v>69</v>
      </c>
      <c r="C4194" s="19">
        <v>8</v>
      </c>
      <c r="D4194" s="20">
        <v>45899</v>
      </c>
      <c r="E4194" s="19" t="s">
        <v>13</v>
      </c>
      <c r="F4194" s="19" t="s">
        <v>14</v>
      </c>
      <c r="G4194" s="19" t="s">
        <v>31</v>
      </c>
      <c r="H4194" s="19" t="s">
        <v>8364</v>
      </c>
      <c r="I4194" s="19">
        <v>4</v>
      </c>
      <c r="J4194" s="19">
        <v>0</v>
      </c>
      <c r="K4194" s="19">
        <v>4</v>
      </c>
      <c r="L4194" s="19" t="s">
        <v>44</v>
      </c>
      <c r="M4194" s="21">
        <v>11.7</v>
      </c>
      <c r="N4194">
        <f t="shared" si="65"/>
        <v>0</v>
      </c>
    </row>
    <row r="4195" spans="1:14" x14ac:dyDescent="0.35">
      <c r="A4195" s="22" t="s">
        <v>4265</v>
      </c>
      <c r="B4195" s="23" t="s">
        <v>143</v>
      </c>
      <c r="C4195" s="23">
        <v>9</v>
      </c>
      <c r="D4195" s="24">
        <v>45917</v>
      </c>
      <c r="E4195" s="23" t="s">
        <v>13</v>
      </c>
      <c r="F4195" s="23" t="s">
        <v>14</v>
      </c>
      <c r="G4195" s="23" t="s">
        <v>27</v>
      </c>
      <c r="H4195" s="23" t="s">
        <v>22</v>
      </c>
      <c r="I4195" s="23">
        <v>8</v>
      </c>
      <c r="J4195" s="23">
        <v>1</v>
      </c>
      <c r="K4195" s="23">
        <v>5</v>
      </c>
      <c r="L4195" s="23" t="s">
        <v>44</v>
      </c>
      <c r="M4195" s="25">
        <v>22.3</v>
      </c>
      <c r="N4195">
        <f t="shared" si="65"/>
        <v>0</v>
      </c>
    </row>
    <row r="4196" spans="1:14" x14ac:dyDescent="0.35">
      <c r="A4196" s="6" t="s">
        <v>4266</v>
      </c>
      <c r="B4196" s="19" t="s">
        <v>85</v>
      </c>
      <c r="C4196" s="19">
        <v>4</v>
      </c>
      <c r="D4196" s="20">
        <v>45776</v>
      </c>
      <c r="E4196" s="19" t="s">
        <v>36</v>
      </c>
      <c r="F4196" s="19" t="s">
        <v>59</v>
      </c>
      <c r="G4196" s="19" t="s">
        <v>21</v>
      </c>
      <c r="H4196" s="19" t="s">
        <v>16</v>
      </c>
      <c r="I4196" s="19">
        <v>4</v>
      </c>
      <c r="J4196" s="19">
        <v>0</v>
      </c>
      <c r="K4196" s="19">
        <v>5</v>
      </c>
      <c r="L4196" s="19" t="s">
        <v>8363</v>
      </c>
      <c r="M4196" s="21">
        <v>7.3</v>
      </c>
      <c r="N4196">
        <f t="shared" si="65"/>
        <v>0</v>
      </c>
    </row>
    <row r="4197" spans="1:14" x14ac:dyDescent="0.35">
      <c r="A4197" s="22" t="s">
        <v>4267</v>
      </c>
      <c r="B4197" s="23" t="s">
        <v>39</v>
      </c>
      <c r="C4197" s="23">
        <v>11</v>
      </c>
      <c r="D4197" s="24">
        <v>45973</v>
      </c>
      <c r="E4197" s="23" t="s">
        <v>13</v>
      </c>
      <c r="F4197" s="23" t="s">
        <v>40</v>
      </c>
      <c r="G4197" s="23" t="s">
        <v>31</v>
      </c>
      <c r="H4197" s="23" t="s">
        <v>32</v>
      </c>
      <c r="I4197" s="23">
        <v>24</v>
      </c>
      <c r="J4197" s="23">
        <v>0</v>
      </c>
      <c r="K4197" s="23">
        <v>5</v>
      </c>
      <c r="L4197" s="23" t="s">
        <v>55</v>
      </c>
      <c r="M4197" s="25">
        <v>15.9</v>
      </c>
      <c r="N4197">
        <f t="shared" si="65"/>
        <v>1</v>
      </c>
    </row>
    <row r="4198" spans="1:14" x14ac:dyDescent="0.35">
      <c r="A4198" s="6" t="s">
        <v>4268</v>
      </c>
      <c r="B4198" s="19" t="s">
        <v>87</v>
      </c>
      <c r="C4198" s="19">
        <v>6</v>
      </c>
      <c r="D4198" s="20">
        <v>45817</v>
      </c>
      <c r="E4198" s="19" t="s">
        <v>13</v>
      </c>
      <c r="F4198" s="19" t="s">
        <v>37</v>
      </c>
      <c r="G4198" s="19" t="s">
        <v>31</v>
      </c>
      <c r="H4198" s="19" t="s">
        <v>32</v>
      </c>
      <c r="I4198" s="19">
        <v>8</v>
      </c>
      <c r="J4198" s="19">
        <v>0</v>
      </c>
      <c r="K4198" s="19">
        <v>4</v>
      </c>
      <c r="L4198" s="19" t="s">
        <v>62</v>
      </c>
      <c r="M4198" s="21">
        <v>15.8</v>
      </c>
      <c r="N4198">
        <f t="shared" si="65"/>
        <v>0</v>
      </c>
    </row>
    <row r="4199" spans="1:14" x14ac:dyDescent="0.35">
      <c r="A4199" s="22" t="s">
        <v>4269</v>
      </c>
      <c r="B4199" s="23" t="s">
        <v>18</v>
      </c>
      <c r="C4199" s="23">
        <v>10</v>
      </c>
      <c r="D4199" s="24">
        <v>45936</v>
      </c>
      <c r="E4199" s="23" t="s">
        <v>13</v>
      </c>
      <c r="F4199" s="23" t="s">
        <v>14</v>
      </c>
      <c r="G4199" s="23" t="s">
        <v>27</v>
      </c>
      <c r="H4199" s="23" t="s">
        <v>22</v>
      </c>
      <c r="I4199" s="23">
        <v>24</v>
      </c>
      <c r="J4199" s="23">
        <v>0</v>
      </c>
      <c r="K4199" s="23">
        <v>2</v>
      </c>
      <c r="L4199" s="23" t="s">
        <v>44</v>
      </c>
      <c r="M4199" s="25">
        <v>5</v>
      </c>
      <c r="N4199">
        <f t="shared" si="65"/>
        <v>1</v>
      </c>
    </row>
    <row r="4200" spans="1:14" x14ac:dyDescent="0.35">
      <c r="A4200" s="6" t="s">
        <v>4270</v>
      </c>
      <c r="B4200" s="19" t="s">
        <v>47</v>
      </c>
      <c r="C4200" s="19">
        <v>5</v>
      </c>
      <c r="D4200" s="20">
        <v>45782</v>
      </c>
      <c r="E4200" s="19" t="s">
        <v>20</v>
      </c>
      <c r="F4200" s="19" t="s">
        <v>14</v>
      </c>
      <c r="G4200" s="19" t="s">
        <v>27</v>
      </c>
      <c r="H4200" s="19" t="s">
        <v>32</v>
      </c>
      <c r="I4200" s="19">
        <v>8</v>
      </c>
      <c r="J4200" s="19">
        <v>1</v>
      </c>
      <c r="K4200" s="19">
        <v>5</v>
      </c>
      <c r="L4200" s="19" t="s">
        <v>62</v>
      </c>
      <c r="M4200" s="21">
        <v>1.7</v>
      </c>
      <c r="N4200">
        <f t="shared" si="65"/>
        <v>1</v>
      </c>
    </row>
    <row r="4201" spans="1:14" x14ac:dyDescent="0.35">
      <c r="A4201" s="22" t="s">
        <v>4271</v>
      </c>
      <c r="B4201" s="23" t="s">
        <v>47</v>
      </c>
      <c r="C4201" s="23">
        <v>12</v>
      </c>
      <c r="D4201" s="24">
        <v>45995</v>
      </c>
      <c r="E4201" s="23" t="s">
        <v>8364</v>
      </c>
      <c r="F4201" s="23" t="s">
        <v>43</v>
      </c>
      <c r="G4201" s="23" t="s">
        <v>21</v>
      </c>
      <c r="H4201" s="23" t="s">
        <v>32</v>
      </c>
      <c r="I4201" s="23">
        <v>72</v>
      </c>
      <c r="J4201" s="23">
        <v>0</v>
      </c>
      <c r="K4201" s="23">
        <v>4</v>
      </c>
      <c r="L4201" s="23" t="s">
        <v>75</v>
      </c>
      <c r="M4201" s="25">
        <v>33.4</v>
      </c>
      <c r="N4201">
        <f t="shared" si="65"/>
        <v>1</v>
      </c>
    </row>
    <row r="4202" spans="1:14" x14ac:dyDescent="0.35">
      <c r="A4202" s="6" t="s">
        <v>4272</v>
      </c>
      <c r="B4202" s="19" t="s">
        <v>158</v>
      </c>
      <c r="C4202" s="19"/>
      <c r="D4202" s="20"/>
      <c r="E4202" s="19" t="s">
        <v>25</v>
      </c>
      <c r="F4202" s="19" t="s">
        <v>8364</v>
      </c>
      <c r="G4202" s="19" t="s">
        <v>27</v>
      </c>
      <c r="H4202" s="19" t="s">
        <v>32</v>
      </c>
      <c r="I4202" s="19">
        <v>8</v>
      </c>
      <c r="J4202" s="19">
        <v>0</v>
      </c>
      <c r="K4202" s="19">
        <v>4</v>
      </c>
      <c r="L4202" s="19" t="s">
        <v>33</v>
      </c>
      <c r="M4202" s="21">
        <v>2.7</v>
      </c>
      <c r="N4202">
        <f t="shared" si="65"/>
        <v>1</v>
      </c>
    </row>
    <row r="4203" spans="1:14" x14ac:dyDescent="0.35">
      <c r="A4203" s="22" t="s">
        <v>4273</v>
      </c>
      <c r="B4203" s="23" t="s">
        <v>181</v>
      </c>
      <c r="C4203" s="23">
        <v>9</v>
      </c>
      <c r="D4203" s="24">
        <v>45901</v>
      </c>
      <c r="E4203" s="23" t="s">
        <v>25</v>
      </c>
      <c r="F4203" s="23" t="s">
        <v>8364</v>
      </c>
      <c r="G4203" s="23" t="s">
        <v>21</v>
      </c>
      <c r="H4203" s="23" t="s">
        <v>28</v>
      </c>
      <c r="I4203" s="23">
        <v>48</v>
      </c>
      <c r="J4203" s="23">
        <v>0</v>
      </c>
      <c r="K4203" s="23">
        <v>5</v>
      </c>
      <c r="L4203" s="23" t="s">
        <v>33</v>
      </c>
      <c r="M4203" s="25">
        <v>6.3</v>
      </c>
      <c r="N4203">
        <f t="shared" si="65"/>
        <v>1</v>
      </c>
    </row>
    <row r="4204" spans="1:14" x14ac:dyDescent="0.35">
      <c r="A4204" s="6" t="s">
        <v>4274</v>
      </c>
      <c r="B4204" s="19" t="s">
        <v>47</v>
      </c>
      <c r="C4204" s="19">
        <v>9</v>
      </c>
      <c r="D4204" s="20">
        <v>45912</v>
      </c>
      <c r="E4204" s="19" t="s">
        <v>36</v>
      </c>
      <c r="F4204" s="19" t="s">
        <v>43</v>
      </c>
      <c r="G4204" s="19" t="s">
        <v>27</v>
      </c>
      <c r="H4204" s="19" t="s">
        <v>8364</v>
      </c>
      <c r="I4204" s="19">
        <v>24</v>
      </c>
      <c r="J4204" s="19">
        <v>0</v>
      </c>
      <c r="K4204" s="19"/>
      <c r="L4204" s="19" t="s">
        <v>44</v>
      </c>
      <c r="M4204" s="21">
        <v>2.8</v>
      </c>
      <c r="N4204">
        <f t="shared" si="65"/>
        <v>1</v>
      </c>
    </row>
    <row r="4205" spans="1:14" x14ac:dyDescent="0.35">
      <c r="A4205" s="22" t="s">
        <v>4275</v>
      </c>
      <c r="B4205" s="23" t="s">
        <v>47</v>
      </c>
      <c r="C4205" s="23">
        <v>9</v>
      </c>
      <c r="D4205" s="24">
        <v>45928</v>
      </c>
      <c r="E4205" s="23" t="s">
        <v>68</v>
      </c>
      <c r="F4205" s="23" t="s">
        <v>14</v>
      </c>
      <c r="G4205" s="23" t="s">
        <v>27</v>
      </c>
      <c r="H4205" s="23" t="s">
        <v>8364</v>
      </c>
      <c r="I4205" s="23">
        <v>24</v>
      </c>
      <c r="J4205" s="23">
        <v>0</v>
      </c>
      <c r="K4205" s="23">
        <v>5</v>
      </c>
      <c r="L4205" s="23" t="s">
        <v>38</v>
      </c>
      <c r="M4205" s="25">
        <v>12.5</v>
      </c>
      <c r="N4205">
        <f t="shared" si="65"/>
        <v>1</v>
      </c>
    </row>
    <row r="4206" spans="1:14" x14ac:dyDescent="0.35">
      <c r="A4206" s="6" t="s">
        <v>4276</v>
      </c>
      <c r="B4206" s="19" t="s">
        <v>69</v>
      </c>
      <c r="C4206" s="19">
        <v>4</v>
      </c>
      <c r="D4206" s="20">
        <v>45777</v>
      </c>
      <c r="E4206" s="19" t="s">
        <v>36</v>
      </c>
      <c r="F4206" s="19" t="s">
        <v>8364</v>
      </c>
      <c r="G4206" s="19" t="s">
        <v>8364</v>
      </c>
      <c r="H4206" s="19" t="s">
        <v>28</v>
      </c>
      <c r="I4206" s="19">
        <v>4</v>
      </c>
      <c r="J4206" s="19">
        <v>2</v>
      </c>
      <c r="K4206" s="19">
        <v>4</v>
      </c>
      <c r="L4206" s="19" t="s">
        <v>55</v>
      </c>
      <c r="M4206" s="21">
        <v>19</v>
      </c>
      <c r="N4206">
        <f t="shared" si="65"/>
        <v>0</v>
      </c>
    </row>
    <row r="4207" spans="1:14" x14ac:dyDescent="0.35">
      <c r="A4207" s="22" t="s">
        <v>4277</v>
      </c>
      <c r="B4207" s="23" t="s">
        <v>81</v>
      </c>
      <c r="C4207" s="23">
        <v>9</v>
      </c>
      <c r="D4207" s="24">
        <v>45915</v>
      </c>
      <c r="E4207" s="23" t="s">
        <v>20</v>
      </c>
      <c r="F4207" s="23" t="s">
        <v>8364</v>
      </c>
      <c r="G4207" s="23" t="s">
        <v>27</v>
      </c>
      <c r="H4207" s="23" t="s">
        <v>22</v>
      </c>
      <c r="I4207" s="23">
        <v>8</v>
      </c>
      <c r="J4207" s="23">
        <v>0</v>
      </c>
      <c r="K4207" s="23">
        <v>1</v>
      </c>
      <c r="L4207" s="23" t="s">
        <v>44</v>
      </c>
      <c r="M4207" s="25">
        <v>26.9</v>
      </c>
      <c r="N4207">
        <f t="shared" si="65"/>
        <v>0</v>
      </c>
    </row>
    <row r="4208" spans="1:14" x14ac:dyDescent="0.35">
      <c r="A4208" s="6" t="s">
        <v>4278</v>
      </c>
      <c r="B4208" s="19" t="s">
        <v>34</v>
      </c>
      <c r="C4208" s="19">
        <v>8</v>
      </c>
      <c r="D4208" s="20">
        <v>45894</v>
      </c>
      <c r="E4208" s="19" t="s">
        <v>13</v>
      </c>
      <c r="F4208" s="19" t="s">
        <v>14</v>
      </c>
      <c r="G4208" s="19" t="s">
        <v>31</v>
      </c>
      <c r="H4208" s="19" t="s">
        <v>22</v>
      </c>
      <c r="I4208" s="19">
        <v>4</v>
      </c>
      <c r="J4208" s="19">
        <v>0</v>
      </c>
      <c r="K4208" s="19">
        <v>3</v>
      </c>
      <c r="L4208" s="19" t="s">
        <v>55</v>
      </c>
      <c r="M4208" s="21">
        <v>17.100000000000001</v>
      </c>
      <c r="N4208">
        <f t="shared" si="65"/>
        <v>0</v>
      </c>
    </row>
    <row r="4209" spans="1:14" x14ac:dyDescent="0.35">
      <c r="A4209" s="22" t="s">
        <v>4279</v>
      </c>
      <c r="B4209" s="23" t="s">
        <v>45</v>
      </c>
      <c r="C4209" s="23">
        <v>3</v>
      </c>
      <c r="D4209" s="24">
        <v>45744</v>
      </c>
      <c r="E4209" s="23" t="s">
        <v>13</v>
      </c>
      <c r="F4209" s="23" t="s">
        <v>43</v>
      </c>
      <c r="G4209" s="23" t="s">
        <v>31</v>
      </c>
      <c r="H4209" s="23" t="s">
        <v>32</v>
      </c>
      <c r="I4209" s="23">
        <v>4</v>
      </c>
      <c r="J4209" s="23">
        <v>0</v>
      </c>
      <c r="K4209" s="23">
        <v>4</v>
      </c>
      <c r="L4209" s="23" t="s">
        <v>55</v>
      </c>
      <c r="M4209" s="25">
        <v>11.3</v>
      </c>
      <c r="N4209">
        <f t="shared" si="65"/>
        <v>0</v>
      </c>
    </row>
    <row r="4210" spans="1:14" x14ac:dyDescent="0.35">
      <c r="A4210" s="6" t="s">
        <v>4280</v>
      </c>
      <c r="B4210" s="19" t="s">
        <v>57</v>
      </c>
      <c r="C4210" s="19">
        <v>3</v>
      </c>
      <c r="D4210" s="20">
        <v>45724</v>
      </c>
      <c r="E4210" s="19" t="s">
        <v>68</v>
      </c>
      <c r="F4210" s="19" t="s">
        <v>14</v>
      </c>
      <c r="G4210" s="19" t="s">
        <v>31</v>
      </c>
      <c r="H4210" s="19" t="s">
        <v>28</v>
      </c>
      <c r="I4210" s="19">
        <v>8</v>
      </c>
      <c r="J4210" s="19">
        <v>2</v>
      </c>
      <c r="K4210" s="19">
        <v>3</v>
      </c>
      <c r="L4210" s="19" t="s">
        <v>38</v>
      </c>
      <c r="M4210" s="21">
        <v>8.1999999999999993</v>
      </c>
      <c r="N4210">
        <f t="shared" si="65"/>
        <v>0</v>
      </c>
    </row>
    <row r="4211" spans="1:14" x14ac:dyDescent="0.35">
      <c r="A4211" s="22" t="s">
        <v>4281</v>
      </c>
      <c r="B4211" s="23" t="s">
        <v>143</v>
      </c>
      <c r="C4211" s="23">
        <v>1</v>
      </c>
      <c r="D4211" s="24">
        <v>45684</v>
      </c>
      <c r="E4211" s="23" t="s">
        <v>68</v>
      </c>
      <c r="F4211" s="23" t="s">
        <v>8364</v>
      </c>
      <c r="G4211" s="23" t="s">
        <v>21</v>
      </c>
      <c r="H4211" s="23" t="s">
        <v>22</v>
      </c>
      <c r="I4211" s="23">
        <v>72</v>
      </c>
      <c r="J4211" s="23">
        <v>0</v>
      </c>
      <c r="K4211" s="23">
        <v>3</v>
      </c>
      <c r="L4211" s="23" t="s">
        <v>55</v>
      </c>
      <c r="M4211" s="25">
        <v>11.5</v>
      </c>
      <c r="N4211">
        <f t="shared" si="65"/>
        <v>1</v>
      </c>
    </row>
    <row r="4212" spans="1:14" x14ac:dyDescent="0.35">
      <c r="A4212" s="6" t="s">
        <v>4282</v>
      </c>
      <c r="B4212" s="19" t="s">
        <v>236</v>
      </c>
      <c r="C4212" s="19">
        <v>9</v>
      </c>
      <c r="D4212" s="20">
        <v>45906</v>
      </c>
      <c r="E4212" s="19" t="s">
        <v>25</v>
      </c>
      <c r="F4212" s="19" t="s">
        <v>14</v>
      </c>
      <c r="G4212" s="19" t="s">
        <v>8364</v>
      </c>
      <c r="H4212" s="19" t="s">
        <v>8364</v>
      </c>
      <c r="I4212" s="19">
        <v>48</v>
      </c>
      <c r="J4212" s="19">
        <v>0</v>
      </c>
      <c r="K4212" s="19">
        <v>4</v>
      </c>
      <c r="L4212" s="19" t="s">
        <v>33</v>
      </c>
      <c r="M4212" s="21">
        <v>30.1</v>
      </c>
      <c r="N4212">
        <f t="shared" si="65"/>
        <v>1</v>
      </c>
    </row>
    <row r="4213" spans="1:14" x14ac:dyDescent="0.35">
      <c r="A4213" s="22" t="s">
        <v>4283</v>
      </c>
      <c r="B4213" s="23" t="s">
        <v>34</v>
      </c>
      <c r="C4213" s="23">
        <v>4</v>
      </c>
      <c r="D4213" s="24">
        <v>45771</v>
      </c>
      <c r="E4213" s="23" t="s">
        <v>20</v>
      </c>
      <c r="F4213" s="23" t="s">
        <v>8364</v>
      </c>
      <c r="G4213" s="23" t="s">
        <v>31</v>
      </c>
      <c r="H4213" s="23" t="s">
        <v>32</v>
      </c>
      <c r="I4213" s="23">
        <v>72</v>
      </c>
      <c r="J4213" s="23">
        <v>0</v>
      </c>
      <c r="K4213" s="23">
        <v>4</v>
      </c>
      <c r="L4213" s="23" t="s">
        <v>33</v>
      </c>
      <c r="M4213" s="25">
        <v>6.4</v>
      </c>
      <c r="N4213">
        <f t="shared" si="65"/>
        <v>1</v>
      </c>
    </row>
    <row r="4214" spans="1:14" x14ac:dyDescent="0.35">
      <c r="A4214" s="6" t="s">
        <v>4284</v>
      </c>
      <c r="B4214" s="19" t="s">
        <v>126</v>
      </c>
      <c r="C4214" s="19">
        <v>8</v>
      </c>
      <c r="D4214" s="20">
        <v>45893</v>
      </c>
      <c r="E4214" s="19" t="s">
        <v>68</v>
      </c>
      <c r="F4214" s="19" t="s">
        <v>14</v>
      </c>
      <c r="G4214" s="19" t="s">
        <v>21</v>
      </c>
      <c r="H4214" s="19" t="s">
        <v>8364</v>
      </c>
      <c r="I4214" s="19">
        <v>72</v>
      </c>
      <c r="J4214" s="19">
        <v>0</v>
      </c>
      <c r="K4214" s="19">
        <v>1</v>
      </c>
      <c r="L4214" s="19" t="s">
        <v>44</v>
      </c>
      <c r="M4214" s="21">
        <v>2.1</v>
      </c>
      <c r="N4214">
        <f t="shared" si="65"/>
        <v>1</v>
      </c>
    </row>
    <row r="4215" spans="1:14" x14ac:dyDescent="0.35">
      <c r="A4215" s="22" t="s">
        <v>4285</v>
      </c>
      <c r="B4215" s="23" t="s">
        <v>253</v>
      </c>
      <c r="C4215" s="23">
        <v>2</v>
      </c>
      <c r="D4215" s="24">
        <v>45691</v>
      </c>
      <c r="E4215" s="23" t="s">
        <v>25</v>
      </c>
      <c r="F4215" s="23" t="s">
        <v>14</v>
      </c>
      <c r="G4215" s="23" t="s">
        <v>15</v>
      </c>
      <c r="H4215" s="23" t="s">
        <v>16</v>
      </c>
      <c r="I4215" s="23">
        <v>24</v>
      </c>
      <c r="J4215" s="23">
        <v>0</v>
      </c>
      <c r="K4215" s="23">
        <v>5</v>
      </c>
      <c r="L4215" s="23" t="s">
        <v>38</v>
      </c>
      <c r="M4215" s="25">
        <v>11</v>
      </c>
      <c r="N4215">
        <f t="shared" si="65"/>
        <v>1</v>
      </c>
    </row>
    <row r="4216" spans="1:14" x14ac:dyDescent="0.35">
      <c r="A4216" s="6" t="s">
        <v>4286</v>
      </c>
      <c r="B4216" s="19" t="s">
        <v>81</v>
      </c>
      <c r="C4216" s="19">
        <v>8</v>
      </c>
      <c r="D4216" s="20">
        <v>45883</v>
      </c>
      <c r="E4216" s="19" t="s">
        <v>20</v>
      </c>
      <c r="F4216" s="19" t="s">
        <v>14</v>
      </c>
      <c r="G4216" s="19" t="s">
        <v>8364</v>
      </c>
      <c r="H4216" s="19" t="s">
        <v>22</v>
      </c>
      <c r="I4216" s="19">
        <v>4</v>
      </c>
      <c r="J4216" s="19">
        <v>2</v>
      </c>
      <c r="K4216" s="19">
        <v>5</v>
      </c>
      <c r="L4216" s="19" t="s">
        <v>75</v>
      </c>
      <c r="M4216" s="21">
        <v>31.4</v>
      </c>
      <c r="N4216">
        <f t="shared" si="65"/>
        <v>0</v>
      </c>
    </row>
    <row r="4217" spans="1:14" x14ac:dyDescent="0.35">
      <c r="A4217" s="22" t="s">
        <v>4287</v>
      </c>
      <c r="B4217" s="23" t="s">
        <v>139</v>
      </c>
      <c r="C4217" s="23">
        <v>11</v>
      </c>
      <c r="D4217" s="24">
        <v>45978</v>
      </c>
      <c r="E4217" s="23" t="s">
        <v>25</v>
      </c>
      <c r="F4217" s="23" t="s">
        <v>14</v>
      </c>
      <c r="G4217" s="23" t="s">
        <v>27</v>
      </c>
      <c r="H4217" s="23" t="s">
        <v>22</v>
      </c>
      <c r="I4217" s="23">
        <v>4</v>
      </c>
      <c r="J4217" s="23">
        <v>0</v>
      </c>
      <c r="K4217" s="23">
        <v>1</v>
      </c>
      <c r="L4217" s="23" t="s">
        <v>44</v>
      </c>
      <c r="M4217" s="25">
        <v>7.7</v>
      </c>
      <c r="N4217">
        <f t="shared" si="65"/>
        <v>0</v>
      </c>
    </row>
    <row r="4218" spans="1:14" x14ac:dyDescent="0.35">
      <c r="A4218" s="6" t="s">
        <v>4288</v>
      </c>
      <c r="B4218" s="19" t="s">
        <v>65</v>
      </c>
      <c r="C4218" s="19">
        <v>10</v>
      </c>
      <c r="D4218" s="20">
        <v>45936</v>
      </c>
      <c r="E4218" s="19" t="s">
        <v>13</v>
      </c>
      <c r="F4218" s="19" t="s">
        <v>59</v>
      </c>
      <c r="G4218" s="19" t="s">
        <v>8364</v>
      </c>
      <c r="H4218" s="19" t="s">
        <v>22</v>
      </c>
      <c r="I4218" s="19">
        <v>8</v>
      </c>
      <c r="J4218" s="19">
        <v>0</v>
      </c>
      <c r="K4218" s="19">
        <v>5</v>
      </c>
      <c r="L4218" s="19" t="s">
        <v>17</v>
      </c>
      <c r="M4218" s="21">
        <v>4.5</v>
      </c>
      <c r="N4218">
        <f t="shared" si="65"/>
        <v>1</v>
      </c>
    </row>
    <row r="4219" spans="1:14" x14ac:dyDescent="0.35">
      <c r="A4219" s="22" t="s">
        <v>4289</v>
      </c>
      <c r="B4219" s="23" t="s">
        <v>49</v>
      </c>
      <c r="C4219" s="23">
        <v>10</v>
      </c>
      <c r="D4219" s="24">
        <v>45934</v>
      </c>
      <c r="E4219" s="23" t="s">
        <v>25</v>
      </c>
      <c r="F4219" s="23" t="s">
        <v>43</v>
      </c>
      <c r="G4219" s="23" t="s">
        <v>31</v>
      </c>
      <c r="H4219" s="23" t="s">
        <v>22</v>
      </c>
      <c r="I4219" s="23">
        <v>4</v>
      </c>
      <c r="J4219" s="23">
        <v>0</v>
      </c>
      <c r="K4219" s="23">
        <v>1</v>
      </c>
      <c r="L4219" s="23" t="s">
        <v>44</v>
      </c>
      <c r="M4219" s="25">
        <v>13.2</v>
      </c>
      <c r="N4219">
        <f t="shared" si="65"/>
        <v>0</v>
      </c>
    </row>
    <row r="4220" spans="1:14" x14ac:dyDescent="0.35">
      <c r="A4220" s="6" t="s">
        <v>4290</v>
      </c>
      <c r="B4220" s="19" t="s">
        <v>34</v>
      </c>
      <c r="C4220" s="19">
        <v>2</v>
      </c>
      <c r="D4220" s="20">
        <v>45715</v>
      </c>
      <c r="E4220" s="19" t="s">
        <v>25</v>
      </c>
      <c r="F4220" s="19" t="s">
        <v>40</v>
      </c>
      <c r="G4220" s="19" t="s">
        <v>21</v>
      </c>
      <c r="H4220" s="19" t="s">
        <v>8364</v>
      </c>
      <c r="I4220" s="19">
        <v>72</v>
      </c>
      <c r="J4220" s="19">
        <v>2</v>
      </c>
      <c r="K4220" s="19">
        <v>3</v>
      </c>
      <c r="L4220" s="19" t="s">
        <v>8363</v>
      </c>
      <c r="M4220" s="21">
        <v>5.3</v>
      </c>
      <c r="N4220">
        <f t="shared" si="65"/>
        <v>1</v>
      </c>
    </row>
    <row r="4221" spans="1:14" x14ac:dyDescent="0.35">
      <c r="A4221" s="22" t="s">
        <v>4291</v>
      </c>
      <c r="B4221" s="23" t="s">
        <v>23</v>
      </c>
      <c r="C4221" s="23">
        <v>11</v>
      </c>
      <c r="D4221" s="24">
        <v>45985</v>
      </c>
      <c r="E4221" s="23" t="s">
        <v>13</v>
      </c>
      <c r="F4221" s="23" t="s">
        <v>14</v>
      </c>
      <c r="G4221" s="23" t="s">
        <v>31</v>
      </c>
      <c r="H4221" s="23" t="s">
        <v>22</v>
      </c>
      <c r="I4221" s="23">
        <v>4</v>
      </c>
      <c r="J4221" s="23">
        <v>0</v>
      </c>
      <c r="K4221" s="23">
        <v>4</v>
      </c>
      <c r="L4221" s="23" t="s">
        <v>17</v>
      </c>
      <c r="M4221" s="25">
        <v>8.5</v>
      </c>
      <c r="N4221">
        <f t="shared" si="65"/>
        <v>0</v>
      </c>
    </row>
    <row r="4222" spans="1:14" x14ac:dyDescent="0.35">
      <c r="A4222" s="6" t="s">
        <v>4292</v>
      </c>
      <c r="B4222" s="19" t="s">
        <v>41</v>
      </c>
      <c r="C4222" s="19">
        <v>6</v>
      </c>
      <c r="D4222" s="20">
        <v>45836</v>
      </c>
      <c r="E4222" s="19" t="s">
        <v>36</v>
      </c>
      <c r="F4222" s="19" t="s">
        <v>14</v>
      </c>
      <c r="G4222" s="19" t="s">
        <v>27</v>
      </c>
      <c r="H4222" s="19" t="s">
        <v>28</v>
      </c>
      <c r="I4222" s="19">
        <v>72</v>
      </c>
      <c r="J4222" s="19">
        <v>1</v>
      </c>
      <c r="K4222" s="19">
        <v>5</v>
      </c>
      <c r="L4222" s="19" t="s">
        <v>33</v>
      </c>
      <c r="M4222" s="21">
        <v>15.2</v>
      </c>
      <c r="N4222">
        <f t="shared" si="65"/>
        <v>1</v>
      </c>
    </row>
    <row r="4223" spans="1:14" x14ac:dyDescent="0.35">
      <c r="A4223" s="22" t="s">
        <v>4293</v>
      </c>
      <c r="B4223" s="23" t="s">
        <v>18</v>
      </c>
      <c r="C4223" s="23">
        <v>1</v>
      </c>
      <c r="D4223" s="24">
        <v>45679</v>
      </c>
      <c r="E4223" s="23" t="s">
        <v>13</v>
      </c>
      <c r="F4223" s="23" t="s">
        <v>14</v>
      </c>
      <c r="G4223" s="23" t="s">
        <v>21</v>
      </c>
      <c r="H4223" s="23" t="s">
        <v>32</v>
      </c>
      <c r="I4223" s="23">
        <v>8</v>
      </c>
      <c r="J4223" s="23">
        <v>0</v>
      </c>
      <c r="K4223" s="23">
        <v>3</v>
      </c>
      <c r="L4223" s="23" t="s">
        <v>55</v>
      </c>
      <c r="M4223" s="25">
        <v>6.3</v>
      </c>
      <c r="N4223">
        <f t="shared" si="65"/>
        <v>1</v>
      </c>
    </row>
    <row r="4224" spans="1:14" x14ac:dyDescent="0.35">
      <c r="A4224" s="6" t="s">
        <v>4294</v>
      </c>
      <c r="B4224" s="19" t="s">
        <v>87</v>
      </c>
      <c r="C4224" s="19">
        <v>11</v>
      </c>
      <c r="D4224" s="20">
        <v>45968</v>
      </c>
      <c r="E4224" s="19" t="s">
        <v>68</v>
      </c>
      <c r="F4224" s="19" t="s">
        <v>26</v>
      </c>
      <c r="G4224" s="19" t="s">
        <v>21</v>
      </c>
      <c r="H4224" s="19" t="s">
        <v>22</v>
      </c>
      <c r="I4224" s="19">
        <v>4</v>
      </c>
      <c r="J4224" s="19">
        <v>0</v>
      </c>
      <c r="K4224" s="19"/>
      <c r="L4224" s="19" t="s">
        <v>8363</v>
      </c>
      <c r="M4224" s="21">
        <v>2.2999999999999998</v>
      </c>
      <c r="N4224">
        <f t="shared" si="65"/>
        <v>1</v>
      </c>
    </row>
    <row r="4225" spans="1:14" x14ac:dyDescent="0.35">
      <c r="A4225" s="22" t="s">
        <v>4295</v>
      </c>
      <c r="B4225" s="23" t="s">
        <v>53</v>
      </c>
      <c r="C4225" s="23">
        <v>10</v>
      </c>
      <c r="D4225" s="24">
        <v>45931</v>
      </c>
      <c r="E4225" s="23" t="s">
        <v>13</v>
      </c>
      <c r="F4225" s="23" t="s">
        <v>40</v>
      </c>
      <c r="G4225" s="23" t="s">
        <v>27</v>
      </c>
      <c r="H4225" s="23" t="s">
        <v>22</v>
      </c>
      <c r="I4225" s="23">
        <v>72</v>
      </c>
      <c r="J4225" s="23">
        <v>1</v>
      </c>
      <c r="K4225" s="23">
        <v>4</v>
      </c>
      <c r="L4225" s="23" t="s">
        <v>8363</v>
      </c>
      <c r="M4225" s="25">
        <v>10.199999999999999</v>
      </c>
      <c r="N4225">
        <f t="shared" si="65"/>
        <v>1</v>
      </c>
    </row>
    <row r="4226" spans="1:14" x14ac:dyDescent="0.35">
      <c r="A4226" s="6" t="s">
        <v>4296</v>
      </c>
      <c r="B4226" s="19" t="s">
        <v>236</v>
      </c>
      <c r="C4226" s="19">
        <v>11</v>
      </c>
      <c r="D4226" s="20">
        <v>45964</v>
      </c>
      <c r="E4226" s="19" t="s">
        <v>20</v>
      </c>
      <c r="F4226" s="19" t="s">
        <v>40</v>
      </c>
      <c r="G4226" s="19" t="s">
        <v>8364</v>
      </c>
      <c r="H4226" s="19" t="s">
        <v>16</v>
      </c>
      <c r="I4226" s="19">
        <v>8</v>
      </c>
      <c r="J4226" s="19">
        <v>0</v>
      </c>
      <c r="K4226" s="19">
        <v>4</v>
      </c>
      <c r="L4226" s="19" t="s">
        <v>75</v>
      </c>
      <c r="M4226" s="21"/>
      <c r="N4226">
        <f t="shared" si="65"/>
        <v>1</v>
      </c>
    </row>
    <row r="4227" spans="1:14" x14ac:dyDescent="0.35">
      <c r="A4227" s="22" t="s">
        <v>4297</v>
      </c>
      <c r="B4227" s="23" t="s">
        <v>39</v>
      </c>
      <c r="C4227" s="23">
        <v>12</v>
      </c>
      <c r="D4227" s="24">
        <v>46011</v>
      </c>
      <c r="E4227" s="23" t="s">
        <v>25</v>
      </c>
      <c r="F4227" s="23" t="s">
        <v>14</v>
      </c>
      <c r="G4227" s="23" t="s">
        <v>27</v>
      </c>
      <c r="H4227" s="23" t="s">
        <v>22</v>
      </c>
      <c r="I4227" s="23">
        <v>48</v>
      </c>
      <c r="J4227" s="23">
        <v>1</v>
      </c>
      <c r="K4227" s="23">
        <v>3</v>
      </c>
      <c r="L4227" s="23" t="s">
        <v>55</v>
      </c>
      <c r="M4227" s="25">
        <v>18.5</v>
      </c>
      <c r="N4227">
        <f t="shared" ref="N4227:N4290" si="66">IF(M4227 &lt;= I4227, 1, 0)</f>
        <v>1</v>
      </c>
    </row>
    <row r="4228" spans="1:14" x14ac:dyDescent="0.35">
      <c r="A4228" s="6" t="s">
        <v>4298</v>
      </c>
      <c r="B4228" s="19" t="s">
        <v>101</v>
      </c>
      <c r="C4228" s="19">
        <v>4</v>
      </c>
      <c r="D4228" s="20">
        <v>45748</v>
      </c>
      <c r="E4228" s="19" t="s">
        <v>25</v>
      </c>
      <c r="F4228" s="19" t="s">
        <v>59</v>
      </c>
      <c r="G4228" s="19" t="s">
        <v>27</v>
      </c>
      <c r="H4228" s="19" t="s">
        <v>8364</v>
      </c>
      <c r="I4228" s="19">
        <v>8</v>
      </c>
      <c r="J4228" s="19">
        <v>2</v>
      </c>
      <c r="K4228" s="19">
        <v>4</v>
      </c>
      <c r="L4228" s="19" t="s">
        <v>44</v>
      </c>
      <c r="M4228" s="21">
        <v>13.3</v>
      </c>
      <c r="N4228">
        <f t="shared" si="66"/>
        <v>0</v>
      </c>
    </row>
    <row r="4229" spans="1:14" x14ac:dyDescent="0.35">
      <c r="A4229" s="22" t="s">
        <v>4299</v>
      </c>
      <c r="B4229" s="23" t="s">
        <v>146</v>
      </c>
      <c r="C4229" s="23">
        <v>2</v>
      </c>
      <c r="D4229" s="24">
        <v>45689</v>
      </c>
      <c r="E4229" s="23" t="s">
        <v>13</v>
      </c>
      <c r="F4229" s="23" t="s">
        <v>8364</v>
      </c>
      <c r="G4229" s="23" t="s">
        <v>21</v>
      </c>
      <c r="H4229" s="23" t="s">
        <v>28</v>
      </c>
      <c r="I4229" s="23">
        <v>8</v>
      </c>
      <c r="J4229" s="23">
        <v>0</v>
      </c>
      <c r="K4229" s="23">
        <v>5</v>
      </c>
      <c r="L4229" s="23" t="s">
        <v>8363</v>
      </c>
      <c r="M4229" s="25">
        <v>13.2</v>
      </c>
      <c r="N4229">
        <f t="shared" si="66"/>
        <v>0</v>
      </c>
    </row>
    <row r="4230" spans="1:14" x14ac:dyDescent="0.35">
      <c r="A4230" s="6" t="s">
        <v>4300</v>
      </c>
      <c r="B4230" s="19" t="s">
        <v>69</v>
      </c>
      <c r="C4230" s="19">
        <v>6</v>
      </c>
      <c r="D4230" s="20">
        <v>45812</v>
      </c>
      <c r="E4230" s="19" t="s">
        <v>25</v>
      </c>
      <c r="F4230" s="19" t="s">
        <v>40</v>
      </c>
      <c r="G4230" s="19" t="s">
        <v>31</v>
      </c>
      <c r="H4230" s="19" t="s">
        <v>32</v>
      </c>
      <c r="I4230" s="19">
        <v>4</v>
      </c>
      <c r="J4230" s="19">
        <v>1</v>
      </c>
      <c r="K4230" s="19">
        <v>5</v>
      </c>
      <c r="L4230" s="19" t="s">
        <v>8363</v>
      </c>
      <c r="M4230" s="21">
        <v>3</v>
      </c>
      <c r="N4230">
        <f t="shared" si="66"/>
        <v>1</v>
      </c>
    </row>
    <row r="4231" spans="1:14" x14ac:dyDescent="0.35">
      <c r="A4231" s="22" t="s">
        <v>4301</v>
      </c>
      <c r="B4231" s="23" t="s">
        <v>253</v>
      </c>
      <c r="C4231" s="23">
        <v>10</v>
      </c>
      <c r="D4231" s="24">
        <v>45951</v>
      </c>
      <c r="E4231" s="23" t="s">
        <v>13</v>
      </c>
      <c r="F4231" s="23" t="s">
        <v>14</v>
      </c>
      <c r="G4231" s="23" t="s">
        <v>27</v>
      </c>
      <c r="H4231" s="23" t="s">
        <v>8364</v>
      </c>
      <c r="I4231" s="23">
        <v>4</v>
      </c>
      <c r="J4231" s="23">
        <v>0</v>
      </c>
      <c r="K4231" s="23">
        <v>4</v>
      </c>
      <c r="L4231" s="23" t="s">
        <v>17</v>
      </c>
      <c r="M4231" s="25">
        <v>22.7</v>
      </c>
      <c r="N4231">
        <f t="shared" si="66"/>
        <v>0</v>
      </c>
    </row>
    <row r="4232" spans="1:14" x14ac:dyDescent="0.35">
      <c r="A4232" s="6" t="s">
        <v>4302</v>
      </c>
      <c r="B4232" s="19" t="s">
        <v>57</v>
      </c>
      <c r="C4232" s="19">
        <v>5</v>
      </c>
      <c r="D4232" s="20">
        <v>45795</v>
      </c>
      <c r="E4232" s="19" t="s">
        <v>25</v>
      </c>
      <c r="F4232" s="19" t="s">
        <v>8364</v>
      </c>
      <c r="G4232" s="19" t="s">
        <v>31</v>
      </c>
      <c r="H4232" s="19" t="s">
        <v>8364</v>
      </c>
      <c r="I4232" s="19">
        <v>8</v>
      </c>
      <c r="J4232" s="19">
        <v>0</v>
      </c>
      <c r="K4232" s="19">
        <v>5</v>
      </c>
      <c r="L4232" s="19" t="s">
        <v>33</v>
      </c>
      <c r="M4232" s="21">
        <v>3.9</v>
      </c>
      <c r="N4232">
        <f t="shared" si="66"/>
        <v>1</v>
      </c>
    </row>
    <row r="4233" spans="1:14" x14ac:dyDescent="0.35">
      <c r="A4233" s="22" t="s">
        <v>4303</v>
      </c>
      <c r="B4233" s="23" t="s">
        <v>34</v>
      </c>
      <c r="C4233" s="23">
        <v>5</v>
      </c>
      <c r="D4233" s="24">
        <v>45785</v>
      </c>
      <c r="E4233" s="23" t="s">
        <v>20</v>
      </c>
      <c r="F4233" s="23" t="s">
        <v>14</v>
      </c>
      <c r="G4233" s="23" t="s">
        <v>31</v>
      </c>
      <c r="H4233" s="23" t="s">
        <v>32</v>
      </c>
      <c r="I4233" s="23">
        <v>8</v>
      </c>
      <c r="J4233" s="23">
        <v>0</v>
      </c>
      <c r="K4233" s="23">
        <v>3</v>
      </c>
      <c r="L4233" s="23" t="s">
        <v>33</v>
      </c>
      <c r="M4233" s="25">
        <v>19.5</v>
      </c>
      <c r="N4233">
        <f t="shared" si="66"/>
        <v>0</v>
      </c>
    </row>
    <row r="4234" spans="1:14" x14ac:dyDescent="0.35">
      <c r="A4234" s="6" t="s">
        <v>4304</v>
      </c>
      <c r="B4234" s="19" t="s">
        <v>34</v>
      </c>
      <c r="C4234" s="19"/>
      <c r="D4234" s="20"/>
      <c r="E4234" s="19" t="s">
        <v>13</v>
      </c>
      <c r="F4234" s="19" t="s">
        <v>14</v>
      </c>
      <c r="G4234" s="19" t="s">
        <v>31</v>
      </c>
      <c r="H4234" s="19" t="s">
        <v>22</v>
      </c>
      <c r="I4234" s="19">
        <v>4</v>
      </c>
      <c r="J4234" s="19">
        <v>0</v>
      </c>
      <c r="K4234" s="19">
        <v>3</v>
      </c>
      <c r="L4234" s="19" t="s">
        <v>8363</v>
      </c>
      <c r="M4234" s="21">
        <v>7.2</v>
      </c>
      <c r="N4234">
        <f t="shared" si="66"/>
        <v>0</v>
      </c>
    </row>
    <row r="4235" spans="1:14" x14ac:dyDescent="0.35">
      <c r="A4235" s="22" t="s">
        <v>4305</v>
      </c>
      <c r="B4235" s="23" t="s">
        <v>85</v>
      </c>
      <c r="C4235" s="23">
        <v>10</v>
      </c>
      <c r="D4235" s="24">
        <v>45933</v>
      </c>
      <c r="E4235" s="23" t="s">
        <v>13</v>
      </c>
      <c r="F4235" s="23" t="s">
        <v>40</v>
      </c>
      <c r="G4235" s="23" t="s">
        <v>21</v>
      </c>
      <c r="H4235" s="23" t="s">
        <v>22</v>
      </c>
      <c r="I4235" s="23">
        <v>4</v>
      </c>
      <c r="J4235" s="23">
        <v>0</v>
      </c>
      <c r="K4235" s="23">
        <v>4</v>
      </c>
      <c r="L4235" s="23" t="s">
        <v>38</v>
      </c>
      <c r="M4235" s="25">
        <v>9.6</v>
      </c>
      <c r="N4235">
        <f t="shared" si="66"/>
        <v>0</v>
      </c>
    </row>
    <row r="4236" spans="1:14" x14ac:dyDescent="0.35">
      <c r="A4236" s="6" t="s">
        <v>4306</v>
      </c>
      <c r="B4236" s="19" t="s">
        <v>18</v>
      </c>
      <c r="C4236" s="19">
        <v>11</v>
      </c>
      <c r="D4236" s="20">
        <v>45967</v>
      </c>
      <c r="E4236" s="19" t="s">
        <v>13</v>
      </c>
      <c r="F4236" s="19" t="s">
        <v>14</v>
      </c>
      <c r="G4236" s="19" t="s">
        <v>15</v>
      </c>
      <c r="H4236" s="19" t="s">
        <v>32</v>
      </c>
      <c r="I4236" s="19">
        <v>4</v>
      </c>
      <c r="J4236" s="19">
        <v>0</v>
      </c>
      <c r="K4236" s="19"/>
      <c r="L4236" s="19" t="s">
        <v>33</v>
      </c>
      <c r="M4236" s="21">
        <v>7.2</v>
      </c>
      <c r="N4236">
        <f t="shared" si="66"/>
        <v>0</v>
      </c>
    </row>
    <row r="4237" spans="1:14" x14ac:dyDescent="0.35">
      <c r="A4237" s="22" t="s">
        <v>4307</v>
      </c>
      <c r="B4237" s="23" t="s">
        <v>126</v>
      </c>
      <c r="C4237" s="23">
        <v>1</v>
      </c>
      <c r="D4237" s="24">
        <v>45666</v>
      </c>
      <c r="E4237" s="23" t="s">
        <v>13</v>
      </c>
      <c r="F4237" s="23" t="s">
        <v>40</v>
      </c>
      <c r="G4237" s="23" t="s">
        <v>21</v>
      </c>
      <c r="H4237" s="23" t="s">
        <v>32</v>
      </c>
      <c r="I4237" s="23">
        <v>24</v>
      </c>
      <c r="J4237" s="23">
        <v>0</v>
      </c>
      <c r="K4237" s="23">
        <v>5</v>
      </c>
      <c r="L4237" s="23" t="s">
        <v>75</v>
      </c>
      <c r="M4237" s="25">
        <v>19.600000000000001</v>
      </c>
      <c r="N4237">
        <f t="shared" si="66"/>
        <v>1</v>
      </c>
    </row>
    <row r="4238" spans="1:14" x14ac:dyDescent="0.35">
      <c r="A4238" s="6" t="s">
        <v>4308</v>
      </c>
      <c r="B4238" s="19" t="s">
        <v>65</v>
      </c>
      <c r="C4238" s="19"/>
      <c r="D4238" s="20"/>
      <c r="E4238" s="19" t="s">
        <v>36</v>
      </c>
      <c r="F4238" s="19" t="s">
        <v>59</v>
      </c>
      <c r="G4238" s="19" t="s">
        <v>21</v>
      </c>
      <c r="H4238" s="19" t="s">
        <v>8364</v>
      </c>
      <c r="I4238" s="19">
        <v>48</v>
      </c>
      <c r="J4238" s="19">
        <v>0</v>
      </c>
      <c r="K4238" s="19">
        <v>3</v>
      </c>
      <c r="L4238" s="19" t="s">
        <v>8363</v>
      </c>
      <c r="M4238" s="21">
        <v>21.1</v>
      </c>
      <c r="N4238">
        <f t="shared" si="66"/>
        <v>1</v>
      </c>
    </row>
    <row r="4239" spans="1:14" x14ac:dyDescent="0.35">
      <c r="A4239" s="22" t="s">
        <v>4309</v>
      </c>
      <c r="B4239" s="23" t="s">
        <v>146</v>
      </c>
      <c r="C4239" s="23">
        <v>12</v>
      </c>
      <c r="D4239" s="24">
        <v>46020</v>
      </c>
      <c r="E4239" s="23" t="s">
        <v>36</v>
      </c>
      <c r="F4239" s="23" t="s">
        <v>59</v>
      </c>
      <c r="G4239" s="23" t="s">
        <v>31</v>
      </c>
      <c r="H4239" s="23" t="s">
        <v>22</v>
      </c>
      <c r="I4239" s="23">
        <v>72</v>
      </c>
      <c r="J4239" s="23">
        <v>1</v>
      </c>
      <c r="K4239" s="23">
        <v>5</v>
      </c>
      <c r="L4239" s="23" t="s">
        <v>55</v>
      </c>
      <c r="M4239" s="25">
        <v>7.4</v>
      </c>
      <c r="N4239">
        <f t="shared" si="66"/>
        <v>1</v>
      </c>
    </row>
    <row r="4240" spans="1:14" x14ac:dyDescent="0.35">
      <c r="A4240" s="6" t="s">
        <v>4310</v>
      </c>
      <c r="B4240" s="19" t="s">
        <v>181</v>
      </c>
      <c r="C4240" s="19">
        <v>10</v>
      </c>
      <c r="D4240" s="20">
        <v>45938</v>
      </c>
      <c r="E4240" s="19" t="s">
        <v>13</v>
      </c>
      <c r="F4240" s="19" t="s">
        <v>14</v>
      </c>
      <c r="G4240" s="19" t="s">
        <v>21</v>
      </c>
      <c r="H4240" s="19" t="s">
        <v>28</v>
      </c>
      <c r="I4240" s="19">
        <v>24</v>
      </c>
      <c r="J4240" s="19">
        <v>1</v>
      </c>
      <c r="K4240" s="19">
        <v>4</v>
      </c>
      <c r="L4240" s="19" t="s">
        <v>62</v>
      </c>
      <c r="M4240" s="21">
        <v>16.100000000000001</v>
      </c>
      <c r="N4240">
        <f t="shared" si="66"/>
        <v>1</v>
      </c>
    </row>
    <row r="4241" spans="1:14" x14ac:dyDescent="0.35">
      <c r="A4241" s="22" t="s">
        <v>4311</v>
      </c>
      <c r="B4241" s="23" t="s">
        <v>47</v>
      </c>
      <c r="C4241" s="23">
        <v>11</v>
      </c>
      <c r="D4241" s="24">
        <v>45968</v>
      </c>
      <c r="E4241" s="23" t="s">
        <v>25</v>
      </c>
      <c r="F4241" s="23" t="s">
        <v>14</v>
      </c>
      <c r="G4241" s="23" t="s">
        <v>31</v>
      </c>
      <c r="H4241" s="23" t="s">
        <v>22</v>
      </c>
      <c r="I4241" s="23">
        <v>8</v>
      </c>
      <c r="J4241" s="23">
        <v>0</v>
      </c>
      <c r="K4241" s="23">
        <v>4</v>
      </c>
      <c r="L4241" s="23" t="s">
        <v>44</v>
      </c>
      <c r="M4241" s="25">
        <v>12.5</v>
      </c>
      <c r="N4241">
        <f t="shared" si="66"/>
        <v>0</v>
      </c>
    </row>
    <row r="4242" spans="1:14" x14ac:dyDescent="0.35">
      <c r="A4242" s="6" t="s">
        <v>4312</v>
      </c>
      <c r="B4242" s="19" t="s">
        <v>89</v>
      </c>
      <c r="C4242" s="19">
        <v>5</v>
      </c>
      <c r="D4242" s="20">
        <v>45796</v>
      </c>
      <c r="E4242" s="19" t="s">
        <v>36</v>
      </c>
      <c r="F4242" s="19" t="s">
        <v>8364</v>
      </c>
      <c r="G4242" s="19" t="s">
        <v>27</v>
      </c>
      <c r="H4242" s="19" t="s">
        <v>16</v>
      </c>
      <c r="I4242" s="19">
        <v>24</v>
      </c>
      <c r="J4242" s="19">
        <v>0</v>
      </c>
      <c r="K4242" s="19">
        <v>3</v>
      </c>
      <c r="L4242" s="19" t="s">
        <v>62</v>
      </c>
      <c r="M4242" s="21">
        <v>13.2</v>
      </c>
      <c r="N4242">
        <f t="shared" si="66"/>
        <v>1</v>
      </c>
    </row>
    <row r="4243" spans="1:14" x14ac:dyDescent="0.35">
      <c r="A4243" s="22" t="s">
        <v>4313</v>
      </c>
      <c r="B4243" s="23" t="s">
        <v>49</v>
      </c>
      <c r="C4243" s="23">
        <v>5</v>
      </c>
      <c r="D4243" s="24">
        <v>45803</v>
      </c>
      <c r="E4243" s="23" t="s">
        <v>8364</v>
      </c>
      <c r="F4243" s="23" t="s">
        <v>8364</v>
      </c>
      <c r="G4243" s="23" t="s">
        <v>27</v>
      </c>
      <c r="H4243" s="23" t="s">
        <v>22</v>
      </c>
      <c r="I4243" s="23">
        <v>8</v>
      </c>
      <c r="J4243" s="23">
        <v>0</v>
      </c>
      <c r="K4243" s="23">
        <v>5</v>
      </c>
      <c r="L4243" s="23" t="s">
        <v>55</v>
      </c>
      <c r="M4243" s="25">
        <v>5.2</v>
      </c>
      <c r="N4243">
        <f t="shared" si="66"/>
        <v>1</v>
      </c>
    </row>
    <row r="4244" spans="1:14" x14ac:dyDescent="0.35">
      <c r="A4244" s="6" t="s">
        <v>4314</v>
      </c>
      <c r="B4244" s="19" t="s">
        <v>34</v>
      </c>
      <c r="C4244" s="19">
        <v>11</v>
      </c>
      <c r="D4244" s="20">
        <v>45966</v>
      </c>
      <c r="E4244" s="19" t="s">
        <v>68</v>
      </c>
      <c r="F4244" s="19" t="s">
        <v>43</v>
      </c>
      <c r="G4244" s="19" t="s">
        <v>31</v>
      </c>
      <c r="H4244" s="19" t="s">
        <v>32</v>
      </c>
      <c r="I4244" s="19">
        <v>24</v>
      </c>
      <c r="J4244" s="19">
        <v>0</v>
      </c>
      <c r="K4244" s="19">
        <v>4</v>
      </c>
      <c r="L4244" s="19" t="s">
        <v>17</v>
      </c>
      <c r="M4244" s="21">
        <v>33.9</v>
      </c>
      <c r="N4244">
        <f t="shared" si="66"/>
        <v>0</v>
      </c>
    </row>
    <row r="4245" spans="1:14" x14ac:dyDescent="0.35">
      <c r="A4245" s="22" t="s">
        <v>4315</v>
      </c>
      <c r="B4245" s="23" t="s">
        <v>97</v>
      </c>
      <c r="C4245" s="23">
        <v>1</v>
      </c>
      <c r="D4245" s="24">
        <v>45673</v>
      </c>
      <c r="E4245" s="23" t="s">
        <v>25</v>
      </c>
      <c r="F4245" s="23" t="s">
        <v>8364</v>
      </c>
      <c r="G4245" s="23" t="s">
        <v>21</v>
      </c>
      <c r="H4245" s="23" t="s">
        <v>22</v>
      </c>
      <c r="I4245" s="23">
        <v>48</v>
      </c>
      <c r="J4245" s="23">
        <v>0</v>
      </c>
      <c r="K4245" s="23">
        <v>4</v>
      </c>
      <c r="L4245" s="23" t="s">
        <v>33</v>
      </c>
      <c r="M4245" s="25">
        <v>12.8</v>
      </c>
      <c r="N4245">
        <f t="shared" si="66"/>
        <v>1</v>
      </c>
    </row>
    <row r="4246" spans="1:14" x14ac:dyDescent="0.35">
      <c r="A4246" s="6" t="s">
        <v>4316</v>
      </c>
      <c r="B4246" s="19" t="s">
        <v>41</v>
      </c>
      <c r="C4246" s="19">
        <v>11</v>
      </c>
      <c r="D4246" s="20">
        <v>45962</v>
      </c>
      <c r="E4246" s="19" t="s">
        <v>25</v>
      </c>
      <c r="F4246" s="19" t="s">
        <v>8364</v>
      </c>
      <c r="G4246" s="19" t="s">
        <v>21</v>
      </c>
      <c r="H4246" s="19" t="s">
        <v>22</v>
      </c>
      <c r="I4246" s="19">
        <v>48</v>
      </c>
      <c r="J4246" s="19">
        <v>2</v>
      </c>
      <c r="K4246" s="19">
        <v>5</v>
      </c>
      <c r="L4246" s="19" t="s">
        <v>38</v>
      </c>
      <c r="M4246" s="21">
        <v>27.3</v>
      </c>
      <c r="N4246">
        <f t="shared" si="66"/>
        <v>1</v>
      </c>
    </row>
    <row r="4247" spans="1:14" x14ac:dyDescent="0.35">
      <c r="A4247" s="22" t="s">
        <v>4317</v>
      </c>
      <c r="B4247" s="23" t="s">
        <v>47</v>
      </c>
      <c r="C4247" s="23">
        <v>10</v>
      </c>
      <c r="D4247" s="24">
        <v>45934</v>
      </c>
      <c r="E4247" s="23" t="s">
        <v>8364</v>
      </c>
      <c r="F4247" s="23" t="s">
        <v>8364</v>
      </c>
      <c r="G4247" s="23" t="s">
        <v>31</v>
      </c>
      <c r="H4247" s="23" t="s">
        <v>32</v>
      </c>
      <c r="I4247" s="23">
        <v>4</v>
      </c>
      <c r="J4247" s="23">
        <v>0</v>
      </c>
      <c r="K4247" s="23">
        <v>2</v>
      </c>
      <c r="L4247" s="23" t="s">
        <v>8363</v>
      </c>
      <c r="M4247" s="25">
        <v>29.6</v>
      </c>
      <c r="N4247">
        <f t="shared" si="66"/>
        <v>0</v>
      </c>
    </row>
    <row r="4248" spans="1:14" x14ac:dyDescent="0.35">
      <c r="A4248" s="6" t="s">
        <v>4318</v>
      </c>
      <c r="B4248" s="19" t="s">
        <v>89</v>
      </c>
      <c r="C4248" s="19">
        <v>7</v>
      </c>
      <c r="D4248" s="20">
        <v>45855</v>
      </c>
      <c r="E4248" s="19" t="s">
        <v>68</v>
      </c>
      <c r="F4248" s="19" t="s">
        <v>43</v>
      </c>
      <c r="G4248" s="19" t="s">
        <v>31</v>
      </c>
      <c r="H4248" s="19" t="s">
        <v>8364</v>
      </c>
      <c r="I4248" s="19">
        <v>4</v>
      </c>
      <c r="J4248" s="19">
        <v>0</v>
      </c>
      <c r="K4248" s="19">
        <v>5</v>
      </c>
      <c r="L4248" s="19" t="s">
        <v>8363</v>
      </c>
      <c r="M4248" s="21">
        <v>11.3</v>
      </c>
      <c r="N4248">
        <f t="shared" si="66"/>
        <v>0</v>
      </c>
    </row>
    <row r="4249" spans="1:14" x14ac:dyDescent="0.35">
      <c r="A4249" s="22" t="s">
        <v>4319</v>
      </c>
      <c r="B4249" s="23" t="s">
        <v>236</v>
      </c>
      <c r="C4249" s="23"/>
      <c r="D4249" s="24"/>
      <c r="E4249" s="23" t="s">
        <v>13</v>
      </c>
      <c r="F4249" s="23" t="s">
        <v>37</v>
      </c>
      <c r="G4249" s="23" t="s">
        <v>15</v>
      </c>
      <c r="H4249" s="23" t="s">
        <v>28</v>
      </c>
      <c r="I4249" s="23">
        <v>8</v>
      </c>
      <c r="J4249" s="23">
        <v>2</v>
      </c>
      <c r="K4249" s="23">
        <v>5</v>
      </c>
      <c r="L4249" s="23" t="s">
        <v>62</v>
      </c>
      <c r="M4249" s="25">
        <v>16.899999999999999</v>
      </c>
      <c r="N4249">
        <f t="shared" si="66"/>
        <v>0</v>
      </c>
    </row>
    <row r="4250" spans="1:14" x14ac:dyDescent="0.35">
      <c r="A4250" s="6" t="s">
        <v>4320</v>
      </c>
      <c r="B4250" s="19" t="s">
        <v>47</v>
      </c>
      <c r="C4250" s="19">
        <v>8</v>
      </c>
      <c r="D4250" s="20">
        <v>45894</v>
      </c>
      <c r="E4250" s="19" t="s">
        <v>36</v>
      </c>
      <c r="F4250" s="19" t="s">
        <v>37</v>
      </c>
      <c r="G4250" s="19" t="s">
        <v>21</v>
      </c>
      <c r="H4250" s="19" t="s">
        <v>22</v>
      </c>
      <c r="I4250" s="19">
        <v>8</v>
      </c>
      <c r="J4250" s="19">
        <v>2</v>
      </c>
      <c r="K4250" s="19">
        <v>4</v>
      </c>
      <c r="L4250" s="19" t="s">
        <v>38</v>
      </c>
      <c r="M4250" s="21">
        <v>22.1</v>
      </c>
      <c r="N4250">
        <f t="shared" si="66"/>
        <v>0</v>
      </c>
    </row>
    <row r="4251" spans="1:14" x14ac:dyDescent="0.35">
      <c r="A4251" s="22" t="s">
        <v>4321</v>
      </c>
      <c r="B4251" s="23" t="s">
        <v>146</v>
      </c>
      <c r="C4251" s="23">
        <v>3</v>
      </c>
      <c r="D4251" s="24">
        <v>45723</v>
      </c>
      <c r="E4251" s="23" t="s">
        <v>20</v>
      </c>
      <c r="F4251" s="23" t="s">
        <v>8364</v>
      </c>
      <c r="G4251" s="23" t="s">
        <v>15</v>
      </c>
      <c r="H4251" s="23" t="s">
        <v>8364</v>
      </c>
      <c r="I4251" s="23">
        <v>4</v>
      </c>
      <c r="J4251" s="23">
        <v>0</v>
      </c>
      <c r="K4251" s="23">
        <v>5</v>
      </c>
      <c r="L4251" s="23" t="s">
        <v>44</v>
      </c>
      <c r="M4251" s="25">
        <v>24.8</v>
      </c>
      <c r="N4251">
        <f t="shared" si="66"/>
        <v>0</v>
      </c>
    </row>
    <row r="4252" spans="1:14" x14ac:dyDescent="0.35">
      <c r="A4252" s="6" t="s">
        <v>4322</v>
      </c>
      <c r="B4252" s="19" t="s">
        <v>47</v>
      </c>
      <c r="C4252" s="19">
        <v>12</v>
      </c>
      <c r="D4252" s="20">
        <v>46014</v>
      </c>
      <c r="E4252" s="19" t="s">
        <v>13</v>
      </c>
      <c r="F4252" s="19" t="s">
        <v>14</v>
      </c>
      <c r="G4252" s="19" t="s">
        <v>27</v>
      </c>
      <c r="H4252" s="19" t="s">
        <v>28</v>
      </c>
      <c r="I4252" s="19">
        <v>72</v>
      </c>
      <c r="J4252" s="19">
        <v>0</v>
      </c>
      <c r="K4252" s="19">
        <v>5</v>
      </c>
      <c r="L4252" s="19" t="s">
        <v>62</v>
      </c>
      <c r="M4252" s="21">
        <v>12.1</v>
      </c>
      <c r="N4252">
        <f t="shared" si="66"/>
        <v>1</v>
      </c>
    </row>
    <row r="4253" spans="1:14" x14ac:dyDescent="0.35">
      <c r="A4253" s="22" t="s">
        <v>4323</v>
      </c>
      <c r="B4253" s="23" t="s">
        <v>39</v>
      </c>
      <c r="C4253" s="23">
        <v>8</v>
      </c>
      <c r="D4253" s="24">
        <v>45898</v>
      </c>
      <c r="E4253" s="23" t="s">
        <v>13</v>
      </c>
      <c r="F4253" s="23" t="s">
        <v>14</v>
      </c>
      <c r="G4253" s="23" t="s">
        <v>27</v>
      </c>
      <c r="H4253" s="23" t="s">
        <v>22</v>
      </c>
      <c r="I4253" s="23">
        <v>24</v>
      </c>
      <c r="J4253" s="23">
        <v>1</v>
      </c>
      <c r="K4253" s="23">
        <v>5</v>
      </c>
      <c r="L4253" s="23" t="s">
        <v>8363</v>
      </c>
      <c r="M4253" s="25">
        <v>7.9</v>
      </c>
      <c r="N4253">
        <f t="shared" si="66"/>
        <v>1</v>
      </c>
    </row>
    <row r="4254" spans="1:14" x14ac:dyDescent="0.35">
      <c r="A4254" s="6" t="s">
        <v>4324</v>
      </c>
      <c r="B4254" s="19" t="s">
        <v>97</v>
      </c>
      <c r="C4254" s="19">
        <v>4</v>
      </c>
      <c r="D4254" s="20">
        <v>45761</v>
      </c>
      <c r="E4254" s="19" t="s">
        <v>25</v>
      </c>
      <c r="F4254" s="19" t="s">
        <v>14</v>
      </c>
      <c r="G4254" s="19" t="s">
        <v>27</v>
      </c>
      <c r="H4254" s="19" t="s">
        <v>22</v>
      </c>
      <c r="I4254" s="19">
        <v>72</v>
      </c>
      <c r="J4254" s="19">
        <v>0</v>
      </c>
      <c r="K4254" s="19">
        <v>4</v>
      </c>
      <c r="L4254" s="19" t="s">
        <v>75</v>
      </c>
      <c r="M4254" s="21"/>
      <c r="N4254">
        <f t="shared" si="66"/>
        <v>1</v>
      </c>
    </row>
    <row r="4255" spans="1:14" x14ac:dyDescent="0.35">
      <c r="A4255" s="22" t="s">
        <v>4325</v>
      </c>
      <c r="B4255" s="23" t="s">
        <v>18</v>
      </c>
      <c r="C4255" s="23">
        <v>12</v>
      </c>
      <c r="D4255" s="24">
        <v>45997</v>
      </c>
      <c r="E4255" s="23" t="s">
        <v>13</v>
      </c>
      <c r="F4255" s="23" t="s">
        <v>14</v>
      </c>
      <c r="G4255" s="23" t="s">
        <v>8364</v>
      </c>
      <c r="H4255" s="23" t="s">
        <v>8364</v>
      </c>
      <c r="I4255" s="23">
        <v>24</v>
      </c>
      <c r="J4255" s="23">
        <v>1</v>
      </c>
      <c r="K4255" s="23">
        <v>3</v>
      </c>
      <c r="L4255" s="23" t="s">
        <v>38</v>
      </c>
      <c r="M4255" s="25">
        <v>4.4000000000000004</v>
      </c>
      <c r="N4255">
        <f t="shared" si="66"/>
        <v>1</v>
      </c>
    </row>
    <row r="4256" spans="1:14" x14ac:dyDescent="0.35">
      <c r="A4256" s="6" t="s">
        <v>4326</v>
      </c>
      <c r="B4256" s="19" t="s">
        <v>87</v>
      </c>
      <c r="C4256" s="19"/>
      <c r="D4256" s="20"/>
      <c r="E4256" s="19" t="s">
        <v>68</v>
      </c>
      <c r="F4256" s="19" t="s">
        <v>59</v>
      </c>
      <c r="G4256" s="19" t="s">
        <v>27</v>
      </c>
      <c r="H4256" s="19" t="s">
        <v>8364</v>
      </c>
      <c r="I4256" s="19">
        <v>48</v>
      </c>
      <c r="J4256" s="19">
        <v>1</v>
      </c>
      <c r="K4256" s="19">
        <v>5</v>
      </c>
      <c r="L4256" s="19" t="s">
        <v>17</v>
      </c>
      <c r="M4256" s="21">
        <v>5.8</v>
      </c>
      <c r="N4256">
        <f t="shared" si="66"/>
        <v>1</v>
      </c>
    </row>
    <row r="4257" spans="1:14" x14ac:dyDescent="0.35">
      <c r="A4257" s="22" t="s">
        <v>4327</v>
      </c>
      <c r="B4257" s="23" t="s">
        <v>104</v>
      </c>
      <c r="C4257" s="23">
        <v>5</v>
      </c>
      <c r="D4257" s="24">
        <v>45797</v>
      </c>
      <c r="E4257" s="23" t="s">
        <v>36</v>
      </c>
      <c r="F4257" s="23" t="s">
        <v>37</v>
      </c>
      <c r="G4257" s="23" t="s">
        <v>15</v>
      </c>
      <c r="H4257" s="23" t="s">
        <v>22</v>
      </c>
      <c r="I4257" s="23">
        <v>24</v>
      </c>
      <c r="J4257" s="23">
        <v>0</v>
      </c>
      <c r="K4257" s="23">
        <v>3</v>
      </c>
      <c r="L4257" s="23" t="s">
        <v>33</v>
      </c>
      <c r="M4257" s="25">
        <v>2.6</v>
      </c>
      <c r="N4257">
        <f t="shared" si="66"/>
        <v>1</v>
      </c>
    </row>
    <row r="4258" spans="1:14" x14ac:dyDescent="0.35">
      <c r="A4258" s="6" t="s">
        <v>4328</v>
      </c>
      <c r="B4258" s="19" t="s">
        <v>69</v>
      </c>
      <c r="C4258" s="19">
        <v>10</v>
      </c>
      <c r="D4258" s="20">
        <v>45952</v>
      </c>
      <c r="E4258" s="19" t="s">
        <v>13</v>
      </c>
      <c r="F4258" s="19" t="s">
        <v>14</v>
      </c>
      <c r="G4258" s="19" t="s">
        <v>8364</v>
      </c>
      <c r="H4258" s="19" t="s">
        <v>16</v>
      </c>
      <c r="I4258" s="19">
        <v>48</v>
      </c>
      <c r="J4258" s="19">
        <v>0</v>
      </c>
      <c r="K4258" s="19">
        <v>3</v>
      </c>
      <c r="L4258" s="19" t="s">
        <v>17</v>
      </c>
      <c r="M4258" s="21">
        <v>6.8</v>
      </c>
      <c r="N4258">
        <f t="shared" si="66"/>
        <v>1</v>
      </c>
    </row>
    <row r="4259" spans="1:14" x14ac:dyDescent="0.35">
      <c r="A4259" s="22" t="s">
        <v>4329</v>
      </c>
      <c r="B4259" s="23" t="s">
        <v>23</v>
      </c>
      <c r="C4259" s="23"/>
      <c r="D4259" s="24"/>
      <c r="E4259" s="23" t="s">
        <v>36</v>
      </c>
      <c r="F4259" s="23" t="s">
        <v>59</v>
      </c>
      <c r="G4259" s="23" t="s">
        <v>15</v>
      </c>
      <c r="H4259" s="23" t="s">
        <v>32</v>
      </c>
      <c r="I4259" s="23">
        <v>48</v>
      </c>
      <c r="J4259" s="23">
        <v>0</v>
      </c>
      <c r="K4259" s="23"/>
      <c r="L4259" s="23" t="s">
        <v>55</v>
      </c>
      <c r="M4259" s="25">
        <v>9.8000000000000007</v>
      </c>
      <c r="N4259">
        <f t="shared" si="66"/>
        <v>1</v>
      </c>
    </row>
    <row r="4260" spans="1:14" x14ac:dyDescent="0.35">
      <c r="A4260" s="6" t="s">
        <v>4330</v>
      </c>
      <c r="B4260" s="19" t="s">
        <v>146</v>
      </c>
      <c r="C4260" s="19">
        <v>3</v>
      </c>
      <c r="D4260" s="20">
        <v>45736</v>
      </c>
      <c r="E4260" s="19" t="s">
        <v>20</v>
      </c>
      <c r="F4260" s="19" t="s">
        <v>37</v>
      </c>
      <c r="G4260" s="19" t="s">
        <v>27</v>
      </c>
      <c r="H4260" s="19" t="s">
        <v>22</v>
      </c>
      <c r="I4260" s="19">
        <v>24</v>
      </c>
      <c r="J4260" s="19">
        <v>0</v>
      </c>
      <c r="K4260" s="19">
        <v>4</v>
      </c>
      <c r="L4260" s="19" t="s">
        <v>17</v>
      </c>
      <c r="M4260" s="21">
        <v>4.9000000000000004</v>
      </c>
      <c r="N4260">
        <f t="shared" si="66"/>
        <v>1</v>
      </c>
    </row>
    <row r="4261" spans="1:14" x14ac:dyDescent="0.35">
      <c r="A4261" s="22" t="s">
        <v>4331</v>
      </c>
      <c r="B4261" s="23" t="s">
        <v>143</v>
      </c>
      <c r="C4261" s="23"/>
      <c r="D4261" s="24"/>
      <c r="E4261" s="23" t="s">
        <v>68</v>
      </c>
      <c r="F4261" s="23" t="s">
        <v>8364</v>
      </c>
      <c r="G4261" s="23" t="s">
        <v>27</v>
      </c>
      <c r="H4261" s="23" t="s">
        <v>32</v>
      </c>
      <c r="I4261" s="23">
        <v>24</v>
      </c>
      <c r="J4261" s="23">
        <v>0</v>
      </c>
      <c r="K4261" s="23">
        <v>4</v>
      </c>
      <c r="L4261" s="23" t="s">
        <v>17</v>
      </c>
      <c r="M4261" s="25">
        <v>21.5</v>
      </c>
      <c r="N4261">
        <f t="shared" si="66"/>
        <v>1</v>
      </c>
    </row>
    <row r="4262" spans="1:14" x14ac:dyDescent="0.35">
      <c r="A4262" s="6" t="s">
        <v>4332</v>
      </c>
      <c r="B4262" s="19" t="s">
        <v>41</v>
      </c>
      <c r="C4262" s="19">
        <v>12</v>
      </c>
      <c r="D4262" s="20">
        <v>46001</v>
      </c>
      <c r="E4262" s="19" t="s">
        <v>68</v>
      </c>
      <c r="F4262" s="19" t="s">
        <v>59</v>
      </c>
      <c r="G4262" s="19" t="s">
        <v>31</v>
      </c>
      <c r="H4262" s="19" t="s">
        <v>28</v>
      </c>
      <c r="I4262" s="19">
        <v>4</v>
      </c>
      <c r="J4262" s="19">
        <v>0</v>
      </c>
      <c r="K4262" s="19">
        <v>3</v>
      </c>
      <c r="L4262" s="19" t="s">
        <v>55</v>
      </c>
      <c r="M4262" s="21">
        <v>15.2</v>
      </c>
      <c r="N4262">
        <f t="shared" si="66"/>
        <v>0</v>
      </c>
    </row>
    <row r="4263" spans="1:14" x14ac:dyDescent="0.35">
      <c r="A4263" s="22" t="s">
        <v>4333</v>
      </c>
      <c r="B4263" s="23" t="s">
        <v>51</v>
      </c>
      <c r="C4263" s="23">
        <v>11</v>
      </c>
      <c r="D4263" s="24">
        <v>45972</v>
      </c>
      <c r="E4263" s="23" t="s">
        <v>20</v>
      </c>
      <c r="F4263" s="23" t="s">
        <v>43</v>
      </c>
      <c r="G4263" s="23" t="s">
        <v>31</v>
      </c>
      <c r="H4263" s="23" t="s">
        <v>22</v>
      </c>
      <c r="I4263" s="23">
        <v>8</v>
      </c>
      <c r="J4263" s="23">
        <v>0</v>
      </c>
      <c r="K4263" s="23">
        <v>3</v>
      </c>
      <c r="L4263" s="23" t="s">
        <v>38</v>
      </c>
      <c r="M4263" s="25">
        <v>12.3</v>
      </c>
      <c r="N4263">
        <f t="shared" si="66"/>
        <v>0</v>
      </c>
    </row>
    <row r="4264" spans="1:14" x14ac:dyDescent="0.35">
      <c r="A4264" s="6" t="s">
        <v>4334</v>
      </c>
      <c r="B4264" s="19" t="s">
        <v>99</v>
      </c>
      <c r="C4264" s="19">
        <v>6</v>
      </c>
      <c r="D4264" s="20">
        <v>45830</v>
      </c>
      <c r="E4264" s="19" t="s">
        <v>13</v>
      </c>
      <c r="F4264" s="19" t="s">
        <v>37</v>
      </c>
      <c r="G4264" s="19" t="s">
        <v>31</v>
      </c>
      <c r="H4264" s="19" t="s">
        <v>16</v>
      </c>
      <c r="I4264" s="19">
        <v>24</v>
      </c>
      <c r="J4264" s="19">
        <v>0</v>
      </c>
      <c r="K4264" s="19">
        <v>5</v>
      </c>
      <c r="L4264" s="19" t="s">
        <v>8363</v>
      </c>
      <c r="M4264" s="21">
        <v>10.8</v>
      </c>
      <c r="N4264">
        <f t="shared" si="66"/>
        <v>1</v>
      </c>
    </row>
    <row r="4265" spans="1:14" x14ac:dyDescent="0.35">
      <c r="A4265" s="22" t="s">
        <v>4335</v>
      </c>
      <c r="B4265" s="23" t="s">
        <v>81</v>
      </c>
      <c r="C4265" s="23"/>
      <c r="D4265" s="24"/>
      <c r="E4265" s="23" t="s">
        <v>25</v>
      </c>
      <c r="F4265" s="23" t="s">
        <v>8364</v>
      </c>
      <c r="G4265" s="23" t="s">
        <v>31</v>
      </c>
      <c r="H4265" s="23" t="s">
        <v>32</v>
      </c>
      <c r="I4265" s="23">
        <v>24</v>
      </c>
      <c r="J4265" s="23">
        <v>0</v>
      </c>
      <c r="K4265" s="23">
        <v>4</v>
      </c>
      <c r="L4265" s="23" t="s">
        <v>62</v>
      </c>
      <c r="M4265" s="25">
        <v>19.399999999999999</v>
      </c>
      <c r="N4265">
        <f t="shared" si="66"/>
        <v>1</v>
      </c>
    </row>
    <row r="4266" spans="1:14" x14ac:dyDescent="0.35">
      <c r="A4266" s="6" t="s">
        <v>4336</v>
      </c>
      <c r="B4266" s="19" t="s">
        <v>45</v>
      </c>
      <c r="C4266" s="19">
        <v>6</v>
      </c>
      <c r="D4266" s="20">
        <v>45823</v>
      </c>
      <c r="E4266" s="19" t="s">
        <v>13</v>
      </c>
      <c r="F4266" s="19" t="s">
        <v>14</v>
      </c>
      <c r="G4266" s="19" t="s">
        <v>27</v>
      </c>
      <c r="H4266" s="19" t="s">
        <v>32</v>
      </c>
      <c r="I4266" s="19">
        <v>48</v>
      </c>
      <c r="J4266" s="19">
        <v>1</v>
      </c>
      <c r="K4266" s="19">
        <v>4</v>
      </c>
      <c r="L4266" s="19" t="s">
        <v>44</v>
      </c>
      <c r="M4266" s="21">
        <v>5.6</v>
      </c>
      <c r="N4266">
        <f t="shared" si="66"/>
        <v>1</v>
      </c>
    </row>
    <row r="4267" spans="1:14" x14ac:dyDescent="0.35">
      <c r="A4267" s="22" t="s">
        <v>4337</v>
      </c>
      <c r="B4267" s="23" t="s">
        <v>85</v>
      </c>
      <c r="C4267" s="23">
        <v>7</v>
      </c>
      <c r="D4267" s="24">
        <v>45867</v>
      </c>
      <c r="E4267" s="23" t="s">
        <v>36</v>
      </c>
      <c r="F4267" s="23" t="s">
        <v>43</v>
      </c>
      <c r="G4267" s="23" t="s">
        <v>27</v>
      </c>
      <c r="H4267" s="23" t="s">
        <v>22</v>
      </c>
      <c r="I4267" s="23">
        <v>48</v>
      </c>
      <c r="J4267" s="23">
        <v>1</v>
      </c>
      <c r="K4267" s="23">
        <v>4</v>
      </c>
      <c r="L4267" s="23" t="s">
        <v>33</v>
      </c>
      <c r="M4267" s="25">
        <v>14.6</v>
      </c>
      <c r="N4267">
        <f t="shared" si="66"/>
        <v>1</v>
      </c>
    </row>
    <row r="4268" spans="1:14" x14ac:dyDescent="0.35">
      <c r="A4268" s="6" t="s">
        <v>4338</v>
      </c>
      <c r="B4268" s="19" t="s">
        <v>99</v>
      </c>
      <c r="C4268" s="19">
        <v>1</v>
      </c>
      <c r="D4268" s="20">
        <v>45674</v>
      </c>
      <c r="E4268" s="19" t="s">
        <v>13</v>
      </c>
      <c r="F4268" s="19" t="s">
        <v>8364</v>
      </c>
      <c r="G4268" s="19" t="s">
        <v>31</v>
      </c>
      <c r="H4268" s="19" t="s">
        <v>22</v>
      </c>
      <c r="I4268" s="19">
        <v>8</v>
      </c>
      <c r="J4268" s="19">
        <v>0</v>
      </c>
      <c r="K4268" s="19">
        <v>5</v>
      </c>
      <c r="L4268" s="19" t="s">
        <v>17</v>
      </c>
      <c r="M4268" s="21">
        <v>19.3</v>
      </c>
      <c r="N4268">
        <f t="shared" si="66"/>
        <v>0</v>
      </c>
    </row>
    <row r="4269" spans="1:14" x14ac:dyDescent="0.35">
      <c r="A4269" s="22" t="s">
        <v>4339</v>
      </c>
      <c r="B4269" s="23" t="s">
        <v>101</v>
      </c>
      <c r="C4269" s="23">
        <v>10</v>
      </c>
      <c r="D4269" s="24">
        <v>45954</v>
      </c>
      <c r="E4269" s="23" t="s">
        <v>25</v>
      </c>
      <c r="F4269" s="23" t="s">
        <v>43</v>
      </c>
      <c r="G4269" s="23" t="s">
        <v>31</v>
      </c>
      <c r="H4269" s="23" t="s">
        <v>28</v>
      </c>
      <c r="I4269" s="23">
        <v>8</v>
      </c>
      <c r="J4269" s="23">
        <v>2</v>
      </c>
      <c r="K4269" s="23">
        <v>1</v>
      </c>
      <c r="L4269" s="23" t="s">
        <v>62</v>
      </c>
      <c r="M4269" s="25">
        <v>14.6</v>
      </c>
      <c r="N4269">
        <f t="shared" si="66"/>
        <v>0</v>
      </c>
    </row>
    <row r="4270" spans="1:14" x14ac:dyDescent="0.35">
      <c r="A4270" s="6" t="s">
        <v>4340</v>
      </c>
      <c r="B4270" s="19" t="s">
        <v>23</v>
      </c>
      <c r="C4270" s="19">
        <v>3</v>
      </c>
      <c r="D4270" s="20">
        <v>45729</v>
      </c>
      <c r="E4270" s="19" t="s">
        <v>68</v>
      </c>
      <c r="F4270" s="19" t="s">
        <v>43</v>
      </c>
      <c r="G4270" s="19" t="s">
        <v>31</v>
      </c>
      <c r="H4270" s="19" t="s">
        <v>28</v>
      </c>
      <c r="I4270" s="19">
        <v>4</v>
      </c>
      <c r="J4270" s="19">
        <v>0</v>
      </c>
      <c r="K4270" s="19">
        <v>3</v>
      </c>
      <c r="L4270" s="19" t="s">
        <v>55</v>
      </c>
      <c r="M4270" s="21">
        <v>12.7</v>
      </c>
      <c r="N4270">
        <f t="shared" si="66"/>
        <v>0</v>
      </c>
    </row>
    <row r="4271" spans="1:14" x14ac:dyDescent="0.35">
      <c r="A4271" s="22" t="s">
        <v>4341</v>
      </c>
      <c r="B4271" s="23" t="s">
        <v>85</v>
      </c>
      <c r="C4271" s="23">
        <v>7</v>
      </c>
      <c r="D4271" s="24">
        <v>45868</v>
      </c>
      <c r="E4271" s="23" t="s">
        <v>13</v>
      </c>
      <c r="F4271" s="23" t="s">
        <v>37</v>
      </c>
      <c r="G4271" s="23" t="s">
        <v>27</v>
      </c>
      <c r="H4271" s="23" t="s">
        <v>32</v>
      </c>
      <c r="I4271" s="23">
        <v>24</v>
      </c>
      <c r="J4271" s="23">
        <v>0</v>
      </c>
      <c r="K4271" s="23"/>
      <c r="L4271" s="23" t="s">
        <v>38</v>
      </c>
      <c r="M4271" s="25"/>
      <c r="N4271">
        <f t="shared" si="66"/>
        <v>1</v>
      </c>
    </row>
    <row r="4272" spans="1:14" x14ac:dyDescent="0.35">
      <c r="A4272" s="6" t="s">
        <v>4342</v>
      </c>
      <c r="B4272" s="19" t="s">
        <v>143</v>
      </c>
      <c r="C4272" s="19"/>
      <c r="D4272" s="20"/>
      <c r="E4272" s="19" t="s">
        <v>68</v>
      </c>
      <c r="F4272" s="19" t="s">
        <v>43</v>
      </c>
      <c r="G4272" s="19" t="s">
        <v>27</v>
      </c>
      <c r="H4272" s="19" t="s">
        <v>22</v>
      </c>
      <c r="I4272" s="19">
        <v>24</v>
      </c>
      <c r="J4272" s="19">
        <v>1</v>
      </c>
      <c r="K4272" s="19">
        <v>5</v>
      </c>
      <c r="L4272" s="19" t="s">
        <v>44</v>
      </c>
      <c r="M4272" s="21">
        <v>5</v>
      </c>
      <c r="N4272">
        <f t="shared" si="66"/>
        <v>1</v>
      </c>
    </row>
    <row r="4273" spans="1:14" x14ac:dyDescent="0.35">
      <c r="A4273" s="22" t="s">
        <v>4343</v>
      </c>
      <c r="B4273" s="23" t="s">
        <v>65</v>
      </c>
      <c r="C4273" s="23">
        <v>2</v>
      </c>
      <c r="D4273" s="24">
        <v>45716</v>
      </c>
      <c r="E4273" s="23" t="s">
        <v>8364</v>
      </c>
      <c r="F4273" s="23" t="s">
        <v>59</v>
      </c>
      <c r="G4273" s="23" t="s">
        <v>15</v>
      </c>
      <c r="H4273" s="23" t="s">
        <v>16</v>
      </c>
      <c r="I4273" s="23">
        <v>48</v>
      </c>
      <c r="J4273" s="23">
        <v>0</v>
      </c>
      <c r="K4273" s="23">
        <v>1</v>
      </c>
      <c r="L4273" s="23" t="s">
        <v>62</v>
      </c>
      <c r="M4273" s="25">
        <v>15</v>
      </c>
      <c r="N4273">
        <f t="shared" si="66"/>
        <v>1</v>
      </c>
    </row>
    <row r="4274" spans="1:14" x14ac:dyDescent="0.35">
      <c r="A4274" s="6" t="s">
        <v>4344</v>
      </c>
      <c r="B4274" s="19" t="s">
        <v>45</v>
      </c>
      <c r="C4274" s="19"/>
      <c r="D4274" s="20"/>
      <c r="E4274" s="19" t="s">
        <v>8364</v>
      </c>
      <c r="F4274" s="19" t="s">
        <v>40</v>
      </c>
      <c r="G4274" s="19" t="s">
        <v>31</v>
      </c>
      <c r="H4274" s="19" t="s">
        <v>22</v>
      </c>
      <c r="I4274" s="19">
        <v>72</v>
      </c>
      <c r="J4274" s="19">
        <v>2</v>
      </c>
      <c r="K4274" s="19">
        <v>5</v>
      </c>
      <c r="L4274" s="19" t="s">
        <v>33</v>
      </c>
      <c r="M4274" s="21">
        <v>16</v>
      </c>
      <c r="N4274">
        <f t="shared" si="66"/>
        <v>1</v>
      </c>
    </row>
    <row r="4275" spans="1:14" x14ac:dyDescent="0.35">
      <c r="A4275" s="22" t="s">
        <v>4345</v>
      </c>
      <c r="B4275" s="23" t="s">
        <v>69</v>
      </c>
      <c r="C4275" s="23">
        <v>7</v>
      </c>
      <c r="D4275" s="24">
        <v>45846</v>
      </c>
      <c r="E4275" s="23" t="s">
        <v>8364</v>
      </c>
      <c r="F4275" s="23" t="s">
        <v>40</v>
      </c>
      <c r="G4275" s="23" t="s">
        <v>21</v>
      </c>
      <c r="H4275" s="23" t="s">
        <v>16</v>
      </c>
      <c r="I4275" s="23">
        <v>8</v>
      </c>
      <c r="J4275" s="23">
        <v>0</v>
      </c>
      <c r="K4275" s="23">
        <v>4</v>
      </c>
      <c r="L4275" s="23" t="s">
        <v>38</v>
      </c>
      <c r="M4275" s="25"/>
      <c r="N4275">
        <f t="shared" si="66"/>
        <v>1</v>
      </c>
    </row>
    <row r="4276" spans="1:14" x14ac:dyDescent="0.35">
      <c r="A4276" s="6" t="s">
        <v>4346</v>
      </c>
      <c r="B4276" s="19" t="s">
        <v>39</v>
      </c>
      <c r="C4276" s="19">
        <v>7</v>
      </c>
      <c r="D4276" s="20">
        <v>45841</v>
      </c>
      <c r="E4276" s="19" t="s">
        <v>13</v>
      </c>
      <c r="F4276" s="19" t="s">
        <v>14</v>
      </c>
      <c r="G4276" s="19" t="s">
        <v>21</v>
      </c>
      <c r="H4276" s="19" t="s">
        <v>32</v>
      </c>
      <c r="I4276" s="19">
        <v>72</v>
      </c>
      <c r="J4276" s="19">
        <v>0</v>
      </c>
      <c r="K4276" s="19">
        <v>4</v>
      </c>
      <c r="L4276" s="19" t="s">
        <v>38</v>
      </c>
      <c r="M4276" s="21">
        <v>28.5</v>
      </c>
      <c r="N4276">
        <f t="shared" si="66"/>
        <v>1</v>
      </c>
    </row>
    <row r="4277" spans="1:14" x14ac:dyDescent="0.35">
      <c r="A4277" s="22" t="s">
        <v>4347</v>
      </c>
      <c r="B4277" s="23" t="s">
        <v>89</v>
      </c>
      <c r="C4277" s="23">
        <v>10</v>
      </c>
      <c r="D4277" s="24">
        <v>45956</v>
      </c>
      <c r="E4277" s="23" t="s">
        <v>13</v>
      </c>
      <c r="F4277" s="23" t="s">
        <v>37</v>
      </c>
      <c r="G4277" s="23" t="s">
        <v>21</v>
      </c>
      <c r="H4277" s="23" t="s">
        <v>28</v>
      </c>
      <c r="I4277" s="23">
        <v>48</v>
      </c>
      <c r="J4277" s="23">
        <v>0</v>
      </c>
      <c r="K4277" s="23">
        <v>5</v>
      </c>
      <c r="L4277" s="23" t="s">
        <v>33</v>
      </c>
      <c r="M4277" s="25">
        <v>15.1</v>
      </c>
      <c r="N4277">
        <f t="shared" si="66"/>
        <v>1</v>
      </c>
    </row>
    <row r="4278" spans="1:14" x14ac:dyDescent="0.35">
      <c r="A4278" s="6" t="s">
        <v>4348</v>
      </c>
      <c r="B4278" s="19" t="s">
        <v>139</v>
      </c>
      <c r="C4278" s="19"/>
      <c r="D4278" s="20"/>
      <c r="E4278" s="19" t="s">
        <v>25</v>
      </c>
      <c r="F4278" s="19" t="s">
        <v>37</v>
      </c>
      <c r="G4278" s="19" t="s">
        <v>8364</v>
      </c>
      <c r="H4278" s="19" t="s">
        <v>8364</v>
      </c>
      <c r="I4278" s="19">
        <v>24</v>
      </c>
      <c r="J4278" s="19">
        <v>0</v>
      </c>
      <c r="K4278" s="19">
        <v>4</v>
      </c>
      <c r="L4278" s="19" t="s">
        <v>44</v>
      </c>
      <c r="M4278" s="21">
        <v>6.3</v>
      </c>
      <c r="N4278">
        <f t="shared" si="66"/>
        <v>1</v>
      </c>
    </row>
    <row r="4279" spans="1:14" x14ac:dyDescent="0.35">
      <c r="A4279" s="22" t="s">
        <v>4349</v>
      </c>
      <c r="B4279" s="23" t="s">
        <v>23</v>
      </c>
      <c r="C4279" s="23">
        <v>6</v>
      </c>
      <c r="D4279" s="24">
        <v>45811</v>
      </c>
      <c r="E4279" s="23" t="s">
        <v>36</v>
      </c>
      <c r="F4279" s="23" t="s">
        <v>40</v>
      </c>
      <c r="G4279" s="23" t="s">
        <v>15</v>
      </c>
      <c r="H4279" s="23" t="s">
        <v>16</v>
      </c>
      <c r="I4279" s="23">
        <v>72</v>
      </c>
      <c r="J4279" s="23">
        <v>0</v>
      </c>
      <c r="K4279" s="23">
        <v>4</v>
      </c>
      <c r="L4279" s="23" t="s">
        <v>75</v>
      </c>
      <c r="M4279" s="25">
        <v>6.5</v>
      </c>
      <c r="N4279">
        <f t="shared" si="66"/>
        <v>1</v>
      </c>
    </row>
    <row r="4280" spans="1:14" x14ac:dyDescent="0.35">
      <c r="A4280" s="6" t="s">
        <v>4350</v>
      </c>
      <c r="B4280" s="19" t="s">
        <v>181</v>
      </c>
      <c r="C4280" s="19">
        <v>10</v>
      </c>
      <c r="D4280" s="20">
        <v>45959</v>
      </c>
      <c r="E4280" s="19" t="s">
        <v>8364</v>
      </c>
      <c r="F4280" s="19" t="s">
        <v>14</v>
      </c>
      <c r="G4280" s="19" t="s">
        <v>27</v>
      </c>
      <c r="H4280" s="19" t="s">
        <v>8364</v>
      </c>
      <c r="I4280" s="19">
        <v>24</v>
      </c>
      <c r="J4280" s="19">
        <v>1</v>
      </c>
      <c r="K4280" s="19">
        <v>2</v>
      </c>
      <c r="L4280" s="19" t="s">
        <v>75</v>
      </c>
      <c r="M4280" s="21">
        <v>4.0999999999999996</v>
      </c>
      <c r="N4280">
        <f t="shared" si="66"/>
        <v>1</v>
      </c>
    </row>
    <row r="4281" spans="1:14" x14ac:dyDescent="0.35">
      <c r="A4281" s="22" t="s">
        <v>4351</v>
      </c>
      <c r="B4281" s="23" t="s">
        <v>29</v>
      </c>
      <c r="C4281" s="23">
        <v>7</v>
      </c>
      <c r="D4281" s="24">
        <v>45842</v>
      </c>
      <c r="E4281" s="23" t="s">
        <v>68</v>
      </c>
      <c r="F4281" s="23" t="s">
        <v>43</v>
      </c>
      <c r="G4281" s="23" t="s">
        <v>8364</v>
      </c>
      <c r="H4281" s="23" t="s">
        <v>28</v>
      </c>
      <c r="I4281" s="23">
        <v>4</v>
      </c>
      <c r="J4281" s="23">
        <v>0</v>
      </c>
      <c r="K4281" s="23">
        <v>4</v>
      </c>
      <c r="L4281" s="23" t="s">
        <v>38</v>
      </c>
      <c r="M4281" s="25">
        <v>8.6</v>
      </c>
      <c r="N4281">
        <f t="shared" si="66"/>
        <v>0</v>
      </c>
    </row>
    <row r="4282" spans="1:14" x14ac:dyDescent="0.35">
      <c r="A4282" s="6" t="s">
        <v>4352</v>
      </c>
      <c r="B4282" s="19" t="s">
        <v>47</v>
      </c>
      <c r="C4282" s="19">
        <v>3</v>
      </c>
      <c r="D4282" s="20">
        <v>45735</v>
      </c>
      <c r="E4282" s="19" t="s">
        <v>25</v>
      </c>
      <c r="F4282" s="19" t="s">
        <v>43</v>
      </c>
      <c r="G4282" s="19" t="s">
        <v>15</v>
      </c>
      <c r="H4282" s="19" t="s">
        <v>16</v>
      </c>
      <c r="I4282" s="19">
        <v>8</v>
      </c>
      <c r="J4282" s="19">
        <v>0</v>
      </c>
      <c r="K4282" s="19">
        <v>3</v>
      </c>
      <c r="L4282" s="19" t="s">
        <v>8363</v>
      </c>
      <c r="M4282" s="21">
        <v>8.1</v>
      </c>
      <c r="N4282">
        <f t="shared" si="66"/>
        <v>0</v>
      </c>
    </row>
    <row r="4283" spans="1:14" x14ac:dyDescent="0.35">
      <c r="A4283" s="22" t="s">
        <v>4353</v>
      </c>
      <c r="B4283" s="23" t="s">
        <v>47</v>
      </c>
      <c r="C4283" s="23">
        <v>8</v>
      </c>
      <c r="D4283" s="24">
        <v>45887</v>
      </c>
      <c r="E4283" s="23" t="s">
        <v>13</v>
      </c>
      <c r="F4283" s="23" t="s">
        <v>43</v>
      </c>
      <c r="G4283" s="23" t="s">
        <v>31</v>
      </c>
      <c r="H4283" s="23" t="s">
        <v>16</v>
      </c>
      <c r="I4283" s="23">
        <v>4</v>
      </c>
      <c r="J4283" s="23">
        <v>0</v>
      </c>
      <c r="K4283" s="23"/>
      <c r="L4283" s="23" t="s">
        <v>33</v>
      </c>
      <c r="M4283" s="25">
        <v>6.2</v>
      </c>
      <c r="N4283">
        <f t="shared" si="66"/>
        <v>0</v>
      </c>
    </row>
    <row r="4284" spans="1:14" x14ac:dyDescent="0.35">
      <c r="A4284" s="6" t="s">
        <v>4354</v>
      </c>
      <c r="B4284" s="19" t="s">
        <v>69</v>
      </c>
      <c r="C4284" s="19">
        <v>2</v>
      </c>
      <c r="D4284" s="20">
        <v>45691</v>
      </c>
      <c r="E4284" s="19" t="s">
        <v>68</v>
      </c>
      <c r="F4284" s="19" t="s">
        <v>43</v>
      </c>
      <c r="G4284" s="19" t="s">
        <v>27</v>
      </c>
      <c r="H4284" s="19" t="s">
        <v>8364</v>
      </c>
      <c r="I4284" s="19">
        <v>8</v>
      </c>
      <c r="J4284" s="19">
        <v>1</v>
      </c>
      <c r="K4284" s="19">
        <v>2</v>
      </c>
      <c r="L4284" s="19" t="s">
        <v>8363</v>
      </c>
      <c r="M4284" s="21">
        <v>8.3000000000000007</v>
      </c>
      <c r="N4284">
        <f t="shared" si="66"/>
        <v>0</v>
      </c>
    </row>
    <row r="4285" spans="1:14" x14ac:dyDescent="0.35">
      <c r="A4285" s="22" t="s">
        <v>4355</v>
      </c>
      <c r="B4285" s="23" t="s">
        <v>72</v>
      </c>
      <c r="C4285" s="23"/>
      <c r="D4285" s="24"/>
      <c r="E4285" s="23" t="s">
        <v>36</v>
      </c>
      <c r="F4285" s="23" t="s">
        <v>59</v>
      </c>
      <c r="G4285" s="23" t="s">
        <v>31</v>
      </c>
      <c r="H4285" s="23" t="s">
        <v>28</v>
      </c>
      <c r="I4285" s="23">
        <v>8</v>
      </c>
      <c r="J4285" s="23">
        <v>0</v>
      </c>
      <c r="K4285" s="23">
        <v>4</v>
      </c>
      <c r="L4285" s="23" t="s">
        <v>62</v>
      </c>
      <c r="M4285" s="25">
        <v>4.2</v>
      </c>
      <c r="N4285">
        <f t="shared" si="66"/>
        <v>1</v>
      </c>
    </row>
    <row r="4286" spans="1:14" x14ac:dyDescent="0.35">
      <c r="A4286" s="6" t="s">
        <v>4356</v>
      </c>
      <c r="B4286" s="19" t="s">
        <v>89</v>
      </c>
      <c r="C4286" s="19">
        <v>11</v>
      </c>
      <c r="D4286" s="20">
        <v>45972</v>
      </c>
      <c r="E4286" s="19" t="s">
        <v>25</v>
      </c>
      <c r="F4286" s="19" t="s">
        <v>43</v>
      </c>
      <c r="G4286" s="19" t="s">
        <v>27</v>
      </c>
      <c r="H4286" s="19" t="s">
        <v>8364</v>
      </c>
      <c r="I4286" s="19">
        <v>24</v>
      </c>
      <c r="J4286" s="19">
        <v>0</v>
      </c>
      <c r="K4286" s="19">
        <v>4</v>
      </c>
      <c r="L4286" s="19" t="s">
        <v>33</v>
      </c>
      <c r="M4286" s="21">
        <v>17.7</v>
      </c>
      <c r="N4286">
        <f t="shared" si="66"/>
        <v>1</v>
      </c>
    </row>
    <row r="4287" spans="1:14" x14ac:dyDescent="0.35">
      <c r="A4287" s="22" t="s">
        <v>4357</v>
      </c>
      <c r="B4287" s="23" t="s">
        <v>139</v>
      </c>
      <c r="C4287" s="23">
        <v>7</v>
      </c>
      <c r="D4287" s="24">
        <v>45839</v>
      </c>
      <c r="E4287" s="23" t="s">
        <v>68</v>
      </c>
      <c r="F4287" s="23" t="s">
        <v>37</v>
      </c>
      <c r="G4287" s="23" t="s">
        <v>21</v>
      </c>
      <c r="H4287" s="23" t="s">
        <v>32</v>
      </c>
      <c r="I4287" s="23">
        <v>24</v>
      </c>
      <c r="J4287" s="23">
        <v>0</v>
      </c>
      <c r="K4287" s="23">
        <v>2</v>
      </c>
      <c r="L4287" s="23" t="s">
        <v>62</v>
      </c>
      <c r="M4287" s="25">
        <v>8.8000000000000007</v>
      </c>
      <c r="N4287">
        <f t="shared" si="66"/>
        <v>1</v>
      </c>
    </row>
    <row r="4288" spans="1:14" x14ac:dyDescent="0.35">
      <c r="A4288" s="6" t="s">
        <v>4358</v>
      </c>
      <c r="B4288" s="19" t="s">
        <v>143</v>
      </c>
      <c r="C4288" s="19">
        <v>3</v>
      </c>
      <c r="D4288" s="20">
        <v>45736</v>
      </c>
      <c r="E4288" s="19" t="s">
        <v>36</v>
      </c>
      <c r="F4288" s="19" t="s">
        <v>43</v>
      </c>
      <c r="G4288" s="19" t="s">
        <v>27</v>
      </c>
      <c r="H4288" s="19" t="s">
        <v>8364</v>
      </c>
      <c r="I4288" s="19">
        <v>8</v>
      </c>
      <c r="J4288" s="19">
        <v>0</v>
      </c>
      <c r="K4288" s="19">
        <v>1</v>
      </c>
      <c r="L4288" s="19" t="s">
        <v>44</v>
      </c>
      <c r="M4288" s="21">
        <v>8.1</v>
      </c>
      <c r="N4288">
        <f t="shared" si="66"/>
        <v>0</v>
      </c>
    </row>
    <row r="4289" spans="1:14" x14ac:dyDescent="0.35">
      <c r="A4289" s="22" t="s">
        <v>4359</v>
      </c>
      <c r="B4289" s="23" t="s">
        <v>23</v>
      </c>
      <c r="C4289" s="23">
        <v>10</v>
      </c>
      <c r="D4289" s="24">
        <v>45959</v>
      </c>
      <c r="E4289" s="23" t="s">
        <v>68</v>
      </c>
      <c r="F4289" s="23" t="s">
        <v>43</v>
      </c>
      <c r="G4289" s="23" t="s">
        <v>31</v>
      </c>
      <c r="H4289" s="23" t="s">
        <v>22</v>
      </c>
      <c r="I4289" s="23">
        <v>8</v>
      </c>
      <c r="J4289" s="23">
        <v>2</v>
      </c>
      <c r="K4289" s="23">
        <v>4</v>
      </c>
      <c r="L4289" s="23" t="s">
        <v>55</v>
      </c>
      <c r="M4289" s="25">
        <v>3.1</v>
      </c>
      <c r="N4289">
        <f t="shared" si="66"/>
        <v>1</v>
      </c>
    </row>
    <row r="4290" spans="1:14" x14ac:dyDescent="0.35">
      <c r="A4290" s="6" t="s">
        <v>4360</v>
      </c>
      <c r="B4290" s="19" t="s">
        <v>18</v>
      </c>
      <c r="C4290" s="19">
        <v>6</v>
      </c>
      <c r="D4290" s="20">
        <v>45817</v>
      </c>
      <c r="E4290" s="19" t="s">
        <v>13</v>
      </c>
      <c r="F4290" s="19" t="s">
        <v>59</v>
      </c>
      <c r="G4290" s="19" t="s">
        <v>21</v>
      </c>
      <c r="H4290" s="19" t="s">
        <v>28</v>
      </c>
      <c r="I4290" s="19">
        <v>48</v>
      </c>
      <c r="J4290" s="19">
        <v>0</v>
      </c>
      <c r="K4290" s="19">
        <v>5</v>
      </c>
      <c r="L4290" s="19" t="s">
        <v>8363</v>
      </c>
      <c r="M4290" s="21"/>
      <c r="N4290">
        <f t="shared" si="66"/>
        <v>1</v>
      </c>
    </row>
    <row r="4291" spans="1:14" x14ac:dyDescent="0.35">
      <c r="A4291" s="22" t="s">
        <v>4361</v>
      </c>
      <c r="B4291" s="23" t="s">
        <v>126</v>
      </c>
      <c r="C4291" s="23">
        <v>7</v>
      </c>
      <c r="D4291" s="24">
        <v>45864</v>
      </c>
      <c r="E4291" s="23" t="s">
        <v>25</v>
      </c>
      <c r="F4291" s="23" t="s">
        <v>59</v>
      </c>
      <c r="G4291" s="23" t="s">
        <v>27</v>
      </c>
      <c r="H4291" s="23" t="s">
        <v>28</v>
      </c>
      <c r="I4291" s="23">
        <v>72</v>
      </c>
      <c r="J4291" s="23">
        <v>0</v>
      </c>
      <c r="K4291" s="23">
        <v>1</v>
      </c>
      <c r="L4291" s="23" t="s">
        <v>55</v>
      </c>
      <c r="M4291" s="25">
        <v>9.6999999999999993</v>
      </c>
      <c r="N4291">
        <f t="shared" ref="N4291:N4354" si="67">IF(M4291 &lt;= I4291, 1, 0)</f>
        <v>1</v>
      </c>
    </row>
    <row r="4292" spans="1:14" x14ac:dyDescent="0.35">
      <c r="A4292" s="6" t="s">
        <v>4362</v>
      </c>
      <c r="B4292" s="19" t="s">
        <v>53</v>
      </c>
      <c r="C4292" s="19">
        <v>4</v>
      </c>
      <c r="D4292" s="20">
        <v>45776</v>
      </c>
      <c r="E4292" s="19" t="s">
        <v>13</v>
      </c>
      <c r="F4292" s="19" t="s">
        <v>43</v>
      </c>
      <c r="G4292" s="19" t="s">
        <v>8364</v>
      </c>
      <c r="H4292" s="19" t="s">
        <v>8364</v>
      </c>
      <c r="I4292" s="19">
        <v>24</v>
      </c>
      <c r="J4292" s="19">
        <v>0</v>
      </c>
      <c r="K4292" s="19">
        <v>4</v>
      </c>
      <c r="L4292" s="19" t="s">
        <v>62</v>
      </c>
      <c r="M4292" s="21">
        <v>4.2</v>
      </c>
      <c r="N4292">
        <f t="shared" si="67"/>
        <v>1</v>
      </c>
    </row>
    <row r="4293" spans="1:14" x14ac:dyDescent="0.35">
      <c r="A4293" s="22" t="s">
        <v>4363</v>
      </c>
      <c r="B4293" s="23" t="s">
        <v>69</v>
      </c>
      <c r="C4293" s="23"/>
      <c r="D4293" s="24"/>
      <c r="E4293" s="23" t="s">
        <v>13</v>
      </c>
      <c r="F4293" s="23" t="s">
        <v>8364</v>
      </c>
      <c r="G4293" s="23" t="s">
        <v>21</v>
      </c>
      <c r="H4293" s="23" t="s">
        <v>16</v>
      </c>
      <c r="I4293" s="23">
        <v>72</v>
      </c>
      <c r="J4293" s="23">
        <v>0</v>
      </c>
      <c r="K4293" s="23">
        <v>2</v>
      </c>
      <c r="L4293" s="23" t="s">
        <v>44</v>
      </c>
      <c r="M4293" s="25">
        <v>2.2000000000000002</v>
      </c>
      <c r="N4293">
        <f t="shared" si="67"/>
        <v>1</v>
      </c>
    </row>
    <row r="4294" spans="1:14" x14ac:dyDescent="0.35">
      <c r="A4294" s="6" t="s">
        <v>4364</v>
      </c>
      <c r="B4294" s="19" t="s">
        <v>89</v>
      </c>
      <c r="C4294" s="19">
        <v>8</v>
      </c>
      <c r="D4294" s="20">
        <v>45878</v>
      </c>
      <c r="E4294" s="19" t="s">
        <v>8364</v>
      </c>
      <c r="F4294" s="19" t="s">
        <v>37</v>
      </c>
      <c r="G4294" s="19" t="s">
        <v>15</v>
      </c>
      <c r="H4294" s="19" t="s">
        <v>16</v>
      </c>
      <c r="I4294" s="19">
        <v>48</v>
      </c>
      <c r="J4294" s="19">
        <v>0</v>
      </c>
      <c r="K4294" s="19">
        <v>4</v>
      </c>
      <c r="L4294" s="19" t="s">
        <v>55</v>
      </c>
      <c r="M4294" s="21">
        <v>18.2</v>
      </c>
      <c r="N4294">
        <f t="shared" si="67"/>
        <v>1</v>
      </c>
    </row>
    <row r="4295" spans="1:14" x14ac:dyDescent="0.35">
      <c r="A4295" s="22" t="s">
        <v>4365</v>
      </c>
      <c r="B4295" s="23" t="s">
        <v>101</v>
      </c>
      <c r="C4295" s="23"/>
      <c r="D4295" s="24"/>
      <c r="E4295" s="23" t="s">
        <v>36</v>
      </c>
      <c r="F4295" s="23" t="s">
        <v>14</v>
      </c>
      <c r="G4295" s="23" t="s">
        <v>27</v>
      </c>
      <c r="H4295" s="23" t="s">
        <v>8364</v>
      </c>
      <c r="I4295" s="23">
        <v>48</v>
      </c>
      <c r="J4295" s="23">
        <v>0</v>
      </c>
      <c r="K4295" s="23">
        <v>4</v>
      </c>
      <c r="L4295" s="23" t="s">
        <v>17</v>
      </c>
      <c r="M4295" s="25">
        <v>7.2</v>
      </c>
      <c r="N4295">
        <f t="shared" si="67"/>
        <v>1</v>
      </c>
    </row>
    <row r="4296" spans="1:14" x14ac:dyDescent="0.35">
      <c r="A4296" s="6" t="s">
        <v>4366</v>
      </c>
      <c r="B4296" s="19" t="s">
        <v>41</v>
      </c>
      <c r="C4296" s="19">
        <v>9</v>
      </c>
      <c r="D4296" s="20">
        <v>45922</v>
      </c>
      <c r="E4296" s="19" t="s">
        <v>13</v>
      </c>
      <c r="F4296" s="19" t="s">
        <v>14</v>
      </c>
      <c r="G4296" s="19" t="s">
        <v>27</v>
      </c>
      <c r="H4296" s="19" t="s">
        <v>32</v>
      </c>
      <c r="I4296" s="19">
        <v>8</v>
      </c>
      <c r="J4296" s="19">
        <v>1</v>
      </c>
      <c r="K4296" s="19">
        <v>2</v>
      </c>
      <c r="L4296" s="19" t="s">
        <v>8363</v>
      </c>
      <c r="M4296" s="21">
        <v>5</v>
      </c>
      <c r="N4296">
        <f t="shared" si="67"/>
        <v>1</v>
      </c>
    </row>
    <row r="4297" spans="1:14" x14ac:dyDescent="0.35">
      <c r="A4297" s="22" t="s">
        <v>4367</v>
      </c>
      <c r="B4297" s="23" t="s">
        <v>53</v>
      </c>
      <c r="C4297" s="23"/>
      <c r="D4297" s="24"/>
      <c r="E4297" s="23" t="s">
        <v>36</v>
      </c>
      <c r="F4297" s="23" t="s">
        <v>59</v>
      </c>
      <c r="G4297" s="23" t="s">
        <v>15</v>
      </c>
      <c r="H4297" s="23" t="s">
        <v>28</v>
      </c>
      <c r="I4297" s="23">
        <v>24</v>
      </c>
      <c r="J4297" s="23">
        <v>2</v>
      </c>
      <c r="K4297" s="23">
        <v>5</v>
      </c>
      <c r="L4297" s="23" t="s">
        <v>55</v>
      </c>
      <c r="M4297" s="25">
        <v>2.1</v>
      </c>
      <c r="N4297">
        <f t="shared" si="67"/>
        <v>1</v>
      </c>
    </row>
    <row r="4298" spans="1:14" x14ac:dyDescent="0.35">
      <c r="A4298" s="6" t="s">
        <v>4368</v>
      </c>
      <c r="B4298" s="19" t="s">
        <v>18</v>
      </c>
      <c r="C4298" s="19">
        <v>1</v>
      </c>
      <c r="D4298" s="20">
        <v>45665</v>
      </c>
      <c r="E4298" s="19" t="s">
        <v>25</v>
      </c>
      <c r="F4298" s="19" t="s">
        <v>14</v>
      </c>
      <c r="G4298" s="19" t="s">
        <v>31</v>
      </c>
      <c r="H4298" s="19" t="s">
        <v>28</v>
      </c>
      <c r="I4298" s="19">
        <v>8</v>
      </c>
      <c r="J4298" s="19">
        <v>0</v>
      </c>
      <c r="K4298" s="19">
        <v>4</v>
      </c>
      <c r="L4298" s="19" t="s">
        <v>55</v>
      </c>
      <c r="M4298" s="21">
        <v>7.4</v>
      </c>
      <c r="N4298">
        <f t="shared" si="67"/>
        <v>1</v>
      </c>
    </row>
    <row r="4299" spans="1:14" x14ac:dyDescent="0.35">
      <c r="A4299" s="22" t="s">
        <v>4369</v>
      </c>
      <c r="B4299" s="23" t="s">
        <v>97</v>
      </c>
      <c r="C4299" s="23">
        <v>8</v>
      </c>
      <c r="D4299" s="24">
        <v>45879</v>
      </c>
      <c r="E4299" s="23" t="s">
        <v>25</v>
      </c>
      <c r="F4299" s="23" t="s">
        <v>14</v>
      </c>
      <c r="G4299" s="23" t="s">
        <v>27</v>
      </c>
      <c r="H4299" s="23" t="s">
        <v>28</v>
      </c>
      <c r="I4299" s="23">
        <v>48</v>
      </c>
      <c r="J4299" s="23">
        <v>0</v>
      </c>
      <c r="K4299" s="23">
        <v>4</v>
      </c>
      <c r="L4299" s="23" t="s">
        <v>55</v>
      </c>
      <c r="M4299" s="25">
        <v>3.5</v>
      </c>
      <c r="N4299">
        <f t="shared" si="67"/>
        <v>1</v>
      </c>
    </row>
    <row r="4300" spans="1:14" x14ac:dyDescent="0.35">
      <c r="A4300" s="6" t="s">
        <v>4370</v>
      </c>
      <c r="B4300" s="19" t="s">
        <v>139</v>
      </c>
      <c r="C4300" s="19">
        <v>1</v>
      </c>
      <c r="D4300" s="20">
        <v>45673</v>
      </c>
      <c r="E4300" s="19" t="s">
        <v>13</v>
      </c>
      <c r="F4300" s="19" t="s">
        <v>26</v>
      </c>
      <c r="G4300" s="19" t="s">
        <v>15</v>
      </c>
      <c r="H4300" s="19" t="s">
        <v>22</v>
      </c>
      <c r="I4300" s="19">
        <v>72</v>
      </c>
      <c r="J4300" s="19">
        <v>0</v>
      </c>
      <c r="K4300" s="19">
        <v>3</v>
      </c>
      <c r="L4300" s="19" t="s">
        <v>75</v>
      </c>
      <c r="M4300" s="21">
        <v>2.8</v>
      </c>
      <c r="N4300">
        <f t="shared" si="67"/>
        <v>1</v>
      </c>
    </row>
    <row r="4301" spans="1:14" x14ac:dyDescent="0.35">
      <c r="A4301" s="22" t="s">
        <v>4371</v>
      </c>
      <c r="B4301" s="23" t="s">
        <v>143</v>
      </c>
      <c r="C4301" s="23">
        <v>6</v>
      </c>
      <c r="D4301" s="24">
        <v>45835</v>
      </c>
      <c r="E4301" s="23" t="s">
        <v>13</v>
      </c>
      <c r="F4301" s="23" t="s">
        <v>40</v>
      </c>
      <c r="G4301" s="23" t="s">
        <v>21</v>
      </c>
      <c r="H4301" s="23" t="s">
        <v>22</v>
      </c>
      <c r="I4301" s="23">
        <v>8</v>
      </c>
      <c r="J4301" s="23">
        <v>0</v>
      </c>
      <c r="K4301" s="23">
        <v>4</v>
      </c>
      <c r="L4301" s="23" t="s">
        <v>62</v>
      </c>
      <c r="M4301" s="25">
        <v>6.5</v>
      </c>
      <c r="N4301">
        <f t="shared" si="67"/>
        <v>1</v>
      </c>
    </row>
    <row r="4302" spans="1:14" x14ac:dyDescent="0.35">
      <c r="A4302" s="6" t="s">
        <v>4372</v>
      </c>
      <c r="B4302" s="19" t="s">
        <v>51</v>
      </c>
      <c r="C4302" s="19">
        <v>5</v>
      </c>
      <c r="D4302" s="20">
        <v>45779</v>
      </c>
      <c r="E4302" s="19" t="s">
        <v>13</v>
      </c>
      <c r="F4302" s="19" t="s">
        <v>26</v>
      </c>
      <c r="G4302" s="19" t="s">
        <v>31</v>
      </c>
      <c r="H4302" s="19" t="s">
        <v>28</v>
      </c>
      <c r="I4302" s="19">
        <v>8</v>
      </c>
      <c r="J4302" s="19">
        <v>1</v>
      </c>
      <c r="K4302" s="19">
        <v>3</v>
      </c>
      <c r="L4302" s="19" t="s">
        <v>44</v>
      </c>
      <c r="M4302" s="21">
        <v>16.7</v>
      </c>
      <c r="N4302">
        <f t="shared" si="67"/>
        <v>0</v>
      </c>
    </row>
    <row r="4303" spans="1:14" x14ac:dyDescent="0.35">
      <c r="A4303" s="22" t="s">
        <v>4373</v>
      </c>
      <c r="B4303" s="23" t="s">
        <v>49</v>
      </c>
      <c r="C4303" s="23">
        <v>5</v>
      </c>
      <c r="D4303" s="24">
        <v>45808</v>
      </c>
      <c r="E4303" s="23" t="s">
        <v>25</v>
      </c>
      <c r="F4303" s="23" t="s">
        <v>43</v>
      </c>
      <c r="G4303" s="23" t="s">
        <v>27</v>
      </c>
      <c r="H4303" s="23" t="s">
        <v>28</v>
      </c>
      <c r="I4303" s="23">
        <v>24</v>
      </c>
      <c r="J4303" s="23">
        <v>0</v>
      </c>
      <c r="K4303" s="23">
        <v>5</v>
      </c>
      <c r="L4303" s="23" t="s">
        <v>44</v>
      </c>
      <c r="M4303" s="25">
        <v>10.3</v>
      </c>
      <c r="N4303">
        <f t="shared" si="67"/>
        <v>1</v>
      </c>
    </row>
    <row r="4304" spans="1:14" x14ac:dyDescent="0.35">
      <c r="A4304" s="6" t="s">
        <v>4374</v>
      </c>
      <c r="B4304" s="19" t="s">
        <v>47</v>
      </c>
      <c r="C4304" s="19">
        <v>4</v>
      </c>
      <c r="D4304" s="20">
        <v>45759</v>
      </c>
      <c r="E4304" s="19" t="s">
        <v>13</v>
      </c>
      <c r="F4304" s="19" t="s">
        <v>14</v>
      </c>
      <c r="G4304" s="19" t="s">
        <v>27</v>
      </c>
      <c r="H4304" s="19" t="s">
        <v>16</v>
      </c>
      <c r="I4304" s="19">
        <v>24</v>
      </c>
      <c r="J4304" s="19">
        <v>0</v>
      </c>
      <c r="K4304" s="19">
        <v>4</v>
      </c>
      <c r="L4304" s="19" t="s">
        <v>8363</v>
      </c>
      <c r="M4304" s="21">
        <v>23.7</v>
      </c>
      <c r="N4304">
        <f t="shared" si="67"/>
        <v>1</v>
      </c>
    </row>
    <row r="4305" spans="1:14" x14ac:dyDescent="0.35">
      <c r="A4305" s="22" t="s">
        <v>4375</v>
      </c>
      <c r="B4305" s="23" t="s">
        <v>143</v>
      </c>
      <c r="C4305" s="23">
        <v>11</v>
      </c>
      <c r="D4305" s="24">
        <v>45985</v>
      </c>
      <c r="E4305" s="23" t="s">
        <v>13</v>
      </c>
      <c r="F4305" s="23" t="s">
        <v>14</v>
      </c>
      <c r="G4305" s="23" t="s">
        <v>31</v>
      </c>
      <c r="H4305" s="23" t="s">
        <v>22</v>
      </c>
      <c r="I4305" s="23">
        <v>24</v>
      </c>
      <c r="J4305" s="23">
        <v>3</v>
      </c>
      <c r="K4305" s="23">
        <v>4</v>
      </c>
      <c r="L4305" s="23" t="s">
        <v>33</v>
      </c>
      <c r="M4305" s="25">
        <v>6.7</v>
      </c>
      <c r="N4305">
        <f t="shared" si="67"/>
        <v>1</v>
      </c>
    </row>
    <row r="4306" spans="1:14" x14ac:dyDescent="0.35">
      <c r="A4306" s="6" t="s">
        <v>4376</v>
      </c>
      <c r="B4306" s="19" t="s">
        <v>29</v>
      </c>
      <c r="C4306" s="19">
        <v>4</v>
      </c>
      <c r="D4306" s="20">
        <v>45751</v>
      </c>
      <c r="E4306" s="19" t="s">
        <v>20</v>
      </c>
      <c r="F4306" s="19" t="s">
        <v>14</v>
      </c>
      <c r="G4306" s="19" t="s">
        <v>27</v>
      </c>
      <c r="H4306" s="19" t="s">
        <v>16</v>
      </c>
      <c r="I4306" s="19">
        <v>72</v>
      </c>
      <c r="J4306" s="19">
        <v>0</v>
      </c>
      <c r="K4306" s="19">
        <v>4</v>
      </c>
      <c r="L4306" s="19" t="s">
        <v>8363</v>
      </c>
      <c r="M4306" s="21">
        <v>11.1</v>
      </c>
      <c r="N4306">
        <f t="shared" si="67"/>
        <v>1</v>
      </c>
    </row>
    <row r="4307" spans="1:14" x14ac:dyDescent="0.35">
      <c r="A4307" s="22" t="s">
        <v>4377</v>
      </c>
      <c r="B4307" s="23" t="s">
        <v>69</v>
      </c>
      <c r="C4307" s="23"/>
      <c r="D4307" s="24"/>
      <c r="E4307" s="23" t="s">
        <v>68</v>
      </c>
      <c r="F4307" s="23" t="s">
        <v>43</v>
      </c>
      <c r="G4307" s="23" t="s">
        <v>21</v>
      </c>
      <c r="H4307" s="23" t="s">
        <v>16</v>
      </c>
      <c r="I4307" s="23">
        <v>72</v>
      </c>
      <c r="J4307" s="23">
        <v>0</v>
      </c>
      <c r="K4307" s="23"/>
      <c r="L4307" s="23" t="s">
        <v>44</v>
      </c>
      <c r="M4307" s="25">
        <v>20.7</v>
      </c>
      <c r="N4307">
        <f t="shared" si="67"/>
        <v>1</v>
      </c>
    </row>
    <row r="4308" spans="1:14" x14ac:dyDescent="0.35">
      <c r="A4308" s="6" t="s">
        <v>4378</v>
      </c>
      <c r="B4308" s="19" t="s">
        <v>41</v>
      </c>
      <c r="C4308" s="19">
        <v>4</v>
      </c>
      <c r="D4308" s="20">
        <v>45750</v>
      </c>
      <c r="E4308" s="19" t="s">
        <v>25</v>
      </c>
      <c r="F4308" s="19" t="s">
        <v>37</v>
      </c>
      <c r="G4308" s="19" t="s">
        <v>31</v>
      </c>
      <c r="H4308" s="19" t="s">
        <v>8364</v>
      </c>
      <c r="I4308" s="19">
        <v>4</v>
      </c>
      <c r="J4308" s="19">
        <v>0</v>
      </c>
      <c r="K4308" s="19">
        <v>2</v>
      </c>
      <c r="L4308" s="19" t="s">
        <v>55</v>
      </c>
      <c r="M4308" s="21">
        <v>11.6</v>
      </c>
      <c r="N4308">
        <f t="shared" si="67"/>
        <v>0</v>
      </c>
    </row>
    <row r="4309" spans="1:14" x14ac:dyDescent="0.35">
      <c r="A4309" s="22" t="s">
        <v>4379</v>
      </c>
      <c r="B4309" s="23" t="s">
        <v>78</v>
      </c>
      <c r="C4309" s="23"/>
      <c r="D4309" s="24"/>
      <c r="E4309" s="23" t="s">
        <v>68</v>
      </c>
      <c r="F4309" s="23" t="s">
        <v>8364</v>
      </c>
      <c r="G4309" s="23" t="s">
        <v>15</v>
      </c>
      <c r="H4309" s="23" t="s">
        <v>32</v>
      </c>
      <c r="I4309" s="23">
        <v>8</v>
      </c>
      <c r="J4309" s="23">
        <v>0</v>
      </c>
      <c r="K4309" s="23">
        <v>5</v>
      </c>
      <c r="L4309" s="23" t="s">
        <v>8363</v>
      </c>
      <c r="M4309" s="25">
        <v>8.6999999999999993</v>
      </c>
      <c r="N4309">
        <f t="shared" si="67"/>
        <v>0</v>
      </c>
    </row>
    <row r="4310" spans="1:14" x14ac:dyDescent="0.35">
      <c r="A4310" s="6" t="s">
        <v>4380</v>
      </c>
      <c r="B4310" s="19" t="s">
        <v>97</v>
      </c>
      <c r="C4310" s="19">
        <v>2</v>
      </c>
      <c r="D4310" s="20">
        <v>45700</v>
      </c>
      <c r="E4310" s="19" t="s">
        <v>13</v>
      </c>
      <c r="F4310" s="19" t="s">
        <v>26</v>
      </c>
      <c r="G4310" s="19" t="s">
        <v>21</v>
      </c>
      <c r="H4310" s="19" t="s">
        <v>22</v>
      </c>
      <c r="I4310" s="19">
        <v>8</v>
      </c>
      <c r="J4310" s="19">
        <v>1</v>
      </c>
      <c r="K4310" s="19"/>
      <c r="L4310" s="19" t="s">
        <v>17</v>
      </c>
      <c r="M4310" s="21">
        <v>18.899999999999999</v>
      </c>
      <c r="N4310">
        <f t="shared" si="67"/>
        <v>0</v>
      </c>
    </row>
    <row r="4311" spans="1:14" x14ac:dyDescent="0.35">
      <c r="A4311" s="22" t="s">
        <v>4381</v>
      </c>
      <c r="B4311" s="23" t="s">
        <v>85</v>
      </c>
      <c r="C4311" s="23">
        <v>10</v>
      </c>
      <c r="D4311" s="24">
        <v>45961</v>
      </c>
      <c r="E4311" s="23" t="s">
        <v>20</v>
      </c>
      <c r="F4311" s="23" t="s">
        <v>37</v>
      </c>
      <c r="G4311" s="23" t="s">
        <v>27</v>
      </c>
      <c r="H4311" s="23" t="s">
        <v>32</v>
      </c>
      <c r="I4311" s="23">
        <v>24</v>
      </c>
      <c r="J4311" s="23">
        <v>2</v>
      </c>
      <c r="K4311" s="23">
        <v>3</v>
      </c>
      <c r="L4311" s="23" t="s">
        <v>17</v>
      </c>
      <c r="M4311" s="25">
        <v>2.2999999999999998</v>
      </c>
      <c r="N4311">
        <f t="shared" si="67"/>
        <v>1</v>
      </c>
    </row>
    <row r="4312" spans="1:14" x14ac:dyDescent="0.35">
      <c r="A4312" s="6" t="s">
        <v>4382</v>
      </c>
      <c r="B4312" s="19" t="s">
        <v>126</v>
      </c>
      <c r="C4312" s="19">
        <v>11</v>
      </c>
      <c r="D4312" s="20">
        <v>45965</v>
      </c>
      <c r="E4312" s="19" t="s">
        <v>20</v>
      </c>
      <c r="F4312" s="19" t="s">
        <v>8364</v>
      </c>
      <c r="G4312" s="19" t="s">
        <v>8364</v>
      </c>
      <c r="H4312" s="19" t="s">
        <v>22</v>
      </c>
      <c r="I4312" s="19">
        <v>8</v>
      </c>
      <c r="J4312" s="19">
        <v>0</v>
      </c>
      <c r="K4312" s="19"/>
      <c r="L4312" s="19" t="s">
        <v>33</v>
      </c>
      <c r="M4312" s="21">
        <v>1.1000000000000001</v>
      </c>
      <c r="N4312">
        <f t="shared" si="67"/>
        <v>1</v>
      </c>
    </row>
    <row r="4313" spans="1:14" x14ac:dyDescent="0.35">
      <c r="A4313" s="22" t="s">
        <v>4383</v>
      </c>
      <c r="B4313" s="23" t="s">
        <v>41</v>
      </c>
      <c r="C4313" s="23">
        <v>4</v>
      </c>
      <c r="D4313" s="24">
        <v>45764</v>
      </c>
      <c r="E4313" s="23" t="s">
        <v>20</v>
      </c>
      <c r="F4313" s="23" t="s">
        <v>14</v>
      </c>
      <c r="G4313" s="23" t="s">
        <v>31</v>
      </c>
      <c r="H4313" s="23" t="s">
        <v>8364</v>
      </c>
      <c r="I4313" s="23">
        <v>8</v>
      </c>
      <c r="J4313" s="23"/>
      <c r="K4313" s="23">
        <v>5</v>
      </c>
      <c r="L4313" s="23" t="s">
        <v>33</v>
      </c>
      <c r="M4313" s="25">
        <v>11.8</v>
      </c>
      <c r="N4313">
        <f t="shared" si="67"/>
        <v>0</v>
      </c>
    </row>
    <row r="4314" spans="1:14" x14ac:dyDescent="0.35">
      <c r="A4314" s="6" t="s">
        <v>4384</v>
      </c>
      <c r="B4314" s="19" t="s">
        <v>29</v>
      </c>
      <c r="C4314" s="19">
        <v>10</v>
      </c>
      <c r="D4314" s="20">
        <v>45934</v>
      </c>
      <c r="E4314" s="19" t="s">
        <v>8364</v>
      </c>
      <c r="F4314" s="19" t="s">
        <v>26</v>
      </c>
      <c r="G4314" s="19" t="s">
        <v>27</v>
      </c>
      <c r="H4314" s="19" t="s">
        <v>22</v>
      </c>
      <c r="I4314" s="19">
        <v>4</v>
      </c>
      <c r="J4314" s="19">
        <v>0</v>
      </c>
      <c r="K4314" s="19"/>
      <c r="L4314" s="19" t="s">
        <v>17</v>
      </c>
      <c r="M4314" s="21">
        <v>13</v>
      </c>
      <c r="N4314">
        <f t="shared" si="67"/>
        <v>0</v>
      </c>
    </row>
    <row r="4315" spans="1:14" x14ac:dyDescent="0.35">
      <c r="A4315" s="22" t="s">
        <v>4385</v>
      </c>
      <c r="B4315" s="23" t="s">
        <v>49</v>
      </c>
      <c r="C4315" s="23">
        <v>8</v>
      </c>
      <c r="D4315" s="24">
        <v>45881</v>
      </c>
      <c r="E4315" s="23" t="s">
        <v>20</v>
      </c>
      <c r="F4315" s="23" t="s">
        <v>43</v>
      </c>
      <c r="G4315" s="23" t="s">
        <v>21</v>
      </c>
      <c r="H4315" s="23" t="s">
        <v>32</v>
      </c>
      <c r="I4315" s="23">
        <v>48</v>
      </c>
      <c r="J4315" s="23">
        <v>0</v>
      </c>
      <c r="K4315" s="23">
        <v>2</v>
      </c>
      <c r="L4315" s="23" t="s">
        <v>17</v>
      </c>
      <c r="M4315" s="25">
        <v>12.6</v>
      </c>
      <c r="N4315">
        <f t="shared" si="67"/>
        <v>1</v>
      </c>
    </row>
    <row r="4316" spans="1:14" x14ac:dyDescent="0.35">
      <c r="A4316" s="6" t="s">
        <v>4386</v>
      </c>
      <c r="B4316" s="19" t="s">
        <v>51</v>
      </c>
      <c r="C4316" s="19"/>
      <c r="D4316" s="20"/>
      <c r="E4316" s="19" t="s">
        <v>25</v>
      </c>
      <c r="F4316" s="19" t="s">
        <v>43</v>
      </c>
      <c r="G4316" s="19" t="s">
        <v>21</v>
      </c>
      <c r="H4316" s="19" t="s">
        <v>28</v>
      </c>
      <c r="I4316" s="19">
        <v>72</v>
      </c>
      <c r="J4316" s="19">
        <v>1</v>
      </c>
      <c r="K4316" s="19">
        <v>4</v>
      </c>
      <c r="L4316" s="19" t="s">
        <v>33</v>
      </c>
      <c r="M4316" s="21">
        <v>23.8</v>
      </c>
      <c r="N4316">
        <f t="shared" si="67"/>
        <v>1</v>
      </c>
    </row>
    <row r="4317" spans="1:14" x14ac:dyDescent="0.35">
      <c r="A4317" s="22" t="s">
        <v>4387</v>
      </c>
      <c r="B4317" s="23" t="s">
        <v>87</v>
      </c>
      <c r="C4317" s="23">
        <v>12</v>
      </c>
      <c r="D4317" s="24">
        <v>46001</v>
      </c>
      <c r="E4317" s="23" t="s">
        <v>13</v>
      </c>
      <c r="F4317" s="23" t="s">
        <v>43</v>
      </c>
      <c r="G4317" s="23" t="s">
        <v>31</v>
      </c>
      <c r="H4317" s="23" t="s">
        <v>28</v>
      </c>
      <c r="I4317" s="23">
        <v>8</v>
      </c>
      <c r="J4317" s="23">
        <v>0</v>
      </c>
      <c r="K4317" s="23">
        <v>5</v>
      </c>
      <c r="L4317" s="23" t="s">
        <v>75</v>
      </c>
      <c r="M4317" s="25">
        <v>10.7</v>
      </c>
      <c r="N4317">
        <f t="shared" si="67"/>
        <v>0</v>
      </c>
    </row>
    <row r="4318" spans="1:14" x14ac:dyDescent="0.35">
      <c r="A4318" s="6" t="s">
        <v>4388</v>
      </c>
      <c r="B4318" s="19" t="s">
        <v>92</v>
      </c>
      <c r="C4318" s="19">
        <v>4</v>
      </c>
      <c r="D4318" s="20">
        <v>45748</v>
      </c>
      <c r="E4318" s="19" t="s">
        <v>36</v>
      </c>
      <c r="F4318" s="19" t="s">
        <v>40</v>
      </c>
      <c r="G4318" s="19" t="s">
        <v>21</v>
      </c>
      <c r="H4318" s="19" t="s">
        <v>22</v>
      </c>
      <c r="I4318" s="19">
        <v>72</v>
      </c>
      <c r="J4318" s="19">
        <v>2</v>
      </c>
      <c r="K4318" s="19">
        <v>1</v>
      </c>
      <c r="L4318" s="19" t="s">
        <v>55</v>
      </c>
      <c r="M4318" s="21">
        <v>2.6</v>
      </c>
      <c r="N4318">
        <f t="shared" si="67"/>
        <v>1</v>
      </c>
    </row>
    <row r="4319" spans="1:14" x14ac:dyDescent="0.35">
      <c r="A4319" s="22" t="s">
        <v>4389</v>
      </c>
      <c r="B4319" s="23" t="s">
        <v>18</v>
      </c>
      <c r="C4319" s="23">
        <v>8</v>
      </c>
      <c r="D4319" s="24">
        <v>45892</v>
      </c>
      <c r="E4319" s="23" t="s">
        <v>13</v>
      </c>
      <c r="F4319" s="23" t="s">
        <v>14</v>
      </c>
      <c r="G4319" s="23" t="s">
        <v>27</v>
      </c>
      <c r="H4319" s="23" t="s">
        <v>16</v>
      </c>
      <c r="I4319" s="23">
        <v>72</v>
      </c>
      <c r="J4319" s="23">
        <v>0</v>
      </c>
      <c r="K4319" s="23">
        <v>5</v>
      </c>
      <c r="L4319" s="23" t="s">
        <v>38</v>
      </c>
      <c r="M4319" s="25">
        <v>5.2</v>
      </c>
      <c r="N4319">
        <f t="shared" si="67"/>
        <v>1</v>
      </c>
    </row>
    <row r="4320" spans="1:14" x14ac:dyDescent="0.35">
      <c r="A4320" s="6" t="s">
        <v>4390</v>
      </c>
      <c r="B4320" s="19" t="s">
        <v>104</v>
      </c>
      <c r="C4320" s="19">
        <v>5</v>
      </c>
      <c r="D4320" s="20">
        <v>45781</v>
      </c>
      <c r="E4320" s="19" t="s">
        <v>36</v>
      </c>
      <c r="F4320" s="19" t="s">
        <v>43</v>
      </c>
      <c r="G4320" s="19" t="s">
        <v>21</v>
      </c>
      <c r="H4320" s="19" t="s">
        <v>22</v>
      </c>
      <c r="I4320" s="19">
        <v>24</v>
      </c>
      <c r="J4320" s="19">
        <v>1</v>
      </c>
      <c r="K4320" s="19">
        <v>4</v>
      </c>
      <c r="L4320" s="19" t="s">
        <v>8363</v>
      </c>
      <c r="M4320" s="21">
        <v>6.8</v>
      </c>
      <c r="N4320">
        <f t="shared" si="67"/>
        <v>1</v>
      </c>
    </row>
    <row r="4321" spans="1:14" x14ac:dyDescent="0.35">
      <c r="A4321" s="22" t="s">
        <v>4391</v>
      </c>
      <c r="B4321" s="23" t="s">
        <v>47</v>
      </c>
      <c r="C4321" s="23">
        <v>11</v>
      </c>
      <c r="D4321" s="24">
        <v>45983</v>
      </c>
      <c r="E4321" s="23" t="s">
        <v>8364</v>
      </c>
      <c r="F4321" s="23" t="s">
        <v>40</v>
      </c>
      <c r="G4321" s="23" t="s">
        <v>31</v>
      </c>
      <c r="H4321" s="23" t="s">
        <v>8364</v>
      </c>
      <c r="I4321" s="23">
        <v>72</v>
      </c>
      <c r="J4321" s="23">
        <v>1</v>
      </c>
      <c r="K4321" s="23">
        <v>5</v>
      </c>
      <c r="L4321" s="23" t="s">
        <v>44</v>
      </c>
      <c r="M4321" s="25">
        <v>12.8</v>
      </c>
      <c r="N4321">
        <f t="shared" si="67"/>
        <v>1</v>
      </c>
    </row>
    <row r="4322" spans="1:14" x14ac:dyDescent="0.35">
      <c r="A4322" s="6" t="s">
        <v>4392</v>
      </c>
      <c r="B4322" s="19" t="s">
        <v>45</v>
      </c>
      <c r="C4322" s="19">
        <v>3</v>
      </c>
      <c r="D4322" s="20">
        <v>45740</v>
      </c>
      <c r="E4322" s="19" t="s">
        <v>68</v>
      </c>
      <c r="F4322" s="19" t="s">
        <v>26</v>
      </c>
      <c r="G4322" s="19" t="s">
        <v>27</v>
      </c>
      <c r="H4322" s="19" t="s">
        <v>32</v>
      </c>
      <c r="I4322" s="19">
        <v>48</v>
      </c>
      <c r="J4322" s="19">
        <v>0</v>
      </c>
      <c r="K4322" s="19">
        <v>5</v>
      </c>
      <c r="L4322" s="19" t="s">
        <v>8363</v>
      </c>
      <c r="M4322" s="21">
        <v>66.7</v>
      </c>
      <c r="N4322">
        <f t="shared" si="67"/>
        <v>0</v>
      </c>
    </row>
    <row r="4323" spans="1:14" x14ac:dyDescent="0.35">
      <c r="A4323" s="22" t="s">
        <v>4393</v>
      </c>
      <c r="B4323" s="23" t="s">
        <v>49</v>
      </c>
      <c r="C4323" s="23">
        <v>1</v>
      </c>
      <c r="D4323" s="24">
        <v>45663</v>
      </c>
      <c r="E4323" s="23" t="s">
        <v>36</v>
      </c>
      <c r="F4323" s="23" t="s">
        <v>14</v>
      </c>
      <c r="G4323" s="23" t="s">
        <v>31</v>
      </c>
      <c r="H4323" s="23" t="s">
        <v>8364</v>
      </c>
      <c r="I4323" s="23">
        <v>72</v>
      </c>
      <c r="J4323" s="23">
        <v>0</v>
      </c>
      <c r="K4323" s="23">
        <v>3</v>
      </c>
      <c r="L4323" s="23" t="s">
        <v>17</v>
      </c>
      <c r="M4323" s="25">
        <v>5.5</v>
      </c>
      <c r="N4323">
        <f t="shared" si="67"/>
        <v>1</v>
      </c>
    </row>
    <row r="4324" spans="1:14" x14ac:dyDescent="0.35">
      <c r="A4324" s="6" t="s">
        <v>4394</v>
      </c>
      <c r="B4324" s="19" t="s">
        <v>101</v>
      </c>
      <c r="C4324" s="19">
        <v>8</v>
      </c>
      <c r="D4324" s="20">
        <v>45892</v>
      </c>
      <c r="E4324" s="19" t="s">
        <v>68</v>
      </c>
      <c r="F4324" s="19" t="s">
        <v>14</v>
      </c>
      <c r="G4324" s="19" t="s">
        <v>31</v>
      </c>
      <c r="H4324" s="19" t="s">
        <v>32</v>
      </c>
      <c r="I4324" s="19">
        <v>8</v>
      </c>
      <c r="J4324" s="19">
        <v>0</v>
      </c>
      <c r="K4324" s="19">
        <v>2</v>
      </c>
      <c r="L4324" s="19" t="s">
        <v>38</v>
      </c>
      <c r="M4324" s="21">
        <v>27.6</v>
      </c>
      <c r="N4324">
        <f t="shared" si="67"/>
        <v>0</v>
      </c>
    </row>
    <row r="4325" spans="1:14" x14ac:dyDescent="0.35">
      <c r="A4325" s="22" t="s">
        <v>4395</v>
      </c>
      <c r="B4325" s="23" t="s">
        <v>89</v>
      </c>
      <c r="C4325" s="23">
        <v>4</v>
      </c>
      <c r="D4325" s="24">
        <v>45754</v>
      </c>
      <c r="E4325" s="23" t="s">
        <v>25</v>
      </c>
      <c r="F4325" s="23" t="s">
        <v>43</v>
      </c>
      <c r="G4325" s="23" t="s">
        <v>31</v>
      </c>
      <c r="H4325" s="23" t="s">
        <v>22</v>
      </c>
      <c r="I4325" s="23">
        <v>24</v>
      </c>
      <c r="J4325" s="23">
        <v>0</v>
      </c>
      <c r="K4325" s="23">
        <v>5</v>
      </c>
      <c r="L4325" s="23" t="s">
        <v>55</v>
      </c>
      <c r="M4325" s="25">
        <v>2.4</v>
      </c>
      <c r="N4325">
        <f t="shared" si="67"/>
        <v>1</v>
      </c>
    </row>
    <row r="4326" spans="1:14" x14ac:dyDescent="0.35">
      <c r="A4326" s="6" t="s">
        <v>4396</v>
      </c>
      <c r="B4326" s="19" t="s">
        <v>34</v>
      </c>
      <c r="C4326" s="19">
        <v>2</v>
      </c>
      <c r="D4326" s="20">
        <v>45706</v>
      </c>
      <c r="E4326" s="19" t="s">
        <v>13</v>
      </c>
      <c r="F4326" s="19" t="s">
        <v>43</v>
      </c>
      <c r="G4326" s="19" t="s">
        <v>27</v>
      </c>
      <c r="H4326" s="19" t="s">
        <v>8364</v>
      </c>
      <c r="I4326" s="19">
        <v>72</v>
      </c>
      <c r="J4326" s="19">
        <v>1</v>
      </c>
      <c r="K4326" s="19">
        <v>4</v>
      </c>
      <c r="L4326" s="19" t="s">
        <v>75</v>
      </c>
      <c r="M4326" s="21">
        <v>21.8</v>
      </c>
      <c r="N4326">
        <f t="shared" si="67"/>
        <v>1</v>
      </c>
    </row>
    <row r="4327" spans="1:14" x14ac:dyDescent="0.35">
      <c r="A4327" s="22" t="s">
        <v>4397</v>
      </c>
      <c r="B4327" s="23" t="s">
        <v>69</v>
      </c>
      <c r="C4327" s="23">
        <v>8</v>
      </c>
      <c r="D4327" s="24">
        <v>45888</v>
      </c>
      <c r="E4327" s="23" t="s">
        <v>13</v>
      </c>
      <c r="F4327" s="23" t="s">
        <v>43</v>
      </c>
      <c r="G4327" s="23" t="s">
        <v>27</v>
      </c>
      <c r="H4327" s="23" t="s">
        <v>28</v>
      </c>
      <c r="I4327" s="23">
        <v>72</v>
      </c>
      <c r="J4327" s="23">
        <v>0</v>
      </c>
      <c r="K4327" s="23">
        <v>4</v>
      </c>
      <c r="L4327" s="23" t="s">
        <v>38</v>
      </c>
      <c r="M4327" s="25">
        <v>10.9</v>
      </c>
      <c r="N4327">
        <f t="shared" si="67"/>
        <v>1</v>
      </c>
    </row>
    <row r="4328" spans="1:14" x14ac:dyDescent="0.35">
      <c r="A4328" s="6" t="s">
        <v>4398</v>
      </c>
      <c r="B4328" s="19" t="s">
        <v>101</v>
      </c>
      <c r="C4328" s="19">
        <v>12</v>
      </c>
      <c r="D4328" s="20">
        <v>46020</v>
      </c>
      <c r="E4328" s="19" t="s">
        <v>25</v>
      </c>
      <c r="F4328" s="19" t="s">
        <v>59</v>
      </c>
      <c r="G4328" s="19" t="s">
        <v>8364</v>
      </c>
      <c r="H4328" s="19" t="s">
        <v>28</v>
      </c>
      <c r="I4328" s="19">
        <v>72</v>
      </c>
      <c r="J4328" s="19">
        <v>0</v>
      </c>
      <c r="K4328" s="19">
        <v>3</v>
      </c>
      <c r="L4328" s="19" t="s">
        <v>75</v>
      </c>
      <c r="M4328" s="21"/>
      <c r="N4328">
        <f t="shared" si="67"/>
        <v>1</v>
      </c>
    </row>
    <row r="4329" spans="1:14" x14ac:dyDescent="0.35">
      <c r="A4329" s="22" t="s">
        <v>4399</v>
      </c>
      <c r="B4329" s="23" t="s">
        <v>101</v>
      </c>
      <c r="C4329" s="23">
        <v>4</v>
      </c>
      <c r="D4329" s="24">
        <v>45761</v>
      </c>
      <c r="E4329" s="23" t="s">
        <v>13</v>
      </c>
      <c r="F4329" s="23" t="s">
        <v>40</v>
      </c>
      <c r="G4329" s="23" t="s">
        <v>21</v>
      </c>
      <c r="H4329" s="23" t="s">
        <v>28</v>
      </c>
      <c r="I4329" s="23">
        <v>72</v>
      </c>
      <c r="J4329" s="23">
        <v>2</v>
      </c>
      <c r="K4329" s="23">
        <v>5</v>
      </c>
      <c r="L4329" s="23" t="s">
        <v>62</v>
      </c>
      <c r="M4329" s="25">
        <v>29.4</v>
      </c>
      <c r="N4329">
        <f t="shared" si="67"/>
        <v>1</v>
      </c>
    </row>
    <row r="4330" spans="1:14" x14ac:dyDescent="0.35">
      <c r="A4330" s="6" t="s">
        <v>4400</v>
      </c>
      <c r="B4330" s="19" t="s">
        <v>81</v>
      </c>
      <c r="C4330" s="19">
        <v>2</v>
      </c>
      <c r="D4330" s="20">
        <v>45702</v>
      </c>
      <c r="E4330" s="19" t="s">
        <v>36</v>
      </c>
      <c r="F4330" s="19" t="s">
        <v>40</v>
      </c>
      <c r="G4330" s="19" t="s">
        <v>31</v>
      </c>
      <c r="H4330" s="19" t="s">
        <v>22</v>
      </c>
      <c r="I4330" s="19">
        <v>4</v>
      </c>
      <c r="J4330" s="19">
        <v>0</v>
      </c>
      <c r="K4330" s="19">
        <v>5</v>
      </c>
      <c r="L4330" s="19" t="s">
        <v>38</v>
      </c>
      <c r="M4330" s="21">
        <v>7.1</v>
      </c>
      <c r="N4330">
        <f t="shared" si="67"/>
        <v>0</v>
      </c>
    </row>
    <row r="4331" spans="1:14" x14ac:dyDescent="0.35">
      <c r="A4331" s="22" t="s">
        <v>4401</v>
      </c>
      <c r="B4331" s="23" t="s">
        <v>65</v>
      </c>
      <c r="C4331" s="23">
        <v>9</v>
      </c>
      <c r="D4331" s="24">
        <v>45930</v>
      </c>
      <c r="E4331" s="23" t="s">
        <v>13</v>
      </c>
      <c r="F4331" s="23" t="s">
        <v>26</v>
      </c>
      <c r="G4331" s="23" t="s">
        <v>15</v>
      </c>
      <c r="H4331" s="23" t="s">
        <v>22</v>
      </c>
      <c r="I4331" s="23">
        <v>8</v>
      </c>
      <c r="J4331" s="23">
        <v>1</v>
      </c>
      <c r="K4331" s="23">
        <v>1</v>
      </c>
      <c r="L4331" s="23" t="s">
        <v>44</v>
      </c>
      <c r="M4331" s="25">
        <v>2.4</v>
      </c>
      <c r="N4331">
        <f t="shared" si="67"/>
        <v>1</v>
      </c>
    </row>
    <row r="4332" spans="1:14" x14ac:dyDescent="0.35">
      <c r="A4332" s="6" t="s">
        <v>4402</v>
      </c>
      <c r="B4332" s="19" t="s">
        <v>87</v>
      </c>
      <c r="C4332" s="19">
        <v>6</v>
      </c>
      <c r="D4332" s="20">
        <v>45837</v>
      </c>
      <c r="E4332" s="19" t="s">
        <v>20</v>
      </c>
      <c r="F4332" s="19" t="s">
        <v>59</v>
      </c>
      <c r="G4332" s="19" t="s">
        <v>31</v>
      </c>
      <c r="H4332" s="19" t="s">
        <v>28</v>
      </c>
      <c r="I4332" s="19">
        <v>72</v>
      </c>
      <c r="J4332" s="19">
        <v>1</v>
      </c>
      <c r="K4332" s="19">
        <v>2</v>
      </c>
      <c r="L4332" s="19" t="s">
        <v>62</v>
      </c>
      <c r="M4332" s="21">
        <v>6.9</v>
      </c>
      <c r="N4332">
        <f t="shared" si="67"/>
        <v>1</v>
      </c>
    </row>
    <row r="4333" spans="1:14" x14ac:dyDescent="0.35">
      <c r="A4333" s="22" t="s">
        <v>4403</v>
      </c>
      <c r="B4333" s="23" t="s">
        <v>253</v>
      </c>
      <c r="C4333" s="23">
        <v>5</v>
      </c>
      <c r="D4333" s="24">
        <v>45786</v>
      </c>
      <c r="E4333" s="23" t="s">
        <v>13</v>
      </c>
      <c r="F4333" s="23" t="s">
        <v>37</v>
      </c>
      <c r="G4333" s="23" t="s">
        <v>27</v>
      </c>
      <c r="H4333" s="23" t="s">
        <v>22</v>
      </c>
      <c r="I4333" s="23">
        <v>48</v>
      </c>
      <c r="J4333" s="23">
        <v>0</v>
      </c>
      <c r="K4333" s="23">
        <v>3</v>
      </c>
      <c r="L4333" s="23" t="s">
        <v>8363</v>
      </c>
      <c r="M4333" s="25">
        <v>13.5</v>
      </c>
      <c r="N4333">
        <f t="shared" si="67"/>
        <v>1</v>
      </c>
    </row>
    <row r="4334" spans="1:14" x14ac:dyDescent="0.35">
      <c r="A4334" s="6" t="s">
        <v>4404</v>
      </c>
      <c r="B4334" s="19" t="s">
        <v>89</v>
      </c>
      <c r="C4334" s="19">
        <v>1</v>
      </c>
      <c r="D4334" s="20">
        <v>45682</v>
      </c>
      <c r="E4334" s="19" t="s">
        <v>8364</v>
      </c>
      <c r="F4334" s="19" t="s">
        <v>14</v>
      </c>
      <c r="G4334" s="19" t="s">
        <v>31</v>
      </c>
      <c r="H4334" s="19" t="s">
        <v>8364</v>
      </c>
      <c r="I4334" s="19">
        <v>8</v>
      </c>
      <c r="J4334" s="19">
        <v>2</v>
      </c>
      <c r="K4334" s="19">
        <v>5</v>
      </c>
      <c r="L4334" s="19" t="s">
        <v>33</v>
      </c>
      <c r="M4334" s="21">
        <v>15.4</v>
      </c>
      <c r="N4334">
        <f t="shared" si="67"/>
        <v>0</v>
      </c>
    </row>
    <row r="4335" spans="1:14" x14ac:dyDescent="0.35">
      <c r="A4335" s="22" t="s">
        <v>4405</v>
      </c>
      <c r="B4335" s="23" t="s">
        <v>47</v>
      </c>
      <c r="C4335" s="23">
        <v>12</v>
      </c>
      <c r="D4335" s="24">
        <v>45999</v>
      </c>
      <c r="E4335" s="23" t="s">
        <v>13</v>
      </c>
      <c r="F4335" s="23" t="s">
        <v>37</v>
      </c>
      <c r="G4335" s="23" t="s">
        <v>15</v>
      </c>
      <c r="H4335" s="23" t="s">
        <v>8364</v>
      </c>
      <c r="I4335" s="23">
        <v>72</v>
      </c>
      <c r="J4335" s="23">
        <v>1</v>
      </c>
      <c r="K4335" s="23">
        <v>5</v>
      </c>
      <c r="L4335" s="23" t="s">
        <v>8363</v>
      </c>
      <c r="M4335" s="25">
        <v>21.9</v>
      </c>
      <c r="N4335">
        <f t="shared" si="67"/>
        <v>1</v>
      </c>
    </row>
    <row r="4336" spans="1:14" x14ac:dyDescent="0.35">
      <c r="A4336" s="6" t="s">
        <v>4406</v>
      </c>
      <c r="B4336" s="19" t="s">
        <v>81</v>
      </c>
      <c r="C4336" s="19">
        <v>7</v>
      </c>
      <c r="D4336" s="20">
        <v>45851</v>
      </c>
      <c r="E4336" s="19" t="s">
        <v>13</v>
      </c>
      <c r="F4336" s="19" t="s">
        <v>8364</v>
      </c>
      <c r="G4336" s="19" t="s">
        <v>27</v>
      </c>
      <c r="H4336" s="19" t="s">
        <v>22</v>
      </c>
      <c r="I4336" s="19">
        <v>8</v>
      </c>
      <c r="J4336" s="19">
        <v>1</v>
      </c>
      <c r="K4336" s="19">
        <v>5</v>
      </c>
      <c r="L4336" s="19" t="s">
        <v>55</v>
      </c>
      <c r="M4336" s="21">
        <v>1.7</v>
      </c>
      <c r="N4336">
        <f t="shared" si="67"/>
        <v>1</v>
      </c>
    </row>
    <row r="4337" spans="1:14" x14ac:dyDescent="0.35">
      <c r="A4337" s="22" t="s">
        <v>4407</v>
      </c>
      <c r="B4337" s="23" t="s">
        <v>99</v>
      </c>
      <c r="C4337" s="23">
        <v>8</v>
      </c>
      <c r="D4337" s="24">
        <v>45900</v>
      </c>
      <c r="E4337" s="23" t="s">
        <v>68</v>
      </c>
      <c r="F4337" s="23" t="s">
        <v>40</v>
      </c>
      <c r="G4337" s="23" t="s">
        <v>31</v>
      </c>
      <c r="H4337" s="23" t="s">
        <v>28</v>
      </c>
      <c r="I4337" s="23">
        <v>8</v>
      </c>
      <c r="J4337" s="23">
        <v>0</v>
      </c>
      <c r="K4337" s="23">
        <v>2</v>
      </c>
      <c r="L4337" s="23" t="s">
        <v>55</v>
      </c>
      <c r="M4337" s="25">
        <v>7.4</v>
      </c>
      <c r="N4337">
        <f t="shared" si="67"/>
        <v>1</v>
      </c>
    </row>
    <row r="4338" spans="1:14" x14ac:dyDescent="0.35">
      <c r="A4338" s="6" t="s">
        <v>4408</v>
      </c>
      <c r="B4338" s="19" t="s">
        <v>126</v>
      </c>
      <c r="C4338" s="19">
        <v>3</v>
      </c>
      <c r="D4338" s="20">
        <v>45725</v>
      </c>
      <c r="E4338" s="19" t="s">
        <v>25</v>
      </c>
      <c r="F4338" s="19" t="s">
        <v>14</v>
      </c>
      <c r="G4338" s="19" t="s">
        <v>31</v>
      </c>
      <c r="H4338" s="19" t="s">
        <v>22</v>
      </c>
      <c r="I4338" s="19">
        <v>4</v>
      </c>
      <c r="J4338" s="19">
        <v>2</v>
      </c>
      <c r="K4338" s="19">
        <v>3</v>
      </c>
      <c r="L4338" s="19" t="s">
        <v>38</v>
      </c>
      <c r="M4338" s="21">
        <v>18</v>
      </c>
      <c r="N4338">
        <f t="shared" si="67"/>
        <v>0</v>
      </c>
    </row>
    <row r="4339" spans="1:14" x14ac:dyDescent="0.35">
      <c r="A4339" s="22" t="s">
        <v>4409</v>
      </c>
      <c r="B4339" s="23" t="s">
        <v>97</v>
      </c>
      <c r="C4339" s="23">
        <v>11</v>
      </c>
      <c r="D4339" s="24">
        <v>45977</v>
      </c>
      <c r="E4339" s="23" t="s">
        <v>13</v>
      </c>
      <c r="F4339" s="23" t="s">
        <v>59</v>
      </c>
      <c r="G4339" s="23" t="s">
        <v>8364</v>
      </c>
      <c r="H4339" s="23" t="s">
        <v>22</v>
      </c>
      <c r="I4339" s="23">
        <v>8</v>
      </c>
      <c r="J4339" s="23">
        <v>0</v>
      </c>
      <c r="K4339" s="23">
        <v>5</v>
      </c>
      <c r="L4339" s="23" t="s">
        <v>33</v>
      </c>
      <c r="M4339" s="25">
        <v>8.8000000000000007</v>
      </c>
      <c r="N4339">
        <f t="shared" si="67"/>
        <v>0</v>
      </c>
    </row>
    <row r="4340" spans="1:14" x14ac:dyDescent="0.35">
      <c r="A4340" s="6" t="s">
        <v>4410</v>
      </c>
      <c r="B4340" s="19" t="s">
        <v>104</v>
      </c>
      <c r="C4340" s="19">
        <v>6</v>
      </c>
      <c r="D4340" s="20">
        <v>45827</v>
      </c>
      <c r="E4340" s="19" t="s">
        <v>25</v>
      </c>
      <c r="F4340" s="19" t="s">
        <v>43</v>
      </c>
      <c r="G4340" s="19" t="s">
        <v>8364</v>
      </c>
      <c r="H4340" s="19" t="s">
        <v>22</v>
      </c>
      <c r="I4340" s="19">
        <v>24</v>
      </c>
      <c r="J4340" s="19">
        <v>0</v>
      </c>
      <c r="K4340" s="19">
        <v>4</v>
      </c>
      <c r="L4340" s="19" t="s">
        <v>75</v>
      </c>
      <c r="M4340" s="21">
        <v>3</v>
      </c>
      <c r="N4340">
        <f t="shared" si="67"/>
        <v>1</v>
      </c>
    </row>
    <row r="4341" spans="1:14" x14ac:dyDescent="0.35">
      <c r="A4341" s="22" t="s">
        <v>4411</v>
      </c>
      <c r="B4341" s="23" t="s">
        <v>104</v>
      </c>
      <c r="C4341" s="23"/>
      <c r="D4341" s="24"/>
      <c r="E4341" s="23" t="s">
        <v>20</v>
      </c>
      <c r="F4341" s="23" t="s">
        <v>26</v>
      </c>
      <c r="G4341" s="23" t="s">
        <v>31</v>
      </c>
      <c r="H4341" s="23" t="s">
        <v>28</v>
      </c>
      <c r="I4341" s="23">
        <v>8</v>
      </c>
      <c r="J4341" s="23">
        <v>0</v>
      </c>
      <c r="K4341" s="23">
        <v>5</v>
      </c>
      <c r="L4341" s="23" t="s">
        <v>8363</v>
      </c>
      <c r="M4341" s="25"/>
      <c r="N4341">
        <f t="shared" si="67"/>
        <v>1</v>
      </c>
    </row>
    <row r="4342" spans="1:14" x14ac:dyDescent="0.35">
      <c r="A4342" s="6" t="s">
        <v>4412</v>
      </c>
      <c r="B4342" s="19" t="s">
        <v>49</v>
      </c>
      <c r="C4342" s="19">
        <v>5</v>
      </c>
      <c r="D4342" s="20">
        <v>45788</v>
      </c>
      <c r="E4342" s="19" t="s">
        <v>68</v>
      </c>
      <c r="F4342" s="19" t="s">
        <v>8364</v>
      </c>
      <c r="G4342" s="19" t="s">
        <v>31</v>
      </c>
      <c r="H4342" s="19" t="s">
        <v>28</v>
      </c>
      <c r="I4342" s="19">
        <v>24</v>
      </c>
      <c r="J4342" s="19">
        <v>0</v>
      </c>
      <c r="K4342" s="19">
        <v>4</v>
      </c>
      <c r="L4342" s="19" t="s">
        <v>55</v>
      </c>
      <c r="M4342" s="21">
        <v>13.4</v>
      </c>
      <c r="N4342">
        <f t="shared" si="67"/>
        <v>1</v>
      </c>
    </row>
    <row r="4343" spans="1:14" x14ac:dyDescent="0.35">
      <c r="A4343" s="22" t="s">
        <v>4413</v>
      </c>
      <c r="B4343" s="23" t="s">
        <v>81</v>
      </c>
      <c r="C4343" s="23">
        <v>7</v>
      </c>
      <c r="D4343" s="24">
        <v>45845</v>
      </c>
      <c r="E4343" s="23" t="s">
        <v>13</v>
      </c>
      <c r="F4343" s="23" t="s">
        <v>43</v>
      </c>
      <c r="G4343" s="23" t="s">
        <v>31</v>
      </c>
      <c r="H4343" s="23" t="s">
        <v>8364</v>
      </c>
      <c r="I4343" s="23">
        <v>48</v>
      </c>
      <c r="J4343" s="23">
        <v>0</v>
      </c>
      <c r="K4343" s="23">
        <v>5</v>
      </c>
      <c r="L4343" s="23" t="s">
        <v>8363</v>
      </c>
      <c r="M4343" s="25">
        <v>12.2</v>
      </c>
      <c r="N4343">
        <f t="shared" si="67"/>
        <v>1</v>
      </c>
    </row>
    <row r="4344" spans="1:14" x14ac:dyDescent="0.35">
      <c r="A4344" s="6" t="s">
        <v>4414</v>
      </c>
      <c r="B4344" s="19" t="s">
        <v>87</v>
      </c>
      <c r="C4344" s="19">
        <v>3</v>
      </c>
      <c r="D4344" s="20">
        <v>45739</v>
      </c>
      <c r="E4344" s="19" t="s">
        <v>13</v>
      </c>
      <c r="F4344" s="19" t="s">
        <v>8364</v>
      </c>
      <c r="G4344" s="19" t="s">
        <v>8364</v>
      </c>
      <c r="H4344" s="19" t="s">
        <v>28</v>
      </c>
      <c r="I4344" s="19">
        <v>48</v>
      </c>
      <c r="J4344" s="19">
        <v>1</v>
      </c>
      <c r="K4344" s="19">
        <v>5</v>
      </c>
      <c r="L4344" s="19" t="s">
        <v>44</v>
      </c>
      <c r="M4344" s="21">
        <v>8.9</v>
      </c>
      <c r="N4344">
        <f t="shared" si="67"/>
        <v>1</v>
      </c>
    </row>
    <row r="4345" spans="1:14" x14ac:dyDescent="0.35">
      <c r="A4345" s="22" t="s">
        <v>4415</v>
      </c>
      <c r="B4345" s="23" t="s">
        <v>34</v>
      </c>
      <c r="C4345" s="23">
        <v>10</v>
      </c>
      <c r="D4345" s="24">
        <v>45940</v>
      </c>
      <c r="E4345" s="23" t="s">
        <v>25</v>
      </c>
      <c r="F4345" s="23" t="s">
        <v>40</v>
      </c>
      <c r="G4345" s="23" t="s">
        <v>21</v>
      </c>
      <c r="H4345" s="23" t="s">
        <v>8364</v>
      </c>
      <c r="I4345" s="23">
        <v>72</v>
      </c>
      <c r="J4345" s="23">
        <v>0</v>
      </c>
      <c r="K4345" s="23">
        <v>3</v>
      </c>
      <c r="L4345" s="23" t="s">
        <v>17</v>
      </c>
      <c r="M4345" s="25">
        <v>22.8</v>
      </c>
      <c r="N4345">
        <f t="shared" si="67"/>
        <v>1</v>
      </c>
    </row>
    <row r="4346" spans="1:14" x14ac:dyDescent="0.35">
      <c r="A4346" s="6" t="s">
        <v>4416</v>
      </c>
      <c r="B4346" s="19" t="s">
        <v>47</v>
      </c>
      <c r="C4346" s="19">
        <v>11</v>
      </c>
      <c r="D4346" s="20">
        <v>45986</v>
      </c>
      <c r="E4346" s="19" t="s">
        <v>25</v>
      </c>
      <c r="F4346" s="19" t="s">
        <v>14</v>
      </c>
      <c r="G4346" s="19" t="s">
        <v>15</v>
      </c>
      <c r="H4346" s="19" t="s">
        <v>8364</v>
      </c>
      <c r="I4346" s="19">
        <v>72</v>
      </c>
      <c r="J4346" s="19">
        <v>0</v>
      </c>
      <c r="K4346" s="19">
        <v>5</v>
      </c>
      <c r="L4346" s="19" t="s">
        <v>62</v>
      </c>
      <c r="M4346" s="21"/>
      <c r="N4346">
        <f t="shared" si="67"/>
        <v>1</v>
      </c>
    </row>
    <row r="4347" spans="1:14" x14ac:dyDescent="0.35">
      <c r="A4347" s="22" t="s">
        <v>4417</v>
      </c>
      <c r="B4347" s="23" t="s">
        <v>89</v>
      </c>
      <c r="C4347" s="23">
        <v>3</v>
      </c>
      <c r="D4347" s="24">
        <v>45729</v>
      </c>
      <c r="E4347" s="23" t="s">
        <v>20</v>
      </c>
      <c r="F4347" s="23" t="s">
        <v>8364</v>
      </c>
      <c r="G4347" s="23" t="s">
        <v>8364</v>
      </c>
      <c r="H4347" s="23" t="s">
        <v>32</v>
      </c>
      <c r="I4347" s="23">
        <v>8</v>
      </c>
      <c r="J4347" s="23">
        <v>0</v>
      </c>
      <c r="K4347" s="23">
        <v>3</v>
      </c>
      <c r="L4347" s="23" t="s">
        <v>8363</v>
      </c>
      <c r="M4347" s="25">
        <v>13.9</v>
      </c>
      <c r="N4347">
        <f t="shared" si="67"/>
        <v>0</v>
      </c>
    </row>
    <row r="4348" spans="1:14" x14ac:dyDescent="0.35">
      <c r="A4348" s="6" t="s">
        <v>4418</v>
      </c>
      <c r="B4348" s="19" t="s">
        <v>130</v>
      </c>
      <c r="C4348" s="19"/>
      <c r="D4348" s="20"/>
      <c r="E4348" s="19" t="s">
        <v>20</v>
      </c>
      <c r="F4348" s="19" t="s">
        <v>14</v>
      </c>
      <c r="G4348" s="19" t="s">
        <v>31</v>
      </c>
      <c r="H4348" s="19" t="s">
        <v>28</v>
      </c>
      <c r="I4348" s="19">
        <v>72</v>
      </c>
      <c r="J4348" s="19"/>
      <c r="K4348" s="19">
        <v>4</v>
      </c>
      <c r="L4348" s="19" t="s">
        <v>75</v>
      </c>
      <c r="M4348" s="21">
        <v>11.4</v>
      </c>
      <c r="N4348">
        <f t="shared" si="67"/>
        <v>1</v>
      </c>
    </row>
    <row r="4349" spans="1:14" x14ac:dyDescent="0.35">
      <c r="A4349" s="22" t="s">
        <v>4419</v>
      </c>
      <c r="B4349" s="23" t="s">
        <v>29</v>
      </c>
      <c r="C4349" s="23">
        <v>5</v>
      </c>
      <c r="D4349" s="24">
        <v>45801</v>
      </c>
      <c r="E4349" s="23" t="s">
        <v>25</v>
      </c>
      <c r="F4349" s="23" t="s">
        <v>43</v>
      </c>
      <c r="G4349" s="23" t="s">
        <v>27</v>
      </c>
      <c r="H4349" s="23" t="s">
        <v>32</v>
      </c>
      <c r="I4349" s="23">
        <v>4</v>
      </c>
      <c r="J4349" s="23">
        <v>0</v>
      </c>
      <c r="K4349" s="23">
        <v>5</v>
      </c>
      <c r="L4349" s="23" t="s">
        <v>17</v>
      </c>
      <c r="M4349" s="25"/>
      <c r="N4349">
        <f t="shared" si="67"/>
        <v>1</v>
      </c>
    </row>
    <row r="4350" spans="1:14" x14ac:dyDescent="0.35">
      <c r="A4350" s="6" t="s">
        <v>4420</v>
      </c>
      <c r="B4350" s="19" t="s">
        <v>99</v>
      </c>
      <c r="C4350" s="19">
        <v>8</v>
      </c>
      <c r="D4350" s="20">
        <v>45898</v>
      </c>
      <c r="E4350" s="19" t="s">
        <v>20</v>
      </c>
      <c r="F4350" s="19" t="s">
        <v>8364</v>
      </c>
      <c r="G4350" s="19" t="s">
        <v>15</v>
      </c>
      <c r="H4350" s="19" t="s">
        <v>16</v>
      </c>
      <c r="I4350" s="19">
        <v>72</v>
      </c>
      <c r="J4350" s="19">
        <v>0</v>
      </c>
      <c r="K4350" s="19">
        <v>4</v>
      </c>
      <c r="L4350" s="19" t="s">
        <v>62</v>
      </c>
      <c r="M4350" s="21">
        <v>7.5</v>
      </c>
      <c r="N4350">
        <f t="shared" si="67"/>
        <v>1</v>
      </c>
    </row>
    <row r="4351" spans="1:14" x14ac:dyDescent="0.35">
      <c r="A4351" s="22" t="s">
        <v>4421</v>
      </c>
      <c r="B4351" s="23" t="s">
        <v>101</v>
      </c>
      <c r="C4351" s="23">
        <v>6</v>
      </c>
      <c r="D4351" s="24">
        <v>45826</v>
      </c>
      <c r="E4351" s="23" t="s">
        <v>36</v>
      </c>
      <c r="F4351" s="23" t="s">
        <v>14</v>
      </c>
      <c r="G4351" s="23" t="s">
        <v>27</v>
      </c>
      <c r="H4351" s="23" t="s">
        <v>22</v>
      </c>
      <c r="I4351" s="23">
        <v>24</v>
      </c>
      <c r="J4351" s="23">
        <v>1</v>
      </c>
      <c r="K4351" s="23">
        <v>5</v>
      </c>
      <c r="L4351" s="23" t="s">
        <v>17</v>
      </c>
      <c r="M4351" s="25">
        <v>9.6999999999999993</v>
      </c>
      <c r="N4351">
        <f t="shared" si="67"/>
        <v>1</v>
      </c>
    </row>
    <row r="4352" spans="1:14" x14ac:dyDescent="0.35">
      <c r="A4352" s="6" t="s">
        <v>4422</v>
      </c>
      <c r="B4352" s="19" t="s">
        <v>72</v>
      </c>
      <c r="C4352" s="19">
        <v>5</v>
      </c>
      <c r="D4352" s="20">
        <v>45782</v>
      </c>
      <c r="E4352" s="19" t="s">
        <v>8364</v>
      </c>
      <c r="F4352" s="19" t="s">
        <v>43</v>
      </c>
      <c r="G4352" s="19" t="s">
        <v>15</v>
      </c>
      <c r="H4352" s="19" t="s">
        <v>32</v>
      </c>
      <c r="I4352" s="19">
        <v>72</v>
      </c>
      <c r="J4352" s="19">
        <v>0</v>
      </c>
      <c r="K4352" s="19">
        <v>4</v>
      </c>
      <c r="L4352" s="19" t="s">
        <v>55</v>
      </c>
      <c r="M4352" s="21">
        <v>14.6</v>
      </c>
      <c r="N4352">
        <f t="shared" si="67"/>
        <v>1</v>
      </c>
    </row>
    <row r="4353" spans="1:14" x14ac:dyDescent="0.35">
      <c r="A4353" s="22" t="s">
        <v>4423</v>
      </c>
      <c r="B4353" s="23" t="s">
        <v>57</v>
      </c>
      <c r="C4353" s="23">
        <v>7</v>
      </c>
      <c r="D4353" s="24">
        <v>45846</v>
      </c>
      <c r="E4353" s="23" t="s">
        <v>25</v>
      </c>
      <c r="F4353" s="23" t="s">
        <v>8364</v>
      </c>
      <c r="G4353" s="23" t="s">
        <v>15</v>
      </c>
      <c r="H4353" s="23" t="s">
        <v>22</v>
      </c>
      <c r="I4353" s="23">
        <v>48</v>
      </c>
      <c r="J4353" s="23">
        <v>1</v>
      </c>
      <c r="K4353" s="23">
        <v>5</v>
      </c>
      <c r="L4353" s="23" t="s">
        <v>55</v>
      </c>
      <c r="M4353" s="25">
        <v>5.4</v>
      </c>
      <c r="N4353">
        <f t="shared" si="67"/>
        <v>1</v>
      </c>
    </row>
    <row r="4354" spans="1:14" x14ac:dyDescent="0.35">
      <c r="A4354" s="6" t="s">
        <v>4424</v>
      </c>
      <c r="B4354" s="19" t="s">
        <v>45</v>
      </c>
      <c r="C4354" s="19">
        <v>2</v>
      </c>
      <c r="D4354" s="20">
        <v>45702</v>
      </c>
      <c r="E4354" s="19" t="s">
        <v>25</v>
      </c>
      <c r="F4354" s="19" t="s">
        <v>40</v>
      </c>
      <c r="G4354" s="19" t="s">
        <v>8364</v>
      </c>
      <c r="H4354" s="19" t="s">
        <v>32</v>
      </c>
      <c r="I4354" s="19">
        <v>8</v>
      </c>
      <c r="J4354" s="19">
        <v>1</v>
      </c>
      <c r="K4354" s="19">
        <v>4</v>
      </c>
      <c r="L4354" s="19" t="s">
        <v>33</v>
      </c>
      <c r="M4354" s="21">
        <v>8.1</v>
      </c>
      <c r="N4354">
        <f t="shared" si="67"/>
        <v>0</v>
      </c>
    </row>
    <row r="4355" spans="1:14" x14ac:dyDescent="0.35">
      <c r="A4355" s="22" t="s">
        <v>4425</v>
      </c>
      <c r="B4355" s="23" t="s">
        <v>143</v>
      </c>
      <c r="C4355" s="23">
        <v>3</v>
      </c>
      <c r="D4355" s="24">
        <v>45732</v>
      </c>
      <c r="E4355" s="23" t="s">
        <v>13</v>
      </c>
      <c r="F4355" s="23" t="s">
        <v>37</v>
      </c>
      <c r="G4355" s="23" t="s">
        <v>8364</v>
      </c>
      <c r="H4355" s="23" t="s">
        <v>22</v>
      </c>
      <c r="I4355" s="23">
        <v>72</v>
      </c>
      <c r="J4355" s="23">
        <v>0</v>
      </c>
      <c r="K4355" s="23">
        <v>4</v>
      </c>
      <c r="L4355" s="23" t="s">
        <v>55</v>
      </c>
      <c r="M4355" s="25">
        <v>11.7</v>
      </c>
      <c r="N4355">
        <f t="shared" ref="N4355:N4418" si="68">IF(M4355 &lt;= I4355, 1, 0)</f>
        <v>1</v>
      </c>
    </row>
    <row r="4356" spans="1:14" x14ac:dyDescent="0.35">
      <c r="A4356" s="6" t="s">
        <v>4426</v>
      </c>
      <c r="B4356" s="19" t="s">
        <v>34</v>
      </c>
      <c r="C4356" s="19">
        <v>6</v>
      </c>
      <c r="D4356" s="20">
        <v>45835</v>
      </c>
      <c r="E4356" s="19" t="s">
        <v>8364</v>
      </c>
      <c r="F4356" s="19" t="s">
        <v>26</v>
      </c>
      <c r="G4356" s="19" t="s">
        <v>8364</v>
      </c>
      <c r="H4356" s="19" t="s">
        <v>28</v>
      </c>
      <c r="I4356" s="19">
        <v>4</v>
      </c>
      <c r="J4356" s="19">
        <v>0</v>
      </c>
      <c r="K4356" s="19">
        <v>5</v>
      </c>
      <c r="L4356" s="19" t="s">
        <v>17</v>
      </c>
      <c r="M4356" s="21">
        <v>4.9000000000000004</v>
      </c>
      <c r="N4356">
        <f t="shared" si="68"/>
        <v>0</v>
      </c>
    </row>
    <row r="4357" spans="1:14" x14ac:dyDescent="0.35">
      <c r="A4357" s="22" t="s">
        <v>4427</v>
      </c>
      <c r="B4357" s="23" t="s">
        <v>49</v>
      </c>
      <c r="C4357" s="23">
        <v>6</v>
      </c>
      <c r="D4357" s="24">
        <v>45833</v>
      </c>
      <c r="E4357" s="23" t="s">
        <v>13</v>
      </c>
      <c r="F4357" s="23" t="s">
        <v>8364</v>
      </c>
      <c r="G4357" s="23" t="s">
        <v>27</v>
      </c>
      <c r="H4357" s="23" t="s">
        <v>32</v>
      </c>
      <c r="I4357" s="23">
        <v>8</v>
      </c>
      <c r="J4357" s="23">
        <v>1</v>
      </c>
      <c r="K4357" s="23">
        <v>5</v>
      </c>
      <c r="L4357" s="23" t="s">
        <v>75</v>
      </c>
      <c r="M4357" s="25">
        <v>16.2</v>
      </c>
      <c r="N4357">
        <f t="shared" si="68"/>
        <v>0</v>
      </c>
    </row>
    <row r="4358" spans="1:14" x14ac:dyDescent="0.35">
      <c r="A4358" s="6" t="s">
        <v>4428</v>
      </c>
      <c r="B4358" s="19" t="s">
        <v>81</v>
      </c>
      <c r="C4358" s="19">
        <v>4</v>
      </c>
      <c r="D4358" s="20">
        <v>45776</v>
      </c>
      <c r="E4358" s="19" t="s">
        <v>8364</v>
      </c>
      <c r="F4358" s="19" t="s">
        <v>8364</v>
      </c>
      <c r="G4358" s="19" t="s">
        <v>27</v>
      </c>
      <c r="H4358" s="19" t="s">
        <v>8364</v>
      </c>
      <c r="I4358" s="19">
        <v>24</v>
      </c>
      <c r="J4358" s="19">
        <v>0</v>
      </c>
      <c r="K4358" s="19">
        <v>5</v>
      </c>
      <c r="L4358" s="19" t="s">
        <v>62</v>
      </c>
      <c r="M4358" s="21">
        <v>14.8</v>
      </c>
      <c r="N4358">
        <f t="shared" si="68"/>
        <v>1</v>
      </c>
    </row>
    <row r="4359" spans="1:14" x14ac:dyDescent="0.35">
      <c r="A4359" s="22" t="s">
        <v>4429</v>
      </c>
      <c r="B4359" s="23" t="s">
        <v>130</v>
      </c>
      <c r="C4359" s="23">
        <v>4</v>
      </c>
      <c r="D4359" s="24">
        <v>45748</v>
      </c>
      <c r="E4359" s="23" t="s">
        <v>68</v>
      </c>
      <c r="F4359" s="23" t="s">
        <v>26</v>
      </c>
      <c r="G4359" s="23" t="s">
        <v>31</v>
      </c>
      <c r="H4359" s="23" t="s">
        <v>8364</v>
      </c>
      <c r="I4359" s="23">
        <v>72</v>
      </c>
      <c r="J4359" s="23">
        <v>0</v>
      </c>
      <c r="K4359" s="23">
        <v>3</v>
      </c>
      <c r="L4359" s="23" t="s">
        <v>38</v>
      </c>
      <c r="M4359" s="25">
        <v>18.3</v>
      </c>
      <c r="N4359">
        <f t="shared" si="68"/>
        <v>1</v>
      </c>
    </row>
    <row r="4360" spans="1:14" x14ac:dyDescent="0.35">
      <c r="A4360" s="6" t="s">
        <v>4430</v>
      </c>
      <c r="B4360" s="19" t="s">
        <v>85</v>
      </c>
      <c r="C4360" s="19">
        <v>2</v>
      </c>
      <c r="D4360" s="20">
        <v>45711</v>
      </c>
      <c r="E4360" s="19" t="s">
        <v>25</v>
      </c>
      <c r="F4360" s="19" t="s">
        <v>8364</v>
      </c>
      <c r="G4360" s="19" t="s">
        <v>27</v>
      </c>
      <c r="H4360" s="19" t="s">
        <v>28</v>
      </c>
      <c r="I4360" s="19">
        <v>4</v>
      </c>
      <c r="J4360" s="19">
        <v>0</v>
      </c>
      <c r="K4360" s="19">
        <v>3</v>
      </c>
      <c r="L4360" s="19" t="s">
        <v>62</v>
      </c>
      <c r="M4360" s="21">
        <v>0.5</v>
      </c>
      <c r="N4360">
        <f t="shared" si="68"/>
        <v>1</v>
      </c>
    </row>
    <row r="4361" spans="1:14" x14ac:dyDescent="0.35">
      <c r="A4361" s="22" t="s">
        <v>4431</v>
      </c>
      <c r="B4361" s="23" t="s">
        <v>47</v>
      </c>
      <c r="C4361" s="23">
        <v>10</v>
      </c>
      <c r="D4361" s="24">
        <v>45957</v>
      </c>
      <c r="E4361" s="23" t="s">
        <v>25</v>
      </c>
      <c r="F4361" s="23" t="s">
        <v>43</v>
      </c>
      <c r="G4361" s="23" t="s">
        <v>21</v>
      </c>
      <c r="H4361" s="23" t="s">
        <v>22</v>
      </c>
      <c r="I4361" s="23">
        <v>48</v>
      </c>
      <c r="J4361" s="23">
        <v>0</v>
      </c>
      <c r="K4361" s="23">
        <v>2</v>
      </c>
      <c r="L4361" s="23" t="s">
        <v>38</v>
      </c>
      <c r="M4361" s="25">
        <v>17.100000000000001</v>
      </c>
      <c r="N4361">
        <f t="shared" si="68"/>
        <v>1</v>
      </c>
    </row>
    <row r="4362" spans="1:14" x14ac:dyDescent="0.35">
      <c r="A4362" s="6" t="s">
        <v>4432</v>
      </c>
      <c r="B4362" s="19" t="s">
        <v>47</v>
      </c>
      <c r="C4362" s="19">
        <v>6</v>
      </c>
      <c r="D4362" s="20">
        <v>45821</v>
      </c>
      <c r="E4362" s="19" t="s">
        <v>25</v>
      </c>
      <c r="F4362" s="19" t="s">
        <v>59</v>
      </c>
      <c r="G4362" s="19" t="s">
        <v>27</v>
      </c>
      <c r="H4362" s="19" t="s">
        <v>22</v>
      </c>
      <c r="I4362" s="19">
        <v>72</v>
      </c>
      <c r="J4362" s="19">
        <v>0</v>
      </c>
      <c r="K4362" s="19">
        <v>4</v>
      </c>
      <c r="L4362" s="19" t="s">
        <v>33</v>
      </c>
      <c r="M4362" s="21">
        <v>3.9</v>
      </c>
      <c r="N4362">
        <f t="shared" si="68"/>
        <v>1</v>
      </c>
    </row>
    <row r="4363" spans="1:14" x14ac:dyDescent="0.35">
      <c r="A4363" s="22" t="s">
        <v>4433</v>
      </c>
      <c r="B4363" s="23" t="s">
        <v>126</v>
      </c>
      <c r="C4363" s="23">
        <v>8</v>
      </c>
      <c r="D4363" s="24">
        <v>45897</v>
      </c>
      <c r="E4363" s="23" t="s">
        <v>13</v>
      </c>
      <c r="F4363" s="23" t="s">
        <v>40</v>
      </c>
      <c r="G4363" s="23" t="s">
        <v>15</v>
      </c>
      <c r="H4363" s="23" t="s">
        <v>22</v>
      </c>
      <c r="I4363" s="23">
        <v>24</v>
      </c>
      <c r="J4363" s="23">
        <v>0</v>
      </c>
      <c r="K4363" s="23">
        <v>5</v>
      </c>
      <c r="L4363" s="23" t="s">
        <v>38</v>
      </c>
      <c r="M4363" s="25">
        <v>3.1</v>
      </c>
      <c r="N4363">
        <f t="shared" si="68"/>
        <v>1</v>
      </c>
    </row>
    <row r="4364" spans="1:14" x14ac:dyDescent="0.35">
      <c r="A4364" s="6" t="s">
        <v>4434</v>
      </c>
      <c r="B4364" s="19" t="s">
        <v>89</v>
      </c>
      <c r="C4364" s="19">
        <v>7</v>
      </c>
      <c r="D4364" s="20">
        <v>45869</v>
      </c>
      <c r="E4364" s="19" t="s">
        <v>25</v>
      </c>
      <c r="F4364" s="19" t="s">
        <v>26</v>
      </c>
      <c r="G4364" s="19" t="s">
        <v>8364</v>
      </c>
      <c r="H4364" s="19" t="s">
        <v>22</v>
      </c>
      <c r="I4364" s="19">
        <v>72</v>
      </c>
      <c r="J4364" s="19">
        <v>0</v>
      </c>
      <c r="K4364" s="19">
        <v>2</v>
      </c>
      <c r="L4364" s="19" t="s">
        <v>62</v>
      </c>
      <c r="M4364" s="21">
        <v>6.6</v>
      </c>
      <c r="N4364">
        <f t="shared" si="68"/>
        <v>1</v>
      </c>
    </row>
    <row r="4365" spans="1:14" x14ac:dyDescent="0.35">
      <c r="A4365" s="22" t="s">
        <v>4435</v>
      </c>
      <c r="B4365" s="23" t="s">
        <v>89</v>
      </c>
      <c r="C4365" s="23">
        <v>4</v>
      </c>
      <c r="D4365" s="24">
        <v>45755</v>
      </c>
      <c r="E4365" s="23" t="s">
        <v>36</v>
      </c>
      <c r="F4365" s="23" t="s">
        <v>43</v>
      </c>
      <c r="G4365" s="23" t="s">
        <v>27</v>
      </c>
      <c r="H4365" s="23" t="s">
        <v>22</v>
      </c>
      <c r="I4365" s="23">
        <v>48</v>
      </c>
      <c r="J4365" s="23">
        <v>0</v>
      </c>
      <c r="K4365" s="23">
        <v>3</v>
      </c>
      <c r="L4365" s="23" t="s">
        <v>38</v>
      </c>
      <c r="M4365" s="25">
        <v>45.9</v>
      </c>
      <c r="N4365">
        <f t="shared" si="68"/>
        <v>1</v>
      </c>
    </row>
    <row r="4366" spans="1:14" x14ac:dyDescent="0.35">
      <c r="A4366" s="6" t="s">
        <v>4436</v>
      </c>
      <c r="B4366" s="19" t="s">
        <v>130</v>
      </c>
      <c r="C4366" s="19">
        <v>9</v>
      </c>
      <c r="D4366" s="20">
        <v>45911</v>
      </c>
      <c r="E4366" s="19" t="s">
        <v>13</v>
      </c>
      <c r="F4366" s="19" t="s">
        <v>37</v>
      </c>
      <c r="G4366" s="19" t="s">
        <v>15</v>
      </c>
      <c r="H4366" s="19" t="s">
        <v>22</v>
      </c>
      <c r="I4366" s="19">
        <v>24</v>
      </c>
      <c r="J4366" s="19">
        <v>0</v>
      </c>
      <c r="K4366" s="19">
        <v>4</v>
      </c>
      <c r="L4366" s="19" t="s">
        <v>62</v>
      </c>
      <c r="M4366" s="21">
        <v>1.9</v>
      </c>
      <c r="N4366">
        <f t="shared" si="68"/>
        <v>1</v>
      </c>
    </row>
    <row r="4367" spans="1:14" x14ac:dyDescent="0.35">
      <c r="A4367" s="22" t="s">
        <v>4437</v>
      </c>
      <c r="B4367" s="23" t="s">
        <v>51</v>
      </c>
      <c r="C4367" s="23">
        <v>12</v>
      </c>
      <c r="D4367" s="24">
        <v>45993</v>
      </c>
      <c r="E4367" s="23" t="s">
        <v>8364</v>
      </c>
      <c r="F4367" s="23" t="s">
        <v>14</v>
      </c>
      <c r="G4367" s="23" t="s">
        <v>31</v>
      </c>
      <c r="H4367" s="23" t="s">
        <v>32</v>
      </c>
      <c r="I4367" s="23">
        <v>24</v>
      </c>
      <c r="J4367" s="23">
        <v>0</v>
      </c>
      <c r="K4367" s="23">
        <v>5</v>
      </c>
      <c r="L4367" s="23" t="s">
        <v>75</v>
      </c>
      <c r="M4367" s="25"/>
      <c r="N4367">
        <f t="shared" si="68"/>
        <v>1</v>
      </c>
    </row>
    <row r="4368" spans="1:14" x14ac:dyDescent="0.35">
      <c r="A4368" s="6" t="s">
        <v>4438</v>
      </c>
      <c r="B4368" s="19" t="s">
        <v>45</v>
      </c>
      <c r="C4368" s="19">
        <v>5</v>
      </c>
      <c r="D4368" s="20">
        <v>45781</v>
      </c>
      <c r="E4368" s="19" t="s">
        <v>25</v>
      </c>
      <c r="F4368" s="19" t="s">
        <v>37</v>
      </c>
      <c r="G4368" s="19" t="s">
        <v>31</v>
      </c>
      <c r="H4368" s="19" t="s">
        <v>22</v>
      </c>
      <c r="I4368" s="19">
        <v>72</v>
      </c>
      <c r="J4368" s="19">
        <v>0</v>
      </c>
      <c r="K4368" s="19">
        <v>4</v>
      </c>
      <c r="L4368" s="19" t="s">
        <v>17</v>
      </c>
      <c r="M4368" s="21">
        <v>10</v>
      </c>
      <c r="N4368">
        <f t="shared" si="68"/>
        <v>1</v>
      </c>
    </row>
    <row r="4369" spans="1:14" x14ac:dyDescent="0.35">
      <c r="A4369" s="22" t="s">
        <v>4439</v>
      </c>
      <c r="B4369" s="23" t="s">
        <v>81</v>
      </c>
      <c r="C4369" s="23"/>
      <c r="D4369" s="24"/>
      <c r="E4369" s="23" t="s">
        <v>25</v>
      </c>
      <c r="F4369" s="23" t="s">
        <v>37</v>
      </c>
      <c r="G4369" s="23" t="s">
        <v>27</v>
      </c>
      <c r="H4369" s="23" t="s">
        <v>28</v>
      </c>
      <c r="I4369" s="23">
        <v>72</v>
      </c>
      <c r="J4369" s="23">
        <v>0</v>
      </c>
      <c r="K4369" s="23">
        <v>5</v>
      </c>
      <c r="L4369" s="23" t="s">
        <v>62</v>
      </c>
      <c r="M4369" s="25">
        <v>4.5</v>
      </c>
      <c r="N4369">
        <f t="shared" si="68"/>
        <v>1</v>
      </c>
    </row>
    <row r="4370" spans="1:14" x14ac:dyDescent="0.35">
      <c r="A4370" s="6" t="s">
        <v>4440</v>
      </c>
      <c r="B4370" s="19" t="s">
        <v>89</v>
      </c>
      <c r="C4370" s="19">
        <v>10</v>
      </c>
      <c r="D4370" s="20">
        <v>45936</v>
      </c>
      <c r="E4370" s="19" t="s">
        <v>8364</v>
      </c>
      <c r="F4370" s="19" t="s">
        <v>14</v>
      </c>
      <c r="G4370" s="19" t="s">
        <v>8364</v>
      </c>
      <c r="H4370" s="19" t="s">
        <v>28</v>
      </c>
      <c r="I4370" s="19">
        <v>48</v>
      </c>
      <c r="J4370" s="19">
        <v>0</v>
      </c>
      <c r="K4370" s="19">
        <v>3</v>
      </c>
      <c r="L4370" s="19" t="s">
        <v>55</v>
      </c>
      <c r="M4370" s="21"/>
      <c r="N4370">
        <f t="shared" si="68"/>
        <v>1</v>
      </c>
    </row>
    <row r="4371" spans="1:14" x14ac:dyDescent="0.35">
      <c r="A4371" s="22" t="s">
        <v>4441</v>
      </c>
      <c r="B4371" s="23" t="s">
        <v>126</v>
      </c>
      <c r="C4371" s="23">
        <v>10</v>
      </c>
      <c r="D4371" s="24">
        <v>45934</v>
      </c>
      <c r="E4371" s="23" t="s">
        <v>25</v>
      </c>
      <c r="F4371" s="23" t="s">
        <v>59</v>
      </c>
      <c r="G4371" s="23" t="s">
        <v>27</v>
      </c>
      <c r="H4371" s="23" t="s">
        <v>32</v>
      </c>
      <c r="I4371" s="23">
        <v>8</v>
      </c>
      <c r="J4371" s="23">
        <v>0</v>
      </c>
      <c r="K4371" s="23">
        <v>2</v>
      </c>
      <c r="L4371" s="23" t="s">
        <v>8363</v>
      </c>
      <c r="M4371" s="25">
        <v>4.7</v>
      </c>
      <c r="N4371">
        <f t="shared" si="68"/>
        <v>1</v>
      </c>
    </row>
    <row r="4372" spans="1:14" x14ac:dyDescent="0.35">
      <c r="A4372" s="6" t="s">
        <v>4442</v>
      </c>
      <c r="B4372" s="19" t="s">
        <v>29</v>
      </c>
      <c r="C4372" s="19">
        <v>5</v>
      </c>
      <c r="D4372" s="20">
        <v>45785</v>
      </c>
      <c r="E4372" s="19" t="s">
        <v>36</v>
      </c>
      <c r="F4372" s="19" t="s">
        <v>26</v>
      </c>
      <c r="G4372" s="19" t="s">
        <v>31</v>
      </c>
      <c r="H4372" s="19" t="s">
        <v>28</v>
      </c>
      <c r="I4372" s="19">
        <v>8</v>
      </c>
      <c r="J4372" s="19">
        <v>0</v>
      </c>
      <c r="K4372" s="19">
        <v>4</v>
      </c>
      <c r="L4372" s="19" t="s">
        <v>8363</v>
      </c>
      <c r="M4372" s="21">
        <v>4.5</v>
      </c>
      <c r="N4372">
        <f t="shared" si="68"/>
        <v>1</v>
      </c>
    </row>
    <row r="4373" spans="1:14" x14ac:dyDescent="0.35">
      <c r="A4373" s="22" t="s">
        <v>4443</v>
      </c>
      <c r="B4373" s="23" t="s">
        <v>81</v>
      </c>
      <c r="C4373" s="23">
        <v>4</v>
      </c>
      <c r="D4373" s="24">
        <v>45761</v>
      </c>
      <c r="E4373" s="23" t="s">
        <v>20</v>
      </c>
      <c r="F4373" s="23" t="s">
        <v>14</v>
      </c>
      <c r="G4373" s="23" t="s">
        <v>27</v>
      </c>
      <c r="H4373" s="23" t="s">
        <v>22</v>
      </c>
      <c r="I4373" s="23">
        <v>72</v>
      </c>
      <c r="J4373" s="23">
        <v>0</v>
      </c>
      <c r="K4373" s="23">
        <v>5</v>
      </c>
      <c r="L4373" s="23" t="s">
        <v>8363</v>
      </c>
      <c r="M4373" s="25">
        <v>13.9</v>
      </c>
      <c r="N4373">
        <f t="shared" si="68"/>
        <v>1</v>
      </c>
    </row>
    <row r="4374" spans="1:14" x14ac:dyDescent="0.35">
      <c r="A4374" s="6" t="s">
        <v>4444</v>
      </c>
      <c r="B4374" s="19" t="s">
        <v>81</v>
      </c>
      <c r="C4374" s="19">
        <v>10</v>
      </c>
      <c r="D4374" s="20">
        <v>45943</v>
      </c>
      <c r="E4374" s="19" t="s">
        <v>25</v>
      </c>
      <c r="F4374" s="19" t="s">
        <v>43</v>
      </c>
      <c r="G4374" s="19" t="s">
        <v>27</v>
      </c>
      <c r="H4374" s="19" t="s">
        <v>22</v>
      </c>
      <c r="I4374" s="19">
        <v>48</v>
      </c>
      <c r="J4374" s="19">
        <v>0</v>
      </c>
      <c r="K4374" s="19">
        <v>4</v>
      </c>
      <c r="L4374" s="19" t="s">
        <v>75</v>
      </c>
      <c r="M4374" s="21">
        <v>2.9</v>
      </c>
      <c r="N4374">
        <f t="shared" si="68"/>
        <v>1</v>
      </c>
    </row>
    <row r="4375" spans="1:14" x14ac:dyDescent="0.35">
      <c r="A4375" s="22" t="s">
        <v>4445</v>
      </c>
      <c r="B4375" s="23" t="s">
        <v>130</v>
      </c>
      <c r="C4375" s="23">
        <v>9</v>
      </c>
      <c r="D4375" s="24">
        <v>45916</v>
      </c>
      <c r="E4375" s="23" t="s">
        <v>25</v>
      </c>
      <c r="F4375" s="23" t="s">
        <v>43</v>
      </c>
      <c r="G4375" s="23" t="s">
        <v>27</v>
      </c>
      <c r="H4375" s="23" t="s">
        <v>22</v>
      </c>
      <c r="I4375" s="23">
        <v>24</v>
      </c>
      <c r="J4375" s="23">
        <v>0</v>
      </c>
      <c r="K4375" s="23">
        <v>3</v>
      </c>
      <c r="L4375" s="23" t="s">
        <v>55</v>
      </c>
      <c r="M4375" s="25">
        <v>20.5</v>
      </c>
      <c r="N4375">
        <f t="shared" si="68"/>
        <v>1</v>
      </c>
    </row>
    <row r="4376" spans="1:14" x14ac:dyDescent="0.35">
      <c r="A4376" s="6" t="s">
        <v>4446</v>
      </c>
      <c r="B4376" s="19" t="s">
        <v>89</v>
      </c>
      <c r="C4376" s="19">
        <v>6</v>
      </c>
      <c r="D4376" s="20">
        <v>45810</v>
      </c>
      <c r="E4376" s="19" t="s">
        <v>25</v>
      </c>
      <c r="F4376" s="19" t="s">
        <v>59</v>
      </c>
      <c r="G4376" s="19" t="s">
        <v>27</v>
      </c>
      <c r="H4376" s="19" t="s">
        <v>22</v>
      </c>
      <c r="I4376" s="19">
        <v>24</v>
      </c>
      <c r="J4376" s="19">
        <v>0</v>
      </c>
      <c r="K4376" s="19">
        <v>4</v>
      </c>
      <c r="L4376" s="19" t="s">
        <v>38</v>
      </c>
      <c r="M4376" s="21">
        <v>16</v>
      </c>
      <c r="N4376">
        <f t="shared" si="68"/>
        <v>1</v>
      </c>
    </row>
    <row r="4377" spans="1:14" x14ac:dyDescent="0.35">
      <c r="A4377" s="22" t="s">
        <v>4447</v>
      </c>
      <c r="B4377" s="23" t="s">
        <v>126</v>
      </c>
      <c r="C4377" s="23">
        <v>11</v>
      </c>
      <c r="D4377" s="24">
        <v>45963</v>
      </c>
      <c r="E4377" s="23" t="s">
        <v>25</v>
      </c>
      <c r="F4377" s="23" t="s">
        <v>43</v>
      </c>
      <c r="G4377" s="23" t="s">
        <v>27</v>
      </c>
      <c r="H4377" s="23" t="s">
        <v>22</v>
      </c>
      <c r="I4377" s="23">
        <v>48</v>
      </c>
      <c r="J4377" s="23">
        <v>0</v>
      </c>
      <c r="K4377" s="23">
        <v>3</v>
      </c>
      <c r="L4377" s="23" t="s">
        <v>8363</v>
      </c>
      <c r="M4377" s="25">
        <v>8.1999999999999993</v>
      </c>
      <c r="N4377">
        <f t="shared" si="68"/>
        <v>1</v>
      </c>
    </row>
    <row r="4378" spans="1:14" x14ac:dyDescent="0.35">
      <c r="A4378" s="6" t="s">
        <v>4448</v>
      </c>
      <c r="B4378" s="19" t="s">
        <v>81</v>
      </c>
      <c r="C4378" s="19">
        <v>11</v>
      </c>
      <c r="D4378" s="20">
        <v>45967</v>
      </c>
      <c r="E4378" s="19" t="s">
        <v>68</v>
      </c>
      <c r="F4378" s="19" t="s">
        <v>26</v>
      </c>
      <c r="G4378" s="19" t="s">
        <v>31</v>
      </c>
      <c r="H4378" s="19" t="s">
        <v>8364</v>
      </c>
      <c r="I4378" s="19">
        <v>8</v>
      </c>
      <c r="J4378" s="19">
        <v>0</v>
      </c>
      <c r="K4378" s="19">
        <v>5</v>
      </c>
      <c r="L4378" s="19" t="s">
        <v>75</v>
      </c>
      <c r="M4378" s="21">
        <v>3.1</v>
      </c>
      <c r="N4378">
        <f t="shared" si="68"/>
        <v>1</v>
      </c>
    </row>
    <row r="4379" spans="1:14" x14ac:dyDescent="0.35">
      <c r="A4379" s="22" t="s">
        <v>4449</v>
      </c>
      <c r="B4379" s="23" t="s">
        <v>65</v>
      </c>
      <c r="C4379" s="23">
        <v>2</v>
      </c>
      <c r="D4379" s="24">
        <v>45698</v>
      </c>
      <c r="E4379" s="23" t="s">
        <v>13</v>
      </c>
      <c r="F4379" s="23" t="s">
        <v>59</v>
      </c>
      <c r="G4379" s="23" t="s">
        <v>21</v>
      </c>
      <c r="H4379" s="23" t="s">
        <v>16</v>
      </c>
      <c r="I4379" s="23">
        <v>4</v>
      </c>
      <c r="J4379" s="23">
        <v>0</v>
      </c>
      <c r="K4379" s="23"/>
      <c r="L4379" s="23" t="s">
        <v>8363</v>
      </c>
      <c r="M4379" s="25">
        <v>6.7</v>
      </c>
      <c r="N4379">
        <f t="shared" si="68"/>
        <v>0</v>
      </c>
    </row>
    <row r="4380" spans="1:14" x14ac:dyDescent="0.35">
      <c r="A4380" s="6" t="s">
        <v>4450</v>
      </c>
      <c r="B4380" s="19" t="s">
        <v>89</v>
      </c>
      <c r="C4380" s="19">
        <v>3</v>
      </c>
      <c r="D4380" s="20">
        <v>45726</v>
      </c>
      <c r="E4380" s="19" t="s">
        <v>20</v>
      </c>
      <c r="F4380" s="19" t="s">
        <v>14</v>
      </c>
      <c r="G4380" s="19" t="s">
        <v>21</v>
      </c>
      <c r="H4380" s="19" t="s">
        <v>32</v>
      </c>
      <c r="I4380" s="19">
        <v>24</v>
      </c>
      <c r="J4380" s="19">
        <v>0</v>
      </c>
      <c r="K4380" s="19">
        <v>5</v>
      </c>
      <c r="L4380" s="19" t="s">
        <v>44</v>
      </c>
      <c r="M4380" s="21">
        <v>14.1</v>
      </c>
      <c r="N4380">
        <f t="shared" si="68"/>
        <v>1</v>
      </c>
    </row>
    <row r="4381" spans="1:14" x14ac:dyDescent="0.35">
      <c r="A4381" s="22" t="s">
        <v>4451</v>
      </c>
      <c r="B4381" s="23" t="s">
        <v>89</v>
      </c>
      <c r="C4381" s="23">
        <v>10</v>
      </c>
      <c r="D4381" s="24">
        <v>45931</v>
      </c>
      <c r="E4381" s="23" t="s">
        <v>36</v>
      </c>
      <c r="F4381" s="23" t="s">
        <v>59</v>
      </c>
      <c r="G4381" s="23" t="s">
        <v>27</v>
      </c>
      <c r="H4381" s="23" t="s">
        <v>28</v>
      </c>
      <c r="I4381" s="23">
        <v>48</v>
      </c>
      <c r="J4381" s="23">
        <v>0</v>
      </c>
      <c r="K4381" s="23">
        <v>5</v>
      </c>
      <c r="L4381" s="23" t="s">
        <v>62</v>
      </c>
      <c r="M4381" s="25"/>
      <c r="N4381">
        <f t="shared" si="68"/>
        <v>1</v>
      </c>
    </row>
    <row r="4382" spans="1:14" x14ac:dyDescent="0.35">
      <c r="A4382" s="6" t="s">
        <v>4452</v>
      </c>
      <c r="B4382" s="19" t="s">
        <v>126</v>
      </c>
      <c r="C4382" s="19">
        <v>9</v>
      </c>
      <c r="D4382" s="20">
        <v>45929</v>
      </c>
      <c r="E4382" s="19" t="s">
        <v>8364</v>
      </c>
      <c r="F4382" s="19" t="s">
        <v>40</v>
      </c>
      <c r="G4382" s="19" t="s">
        <v>31</v>
      </c>
      <c r="H4382" s="19" t="s">
        <v>22</v>
      </c>
      <c r="I4382" s="19">
        <v>72</v>
      </c>
      <c r="J4382" s="19">
        <v>0</v>
      </c>
      <c r="K4382" s="19">
        <v>5</v>
      </c>
      <c r="L4382" s="19" t="s">
        <v>8363</v>
      </c>
      <c r="M4382" s="21">
        <v>4.8</v>
      </c>
      <c r="N4382">
        <f t="shared" si="68"/>
        <v>1</v>
      </c>
    </row>
    <row r="4383" spans="1:14" x14ac:dyDescent="0.35">
      <c r="A4383" s="22" t="s">
        <v>4453</v>
      </c>
      <c r="B4383" s="23" t="s">
        <v>92</v>
      </c>
      <c r="C4383" s="23">
        <v>4</v>
      </c>
      <c r="D4383" s="24">
        <v>45755</v>
      </c>
      <c r="E4383" s="23" t="s">
        <v>68</v>
      </c>
      <c r="F4383" s="23" t="s">
        <v>40</v>
      </c>
      <c r="G4383" s="23" t="s">
        <v>31</v>
      </c>
      <c r="H4383" s="23" t="s">
        <v>22</v>
      </c>
      <c r="I4383" s="23">
        <v>24</v>
      </c>
      <c r="J4383" s="23">
        <v>0</v>
      </c>
      <c r="K4383" s="23">
        <v>3</v>
      </c>
      <c r="L4383" s="23" t="s">
        <v>8363</v>
      </c>
      <c r="M4383" s="25">
        <v>14</v>
      </c>
      <c r="N4383">
        <f t="shared" si="68"/>
        <v>1</v>
      </c>
    </row>
    <row r="4384" spans="1:14" x14ac:dyDescent="0.35">
      <c r="A4384" s="6" t="s">
        <v>4454</v>
      </c>
      <c r="B4384" s="19" t="s">
        <v>49</v>
      </c>
      <c r="C4384" s="19">
        <v>6</v>
      </c>
      <c r="D4384" s="20">
        <v>45811</v>
      </c>
      <c r="E4384" s="19" t="s">
        <v>68</v>
      </c>
      <c r="F4384" s="19" t="s">
        <v>43</v>
      </c>
      <c r="G4384" s="19" t="s">
        <v>8364</v>
      </c>
      <c r="H4384" s="19" t="s">
        <v>22</v>
      </c>
      <c r="I4384" s="19">
        <v>72</v>
      </c>
      <c r="J4384" s="19">
        <v>2</v>
      </c>
      <c r="K4384" s="19">
        <v>1</v>
      </c>
      <c r="L4384" s="19" t="s">
        <v>62</v>
      </c>
      <c r="M4384" s="21">
        <v>16.899999999999999</v>
      </c>
      <c r="N4384">
        <f t="shared" si="68"/>
        <v>1</v>
      </c>
    </row>
    <row r="4385" spans="1:14" x14ac:dyDescent="0.35">
      <c r="A4385" s="22" t="s">
        <v>4455</v>
      </c>
      <c r="B4385" s="23" t="s">
        <v>108</v>
      </c>
      <c r="C4385" s="23">
        <v>2</v>
      </c>
      <c r="D4385" s="24">
        <v>45699</v>
      </c>
      <c r="E4385" s="23" t="s">
        <v>13</v>
      </c>
      <c r="F4385" s="23" t="s">
        <v>43</v>
      </c>
      <c r="G4385" s="23" t="s">
        <v>15</v>
      </c>
      <c r="H4385" s="23" t="s">
        <v>8364</v>
      </c>
      <c r="I4385" s="23">
        <v>24</v>
      </c>
      <c r="J4385" s="23">
        <v>0</v>
      </c>
      <c r="K4385" s="23">
        <v>5</v>
      </c>
      <c r="L4385" s="23" t="s">
        <v>33</v>
      </c>
      <c r="M4385" s="25">
        <v>9.6999999999999993</v>
      </c>
      <c r="N4385">
        <f t="shared" si="68"/>
        <v>1</v>
      </c>
    </row>
    <row r="4386" spans="1:14" x14ac:dyDescent="0.35">
      <c r="A4386" s="6" t="s">
        <v>4456</v>
      </c>
      <c r="B4386" s="19" t="s">
        <v>99</v>
      </c>
      <c r="C4386" s="19">
        <v>11</v>
      </c>
      <c r="D4386" s="20">
        <v>45988</v>
      </c>
      <c r="E4386" s="19" t="s">
        <v>13</v>
      </c>
      <c r="F4386" s="19" t="s">
        <v>40</v>
      </c>
      <c r="G4386" s="19" t="s">
        <v>31</v>
      </c>
      <c r="H4386" s="19" t="s">
        <v>22</v>
      </c>
      <c r="I4386" s="19">
        <v>8</v>
      </c>
      <c r="J4386" s="19">
        <v>0</v>
      </c>
      <c r="K4386" s="19">
        <v>5</v>
      </c>
      <c r="L4386" s="19" t="s">
        <v>38</v>
      </c>
      <c r="M4386" s="21">
        <v>8.4</v>
      </c>
      <c r="N4386">
        <f t="shared" si="68"/>
        <v>0</v>
      </c>
    </row>
    <row r="4387" spans="1:14" x14ac:dyDescent="0.35">
      <c r="A4387" s="22" t="s">
        <v>4457</v>
      </c>
      <c r="B4387" s="23" t="s">
        <v>89</v>
      </c>
      <c r="C4387" s="23">
        <v>2</v>
      </c>
      <c r="D4387" s="24">
        <v>45716</v>
      </c>
      <c r="E4387" s="23" t="s">
        <v>25</v>
      </c>
      <c r="F4387" s="23" t="s">
        <v>26</v>
      </c>
      <c r="G4387" s="23" t="s">
        <v>15</v>
      </c>
      <c r="H4387" s="23" t="s">
        <v>32</v>
      </c>
      <c r="I4387" s="23">
        <v>4</v>
      </c>
      <c r="J4387" s="23">
        <v>1</v>
      </c>
      <c r="K4387" s="23">
        <v>5</v>
      </c>
      <c r="L4387" s="23" t="s">
        <v>33</v>
      </c>
      <c r="M4387" s="25">
        <v>7.4</v>
      </c>
      <c r="N4387">
        <f t="shared" si="68"/>
        <v>0</v>
      </c>
    </row>
    <row r="4388" spans="1:14" x14ac:dyDescent="0.35">
      <c r="A4388" s="6" t="s">
        <v>4458</v>
      </c>
      <c r="B4388" s="19" t="s">
        <v>101</v>
      </c>
      <c r="C4388" s="19"/>
      <c r="D4388" s="20"/>
      <c r="E4388" s="19" t="s">
        <v>13</v>
      </c>
      <c r="F4388" s="19" t="s">
        <v>37</v>
      </c>
      <c r="G4388" s="19" t="s">
        <v>8364</v>
      </c>
      <c r="H4388" s="19" t="s">
        <v>22</v>
      </c>
      <c r="I4388" s="19">
        <v>4</v>
      </c>
      <c r="J4388" s="19">
        <v>2</v>
      </c>
      <c r="K4388" s="19">
        <v>4</v>
      </c>
      <c r="L4388" s="19" t="s">
        <v>44</v>
      </c>
      <c r="M4388" s="21">
        <v>13.5</v>
      </c>
      <c r="N4388">
        <f t="shared" si="68"/>
        <v>0</v>
      </c>
    </row>
    <row r="4389" spans="1:14" x14ac:dyDescent="0.35">
      <c r="A4389" s="22" t="s">
        <v>4459</v>
      </c>
      <c r="B4389" s="23" t="s">
        <v>72</v>
      </c>
      <c r="C4389" s="23">
        <v>8</v>
      </c>
      <c r="D4389" s="24">
        <v>45872</v>
      </c>
      <c r="E4389" s="23" t="s">
        <v>8364</v>
      </c>
      <c r="F4389" s="23" t="s">
        <v>40</v>
      </c>
      <c r="G4389" s="23" t="s">
        <v>27</v>
      </c>
      <c r="H4389" s="23" t="s">
        <v>16</v>
      </c>
      <c r="I4389" s="23">
        <v>24</v>
      </c>
      <c r="J4389" s="23">
        <v>0</v>
      </c>
      <c r="K4389" s="23">
        <v>4</v>
      </c>
      <c r="L4389" s="23" t="s">
        <v>62</v>
      </c>
      <c r="M4389" s="25">
        <v>24.8</v>
      </c>
      <c r="N4389">
        <f t="shared" si="68"/>
        <v>0</v>
      </c>
    </row>
    <row r="4390" spans="1:14" x14ac:dyDescent="0.35">
      <c r="A4390" s="6" t="s">
        <v>4460</v>
      </c>
      <c r="B4390" s="19" t="s">
        <v>18</v>
      </c>
      <c r="C4390" s="19">
        <v>5</v>
      </c>
      <c r="D4390" s="20">
        <v>45805</v>
      </c>
      <c r="E4390" s="19" t="s">
        <v>20</v>
      </c>
      <c r="F4390" s="19" t="s">
        <v>26</v>
      </c>
      <c r="G4390" s="19" t="s">
        <v>31</v>
      </c>
      <c r="H4390" s="19" t="s">
        <v>22</v>
      </c>
      <c r="I4390" s="19">
        <v>24</v>
      </c>
      <c r="J4390" s="19">
        <v>0</v>
      </c>
      <c r="K4390" s="19">
        <v>4</v>
      </c>
      <c r="L4390" s="19" t="s">
        <v>75</v>
      </c>
      <c r="M4390" s="21">
        <v>1.8</v>
      </c>
      <c r="N4390">
        <f t="shared" si="68"/>
        <v>1</v>
      </c>
    </row>
    <row r="4391" spans="1:14" x14ac:dyDescent="0.35">
      <c r="A4391" s="22" t="s">
        <v>4461</v>
      </c>
      <c r="B4391" s="23" t="s">
        <v>108</v>
      </c>
      <c r="C4391" s="23">
        <v>6</v>
      </c>
      <c r="D4391" s="24">
        <v>45833</v>
      </c>
      <c r="E4391" s="23" t="s">
        <v>13</v>
      </c>
      <c r="F4391" s="23" t="s">
        <v>26</v>
      </c>
      <c r="G4391" s="23" t="s">
        <v>27</v>
      </c>
      <c r="H4391" s="23" t="s">
        <v>16</v>
      </c>
      <c r="I4391" s="23">
        <v>4</v>
      </c>
      <c r="J4391" s="23">
        <v>0</v>
      </c>
      <c r="K4391" s="23">
        <v>5</v>
      </c>
      <c r="L4391" s="23" t="s">
        <v>17</v>
      </c>
      <c r="M4391" s="25">
        <v>4.0999999999999996</v>
      </c>
      <c r="N4391">
        <f t="shared" si="68"/>
        <v>0</v>
      </c>
    </row>
    <row r="4392" spans="1:14" x14ac:dyDescent="0.35">
      <c r="A4392" s="6" t="s">
        <v>4462</v>
      </c>
      <c r="B4392" s="19" t="s">
        <v>57</v>
      </c>
      <c r="C4392" s="19">
        <v>8</v>
      </c>
      <c r="D4392" s="20">
        <v>45881</v>
      </c>
      <c r="E4392" s="19" t="s">
        <v>36</v>
      </c>
      <c r="F4392" s="19" t="s">
        <v>43</v>
      </c>
      <c r="G4392" s="19" t="s">
        <v>15</v>
      </c>
      <c r="H4392" s="19" t="s">
        <v>8364</v>
      </c>
      <c r="I4392" s="19">
        <v>4</v>
      </c>
      <c r="J4392" s="19">
        <v>0</v>
      </c>
      <c r="K4392" s="19">
        <v>5</v>
      </c>
      <c r="L4392" s="19" t="s">
        <v>17</v>
      </c>
      <c r="M4392" s="21">
        <v>16.7</v>
      </c>
      <c r="N4392">
        <f t="shared" si="68"/>
        <v>0</v>
      </c>
    </row>
    <row r="4393" spans="1:14" x14ac:dyDescent="0.35">
      <c r="A4393" s="22" t="s">
        <v>4463</v>
      </c>
      <c r="B4393" s="23" t="s">
        <v>49</v>
      </c>
      <c r="C4393" s="23"/>
      <c r="D4393" s="24"/>
      <c r="E4393" s="23" t="s">
        <v>25</v>
      </c>
      <c r="F4393" s="23" t="s">
        <v>37</v>
      </c>
      <c r="G4393" s="23" t="s">
        <v>15</v>
      </c>
      <c r="H4393" s="23" t="s">
        <v>32</v>
      </c>
      <c r="I4393" s="23">
        <v>72</v>
      </c>
      <c r="J4393" s="23">
        <v>0</v>
      </c>
      <c r="K4393" s="23">
        <v>1</v>
      </c>
      <c r="L4393" s="23" t="s">
        <v>62</v>
      </c>
      <c r="M4393" s="25">
        <v>5.4</v>
      </c>
      <c r="N4393">
        <f t="shared" si="68"/>
        <v>1</v>
      </c>
    </row>
    <row r="4394" spans="1:14" x14ac:dyDescent="0.35">
      <c r="A4394" s="6" t="s">
        <v>4464</v>
      </c>
      <c r="B4394" s="19" t="s">
        <v>97</v>
      </c>
      <c r="C4394" s="19">
        <v>6</v>
      </c>
      <c r="D4394" s="20">
        <v>45815</v>
      </c>
      <c r="E4394" s="19" t="s">
        <v>13</v>
      </c>
      <c r="F4394" s="19" t="s">
        <v>40</v>
      </c>
      <c r="G4394" s="19" t="s">
        <v>15</v>
      </c>
      <c r="H4394" s="19" t="s">
        <v>22</v>
      </c>
      <c r="I4394" s="19">
        <v>24</v>
      </c>
      <c r="J4394" s="19">
        <v>0</v>
      </c>
      <c r="K4394" s="19">
        <v>5</v>
      </c>
      <c r="L4394" s="19" t="s">
        <v>55</v>
      </c>
      <c r="M4394" s="21">
        <v>20.100000000000001</v>
      </c>
      <c r="N4394">
        <f t="shared" si="68"/>
        <v>1</v>
      </c>
    </row>
    <row r="4395" spans="1:14" x14ac:dyDescent="0.35">
      <c r="A4395" s="22" t="s">
        <v>4465</v>
      </c>
      <c r="B4395" s="23" t="s">
        <v>34</v>
      </c>
      <c r="C4395" s="23">
        <v>12</v>
      </c>
      <c r="D4395" s="24">
        <v>45994</v>
      </c>
      <c r="E4395" s="23" t="s">
        <v>13</v>
      </c>
      <c r="F4395" s="23" t="s">
        <v>26</v>
      </c>
      <c r="G4395" s="23" t="s">
        <v>31</v>
      </c>
      <c r="H4395" s="23" t="s">
        <v>22</v>
      </c>
      <c r="I4395" s="23">
        <v>8</v>
      </c>
      <c r="J4395" s="23">
        <v>0</v>
      </c>
      <c r="K4395" s="23">
        <v>1</v>
      </c>
      <c r="L4395" s="23" t="s">
        <v>17</v>
      </c>
      <c r="M4395" s="25">
        <v>6.4</v>
      </c>
      <c r="N4395">
        <f t="shared" si="68"/>
        <v>1</v>
      </c>
    </row>
    <row r="4396" spans="1:14" x14ac:dyDescent="0.35">
      <c r="A4396" s="6" t="s">
        <v>4466</v>
      </c>
      <c r="B4396" s="19" t="s">
        <v>51</v>
      </c>
      <c r="C4396" s="19">
        <v>11</v>
      </c>
      <c r="D4396" s="20">
        <v>45968</v>
      </c>
      <c r="E4396" s="19" t="s">
        <v>8364</v>
      </c>
      <c r="F4396" s="19" t="s">
        <v>37</v>
      </c>
      <c r="G4396" s="19" t="s">
        <v>31</v>
      </c>
      <c r="H4396" s="19" t="s">
        <v>22</v>
      </c>
      <c r="I4396" s="19">
        <v>24</v>
      </c>
      <c r="J4396" s="19">
        <v>1</v>
      </c>
      <c r="K4396" s="19">
        <v>5</v>
      </c>
      <c r="L4396" s="19" t="s">
        <v>62</v>
      </c>
      <c r="M4396" s="21">
        <v>3.8</v>
      </c>
      <c r="N4396">
        <f t="shared" si="68"/>
        <v>1</v>
      </c>
    </row>
    <row r="4397" spans="1:14" x14ac:dyDescent="0.35">
      <c r="A4397" s="22" t="s">
        <v>4467</v>
      </c>
      <c r="B4397" s="23" t="s">
        <v>236</v>
      </c>
      <c r="C4397" s="23">
        <v>3</v>
      </c>
      <c r="D4397" s="24">
        <v>45720</v>
      </c>
      <c r="E4397" s="23" t="s">
        <v>8364</v>
      </c>
      <c r="F4397" s="23" t="s">
        <v>43</v>
      </c>
      <c r="G4397" s="23" t="s">
        <v>31</v>
      </c>
      <c r="H4397" s="23" t="s">
        <v>16</v>
      </c>
      <c r="I4397" s="23">
        <v>24</v>
      </c>
      <c r="J4397" s="23">
        <v>2</v>
      </c>
      <c r="K4397" s="23">
        <v>5</v>
      </c>
      <c r="L4397" s="23" t="s">
        <v>62</v>
      </c>
      <c r="M4397" s="25">
        <v>21.1</v>
      </c>
      <c r="N4397">
        <f t="shared" si="68"/>
        <v>1</v>
      </c>
    </row>
    <row r="4398" spans="1:14" x14ac:dyDescent="0.35">
      <c r="A4398" s="6" t="s">
        <v>4468</v>
      </c>
      <c r="B4398" s="19" t="s">
        <v>18</v>
      </c>
      <c r="C4398" s="19"/>
      <c r="D4398" s="20"/>
      <c r="E4398" s="19" t="s">
        <v>25</v>
      </c>
      <c r="F4398" s="19" t="s">
        <v>43</v>
      </c>
      <c r="G4398" s="19" t="s">
        <v>27</v>
      </c>
      <c r="H4398" s="19" t="s">
        <v>32</v>
      </c>
      <c r="I4398" s="19">
        <v>4</v>
      </c>
      <c r="J4398" s="19">
        <v>0</v>
      </c>
      <c r="K4398" s="19">
        <v>4</v>
      </c>
      <c r="L4398" s="19" t="s">
        <v>44</v>
      </c>
      <c r="M4398" s="21">
        <v>10.4</v>
      </c>
      <c r="N4398">
        <f t="shared" si="68"/>
        <v>0</v>
      </c>
    </row>
    <row r="4399" spans="1:14" x14ac:dyDescent="0.35">
      <c r="A4399" s="22" t="s">
        <v>4469</v>
      </c>
      <c r="B4399" s="23" t="s">
        <v>29</v>
      </c>
      <c r="C4399" s="23">
        <v>4</v>
      </c>
      <c r="D4399" s="24">
        <v>45772</v>
      </c>
      <c r="E4399" s="23" t="s">
        <v>20</v>
      </c>
      <c r="F4399" s="23" t="s">
        <v>8364</v>
      </c>
      <c r="G4399" s="23" t="s">
        <v>15</v>
      </c>
      <c r="H4399" s="23" t="s">
        <v>22</v>
      </c>
      <c r="I4399" s="23">
        <v>72</v>
      </c>
      <c r="J4399" s="23">
        <v>0</v>
      </c>
      <c r="K4399" s="23">
        <v>5</v>
      </c>
      <c r="L4399" s="23" t="s">
        <v>62</v>
      </c>
      <c r="M4399" s="25">
        <v>19.3</v>
      </c>
      <c r="N4399">
        <f t="shared" si="68"/>
        <v>1</v>
      </c>
    </row>
    <row r="4400" spans="1:14" x14ac:dyDescent="0.35">
      <c r="A4400" s="6" t="s">
        <v>4470</v>
      </c>
      <c r="B4400" s="19" t="s">
        <v>49</v>
      </c>
      <c r="C4400" s="19">
        <v>1</v>
      </c>
      <c r="D4400" s="20">
        <v>45673</v>
      </c>
      <c r="E4400" s="19" t="s">
        <v>8364</v>
      </c>
      <c r="F4400" s="19" t="s">
        <v>14</v>
      </c>
      <c r="G4400" s="19" t="s">
        <v>27</v>
      </c>
      <c r="H4400" s="19" t="s">
        <v>22</v>
      </c>
      <c r="I4400" s="19">
        <v>24</v>
      </c>
      <c r="J4400" s="19">
        <v>0</v>
      </c>
      <c r="K4400" s="19">
        <v>3</v>
      </c>
      <c r="L4400" s="19" t="s">
        <v>62</v>
      </c>
      <c r="M4400" s="21">
        <v>7.9</v>
      </c>
      <c r="N4400">
        <f t="shared" si="68"/>
        <v>1</v>
      </c>
    </row>
    <row r="4401" spans="1:14" x14ac:dyDescent="0.35">
      <c r="A4401" s="22" t="s">
        <v>4471</v>
      </c>
      <c r="B4401" s="23" t="s">
        <v>65</v>
      </c>
      <c r="C4401" s="23"/>
      <c r="D4401" s="24"/>
      <c r="E4401" s="23" t="s">
        <v>36</v>
      </c>
      <c r="F4401" s="23" t="s">
        <v>14</v>
      </c>
      <c r="G4401" s="23" t="s">
        <v>8364</v>
      </c>
      <c r="H4401" s="23" t="s">
        <v>28</v>
      </c>
      <c r="I4401" s="23">
        <v>4</v>
      </c>
      <c r="J4401" s="23">
        <v>0</v>
      </c>
      <c r="K4401" s="23">
        <v>4</v>
      </c>
      <c r="L4401" s="23" t="s">
        <v>8363</v>
      </c>
      <c r="M4401" s="25">
        <v>16.899999999999999</v>
      </c>
      <c r="N4401">
        <f t="shared" si="68"/>
        <v>0</v>
      </c>
    </row>
    <row r="4402" spans="1:14" x14ac:dyDescent="0.35">
      <c r="A4402" s="6" t="s">
        <v>4472</v>
      </c>
      <c r="B4402" s="19" t="s">
        <v>139</v>
      </c>
      <c r="C4402" s="19"/>
      <c r="D4402" s="20"/>
      <c r="E4402" s="19" t="s">
        <v>13</v>
      </c>
      <c r="F4402" s="19" t="s">
        <v>26</v>
      </c>
      <c r="G4402" s="19" t="s">
        <v>27</v>
      </c>
      <c r="H4402" s="19" t="s">
        <v>22</v>
      </c>
      <c r="I4402" s="19">
        <v>4</v>
      </c>
      <c r="J4402" s="19">
        <v>2</v>
      </c>
      <c r="K4402" s="19">
        <v>5</v>
      </c>
      <c r="L4402" s="19" t="s">
        <v>38</v>
      </c>
      <c r="M4402" s="21">
        <v>35.4</v>
      </c>
      <c r="N4402">
        <f t="shared" si="68"/>
        <v>0</v>
      </c>
    </row>
    <row r="4403" spans="1:14" x14ac:dyDescent="0.35">
      <c r="A4403" s="22" t="s">
        <v>4473</v>
      </c>
      <c r="B4403" s="23" t="s">
        <v>47</v>
      </c>
      <c r="C4403" s="23">
        <v>3</v>
      </c>
      <c r="D4403" s="24">
        <v>45730</v>
      </c>
      <c r="E4403" s="23" t="s">
        <v>8364</v>
      </c>
      <c r="F4403" s="23" t="s">
        <v>43</v>
      </c>
      <c r="G4403" s="23" t="s">
        <v>31</v>
      </c>
      <c r="H4403" s="23" t="s">
        <v>32</v>
      </c>
      <c r="I4403" s="23">
        <v>72</v>
      </c>
      <c r="J4403" s="23">
        <v>0</v>
      </c>
      <c r="K4403" s="23">
        <v>4</v>
      </c>
      <c r="L4403" s="23" t="s">
        <v>44</v>
      </c>
      <c r="M4403" s="25">
        <v>13.5</v>
      </c>
      <c r="N4403">
        <f t="shared" si="68"/>
        <v>1</v>
      </c>
    </row>
    <row r="4404" spans="1:14" x14ac:dyDescent="0.35">
      <c r="A4404" s="6" t="s">
        <v>4474</v>
      </c>
      <c r="B4404" s="19" t="s">
        <v>72</v>
      </c>
      <c r="C4404" s="19">
        <v>6</v>
      </c>
      <c r="D4404" s="20">
        <v>45825</v>
      </c>
      <c r="E4404" s="19" t="s">
        <v>25</v>
      </c>
      <c r="F4404" s="19" t="s">
        <v>37</v>
      </c>
      <c r="G4404" s="19" t="s">
        <v>21</v>
      </c>
      <c r="H4404" s="19" t="s">
        <v>22</v>
      </c>
      <c r="I4404" s="19">
        <v>4</v>
      </c>
      <c r="J4404" s="19">
        <v>0</v>
      </c>
      <c r="K4404" s="19">
        <v>3</v>
      </c>
      <c r="L4404" s="19" t="s">
        <v>55</v>
      </c>
      <c r="M4404" s="21"/>
      <c r="N4404">
        <f t="shared" si="68"/>
        <v>1</v>
      </c>
    </row>
    <row r="4405" spans="1:14" x14ac:dyDescent="0.35">
      <c r="A4405" s="22" t="s">
        <v>4475</v>
      </c>
      <c r="B4405" s="23" t="s">
        <v>51</v>
      </c>
      <c r="C4405" s="23">
        <v>1</v>
      </c>
      <c r="D4405" s="24">
        <v>45678</v>
      </c>
      <c r="E4405" s="23" t="s">
        <v>68</v>
      </c>
      <c r="F4405" s="23" t="s">
        <v>14</v>
      </c>
      <c r="G4405" s="23" t="s">
        <v>15</v>
      </c>
      <c r="H4405" s="23" t="s">
        <v>22</v>
      </c>
      <c r="I4405" s="23">
        <v>48</v>
      </c>
      <c r="J4405" s="23">
        <v>0</v>
      </c>
      <c r="K4405" s="23">
        <v>4</v>
      </c>
      <c r="L4405" s="23" t="s">
        <v>33</v>
      </c>
      <c r="M4405" s="25">
        <v>17.5</v>
      </c>
      <c r="N4405">
        <f t="shared" si="68"/>
        <v>1</v>
      </c>
    </row>
    <row r="4406" spans="1:14" x14ac:dyDescent="0.35">
      <c r="A4406" s="6" t="s">
        <v>4476</v>
      </c>
      <c r="B4406" s="19" t="s">
        <v>130</v>
      </c>
      <c r="C4406" s="19">
        <v>7</v>
      </c>
      <c r="D4406" s="20">
        <v>45849</v>
      </c>
      <c r="E4406" s="19" t="s">
        <v>25</v>
      </c>
      <c r="F4406" s="19" t="s">
        <v>26</v>
      </c>
      <c r="G4406" s="19" t="s">
        <v>15</v>
      </c>
      <c r="H4406" s="19" t="s">
        <v>32</v>
      </c>
      <c r="I4406" s="19">
        <v>48</v>
      </c>
      <c r="J4406" s="19">
        <v>1</v>
      </c>
      <c r="K4406" s="19">
        <v>4</v>
      </c>
      <c r="L4406" s="19" t="s">
        <v>44</v>
      </c>
      <c r="M4406" s="21">
        <v>2.2000000000000002</v>
      </c>
      <c r="N4406">
        <f t="shared" si="68"/>
        <v>1</v>
      </c>
    </row>
    <row r="4407" spans="1:14" x14ac:dyDescent="0.35">
      <c r="A4407" s="22" t="s">
        <v>4477</v>
      </c>
      <c r="B4407" s="23" t="s">
        <v>89</v>
      </c>
      <c r="C4407" s="23">
        <v>6</v>
      </c>
      <c r="D4407" s="24">
        <v>45824</v>
      </c>
      <c r="E4407" s="23" t="s">
        <v>25</v>
      </c>
      <c r="F4407" s="23" t="s">
        <v>8364</v>
      </c>
      <c r="G4407" s="23" t="s">
        <v>27</v>
      </c>
      <c r="H4407" s="23" t="s">
        <v>32</v>
      </c>
      <c r="I4407" s="23">
        <v>4</v>
      </c>
      <c r="J4407" s="23">
        <v>0</v>
      </c>
      <c r="K4407" s="23">
        <v>5</v>
      </c>
      <c r="L4407" s="23" t="s">
        <v>8363</v>
      </c>
      <c r="M4407" s="25">
        <v>13.3</v>
      </c>
      <c r="N4407">
        <f t="shared" si="68"/>
        <v>0</v>
      </c>
    </row>
    <row r="4408" spans="1:14" x14ac:dyDescent="0.35">
      <c r="A4408" s="6" t="s">
        <v>4478</v>
      </c>
      <c r="B4408" s="19" t="s">
        <v>253</v>
      </c>
      <c r="C4408" s="19">
        <v>4</v>
      </c>
      <c r="D4408" s="20">
        <v>45750</v>
      </c>
      <c r="E4408" s="19" t="s">
        <v>13</v>
      </c>
      <c r="F4408" s="19" t="s">
        <v>26</v>
      </c>
      <c r="G4408" s="19" t="s">
        <v>15</v>
      </c>
      <c r="H4408" s="19" t="s">
        <v>22</v>
      </c>
      <c r="I4408" s="19">
        <v>4</v>
      </c>
      <c r="J4408" s="19">
        <v>0</v>
      </c>
      <c r="K4408" s="19">
        <v>5</v>
      </c>
      <c r="L4408" s="19" t="s">
        <v>8363</v>
      </c>
      <c r="M4408" s="21">
        <v>5.2</v>
      </c>
      <c r="N4408">
        <f t="shared" si="68"/>
        <v>0</v>
      </c>
    </row>
    <row r="4409" spans="1:14" x14ac:dyDescent="0.35">
      <c r="A4409" s="22" t="s">
        <v>4479</v>
      </c>
      <c r="B4409" s="23" t="s">
        <v>72</v>
      </c>
      <c r="C4409" s="23">
        <v>5</v>
      </c>
      <c r="D4409" s="24">
        <v>45787</v>
      </c>
      <c r="E4409" s="23" t="s">
        <v>68</v>
      </c>
      <c r="F4409" s="23" t="s">
        <v>43</v>
      </c>
      <c r="G4409" s="23" t="s">
        <v>21</v>
      </c>
      <c r="H4409" s="23" t="s">
        <v>8364</v>
      </c>
      <c r="I4409" s="23">
        <v>48</v>
      </c>
      <c r="J4409" s="23">
        <v>0</v>
      </c>
      <c r="K4409" s="23">
        <v>5</v>
      </c>
      <c r="L4409" s="23" t="s">
        <v>44</v>
      </c>
      <c r="M4409" s="25">
        <v>37.700000000000003</v>
      </c>
      <c r="N4409">
        <f t="shared" si="68"/>
        <v>1</v>
      </c>
    </row>
    <row r="4410" spans="1:14" x14ac:dyDescent="0.35">
      <c r="A4410" s="6" t="s">
        <v>4480</v>
      </c>
      <c r="B4410" s="19" t="s">
        <v>126</v>
      </c>
      <c r="C4410" s="19">
        <v>1</v>
      </c>
      <c r="D4410" s="20">
        <v>45662</v>
      </c>
      <c r="E4410" s="19" t="s">
        <v>25</v>
      </c>
      <c r="F4410" s="19" t="s">
        <v>59</v>
      </c>
      <c r="G4410" s="19" t="s">
        <v>31</v>
      </c>
      <c r="H4410" s="19" t="s">
        <v>28</v>
      </c>
      <c r="I4410" s="19">
        <v>4</v>
      </c>
      <c r="J4410" s="19">
        <v>0</v>
      </c>
      <c r="K4410" s="19">
        <v>4</v>
      </c>
      <c r="L4410" s="19" t="s">
        <v>38</v>
      </c>
      <c r="M4410" s="21">
        <v>30.4</v>
      </c>
      <c r="N4410">
        <f t="shared" si="68"/>
        <v>0</v>
      </c>
    </row>
    <row r="4411" spans="1:14" x14ac:dyDescent="0.35">
      <c r="A4411" s="22" t="s">
        <v>4481</v>
      </c>
      <c r="B4411" s="23" t="s">
        <v>45</v>
      </c>
      <c r="C4411" s="23">
        <v>6</v>
      </c>
      <c r="D4411" s="24">
        <v>45822</v>
      </c>
      <c r="E4411" s="23" t="s">
        <v>20</v>
      </c>
      <c r="F4411" s="23" t="s">
        <v>43</v>
      </c>
      <c r="G4411" s="23" t="s">
        <v>8364</v>
      </c>
      <c r="H4411" s="23" t="s">
        <v>8364</v>
      </c>
      <c r="I4411" s="23">
        <v>4</v>
      </c>
      <c r="J4411" s="23">
        <v>0</v>
      </c>
      <c r="K4411" s="23">
        <v>4</v>
      </c>
      <c r="L4411" s="23" t="s">
        <v>75</v>
      </c>
      <c r="M4411" s="25">
        <v>4.5</v>
      </c>
      <c r="N4411">
        <f t="shared" si="68"/>
        <v>0</v>
      </c>
    </row>
    <row r="4412" spans="1:14" x14ac:dyDescent="0.35">
      <c r="A4412" s="6" t="s">
        <v>4482</v>
      </c>
      <c r="B4412" s="19" t="s">
        <v>53</v>
      </c>
      <c r="C4412" s="19">
        <v>9</v>
      </c>
      <c r="D4412" s="20">
        <v>45918</v>
      </c>
      <c r="E4412" s="19" t="s">
        <v>25</v>
      </c>
      <c r="F4412" s="19" t="s">
        <v>43</v>
      </c>
      <c r="G4412" s="19" t="s">
        <v>15</v>
      </c>
      <c r="H4412" s="19" t="s">
        <v>32</v>
      </c>
      <c r="I4412" s="19">
        <v>48</v>
      </c>
      <c r="J4412" s="19">
        <v>0</v>
      </c>
      <c r="K4412" s="19">
        <v>5</v>
      </c>
      <c r="L4412" s="19" t="s">
        <v>44</v>
      </c>
      <c r="M4412" s="21">
        <v>1.9</v>
      </c>
      <c r="N4412">
        <f t="shared" si="68"/>
        <v>1</v>
      </c>
    </row>
    <row r="4413" spans="1:14" x14ac:dyDescent="0.35">
      <c r="A4413" s="22" t="s">
        <v>4483</v>
      </c>
      <c r="B4413" s="23" t="s">
        <v>57</v>
      </c>
      <c r="C4413" s="23">
        <v>4</v>
      </c>
      <c r="D4413" s="24">
        <v>45754</v>
      </c>
      <c r="E4413" s="23" t="s">
        <v>36</v>
      </c>
      <c r="F4413" s="23" t="s">
        <v>14</v>
      </c>
      <c r="G4413" s="23" t="s">
        <v>31</v>
      </c>
      <c r="H4413" s="23" t="s">
        <v>22</v>
      </c>
      <c r="I4413" s="23">
        <v>8</v>
      </c>
      <c r="J4413" s="23">
        <v>0</v>
      </c>
      <c r="K4413" s="23">
        <v>3</v>
      </c>
      <c r="L4413" s="23" t="s">
        <v>62</v>
      </c>
      <c r="M4413" s="25">
        <v>3.9</v>
      </c>
      <c r="N4413">
        <f t="shared" si="68"/>
        <v>1</v>
      </c>
    </row>
    <row r="4414" spans="1:14" x14ac:dyDescent="0.35">
      <c r="A4414" s="6" t="s">
        <v>4484</v>
      </c>
      <c r="B4414" s="19" t="s">
        <v>72</v>
      </c>
      <c r="C4414" s="19">
        <v>6</v>
      </c>
      <c r="D4414" s="20">
        <v>45826</v>
      </c>
      <c r="E4414" s="19" t="s">
        <v>25</v>
      </c>
      <c r="F4414" s="19" t="s">
        <v>37</v>
      </c>
      <c r="G4414" s="19" t="s">
        <v>31</v>
      </c>
      <c r="H4414" s="19" t="s">
        <v>28</v>
      </c>
      <c r="I4414" s="19">
        <v>4</v>
      </c>
      <c r="J4414" s="19">
        <v>0</v>
      </c>
      <c r="K4414" s="19"/>
      <c r="L4414" s="19" t="s">
        <v>8363</v>
      </c>
      <c r="M4414" s="21">
        <v>4.7</v>
      </c>
      <c r="N4414">
        <f t="shared" si="68"/>
        <v>0</v>
      </c>
    </row>
    <row r="4415" spans="1:14" x14ac:dyDescent="0.35">
      <c r="A4415" s="22" t="s">
        <v>4485</v>
      </c>
      <c r="B4415" s="23" t="s">
        <v>126</v>
      </c>
      <c r="C4415" s="23">
        <v>10</v>
      </c>
      <c r="D4415" s="24">
        <v>45945</v>
      </c>
      <c r="E4415" s="23" t="s">
        <v>8364</v>
      </c>
      <c r="F4415" s="23" t="s">
        <v>8364</v>
      </c>
      <c r="G4415" s="23" t="s">
        <v>31</v>
      </c>
      <c r="H4415" s="23" t="s">
        <v>22</v>
      </c>
      <c r="I4415" s="23">
        <v>8</v>
      </c>
      <c r="J4415" s="23">
        <v>0</v>
      </c>
      <c r="K4415" s="23">
        <v>2</v>
      </c>
      <c r="L4415" s="23" t="s">
        <v>62</v>
      </c>
      <c r="M4415" s="25">
        <v>6.5</v>
      </c>
      <c r="N4415">
        <f t="shared" si="68"/>
        <v>1</v>
      </c>
    </row>
    <row r="4416" spans="1:14" x14ac:dyDescent="0.35">
      <c r="A4416" s="6" t="s">
        <v>4486</v>
      </c>
      <c r="B4416" s="19" t="s">
        <v>47</v>
      </c>
      <c r="C4416" s="19">
        <v>11</v>
      </c>
      <c r="D4416" s="20">
        <v>45967</v>
      </c>
      <c r="E4416" s="19" t="s">
        <v>25</v>
      </c>
      <c r="F4416" s="19" t="s">
        <v>14</v>
      </c>
      <c r="G4416" s="19" t="s">
        <v>31</v>
      </c>
      <c r="H4416" s="19" t="s">
        <v>32</v>
      </c>
      <c r="I4416" s="19">
        <v>48</v>
      </c>
      <c r="J4416" s="19">
        <v>1</v>
      </c>
      <c r="K4416" s="19">
        <v>1</v>
      </c>
      <c r="L4416" s="19" t="s">
        <v>75</v>
      </c>
      <c r="M4416" s="21">
        <v>16.7</v>
      </c>
      <c r="N4416">
        <f t="shared" si="68"/>
        <v>1</v>
      </c>
    </row>
    <row r="4417" spans="1:14" x14ac:dyDescent="0.35">
      <c r="A4417" s="22" t="s">
        <v>4487</v>
      </c>
      <c r="B4417" s="23" t="s">
        <v>78</v>
      </c>
      <c r="C4417" s="23">
        <v>2</v>
      </c>
      <c r="D4417" s="24">
        <v>45715</v>
      </c>
      <c r="E4417" s="23" t="s">
        <v>25</v>
      </c>
      <c r="F4417" s="23" t="s">
        <v>14</v>
      </c>
      <c r="G4417" s="23" t="s">
        <v>31</v>
      </c>
      <c r="H4417" s="23" t="s">
        <v>22</v>
      </c>
      <c r="I4417" s="23">
        <v>72</v>
      </c>
      <c r="J4417" s="23">
        <v>2</v>
      </c>
      <c r="K4417" s="23"/>
      <c r="L4417" s="23" t="s">
        <v>8363</v>
      </c>
      <c r="M4417" s="25">
        <v>11.9</v>
      </c>
      <c r="N4417">
        <f t="shared" si="68"/>
        <v>1</v>
      </c>
    </row>
    <row r="4418" spans="1:14" x14ac:dyDescent="0.35">
      <c r="A4418" s="6" t="s">
        <v>4488</v>
      </c>
      <c r="B4418" s="19" t="s">
        <v>236</v>
      </c>
      <c r="C4418" s="19">
        <v>1</v>
      </c>
      <c r="D4418" s="20">
        <v>45675</v>
      </c>
      <c r="E4418" s="19" t="s">
        <v>68</v>
      </c>
      <c r="F4418" s="19" t="s">
        <v>43</v>
      </c>
      <c r="G4418" s="19" t="s">
        <v>31</v>
      </c>
      <c r="H4418" s="19" t="s">
        <v>28</v>
      </c>
      <c r="I4418" s="19">
        <v>8</v>
      </c>
      <c r="J4418" s="19">
        <v>0</v>
      </c>
      <c r="K4418" s="19">
        <v>5</v>
      </c>
      <c r="L4418" s="19" t="s">
        <v>44</v>
      </c>
      <c r="M4418" s="21">
        <v>15.8</v>
      </c>
      <c r="N4418">
        <f t="shared" si="68"/>
        <v>0</v>
      </c>
    </row>
    <row r="4419" spans="1:14" x14ac:dyDescent="0.35">
      <c r="A4419" s="22" t="s">
        <v>4489</v>
      </c>
      <c r="B4419" s="23" t="s">
        <v>108</v>
      </c>
      <c r="C4419" s="23">
        <v>12</v>
      </c>
      <c r="D4419" s="24">
        <v>46002</v>
      </c>
      <c r="E4419" s="23" t="s">
        <v>13</v>
      </c>
      <c r="F4419" s="23" t="s">
        <v>26</v>
      </c>
      <c r="G4419" s="23" t="s">
        <v>21</v>
      </c>
      <c r="H4419" s="23" t="s">
        <v>8364</v>
      </c>
      <c r="I4419" s="23">
        <v>24</v>
      </c>
      <c r="J4419" s="23">
        <v>1</v>
      </c>
      <c r="K4419" s="23">
        <v>4</v>
      </c>
      <c r="L4419" s="23" t="s">
        <v>75</v>
      </c>
      <c r="M4419" s="25">
        <v>9.1</v>
      </c>
      <c r="N4419">
        <f t="shared" ref="N4419:N4482" si="69">IF(M4419 &lt;= I4419, 1, 0)</f>
        <v>1</v>
      </c>
    </row>
    <row r="4420" spans="1:14" x14ac:dyDescent="0.35">
      <c r="A4420" s="6" t="s">
        <v>4490</v>
      </c>
      <c r="B4420" s="19" t="s">
        <v>101</v>
      </c>
      <c r="C4420" s="19">
        <v>7</v>
      </c>
      <c r="D4420" s="20">
        <v>45858</v>
      </c>
      <c r="E4420" s="19" t="s">
        <v>25</v>
      </c>
      <c r="F4420" s="19" t="s">
        <v>14</v>
      </c>
      <c r="G4420" s="19" t="s">
        <v>21</v>
      </c>
      <c r="H4420" s="19" t="s">
        <v>32</v>
      </c>
      <c r="I4420" s="19">
        <v>48</v>
      </c>
      <c r="J4420" s="19">
        <v>0</v>
      </c>
      <c r="K4420" s="19">
        <v>4</v>
      </c>
      <c r="L4420" s="19" t="s">
        <v>38</v>
      </c>
      <c r="M4420" s="21"/>
      <c r="N4420">
        <f t="shared" si="69"/>
        <v>1</v>
      </c>
    </row>
    <row r="4421" spans="1:14" x14ac:dyDescent="0.35">
      <c r="A4421" s="22" t="s">
        <v>4491</v>
      </c>
      <c r="B4421" s="23" t="s">
        <v>253</v>
      </c>
      <c r="C4421" s="23">
        <v>1</v>
      </c>
      <c r="D4421" s="24">
        <v>45688</v>
      </c>
      <c r="E4421" s="23" t="s">
        <v>25</v>
      </c>
      <c r="F4421" s="23" t="s">
        <v>8364</v>
      </c>
      <c r="G4421" s="23" t="s">
        <v>31</v>
      </c>
      <c r="H4421" s="23" t="s">
        <v>22</v>
      </c>
      <c r="I4421" s="23">
        <v>72</v>
      </c>
      <c r="J4421" s="23">
        <v>0</v>
      </c>
      <c r="K4421" s="23">
        <v>4</v>
      </c>
      <c r="L4421" s="23" t="s">
        <v>33</v>
      </c>
      <c r="M4421" s="25">
        <v>25</v>
      </c>
      <c r="N4421">
        <f t="shared" si="69"/>
        <v>1</v>
      </c>
    </row>
    <row r="4422" spans="1:14" x14ac:dyDescent="0.35">
      <c r="A4422" s="6" t="s">
        <v>4492</v>
      </c>
      <c r="B4422" s="19" t="s">
        <v>53</v>
      </c>
      <c r="C4422" s="19">
        <v>5</v>
      </c>
      <c r="D4422" s="20">
        <v>45789</v>
      </c>
      <c r="E4422" s="19" t="s">
        <v>36</v>
      </c>
      <c r="F4422" s="19" t="s">
        <v>26</v>
      </c>
      <c r="G4422" s="19" t="s">
        <v>31</v>
      </c>
      <c r="H4422" s="19" t="s">
        <v>32</v>
      </c>
      <c r="I4422" s="19">
        <v>4</v>
      </c>
      <c r="J4422" s="19">
        <v>0</v>
      </c>
      <c r="K4422" s="19">
        <v>4</v>
      </c>
      <c r="L4422" s="19" t="s">
        <v>17</v>
      </c>
      <c r="M4422" s="21">
        <v>22.1</v>
      </c>
      <c r="N4422">
        <f t="shared" si="69"/>
        <v>0</v>
      </c>
    </row>
    <row r="4423" spans="1:14" x14ac:dyDescent="0.35">
      <c r="A4423" s="22" t="s">
        <v>4493</v>
      </c>
      <c r="B4423" s="23" t="s">
        <v>158</v>
      </c>
      <c r="C4423" s="23">
        <v>7</v>
      </c>
      <c r="D4423" s="24">
        <v>45861</v>
      </c>
      <c r="E4423" s="23" t="s">
        <v>25</v>
      </c>
      <c r="F4423" s="23" t="s">
        <v>37</v>
      </c>
      <c r="G4423" s="23" t="s">
        <v>21</v>
      </c>
      <c r="H4423" s="23" t="s">
        <v>22</v>
      </c>
      <c r="I4423" s="23">
        <v>48</v>
      </c>
      <c r="J4423" s="23">
        <v>0</v>
      </c>
      <c r="K4423" s="23">
        <v>3</v>
      </c>
      <c r="L4423" s="23" t="s">
        <v>33</v>
      </c>
      <c r="M4423" s="25">
        <v>12.2</v>
      </c>
      <c r="N4423">
        <f t="shared" si="69"/>
        <v>1</v>
      </c>
    </row>
    <row r="4424" spans="1:14" x14ac:dyDescent="0.35">
      <c r="A4424" s="6" t="s">
        <v>4494</v>
      </c>
      <c r="B4424" s="19" t="s">
        <v>236</v>
      </c>
      <c r="C4424" s="19">
        <v>1</v>
      </c>
      <c r="D4424" s="20">
        <v>45680</v>
      </c>
      <c r="E4424" s="19" t="s">
        <v>68</v>
      </c>
      <c r="F4424" s="19" t="s">
        <v>14</v>
      </c>
      <c r="G4424" s="19" t="s">
        <v>27</v>
      </c>
      <c r="H4424" s="19" t="s">
        <v>22</v>
      </c>
      <c r="I4424" s="19">
        <v>24</v>
      </c>
      <c r="J4424" s="19">
        <v>1</v>
      </c>
      <c r="K4424" s="19">
        <v>4</v>
      </c>
      <c r="L4424" s="19" t="s">
        <v>8363</v>
      </c>
      <c r="M4424" s="21">
        <v>11.9</v>
      </c>
      <c r="N4424">
        <f t="shared" si="69"/>
        <v>1</v>
      </c>
    </row>
    <row r="4425" spans="1:14" x14ac:dyDescent="0.35">
      <c r="A4425" s="22" t="s">
        <v>4495</v>
      </c>
      <c r="B4425" s="23" t="s">
        <v>236</v>
      </c>
      <c r="C4425" s="23">
        <v>3</v>
      </c>
      <c r="D4425" s="24">
        <v>45746</v>
      </c>
      <c r="E4425" s="23" t="s">
        <v>68</v>
      </c>
      <c r="F4425" s="23" t="s">
        <v>59</v>
      </c>
      <c r="G4425" s="23" t="s">
        <v>31</v>
      </c>
      <c r="H4425" s="23" t="s">
        <v>28</v>
      </c>
      <c r="I4425" s="23">
        <v>4</v>
      </c>
      <c r="J4425" s="23">
        <v>0</v>
      </c>
      <c r="K4425" s="23">
        <v>5</v>
      </c>
      <c r="L4425" s="23" t="s">
        <v>8363</v>
      </c>
      <c r="M4425" s="25">
        <v>7.3</v>
      </c>
      <c r="N4425">
        <f t="shared" si="69"/>
        <v>0</v>
      </c>
    </row>
    <row r="4426" spans="1:14" x14ac:dyDescent="0.35">
      <c r="A4426" s="6" t="s">
        <v>4496</v>
      </c>
      <c r="B4426" s="19" t="s">
        <v>97</v>
      </c>
      <c r="C4426" s="19">
        <v>1</v>
      </c>
      <c r="D4426" s="20">
        <v>45674</v>
      </c>
      <c r="E4426" s="19" t="s">
        <v>13</v>
      </c>
      <c r="F4426" s="19" t="s">
        <v>43</v>
      </c>
      <c r="G4426" s="19" t="s">
        <v>21</v>
      </c>
      <c r="H4426" s="19" t="s">
        <v>32</v>
      </c>
      <c r="I4426" s="19">
        <v>48</v>
      </c>
      <c r="J4426" s="19">
        <v>2</v>
      </c>
      <c r="K4426" s="19">
        <v>5</v>
      </c>
      <c r="L4426" s="19" t="s">
        <v>44</v>
      </c>
      <c r="M4426" s="21">
        <v>16.899999999999999</v>
      </c>
      <c r="N4426">
        <f t="shared" si="69"/>
        <v>1</v>
      </c>
    </row>
    <row r="4427" spans="1:14" x14ac:dyDescent="0.35">
      <c r="A4427" s="22" t="s">
        <v>4497</v>
      </c>
      <c r="B4427" s="23" t="s">
        <v>158</v>
      </c>
      <c r="C4427" s="23">
        <v>9</v>
      </c>
      <c r="D4427" s="24">
        <v>45907</v>
      </c>
      <c r="E4427" s="23" t="s">
        <v>36</v>
      </c>
      <c r="F4427" s="23" t="s">
        <v>37</v>
      </c>
      <c r="G4427" s="23" t="s">
        <v>27</v>
      </c>
      <c r="H4427" s="23" t="s">
        <v>22</v>
      </c>
      <c r="I4427" s="23">
        <v>24</v>
      </c>
      <c r="J4427" s="23">
        <v>0</v>
      </c>
      <c r="K4427" s="23">
        <v>3</v>
      </c>
      <c r="L4427" s="23" t="s">
        <v>44</v>
      </c>
      <c r="M4427" s="25">
        <v>17.399999999999999</v>
      </c>
      <c r="N4427">
        <f t="shared" si="69"/>
        <v>1</v>
      </c>
    </row>
    <row r="4428" spans="1:14" x14ac:dyDescent="0.35">
      <c r="A4428" s="6" t="s">
        <v>4498</v>
      </c>
      <c r="B4428" s="19" t="s">
        <v>57</v>
      </c>
      <c r="C4428" s="19">
        <v>8</v>
      </c>
      <c r="D4428" s="20">
        <v>45871</v>
      </c>
      <c r="E4428" s="19" t="s">
        <v>13</v>
      </c>
      <c r="F4428" s="19" t="s">
        <v>14</v>
      </c>
      <c r="G4428" s="19" t="s">
        <v>31</v>
      </c>
      <c r="H4428" s="19" t="s">
        <v>22</v>
      </c>
      <c r="I4428" s="19">
        <v>8</v>
      </c>
      <c r="J4428" s="19">
        <v>2</v>
      </c>
      <c r="K4428" s="19"/>
      <c r="L4428" s="19" t="s">
        <v>8363</v>
      </c>
      <c r="M4428" s="21">
        <v>3.9</v>
      </c>
      <c r="N4428">
        <f t="shared" si="69"/>
        <v>1</v>
      </c>
    </row>
    <row r="4429" spans="1:14" x14ac:dyDescent="0.35">
      <c r="A4429" s="22" t="s">
        <v>4499</v>
      </c>
      <c r="B4429" s="23" t="s">
        <v>69</v>
      </c>
      <c r="C4429" s="23">
        <v>5</v>
      </c>
      <c r="D4429" s="24">
        <v>45782</v>
      </c>
      <c r="E4429" s="23" t="s">
        <v>13</v>
      </c>
      <c r="F4429" s="23" t="s">
        <v>8364</v>
      </c>
      <c r="G4429" s="23" t="s">
        <v>31</v>
      </c>
      <c r="H4429" s="23" t="s">
        <v>22</v>
      </c>
      <c r="I4429" s="23">
        <v>48</v>
      </c>
      <c r="J4429" s="23">
        <v>0</v>
      </c>
      <c r="K4429" s="23">
        <v>4</v>
      </c>
      <c r="L4429" s="23" t="s">
        <v>8363</v>
      </c>
      <c r="M4429" s="25">
        <v>33.200000000000003</v>
      </c>
      <c r="N4429">
        <f t="shared" si="69"/>
        <v>1</v>
      </c>
    </row>
    <row r="4430" spans="1:14" x14ac:dyDescent="0.35">
      <c r="A4430" s="6" t="s">
        <v>4500</v>
      </c>
      <c r="B4430" s="19" t="s">
        <v>130</v>
      </c>
      <c r="C4430" s="19">
        <v>10</v>
      </c>
      <c r="D4430" s="20">
        <v>45940</v>
      </c>
      <c r="E4430" s="19" t="s">
        <v>20</v>
      </c>
      <c r="F4430" s="19" t="s">
        <v>40</v>
      </c>
      <c r="G4430" s="19" t="s">
        <v>31</v>
      </c>
      <c r="H4430" s="19" t="s">
        <v>16</v>
      </c>
      <c r="I4430" s="19">
        <v>48</v>
      </c>
      <c r="J4430" s="19">
        <v>0</v>
      </c>
      <c r="K4430" s="19">
        <v>3</v>
      </c>
      <c r="L4430" s="19" t="s">
        <v>62</v>
      </c>
      <c r="M4430" s="21">
        <v>6.8</v>
      </c>
      <c r="N4430">
        <f t="shared" si="69"/>
        <v>1</v>
      </c>
    </row>
    <row r="4431" spans="1:14" x14ac:dyDescent="0.35">
      <c r="A4431" s="22" t="s">
        <v>4501</v>
      </c>
      <c r="B4431" s="23" t="s">
        <v>65</v>
      </c>
      <c r="C4431" s="23">
        <v>11</v>
      </c>
      <c r="D4431" s="24">
        <v>45962</v>
      </c>
      <c r="E4431" s="23" t="s">
        <v>13</v>
      </c>
      <c r="F4431" s="23" t="s">
        <v>59</v>
      </c>
      <c r="G4431" s="23" t="s">
        <v>21</v>
      </c>
      <c r="H4431" s="23" t="s">
        <v>28</v>
      </c>
      <c r="I4431" s="23">
        <v>4</v>
      </c>
      <c r="J4431" s="23">
        <v>0</v>
      </c>
      <c r="K4431" s="23">
        <v>5</v>
      </c>
      <c r="L4431" s="23" t="s">
        <v>17</v>
      </c>
      <c r="M4431" s="25">
        <v>27.3</v>
      </c>
      <c r="N4431">
        <f t="shared" si="69"/>
        <v>0</v>
      </c>
    </row>
    <row r="4432" spans="1:14" x14ac:dyDescent="0.35">
      <c r="A4432" s="6" t="s">
        <v>4502</v>
      </c>
      <c r="B4432" s="19" t="s">
        <v>126</v>
      </c>
      <c r="C4432" s="19">
        <v>7</v>
      </c>
      <c r="D4432" s="20">
        <v>45862</v>
      </c>
      <c r="E4432" s="19" t="s">
        <v>25</v>
      </c>
      <c r="F4432" s="19" t="s">
        <v>14</v>
      </c>
      <c r="G4432" s="19" t="s">
        <v>21</v>
      </c>
      <c r="H4432" s="19" t="s">
        <v>32</v>
      </c>
      <c r="I4432" s="19">
        <v>24</v>
      </c>
      <c r="J4432" s="19">
        <v>2</v>
      </c>
      <c r="K4432" s="19">
        <v>5</v>
      </c>
      <c r="L4432" s="19" t="s">
        <v>75</v>
      </c>
      <c r="M4432" s="21">
        <v>6.2</v>
      </c>
      <c r="N4432">
        <f t="shared" si="69"/>
        <v>1</v>
      </c>
    </row>
    <row r="4433" spans="1:14" x14ac:dyDescent="0.35">
      <c r="A4433" s="22" t="s">
        <v>4503</v>
      </c>
      <c r="B4433" s="23" t="s">
        <v>108</v>
      </c>
      <c r="C4433" s="23">
        <v>5</v>
      </c>
      <c r="D4433" s="24">
        <v>45801</v>
      </c>
      <c r="E4433" s="23" t="s">
        <v>8364</v>
      </c>
      <c r="F4433" s="23" t="s">
        <v>40</v>
      </c>
      <c r="G4433" s="23" t="s">
        <v>15</v>
      </c>
      <c r="H4433" s="23" t="s">
        <v>28</v>
      </c>
      <c r="I4433" s="23">
        <v>72</v>
      </c>
      <c r="J4433" s="23">
        <v>0</v>
      </c>
      <c r="K4433" s="23">
        <v>3</v>
      </c>
      <c r="L4433" s="23" t="s">
        <v>55</v>
      </c>
      <c r="M4433" s="25">
        <v>16.3</v>
      </c>
      <c r="N4433">
        <f t="shared" si="69"/>
        <v>1</v>
      </c>
    </row>
    <row r="4434" spans="1:14" x14ac:dyDescent="0.35">
      <c r="A4434" s="6" t="s">
        <v>4504</v>
      </c>
      <c r="B4434" s="19" t="s">
        <v>39</v>
      </c>
      <c r="C4434" s="19">
        <v>4</v>
      </c>
      <c r="D4434" s="20">
        <v>45762</v>
      </c>
      <c r="E4434" s="19" t="s">
        <v>25</v>
      </c>
      <c r="F4434" s="19" t="s">
        <v>14</v>
      </c>
      <c r="G4434" s="19" t="s">
        <v>31</v>
      </c>
      <c r="H4434" s="19" t="s">
        <v>8364</v>
      </c>
      <c r="I4434" s="19">
        <v>4</v>
      </c>
      <c r="J4434" s="19">
        <v>1</v>
      </c>
      <c r="K4434" s="19">
        <v>5</v>
      </c>
      <c r="L4434" s="19" t="s">
        <v>33</v>
      </c>
      <c r="M4434" s="21">
        <v>34.9</v>
      </c>
      <c r="N4434">
        <f t="shared" si="69"/>
        <v>0</v>
      </c>
    </row>
    <row r="4435" spans="1:14" x14ac:dyDescent="0.35">
      <c r="A4435" s="22" t="s">
        <v>4505</v>
      </c>
      <c r="B4435" s="23" t="s">
        <v>130</v>
      </c>
      <c r="C4435" s="23">
        <v>12</v>
      </c>
      <c r="D4435" s="24">
        <v>45999</v>
      </c>
      <c r="E4435" s="23" t="s">
        <v>36</v>
      </c>
      <c r="F4435" s="23" t="s">
        <v>14</v>
      </c>
      <c r="G4435" s="23" t="s">
        <v>15</v>
      </c>
      <c r="H4435" s="23" t="s">
        <v>22</v>
      </c>
      <c r="I4435" s="23">
        <v>24</v>
      </c>
      <c r="J4435" s="23">
        <v>2</v>
      </c>
      <c r="K4435" s="23">
        <v>4</v>
      </c>
      <c r="L4435" s="23" t="s">
        <v>33</v>
      </c>
      <c r="M4435" s="25">
        <v>9.4</v>
      </c>
      <c r="N4435">
        <f t="shared" si="69"/>
        <v>1</v>
      </c>
    </row>
    <row r="4436" spans="1:14" x14ac:dyDescent="0.35">
      <c r="A4436" s="6" t="s">
        <v>4506</v>
      </c>
      <c r="B4436" s="19" t="s">
        <v>130</v>
      </c>
      <c r="C4436" s="19">
        <v>3</v>
      </c>
      <c r="D4436" s="20">
        <v>45729</v>
      </c>
      <c r="E4436" s="19" t="s">
        <v>36</v>
      </c>
      <c r="F4436" s="19" t="s">
        <v>43</v>
      </c>
      <c r="G4436" s="19" t="s">
        <v>21</v>
      </c>
      <c r="H4436" s="19" t="s">
        <v>22</v>
      </c>
      <c r="I4436" s="19">
        <v>8</v>
      </c>
      <c r="J4436" s="19">
        <v>0</v>
      </c>
      <c r="K4436" s="19">
        <v>4</v>
      </c>
      <c r="L4436" s="19" t="s">
        <v>38</v>
      </c>
      <c r="M4436" s="21">
        <v>5.4</v>
      </c>
      <c r="N4436">
        <f t="shared" si="69"/>
        <v>1</v>
      </c>
    </row>
    <row r="4437" spans="1:14" x14ac:dyDescent="0.35">
      <c r="A4437" s="22" t="s">
        <v>4507</v>
      </c>
      <c r="B4437" s="23" t="s">
        <v>78</v>
      </c>
      <c r="C4437" s="23">
        <v>12</v>
      </c>
      <c r="D4437" s="24">
        <v>46002</v>
      </c>
      <c r="E4437" s="23" t="s">
        <v>25</v>
      </c>
      <c r="F4437" s="23" t="s">
        <v>43</v>
      </c>
      <c r="G4437" s="23" t="s">
        <v>27</v>
      </c>
      <c r="H4437" s="23" t="s">
        <v>28</v>
      </c>
      <c r="I4437" s="23">
        <v>48</v>
      </c>
      <c r="J4437" s="23">
        <v>0</v>
      </c>
      <c r="K4437" s="23">
        <v>3</v>
      </c>
      <c r="L4437" s="23" t="s">
        <v>75</v>
      </c>
      <c r="M4437" s="25">
        <v>11</v>
      </c>
      <c r="N4437">
        <f t="shared" si="69"/>
        <v>1</v>
      </c>
    </row>
    <row r="4438" spans="1:14" x14ac:dyDescent="0.35">
      <c r="A4438" s="6" t="s">
        <v>4508</v>
      </c>
      <c r="B4438" s="19" t="s">
        <v>92</v>
      </c>
      <c r="C4438" s="19"/>
      <c r="D4438" s="20"/>
      <c r="E4438" s="19" t="s">
        <v>36</v>
      </c>
      <c r="F4438" s="19" t="s">
        <v>59</v>
      </c>
      <c r="G4438" s="19" t="s">
        <v>15</v>
      </c>
      <c r="H4438" s="19" t="s">
        <v>28</v>
      </c>
      <c r="I4438" s="19">
        <v>4</v>
      </c>
      <c r="J4438" s="19">
        <v>0</v>
      </c>
      <c r="K4438" s="19">
        <v>3</v>
      </c>
      <c r="L4438" s="19" t="s">
        <v>75</v>
      </c>
      <c r="M4438" s="21">
        <v>3.5</v>
      </c>
      <c r="N4438">
        <f t="shared" si="69"/>
        <v>1</v>
      </c>
    </row>
    <row r="4439" spans="1:14" x14ac:dyDescent="0.35">
      <c r="A4439" s="22" t="s">
        <v>4509</v>
      </c>
      <c r="B4439" s="23" t="s">
        <v>34</v>
      </c>
      <c r="C4439" s="23"/>
      <c r="D4439" s="24"/>
      <c r="E4439" s="23" t="s">
        <v>8364</v>
      </c>
      <c r="F4439" s="23" t="s">
        <v>59</v>
      </c>
      <c r="G4439" s="23" t="s">
        <v>31</v>
      </c>
      <c r="H4439" s="23" t="s">
        <v>22</v>
      </c>
      <c r="I4439" s="23">
        <v>48</v>
      </c>
      <c r="J4439" s="23">
        <v>0</v>
      </c>
      <c r="K4439" s="23">
        <v>1</v>
      </c>
      <c r="L4439" s="23" t="s">
        <v>38</v>
      </c>
      <c r="M4439" s="25">
        <v>5.4</v>
      </c>
      <c r="N4439">
        <f t="shared" si="69"/>
        <v>1</v>
      </c>
    </row>
    <row r="4440" spans="1:14" x14ac:dyDescent="0.35">
      <c r="A4440" s="6" t="s">
        <v>4510</v>
      </c>
      <c r="B4440" s="19" t="s">
        <v>97</v>
      </c>
      <c r="C4440" s="19">
        <v>5</v>
      </c>
      <c r="D4440" s="20">
        <v>45789</v>
      </c>
      <c r="E4440" s="19" t="s">
        <v>25</v>
      </c>
      <c r="F4440" s="19" t="s">
        <v>14</v>
      </c>
      <c r="G4440" s="19" t="s">
        <v>21</v>
      </c>
      <c r="H4440" s="19" t="s">
        <v>8364</v>
      </c>
      <c r="I4440" s="19">
        <v>72</v>
      </c>
      <c r="J4440" s="19">
        <v>2</v>
      </c>
      <c r="K4440" s="19"/>
      <c r="L4440" s="19" t="s">
        <v>33</v>
      </c>
      <c r="M4440" s="21">
        <v>17.600000000000001</v>
      </c>
      <c r="N4440">
        <f t="shared" si="69"/>
        <v>1</v>
      </c>
    </row>
    <row r="4441" spans="1:14" x14ac:dyDescent="0.35">
      <c r="A4441" s="22" t="s">
        <v>4511</v>
      </c>
      <c r="B4441" s="23" t="s">
        <v>104</v>
      </c>
      <c r="C4441" s="23">
        <v>1</v>
      </c>
      <c r="D4441" s="24">
        <v>45671</v>
      </c>
      <c r="E4441" s="23" t="s">
        <v>25</v>
      </c>
      <c r="F4441" s="23" t="s">
        <v>40</v>
      </c>
      <c r="G4441" s="23" t="s">
        <v>15</v>
      </c>
      <c r="H4441" s="23" t="s">
        <v>22</v>
      </c>
      <c r="I4441" s="23">
        <v>4</v>
      </c>
      <c r="J4441" s="23">
        <v>0</v>
      </c>
      <c r="K4441" s="23">
        <v>5</v>
      </c>
      <c r="L4441" s="23" t="s">
        <v>55</v>
      </c>
      <c r="M4441" s="25">
        <v>14.6</v>
      </c>
      <c r="N4441">
        <f t="shared" si="69"/>
        <v>0</v>
      </c>
    </row>
    <row r="4442" spans="1:14" x14ac:dyDescent="0.35">
      <c r="A4442" s="6" t="s">
        <v>4512</v>
      </c>
      <c r="B4442" s="19" t="s">
        <v>65</v>
      </c>
      <c r="C4442" s="19">
        <v>10</v>
      </c>
      <c r="D4442" s="20">
        <v>45937</v>
      </c>
      <c r="E4442" s="19" t="s">
        <v>13</v>
      </c>
      <c r="F4442" s="19" t="s">
        <v>40</v>
      </c>
      <c r="G4442" s="19" t="s">
        <v>21</v>
      </c>
      <c r="H4442" s="19" t="s">
        <v>16</v>
      </c>
      <c r="I4442" s="19">
        <v>48</v>
      </c>
      <c r="J4442" s="19">
        <v>1</v>
      </c>
      <c r="K4442" s="19">
        <v>5</v>
      </c>
      <c r="L4442" s="19" t="s">
        <v>75</v>
      </c>
      <c r="M4442" s="21">
        <v>5.5</v>
      </c>
      <c r="N4442">
        <f t="shared" si="69"/>
        <v>1</v>
      </c>
    </row>
    <row r="4443" spans="1:14" x14ac:dyDescent="0.35">
      <c r="A4443" s="22" t="s">
        <v>4513</v>
      </c>
      <c r="B4443" s="23" t="s">
        <v>99</v>
      </c>
      <c r="C4443" s="23">
        <v>12</v>
      </c>
      <c r="D4443" s="24">
        <v>45995</v>
      </c>
      <c r="E4443" s="23" t="s">
        <v>36</v>
      </c>
      <c r="F4443" s="23" t="s">
        <v>37</v>
      </c>
      <c r="G4443" s="23" t="s">
        <v>21</v>
      </c>
      <c r="H4443" s="23" t="s">
        <v>22</v>
      </c>
      <c r="I4443" s="23">
        <v>24</v>
      </c>
      <c r="J4443" s="23">
        <v>3</v>
      </c>
      <c r="K4443" s="23">
        <v>4</v>
      </c>
      <c r="L4443" s="23" t="s">
        <v>17</v>
      </c>
      <c r="M4443" s="25">
        <v>23.3</v>
      </c>
      <c r="N4443">
        <f t="shared" si="69"/>
        <v>1</v>
      </c>
    </row>
    <row r="4444" spans="1:14" x14ac:dyDescent="0.35">
      <c r="A4444" s="6" t="s">
        <v>4514</v>
      </c>
      <c r="B4444" s="19" t="s">
        <v>87</v>
      </c>
      <c r="C4444" s="19">
        <v>9</v>
      </c>
      <c r="D4444" s="20">
        <v>45916</v>
      </c>
      <c r="E4444" s="19" t="s">
        <v>68</v>
      </c>
      <c r="F4444" s="19" t="s">
        <v>14</v>
      </c>
      <c r="G4444" s="19" t="s">
        <v>8364</v>
      </c>
      <c r="H4444" s="19" t="s">
        <v>16</v>
      </c>
      <c r="I4444" s="19">
        <v>8</v>
      </c>
      <c r="J4444" s="19">
        <v>0</v>
      </c>
      <c r="K4444" s="19">
        <v>5</v>
      </c>
      <c r="L4444" s="19" t="s">
        <v>38</v>
      </c>
      <c r="M4444" s="21">
        <v>12.1</v>
      </c>
      <c r="N4444">
        <f t="shared" si="69"/>
        <v>0</v>
      </c>
    </row>
    <row r="4445" spans="1:14" x14ac:dyDescent="0.35">
      <c r="A4445" s="22" t="s">
        <v>4515</v>
      </c>
      <c r="B4445" s="23" t="s">
        <v>158</v>
      </c>
      <c r="C4445" s="23">
        <v>7</v>
      </c>
      <c r="D4445" s="24">
        <v>45857</v>
      </c>
      <c r="E4445" s="23" t="s">
        <v>8364</v>
      </c>
      <c r="F4445" s="23" t="s">
        <v>43</v>
      </c>
      <c r="G4445" s="23" t="s">
        <v>21</v>
      </c>
      <c r="H4445" s="23" t="s">
        <v>22</v>
      </c>
      <c r="I4445" s="23">
        <v>4</v>
      </c>
      <c r="J4445" s="23">
        <v>0</v>
      </c>
      <c r="K4445" s="23">
        <v>5</v>
      </c>
      <c r="L4445" s="23" t="s">
        <v>8363</v>
      </c>
      <c r="M4445" s="25">
        <v>7.4</v>
      </c>
      <c r="N4445">
        <f t="shared" si="69"/>
        <v>0</v>
      </c>
    </row>
    <row r="4446" spans="1:14" x14ac:dyDescent="0.35">
      <c r="A4446" s="6" t="s">
        <v>4516</v>
      </c>
      <c r="B4446" s="19" t="s">
        <v>34</v>
      </c>
      <c r="C4446" s="19">
        <v>6</v>
      </c>
      <c r="D4446" s="20">
        <v>45836</v>
      </c>
      <c r="E4446" s="19" t="s">
        <v>13</v>
      </c>
      <c r="F4446" s="19" t="s">
        <v>43</v>
      </c>
      <c r="G4446" s="19" t="s">
        <v>27</v>
      </c>
      <c r="H4446" s="19" t="s">
        <v>22</v>
      </c>
      <c r="I4446" s="19">
        <v>24</v>
      </c>
      <c r="J4446" s="19">
        <v>0</v>
      </c>
      <c r="K4446" s="19">
        <v>3</v>
      </c>
      <c r="L4446" s="19" t="s">
        <v>44</v>
      </c>
      <c r="M4446" s="21">
        <v>6</v>
      </c>
      <c r="N4446">
        <f t="shared" si="69"/>
        <v>1</v>
      </c>
    </row>
    <row r="4447" spans="1:14" x14ac:dyDescent="0.35">
      <c r="A4447" s="22" t="s">
        <v>4517</v>
      </c>
      <c r="B4447" s="23" t="s">
        <v>97</v>
      </c>
      <c r="C4447" s="23">
        <v>9</v>
      </c>
      <c r="D4447" s="24">
        <v>45902</v>
      </c>
      <c r="E4447" s="23" t="s">
        <v>13</v>
      </c>
      <c r="F4447" s="23" t="s">
        <v>37</v>
      </c>
      <c r="G4447" s="23" t="s">
        <v>21</v>
      </c>
      <c r="H4447" s="23" t="s">
        <v>32</v>
      </c>
      <c r="I4447" s="23">
        <v>4</v>
      </c>
      <c r="J4447" s="23">
        <v>3</v>
      </c>
      <c r="K4447" s="23">
        <v>1</v>
      </c>
      <c r="L4447" s="23" t="s">
        <v>33</v>
      </c>
      <c r="M4447" s="25">
        <v>6.7</v>
      </c>
      <c r="N4447">
        <f t="shared" si="69"/>
        <v>0</v>
      </c>
    </row>
    <row r="4448" spans="1:14" x14ac:dyDescent="0.35">
      <c r="A4448" s="6" t="s">
        <v>4518</v>
      </c>
      <c r="B4448" s="19" t="s">
        <v>81</v>
      </c>
      <c r="C4448" s="19">
        <v>7</v>
      </c>
      <c r="D4448" s="20">
        <v>45864</v>
      </c>
      <c r="E4448" s="19" t="s">
        <v>13</v>
      </c>
      <c r="F4448" s="19" t="s">
        <v>43</v>
      </c>
      <c r="G4448" s="19" t="s">
        <v>31</v>
      </c>
      <c r="H4448" s="19" t="s">
        <v>22</v>
      </c>
      <c r="I4448" s="19">
        <v>8</v>
      </c>
      <c r="J4448" s="19">
        <v>0</v>
      </c>
      <c r="K4448" s="19">
        <v>1</v>
      </c>
      <c r="L4448" s="19" t="s">
        <v>17</v>
      </c>
      <c r="M4448" s="21">
        <v>27.9</v>
      </c>
      <c r="N4448">
        <f t="shared" si="69"/>
        <v>0</v>
      </c>
    </row>
    <row r="4449" spans="1:14" x14ac:dyDescent="0.35">
      <c r="A4449" s="22" t="s">
        <v>4519</v>
      </c>
      <c r="B4449" s="23" t="s">
        <v>253</v>
      </c>
      <c r="C4449" s="23">
        <v>8</v>
      </c>
      <c r="D4449" s="24">
        <v>45896</v>
      </c>
      <c r="E4449" s="23" t="s">
        <v>36</v>
      </c>
      <c r="F4449" s="23" t="s">
        <v>14</v>
      </c>
      <c r="G4449" s="23" t="s">
        <v>15</v>
      </c>
      <c r="H4449" s="23" t="s">
        <v>22</v>
      </c>
      <c r="I4449" s="23">
        <v>24</v>
      </c>
      <c r="J4449" s="23">
        <v>0</v>
      </c>
      <c r="K4449" s="23">
        <v>1</v>
      </c>
      <c r="L4449" s="23" t="s">
        <v>8363</v>
      </c>
      <c r="M4449" s="25"/>
      <c r="N4449">
        <f t="shared" si="69"/>
        <v>1</v>
      </c>
    </row>
    <row r="4450" spans="1:14" x14ac:dyDescent="0.35">
      <c r="A4450" s="6" t="s">
        <v>4520</v>
      </c>
      <c r="B4450" s="19" t="s">
        <v>87</v>
      </c>
      <c r="C4450" s="19">
        <v>6</v>
      </c>
      <c r="D4450" s="20">
        <v>45811</v>
      </c>
      <c r="E4450" s="19" t="s">
        <v>25</v>
      </c>
      <c r="F4450" s="19" t="s">
        <v>43</v>
      </c>
      <c r="G4450" s="19" t="s">
        <v>31</v>
      </c>
      <c r="H4450" s="19" t="s">
        <v>8364</v>
      </c>
      <c r="I4450" s="19">
        <v>48</v>
      </c>
      <c r="J4450" s="19">
        <v>0</v>
      </c>
      <c r="K4450" s="19">
        <v>4</v>
      </c>
      <c r="L4450" s="19" t="s">
        <v>62</v>
      </c>
      <c r="M4450" s="21">
        <v>9.6</v>
      </c>
      <c r="N4450">
        <f t="shared" si="69"/>
        <v>1</v>
      </c>
    </row>
    <row r="4451" spans="1:14" x14ac:dyDescent="0.35">
      <c r="A4451" s="22" t="s">
        <v>4521</v>
      </c>
      <c r="B4451" s="23" t="s">
        <v>101</v>
      </c>
      <c r="C4451" s="23">
        <v>8</v>
      </c>
      <c r="D4451" s="24">
        <v>45900</v>
      </c>
      <c r="E4451" s="23" t="s">
        <v>36</v>
      </c>
      <c r="F4451" s="23" t="s">
        <v>14</v>
      </c>
      <c r="G4451" s="23" t="s">
        <v>8364</v>
      </c>
      <c r="H4451" s="23" t="s">
        <v>22</v>
      </c>
      <c r="I4451" s="23">
        <v>48</v>
      </c>
      <c r="J4451" s="23">
        <v>0</v>
      </c>
      <c r="K4451" s="23">
        <v>4</v>
      </c>
      <c r="L4451" s="23" t="s">
        <v>55</v>
      </c>
      <c r="M4451" s="25">
        <v>7.9</v>
      </c>
      <c r="N4451">
        <f t="shared" si="69"/>
        <v>1</v>
      </c>
    </row>
    <row r="4452" spans="1:14" x14ac:dyDescent="0.35">
      <c r="A4452" s="6" t="s">
        <v>4522</v>
      </c>
      <c r="B4452" s="19" t="s">
        <v>53</v>
      </c>
      <c r="C4452" s="19">
        <v>4</v>
      </c>
      <c r="D4452" s="20">
        <v>45771</v>
      </c>
      <c r="E4452" s="19" t="s">
        <v>36</v>
      </c>
      <c r="F4452" s="19" t="s">
        <v>59</v>
      </c>
      <c r="G4452" s="19" t="s">
        <v>21</v>
      </c>
      <c r="H4452" s="19" t="s">
        <v>28</v>
      </c>
      <c r="I4452" s="19">
        <v>24</v>
      </c>
      <c r="J4452" s="19">
        <v>1</v>
      </c>
      <c r="K4452" s="19">
        <v>5</v>
      </c>
      <c r="L4452" s="19" t="s">
        <v>8363</v>
      </c>
      <c r="M4452" s="21">
        <v>11.4</v>
      </c>
      <c r="N4452">
        <f t="shared" si="69"/>
        <v>1</v>
      </c>
    </row>
    <row r="4453" spans="1:14" x14ac:dyDescent="0.35">
      <c r="A4453" s="22" t="s">
        <v>4523</v>
      </c>
      <c r="B4453" s="23" t="s">
        <v>139</v>
      </c>
      <c r="C4453" s="23">
        <v>12</v>
      </c>
      <c r="D4453" s="24">
        <v>46020</v>
      </c>
      <c r="E4453" s="23" t="s">
        <v>25</v>
      </c>
      <c r="F4453" s="23" t="s">
        <v>14</v>
      </c>
      <c r="G4453" s="23" t="s">
        <v>21</v>
      </c>
      <c r="H4453" s="23" t="s">
        <v>28</v>
      </c>
      <c r="I4453" s="23">
        <v>24</v>
      </c>
      <c r="J4453" s="23">
        <v>0</v>
      </c>
      <c r="K4453" s="23">
        <v>5</v>
      </c>
      <c r="L4453" s="23" t="s">
        <v>17</v>
      </c>
      <c r="M4453" s="25">
        <v>13.8</v>
      </c>
      <c r="N4453">
        <f t="shared" si="69"/>
        <v>1</v>
      </c>
    </row>
    <row r="4454" spans="1:14" x14ac:dyDescent="0.35">
      <c r="A4454" s="6" t="s">
        <v>4524</v>
      </c>
      <c r="B4454" s="19" t="s">
        <v>85</v>
      </c>
      <c r="C4454" s="19">
        <v>9</v>
      </c>
      <c r="D4454" s="20">
        <v>45926</v>
      </c>
      <c r="E4454" s="19" t="s">
        <v>13</v>
      </c>
      <c r="F4454" s="19" t="s">
        <v>14</v>
      </c>
      <c r="G4454" s="19" t="s">
        <v>31</v>
      </c>
      <c r="H4454" s="19" t="s">
        <v>16</v>
      </c>
      <c r="I4454" s="19">
        <v>8</v>
      </c>
      <c r="J4454" s="19">
        <v>0</v>
      </c>
      <c r="K4454" s="19">
        <v>3</v>
      </c>
      <c r="L4454" s="19" t="s">
        <v>8363</v>
      </c>
      <c r="M4454" s="21">
        <v>13.8</v>
      </c>
      <c r="N4454">
        <f t="shared" si="69"/>
        <v>0</v>
      </c>
    </row>
    <row r="4455" spans="1:14" x14ac:dyDescent="0.35">
      <c r="A4455" s="22" t="s">
        <v>4525</v>
      </c>
      <c r="B4455" s="23" t="s">
        <v>47</v>
      </c>
      <c r="C4455" s="23">
        <v>12</v>
      </c>
      <c r="D4455" s="24">
        <v>45995</v>
      </c>
      <c r="E4455" s="23" t="s">
        <v>13</v>
      </c>
      <c r="F4455" s="23" t="s">
        <v>14</v>
      </c>
      <c r="G4455" s="23" t="s">
        <v>27</v>
      </c>
      <c r="H4455" s="23" t="s">
        <v>8364</v>
      </c>
      <c r="I4455" s="23">
        <v>4</v>
      </c>
      <c r="J4455" s="23">
        <v>0</v>
      </c>
      <c r="K4455" s="23">
        <v>4</v>
      </c>
      <c r="L4455" s="23" t="s">
        <v>62</v>
      </c>
      <c r="M4455" s="25">
        <v>17</v>
      </c>
      <c r="N4455">
        <f t="shared" si="69"/>
        <v>0</v>
      </c>
    </row>
    <row r="4456" spans="1:14" x14ac:dyDescent="0.35">
      <c r="A4456" s="6" t="s">
        <v>4526</v>
      </c>
      <c r="B4456" s="19" t="s">
        <v>51</v>
      </c>
      <c r="C4456" s="19">
        <v>11</v>
      </c>
      <c r="D4456" s="20">
        <v>45964</v>
      </c>
      <c r="E4456" s="19" t="s">
        <v>20</v>
      </c>
      <c r="F4456" s="19" t="s">
        <v>8364</v>
      </c>
      <c r="G4456" s="19" t="s">
        <v>15</v>
      </c>
      <c r="H4456" s="19" t="s">
        <v>22</v>
      </c>
      <c r="I4456" s="19">
        <v>8</v>
      </c>
      <c r="J4456" s="19"/>
      <c r="K4456" s="19">
        <v>2</v>
      </c>
      <c r="L4456" s="19" t="s">
        <v>17</v>
      </c>
      <c r="M4456" s="21">
        <v>4.5999999999999996</v>
      </c>
      <c r="N4456">
        <f t="shared" si="69"/>
        <v>1</v>
      </c>
    </row>
    <row r="4457" spans="1:14" x14ac:dyDescent="0.35">
      <c r="A4457" s="22" t="s">
        <v>4527</v>
      </c>
      <c r="B4457" s="23" t="s">
        <v>108</v>
      </c>
      <c r="C4457" s="23">
        <v>9</v>
      </c>
      <c r="D4457" s="24">
        <v>45922</v>
      </c>
      <c r="E4457" s="23" t="s">
        <v>68</v>
      </c>
      <c r="F4457" s="23" t="s">
        <v>43</v>
      </c>
      <c r="G4457" s="23" t="s">
        <v>15</v>
      </c>
      <c r="H4457" s="23" t="s">
        <v>22</v>
      </c>
      <c r="I4457" s="23">
        <v>8</v>
      </c>
      <c r="J4457" s="23">
        <v>0</v>
      </c>
      <c r="K4457" s="23"/>
      <c r="L4457" s="23" t="s">
        <v>8363</v>
      </c>
      <c r="M4457" s="25">
        <v>17.899999999999999</v>
      </c>
      <c r="N4457">
        <f t="shared" si="69"/>
        <v>0</v>
      </c>
    </row>
    <row r="4458" spans="1:14" x14ac:dyDescent="0.35">
      <c r="A4458" s="6" t="s">
        <v>4528</v>
      </c>
      <c r="B4458" s="19" t="s">
        <v>87</v>
      </c>
      <c r="C4458" s="19">
        <v>8</v>
      </c>
      <c r="D4458" s="20">
        <v>45893</v>
      </c>
      <c r="E4458" s="19" t="s">
        <v>8364</v>
      </c>
      <c r="F4458" s="19" t="s">
        <v>40</v>
      </c>
      <c r="G4458" s="19" t="s">
        <v>8364</v>
      </c>
      <c r="H4458" s="19" t="s">
        <v>32</v>
      </c>
      <c r="I4458" s="19">
        <v>48</v>
      </c>
      <c r="J4458" s="19">
        <v>0</v>
      </c>
      <c r="K4458" s="19">
        <v>4</v>
      </c>
      <c r="L4458" s="19" t="s">
        <v>62</v>
      </c>
      <c r="M4458" s="21">
        <v>14.2</v>
      </c>
      <c r="N4458">
        <f t="shared" si="69"/>
        <v>1</v>
      </c>
    </row>
    <row r="4459" spans="1:14" x14ac:dyDescent="0.35">
      <c r="A4459" s="22" t="s">
        <v>4529</v>
      </c>
      <c r="B4459" s="23" t="s">
        <v>236</v>
      </c>
      <c r="C4459" s="23">
        <v>6</v>
      </c>
      <c r="D4459" s="24">
        <v>45809</v>
      </c>
      <c r="E4459" s="23" t="s">
        <v>25</v>
      </c>
      <c r="F4459" s="23" t="s">
        <v>8364</v>
      </c>
      <c r="G4459" s="23" t="s">
        <v>27</v>
      </c>
      <c r="H4459" s="23" t="s">
        <v>22</v>
      </c>
      <c r="I4459" s="23">
        <v>24</v>
      </c>
      <c r="J4459" s="23">
        <v>0</v>
      </c>
      <c r="K4459" s="23">
        <v>5</v>
      </c>
      <c r="L4459" s="23" t="s">
        <v>8363</v>
      </c>
      <c r="M4459" s="25">
        <v>12.7</v>
      </c>
      <c r="N4459">
        <f t="shared" si="69"/>
        <v>1</v>
      </c>
    </row>
    <row r="4460" spans="1:14" x14ac:dyDescent="0.35">
      <c r="A4460" s="6" t="s">
        <v>4530</v>
      </c>
      <c r="B4460" s="19" t="s">
        <v>108</v>
      </c>
      <c r="C4460" s="19">
        <v>2</v>
      </c>
      <c r="D4460" s="20">
        <v>45697</v>
      </c>
      <c r="E4460" s="19" t="s">
        <v>13</v>
      </c>
      <c r="F4460" s="19" t="s">
        <v>43</v>
      </c>
      <c r="G4460" s="19" t="s">
        <v>15</v>
      </c>
      <c r="H4460" s="19" t="s">
        <v>28</v>
      </c>
      <c r="I4460" s="19">
        <v>24</v>
      </c>
      <c r="J4460" s="19">
        <v>0</v>
      </c>
      <c r="K4460" s="19">
        <v>4</v>
      </c>
      <c r="L4460" s="19" t="s">
        <v>62</v>
      </c>
      <c r="M4460" s="21">
        <v>14</v>
      </c>
      <c r="N4460">
        <f t="shared" si="69"/>
        <v>1</v>
      </c>
    </row>
    <row r="4461" spans="1:14" x14ac:dyDescent="0.35">
      <c r="A4461" s="22" t="s">
        <v>4531</v>
      </c>
      <c r="B4461" s="23" t="s">
        <v>87</v>
      </c>
      <c r="C4461" s="23">
        <v>1</v>
      </c>
      <c r="D4461" s="24">
        <v>45669</v>
      </c>
      <c r="E4461" s="23" t="s">
        <v>8364</v>
      </c>
      <c r="F4461" s="23" t="s">
        <v>14</v>
      </c>
      <c r="G4461" s="23" t="s">
        <v>15</v>
      </c>
      <c r="H4461" s="23" t="s">
        <v>32</v>
      </c>
      <c r="I4461" s="23">
        <v>4</v>
      </c>
      <c r="J4461" s="23">
        <v>0</v>
      </c>
      <c r="K4461" s="23">
        <v>5</v>
      </c>
      <c r="L4461" s="23" t="s">
        <v>44</v>
      </c>
      <c r="M4461" s="25">
        <v>9.1999999999999993</v>
      </c>
      <c r="N4461">
        <f t="shared" si="69"/>
        <v>0</v>
      </c>
    </row>
    <row r="4462" spans="1:14" x14ac:dyDescent="0.35">
      <c r="A4462" s="6" t="s">
        <v>4532</v>
      </c>
      <c r="B4462" s="19" t="s">
        <v>143</v>
      </c>
      <c r="C4462" s="19"/>
      <c r="D4462" s="20"/>
      <c r="E4462" s="19" t="s">
        <v>36</v>
      </c>
      <c r="F4462" s="19" t="s">
        <v>43</v>
      </c>
      <c r="G4462" s="19" t="s">
        <v>15</v>
      </c>
      <c r="H4462" s="19" t="s">
        <v>32</v>
      </c>
      <c r="I4462" s="19">
        <v>24</v>
      </c>
      <c r="J4462" s="19">
        <v>0</v>
      </c>
      <c r="K4462" s="19">
        <v>4</v>
      </c>
      <c r="L4462" s="19" t="s">
        <v>17</v>
      </c>
      <c r="M4462" s="21">
        <v>20.5</v>
      </c>
      <c r="N4462">
        <f t="shared" si="69"/>
        <v>1</v>
      </c>
    </row>
    <row r="4463" spans="1:14" x14ac:dyDescent="0.35">
      <c r="A4463" s="22" t="s">
        <v>4533</v>
      </c>
      <c r="B4463" s="23" t="s">
        <v>253</v>
      </c>
      <c r="C4463" s="23">
        <v>6</v>
      </c>
      <c r="D4463" s="24">
        <v>45817</v>
      </c>
      <c r="E4463" s="23" t="s">
        <v>13</v>
      </c>
      <c r="F4463" s="23" t="s">
        <v>43</v>
      </c>
      <c r="G4463" s="23" t="s">
        <v>31</v>
      </c>
      <c r="H4463" s="23" t="s">
        <v>22</v>
      </c>
      <c r="I4463" s="23">
        <v>72</v>
      </c>
      <c r="J4463" s="23">
        <v>0</v>
      </c>
      <c r="K4463" s="23">
        <v>5</v>
      </c>
      <c r="L4463" s="23" t="s">
        <v>44</v>
      </c>
      <c r="M4463" s="25">
        <v>14.9</v>
      </c>
      <c r="N4463">
        <f t="shared" si="69"/>
        <v>1</v>
      </c>
    </row>
    <row r="4464" spans="1:14" x14ac:dyDescent="0.35">
      <c r="A4464" s="6" t="s">
        <v>4534</v>
      </c>
      <c r="B4464" s="19" t="s">
        <v>18</v>
      </c>
      <c r="C4464" s="19">
        <v>8</v>
      </c>
      <c r="D4464" s="20">
        <v>45876</v>
      </c>
      <c r="E4464" s="19" t="s">
        <v>8364</v>
      </c>
      <c r="F4464" s="19" t="s">
        <v>14</v>
      </c>
      <c r="G4464" s="19" t="s">
        <v>15</v>
      </c>
      <c r="H4464" s="19" t="s">
        <v>16</v>
      </c>
      <c r="I4464" s="19">
        <v>24</v>
      </c>
      <c r="J4464" s="19">
        <v>0</v>
      </c>
      <c r="K4464" s="19">
        <v>3</v>
      </c>
      <c r="L4464" s="19" t="s">
        <v>8363</v>
      </c>
      <c r="M4464" s="21">
        <v>20</v>
      </c>
      <c r="N4464">
        <f t="shared" si="69"/>
        <v>1</v>
      </c>
    </row>
    <row r="4465" spans="1:14" x14ac:dyDescent="0.35">
      <c r="A4465" s="22" t="s">
        <v>4535</v>
      </c>
      <c r="B4465" s="23" t="s">
        <v>69</v>
      </c>
      <c r="C4465" s="23">
        <v>8</v>
      </c>
      <c r="D4465" s="24">
        <v>45898</v>
      </c>
      <c r="E4465" s="23" t="s">
        <v>36</v>
      </c>
      <c r="F4465" s="23" t="s">
        <v>8364</v>
      </c>
      <c r="G4465" s="23" t="s">
        <v>15</v>
      </c>
      <c r="H4465" s="23" t="s">
        <v>22</v>
      </c>
      <c r="I4465" s="23">
        <v>24</v>
      </c>
      <c r="J4465" s="23">
        <v>0</v>
      </c>
      <c r="K4465" s="23">
        <v>4</v>
      </c>
      <c r="L4465" s="23" t="s">
        <v>8363</v>
      </c>
      <c r="M4465" s="25">
        <v>6.6</v>
      </c>
      <c r="N4465">
        <f t="shared" si="69"/>
        <v>1</v>
      </c>
    </row>
    <row r="4466" spans="1:14" x14ac:dyDescent="0.35">
      <c r="A4466" s="6" t="s">
        <v>4536</v>
      </c>
      <c r="B4466" s="19" t="s">
        <v>146</v>
      </c>
      <c r="C4466" s="19">
        <v>2</v>
      </c>
      <c r="D4466" s="20">
        <v>45713</v>
      </c>
      <c r="E4466" s="19" t="s">
        <v>8364</v>
      </c>
      <c r="F4466" s="19" t="s">
        <v>43</v>
      </c>
      <c r="G4466" s="19" t="s">
        <v>31</v>
      </c>
      <c r="H4466" s="19" t="s">
        <v>16</v>
      </c>
      <c r="I4466" s="19">
        <v>8</v>
      </c>
      <c r="J4466" s="19">
        <v>0</v>
      </c>
      <c r="K4466" s="19">
        <v>5</v>
      </c>
      <c r="L4466" s="19" t="s">
        <v>75</v>
      </c>
      <c r="M4466" s="21">
        <v>2.1</v>
      </c>
      <c r="N4466">
        <f t="shared" si="69"/>
        <v>1</v>
      </c>
    </row>
    <row r="4467" spans="1:14" x14ac:dyDescent="0.35">
      <c r="A4467" s="22" t="s">
        <v>4537</v>
      </c>
      <c r="B4467" s="23" t="s">
        <v>18</v>
      </c>
      <c r="C4467" s="23">
        <v>1</v>
      </c>
      <c r="D4467" s="24">
        <v>45664</v>
      </c>
      <c r="E4467" s="23" t="s">
        <v>25</v>
      </c>
      <c r="F4467" s="23" t="s">
        <v>26</v>
      </c>
      <c r="G4467" s="23" t="s">
        <v>15</v>
      </c>
      <c r="H4467" s="23" t="s">
        <v>32</v>
      </c>
      <c r="I4467" s="23">
        <v>8</v>
      </c>
      <c r="J4467" s="23">
        <v>1</v>
      </c>
      <c r="K4467" s="23">
        <v>4</v>
      </c>
      <c r="L4467" s="23" t="s">
        <v>55</v>
      </c>
      <c r="M4467" s="25">
        <v>22.1</v>
      </c>
      <c r="N4467">
        <f t="shared" si="69"/>
        <v>0</v>
      </c>
    </row>
    <row r="4468" spans="1:14" x14ac:dyDescent="0.35">
      <c r="A4468" s="6" t="s">
        <v>4538</v>
      </c>
      <c r="B4468" s="19" t="s">
        <v>104</v>
      </c>
      <c r="C4468" s="19">
        <v>5</v>
      </c>
      <c r="D4468" s="20">
        <v>45795</v>
      </c>
      <c r="E4468" s="19" t="s">
        <v>36</v>
      </c>
      <c r="F4468" s="19" t="s">
        <v>26</v>
      </c>
      <c r="G4468" s="19" t="s">
        <v>8364</v>
      </c>
      <c r="H4468" s="19" t="s">
        <v>22</v>
      </c>
      <c r="I4468" s="19">
        <v>8</v>
      </c>
      <c r="J4468" s="19">
        <v>0</v>
      </c>
      <c r="K4468" s="19"/>
      <c r="L4468" s="19" t="s">
        <v>8363</v>
      </c>
      <c r="M4468" s="21">
        <v>8.1999999999999993</v>
      </c>
      <c r="N4468">
        <f t="shared" si="69"/>
        <v>0</v>
      </c>
    </row>
    <row r="4469" spans="1:14" x14ac:dyDescent="0.35">
      <c r="A4469" s="22" t="s">
        <v>4539</v>
      </c>
      <c r="B4469" s="23" t="s">
        <v>236</v>
      </c>
      <c r="C4469" s="23">
        <v>9</v>
      </c>
      <c r="D4469" s="24">
        <v>45929</v>
      </c>
      <c r="E4469" s="23" t="s">
        <v>25</v>
      </c>
      <c r="F4469" s="23" t="s">
        <v>8364</v>
      </c>
      <c r="G4469" s="23" t="s">
        <v>31</v>
      </c>
      <c r="H4469" s="23" t="s">
        <v>8364</v>
      </c>
      <c r="I4469" s="23">
        <v>48</v>
      </c>
      <c r="J4469" s="23">
        <v>0</v>
      </c>
      <c r="K4469" s="23">
        <v>5</v>
      </c>
      <c r="L4469" s="23" t="s">
        <v>8363</v>
      </c>
      <c r="M4469" s="25">
        <v>7.7</v>
      </c>
      <c r="N4469">
        <f t="shared" si="69"/>
        <v>1</v>
      </c>
    </row>
    <row r="4470" spans="1:14" x14ac:dyDescent="0.35">
      <c r="A4470" s="6" t="s">
        <v>4540</v>
      </c>
      <c r="B4470" s="19" t="s">
        <v>143</v>
      </c>
      <c r="C4470" s="19">
        <v>10</v>
      </c>
      <c r="D4470" s="20">
        <v>45947</v>
      </c>
      <c r="E4470" s="19" t="s">
        <v>20</v>
      </c>
      <c r="F4470" s="19" t="s">
        <v>59</v>
      </c>
      <c r="G4470" s="19" t="s">
        <v>31</v>
      </c>
      <c r="H4470" s="19" t="s">
        <v>28</v>
      </c>
      <c r="I4470" s="19">
        <v>48</v>
      </c>
      <c r="J4470" s="19">
        <v>0</v>
      </c>
      <c r="K4470" s="19">
        <v>2</v>
      </c>
      <c r="L4470" s="19" t="s">
        <v>44</v>
      </c>
      <c r="M4470" s="21">
        <v>7.8</v>
      </c>
      <c r="N4470">
        <f t="shared" si="69"/>
        <v>1</v>
      </c>
    </row>
    <row r="4471" spans="1:14" x14ac:dyDescent="0.35">
      <c r="A4471" s="22" t="s">
        <v>4541</v>
      </c>
      <c r="B4471" s="23" t="s">
        <v>130</v>
      </c>
      <c r="C4471" s="23">
        <v>2</v>
      </c>
      <c r="D4471" s="24">
        <v>45696</v>
      </c>
      <c r="E4471" s="23" t="s">
        <v>13</v>
      </c>
      <c r="F4471" s="23" t="s">
        <v>14</v>
      </c>
      <c r="G4471" s="23" t="s">
        <v>15</v>
      </c>
      <c r="H4471" s="23" t="s">
        <v>32</v>
      </c>
      <c r="I4471" s="23">
        <v>4</v>
      </c>
      <c r="J4471" s="23">
        <v>0</v>
      </c>
      <c r="K4471" s="23">
        <v>4</v>
      </c>
      <c r="L4471" s="23" t="s">
        <v>8363</v>
      </c>
      <c r="M4471" s="25">
        <v>31.6</v>
      </c>
      <c r="N4471">
        <f t="shared" si="69"/>
        <v>0</v>
      </c>
    </row>
    <row r="4472" spans="1:14" x14ac:dyDescent="0.35">
      <c r="A4472" s="6" t="s">
        <v>4542</v>
      </c>
      <c r="B4472" s="19" t="s">
        <v>57</v>
      </c>
      <c r="C4472" s="19">
        <v>10</v>
      </c>
      <c r="D4472" s="20">
        <v>45932</v>
      </c>
      <c r="E4472" s="19" t="s">
        <v>25</v>
      </c>
      <c r="F4472" s="19" t="s">
        <v>43</v>
      </c>
      <c r="G4472" s="19" t="s">
        <v>27</v>
      </c>
      <c r="H4472" s="19" t="s">
        <v>8364</v>
      </c>
      <c r="I4472" s="19">
        <v>72</v>
      </c>
      <c r="J4472" s="19">
        <v>0</v>
      </c>
      <c r="K4472" s="19">
        <v>5</v>
      </c>
      <c r="L4472" s="19" t="s">
        <v>33</v>
      </c>
      <c r="M4472" s="21">
        <v>9.6</v>
      </c>
      <c r="N4472">
        <f t="shared" si="69"/>
        <v>1</v>
      </c>
    </row>
    <row r="4473" spans="1:14" x14ac:dyDescent="0.35">
      <c r="A4473" s="22" t="s">
        <v>4543</v>
      </c>
      <c r="B4473" s="23" t="s">
        <v>45</v>
      </c>
      <c r="C4473" s="23"/>
      <c r="D4473" s="24"/>
      <c r="E4473" s="23" t="s">
        <v>8364</v>
      </c>
      <c r="F4473" s="23" t="s">
        <v>14</v>
      </c>
      <c r="G4473" s="23" t="s">
        <v>27</v>
      </c>
      <c r="H4473" s="23" t="s">
        <v>28</v>
      </c>
      <c r="I4473" s="23">
        <v>8</v>
      </c>
      <c r="J4473" s="23">
        <v>0</v>
      </c>
      <c r="K4473" s="23">
        <v>4</v>
      </c>
      <c r="L4473" s="23" t="s">
        <v>17</v>
      </c>
      <c r="M4473" s="25">
        <v>8.8000000000000007</v>
      </c>
      <c r="N4473">
        <f t="shared" si="69"/>
        <v>0</v>
      </c>
    </row>
    <row r="4474" spans="1:14" x14ac:dyDescent="0.35">
      <c r="A4474" s="6" t="s">
        <v>4544</v>
      </c>
      <c r="B4474" s="19" t="s">
        <v>99</v>
      </c>
      <c r="C4474" s="19">
        <v>10</v>
      </c>
      <c r="D4474" s="20">
        <v>45936</v>
      </c>
      <c r="E4474" s="19" t="s">
        <v>13</v>
      </c>
      <c r="F4474" s="19" t="s">
        <v>14</v>
      </c>
      <c r="G4474" s="19" t="s">
        <v>21</v>
      </c>
      <c r="H4474" s="19" t="s">
        <v>32</v>
      </c>
      <c r="I4474" s="19">
        <v>4</v>
      </c>
      <c r="J4474" s="19">
        <v>0</v>
      </c>
      <c r="K4474" s="19">
        <v>4</v>
      </c>
      <c r="L4474" s="19" t="s">
        <v>8363</v>
      </c>
      <c r="M4474" s="21">
        <v>10.8</v>
      </c>
      <c r="N4474">
        <f t="shared" si="69"/>
        <v>0</v>
      </c>
    </row>
    <row r="4475" spans="1:14" x14ac:dyDescent="0.35">
      <c r="A4475" s="22" t="s">
        <v>4545</v>
      </c>
      <c r="B4475" s="23" t="s">
        <v>47</v>
      </c>
      <c r="C4475" s="23">
        <v>4</v>
      </c>
      <c r="D4475" s="24">
        <v>45768</v>
      </c>
      <c r="E4475" s="23" t="s">
        <v>13</v>
      </c>
      <c r="F4475" s="23" t="s">
        <v>43</v>
      </c>
      <c r="G4475" s="23" t="s">
        <v>15</v>
      </c>
      <c r="H4475" s="23" t="s">
        <v>28</v>
      </c>
      <c r="I4475" s="23">
        <v>72</v>
      </c>
      <c r="J4475" s="23">
        <v>3</v>
      </c>
      <c r="K4475" s="23">
        <v>5</v>
      </c>
      <c r="L4475" s="23" t="s">
        <v>33</v>
      </c>
      <c r="M4475" s="25">
        <v>16.100000000000001</v>
      </c>
      <c r="N4475">
        <f t="shared" si="69"/>
        <v>1</v>
      </c>
    </row>
    <row r="4476" spans="1:14" x14ac:dyDescent="0.35">
      <c r="A4476" s="6" t="s">
        <v>4546</v>
      </c>
      <c r="B4476" s="19" t="s">
        <v>81</v>
      </c>
      <c r="C4476" s="19">
        <v>3</v>
      </c>
      <c r="D4476" s="20">
        <v>45730</v>
      </c>
      <c r="E4476" s="19" t="s">
        <v>25</v>
      </c>
      <c r="F4476" s="19" t="s">
        <v>14</v>
      </c>
      <c r="G4476" s="19" t="s">
        <v>27</v>
      </c>
      <c r="H4476" s="19" t="s">
        <v>8364</v>
      </c>
      <c r="I4476" s="19">
        <v>72</v>
      </c>
      <c r="J4476" s="19">
        <v>0</v>
      </c>
      <c r="K4476" s="19">
        <v>4</v>
      </c>
      <c r="L4476" s="19" t="s">
        <v>8363</v>
      </c>
      <c r="M4476" s="21"/>
      <c r="N4476">
        <f t="shared" si="69"/>
        <v>1</v>
      </c>
    </row>
    <row r="4477" spans="1:14" x14ac:dyDescent="0.35">
      <c r="A4477" s="22" t="s">
        <v>4547</v>
      </c>
      <c r="B4477" s="23" t="s">
        <v>47</v>
      </c>
      <c r="C4477" s="23">
        <v>6</v>
      </c>
      <c r="D4477" s="24">
        <v>45812</v>
      </c>
      <c r="E4477" s="23" t="s">
        <v>25</v>
      </c>
      <c r="F4477" s="23" t="s">
        <v>43</v>
      </c>
      <c r="G4477" s="23" t="s">
        <v>27</v>
      </c>
      <c r="H4477" s="23" t="s">
        <v>22</v>
      </c>
      <c r="I4477" s="23">
        <v>8</v>
      </c>
      <c r="J4477" s="23">
        <v>1</v>
      </c>
      <c r="K4477" s="23">
        <v>4</v>
      </c>
      <c r="L4477" s="23" t="s">
        <v>38</v>
      </c>
      <c r="M4477" s="25">
        <v>12.2</v>
      </c>
      <c r="N4477">
        <f t="shared" si="69"/>
        <v>0</v>
      </c>
    </row>
    <row r="4478" spans="1:14" x14ac:dyDescent="0.35">
      <c r="A4478" s="6" t="s">
        <v>4548</v>
      </c>
      <c r="B4478" s="19" t="s">
        <v>130</v>
      </c>
      <c r="C4478" s="19">
        <v>10</v>
      </c>
      <c r="D4478" s="20">
        <v>45938</v>
      </c>
      <c r="E4478" s="19" t="s">
        <v>25</v>
      </c>
      <c r="F4478" s="19" t="s">
        <v>37</v>
      </c>
      <c r="G4478" s="19" t="s">
        <v>15</v>
      </c>
      <c r="H4478" s="19" t="s">
        <v>8364</v>
      </c>
      <c r="I4478" s="19">
        <v>48</v>
      </c>
      <c r="J4478" s="19">
        <v>0</v>
      </c>
      <c r="K4478" s="19">
        <v>2</v>
      </c>
      <c r="L4478" s="19" t="s">
        <v>75</v>
      </c>
      <c r="M4478" s="21">
        <v>5.4</v>
      </c>
      <c r="N4478">
        <f t="shared" si="69"/>
        <v>1</v>
      </c>
    </row>
    <row r="4479" spans="1:14" x14ac:dyDescent="0.35">
      <c r="A4479" s="22" t="s">
        <v>4549</v>
      </c>
      <c r="B4479" s="23" t="s">
        <v>18</v>
      </c>
      <c r="C4479" s="23">
        <v>1</v>
      </c>
      <c r="D4479" s="24">
        <v>45679</v>
      </c>
      <c r="E4479" s="23" t="s">
        <v>8364</v>
      </c>
      <c r="F4479" s="23" t="s">
        <v>37</v>
      </c>
      <c r="G4479" s="23" t="s">
        <v>27</v>
      </c>
      <c r="H4479" s="23" t="s">
        <v>8364</v>
      </c>
      <c r="I4479" s="23">
        <v>48</v>
      </c>
      <c r="J4479" s="23">
        <v>0</v>
      </c>
      <c r="K4479" s="23">
        <v>4</v>
      </c>
      <c r="L4479" s="23" t="s">
        <v>33</v>
      </c>
      <c r="M4479" s="25">
        <v>8.5</v>
      </c>
      <c r="N4479">
        <f t="shared" si="69"/>
        <v>1</v>
      </c>
    </row>
    <row r="4480" spans="1:14" x14ac:dyDescent="0.35">
      <c r="A4480" s="6" t="s">
        <v>4550</v>
      </c>
      <c r="B4480" s="19" t="s">
        <v>85</v>
      </c>
      <c r="C4480" s="19">
        <v>5</v>
      </c>
      <c r="D4480" s="20">
        <v>45806</v>
      </c>
      <c r="E4480" s="19" t="s">
        <v>68</v>
      </c>
      <c r="F4480" s="19" t="s">
        <v>43</v>
      </c>
      <c r="G4480" s="19" t="s">
        <v>27</v>
      </c>
      <c r="H4480" s="19" t="s">
        <v>22</v>
      </c>
      <c r="I4480" s="19">
        <v>24</v>
      </c>
      <c r="J4480" s="19">
        <v>1</v>
      </c>
      <c r="K4480" s="19"/>
      <c r="L4480" s="19" t="s">
        <v>44</v>
      </c>
      <c r="M4480" s="21">
        <v>7.5</v>
      </c>
      <c r="N4480">
        <f t="shared" si="69"/>
        <v>1</v>
      </c>
    </row>
    <row r="4481" spans="1:14" x14ac:dyDescent="0.35">
      <c r="A4481" s="22" t="s">
        <v>4551</v>
      </c>
      <c r="B4481" s="23" t="s">
        <v>81</v>
      </c>
      <c r="C4481" s="23">
        <v>8</v>
      </c>
      <c r="D4481" s="24">
        <v>45888</v>
      </c>
      <c r="E4481" s="23" t="s">
        <v>13</v>
      </c>
      <c r="F4481" s="23" t="s">
        <v>37</v>
      </c>
      <c r="G4481" s="23" t="s">
        <v>27</v>
      </c>
      <c r="H4481" s="23" t="s">
        <v>32</v>
      </c>
      <c r="I4481" s="23">
        <v>8</v>
      </c>
      <c r="J4481" s="23">
        <v>0</v>
      </c>
      <c r="K4481" s="23">
        <v>5</v>
      </c>
      <c r="L4481" s="23" t="s">
        <v>8363</v>
      </c>
      <c r="M4481" s="25">
        <v>7</v>
      </c>
      <c r="N4481">
        <f t="shared" si="69"/>
        <v>1</v>
      </c>
    </row>
    <row r="4482" spans="1:14" x14ac:dyDescent="0.35">
      <c r="A4482" s="6" t="s">
        <v>4552</v>
      </c>
      <c r="B4482" s="19" t="s">
        <v>108</v>
      </c>
      <c r="C4482" s="19">
        <v>10</v>
      </c>
      <c r="D4482" s="20">
        <v>45939</v>
      </c>
      <c r="E4482" s="19" t="s">
        <v>25</v>
      </c>
      <c r="F4482" s="19" t="s">
        <v>37</v>
      </c>
      <c r="G4482" s="19" t="s">
        <v>27</v>
      </c>
      <c r="H4482" s="19" t="s">
        <v>22</v>
      </c>
      <c r="I4482" s="19">
        <v>8</v>
      </c>
      <c r="J4482" s="19">
        <v>2</v>
      </c>
      <c r="K4482" s="19">
        <v>3</v>
      </c>
      <c r="L4482" s="19" t="s">
        <v>8363</v>
      </c>
      <c r="M4482" s="21">
        <v>38.299999999999997</v>
      </c>
      <c r="N4482">
        <f t="shared" si="69"/>
        <v>0</v>
      </c>
    </row>
    <row r="4483" spans="1:14" x14ac:dyDescent="0.35">
      <c r="A4483" s="22" t="s">
        <v>4553</v>
      </c>
      <c r="B4483" s="23" t="s">
        <v>34</v>
      </c>
      <c r="C4483" s="23">
        <v>3</v>
      </c>
      <c r="D4483" s="24">
        <v>45723</v>
      </c>
      <c r="E4483" s="23" t="s">
        <v>8364</v>
      </c>
      <c r="F4483" s="23" t="s">
        <v>43</v>
      </c>
      <c r="G4483" s="23" t="s">
        <v>31</v>
      </c>
      <c r="H4483" s="23" t="s">
        <v>22</v>
      </c>
      <c r="I4483" s="23">
        <v>24</v>
      </c>
      <c r="J4483" s="23">
        <v>0</v>
      </c>
      <c r="K4483" s="23">
        <v>4</v>
      </c>
      <c r="L4483" s="23" t="s">
        <v>17</v>
      </c>
      <c r="M4483" s="25">
        <v>6.3</v>
      </c>
      <c r="N4483">
        <f t="shared" ref="N4483:N4546" si="70">IF(M4483 &lt;= I4483, 1, 0)</f>
        <v>1</v>
      </c>
    </row>
    <row r="4484" spans="1:14" x14ac:dyDescent="0.35">
      <c r="A4484" s="6" t="s">
        <v>4554</v>
      </c>
      <c r="B4484" s="19" t="s">
        <v>45</v>
      </c>
      <c r="C4484" s="19">
        <v>5</v>
      </c>
      <c r="D4484" s="20">
        <v>45797</v>
      </c>
      <c r="E4484" s="19" t="s">
        <v>13</v>
      </c>
      <c r="F4484" s="19" t="s">
        <v>14</v>
      </c>
      <c r="G4484" s="19" t="s">
        <v>21</v>
      </c>
      <c r="H4484" s="19" t="s">
        <v>32</v>
      </c>
      <c r="I4484" s="19">
        <v>24</v>
      </c>
      <c r="J4484" s="19">
        <v>0</v>
      </c>
      <c r="K4484" s="19">
        <v>5</v>
      </c>
      <c r="L4484" s="19" t="s">
        <v>44</v>
      </c>
      <c r="M4484" s="21">
        <v>4.5999999999999996</v>
      </c>
      <c r="N4484">
        <f t="shared" si="70"/>
        <v>1</v>
      </c>
    </row>
    <row r="4485" spans="1:14" x14ac:dyDescent="0.35">
      <c r="A4485" s="22" t="s">
        <v>4555</v>
      </c>
      <c r="B4485" s="23" t="s">
        <v>89</v>
      </c>
      <c r="C4485" s="23">
        <v>8</v>
      </c>
      <c r="D4485" s="24">
        <v>45876</v>
      </c>
      <c r="E4485" s="23" t="s">
        <v>25</v>
      </c>
      <c r="F4485" s="23" t="s">
        <v>43</v>
      </c>
      <c r="G4485" s="23" t="s">
        <v>31</v>
      </c>
      <c r="H4485" s="23" t="s">
        <v>8364</v>
      </c>
      <c r="I4485" s="23">
        <v>72</v>
      </c>
      <c r="J4485" s="23">
        <v>1</v>
      </c>
      <c r="K4485" s="23">
        <v>3</v>
      </c>
      <c r="L4485" s="23" t="s">
        <v>75</v>
      </c>
      <c r="M4485" s="25">
        <v>7.6</v>
      </c>
      <c r="N4485">
        <f t="shared" si="70"/>
        <v>1</v>
      </c>
    </row>
    <row r="4486" spans="1:14" x14ac:dyDescent="0.35">
      <c r="A4486" s="6" t="s">
        <v>4556</v>
      </c>
      <c r="B4486" s="19" t="s">
        <v>23</v>
      </c>
      <c r="C4486" s="19">
        <v>12</v>
      </c>
      <c r="D4486" s="20">
        <v>45994</v>
      </c>
      <c r="E4486" s="19" t="s">
        <v>25</v>
      </c>
      <c r="F4486" s="19" t="s">
        <v>37</v>
      </c>
      <c r="G4486" s="19" t="s">
        <v>27</v>
      </c>
      <c r="H4486" s="19" t="s">
        <v>8364</v>
      </c>
      <c r="I4486" s="19">
        <v>8</v>
      </c>
      <c r="J4486" s="19">
        <v>0</v>
      </c>
      <c r="K4486" s="19">
        <v>5</v>
      </c>
      <c r="L4486" s="19" t="s">
        <v>38</v>
      </c>
      <c r="M4486" s="21">
        <v>4.3</v>
      </c>
      <c r="N4486">
        <f t="shared" si="70"/>
        <v>1</v>
      </c>
    </row>
    <row r="4487" spans="1:14" x14ac:dyDescent="0.35">
      <c r="A4487" s="22" t="s">
        <v>4557</v>
      </c>
      <c r="B4487" s="23" t="s">
        <v>57</v>
      </c>
      <c r="C4487" s="23">
        <v>4</v>
      </c>
      <c r="D4487" s="24">
        <v>45769</v>
      </c>
      <c r="E4487" s="23" t="s">
        <v>13</v>
      </c>
      <c r="F4487" s="23" t="s">
        <v>43</v>
      </c>
      <c r="G4487" s="23" t="s">
        <v>31</v>
      </c>
      <c r="H4487" s="23" t="s">
        <v>22</v>
      </c>
      <c r="I4487" s="23">
        <v>8</v>
      </c>
      <c r="J4487" s="23">
        <v>1</v>
      </c>
      <c r="K4487" s="23">
        <v>5</v>
      </c>
      <c r="L4487" s="23" t="s">
        <v>17</v>
      </c>
      <c r="M4487" s="25">
        <v>7</v>
      </c>
      <c r="N4487">
        <f t="shared" si="70"/>
        <v>1</v>
      </c>
    </row>
    <row r="4488" spans="1:14" x14ac:dyDescent="0.35">
      <c r="A4488" s="6" t="s">
        <v>4558</v>
      </c>
      <c r="B4488" s="19" t="s">
        <v>89</v>
      </c>
      <c r="C4488" s="19">
        <v>4</v>
      </c>
      <c r="D4488" s="20">
        <v>45766</v>
      </c>
      <c r="E4488" s="19" t="s">
        <v>25</v>
      </c>
      <c r="F4488" s="19" t="s">
        <v>37</v>
      </c>
      <c r="G4488" s="19" t="s">
        <v>21</v>
      </c>
      <c r="H4488" s="19" t="s">
        <v>8364</v>
      </c>
      <c r="I4488" s="19">
        <v>24</v>
      </c>
      <c r="J4488" s="19">
        <v>0</v>
      </c>
      <c r="K4488" s="19">
        <v>2</v>
      </c>
      <c r="L4488" s="19" t="s">
        <v>33</v>
      </c>
      <c r="M4488" s="21">
        <v>2.4</v>
      </c>
      <c r="N4488">
        <f t="shared" si="70"/>
        <v>1</v>
      </c>
    </row>
    <row r="4489" spans="1:14" x14ac:dyDescent="0.35">
      <c r="A4489" s="22" t="s">
        <v>4559</v>
      </c>
      <c r="B4489" s="23" t="s">
        <v>65</v>
      </c>
      <c r="C4489" s="23">
        <v>1</v>
      </c>
      <c r="D4489" s="24">
        <v>45658</v>
      </c>
      <c r="E4489" s="23" t="s">
        <v>13</v>
      </c>
      <c r="F4489" s="23" t="s">
        <v>43</v>
      </c>
      <c r="G4489" s="23" t="s">
        <v>8364</v>
      </c>
      <c r="H4489" s="23" t="s">
        <v>32</v>
      </c>
      <c r="I4489" s="23">
        <v>72</v>
      </c>
      <c r="J4489" s="23"/>
      <c r="K4489" s="23">
        <v>2</v>
      </c>
      <c r="L4489" s="23" t="s">
        <v>38</v>
      </c>
      <c r="M4489" s="25">
        <v>12.5</v>
      </c>
      <c r="N4489">
        <f t="shared" si="70"/>
        <v>1</v>
      </c>
    </row>
    <row r="4490" spans="1:14" x14ac:dyDescent="0.35">
      <c r="A4490" s="6" t="s">
        <v>4560</v>
      </c>
      <c r="B4490" s="19" t="s">
        <v>34</v>
      </c>
      <c r="C4490" s="19">
        <v>10</v>
      </c>
      <c r="D4490" s="20">
        <v>45938</v>
      </c>
      <c r="E4490" s="19" t="s">
        <v>25</v>
      </c>
      <c r="F4490" s="19" t="s">
        <v>26</v>
      </c>
      <c r="G4490" s="19" t="s">
        <v>21</v>
      </c>
      <c r="H4490" s="19" t="s">
        <v>28</v>
      </c>
      <c r="I4490" s="19">
        <v>72</v>
      </c>
      <c r="J4490" s="19">
        <v>0</v>
      </c>
      <c r="K4490" s="19">
        <v>5</v>
      </c>
      <c r="L4490" s="19" t="s">
        <v>8363</v>
      </c>
      <c r="M4490" s="21">
        <v>4.9000000000000004</v>
      </c>
      <c r="N4490">
        <f t="shared" si="70"/>
        <v>1</v>
      </c>
    </row>
    <row r="4491" spans="1:14" x14ac:dyDescent="0.35">
      <c r="A4491" s="22" t="s">
        <v>4561</v>
      </c>
      <c r="B4491" s="23" t="s">
        <v>29</v>
      </c>
      <c r="C4491" s="23">
        <v>9</v>
      </c>
      <c r="D4491" s="24">
        <v>45908</v>
      </c>
      <c r="E4491" s="23" t="s">
        <v>25</v>
      </c>
      <c r="F4491" s="23" t="s">
        <v>59</v>
      </c>
      <c r="G4491" s="23" t="s">
        <v>31</v>
      </c>
      <c r="H4491" s="23" t="s">
        <v>8364</v>
      </c>
      <c r="I4491" s="23">
        <v>48</v>
      </c>
      <c r="J4491" s="23"/>
      <c r="K4491" s="23">
        <v>5</v>
      </c>
      <c r="L4491" s="23" t="s">
        <v>62</v>
      </c>
      <c r="M4491" s="25">
        <v>5.0999999999999996</v>
      </c>
      <c r="N4491">
        <f t="shared" si="70"/>
        <v>1</v>
      </c>
    </row>
    <row r="4492" spans="1:14" x14ac:dyDescent="0.35">
      <c r="A4492" s="6" t="s">
        <v>4562</v>
      </c>
      <c r="B4492" s="19" t="s">
        <v>57</v>
      </c>
      <c r="C4492" s="19">
        <v>12</v>
      </c>
      <c r="D4492" s="20">
        <v>46005</v>
      </c>
      <c r="E4492" s="19" t="s">
        <v>20</v>
      </c>
      <c r="F4492" s="19" t="s">
        <v>40</v>
      </c>
      <c r="G4492" s="19" t="s">
        <v>15</v>
      </c>
      <c r="H4492" s="19" t="s">
        <v>32</v>
      </c>
      <c r="I4492" s="19">
        <v>72</v>
      </c>
      <c r="J4492" s="19">
        <v>0</v>
      </c>
      <c r="K4492" s="19">
        <v>3</v>
      </c>
      <c r="L4492" s="19" t="s">
        <v>55</v>
      </c>
      <c r="M4492" s="21">
        <v>8</v>
      </c>
      <c r="N4492">
        <f t="shared" si="70"/>
        <v>1</v>
      </c>
    </row>
    <row r="4493" spans="1:14" x14ac:dyDescent="0.35">
      <c r="A4493" s="22" t="s">
        <v>4563</v>
      </c>
      <c r="B4493" s="23" t="s">
        <v>253</v>
      </c>
      <c r="C4493" s="23">
        <v>10</v>
      </c>
      <c r="D4493" s="24">
        <v>45936</v>
      </c>
      <c r="E4493" s="23" t="s">
        <v>25</v>
      </c>
      <c r="F4493" s="23" t="s">
        <v>8364</v>
      </c>
      <c r="G4493" s="23" t="s">
        <v>31</v>
      </c>
      <c r="H4493" s="23" t="s">
        <v>8364</v>
      </c>
      <c r="I4493" s="23">
        <v>24</v>
      </c>
      <c r="J4493" s="23">
        <v>0</v>
      </c>
      <c r="K4493" s="23">
        <v>4</v>
      </c>
      <c r="L4493" s="23" t="s">
        <v>33</v>
      </c>
      <c r="M4493" s="25">
        <v>19.899999999999999</v>
      </c>
      <c r="N4493">
        <f t="shared" si="70"/>
        <v>1</v>
      </c>
    </row>
    <row r="4494" spans="1:14" x14ac:dyDescent="0.35">
      <c r="A4494" s="6" t="s">
        <v>4564</v>
      </c>
      <c r="B4494" s="19" t="s">
        <v>49</v>
      </c>
      <c r="C4494" s="19">
        <v>3</v>
      </c>
      <c r="D4494" s="20">
        <v>45727</v>
      </c>
      <c r="E4494" s="19" t="s">
        <v>8364</v>
      </c>
      <c r="F4494" s="19" t="s">
        <v>59</v>
      </c>
      <c r="G4494" s="19" t="s">
        <v>27</v>
      </c>
      <c r="H4494" s="19" t="s">
        <v>22</v>
      </c>
      <c r="I4494" s="19">
        <v>4</v>
      </c>
      <c r="J4494" s="19">
        <v>0</v>
      </c>
      <c r="K4494" s="19"/>
      <c r="L4494" s="19" t="s">
        <v>38</v>
      </c>
      <c r="M4494" s="21">
        <v>3.6</v>
      </c>
      <c r="N4494">
        <f t="shared" si="70"/>
        <v>1</v>
      </c>
    </row>
    <row r="4495" spans="1:14" x14ac:dyDescent="0.35">
      <c r="A4495" s="22" t="s">
        <v>4565</v>
      </c>
      <c r="B4495" s="23" t="s">
        <v>47</v>
      </c>
      <c r="C4495" s="23">
        <v>11</v>
      </c>
      <c r="D4495" s="24">
        <v>45970</v>
      </c>
      <c r="E4495" s="23" t="s">
        <v>20</v>
      </c>
      <c r="F4495" s="23" t="s">
        <v>14</v>
      </c>
      <c r="G4495" s="23" t="s">
        <v>27</v>
      </c>
      <c r="H4495" s="23" t="s">
        <v>8364</v>
      </c>
      <c r="I4495" s="23">
        <v>48</v>
      </c>
      <c r="J4495" s="23">
        <v>0</v>
      </c>
      <c r="K4495" s="23">
        <v>2</v>
      </c>
      <c r="L4495" s="23" t="s">
        <v>8363</v>
      </c>
      <c r="M4495" s="25">
        <v>4.8</v>
      </c>
      <c r="N4495">
        <f t="shared" si="70"/>
        <v>1</v>
      </c>
    </row>
    <row r="4496" spans="1:14" x14ac:dyDescent="0.35">
      <c r="A4496" s="6" t="s">
        <v>4566</v>
      </c>
      <c r="B4496" s="19" t="s">
        <v>92</v>
      </c>
      <c r="C4496" s="19">
        <v>8</v>
      </c>
      <c r="D4496" s="20">
        <v>45885</v>
      </c>
      <c r="E4496" s="19" t="s">
        <v>36</v>
      </c>
      <c r="F4496" s="19" t="s">
        <v>43</v>
      </c>
      <c r="G4496" s="19" t="s">
        <v>15</v>
      </c>
      <c r="H4496" s="19" t="s">
        <v>8364</v>
      </c>
      <c r="I4496" s="19">
        <v>8</v>
      </c>
      <c r="J4496" s="19">
        <v>0</v>
      </c>
      <c r="K4496" s="19">
        <v>5</v>
      </c>
      <c r="L4496" s="19" t="s">
        <v>17</v>
      </c>
      <c r="M4496" s="21">
        <v>11.9</v>
      </c>
      <c r="N4496">
        <f t="shared" si="70"/>
        <v>0</v>
      </c>
    </row>
    <row r="4497" spans="1:14" x14ac:dyDescent="0.35">
      <c r="A4497" s="22" t="s">
        <v>4567</v>
      </c>
      <c r="B4497" s="23" t="s">
        <v>72</v>
      </c>
      <c r="C4497" s="23">
        <v>10</v>
      </c>
      <c r="D4497" s="24">
        <v>45935</v>
      </c>
      <c r="E4497" s="23" t="s">
        <v>68</v>
      </c>
      <c r="F4497" s="23" t="s">
        <v>40</v>
      </c>
      <c r="G4497" s="23" t="s">
        <v>15</v>
      </c>
      <c r="H4497" s="23" t="s">
        <v>22</v>
      </c>
      <c r="I4497" s="23">
        <v>8</v>
      </c>
      <c r="J4497" s="23">
        <v>3</v>
      </c>
      <c r="K4497" s="23">
        <v>4</v>
      </c>
      <c r="L4497" s="23" t="s">
        <v>62</v>
      </c>
      <c r="M4497" s="25">
        <v>6.1</v>
      </c>
      <c r="N4497">
        <f t="shared" si="70"/>
        <v>1</v>
      </c>
    </row>
    <row r="4498" spans="1:14" x14ac:dyDescent="0.35">
      <c r="A4498" s="6" t="s">
        <v>4568</v>
      </c>
      <c r="B4498" s="19" t="s">
        <v>85</v>
      </c>
      <c r="C4498" s="19">
        <v>12</v>
      </c>
      <c r="D4498" s="20">
        <v>46013</v>
      </c>
      <c r="E4498" s="19" t="s">
        <v>13</v>
      </c>
      <c r="F4498" s="19" t="s">
        <v>40</v>
      </c>
      <c r="G4498" s="19" t="s">
        <v>8364</v>
      </c>
      <c r="H4498" s="19" t="s">
        <v>16</v>
      </c>
      <c r="I4498" s="19">
        <v>8</v>
      </c>
      <c r="J4498" s="19">
        <v>0</v>
      </c>
      <c r="K4498" s="19">
        <v>5</v>
      </c>
      <c r="L4498" s="19" t="s">
        <v>55</v>
      </c>
      <c r="M4498" s="21">
        <v>19.2</v>
      </c>
      <c r="N4498">
        <f t="shared" si="70"/>
        <v>0</v>
      </c>
    </row>
    <row r="4499" spans="1:14" x14ac:dyDescent="0.35">
      <c r="A4499" s="22" t="s">
        <v>4569</v>
      </c>
      <c r="B4499" s="23" t="s">
        <v>126</v>
      </c>
      <c r="C4499" s="23"/>
      <c r="D4499" s="24"/>
      <c r="E4499" s="23" t="s">
        <v>25</v>
      </c>
      <c r="F4499" s="23" t="s">
        <v>14</v>
      </c>
      <c r="G4499" s="23" t="s">
        <v>31</v>
      </c>
      <c r="H4499" s="23" t="s">
        <v>32</v>
      </c>
      <c r="I4499" s="23">
        <v>4</v>
      </c>
      <c r="J4499" s="23">
        <v>0</v>
      </c>
      <c r="K4499" s="23">
        <v>4</v>
      </c>
      <c r="L4499" s="23" t="s">
        <v>38</v>
      </c>
      <c r="M4499" s="25">
        <v>17.899999999999999</v>
      </c>
      <c r="N4499">
        <f t="shared" si="70"/>
        <v>0</v>
      </c>
    </row>
    <row r="4500" spans="1:14" x14ac:dyDescent="0.35">
      <c r="A4500" s="6" t="s">
        <v>4570</v>
      </c>
      <c r="B4500" s="19" t="s">
        <v>51</v>
      </c>
      <c r="C4500" s="19"/>
      <c r="D4500" s="20"/>
      <c r="E4500" s="19" t="s">
        <v>25</v>
      </c>
      <c r="F4500" s="19" t="s">
        <v>26</v>
      </c>
      <c r="G4500" s="19" t="s">
        <v>31</v>
      </c>
      <c r="H4500" s="19" t="s">
        <v>22</v>
      </c>
      <c r="I4500" s="19">
        <v>72</v>
      </c>
      <c r="J4500" s="19">
        <v>0</v>
      </c>
      <c r="K4500" s="19">
        <v>4</v>
      </c>
      <c r="L4500" s="19" t="s">
        <v>38</v>
      </c>
      <c r="M4500" s="21">
        <v>8</v>
      </c>
      <c r="N4500">
        <f t="shared" si="70"/>
        <v>1</v>
      </c>
    </row>
    <row r="4501" spans="1:14" x14ac:dyDescent="0.35">
      <c r="A4501" s="22" t="s">
        <v>4571</v>
      </c>
      <c r="B4501" s="23" t="s">
        <v>99</v>
      </c>
      <c r="C4501" s="23">
        <v>8</v>
      </c>
      <c r="D4501" s="24">
        <v>45876</v>
      </c>
      <c r="E4501" s="23" t="s">
        <v>13</v>
      </c>
      <c r="F4501" s="23" t="s">
        <v>8364</v>
      </c>
      <c r="G4501" s="23" t="s">
        <v>27</v>
      </c>
      <c r="H4501" s="23" t="s">
        <v>28</v>
      </c>
      <c r="I4501" s="23">
        <v>72</v>
      </c>
      <c r="J4501" s="23">
        <v>2</v>
      </c>
      <c r="K4501" s="23">
        <v>4</v>
      </c>
      <c r="L4501" s="23" t="s">
        <v>62</v>
      </c>
      <c r="M4501" s="25">
        <v>7.7</v>
      </c>
      <c r="N4501">
        <f t="shared" si="70"/>
        <v>1</v>
      </c>
    </row>
    <row r="4502" spans="1:14" x14ac:dyDescent="0.35">
      <c r="A4502" s="6" t="s">
        <v>4572</v>
      </c>
      <c r="B4502" s="19" t="s">
        <v>34</v>
      </c>
      <c r="C4502" s="19">
        <v>12</v>
      </c>
      <c r="D4502" s="20">
        <v>45995</v>
      </c>
      <c r="E4502" s="19" t="s">
        <v>68</v>
      </c>
      <c r="F4502" s="19" t="s">
        <v>59</v>
      </c>
      <c r="G4502" s="19" t="s">
        <v>21</v>
      </c>
      <c r="H4502" s="19" t="s">
        <v>8364</v>
      </c>
      <c r="I4502" s="19">
        <v>72</v>
      </c>
      <c r="J4502" s="19">
        <v>0</v>
      </c>
      <c r="K4502" s="19">
        <v>3</v>
      </c>
      <c r="L4502" s="19" t="s">
        <v>38</v>
      </c>
      <c r="M4502" s="21">
        <v>7</v>
      </c>
      <c r="N4502">
        <f t="shared" si="70"/>
        <v>1</v>
      </c>
    </row>
    <row r="4503" spans="1:14" x14ac:dyDescent="0.35">
      <c r="A4503" s="22" t="s">
        <v>4573</v>
      </c>
      <c r="B4503" s="23" t="s">
        <v>81</v>
      </c>
      <c r="C4503" s="23">
        <v>5</v>
      </c>
      <c r="D4503" s="24">
        <v>45801</v>
      </c>
      <c r="E4503" s="23" t="s">
        <v>68</v>
      </c>
      <c r="F4503" s="23" t="s">
        <v>43</v>
      </c>
      <c r="G4503" s="23" t="s">
        <v>15</v>
      </c>
      <c r="H4503" s="23" t="s">
        <v>22</v>
      </c>
      <c r="I4503" s="23">
        <v>8</v>
      </c>
      <c r="J4503" s="23">
        <v>0</v>
      </c>
      <c r="K4503" s="23">
        <v>5</v>
      </c>
      <c r="L4503" s="23" t="s">
        <v>8363</v>
      </c>
      <c r="M4503" s="25">
        <v>14</v>
      </c>
      <c r="N4503">
        <f t="shared" si="70"/>
        <v>0</v>
      </c>
    </row>
    <row r="4504" spans="1:14" x14ac:dyDescent="0.35">
      <c r="A4504" s="6" t="s">
        <v>4574</v>
      </c>
      <c r="B4504" s="19" t="s">
        <v>65</v>
      </c>
      <c r="C4504" s="19">
        <v>3</v>
      </c>
      <c r="D4504" s="20">
        <v>45740</v>
      </c>
      <c r="E4504" s="19" t="s">
        <v>13</v>
      </c>
      <c r="F4504" s="19" t="s">
        <v>40</v>
      </c>
      <c r="G4504" s="19" t="s">
        <v>31</v>
      </c>
      <c r="H4504" s="19" t="s">
        <v>28</v>
      </c>
      <c r="I4504" s="19">
        <v>48</v>
      </c>
      <c r="J4504" s="19">
        <v>0</v>
      </c>
      <c r="K4504" s="19">
        <v>4</v>
      </c>
      <c r="L4504" s="19" t="s">
        <v>8363</v>
      </c>
      <c r="M4504" s="21">
        <v>13.8</v>
      </c>
      <c r="N4504">
        <f t="shared" si="70"/>
        <v>1</v>
      </c>
    </row>
    <row r="4505" spans="1:14" x14ac:dyDescent="0.35">
      <c r="A4505" s="22" t="s">
        <v>4575</v>
      </c>
      <c r="B4505" s="23" t="s">
        <v>29</v>
      </c>
      <c r="C4505" s="23">
        <v>5</v>
      </c>
      <c r="D4505" s="24">
        <v>45802</v>
      </c>
      <c r="E4505" s="23" t="s">
        <v>68</v>
      </c>
      <c r="F4505" s="23" t="s">
        <v>59</v>
      </c>
      <c r="G4505" s="23" t="s">
        <v>15</v>
      </c>
      <c r="H4505" s="23" t="s">
        <v>28</v>
      </c>
      <c r="I4505" s="23">
        <v>24</v>
      </c>
      <c r="J4505" s="23">
        <v>2</v>
      </c>
      <c r="K4505" s="23">
        <v>1</v>
      </c>
      <c r="L4505" s="23" t="s">
        <v>17</v>
      </c>
      <c r="M4505" s="25">
        <v>6.8</v>
      </c>
      <c r="N4505">
        <f t="shared" si="70"/>
        <v>1</v>
      </c>
    </row>
    <row r="4506" spans="1:14" x14ac:dyDescent="0.35">
      <c r="A4506" s="6" t="s">
        <v>4576</v>
      </c>
      <c r="B4506" s="19" t="s">
        <v>181</v>
      </c>
      <c r="C4506" s="19">
        <v>6</v>
      </c>
      <c r="D4506" s="20">
        <v>45820</v>
      </c>
      <c r="E4506" s="19" t="s">
        <v>20</v>
      </c>
      <c r="F4506" s="19" t="s">
        <v>43</v>
      </c>
      <c r="G4506" s="19" t="s">
        <v>21</v>
      </c>
      <c r="H4506" s="19" t="s">
        <v>8364</v>
      </c>
      <c r="I4506" s="19">
        <v>24</v>
      </c>
      <c r="J4506" s="19">
        <v>0</v>
      </c>
      <c r="K4506" s="19">
        <v>1</v>
      </c>
      <c r="L4506" s="19" t="s">
        <v>33</v>
      </c>
      <c r="M4506" s="21">
        <v>8.5</v>
      </c>
      <c r="N4506">
        <f t="shared" si="70"/>
        <v>1</v>
      </c>
    </row>
    <row r="4507" spans="1:14" x14ac:dyDescent="0.35">
      <c r="A4507" s="22" t="s">
        <v>4577</v>
      </c>
      <c r="B4507" s="23" t="s">
        <v>69</v>
      </c>
      <c r="C4507" s="23">
        <v>11</v>
      </c>
      <c r="D4507" s="24">
        <v>45989</v>
      </c>
      <c r="E4507" s="23" t="s">
        <v>36</v>
      </c>
      <c r="F4507" s="23" t="s">
        <v>8364</v>
      </c>
      <c r="G4507" s="23" t="s">
        <v>31</v>
      </c>
      <c r="H4507" s="23" t="s">
        <v>32</v>
      </c>
      <c r="I4507" s="23">
        <v>48</v>
      </c>
      <c r="J4507" s="23">
        <v>2</v>
      </c>
      <c r="K4507" s="23">
        <v>5</v>
      </c>
      <c r="L4507" s="23" t="s">
        <v>75</v>
      </c>
      <c r="M4507" s="25">
        <v>4.9000000000000004</v>
      </c>
      <c r="N4507">
        <f t="shared" si="70"/>
        <v>1</v>
      </c>
    </row>
    <row r="4508" spans="1:14" x14ac:dyDescent="0.35">
      <c r="A4508" s="6" t="s">
        <v>4578</v>
      </c>
      <c r="B4508" s="19" t="s">
        <v>72</v>
      </c>
      <c r="C4508" s="19">
        <v>6</v>
      </c>
      <c r="D4508" s="20">
        <v>45823</v>
      </c>
      <c r="E4508" s="19" t="s">
        <v>8364</v>
      </c>
      <c r="F4508" s="19" t="s">
        <v>59</v>
      </c>
      <c r="G4508" s="19" t="s">
        <v>27</v>
      </c>
      <c r="H4508" s="19" t="s">
        <v>22</v>
      </c>
      <c r="I4508" s="19">
        <v>4</v>
      </c>
      <c r="J4508" s="19">
        <v>0</v>
      </c>
      <c r="K4508" s="19">
        <v>4</v>
      </c>
      <c r="L4508" s="19" t="s">
        <v>55</v>
      </c>
      <c r="M4508" s="21">
        <v>18.600000000000001</v>
      </c>
      <c r="N4508">
        <f t="shared" si="70"/>
        <v>0</v>
      </c>
    </row>
    <row r="4509" spans="1:14" x14ac:dyDescent="0.35">
      <c r="A4509" s="22" t="s">
        <v>4579</v>
      </c>
      <c r="B4509" s="23" t="s">
        <v>18</v>
      </c>
      <c r="C4509" s="23">
        <v>4</v>
      </c>
      <c r="D4509" s="24">
        <v>45749</v>
      </c>
      <c r="E4509" s="23" t="s">
        <v>25</v>
      </c>
      <c r="F4509" s="23" t="s">
        <v>43</v>
      </c>
      <c r="G4509" s="23" t="s">
        <v>27</v>
      </c>
      <c r="H4509" s="23" t="s">
        <v>28</v>
      </c>
      <c r="I4509" s="23">
        <v>48</v>
      </c>
      <c r="J4509" s="23">
        <v>0</v>
      </c>
      <c r="K4509" s="23">
        <v>4</v>
      </c>
      <c r="L4509" s="23" t="s">
        <v>17</v>
      </c>
      <c r="M4509" s="25">
        <v>2.5</v>
      </c>
      <c r="N4509">
        <f t="shared" si="70"/>
        <v>1</v>
      </c>
    </row>
    <row r="4510" spans="1:14" x14ac:dyDescent="0.35">
      <c r="A4510" s="6" t="s">
        <v>4580</v>
      </c>
      <c r="B4510" s="19" t="s">
        <v>81</v>
      </c>
      <c r="C4510" s="19">
        <v>7</v>
      </c>
      <c r="D4510" s="20">
        <v>45849</v>
      </c>
      <c r="E4510" s="19" t="s">
        <v>25</v>
      </c>
      <c r="F4510" s="19" t="s">
        <v>14</v>
      </c>
      <c r="G4510" s="19" t="s">
        <v>31</v>
      </c>
      <c r="H4510" s="19" t="s">
        <v>22</v>
      </c>
      <c r="I4510" s="19">
        <v>8</v>
      </c>
      <c r="J4510" s="19">
        <v>0</v>
      </c>
      <c r="K4510" s="19"/>
      <c r="L4510" s="19" t="s">
        <v>55</v>
      </c>
      <c r="M4510" s="21">
        <v>4.3</v>
      </c>
      <c r="N4510">
        <f t="shared" si="70"/>
        <v>1</v>
      </c>
    </row>
    <row r="4511" spans="1:14" x14ac:dyDescent="0.35">
      <c r="A4511" s="22" t="s">
        <v>4581</v>
      </c>
      <c r="B4511" s="23" t="s">
        <v>253</v>
      </c>
      <c r="C4511" s="23">
        <v>1</v>
      </c>
      <c r="D4511" s="24">
        <v>45664</v>
      </c>
      <c r="E4511" s="23" t="s">
        <v>13</v>
      </c>
      <c r="F4511" s="23" t="s">
        <v>14</v>
      </c>
      <c r="G4511" s="23" t="s">
        <v>21</v>
      </c>
      <c r="H4511" s="23" t="s">
        <v>28</v>
      </c>
      <c r="I4511" s="23">
        <v>8</v>
      </c>
      <c r="J4511" s="23">
        <v>0</v>
      </c>
      <c r="K4511" s="23">
        <v>5</v>
      </c>
      <c r="L4511" s="23" t="s">
        <v>8363</v>
      </c>
      <c r="M4511" s="25">
        <v>18.600000000000001</v>
      </c>
      <c r="N4511">
        <f t="shared" si="70"/>
        <v>0</v>
      </c>
    </row>
    <row r="4512" spans="1:14" x14ac:dyDescent="0.35">
      <c r="A4512" s="6" t="s">
        <v>4582</v>
      </c>
      <c r="B4512" s="19" t="s">
        <v>53</v>
      </c>
      <c r="C4512" s="19">
        <v>10</v>
      </c>
      <c r="D4512" s="20">
        <v>45932</v>
      </c>
      <c r="E4512" s="19" t="s">
        <v>68</v>
      </c>
      <c r="F4512" s="19" t="s">
        <v>43</v>
      </c>
      <c r="G4512" s="19" t="s">
        <v>15</v>
      </c>
      <c r="H4512" s="19" t="s">
        <v>16</v>
      </c>
      <c r="I4512" s="19">
        <v>48</v>
      </c>
      <c r="J4512" s="19">
        <v>2</v>
      </c>
      <c r="K4512" s="19">
        <v>4</v>
      </c>
      <c r="L4512" s="19" t="s">
        <v>44</v>
      </c>
      <c r="M4512" s="21">
        <v>12.6</v>
      </c>
      <c r="N4512">
        <f t="shared" si="70"/>
        <v>1</v>
      </c>
    </row>
    <row r="4513" spans="1:14" x14ac:dyDescent="0.35">
      <c r="A4513" s="22" t="s">
        <v>4583</v>
      </c>
      <c r="B4513" s="23" t="s">
        <v>158</v>
      </c>
      <c r="C4513" s="23">
        <v>6</v>
      </c>
      <c r="D4513" s="24">
        <v>45822</v>
      </c>
      <c r="E4513" s="23" t="s">
        <v>8364</v>
      </c>
      <c r="F4513" s="23" t="s">
        <v>26</v>
      </c>
      <c r="G4513" s="23" t="s">
        <v>31</v>
      </c>
      <c r="H4513" s="23" t="s">
        <v>22</v>
      </c>
      <c r="I4513" s="23">
        <v>24</v>
      </c>
      <c r="J4513" s="23">
        <v>0</v>
      </c>
      <c r="K4513" s="23">
        <v>4</v>
      </c>
      <c r="L4513" s="23" t="s">
        <v>44</v>
      </c>
      <c r="M4513" s="25">
        <v>7</v>
      </c>
      <c r="N4513">
        <f t="shared" si="70"/>
        <v>1</v>
      </c>
    </row>
    <row r="4514" spans="1:14" x14ac:dyDescent="0.35">
      <c r="A4514" s="6" t="s">
        <v>4584</v>
      </c>
      <c r="B4514" s="19" t="s">
        <v>69</v>
      </c>
      <c r="C4514" s="19">
        <v>2</v>
      </c>
      <c r="D4514" s="20">
        <v>45692</v>
      </c>
      <c r="E4514" s="19" t="s">
        <v>68</v>
      </c>
      <c r="F4514" s="19" t="s">
        <v>37</v>
      </c>
      <c r="G4514" s="19" t="s">
        <v>31</v>
      </c>
      <c r="H4514" s="19" t="s">
        <v>22</v>
      </c>
      <c r="I4514" s="19">
        <v>72</v>
      </c>
      <c r="J4514" s="19">
        <v>2</v>
      </c>
      <c r="K4514" s="19">
        <v>3</v>
      </c>
      <c r="L4514" s="19" t="s">
        <v>75</v>
      </c>
      <c r="M4514" s="21">
        <v>7.1</v>
      </c>
      <c r="N4514">
        <f t="shared" si="70"/>
        <v>1</v>
      </c>
    </row>
    <row r="4515" spans="1:14" x14ac:dyDescent="0.35">
      <c r="A4515" s="22" t="s">
        <v>4585</v>
      </c>
      <c r="B4515" s="23" t="s">
        <v>53</v>
      </c>
      <c r="C4515" s="23">
        <v>8</v>
      </c>
      <c r="D4515" s="24">
        <v>45881</v>
      </c>
      <c r="E4515" s="23" t="s">
        <v>20</v>
      </c>
      <c r="F4515" s="23" t="s">
        <v>8364</v>
      </c>
      <c r="G4515" s="23" t="s">
        <v>31</v>
      </c>
      <c r="H4515" s="23" t="s">
        <v>16</v>
      </c>
      <c r="I4515" s="23">
        <v>24</v>
      </c>
      <c r="J4515" s="23">
        <v>0</v>
      </c>
      <c r="K4515" s="23">
        <v>1</v>
      </c>
      <c r="L4515" s="23" t="s">
        <v>8363</v>
      </c>
      <c r="M4515" s="25">
        <v>1.8</v>
      </c>
      <c r="N4515">
        <f t="shared" si="70"/>
        <v>1</v>
      </c>
    </row>
    <row r="4516" spans="1:14" x14ac:dyDescent="0.35">
      <c r="A4516" s="6" t="s">
        <v>4586</v>
      </c>
      <c r="B4516" s="19" t="s">
        <v>146</v>
      </c>
      <c r="C4516" s="19">
        <v>8</v>
      </c>
      <c r="D4516" s="20">
        <v>45883</v>
      </c>
      <c r="E4516" s="19" t="s">
        <v>13</v>
      </c>
      <c r="F4516" s="19" t="s">
        <v>37</v>
      </c>
      <c r="G4516" s="19" t="s">
        <v>27</v>
      </c>
      <c r="H4516" s="19" t="s">
        <v>22</v>
      </c>
      <c r="I4516" s="19">
        <v>24</v>
      </c>
      <c r="J4516" s="19">
        <v>0</v>
      </c>
      <c r="K4516" s="19">
        <v>4</v>
      </c>
      <c r="L4516" s="19" t="s">
        <v>8363</v>
      </c>
      <c r="M4516" s="21">
        <v>13.5</v>
      </c>
      <c r="N4516">
        <f t="shared" si="70"/>
        <v>1</v>
      </c>
    </row>
    <row r="4517" spans="1:14" x14ac:dyDescent="0.35">
      <c r="A4517" s="22" t="s">
        <v>4587</v>
      </c>
      <c r="B4517" s="23" t="s">
        <v>65</v>
      </c>
      <c r="C4517" s="23">
        <v>4</v>
      </c>
      <c r="D4517" s="24">
        <v>45776</v>
      </c>
      <c r="E4517" s="23" t="s">
        <v>25</v>
      </c>
      <c r="F4517" s="23" t="s">
        <v>59</v>
      </c>
      <c r="G4517" s="23" t="s">
        <v>31</v>
      </c>
      <c r="H4517" s="23" t="s">
        <v>22</v>
      </c>
      <c r="I4517" s="23">
        <v>4</v>
      </c>
      <c r="J4517" s="23">
        <v>0</v>
      </c>
      <c r="K4517" s="23">
        <v>4</v>
      </c>
      <c r="L4517" s="23" t="s">
        <v>17</v>
      </c>
      <c r="M4517" s="25">
        <v>12.2</v>
      </c>
      <c r="N4517">
        <f t="shared" si="70"/>
        <v>0</v>
      </c>
    </row>
    <row r="4518" spans="1:14" x14ac:dyDescent="0.35">
      <c r="A4518" s="6" t="s">
        <v>4588</v>
      </c>
      <c r="B4518" s="19" t="s">
        <v>51</v>
      </c>
      <c r="C4518" s="19">
        <v>1</v>
      </c>
      <c r="D4518" s="20">
        <v>45663</v>
      </c>
      <c r="E4518" s="19" t="s">
        <v>25</v>
      </c>
      <c r="F4518" s="19" t="s">
        <v>8364</v>
      </c>
      <c r="G4518" s="19" t="s">
        <v>15</v>
      </c>
      <c r="H4518" s="19" t="s">
        <v>28</v>
      </c>
      <c r="I4518" s="19">
        <v>8</v>
      </c>
      <c r="J4518" s="19">
        <v>1</v>
      </c>
      <c r="K4518" s="19">
        <v>5</v>
      </c>
      <c r="L4518" s="19" t="s">
        <v>62</v>
      </c>
      <c r="M4518" s="21">
        <v>2.1</v>
      </c>
      <c r="N4518">
        <f t="shared" si="70"/>
        <v>1</v>
      </c>
    </row>
    <row r="4519" spans="1:14" x14ac:dyDescent="0.35">
      <c r="A4519" s="22" t="s">
        <v>4589</v>
      </c>
      <c r="B4519" s="23" t="s">
        <v>130</v>
      </c>
      <c r="C4519" s="23">
        <v>1</v>
      </c>
      <c r="D4519" s="24">
        <v>45685</v>
      </c>
      <c r="E4519" s="23" t="s">
        <v>20</v>
      </c>
      <c r="F4519" s="23" t="s">
        <v>14</v>
      </c>
      <c r="G4519" s="23" t="s">
        <v>8364</v>
      </c>
      <c r="H4519" s="23" t="s">
        <v>8364</v>
      </c>
      <c r="I4519" s="23">
        <v>48</v>
      </c>
      <c r="J4519" s="23">
        <v>0</v>
      </c>
      <c r="K4519" s="23">
        <v>5</v>
      </c>
      <c r="L4519" s="23" t="s">
        <v>8363</v>
      </c>
      <c r="M4519" s="25">
        <v>11.7</v>
      </c>
      <c r="N4519">
        <f t="shared" si="70"/>
        <v>1</v>
      </c>
    </row>
    <row r="4520" spans="1:14" x14ac:dyDescent="0.35">
      <c r="A4520" s="6" t="s">
        <v>4590</v>
      </c>
      <c r="B4520" s="19" t="s">
        <v>18</v>
      </c>
      <c r="C4520" s="19">
        <v>5</v>
      </c>
      <c r="D4520" s="20">
        <v>45797</v>
      </c>
      <c r="E4520" s="19" t="s">
        <v>20</v>
      </c>
      <c r="F4520" s="19" t="s">
        <v>26</v>
      </c>
      <c r="G4520" s="19" t="s">
        <v>27</v>
      </c>
      <c r="H4520" s="19" t="s">
        <v>32</v>
      </c>
      <c r="I4520" s="19">
        <v>72</v>
      </c>
      <c r="J4520" s="19">
        <v>0</v>
      </c>
      <c r="K4520" s="19">
        <v>5</v>
      </c>
      <c r="L4520" s="19" t="s">
        <v>75</v>
      </c>
      <c r="M4520" s="21">
        <v>11.4</v>
      </c>
      <c r="N4520">
        <f t="shared" si="70"/>
        <v>1</v>
      </c>
    </row>
    <row r="4521" spans="1:14" x14ac:dyDescent="0.35">
      <c r="A4521" s="22" t="s">
        <v>4591</v>
      </c>
      <c r="B4521" s="23" t="s">
        <v>146</v>
      </c>
      <c r="C4521" s="23">
        <v>9</v>
      </c>
      <c r="D4521" s="24">
        <v>45916</v>
      </c>
      <c r="E4521" s="23" t="s">
        <v>25</v>
      </c>
      <c r="F4521" s="23" t="s">
        <v>43</v>
      </c>
      <c r="G4521" s="23" t="s">
        <v>31</v>
      </c>
      <c r="H4521" s="23" t="s">
        <v>28</v>
      </c>
      <c r="I4521" s="23">
        <v>8</v>
      </c>
      <c r="J4521" s="23">
        <v>2</v>
      </c>
      <c r="K4521" s="23">
        <v>2</v>
      </c>
      <c r="L4521" s="23" t="s">
        <v>55</v>
      </c>
      <c r="M4521" s="25">
        <v>16.600000000000001</v>
      </c>
      <c r="N4521">
        <f t="shared" si="70"/>
        <v>0</v>
      </c>
    </row>
    <row r="4522" spans="1:14" x14ac:dyDescent="0.35">
      <c r="A4522" s="6" t="s">
        <v>4592</v>
      </c>
      <c r="B4522" s="19" t="s">
        <v>72</v>
      </c>
      <c r="C4522" s="19"/>
      <c r="D4522" s="20"/>
      <c r="E4522" s="19" t="s">
        <v>13</v>
      </c>
      <c r="F4522" s="19" t="s">
        <v>26</v>
      </c>
      <c r="G4522" s="19" t="s">
        <v>27</v>
      </c>
      <c r="H4522" s="19" t="s">
        <v>22</v>
      </c>
      <c r="I4522" s="19">
        <v>72</v>
      </c>
      <c r="J4522" s="19">
        <v>2</v>
      </c>
      <c r="K4522" s="19">
        <v>3</v>
      </c>
      <c r="L4522" s="19" t="s">
        <v>33</v>
      </c>
      <c r="M4522" s="21">
        <v>3.9</v>
      </c>
      <c r="N4522">
        <f t="shared" si="70"/>
        <v>1</v>
      </c>
    </row>
    <row r="4523" spans="1:14" x14ac:dyDescent="0.35">
      <c r="A4523" s="22" t="s">
        <v>4593</v>
      </c>
      <c r="B4523" s="23" t="s">
        <v>51</v>
      </c>
      <c r="C4523" s="23">
        <v>1</v>
      </c>
      <c r="D4523" s="24">
        <v>45677</v>
      </c>
      <c r="E4523" s="23" t="s">
        <v>13</v>
      </c>
      <c r="F4523" s="23" t="s">
        <v>43</v>
      </c>
      <c r="G4523" s="23" t="s">
        <v>31</v>
      </c>
      <c r="H4523" s="23" t="s">
        <v>28</v>
      </c>
      <c r="I4523" s="23">
        <v>4</v>
      </c>
      <c r="J4523" s="23">
        <v>0</v>
      </c>
      <c r="K4523" s="23">
        <v>5</v>
      </c>
      <c r="L4523" s="23" t="s">
        <v>55</v>
      </c>
      <c r="M4523" s="25">
        <v>5.3</v>
      </c>
      <c r="N4523">
        <f t="shared" si="70"/>
        <v>0</v>
      </c>
    </row>
    <row r="4524" spans="1:14" x14ac:dyDescent="0.35">
      <c r="A4524" s="6" t="s">
        <v>4594</v>
      </c>
      <c r="B4524" s="19" t="s">
        <v>72</v>
      </c>
      <c r="C4524" s="19">
        <v>12</v>
      </c>
      <c r="D4524" s="20">
        <v>46007</v>
      </c>
      <c r="E4524" s="19" t="s">
        <v>25</v>
      </c>
      <c r="F4524" s="19" t="s">
        <v>40</v>
      </c>
      <c r="G4524" s="19" t="s">
        <v>15</v>
      </c>
      <c r="H4524" s="19" t="s">
        <v>32</v>
      </c>
      <c r="I4524" s="19">
        <v>24</v>
      </c>
      <c r="J4524" s="19">
        <v>0</v>
      </c>
      <c r="K4524" s="19">
        <v>5</v>
      </c>
      <c r="L4524" s="19" t="s">
        <v>17</v>
      </c>
      <c r="M4524" s="21">
        <v>11.6</v>
      </c>
      <c r="N4524">
        <f t="shared" si="70"/>
        <v>1</v>
      </c>
    </row>
    <row r="4525" spans="1:14" x14ac:dyDescent="0.35">
      <c r="A4525" s="22" t="s">
        <v>4595</v>
      </c>
      <c r="B4525" s="23" t="s">
        <v>45</v>
      </c>
      <c r="C4525" s="23">
        <v>6</v>
      </c>
      <c r="D4525" s="24">
        <v>45837</v>
      </c>
      <c r="E4525" s="23" t="s">
        <v>8364</v>
      </c>
      <c r="F4525" s="23" t="s">
        <v>37</v>
      </c>
      <c r="G4525" s="23" t="s">
        <v>21</v>
      </c>
      <c r="H4525" s="23" t="s">
        <v>8364</v>
      </c>
      <c r="I4525" s="23">
        <v>24</v>
      </c>
      <c r="J4525" s="23">
        <v>0</v>
      </c>
      <c r="K4525" s="23">
        <v>5</v>
      </c>
      <c r="L4525" s="23" t="s">
        <v>8363</v>
      </c>
      <c r="M4525" s="25">
        <v>11</v>
      </c>
      <c r="N4525">
        <f t="shared" si="70"/>
        <v>1</v>
      </c>
    </row>
    <row r="4526" spans="1:14" x14ac:dyDescent="0.35">
      <c r="A4526" s="6" t="s">
        <v>4596</v>
      </c>
      <c r="B4526" s="19" t="s">
        <v>101</v>
      </c>
      <c r="C4526" s="19">
        <v>10</v>
      </c>
      <c r="D4526" s="20">
        <v>45944</v>
      </c>
      <c r="E4526" s="19" t="s">
        <v>68</v>
      </c>
      <c r="F4526" s="19" t="s">
        <v>14</v>
      </c>
      <c r="G4526" s="19" t="s">
        <v>21</v>
      </c>
      <c r="H4526" s="19" t="s">
        <v>22</v>
      </c>
      <c r="I4526" s="19">
        <v>8</v>
      </c>
      <c r="J4526" s="19">
        <v>2</v>
      </c>
      <c r="K4526" s="19">
        <v>5</v>
      </c>
      <c r="L4526" s="19" t="s">
        <v>44</v>
      </c>
      <c r="M4526" s="21">
        <v>10.3</v>
      </c>
      <c r="N4526">
        <f t="shared" si="70"/>
        <v>0</v>
      </c>
    </row>
    <row r="4527" spans="1:14" x14ac:dyDescent="0.35">
      <c r="A4527" s="22" t="s">
        <v>4597</v>
      </c>
      <c r="B4527" s="23" t="s">
        <v>99</v>
      </c>
      <c r="C4527" s="23">
        <v>12</v>
      </c>
      <c r="D4527" s="24">
        <v>46002</v>
      </c>
      <c r="E4527" s="23" t="s">
        <v>13</v>
      </c>
      <c r="F4527" s="23" t="s">
        <v>14</v>
      </c>
      <c r="G4527" s="23" t="s">
        <v>15</v>
      </c>
      <c r="H4527" s="23" t="s">
        <v>32</v>
      </c>
      <c r="I4527" s="23">
        <v>24</v>
      </c>
      <c r="J4527" s="23">
        <v>0</v>
      </c>
      <c r="K4527" s="23">
        <v>5</v>
      </c>
      <c r="L4527" s="23" t="s">
        <v>17</v>
      </c>
      <c r="M4527" s="25">
        <v>6.4</v>
      </c>
      <c r="N4527">
        <f t="shared" si="70"/>
        <v>1</v>
      </c>
    </row>
    <row r="4528" spans="1:14" x14ac:dyDescent="0.35">
      <c r="A4528" s="6" t="s">
        <v>4598</v>
      </c>
      <c r="B4528" s="19" t="s">
        <v>85</v>
      </c>
      <c r="C4528" s="19">
        <v>2</v>
      </c>
      <c r="D4528" s="20">
        <v>45711</v>
      </c>
      <c r="E4528" s="19" t="s">
        <v>20</v>
      </c>
      <c r="F4528" s="19" t="s">
        <v>43</v>
      </c>
      <c r="G4528" s="19" t="s">
        <v>31</v>
      </c>
      <c r="H4528" s="19" t="s">
        <v>32</v>
      </c>
      <c r="I4528" s="19">
        <v>8</v>
      </c>
      <c r="J4528" s="19">
        <v>0</v>
      </c>
      <c r="K4528" s="19">
        <v>3</v>
      </c>
      <c r="L4528" s="19" t="s">
        <v>75</v>
      </c>
      <c r="M4528" s="21">
        <v>17.600000000000001</v>
      </c>
      <c r="N4528">
        <f t="shared" si="70"/>
        <v>0</v>
      </c>
    </row>
    <row r="4529" spans="1:14" x14ac:dyDescent="0.35">
      <c r="A4529" s="22" t="s">
        <v>4599</v>
      </c>
      <c r="B4529" s="23" t="s">
        <v>78</v>
      </c>
      <c r="C4529" s="23">
        <v>4</v>
      </c>
      <c r="D4529" s="24">
        <v>45753</v>
      </c>
      <c r="E4529" s="23" t="s">
        <v>20</v>
      </c>
      <c r="F4529" s="23" t="s">
        <v>43</v>
      </c>
      <c r="G4529" s="23" t="s">
        <v>31</v>
      </c>
      <c r="H4529" s="23" t="s">
        <v>8364</v>
      </c>
      <c r="I4529" s="23">
        <v>4</v>
      </c>
      <c r="J4529" s="23">
        <v>0</v>
      </c>
      <c r="K4529" s="23">
        <v>4</v>
      </c>
      <c r="L4529" s="23" t="s">
        <v>62</v>
      </c>
      <c r="M4529" s="25"/>
      <c r="N4529">
        <f t="shared" si="70"/>
        <v>1</v>
      </c>
    </row>
    <row r="4530" spans="1:14" x14ac:dyDescent="0.35">
      <c r="A4530" s="6" t="s">
        <v>4600</v>
      </c>
      <c r="B4530" s="19" t="s">
        <v>69</v>
      </c>
      <c r="C4530" s="19">
        <v>11</v>
      </c>
      <c r="D4530" s="20">
        <v>45977</v>
      </c>
      <c r="E4530" s="19" t="s">
        <v>25</v>
      </c>
      <c r="F4530" s="19" t="s">
        <v>43</v>
      </c>
      <c r="G4530" s="19" t="s">
        <v>31</v>
      </c>
      <c r="H4530" s="19" t="s">
        <v>28</v>
      </c>
      <c r="I4530" s="19">
        <v>24</v>
      </c>
      <c r="J4530" s="19">
        <v>0</v>
      </c>
      <c r="K4530" s="19">
        <v>5</v>
      </c>
      <c r="L4530" s="19" t="s">
        <v>38</v>
      </c>
      <c r="M4530" s="21">
        <v>14.6</v>
      </c>
      <c r="N4530">
        <f t="shared" si="70"/>
        <v>1</v>
      </c>
    </row>
    <row r="4531" spans="1:14" x14ac:dyDescent="0.35">
      <c r="A4531" s="22" t="s">
        <v>4601</v>
      </c>
      <c r="B4531" s="23" t="s">
        <v>23</v>
      </c>
      <c r="C4531" s="23">
        <v>2</v>
      </c>
      <c r="D4531" s="24">
        <v>45713</v>
      </c>
      <c r="E4531" s="23" t="s">
        <v>8364</v>
      </c>
      <c r="F4531" s="23" t="s">
        <v>8364</v>
      </c>
      <c r="G4531" s="23" t="s">
        <v>21</v>
      </c>
      <c r="H4531" s="23" t="s">
        <v>22</v>
      </c>
      <c r="I4531" s="23">
        <v>24</v>
      </c>
      <c r="J4531" s="23">
        <v>0</v>
      </c>
      <c r="K4531" s="23"/>
      <c r="L4531" s="23" t="s">
        <v>55</v>
      </c>
      <c r="M4531" s="25">
        <v>6.8</v>
      </c>
      <c r="N4531">
        <f t="shared" si="70"/>
        <v>1</v>
      </c>
    </row>
    <row r="4532" spans="1:14" x14ac:dyDescent="0.35">
      <c r="A4532" s="6" t="s">
        <v>4602</v>
      </c>
      <c r="B4532" s="19" t="s">
        <v>34</v>
      </c>
      <c r="C4532" s="19">
        <v>1</v>
      </c>
      <c r="D4532" s="20">
        <v>45688</v>
      </c>
      <c r="E4532" s="19" t="s">
        <v>25</v>
      </c>
      <c r="F4532" s="19" t="s">
        <v>40</v>
      </c>
      <c r="G4532" s="19" t="s">
        <v>15</v>
      </c>
      <c r="H4532" s="19" t="s">
        <v>22</v>
      </c>
      <c r="I4532" s="19">
        <v>8</v>
      </c>
      <c r="J4532" s="19">
        <v>0</v>
      </c>
      <c r="K4532" s="19">
        <v>4</v>
      </c>
      <c r="L4532" s="19" t="s">
        <v>8363</v>
      </c>
      <c r="M4532" s="21">
        <v>8.9</v>
      </c>
      <c r="N4532">
        <f t="shared" si="70"/>
        <v>0</v>
      </c>
    </row>
    <row r="4533" spans="1:14" x14ac:dyDescent="0.35">
      <c r="A4533" s="22" t="s">
        <v>4603</v>
      </c>
      <c r="B4533" s="23" t="s">
        <v>18</v>
      </c>
      <c r="C4533" s="23">
        <v>3</v>
      </c>
      <c r="D4533" s="24">
        <v>45734</v>
      </c>
      <c r="E4533" s="23" t="s">
        <v>25</v>
      </c>
      <c r="F4533" s="23" t="s">
        <v>14</v>
      </c>
      <c r="G4533" s="23" t="s">
        <v>31</v>
      </c>
      <c r="H4533" s="23" t="s">
        <v>22</v>
      </c>
      <c r="I4533" s="23">
        <v>72</v>
      </c>
      <c r="J4533" s="23">
        <v>0</v>
      </c>
      <c r="K4533" s="23">
        <v>5</v>
      </c>
      <c r="L4533" s="23" t="s">
        <v>75</v>
      </c>
      <c r="M4533" s="25">
        <v>5.5</v>
      </c>
      <c r="N4533">
        <f t="shared" si="70"/>
        <v>1</v>
      </c>
    </row>
    <row r="4534" spans="1:14" x14ac:dyDescent="0.35">
      <c r="A4534" s="6" t="s">
        <v>4604</v>
      </c>
      <c r="B4534" s="19" t="s">
        <v>29</v>
      </c>
      <c r="C4534" s="19">
        <v>8</v>
      </c>
      <c r="D4534" s="20">
        <v>45875</v>
      </c>
      <c r="E4534" s="19" t="s">
        <v>25</v>
      </c>
      <c r="F4534" s="19" t="s">
        <v>37</v>
      </c>
      <c r="G4534" s="19" t="s">
        <v>27</v>
      </c>
      <c r="H4534" s="19" t="s">
        <v>16</v>
      </c>
      <c r="I4534" s="19">
        <v>48</v>
      </c>
      <c r="J4534" s="19">
        <v>0</v>
      </c>
      <c r="K4534" s="19">
        <v>4</v>
      </c>
      <c r="L4534" s="19" t="s">
        <v>38</v>
      </c>
      <c r="M4534" s="21">
        <v>15.4</v>
      </c>
      <c r="N4534">
        <f t="shared" si="70"/>
        <v>1</v>
      </c>
    </row>
    <row r="4535" spans="1:14" x14ac:dyDescent="0.35">
      <c r="A4535" s="22" t="s">
        <v>4605</v>
      </c>
      <c r="B4535" s="23" t="s">
        <v>181</v>
      </c>
      <c r="C4535" s="23">
        <v>1</v>
      </c>
      <c r="D4535" s="24">
        <v>45673</v>
      </c>
      <c r="E4535" s="23" t="s">
        <v>13</v>
      </c>
      <c r="F4535" s="23" t="s">
        <v>14</v>
      </c>
      <c r="G4535" s="23" t="s">
        <v>21</v>
      </c>
      <c r="H4535" s="23" t="s">
        <v>32</v>
      </c>
      <c r="I4535" s="23">
        <v>4</v>
      </c>
      <c r="J4535" s="23">
        <v>1</v>
      </c>
      <c r="K4535" s="23">
        <v>3</v>
      </c>
      <c r="L4535" s="23" t="s">
        <v>8363</v>
      </c>
      <c r="M4535" s="25">
        <v>22.9</v>
      </c>
      <c r="N4535">
        <f t="shared" si="70"/>
        <v>0</v>
      </c>
    </row>
    <row r="4536" spans="1:14" x14ac:dyDescent="0.35">
      <c r="A4536" s="6" t="s">
        <v>4606</v>
      </c>
      <c r="B4536" s="19" t="s">
        <v>143</v>
      </c>
      <c r="C4536" s="19">
        <v>9</v>
      </c>
      <c r="D4536" s="20">
        <v>45909</v>
      </c>
      <c r="E4536" s="19" t="s">
        <v>36</v>
      </c>
      <c r="F4536" s="19" t="s">
        <v>14</v>
      </c>
      <c r="G4536" s="19" t="s">
        <v>27</v>
      </c>
      <c r="H4536" s="19" t="s">
        <v>28</v>
      </c>
      <c r="I4536" s="19">
        <v>72</v>
      </c>
      <c r="J4536" s="19">
        <v>1</v>
      </c>
      <c r="K4536" s="19">
        <v>3</v>
      </c>
      <c r="L4536" s="19" t="s">
        <v>55</v>
      </c>
      <c r="M4536" s="21">
        <v>11.2</v>
      </c>
      <c r="N4536">
        <f t="shared" si="70"/>
        <v>1</v>
      </c>
    </row>
    <row r="4537" spans="1:14" x14ac:dyDescent="0.35">
      <c r="A4537" s="22" t="s">
        <v>4607</v>
      </c>
      <c r="B4537" s="23" t="s">
        <v>104</v>
      </c>
      <c r="C4537" s="23"/>
      <c r="D4537" s="24"/>
      <c r="E4537" s="23" t="s">
        <v>8364</v>
      </c>
      <c r="F4537" s="23" t="s">
        <v>8364</v>
      </c>
      <c r="G4537" s="23" t="s">
        <v>21</v>
      </c>
      <c r="H4537" s="23" t="s">
        <v>22</v>
      </c>
      <c r="I4537" s="23">
        <v>4</v>
      </c>
      <c r="J4537" s="23">
        <v>0</v>
      </c>
      <c r="K4537" s="23">
        <v>5</v>
      </c>
      <c r="L4537" s="23" t="s">
        <v>62</v>
      </c>
      <c r="M4537" s="25">
        <v>4.4000000000000004</v>
      </c>
      <c r="N4537">
        <f t="shared" si="70"/>
        <v>0</v>
      </c>
    </row>
    <row r="4538" spans="1:14" x14ac:dyDescent="0.35">
      <c r="A4538" s="6" t="s">
        <v>4608</v>
      </c>
      <c r="B4538" s="19" t="s">
        <v>146</v>
      </c>
      <c r="C4538" s="19">
        <v>10</v>
      </c>
      <c r="D4538" s="20">
        <v>45945</v>
      </c>
      <c r="E4538" s="19" t="s">
        <v>68</v>
      </c>
      <c r="F4538" s="19" t="s">
        <v>26</v>
      </c>
      <c r="G4538" s="19" t="s">
        <v>21</v>
      </c>
      <c r="H4538" s="19" t="s">
        <v>22</v>
      </c>
      <c r="I4538" s="19">
        <v>24</v>
      </c>
      <c r="J4538" s="19">
        <v>0</v>
      </c>
      <c r="K4538" s="19">
        <v>4</v>
      </c>
      <c r="L4538" s="19" t="s">
        <v>8363</v>
      </c>
      <c r="M4538" s="21">
        <v>14.1</v>
      </c>
      <c r="N4538">
        <f t="shared" si="70"/>
        <v>1</v>
      </c>
    </row>
    <row r="4539" spans="1:14" x14ac:dyDescent="0.35">
      <c r="A4539" s="22" t="s">
        <v>4609</v>
      </c>
      <c r="B4539" s="23" t="s">
        <v>104</v>
      </c>
      <c r="C4539" s="23">
        <v>10</v>
      </c>
      <c r="D4539" s="24">
        <v>45940</v>
      </c>
      <c r="E4539" s="23" t="s">
        <v>20</v>
      </c>
      <c r="F4539" s="23" t="s">
        <v>26</v>
      </c>
      <c r="G4539" s="23" t="s">
        <v>15</v>
      </c>
      <c r="H4539" s="23" t="s">
        <v>32</v>
      </c>
      <c r="I4539" s="23">
        <v>48</v>
      </c>
      <c r="J4539" s="23">
        <v>0</v>
      </c>
      <c r="K4539" s="23">
        <v>5</v>
      </c>
      <c r="L4539" s="23" t="s">
        <v>38</v>
      </c>
      <c r="M4539" s="25">
        <v>4.5</v>
      </c>
      <c r="N4539">
        <f t="shared" si="70"/>
        <v>1</v>
      </c>
    </row>
    <row r="4540" spans="1:14" x14ac:dyDescent="0.35">
      <c r="A4540" s="6" t="s">
        <v>4610</v>
      </c>
      <c r="B4540" s="19" t="s">
        <v>99</v>
      </c>
      <c r="C4540" s="19">
        <v>5</v>
      </c>
      <c r="D4540" s="20">
        <v>45797</v>
      </c>
      <c r="E4540" s="19" t="s">
        <v>68</v>
      </c>
      <c r="F4540" s="19" t="s">
        <v>14</v>
      </c>
      <c r="G4540" s="19" t="s">
        <v>27</v>
      </c>
      <c r="H4540" s="19" t="s">
        <v>28</v>
      </c>
      <c r="I4540" s="19">
        <v>72</v>
      </c>
      <c r="J4540" s="19">
        <v>0</v>
      </c>
      <c r="K4540" s="19">
        <v>4</v>
      </c>
      <c r="L4540" s="19" t="s">
        <v>33</v>
      </c>
      <c r="M4540" s="21">
        <v>8.3000000000000007</v>
      </c>
      <c r="N4540">
        <f t="shared" si="70"/>
        <v>1</v>
      </c>
    </row>
    <row r="4541" spans="1:14" x14ac:dyDescent="0.35">
      <c r="A4541" s="22" t="s">
        <v>4611</v>
      </c>
      <c r="B4541" s="23" t="s">
        <v>143</v>
      </c>
      <c r="C4541" s="23">
        <v>10</v>
      </c>
      <c r="D4541" s="24">
        <v>45931</v>
      </c>
      <c r="E4541" s="23" t="s">
        <v>25</v>
      </c>
      <c r="F4541" s="23" t="s">
        <v>40</v>
      </c>
      <c r="G4541" s="23" t="s">
        <v>15</v>
      </c>
      <c r="H4541" s="23" t="s">
        <v>22</v>
      </c>
      <c r="I4541" s="23">
        <v>48</v>
      </c>
      <c r="J4541" s="23">
        <v>2</v>
      </c>
      <c r="K4541" s="23">
        <v>5</v>
      </c>
      <c r="L4541" s="23" t="s">
        <v>33</v>
      </c>
      <c r="M4541" s="25">
        <v>11.6</v>
      </c>
      <c r="N4541">
        <f t="shared" si="70"/>
        <v>1</v>
      </c>
    </row>
    <row r="4542" spans="1:14" x14ac:dyDescent="0.35">
      <c r="A4542" s="6" t="s">
        <v>4612</v>
      </c>
      <c r="B4542" s="19" t="s">
        <v>89</v>
      </c>
      <c r="C4542" s="19">
        <v>10</v>
      </c>
      <c r="D4542" s="20">
        <v>45946</v>
      </c>
      <c r="E4542" s="19" t="s">
        <v>25</v>
      </c>
      <c r="F4542" s="19" t="s">
        <v>26</v>
      </c>
      <c r="G4542" s="19" t="s">
        <v>15</v>
      </c>
      <c r="H4542" s="19" t="s">
        <v>22</v>
      </c>
      <c r="I4542" s="19">
        <v>8</v>
      </c>
      <c r="J4542" s="19">
        <v>0</v>
      </c>
      <c r="K4542" s="19">
        <v>5</v>
      </c>
      <c r="L4542" s="19" t="s">
        <v>33</v>
      </c>
      <c r="M4542" s="21">
        <v>5.6</v>
      </c>
      <c r="N4542">
        <f t="shared" si="70"/>
        <v>1</v>
      </c>
    </row>
    <row r="4543" spans="1:14" x14ac:dyDescent="0.35">
      <c r="A4543" s="22" t="s">
        <v>4613</v>
      </c>
      <c r="B4543" s="23" t="s">
        <v>143</v>
      </c>
      <c r="C4543" s="23">
        <v>3</v>
      </c>
      <c r="D4543" s="24">
        <v>45741</v>
      </c>
      <c r="E4543" s="23" t="s">
        <v>13</v>
      </c>
      <c r="F4543" s="23" t="s">
        <v>40</v>
      </c>
      <c r="G4543" s="23" t="s">
        <v>31</v>
      </c>
      <c r="H4543" s="23" t="s">
        <v>16</v>
      </c>
      <c r="I4543" s="23">
        <v>72</v>
      </c>
      <c r="J4543" s="23">
        <v>0</v>
      </c>
      <c r="K4543" s="23">
        <v>5</v>
      </c>
      <c r="L4543" s="23" t="s">
        <v>44</v>
      </c>
      <c r="M4543" s="25">
        <v>7</v>
      </c>
      <c r="N4543">
        <f t="shared" si="70"/>
        <v>1</v>
      </c>
    </row>
    <row r="4544" spans="1:14" x14ac:dyDescent="0.35">
      <c r="A4544" s="6" t="s">
        <v>4614</v>
      </c>
      <c r="B4544" s="19" t="s">
        <v>146</v>
      </c>
      <c r="C4544" s="19"/>
      <c r="D4544" s="20"/>
      <c r="E4544" s="19" t="s">
        <v>13</v>
      </c>
      <c r="F4544" s="19" t="s">
        <v>26</v>
      </c>
      <c r="G4544" s="19" t="s">
        <v>27</v>
      </c>
      <c r="H4544" s="19" t="s">
        <v>32</v>
      </c>
      <c r="I4544" s="19">
        <v>4</v>
      </c>
      <c r="J4544" s="19">
        <v>0</v>
      </c>
      <c r="K4544" s="19">
        <v>5</v>
      </c>
      <c r="L4544" s="19" t="s">
        <v>38</v>
      </c>
      <c r="M4544" s="21">
        <v>17.399999999999999</v>
      </c>
      <c r="N4544">
        <f t="shared" si="70"/>
        <v>0</v>
      </c>
    </row>
    <row r="4545" spans="1:14" x14ac:dyDescent="0.35">
      <c r="A4545" s="22" t="s">
        <v>4615</v>
      </c>
      <c r="B4545" s="23" t="s">
        <v>92</v>
      </c>
      <c r="C4545" s="23">
        <v>11</v>
      </c>
      <c r="D4545" s="24">
        <v>45972</v>
      </c>
      <c r="E4545" s="23" t="s">
        <v>13</v>
      </c>
      <c r="F4545" s="23" t="s">
        <v>14</v>
      </c>
      <c r="G4545" s="23" t="s">
        <v>27</v>
      </c>
      <c r="H4545" s="23" t="s">
        <v>28</v>
      </c>
      <c r="I4545" s="23">
        <v>24</v>
      </c>
      <c r="J4545" s="23">
        <v>0</v>
      </c>
      <c r="K4545" s="23">
        <v>4</v>
      </c>
      <c r="L4545" s="23" t="s">
        <v>55</v>
      </c>
      <c r="M4545" s="25">
        <v>8.3000000000000007</v>
      </c>
      <c r="N4545">
        <f t="shared" si="70"/>
        <v>1</v>
      </c>
    </row>
    <row r="4546" spans="1:14" x14ac:dyDescent="0.35">
      <c r="A4546" s="6" t="s">
        <v>4616</v>
      </c>
      <c r="B4546" s="19" t="s">
        <v>236</v>
      </c>
      <c r="C4546" s="19">
        <v>12</v>
      </c>
      <c r="D4546" s="20">
        <v>45998</v>
      </c>
      <c r="E4546" s="19" t="s">
        <v>68</v>
      </c>
      <c r="F4546" s="19" t="s">
        <v>40</v>
      </c>
      <c r="G4546" s="19" t="s">
        <v>31</v>
      </c>
      <c r="H4546" s="19" t="s">
        <v>32</v>
      </c>
      <c r="I4546" s="19">
        <v>4</v>
      </c>
      <c r="J4546" s="19">
        <v>0</v>
      </c>
      <c r="K4546" s="19">
        <v>5</v>
      </c>
      <c r="L4546" s="19" t="s">
        <v>33</v>
      </c>
      <c r="M4546" s="21">
        <v>5.3</v>
      </c>
      <c r="N4546">
        <f t="shared" si="70"/>
        <v>0</v>
      </c>
    </row>
    <row r="4547" spans="1:14" x14ac:dyDescent="0.35">
      <c r="A4547" s="22" t="s">
        <v>4617</v>
      </c>
      <c r="B4547" s="23" t="s">
        <v>130</v>
      </c>
      <c r="C4547" s="23">
        <v>1</v>
      </c>
      <c r="D4547" s="24">
        <v>45670</v>
      </c>
      <c r="E4547" s="23" t="s">
        <v>25</v>
      </c>
      <c r="F4547" s="23" t="s">
        <v>26</v>
      </c>
      <c r="G4547" s="23" t="s">
        <v>8364</v>
      </c>
      <c r="H4547" s="23" t="s">
        <v>32</v>
      </c>
      <c r="I4547" s="23">
        <v>48</v>
      </c>
      <c r="J4547" s="23">
        <v>0</v>
      </c>
      <c r="K4547" s="23">
        <v>4</v>
      </c>
      <c r="L4547" s="23" t="s">
        <v>33</v>
      </c>
      <c r="M4547" s="25">
        <v>3.5</v>
      </c>
      <c r="N4547">
        <f t="shared" ref="N4547:N4610" si="71">IF(M4547 &lt;= I4547, 1, 0)</f>
        <v>1</v>
      </c>
    </row>
    <row r="4548" spans="1:14" x14ac:dyDescent="0.35">
      <c r="A4548" s="6" t="s">
        <v>4618</v>
      </c>
      <c r="B4548" s="19" t="s">
        <v>69</v>
      </c>
      <c r="C4548" s="19">
        <v>6</v>
      </c>
      <c r="D4548" s="20">
        <v>45819</v>
      </c>
      <c r="E4548" s="19" t="s">
        <v>8364</v>
      </c>
      <c r="F4548" s="19" t="s">
        <v>40</v>
      </c>
      <c r="G4548" s="19" t="s">
        <v>27</v>
      </c>
      <c r="H4548" s="19" t="s">
        <v>22</v>
      </c>
      <c r="I4548" s="19">
        <v>8</v>
      </c>
      <c r="J4548" s="19">
        <v>0</v>
      </c>
      <c r="K4548" s="19">
        <v>5</v>
      </c>
      <c r="L4548" s="19" t="s">
        <v>38</v>
      </c>
      <c r="M4548" s="21">
        <v>33.200000000000003</v>
      </c>
      <c r="N4548">
        <f t="shared" si="71"/>
        <v>0</v>
      </c>
    </row>
    <row r="4549" spans="1:14" x14ac:dyDescent="0.35">
      <c r="A4549" s="22" t="s">
        <v>4619</v>
      </c>
      <c r="B4549" s="23" t="s">
        <v>47</v>
      </c>
      <c r="C4549" s="23">
        <v>1</v>
      </c>
      <c r="D4549" s="24">
        <v>45673</v>
      </c>
      <c r="E4549" s="23" t="s">
        <v>13</v>
      </c>
      <c r="F4549" s="23" t="s">
        <v>26</v>
      </c>
      <c r="G4549" s="23" t="s">
        <v>15</v>
      </c>
      <c r="H4549" s="23" t="s">
        <v>8364</v>
      </c>
      <c r="I4549" s="23">
        <v>4</v>
      </c>
      <c r="J4549" s="23">
        <v>0</v>
      </c>
      <c r="K4549" s="23">
        <v>3</v>
      </c>
      <c r="L4549" s="23" t="s">
        <v>17</v>
      </c>
      <c r="M4549" s="25">
        <v>5.4</v>
      </c>
      <c r="N4549">
        <f t="shared" si="71"/>
        <v>0</v>
      </c>
    </row>
    <row r="4550" spans="1:14" x14ac:dyDescent="0.35">
      <c r="A4550" s="6" t="s">
        <v>4620</v>
      </c>
      <c r="B4550" s="19" t="s">
        <v>143</v>
      </c>
      <c r="C4550" s="19">
        <v>8</v>
      </c>
      <c r="D4550" s="20">
        <v>45895</v>
      </c>
      <c r="E4550" s="19" t="s">
        <v>13</v>
      </c>
      <c r="F4550" s="19" t="s">
        <v>43</v>
      </c>
      <c r="G4550" s="19" t="s">
        <v>21</v>
      </c>
      <c r="H4550" s="19" t="s">
        <v>8364</v>
      </c>
      <c r="I4550" s="19">
        <v>4</v>
      </c>
      <c r="J4550" s="19">
        <v>1</v>
      </c>
      <c r="K4550" s="19">
        <v>2</v>
      </c>
      <c r="L4550" s="19" t="s">
        <v>55</v>
      </c>
      <c r="M4550" s="21">
        <v>8.8000000000000007</v>
      </c>
      <c r="N4550">
        <f t="shared" si="71"/>
        <v>0</v>
      </c>
    </row>
    <row r="4551" spans="1:14" x14ac:dyDescent="0.35">
      <c r="A4551" s="22" t="s">
        <v>4621</v>
      </c>
      <c r="B4551" s="23" t="s">
        <v>89</v>
      </c>
      <c r="C4551" s="23">
        <v>12</v>
      </c>
      <c r="D4551" s="24">
        <v>46020</v>
      </c>
      <c r="E4551" s="23" t="s">
        <v>8364</v>
      </c>
      <c r="F4551" s="23" t="s">
        <v>43</v>
      </c>
      <c r="G4551" s="23" t="s">
        <v>21</v>
      </c>
      <c r="H4551" s="23" t="s">
        <v>22</v>
      </c>
      <c r="I4551" s="23">
        <v>8</v>
      </c>
      <c r="J4551" s="23">
        <v>3</v>
      </c>
      <c r="K4551" s="23">
        <v>1</v>
      </c>
      <c r="L4551" s="23" t="s">
        <v>33</v>
      </c>
      <c r="M4551" s="25">
        <v>2.5</v>
      </c>
      <c r="N4551">
        <f t="shared" si="71"/>
        <v>1</v>
      </c>
    </row>
    <row r="4552" spans="1:14" x14ac:dyDescent="0.35">
      <c r="A4552" s="6" t="s">
        <v>4622</v>
      </c>
      <c r="B4552" s="19" t="s">
        <v>47</v>
      </c>
      <c r="C4552" s="19">
        <v>11</v>
      </c>
      <c r="D4552" s="20">
        <v>45974</v>
      </c>
      <c r="E4552" s="19" t="s">
        <v>8364</v>
      </c>
      <c r="F4552" s="19" t="s">
        <v>14</v>
      </c>
      <c r="G4552" s="19" t="s">
        <v>31</v>
      </c>
      <c r="H4552" s="19" t="s">
        <v>22</v>
      </c>
      <c r="I4552" s="19">
        <v>4</v>
      </c>
      <c r="J4552" s="19">
        <v>0</v>
      </c>
      <c r="K4552" s="19"/>
      <c r="L4552" s="19" t="s">
        <v>17</v>
      </c>
      <c r="M4552" s="21">
        <v>16.899999999999999</v>
      </c>
      <c r="N4552">
        <f t="shared" si="71"/>
        <v>0</v>
      </c>
    </row>
    <row r="4553" spans="1:14" x14ac:dyDescent="0.35">
      <c r="A4553" s="22" t="s">
        <v>4623</v>
      </c>
      <c r="B4553" s="23" t="s">
        <v>53</v>
      </c>
      <c r="C4553" s="23">
        <v>2</v>
      </c>
      <c r="D4553" s="24">
        <v>45708</v>
      </c>
      <c r="E4553" s="23" t="s">
        <v>13</v>
      </c>
      <c r="F4553" s="23" t="s">
        <v>14</v>
      </c>
      <c r="G4553" s="23" t="s">
        <v>27</v>
      </c>
      <c r="H4553" s="23" t="s">
        <v>16</v>
      </c>
      <c r="I4553" s="23">
        <v>4</v>
      </c>
      <c r="J4553" s="23">
        <v>0</v>
      </c>
      <c r="K4553" s="23">
        <v>5</v>
      </c>
      <c r="L4553" s="23" t="s">
        <v>62</v>
      </c>
      <c r="M4553" s="25">
        <v>1.2</v>
      </c>
      <c r="N4553">
        <f t="shared" si="71"/>
        <v>1</v>
      </c>
    </row>
    <row r="4554" spans="1:14" x14ac:dyDescent="0.35">
      <c r="A4554" s="6" t="s">
        <v>4624</v>
      </c>
      <c r="B4554" s="19" t="s">
        <v>89</v>
      </c>
      <c r="C4554" s="19">
        <v>6</v>
      </c>
      <c r="D4554" s="20">
        <v>45819</v>
      </c>
      <c r="E4554" s="19" t="s">
        <v>36</v>
      </c>
      <c r="F4554" s="19" t="s">
        <v>40</v>
      </c>
      <c r="G4554" s="19" t="s">
        <v>8364</v>
      </c>
      <c r="H4554" s="19" t="s">
        <v>28</v>
      </c>
      <c r="I4554" s="19">
        <v>24</v>
      </c>
      <c r="J4554" s="19">
        <v>0</v>
      </c>
      <c r="K4554" s="19">
        <v>3</v>
      </c>
      <c r="L4554" s="19" t="s">
        <v>38</v>
      </c>
      <c r="M4554" s="21">
        <v>18</v>
      </c>
      <c r="N4554">
        <f t="shared" si="71"/>
        <v>1</v>
      </c>
    </row>
    <row r="4555" spans="1:14" x14ac:dyDescent="0.35">
      <c r="A4555" s="22" t="s">
        <v>4625</v>
      </c>
      <c r="B4555" s="23" t="s">
        <v>39</v>
      </c>
      <c r="C4555" s="23">
        <v>5</v>
      </c>
      <c r="D4555" s="24">
        <v>45801</v>
      </c>
      <c r="E4555" s="23" t="s">
        <v>13</v>
      </c>
      <c r="F4555" s="23" t="s">
        <v>8364</v>
      </c>
      <c r="G4555" s="23" t="s">
        <v>31</v>
      </c>
      <c r="H4555" s="23" t="s">
        <v>32</v>
      </c>
      <c r="I4555" s="23">
        <v>24</v>
      </c>
      <c r="J4555" s="23">
        <v>0</v>
      </c>
      <c r="K4555" s="23">
        <v>5</v>
      </c>
      <c r="L4555" s="23" t="s">
        <v>38</v>
      </c>
      <c r="M4555" s="25">
        <v>23.1</v>
      </c>
      <c r="N4555">
        <f t="shared" si="71"/>
        <v>1</v>
      </c>
    </row>
    <row r="4556" spans="1:14" x14ac:dyDescent="0.35">
      <c r="A4556" s="6" t="s">
        <v>4626</v>
      </c>
      <c r="B4556" s="19" t="s">
        <v>139</v>
      </c>
      <c r="C4556" s="19">
        <v>10</v>
      </c>
      <c r="D4556" s="20">
        <v>45931</v>
      </c>
      <c r="E4556" s="19" t="s">
        <v>13</v>
      </c>
      <c r="F4556" s="19" t="s">
        <v>59</v>
      </c>
      <c r="G4556" s="19" t="s">
        <v>8364</v>
      </c>
      <c r="H4556" s="19" t="s">
        <v>16</v>
      </c>
      <c r="I4556" s="19">
        <v>8</v>
      </c>
      <c r="J4556" s="19">
        <v>0</v>
      </c>
      <c r="K4556" s="19">
        <v>5</v>
      </c>
      <c r="L4556" s="19" t="s">
        <v>75</v>
      </c>
      <c r="M4556" s="21">
        <v>2.8</v>
      </c>
      <c r="N4556">
        <f t="shared" si="71"/>
        <v>1</v>
      </c>
    </row>
    <row r="4557" spans="1:14" x14ac:dyDescent="0.35">
      <c r="A4557" s="22" t="s">
        <v>4627</v>
      </c>
      <c r="B4557" s="23" t="s">
        <v>78</v>
      </c>
      <c r="C4557" s="23">
        <v>11</v>
      </c>
      <c r="D4557" s="24">
        <v>45962</v>
      </c>
      <c r="E4557" s="23" t="s">
        <v>25</v>
      </c>
      <c r="F4557" s="23" t="s">
        <v>37</v>
      </c>
      <c r="G4557" s="23" t="s">
        <v>27</v>
      </c>
      <c r="H4557" s="23" t="s">
        <v>32</v>
      </c>
      <c r="I4557" s="23">
        <v>72</v>
      </c>
      <c r="J4557" s="23">
        <v>0</v>
      </c>
      <c r="K4557" s="23">
        <v>5</v>
      </c>
      <c r="L4557" s="23" t="s">
        <v>75</v>
      </c>
      <c r="M4557" s="25">
        <v>11.1</v>
      </c>
      <c r="N4557">
        <f t="shared" si="71"/>
        <v>1</v>
      </c>
    </row>
    <row r="4558" spans="1:14" x14ac:dyDescent="0.35">
      <c r="A4558" s="6" t="s">
        <v>4628</v>
      </c>
      <c r="B4558" s="19" t="s">
        <v>53</v>
      </c>
      <c r="C4558" s="19">
        <v>1</v>
      </c>
      <c r="D4558" s="20">
        <v>45676</v>
      </c>
      <c r="E4558" s="19" t="s">
        <v>25</v>
      </c>
      <c r="F4558" s="19" t="s">
        <v>26</v>
      </c>
      <c r="G4558" s="19" t="s">
        <v>27</v>
      </c>
      <c r="H4558" s="19" t="s">
        <v>32</v>
      </c>
      <c r="I4558" s="19">
        <v>24</v>
      </c>
      <c r="J4558" s="19">
        <v>0</v>
      </c>
      <c r="K4558" s="19">
        <v>4</v>
      </c>
      <c r="L4558" s="19" t="s">
        <v>38</v>
      </c>
      <c r="M4558" s="21">
        <v>3.5</v>
      </c>
      <c r="N4558">
        <f t="shared" si="71"/>
        <v>1</v>
      </c>
    </row>
    <row r="4559" spans="1:14" x14ac:dyDescent="0.35">
      <c r="A4559" s="22" t="s">
        <v>4629</v>
      </c>
      <c r="B4559" s="23" t="s">
        <v>89</v>
      </c>
      <c r="C4559" s="23">
        <v>11</v>
      </c>
      <c r="D4559" s="24">
        <v>45965</v>
      </c>
      <c r="E4559" s="23" t="s">
        <v>13</v>
      </c>
      <c r="F4559" s="23" t="s">
        <v>26</v>
      </c>
      <c r="G4559" s="23" t="s">
        <v>21</v>
      </c>
      <c r="H4559" s="23" t="s">
        <v>8364</v>
      </c>
      <c r="I4559" s="23">
        <v>24</v>
      </c>
      <c r="J4559" s="23">
        <v>0</v>
      </c>
      <c r="K4559" s="23">
        <v>5</v>
      </c>
      <c r="L4559" s="23" t="s">
        <v>8363</v>
      </c>
      <c r="M4559" s="25">
        <v>12.6</v>
      </c>
      <c r="N4559">
        <f t="shared" si="71"/>
        <v>1</v>
      </c>
    </row>
    <row r="4560" spans="1:14" x14ac:dyDescent="0.35">
      <c r="A4560" s="6" t="s">
        <v>4630</v>
      </c>
      <c r="B4560" s="19" t="s">
        <v>101</v>
      </c>
      <c r="C4560" s="19">
        <v>12</v>
      </c>
      <c r="D4560" s="20">
        <v>46007</v>
      </c>
      <c r="E4560" s="19" t="s">
        <v>25</v>
      </c>
      <c r="F4560" s="19" t="s">
        <v>26</v>
      </c>
      <c r="G4560" s="19" t="s">
        <v>31</v>
      </c>
      <c r="H4560" s="19" t="s">
        <v>28</v>
      </c>
      <c r="I4560" s="19">
        <v>48</v>
      </c>
      <c r="J4560" s="19">
        <v>2</v>
      </c>
      <c r="K4560" s="19">
        <v>5</v>
      </c>
      <c r="L4560" s="19" t="s">
        <v>8363</v>
      </c>
      <c r="M4560" s="21">
        <v>8.6</v>
      </c>
      <c r="N4560">
        <f t="shared" si="71"/>
        <v>1</v>
      </c>
    </row>
    <row r="4561" spans="1:14" x14ac:dyDescent="0.35">
      <c r="A4561" s="22" t="s">
        <v>4631</v>
      </c>
      <c r="B4561" s="23" t="s">
        <v>78</v>
      </c>
      <c r="C4561" s="23">
        <v>1</v>
      </c>
      <c r="D4561" s="24">
        <v>45670</v>
      </c>
      <c r="E4561" s="23" t="s">
        <v>25</v>
      </c>
      <c r="F4561" s="23" t="s">
        <v>14</v>
      </c>
      <c r="G4561" s="23" t="s">
        <v>27</v>
      </c>
      <c r="H4561" s="23" t="s">
        <v>8364</v>
      </c>
      <c r="I4561" s="23">
        <v>48</v>
      </c>
      <c r="J4561" s="23">
        <v>0</v>
      </c>
      <c r="K4561" s="23">
        <v>5</v>
      </c>
      <c r="L4561" s="23" t="s">
        <v>75</v>
      </c>
      <c r="M4561" s="25">
        <v>10</v>
      </c>
      <c r="N4561">
        <f t="shared" si="71"/>
        <v>1</v>
      </c>
    </row>
    <row r="4562" spans="1:14" x14ac:dyDescent="0.35">
      <c r="A4562" s="6" t="s">
        <v>4632</v>
      </c>
      <c r="B4562" s="19" t="s">
        <v>78</v>
      </c>
      <c r="C4562" s="19">
        <v>12</v>
      </c>
      <c r="D4562" s="20">
        <v>46002</v>
      </c>
      <c r="E4562" s="19" t="s">
        <v>20</v>
      </c>
      <c r="F4562" s="19" t="s">
        <v>37</v>
      </c>
      <c r="G4562" s="19" t="s">
        <v>27</v>
      </c>
      <c r="H4562" s="19" t="s">
        <v>22</v>
      </c>
      <c r="I4562" s="19">
        <v>48</v>
      </c>
      <c r="J4562" s="19">
        <v>0</v>
      </c>
      <c r="K4562" s="19">
        <v>4</v>
      </c>
      <c r="L4562" s="19" t="s">
        <v>62</v>
      </c>
      <c r="M4562" s="21">
        <v>24.1</v>
      </c>
      <c r="N4562">
        <f t="shared" si="71"/>
        <v>1</v>
      </c>
    </row>
    <row r="4563" spans="1:14" x14ac:dyDescent="0.35">
      <c r="A4563" s="22" t="s">
        <v>4633</v>
      </c>
      <c r="B4563" s="23" t="s">
        <v>29</v>
      </c>
      <c r="C4563" s="23">
        <v>5</v>
      </c>
      <c r="D4563" s="24">
        <v>45808</v>
      </c>
      <c r="E4563" s="23" t="s">
        <v>36</v>
      </c>
      <c r="F4563" s="23" t="s">
        <v>26</v>
      </c>
      <c r="G4563" s="23" t="s">
        <v>31</v>
      </c>
      <c r="H4563" s="23" t="s">
        <v>32</v>
      </c>
      <c r="I4563" s="23">
        <v>48</v>
      </c>
      <c r="J4563" s="23">
        <v>0</v>
      </c>
      <c r="K4563" s="23">
        <v>3</v>
      </c>
      <c r="L4563" s="23" t="s">
        <v>55</v>
      </c>
      <c r="M4563" s="25">
        <v>15.3</v>
      </c>
      <c r="N4563">
        <f t="shared" si="71"/>
        <v>1</v>
      </c>
    </row>
    <row r="4564" spans="1:14" x14ac:dyDescent="0.35">
      <c r="A4564" s="6" t="s">
        <v>4634</v>
      </c>
      <c r="B4564" s="19" t="s">
        <v>126</v>
      </c>
      <c r="C4564" s="19">
        <v>6</v>
      </c>
      <c r="D4564" s="20">
        <v>45838</v>
      </c>
      <c r="E4564" s="19" t="s">
        <v>25</v>
      </c>
      <c r="F4564" s="19" t="s">
        <v>37</v>
      </c>
      <c r="G4564" s="19" t="s">
        <v>31</v>
      </c>
      <c r="H4564" s="19" t="s">
        <v>22</v>
      </c>
      <c r="I4564" s="19">
        <v>72</v>
      </c>
      <c r="J4564" s="19">
        <v>0</v>
      </c>
      <c r="K4564" s="19">
        <v>4</v>
      </c>
      <c r="L4564" s="19" t="s">
        <v>8363</v>
      </c>
      <c r="M4564" s="21">
        <v>9.1</v>
      </c>
      <c r="N4564">
        <f t="shared" si="71"/>
        <v>1</v>
      </c>
    </row>
    <row r="4565" spans="1:14" x14ac:dyDescent="0.35">
      <c r="A4565" s="22" t="s">
        <v>4635</v>
      </c>
      <c r="B4565" s="23" t="s">
        <v>34</v>
      </c>
      <c r="C4565" s="23">
        <v>8</v>
      </c>
      <c r="D4565" s="24">
        <v>45873</v>
      </c>
      <c r="E4565" s="23" t="s">
        <v>25</v>
      </c>
      <c r="F4565" s="23" t="s">
        <v>14</v>
      </c>
      <c r="G4565" s="23" t="s">
        <v>31</v>
      </c>
      <c r="H4565" s="23" t="s">
        <v>16</v>
      </c>
      <c r="I4565" s="23">
        <v>72</v>
      </c>
      <c r="J4565" s="23">
        <v>0</v>
      </c>
      <c r="K4565" s="23">
        <v>2</v>
      </c>
      <c r="L4565" s="23" t="s">
        <v>75</v>
      </c>
      <c r="M4565" s="25">
        <v>18.5</v>
      </c>
      <c r="N4565">
        <f t="shared" si="71"/>
        <v>1</v>
      </c>
    </row>
    <row r="4566" spans="1:14" x14ac:dyDescent="0.35">
      <c r="A4566" s="6" t="s">
        <v>4636</v>
      </c>
      <c r="B4566" s="19" t="s">
        <v>69</v>
      </c>
      <c r="C4566" s="19">
        <v>11</v>
      </c>
      <c r="D4566" s="20">
        <v>45984</v>
      </c>
      <c r="E4566" s="19" t="s">
        <v>36</v>
      </c>
      <c r="F4566" s="19" t="s">
        <v>14</v>
      </c>
      <c r="G4566" s="19" t="s">
        <v>27</v>
      </c>
      <c r="H4566" s="19" t="s">
        <v>8364</v>
      </c>
      <c r="I4566" s="19">
        <v>8</v>
      </c>
      <c r="J4566" s="19">
        <v>2</v>
      </c>
      <c r="K4566" s="19">
        <v>5</v>
      </c>
      <c r="L4566" s="19" t="s">
        <v>62</v>
      </c>
      <c r="M4566" s="21">
        <v>17.100000000000001</v>
      </c>
      <c r="N4566">
        <f t="shared" si="71"/>
        <v>0</v>
      </c>
    </row>
    <row r="4567" spans="1:14" x14ac:dyDescent="0.35">
      <c r="A4567" s="22" t="s">
        <v>4637</v>
      </c>
      <c r="B4567" s="23" t="s">
        <v>53</v>
      </c>
      <c r="C4567" s="23">
        <v>10</v>
      </c>
      <c r="D4567" s="24">
        <v>45949</v>
      </c>
      <c r="E4567" s="23" t="s">
        <v>36</v>
      </c>
      <c r="F4567" s="23" t="s">
        <v>40</v>
      </c>
      <c r="G4567" s="23" t="s">
        <v>8364</v>
      </c>
      <c r="H4567" s="23" t="s">
        <v>28</v>
      </c>
      <c r="I4567" s="23">
        <v>48</v>
      </c>
      <c r="J4567" s="23">
        <v>0</v>
      </c>
      <c r="K4567" s="23">
        <v>4</v>
      </c>
      <c r="L4567" s="23" t="s">
        <v>33</v>
      </c>
      <c r="M4567" s="25">
        <v>12.4</v>
      </c>
      <c r="N4567">
        <f t="shared" si="71"/>
        <v>1</v>
      </c>
    </row>
    <row r="4568" spans="1:14" x14ac:dyDescent="0.35">
      <c r="A4568" s="6" t="s">
        <v>4638</v>
      </c>
      <c r="B4568" s="19" t="s">
        <v>97</v>
      </c>
      <c r="C4568" s="19">
        <v>3</v>
      </c>
      <c r="D4568" s="20">
        <v>45739</v>
      </c>
      <c r="E4568" s="19" t="s">
        <v>36</v>
      </c>
      <c r="F4568" s="19" t="s">
        <v>37</v>
      </c>
      <c r="G4568" s="19" t="s">
        <v>31</v>
      </c>
      <c r="H4568" s="19" t="s">
        <v>22</v>
      </c>
      <c r="I4568" s="19">
        <v>4</v>
      </c>
      <c r="J4568" s="19">
        <v>0</v>
      </c>
      <c r="K4568" s="19">
        <v>5</v>
      </c>
      <c r="L4568" s="19" t="s">
        <v>17</v>
      </c>
      <c r="M4568" s="21"/>
      <c r="N4568">
        <f t="shared" si="71"/>
        <v>1</v>
      </c>
    </row>
    <row r="4569" spans="1:14" x14ac:dyDescent="0.35">
      <c r="A4569" s="22" t="s">
        <v>4639</v>
      </c>
      <c r="B4569" s="23" t="s">
        <v>143</v>
      </c>
      <c r="C4569" s="23">
        <v>2</v>
      </c>
      <c r="D4569" s="24">
        <v>45704</v>
      </c>
      <c r="E4569" s="23" t="s">
        <v>36</v>
      </c>
      <c r="F4569" s="23" t="s">
        <v>59</v>
      </c>
      <c r="G4569" s="23" t="s">
        <v>21</v>
      </c>
      <c r="H4569" s="23" t="s">
        <v>22</v>
      </c>
      <c r="I4569" s="23">
        <v>4</v>
      </c>
      <c r="J4569" s="23">
        <v>0</v>
      </c>
      <c r="K4569" s="23">
        <v>3</v>
      </c>
      <c r="L4569" s="23" t="s">
        <v>33</v>
      </c>
      <c r="M4569" s="25">
        <v>3.5</v>
      </c>
      <c r="N4569">
        <f t="shared" si="71"/>
        <v>1</v>
      </c>
    </row>
    <row r="4570" spans="1:14" x14ac:dyDescent="0.35">
      <c r="A4570" s="6" t="s">
        <v>4640</v>
      </c>
      <c r="B4570" s="19" t="s">
        <v>47</v>
      </c>
      <c r="C4570" s="19">
        <v>12</v>
      </c>
      <c r="D4570" s="20">
        <v>45995</v>
      </c>
      <c r="E4570" s="19" t="s">
        <v>13</v>
      </c>
      <c r="F4570" s="19" t="s">
        <v>26</v>
      </c>
      <c r="G4570" s="19" t="s">
        <v>21</v>
      </c>
      <c r="H4570" s="19" t="s">
        <v>32</v>
      </c>
      <c r="I4570" s="19">
        <v>72</v>
      </c>
      <c r="J4570" s="19">
        <v>0</v>
      </c>
      <c r="K4570" s="19">
        <v>2</v>
      </c>
      <c r="L4570" s="19" t="s">
        <v>75</v>
      </c>
      <c r="M4570" s="21">
        <v>5.4</v>
      </c>
      <c r="N4570">
        <f t="shared" si="71"/>
        <v>1</v>
      </c>
    </row>
    <row r="4571" spans="1:14" x14ac:dyDescent="0.35">
      <c r="A4571" s="22" t="s">
        <v>4641</v>
      </c>
      <c r="B4571" s="23" t="s">
        <v>29</v>
      </c>
      <c r="C4571" s="23">
        <v>3</v>
      </c>
      <c r="D4571" s="24">
        <v>45746</v>
      </c>
      <c r="E4571" s="23" t="s">
        <v>20</v>
      </c>
      <c r="F4571" s="23" t="s">
        <v>40</v>
      </c>
      <c r="G4571" s="23" t="s">
        <v>31</v>
      </c>
      <c r="H4571" s="23" t="s">
        <v>22</v>
      </c>
      <c r="I4571" s="23">
        <v>24</v>
      </c>
      <c r="J4571" s="23">
        <v>0</v>
      </c>
      <c r="K4571" s="23">
        <v>3</v>
      </c>
      <c r="L4571" s="23" t="s">
        <v>8363</v>
      </c>
      <c r="M4571" s="25">
        <v>20.100000000000001</v>
      </c>
      <c r="N4571">
        <f t="shared" si="71"/>
        <v>1</v>
      </c>
    </row>
    <row r="4572" spans="1:14" x14ac:dyDescent="0.35">
      <c r="A4572" s="6" t="s">
        <v>4642</v>
      </c>
      <c r="B4572" s="19" t="s">
        <v>23</v>
      </c>
      <c r="C4572" s="19">
        <v>12</v>
      </c>
      <c r="D4572" s="20">
        <v>46015</v>
      </c>
      <c r="E4572" s="19" t="s">
        <v>25</v>
      </c>
      <c r="F4572" s="19" t="s">
        <v>59</v>
      </c>
      <c r="G4572" s="19" t="s">
        <v>31</v>
      </c>
      <c r="H4572" s="19" t="s">
        <v>22</v>
      </c>
      <c r="I4572" s="19">
        <v>72</v>
      </c>
      <c r="J4572" s="19">
        <v>0</v>
      </c>
      <c r="K4572" s="19">
        <v>3</v>
      </c>
      <c r="L4572" s="19" t="s">
        <v>8363</v>
      </c>
      <c r="M4572" s="21">
        <v>8.8000000000000007</v>
      </c>
      <c r="N4572">
        <f t="shared" si="71"/>
        <v>1</v>
      </c>
    </row>
    <row r="4573" spans="1:14" x14ac:dyDescent="0.35">
      <c r="A4573" s="22" t="s">
        <v>4643</v>
      </c>
      <c r="B4573" s="23" t="s">
        <v>65</v>
      </c>
      <c r="C4573" s="23">
        <v>9</v>
      </c>
      <c r="D4573" s="24">
        <v>45926</v>
      </c>
      <c r="E4573" s="23" t="s">
        <v>25</v>
      </c>
      <c r="F4573" s="23" t="s">
        <v>59</v>
      </c>
      <c r="G4573" s="23" t="s">
        <v>21</v>
      </c>
      <c r="H4573" s="23" t="s">
        <v>22</v>
      </c>
      <c r="I4573" s="23">
        <v>48</v>
      </c>
      <c r="J4573" s="23">
        <v>0</v>
      </c>
      <c r="K4573" s="23"/>
      <c r="L4573" s="23" t="s">
        <v>75</v>
      </c>
      <c r="M4573" s="25"/>
      <c r="N4573">
        <f t="shared" si="71"/>
        <v>1</v>
      </c>
    </row>
    <row r="4574" spans="1:14" x14ac:dyDescent="0.35">
      <c r="A4574" s="6" t="s">
        <v>4644</v>
      </c>
      <c r="B4574" s="19" t="s">
        <v>87</v>
      </c>
      <c r="C4574" s="19">
        <v>10</v>
      </c>
      <c r="D4574" s="20">
        <v>45933</v>
      </c>
      <c r="E4574" s="19" t="s">
        <v>13</v>
      </c>
      <c r="F4574" s="19" t="s">
        <v>40</v>
      </c>
      <c r="G4574" s="19" t="s">
        <v>27</v>
      </c>
      <c r="H4574" s="19" t="s">
        <v>32</v>
      </c>
      <c r="I4574" s="19">
        <v>48</v>
      </c>
      <c r="J4574" s="19">
        <v>0</v>
      </c>
      <c r="K4574" s="19">
        <v>1</v>
      </c>
      <c r="L4574" s="19" t="s">
        <v>44</v>
      </c>
      <c r="M4574" s="21">
        <v>2.7</v>
      </c>
      <c r="N4574">
        <f t="shared" si="71"/>
        <v>1</v>
      </c>
    </row>
    <row r="4575" spans="1:14" x14ac:dyDescent="0.35">
      <c r="A4575" s="22" t="s">
        <v>4645</v>
      </c>
      <c r="B4575" s="23" t="s">
        <v>89</v>
      </c>
      <c r="C4575" s="23">
        <v>4</v>
      </c>
      <c r="D4575" s="24">
        <v>45758</v>
      </c>
      <c r="E4575" s="23" t="s">
        <v>36</v>
      </c>
      <c r="F4575" s="23" t="s">
        <v>43</v>
      </c>
      <c r="G4575" s="23" t="s">
        <v>31</v>
      </c>
      <c r="H4575" s="23" t="s">
        <v>8364</v>
      </c>
      <c r="I4575" s="23">
        <v>24</v>
      </c>
      <c r="J4575" s="23">
        <v>0</v>
      </c>
      <c r="K4575" s="23">
        <v>5</v>
      </c>
      <c r="L4575" s="23" t="s">
        <v>17</v>
      </c>
      <c r="M4575" s="25">
        <v>20</v>
      </c>
      <c r="N4575">
        <f t="shared" si="71"/>
        <v>1</v>
      </c>
    </row>
    <row r="4576" spans="1:14" x14ac:dyDescent="0.35">
      <c r="A4576" s="6" t="s">
        <v>4646</v>
      </c>
      <c r="B4576" s="19" t="s">
        <v>65</v>
      </c>
      <c r="C4576" s="19">
        <v>2</v>
      </c>
      <c r="D4576" s="20">
        <v>45696</v>
      </c>
      <c r="E4576" s="19" t="s">
        <v>25</v>
      </c>
      <c r="F4576" s="19" t="s">
        <v>43</v>
      </c>
      <c r="G4576" s="19" t="s">
        <v>31</v>
      </c>
      <c r="H4576" s="19" t="s">
        <v>22</v>
      </c>
      <c r="I4576" s="19">
        <v>8</v>
      </c>
      <c r="J4576" s="19">
        <v>0</v>
      </c>
      <c r="K4576" s="19">
        <v>2</v>
      </c>
      <c r="L4576" s="19" t="s">
        <v>17</v>
      </c>
      <c r="M4576" s="21">
        <v>15.8</v>
      </c>
      <c r="N4576">
        <f t="shared" si="71"/>
        <v>0</v>
      </c>
    </row>
    <row r="4577" spans="1:14" x14ac:dyDescent="0.35">
      <c r="A4577" s="22" t="s">
        <v>4647</v>
      </c>
      <c r="B4577" s="23" t="s">
        <v>181</v>
      </c>
      <c r="C4577" s="23">
        <v>6</v>
      </c>
      <c r="D4577" s="24">
        <v>45822</v>
      </c>
      <c r="E4577" s="23" t="s">
        <v>13</v>
      </c>
      <c r="F4577" s="23" t="s">
        <v>8364</v>
      </c>
      <c r="G4577" s="23" t="s">
        <v>8364</v>
      </c>
      <c r="H4577" s="23" t="s">
        <v>32</v>
      </c>
      <c r="I4577" s="23">
        <v>4</v>
      </c>
      <c r="J4577" s="23">
        <v>0</v>
      </c>
      <c r="K4577" s="23"/>
      <c r="L4577" s="23" t="s">
        <v>17</v>
      </c>
      <c r="M4577" s="25">
        <v>15.2</v>
      </c>
      <c r="N4577">
        <f t="shared" si="71"/>
        <v>0</v>
      </c>
    </row>
    <row r="4578" spans="1:14" x14ac:dyDescent="0.35">
      <c r="A4578" s="6" t="s">
        <v>4648</v>
      </c>
      <c r="B4578" s="19" t="s">
        <v>253</v>
      </c>
      <c r="C4578" s="19">
        <v>8</v>
      </c>
      <c r="D4578" s="20">
        <v>45872</v>
      </c>
      <c r="E4578" s="19" t="s">
        <v>8364</v>
      </c>
      <c r="F4578" s="19" t="s">
        <v>59</v>
      </c>
      <c r="G4578" s="19" t="s">
        <v>27</v>
      </c>
      <c r="H4578" s="19" t="s">
        <v>22</v>
      </c>
      <c r="I4578" s="19">
        <v>48</v>
      </c>
      <c r="J4578" s="19">
        <v>0</v>
      </c>
      <c r="K4578" s="19">
        <v>5</v>
      </c>
      <c r="L4578" s="19" t="s">
        <v>17</v>
      </c>
      <c r="M4578" s="21">
        <v>5.5</v>
      </c>
      <c r="N4578">
        <f t="shared" si="71"/>
        <v>1</v>
      </c>
    </row>
    <row r="4579" spans="1:14" x14ac:dyDescent="0.35">
      <c r="A4579" s="22" t="s">
        <v>4649</v>
      </c>
      <c r="B4579" s="23" t="s">
        <v>41</v>
      </c>
      <c r="C4579" s="23">
        <v>5</v>
      </c>
      <c r="D4579" s="24">
        <v>45781</v>
      </c>
      <c r="E4579" s="23" t="s">
        <v>25</v>
      </c>
      <c r="F4579" s="23" t="s">
        <v>26</v>
      </c>
      <c r="G4579" s="23" t="s">
        <v>31</v>
      </c>
      <c r="H4579" s="23" t="s">
        <v>32</v>
      </c>
      <c r="I4579" s="23">
        <v>72</v>
      </c>
      <c r="J4579" s="23">
        <v>0</v>
      </c>
      <c r="K4579" s="23">
        <v>3</v>
      </c>
      <c r="L4579" s="23" t="s">
        <v>8363</v>
      </c>
      <c r="M4579" s="25">
        <v>4.4000000000000004</v>
      </c>
      <c r="N4579">
        <f t="shared" si="71"/>
        <v>1</v>
      </c>
    </row>
    <row r="4580" spans="1:14" x14ac:dyDescent="0.35">
      <c r="A4580" s="6" t="s">
        <v>4650</v>
      </c>
      <c r="B4580" s="19" t="s">
        <v>34</v>
      </c>
      <c r="C4580" s="19">
        <v>4</v>
      </c>
      <c r="D4580" s="20">
        <v>45763</v>
      </c>
      <c r="E4580" s="19" t="s">
        <v>8364</v>
      </c>
      <c r="F4580" s="19" t="s">
        <v>40</v>
      </c>
      <c r="G4580" s="19" t="s">
        <v>27</v>
      </c>
      <c r="H4580" s="19" t="s">
        <v>32</v>
      </c>
      <c r="I4580" s="19">
        <v>8</v>
      </c>
      <c r="J4580" s="19">
        <v>0</v>
      </c>
      <c r="K4580" s="19">
        <v>4</v>
      </c>
      <c r="L4580" s="19" t="s">
        <v>17</v>
      </c>
      <c r="M4580" s="21">
        <v>9.3000000000000007</v>
      </c>
      <c r="N4580">
        <f t="shared" si="71"/>
        <v>0</v>
      </c>
    </row>
    <row r="4581" spans="1:14" x14ac:dyDescent="0.35">
      <c r="A4581" s="22" t="s">
        <v>4651</v>
      </c>
      <c r="B4581" s="23" t="s">
        <v>92</v>
      </c>
      <c r="C4581" s="23">
        <v>11</v>
      </c>
      <c r="D4581" s="24">
        <v>45964</v>
      </c>
      <c r="E4581" s="23" t="s">
        <v>20</v>
      </c>
      <c r="F4581" s="23" t="s">
        <v>40</v>
      </c>
      <c r="G4581" s="23" t="s">
        <v>15</v>
      </c>
      <c r="H4581" s="23" t="s">
        <v>16</v>
      </c>
      <c r="I4581" s="23">
        <v>24</v>
      </c>
      <c r="J4581" s="23">
        <v>0</v>
      </c>
      <c r="K4581" s="23"/>
      <c r="L4581" s="23" t="s">
        <v>62</v>
      </c>
      <c r="M4581" s="25">
        <v>5.3</v>
      </c>
      <c r="N4581">
        <f t="shared" si="71"/>
        <v>1</v>
      </c>
    </row>
    <row r="4582" spans="1:14" x14ac:dyDescent="0.35">
      <c r="A4582" s="6" t="s">
        <v>4652</v>
      </c>
      <c r="B4582" s="19" t="s">
        <v>57</v>
      </c>
      <c r="C4582" s="19">
        <v>8</v>
      </c>
      <c r="D4582" s="20">
        <v>45884</v>
      </c>
      <c r="E4582" s="19" t="s">
        <v>36</v>
      </c>
      <c r="F4582" s="19" t="s">
        <v>59</v>
      </c>
      <c r="G4582" s="19" t="s">
        <v>15</v>
      </c>
      <c r="H4582" s="19" t="s">
        <v>16</v>
      </c>
      <c r="I4582" s="19">
        <v>4</v>
      </c>
      <c r="J4582" s="19">
        <v>1</v>
      </c>
      <c r="K4582" s="19">
        <v>2</v>
      </c>
      <c r="L4582" s="19" t="s">
        <v>75</v>
      </c>
      <c r="M4582" s="21">
        <v>0.7</v>
      </c>
      <c r="N4582">
        <f t="shared" si="71"/>
        <v>1</v>
      </c>
    </row>
    <row r="4583" spans="1:14" x14ac:dyDescent="0.35">
      <c r="A4583" s="22" t="s">
        <v>4653</v>
      </c>
      <c r="B4583" s="23" t="s">
        <v>41</v>
      </c>
      <c r="C4583" s="23">
        <v>2</v>
      </c>
      <c r="D4583" s="24">
        <v>45700</v>
      </c>
      <c r="E4583" s="23" t="s">
        <v>13</v>
      </c>
      <c r="F4583" s="23" t="s">
        <v>14</v>
      </c>
      <c r="G4583" s="23" t="s">
        <v>21</v>
      </c>
      <c r="H4583" s="23" t="s">
        <v>8364</v>
      </c>
      <c r="I4583" s="23">
        <v>72</v>
      </c>
      <c r="J4583" s="23">
        <v>1</v>
      </c>
      <c r="K4583" s="23">
        <v>5</v>
      </c>
      <c r="L4583" s="23" t="s">
        <v>44</v>
      </c>
      <c r="M4583" s="25">
        <v>10.1</v>
      </c>
      <c r="N4583">
        <f t="shared" si="71"/>
        <v>1</v>
      </c>
    </row>
    <row r="4584" spans="1:14" x14ac:dyDescent="0.35">
      <c r="A4584" s="6" t="s">
        <v>4654</v>
      </c>
      <c r="B4584" s="19" t="s">
        <v>47</v>
      </c>
      <c r="C4584" s="19">
        <v>3</v>
      </c>
      <c r="D4584" s="20">
        <v>45747</v>
      </c>
      <c r="E4584" s="19" t="s">
        <v>25</v>
      </c>
      <c r="F4584" s="19" t="s">
        <v>14</v>
      </c>
      <c r="G4584" s="19" t="s">
        <v>8364</v>
      </c>
      <c r="H4584" s="19" t="s">
        <v>8364</v>
      </c>
      <c r="I4584" s="19">
        <v>24</v>
      </c>
      <c r="J4584" s="19">
        <v>0</v>
      </c>
      <c r="K4584" s="19">
        <v>5</v>
      </c>
      <c r="L4584" s="19" t="s">
        <v>38</v>
      </c>
      <c r="M4584" s="21">
        <v>10.5</v>
      </c>
      <c r="N4584">
        <f t="shared" si="71"/>
        <v>1</v>
      </c>
    </row>
    <row r="4585" spans="1:14" x14ac:dyDescent="0.35">
      <c r="A4585" s="22" t="s">
        <v>4655</v>
      </c>
      <c r="B4585" s="23" t="s">
        <v>34</v>
      </c>
      <c r="C4585" s="23">
        <v>3</v>
      </c>
      <c r="D4585" s="24">
        <v>45740</v>
      </c>
      <c r="E4585" s="23" t="s">
        <v>8364</v>
      </c>
      <c r="F4585" s="23" t="s">
        <v>43</v>
      </c>
      <c r="G4585" s="23" t="s">
        <v>31</v>
      </c>
      <c r="H4585" s="23" t="s">
        <v>8364</v>
      </c>
      <c r="I4585" s="23">
        <v>48</v>
      </c>
      <c r="J4585" s="23">
        <v>1</v>
      </c>
      <c r="K4585" s="23">
        <v>5</v>
      </c>
      <c r="L4585" s="23" t="s">
        <v>8363</v>
      </c>
      <c r="M4585" s="25">
        <v>14.8</v>
      </c>
      <c r="N4585">
        <f t="shared" si="71"/>
        <v>1</v>
      </c>
    </row>
    <row r="4586" spans="1:14" x14ac:dyDescent="0.35">
      <c r="A4586" s="6" t="s">
        <v>4656</v>
      </c>
      <c r="B4586" s="19" t="s">
        <v>89</v>
      </c>
      <c r="C4586" s="19">
        <v>11</v>
      </c>
      <c r="D4586" s="20">
        <v>45969</v>
      </c>
      <c r="E4586" s="19" t="s">
        <v>20</v>
      </c>
      <c r="F4586" s="19" t="s">
        <v>37</v>
      </c>
      <c r="G4586" s="19" t="s">
        <v>27</v>
      </c>
      <c r="H4586" s="19" t="s">
        <v>28</v>
      </c>
      <c r="I4586" s="19">
        <v>8</v>
      </c>
      <c r="J4586" s="19">
        <v>3</v>
      </c>
      <c r="K4586" s="19">
        <v>4</v>
      </c>
      <c r="L4586" s="19" t="s">
        <v>55</v>
      </c>
      <c r="M4586" s="21">
        <v>21.2</v>
      </c>
      <c r="N4586">
        <f t="shared" si="71"/>
        <v>0</v>
      </c>
    </row>
    <row r="4587" spans="1:14" x14ac:dyDescent="0.35">
      <c r="A4587" s="22" t="s">
        <v>4657</v>
      </c>
      <c r="B4587" s="23" t="s">
        <v>236</v>
      </c>
      <c r="C4587" s="23">
        <v>1</v>
      </c>
      <c r="D4587" s="24">
        <v>45680</v>
      </c>
      <c r="E4587" s="23" t="s">
        <v>25</v>
      </c>
      <c r="F4587" s="23" t="s">
        <v>43</v>
      </c>
      <c r="G4587" s="23" t="s">
        <v>15</v>
      </c>
      <c r="H4587" s="23" t="s">
        <v>22</v>
      </c>
      <c r="I4587" s="23">
        <v>8</v>
      </c>
      <c r="J4587" s="23">
        <v>0</v>
      </c>
      <c r="K4587" s="23">
        <v>3</v>
      </c>
      <c r="L4587" s="23" t="s">
        <v>8363</v>
      </c>
      <c r="M4587" s="25">
        <v>2.4</v>
      </c>
      <c r="N4587">
        <f t="shared" si="71"/>
        <v>1</v>
      </c>
    </row>
    <row r="4588" spans="1:14" x14ac:dyDescent="0.35">
      <c r="A4588" s="6" t="s">
        <v>4658</v>
      </c>
      <c r="B4588" s="19" t="s">
        <v>143</v>
      </c>
      <c r="C4588" s="19">
        <v>7</v>
      </c>
      <c r="D4588" s="20">
        <v>45850</v>
      </c>
      <c r="E4588" s="19" t="s">
        <v>68</v>
      </c>
      <c r="F4588" s="19" t="s">
        <v>40</v>
      </c>
      <c r="G4588" s="19" t="s">
        <v>31</v>
      </c>
      <c r="H4588" s="19" t="s">
        <v>28</v>
      </c>
      <c r="I4588" s="19">
        <v>48</v>
      </c>
      <c r="J4588" s="19">
        <v>0</v>
      </c>
      <c r="K4588" s="19"/>
      <c r="L4588" s="19" t="s">
        <v>44</v>
      </c>
      <c r="M4588" s="21">
        <v>16.100000000000001</v>
      </c>
      <c r="N4588">
        <f t="shared" si="71"/>
        <v>1</v>
      </c>
    </row>
    <row r="4589" spans="1:14" x14ac:dyDescent="0.35">
      <c r="A4589" s="22" t="s">
        <v>4659</v>
      </c>
      <c r="B4589" s="23" t="s">
        <v>45</v>
      </c>
      <c r="C4589" s="23">
        <v>3</v>
      </c>
      <c r="D4589" s="24">
        <v>45745</v>
      </c>
      <c r="E4589" s="23" t="s">
        <v>13</v>
      </c>
      <c r="F4589" s="23" t="s">
        <v>43</v>
      </c>
      <c r="G4589" s="23" t="s">
        <v>15</v>
      </c>
      <c r="H4589" s="23" t="s">
        <v>32</v>
      </c>
      <c r="I4589" s="23">
        <v>24</v>
      </c>
      <c r="J4589" s="23">
        <v>0</v>
      </c>
      <c r="K4589" s="23">
        <v>1</v>
      </c>
      <c r="L4589" s="23" t="s">
        <v>8363</v>
      </c>
      <c r="M4589" s="25">
        <v>16.899999999999999</v>
      </c>
      <c r="N4589">
        <f t="shared" si="71"/>
        <v>1</v>
      </c>
    </row>
    <row r="4590" spans="1:14" x14ac:dyDescent="0.35">
      <c r="A4590" s="6" t="s">
        <v>4660</v>
      </c>
      <c r="B4590" s="19" t="s">
        <v>47</v>
      </c>
      <c r="C4590" s="19">
        <v>12</v>
      </c>
      <c r="D4590" s="20">
        <v>46002</v>
      </c>
      <c r="E4590" s="19" t="s">
        <v>20</v>
      </c>
      <c r="F4590" s="19" t="s">
        <v>8364</v>
      </c>
      <c r="G4590" s="19" t="s">
        <v>15</v>
      </c>
      <c r="H4590" s="19" t="s">
        <v>22</v>
      </c>
      <c r="I4590" s="19">
        <v>24</v>
      </c>
      <c r="J4590" s="19">
        <v>0</v>
      </c>
      <c r="K4590" s="19">
        <v>5</v>
      </c>
      <c r="L4590" s="19" t="s">
        <v>55</v>
      </c>
      <c r="M4590" s="21">
        <v>27.6</v>
      </c>
      <c r="N4590">
        <f t="shared" si="71"/>
        <v>0</v>
      </c>
    </row>
    <row r="4591" spans="1:14" x14ac:dyDescent="0.35">
      <c r="A4591" s="22" t="s">
        <v>4661</v>
      </c>
      <c r="B4591" s="23" t="s">
        <v>97</v>
      </c>
      <c r="C4591" s="23">
        <v>11</v>
      </c>
      <c r="D4591" s="24">
        <v>45967</v>
      </c>
      <c r="E4591" s="23" t="s">
        <v>68</v>
      </c>
      <c r="F4591" s="23" t="s">
        <v>14</v>
      </c>
      <c r="G4591" s="23" t="s">
        <v>27</v>
      </c>
      <c r="H4591" s="23" t="s">
        <v>22</v>
      </c>
      <c r="I4591" s="23">
        <v>24</v>
      </c>
      <c r="J4591" s="23">
        <v>0</v>
      </c>
      <c r="K4591" s="23">
        <v>3</v>
      </c>
      <c r="L4591" s="23" t="s">
        <v>33</v>
      </c>
      <c r="M4591" s="25">
        <v>3.6</v>
      </c>
      <c r="N4591">
        <f t="shared" si="71"/>
        <v>1</v>
      </c>
    </row>
    <row r="4592" spans="1:14" x14ac:dyDescent="0.35">
      <c r="A4592" s="6" t="s">
        <v>4662</v>
      </c>
      <c r="B4592" s="19" t="s">
        <v>87</v>
      </c>
      <c r="C4592" s="19">
        <v>2</v>
      </c>
      <c r="D4592" s="20">
        <v>45696</v>
      </c>
      <c r="E4592" s="19" t="s">
        <v>25</v>
      </c>
      <c r="F4592" s="19" t="s">
        <v>14</v>
      </c>
      <c r="G4592" s="19" t="s">
        <v>15</v>
      </c>
      <c r="H4592" s="19" t="s">
        <v>28</v>
      </c>
      <c r="I4592" s="19">
        <v>24</v>
      </c>
      <c r="J4592" s="19">
        <v>2</v>
      </c>
      <c r="K4592" s="19">
        <v>2</v>
      </c>
      <c r="L4592" s="19" t="s">
        <v>38</v>
      </c>
      <c r="M4592" s="21">
        <v>2.8</v>
      </c>
      <c r="N4592">
        <f t="shared" si="71"/>
        <v>1</v>
      </c>
    </row>
    <row r="4593" spans="1:14" x14ac:dyDescent="0.35">
      <c r="A4593" s="22" t="s">
        <v>4663</v>
      </c>
      <c r="B4593" s="23" t="s">
        <v>49</v>
      </c>
      <c r="C4593" s="23">
        <v>5</v>
      </c>
      <c r="D4593" s="24">
        <v>45793</v>
      </c>
      <c r="E4593" s="23" t="s">
        <v>13</v>
      </c>
      <c r="F4593" s="23" t="s">
        <v>26</v>
      </c>
      <c r="G4593" s="23" t="s">
        <v>8364</v>
      </c>
      <c r="H4593" s="23" t="s">
        <v>22</v>
      </c>
      <c r="I4593" s="23">
        <v>48</v>
      </c>
      <c r="J4593" s="23">
        <v>0</v>
      </c>
      <c r="K4593" s="23">
        <v>5</v>
      </c>
      <c r="L4593" s="23" t="s">
        <v>38</v>
      </c>
      <c r="M4593" s="25">
        <v>20.8</v>
      </c>
      <c r="N4593">
        <f t="shared" si="71"/>
        <v>1</v>
      </c>
    </row>
    <row r="4594" spans="1:14" x14ac:dyDescent="0.35">
      <c r="A4594" s="6" t="s">
        <v>4664</v>
      </c>
      <c r="B4594" s="19" t="s">
        <v>146</v>
      </c>
      <c r="C4594" s="19">
        <v>6</v>
      </c>
      <c r="D4594" s="20">
        <v>45835</v>
      </c>
      <c r="E4594" s="19" t="s">
        <v>8364</v>
      </c>
      <c r="F4594" s="19" t="s">
        <v>8364</v>
      </c>
      <c r="G4594" s="19" t="s">
        <v>21</v>
      </c>
      <c r="H4594" s="19" t="s">
        <v>22</v>
      </c>
      <c r="I4594" s="19">
        <v>4</v>
      </c>
      <c r="J4594" s="19">
        <v>0</v>
      </c>
      <c r="K4594" s="19">
        <v>2</v>
      </c>
      <c r="L4594" s="19" t="s">
        <v>38</v>
      </c>
      <c r="M4594" s="21">
        <v>6.1</v>
      </c>
      <c r="N4594">
        <f t="shared" si="71"/>
        <v>0</v>
      </c>
    </row>
    <row r="4595" spans="1:14" x14ac:dyDescent="0.35">
      <c r="A4595" s="22" t="s">
        <v>4665</v>
      </c>
      <c r="B4595" s="23" t="s">
        <v>81</v>
      </c>
      <c r="C4595" s="23">
        <v>6</v>
      </c>
      <c r="D4595" s="24">
        <v>45837</v>
      </c>
      <c r="E4595" s="23" t="s">
        <v>13</v>
      </c>
      <c r="F4595" s="23" t="s">
        <v>14</v>
      </c>
      <c r="G4595" s="23" t="s">
        <v>15</v>
      </c>
      <c r="H4595" s="23" t="s">
        <v>28</v>
      </c>
      <c r="I4595" s="23">
        <v>24</v>
      </c>
      <c r="J4595" s="23">
        <v>1</v>
      </c>
      <c r="K4595" s="23">
        <v>5</v>
      </c>
      <c r="L4595" s="23" t="s">
        <v>17</v>
      </c>
      <c r="M4595" s="25">
        <v>15.7</v>
      </c>
      <c r="N4595">
        <f t="shared" si="71"/>
        <v>1</v>
      </c>
    </row>
    <row r="4596" spans="1:14" x14ac:dyDescent="0.35">
      <c r="A4596" s="6" t="s">
        <v>4666</v>
      </c>
      <c r="B4596" s="19" t="s">
        <v>181</v>
      </c>
      <c r="C4596" s="19"/>
      <c r="D4596" s="20"/>
      <c r="E4596" s="19" t="s">
        <v>13</v>
      </c>
      <c r="F4596" s="19" t="s">
        <v>43</v>
      </c>
      <c r="G4596" s="19" t="s">
        <v>27</v>
      </c>
      <c r="H4596" s="19" t="s">
        <v>22</v>
      </c>
      <c r="I4596" s="19">
        <v>48</v>
      </c>
      <c r="J4596" s="19">
        <v>0</v>
      </c>
      <c r="K4596" s="19">
        <v>5</v>
      </c>
      <c r="L4596" s="19" t="s">
        <v>8363</v>
      </c>
      <c r="M4596" s="21">
        <v>7</v>
      </c>
      <c r="N4596">
        <f t="shared" si="71"/>
        <v>1</v>
      </c>
    </row>
    <row r="4597" spans="1:14" x14ac:dyDescent="0.35">
      <c r="A4597" s="22" t="s">
        <v>4667</v>
      </c>
      <c r="B4597" s="23" t="s">
        <v>69</v>
      </c>
      <c r="C4597" s="23"/>
      <c r="D4597" s="24"/>
      <c r="E4597" s="23" t="s">
        <v>13</v>
      </c>
      <c r="F4597" s="23" t="s">
        <v>8364</v>
      </c>
      <c r="G4597" s="23" t="s">
        <v>8364</v>
      </c>
      <c r="H4597" s="23" t="s">
        <v>32</v>
      </c>
      <c r="I4597" s="23">
        <v>72</v>
      </c>
      <c r="J4597" s="23">
        <v>0</v>
      </c>
      <c r="K4597" s="23">
        <v>4</v>
      </c>
      <c r="L4597" s="23" t="s">
        <v>62</v>
      </c>
      <c r="M4597" s="25">
        <v>7.8</v>
      </c>
      <c r="N4597">
        <f t="shared" si="71"/>
        <v>1</v>
      </c>
    </row>
    <row r="4598" spans="1:14" x14ac:dyDescent="0.35">
      <c r="A4598" s="6" t="s">
        <v>4668</v>
      </c>
      <c r="B4598" s="19" t="s">
        <v>34</v>
      </c>
      <c r="C4598" s="19">
        <v>12</v>
      </c>
      <c r="D4598" s="20">
        <v>46014</v>
      </c>
      <c r="E4598" s="19" t="s">
        <v>25</v>
      </c>
      <c r="F4598" s="19" t="s">
        <v>43</v>
      </c>
      <c r="G4598" s="19" t="s">
        <v>27</v>
      </c>
      <c r="H4598" s="19" t="s">
        <v>16</v>
      </c>
      <c r="I4598" s="19">
        <v>72</v>
      </c>
      <c r="J4598" s="19">
        <v>3</v>
      </c>
      <c r="K4598" s="19">
        <v>4</v>
      </c>
      <c r="L4598" s="19" t="s">
        <v>55</v>
      </c>
      <c r="M4598" s="21"/>
      <c r="N4598">
        <f t="shared" si="71"/>
        <v>1</v>
      </c>
    </row>
    <row r="4599" spans="1:14" x14ac:dyDescent="0.35">
      <c r="A4599" s="22" t="s">
        <v>4669</v>
      </c>
      <c r="B4599" s="23" t="s">
        <v>65</v>
      </c>
      <c r="C4599" s="23"/>
      <c r="D4599" s="24"/>
      <c r="E4599" s="23" t="s">
        <v>68</v>
      </c>
      <c r="F4599" s="23" t="s">
        <v>26</v>
      </c>
      <c r="G4599" s="23" t="s">
        <v>27</v>
      </c>
      <c r="H4599" s="23" t="s">
        <v>16</v>
      </c>
      <c r="I4599" s="23">
        <v>8</v>
      </c>
      <c r="J4599" s="23">
        <v>0</v>
      </c>
      <c r="K4599" s="23"/>
      <c r="L4599" s="23" t="s">
        <v>38</v>
      </c>
      <c r="M4599" s="25">
        <v>4.5</v>
      </c>
      <c r="N4599">
        <f t="shared" si="71"/>
        <v>1</v>
      </c>
    </row>
    <row r="4600" spans="1:14" x14ac:dyDescent="0.35">
      <c r="A4600" s="6" t="s">
        <v>4670</v>
      </c>
      <c r="B4600" s="19" t="s">
        <v>97</v>
      </c>
      <c r="C4600" s="19">
        <v>3</v>
      </c>
      <c r="D4600" s="20">
        <v>45744</v>
      </c>
      <c r="E4600" s="19" t="s">
        <v>36</v>
      </c>
      <c r="F4600" s="19" t="s">
        <v>43</v>
      </c>
      <c r="G4600" s="19" t="s">
        <v>21</v>
      </c>
      <c r="H4600" s="19" t="s">
        <v>32</v>
      </c>
      <c r="I4600" s="19">
        <v>24</v>
      </c>
      <c r="J4600" s="19">
        <v>0</v>
      </c>
      <c r="K4600" s="19">
        <v>4</v>
      </c>
      <c r="L4600" s="19" t="s">
        <v>38</v>
      </c>
      <c r="M4600" s="21">
        <v>6.4</v>
      </c>
      <c r="N4600">
        <f t="shared" si="71"/>
        <v>1</v>
      </c>
    </row>
    <row r="4601" spans="1:14" x14ac:dyDescent="0.35">
      <c r="A4601" s="22" t="s">
        <v>4671</v>
      </c>
      <c r="B4601" s="23" t="s">
        <v>72</v>
      </c>
      <c r="C4601" s="23"/>
      <c r="D4601" s="24"/>
      <c r="E4601" s="23" t="s">
        <v>20</v>
      </c>
      <c r="F4601" s="23" t="s">
        <v>26</v>
      </c>
      <c r="G4601" s="23" t="s">
        <v>27</v>
      </c>
      <c r="H4601" s="23" t="s">
        <v>22</v>
      </c>
      <c r="I4601" s="23">
        <v>8</v>
      </c>
      <c r="J4601" s="23">
        <v>0</v>
      </c>
      <c r="K4601" s="23">
        <v>1</v>
      </c>
      <c r="L4601" s="23" t="s">
        <v>62</v>
      </c>
      <c r="M4601" s="25"/>
      <c r="N4601">
        <f t="shared" si="71"/>
        <v>1</v>
      </c>
    </row>
    <row r="4602" spans="1:14" x14ac:dyDescent="0.35">
      <c r="A4602" s="6" t="s">
        <v>4672</v>
      </c>
      <c r="B4602" s="19" t="s">
        <v>99</v>
      </c>
      <c r="C4602" s="19"/>
      <c r="D4602" s="20"/>
      <c r="E4602" s="19" t="s">
        <v>25</v>
      </c>
      <c r="F4602" s="19" t="s">
        <v>43</v>
      </c>
      <c r="G4602" s="19" t="s">
        <v>27</v>
      </c>
      <c r="H4602" s="19" t="s">
        <v>22</v>
      </c>
      <c r="I4602" s="19">
        <v>48</v>
      </c>
      <c r="J4602" s="19">
        <v>2</v>
      </c>
      <c r="K4602" s="19"/>
      <c r="L4602" s="19" t="s">
        <v>33</v>
      </c>
      <c r="M4602" s="21">
        <v>7.5</v>
      </c>
      <c r="N4602">
        <f t="shared" si="71"/>
        <v>1</v>
      </c>
    </row>
    <row r="4603" spans="1:14" x14ac:dyDescent="0.35">
      <c r="A4603" s="22" t="s">
        <v>4673</v>
      </c>
      <c r="B4603" s="23" t="s">
        <v>49</v>
      </c>
      <c r="C4603" s="23">
        <v>12</v>
      </c>
      <c r="D4603" s="24">
        <v>46008</v>
      </c>
      <c r="E4603" s="23" t="s">
        <v>13</v>
      </c>
      <c r="F4603" s="23" t="s">
        <v>14</v>
      </c>
      <c r="G4603" s="23" t="s">
        <v>27</v>
      </c>
      <c r="H4603" s="23" t="s">
        <v>16</v>
      </c>
      <c r="I4603" s="23">
        <v>72</v>
      </c>
      <c r="J4603" s="23">
        <v>1</v>
      </c>
      <c r="K4603" s="23">
        <v>5</v>
      </c>
      <c r="L4603" s="23" t="s">
        <v>33</v>
      </c>
      <c r="M4603" s="25">
        <v>23.5</v>
      </c>
      <c r="N4603">
        <f t="shared" si="71"/>
        <v>1</v>
      </c>
    </row>
    <row r="4604" spans="1:14" x14ac:dyDescent="0.35">
      <c r="A4604" s="6" t="s">
        <v>4674</v>
      </c>
      <c r="B4604" s="19" t="s">
        <v>81</v>
      </c>
      <c r="C4604" s="19">
        <v>5</v>
      </c>
      <c r="D4604" s="20">
        <v>45782</v>
      </c>
      <c r="E4604" s="19" t="s">
        <v>36</v>
      </c>
      <c r="F4604" s="19" t="s">
        <v>40</v>
      </c>
      <c r="G4604" s="19" t="s">
        <v>21</v>
      </c>
      <c r="H4604" s="19" t="s">
        <v>22</v>
      </c>
      <c r="I4604" s="19">
        <v>8</v>
      </c>
      <c r="J4604" s="19">
        <v>0</v>
      </c>
      <c r="K4604" s="19">
        <v>2</v>
      </c>
      <c r="L4604" s="19" t="s">
        <v>8363</v>
      </c>
      <c r="M4604" s="21">
        <v>16.399999999999999</v>
      </c>
      <c r="N4604">
        <f t="shared" si="71"/>
        <v>0</v>
      </c>
    </row>
    <row r="4605" spans="1:14" x14ac:dyDescent="0.35">
      <c r="A4605" s="22" t="s">
        <v>4675</v>
      </c>
      <c r="B4605" s="23" t="s">
        <v>89</v>
      </c>
      <c r="C4605" s="23">
        <v>11</v>
      </c>
      <c r="D4605" s="24">
        <v>45991</v>
      </c>
      <c r="E4605" s="23" t="s">
        <v>13</v>
      </c>
      <c r="F4605" s="23" t="s">
        <v>59</v>
      </c>
      <c r="G4605" s="23" t="s">
        <v>31</v>
      </c>
      <c r="H4605" s="23" t="s">
        <v>32</v>
      </c>
      <c r="I4605" s="23">
        <v>48</v>
      </c>
      <c r="J4605" s="23">
        <v>0</v>
      </c>
      <c r="K4605" s="23"/>
      <c r="L4605" s="23" t="s">
        <v>8363</v>
      </c>
      <c r="M4605" s="25">
        <v>15.9</v>
      </c>
      <c r="N4605">
        <f t="shared" si="71"/>
        <v>1</v>
      </c>
    </row>
    <row r="4606" spans="1:14" x14ac:dyDescent="0.35">
      <c r="A4606" s="6" t="s">
        <v>4676</v>
      </c>
      <c r="B4606" s="19" t="s">
        <v>236</v>
      </c>
      <c r="C4606" s="19">
        <v>5</v>
      </c>
      <c r="D4606" s="20">
        <v>45791</v>
      </c>
      <c r="E4606" s="19" t="s">
        <v>36</v>
      </c>
      <c r="F4606" s="19" t="s">
        <v>40</v>
      </c>
      <c r="G4606" s="19" t="s">
        <v>21</v>
      </c>
      <c r="H4606" s="19" t="s">
        <v>22</v>
      </c>
      <c r="I4606" s="19">
        <v>72</v>
      </c>
      <c r="J4606" s="19">
        <v>0</v>
      </c>
      <c r="K4606" s="19">
        <v>4</v>
      </c>
      <c r="L4606" s="19" t="s">
        <v>33</v>
      </c>
      <c r="M4606" s="21">
        <v>21.7</v>
      </c>
      <c r="N4606">
        <f t="shared" si="71"/>
        <v>1</v>
      </c>
    </row>
    <row r="4607" spans="1:14" x14ac:dyDescent="0.35">
      <c r="A4607" s="22" t="s">
        <v>4677</v>
      </c>
      <c r="B4607" s="23" t="s">
        <v>34</v>
      </c>
      <c r="C4607" s="23">
        <v>8</v>
      </c>
      <c r="D4607" s="24">
        <v>45880</v>
      </c>
      <c r="E4607" s="23" t="s">
        <v>25</v>
      </c>
      <c r="F4607" s="23" t="s">
        <v>8364</v>
      </c>
      <c r="G4607" s="23" t="s">
        <v>27</v>
      </c>
      <c r="H4607" s="23" t="s">
        <v>28</v>
      </c>
      <c r="I4607" s="23">
        <v>8</v>
      </c>
      <c r="J4607" s="23">
        <v>0</v>
      </c>
      <c r="K4607" s="23">
        <v>3</v>
      </c>
      <c r="L4607" s="23" t="s">
        <v>38</v>
      </c>
      <c r="M4607" s="25">
        <v>6.8</v>
      </c>
      <c r="N4607">
        <f t="shared" si="71"/>
        <v>1</v>
      </c>
    </row>
    <row r="4608" spans="1:14" x14ac:dyDescent="0.35">
      <c r="A4608" s="6" t="s">
        <v>4678</v>
      </c>
      <c r="B4608" s="19" t="s">
        <v>89</v>
      </c>
      <c r="C4608" s="19">
        <v>3</v>
      </c>
      <c r="D4608" s="20">
        <v>45729</v>
      </c>
      <c r="E4608" s="19" t="s">
        <v>68</v>
      </c>
      <c r="F4608" s="19" t="s">
        <v>43</v>
      </c>
      <c r="G4608" s="19" t="s">
        <v>31</v>
      </c>
      <c r="H4608" s="19" t="s">
        <v>28</v>
      </c>
      <c r="I4608" s="19">
        <v>24</v>
      </c>
      <c r="J4608" s="19">
        <v>0</v>
      </c>
      <c r="K4608" s="19"/>
      <c r="L4608" s="19" t="s">
        <v>75</v>
      </c>
      <c r="M4608" s="21">
        <v>20</v>
      </c>
      <c r="N4608">
        <f t="shared" si="71"/>
        <v>1</v>
      </c>
    </row>
    <row r="4609" spans="1:14" x14ac:dyDescent="0.35">
      <c r="A4609" s="22" t="s">
        <v>4679</v>
      </c>
      <c r="B4609" s="23" t="s">
        <v>65</v>
      </c>
      <c r="C4609" s="23">
        <v>11</v>
      </c>
      <c r="D4609" s="24">
        <v>45985</v>
      </c>
      <c r="E4609" s="23" t="s">
        <v>25</v>
      </c>
      <c r="F4609" s="23" t="s">
        <v>59</v>
      </c>
      <c r="G4609" s="23" t="s">
        <v>15</v>
      </c>
      <c r="H4609" s="23" t="s">
        <v>32</v>
      </c>
      <c r="I4609" s="23">
        <v>24</v>
      </c>
      <c r="J4609" s="23">
        <v>0</v>
      </c>
      <c r="K4609" s="23">
        <v>3</v>
      </c>
      <c r="L4609" s="23" t="s">
        <v>44</v>
      </c>
      <c r="M4609" s="25">
        <v>13.3</v>
      </c>
      <c r="N4609">
        <f t="shared" si="71"/>
        <v>1</v>
      </c>
    </row>
    <row r="4610" spans="1:14" x14ac:dyDescent="0.35">
      <c r="A4610" s="6" t="s">
        <v>4680</v>
      </c>
      <c r="B4610" s="19" t="s">
        <v>108</v>
      </c>
      <c r="C4610" s="19">
        <v>2</v>
      </c>
      <c r="D4610" s="20">
        <v>45690</v>
      </c>
      <c r="E4610" s="19" t="s">
        <v>8364</v>
      </c>
      <c r="F4610" s="19" t="s">
        <v>26</v>
      </c>
      <c r="G4610" s="19" t="s">
        <v>31</v>
      </c>
      <c r="H4610" s="19" t="s">
        <v>28</v>
      </c>
      <c r="I4610" s="19">
        <v>4</v>
      </c>
      <c r="J4610" s="19">
        <v>0</v>
      </c>
      <c r="K4610" s="19">
        <v>2</v>
      </c>
      <c r="L4610" s="19" t="s">
        <v>62</v>
      </c>
      <c r="M4610" s="21">
        <v>8.6</v>
      </c>
      <c r="N4610">
        <f t="shared" si="71"/>
        <v>0</v>
      </c>
    </row>
    <row r="4611" spans="1:14" x14ac:dyDescent="0.35">
      <c r="A4611" s="22" t="s">
        <v>4681</v>
      </c>
      <c r="B4611" s="23" t="s">
        <v>72</v>
      </c>
      <c r="C4611" s="23">
        <v>2</v>
      </c>
      <c r="D4611" s="24">
        <v>45704</v>
      </c>
      <c r="E4611" s="23" t="s">
        <v>25</v>
      </c>
      <c r="F4611" s="23" t="s">
        <v>37</v>
      </c>
      <c r="G4611" s="23" t="s">
        <v>31</v>
      </c>
      <c r="H4611" s="23" t="s">
        <v>22</v>
      </c>
      <c r="I4611" s="23">
        <v>72</v>
      </c>
      <c r="J4611" s="23">
        <v>0</v>
      </c>
      <c r="K4611" s="23">
        <v>4</v>
      </c>
      <c r="L4611" s="23" t="s">
        <v>75</v>
      </c>
      <c r="M4611" s="25">
        <v>19.399999999999999</v>
      </c>
      <c r="N4611">
        <f t="shared" ref="N4611:N4674" si="72">IF(M4611 &lt;= I4611, 1, 0)</f>
        <v>1</v>
      </c>
    </row>
    <row r="4612" spans="1:14" x14ac:dyDescent="0.35">
      <c r="A4612" s="6" t="s">
        <v>4682</v>
      </c>
      <c r="B4612" s="19" t="s">
        <v>158</v>
      </c>
      <c r="C4612" s="19">
        <v>8</v>
      </c>
      <c r="D4612" s="20">
        <v>45882</v>
      </c>
      <c r="E4612" s="19" t="s">
        <v>25</v>
      </c>
      <c r="F4612" s="19" t="s">
        <v>59</v>
      </c>
      <c r="G4612" s="19" t="s">
        <v>31</v>
      </c>
      <c r="H4612" s="19" t="s">
        <v>32</v>
      </c>
      <c r="I4612" s="19">
        <v>48</v>
      </c>
      <c r="J4612" s="19">
        <v>0</v>
      </c>
      <c r="K4612" s="19">
        <v>5</v>
      </c>
      <c r="L4612" s="19" t="s">
        <v>44</v>
      </c>
      <c r="M4612" s="21">
        <v>13.4</v>
      </c>
      <c r="N4612">
        <f t="shared" si="72"/>
        <v>1</v>
      </c>
    </row>
    <row r="4613" spans="1:14" x14ac:dyDescent="0.35">
      <c r="A4613" s="22" t="s">
        <v>4683</v>
      </c>
      <c r="B4613" s="23" t="s">
        <v>47</v>
      </c>
      <c r="C4613" s="23">
        <v>7</v>
      </c>
      <c r="D4613" s="24">
        <v>45843</v>
      </c>
      <c r="E4613" s="23" t="s">
        <v>25</v>
      </c>
      <c r="F4613" s="23" t="s">
        <v>37</v>
      </c>
      <c r="G4613" s="23" t="s">
        <v>21</v>
      </c>
      <c r="H4613" s="23" t="s">
        <v>8364</v>
      </c>
      <c r="I4613" s="23">
        <v>8</v>
      </c>
      <c r="J4613" s="23">
        <v>1</v>
      </c>
      <c r="K4613" s="23">
        <v>4</v>
      </c>
      <c r="L4613" s="23" t="s">
        <v>75</v>
      </c>
      <c r="M4613" s="25">
        <v>6.5</v>
      </c>
      <c r="N4613">
        <f t="shared" si="72"/>
        <v>1</v>
      </c>
    </row>
    <row r="4614" spans="1:14" x14ac:dyDescent="0.35">
      <c r="A4614" s="6" t="s">
        <v>4684</v>
      </c>
      <c r="B4614" s="19" t="s">
        <v>146</v>
      </c>
      <c r="C4614" s="19"/>
      <c r="D4614" s="20"/>
      <c r="E4614" s="19" t="s">
        <v>25</v>
      </c>
      <c r="F4614" s="19" t="s">
        <v>37</v>
      </c>
      <c r="G4614" s="19" t="s">
        <v>27</v>
      </c>
      <c r="H4614" s="19" t="s">
        <v>28</v>
      </c>
      <c r="I4614" s="19">
        <v>48</v>
      </c>
      <c r="J4614" s="19">
        <v>2</v>
      </c>
      <c r="K4614" s="19">
        <v>5</v>
      </c>
      <c r="L4614" s="19" t="s">
        <v>62</v>
      </c>
      <c r="M4614" s="21">
        <v>33.6</v>
      </c>
      <c r="N4614">
        <f t="shared" si="72"/>
        <v>1</v>
      </c>
    </row>
    <row r="4615" spans="1:14" x14ac:dyDescent="0.35">
      <c r="A4615" s="22" t="s">
        <v>4685</v>
      </c>
      <c r="B4615" s="23" t="s">
        <v>69</v>
      </c>
      <c r="C4615" s="23">
        <v>12</v>
      </c>
      <c r="D4615" s="24">
        <v>46015</v>
      </c>
      <c r="E4615" s="23" t="s">
        <v>13</v>
      </c>
      <c r="F4615" s="23" t="s">
        <v>37</v>
      </c>
      <c r="G4615" s="23" t="s">
        <v>31</v>
      </c>
      <c r="H4615" s="23" t="s">
        <v>16</v>
      </c>
      <c r="I4615" s="23">
        <v>4</v>
      </c>
      <c r="J4615" s="23">
        <v>0</v>
      </c>
      <c r="K4615" s="23">
        <v>5</v>
      </c>
      <c r="L4615" s="23" t="s">
        <v>38</v>
      </c>
      <c r="M4615" s="25">
        <v>3.8</v>
      </c>
      <c r="N4615">
        <f t="shared" si="72"/>
        <v>1</v>
      </c>
    </row>
    <row r="4616" spans="1:14" x14ac:dyDescent="0.35">
      <c r="A4616" s="6" t="s">
        <v>4686</v>
      </c>
      <c r="B4616" s="19" t="s">
        <v>39</v>
      </c>
      <c r="C4616" s="19">
        <v>8</v>
      </c>
      <c r="D4616" s="20">
        <v>45875</v>
      </c>
      <c r="E4616" s="19" t="s">
        <v>13</v>
      </c>
      <c r="F4616" s="19" t="s">
        <v>14</v>
      </c>
      <c r="G4616" s="19" t="s">
        <v>27</v>
      </c>
      <c r="H4616" s="19" t="s">
        <v>32</v>
      </c>
      <c r="I4616" s="19">
        <v>8</v>
      </c>
      <c r="J4616" s="19">
        <v>0</v>
      </c>
      <c r="K4616" s="19">
        <v>5</v>
      </c>
      <c r="L4616" s="19" t="s">
        <v>38</v>
      </c>
      <c r="M4616" s="21">
        <v>4.0999999999999996</v>
      </c>
      <c r="N4616">
        <f t="shared" si="72"/>
        <v>1</v>
      </c>
    </row>
    <row r="4617" spans="1:14" x14ac:dyDescent="0.35">
      <c r="A4617" s="22" t="s">
        <v>4687</v>
      </c>
      <c r="B4617" s="23" t="s">
        <v>85</v>
      </c>
      <c r="C4617" s="23">
        <v>1</v>
      </c>
      <c r="D4617" s="24">
        <v>45662</v>
      </c>
      <c r="E4617" s="23" t="s">
        <v>68</v>
      </c>
      <c r="F4617" s="23" t="s">
        <v>43</v>
      </c>
      <c r="G4617" s="23" t="s">
        <v>21</v>
      </c>
      <c r="H4617" s="23" t="s">
        <v>22</v>
      </c>
      <c r="I4617" s="23">
        <v>48</v>
      </c>
      <c r="J4617" s="23">
        <v>0</v>
      </c>
      <c r="K4617" s="23">
        <v>3</v>
      </c>
      <c r="L4617" s="23" t="s">
        <v>62</v>
      </c>
      <c r="M4617" s="25">
        <v>20.6</v>
      </c>
      <c r="N4617">
        <f t="shared" si="72"/>
        <v>1</v>
      </c>
    </row>
    <row r="4618" spans="1:14" x14ac:dyDescent="0.35">
      <c r="A4618" s="6" t="s">
        <v>4688</v>
      </c>
      <c r="B4618" s="19" t="s">
        <v>39</v>
      </c>
      <c r="C4618" s="19">
        <v>8</v>
      </c>
      <c r="D4618" s="20">
        <v>45878</v>
      </c>
      <c r="E4618" s="19" t="s">
        <v>13</v>
      </c>
      <c r="F4618" s="19" t="s">
        <v>14</v>
      </c>
      <c r="G4618" s="19" t="s">
        <v>31</v>
      </c>
      <c r="H4618" s="19" t="s">
        <v>8364</v>
      </c>
      <c r="I4618" s="19">
        <v>24</v>
      </c>
      <c r="J4618" s="19">
        <v>0</v>
      </c>
      <c r="K4618" s="19">
        <v>4</v>
      </c>
      <c r="L4618" s="19" t="s">
        <v>44</v>
      </c>
      <c r="M4618" s="21">
        <v>13.4</v>
      </c>
      <c r="N4618">
        <f t="shared" si="72"/>
        <v>1</v>
      </c>
    </row>
    <row r="4619" spans="1:14" x14ac:dyDescent="0.35">
      <c r="A4619" s="22" t="s">
        <v>4689</v>
      </c>
      <c r="B4619" s="23" t="s">
        <v>57</v>
      </c>
      <c r="C4619" s="23">
        <v>6</v>
      </c>
      <c r="D4619" s="24">
        <v>45830</v>
      </c>
      <c r="E4619" s="23" t="s">
        <v>20</v>
      </c>
      <c r="F4619" s="23" t="s">
        <v>14</v>
      </c>
      <c r="G4619" s="23" t="s">
        <v>8364</v>
      </c>
      <c r="H4619" s="23" t="s">
        <v>28</v>
      </c>
      <c r="I4619" s="23">
        <v>4</v>
      </c>
      <c r="J4619" s="23">
        <v>0</v>
      </c>
      <c r="K4619" s="23">
        <v>4</v>
      </c>
      <c r="L4619" s="23" t="s">
        <v>75</v>
      </c>
      <c r="M4619" s="25">
        <v>3.5</v>
      </c>
      <c r="N4619">
        <f t="shared" si="72"/>
        <v>1</v>
      </c>
    </row>
    <row r="4620" spans="1:14" x14ac:dyDescent="0.35">
      <c r="A4620" s="6" t="s">
        <v>4690</v>
      </c>
      <c r="B4620" s="19" t="s">
        <v>143</v>
      </c>
      <c r="C4620" s="19">
        <v>11</v>
      </c>
      <c r="D4620" s="20">
        <v>45962</v>
      </c>
      <c r="E4620" s="19" t="s">
        <v>25</v>
      </c>
      <c r="F4620" s="19" t="s">
        <v>14</v>
      </c>
      <c r="G4620" s="19" t="s">
        <v>31</v>
      </c>
      <c r="H4620" s="19" t="s">
        <v>32</v>
      </c>
      <c r="I4620" s="19">
        <v>24</v>
      </c>
      <c r="J4620" s="19">
        <v>1</v>
      </c>
      <c r="K4620" s="19">
        <v>5</v>
      </c>
      <c r="L4620" s="19" t="s">
        <v>17</v>
      </c>
      <c r="M4620" s="21">
        <v>9.5</v>
      </c>
      <c r="N4620">
        <f t="shared" si="72"/>
        <v>1</v>
      </c>
    </row>
    <row r="4621" spans="1:14" x14ac:dyDescent="0.35">
      <c r="A4621" s="22" t="s">
        <v>4691</v>
      </c>
      <c r="B4621" s="23" t="s">
        <v>85</v>
      </c>
      <c r="C4621" s="23">
        <v>6</v>
      </c>
      <c r="D4621" s="24">
        <v>45817</v>
      </c>
      <c r="E4621" s="23" t="s">
        <v>36</v>
      </c>
      <c r="F4621" s="23" t="s">
        <v>59</v>
      </c>
      <c r="G4621" s="23" t="s">
        <v>15</v>
      </c>
      <c r="H4621" s="23" t="s">
        <v>8364</v>
      </c>
      <c r="I4621" s="23">
        <v>48</v>
      </c>
      <c r="J4621" s="23">
        <v>0</v>
      </c>
      <c r="K4621" s="23">
        <v>2</v>
      </c>
      <c r="L4621" s="23" t="s">
        <v>44</v>
      </c>
      <c r="M4621" s="25">
        <v>17.899999999999999</v>
      </c>
      <c r="N4621">
        <f t="shared" si="72"/>
        <v>1</v>
      </c>
    </row>
    <row r="4622" spans="1:14" x14ac:dyDescent="0.35">
      <c r="A4622" s="6" t="s">
        <v>4692</v>
      </c>
      <c r="B4622" s="19" t="s">
        <v>53</v>
      </c>
      <c r="C4622" s="19">
        <v>7</v>
      </c>
      <c r="D4622" s="20">
        <v>45845</v>
      </c>
      <c r="E4622" s="19" t="s">
        <v>68</v>
      </c>
      <c r="F4622" s="19" t="s">
        <v>14</v>
      </c>
      <c r="G4622" s="19" t="s">
        <v>15</v>
      </c>
      <c r="H4622" s="19" t="s">
        <v>22</v>
      </c>
      <c r="I4622" s="19">
        <v>72</v>
      </c>
      <c r="J4622" s="19">
        <v>0</v>
      </c>
      <c r="K4622" s="19">
        <v>3</v>
      </c>
      <c r="L4622" s="19" t="s">
        <v>75</v>
      </c>
      <c r="M4622" s="21">
        <v>22.5</v>
      </c>
      <c r="N4622">
        <f t="shared" si="72"/>
        <v>1</v>
      </c>
    </row>
    <row r="4623" spans="1:14" x14ac:dyDescent="0.35">
      <c r="A4623" s="22" t="s">
        <v>4693</v>
      </c>
      <c r="B4623" s="23" t="s">
        <v>81</v>
      </c>
      <c r="C4623" s="23">
        <v>7</v>
      </c>
      <c r="D4623" s="24">
        <v>45839</v>
      </c>
      <c r="E4623" s="23" t="s">
        <v>13</v>
      </c>
      <c r="F4623" s="23" t="s">
        <v>14</v>
      </c>
      <c r="G4623" s="23" t="s">
        <v>31</v>
      </c>
      <c r="H4623" s="23" t="s">
        <v>22</v>
      </c>
      <c r="I4623" s="23">
        <v>24</v>
      </c>
      <c r="J4623" s="23">
        <v>0</v>
      </c>
      <c r="K4623" s="23">
        <v>4</v>
      </c>
      <c r="L4623" s="23" t="s">
        <v>44</v>
      </c>
      <c r="M4623" s="25">
        <v>7.1</v>
      </c>
      <c r="N4623">
        <f t="shared" si="72"/>
        <v>1</v>
      </c>
    </row>
    <row r="4624" spans="1:14" x14ac:dyDescent="0.35">
      <c r="A4624" s="6" t="s">
        <v>4694</v>
      </c>
      <c r="B4624" s="19" t="s">
        <v>57</v>
      </c>
      <c r="C4624" s="19">
        <v>1</v>
      </c>
      <c r="D4624" s="20">
        <v>45675</v>
      </c>
      <c r="E4624" s="19" t="s">
        <v>8364</v>
      </c>
      <c r="F4624" s="19" t="s">
        <v>37</v>
      </c>
      <c r="G4624" s="19" t="s">
        <v>21</v>
      </c>
      <c r="H4624" s="19" t="s">
        <v>22</v>
      </c>
      <c r="I4624" s="19">
        <v>8</v>
      </c>
      <c r="J4624" s="19">
        <v>0</v>
      </c>
      <c r="K4624" s="19">
        <v>2</v>
      </c>
      <c r="L4624" s="19" t="s">
        <v>8363</v>
      </c>
      <c r="M4624" s="21">
        <v>7.7</v>
      </c>
      <c r="N4624">
        <f t="shared" si="72"/>
        <v>1</v>
      </c>
    </row>
    <row r="4625" spans="1:14" x14ac:dyDescent="0.35">
      <c r="A4625" s="22" t="s">
        <v>4695</v>
      </c>
      <c r="B4625" s="23" t="s">
        <v>78</v>
      </c>
      <c r="C4625" s="23">
        <v>3</v>
      </c>
      <c r="D4625" s="24">
        <v>45746</v>
      </c>
      <c r="E4625" s="23" t="s">
        <v>25</v>
      </c>
      <c r="F4625" s="23" t="s">
        <v>14</v>
      </c>
      <c r="G4625" s="23" t="s">
        <v>31</v>
      </c>
      <c r="H4625" s="23" t="s">
        <v>22</v>
      </c>
      <c r="I4625" s="23">
        <v>8</v>
      </c>
      <c r="J4625" s="23">
        <v>0</v>
      </c>
      <c r="K4625" s="23"/>
      <c r="L4625" s="23" t="s">
        <v>62</v>
      </c>
      <c r="M4625" s="25">
        <v>8.1</v>
      </c>
      <c r="N4625">
        <f t="shared" si="72"/>
        <v>0</v>
      </c>
    </row>
    <row r="4626" spans="1:14" x14ac:dyDescent="0.35">
      <c r="A4626" s="6" t="s">
        <v>4696</v>
      </c>
      <c r="B4626" s="19" t="s">
        <v>51</v>
      </c>
      <c r="C4626" s="19">
        <v>9</v>
      </c>
      <c r="D4626" s="20">
        <v>45906</v>
      </c>
      <c r="E4626" s="19" t="s">
        <v>13</v>
      </c>
      <c r="F4626" s="19" t="s">
        <v>43</v>
      </c>
      <c r="G4626" s="19" t="s">
        <v>21</v>
      </c>
      <c r="H4626" s="19" t="s">
        <v>22</v>
      </c>
      <c r="I4626" s="19">
        <v>8</v>
      </c>
      <c r="J4626" s="19">
        <v>0</v>
      </c>
      <c r="K4626" s="19">
        <v>4</v>
      </c>
      <c r="L4626" s="19" t="s">
        <v>8363</v>
      </c>
      <c r="M4626" s="21">
        <v>31</v>
      </c>
      <c r="N4626">
        <f t="shared" si="72"/>
        <v>0</v>
      </c>
    </row>
    <row r="4627" spans="1:14" x14ac:dyDescent="0.35">
      <c r="A4627" s="22" t="s">
        <v>4697</v>
      </c>
      <c r="B4627" s="23" t="s">
        <v>89</v>
      </c>
      <c r="C4627" s="23">
        <v>9</v>
      </c>
      <c r="D4627" s="24">
        <v>45926</v>
      </c>
      <c r="E4627" s="23" t="s">
        <v>20</v>
      </c>
      <c r="F4627" s="23" t="s">
        <v>59</v>
      </c>
      <c r="G4627" s="23" t="s">
        <v>15</v>
      </c>
      <c r="H4627" s="23" t="s">
        <v>22</v>
      </c>
      <c r="I4627" s="23">
        <v>8</v>
      </c>
      <c r="J4627" s="23">
        <v>1</v>
      </c>
      <c r="K4627" s="23">
        <v>5</v>
      </c>
      <c r="L4627" s="23" t="s">
        <v>75</v>
      </c>
      <c r="M4627" s="25">
        <v>1.7</v>
      </c>
      <c r="N4627">
        <f t="shared" si="72"/>
        <v>1</v>
      </c>
    </row>
    <row r="4628" spans="1:14" x14ac:dyDescent="0.35">
      <c r="A4628" s="6" t="s">
        <v>4698</v>
      </c>
      <c r="B4628" s="19" t="s">
        <v>34</v>
      </c>
      <c r="C4628" s="19"/>
      <c r="D4628" s="20"/>
      <c r="E4628" s="19" t="s">
        <v>25</v>
      </c>
      <c r="F4628" s="19" t="s">
        <v>43</v>
      </c>
      <c r="G4628" s="19" t="s">
        <v>27</v>
      </c>
      <c r="H4628" s="19" t="s">
        <v>8364</v>
      </c>
      <c r="I4628" s="19">
        <v>48</v>
      </c>
      <c r="J4628" s="19">
        <v>1</v>
      </c>
      <c r="K4628" s="19">
        <v>5</v>
      </c>
      <c r="L4628" s="19" t="s">
        <v>55</v>
      </c>
      <c r="M4628" s="21">
        <v>14.3</v>
      </c>
      <c r="N4628">
        <f t="shared" si="72"/>
        <v>1</v>
      </c>
    </row>
    <row r="4629" spans="1:14" x14ac:dyDescent="0.35">
      <c r="A4629" s="22" t="s">
        <v>4699</v>
      </c>
      <c r="B4629" s="23" t="s">
        <v>41</v>
      </c>
      <c r="C4629" s="23">
        <v>11</v>
      </c>
      <c r="D4629" s="24">
        <v>45989</v>
      </c>
      <c r="E4629" s="23" t="s">
        <v>20</v>
      </c>
      <c r="F4629" s="23" t="s">
        <v>37</v>
      </c>
      <c r="G4629" s="23" t="s">
        <v>27</v>
      </c>
      <c r="H4629" s="23" t="s">
        <v>22</v>
      </c>
      <c r="I4629" s="23">
        <v>72</v>
      </c>
      <c r="J4629" s="23">
        <v>0</v>
      </c>
      <c r="K4629" s="23"/>
      <c r="L4629" s="23" t="s">
        <v>17</v>
      </c>
      <c r="M4629" s="25">
        <v>6.5</v>
      </c>
      <c r="N4629">
        <f t="shared" si="72"/>
        <v>1</v>
      </c>
    </row>
    <row r="4630" spans="1:14" x14ac:dyDescent="0.35">
      <c r="A4630" s="6" t="s">
        <v>4700</v>
      </c>
      <c r="B4630" s="19" t="s">
        <v>87</v>
      </c>
      <c r="C4630" s="19"/>
      <c r="D4630" s="20"/>
      <c r="E4630" s="19" t="s">
        <v>68</v>
      </c>
      <c r="F4630" s="19" t="s">
        <v>59</v>
      </c>
      <c r="G4630" s="19" t="s">
        <v>8364</v>
      </c>
      <c r="H4630" s="19" t="s">
        <v>28</v>
      </c>
      <c r="I4630" s="19">
        <v>24</v>
      </c>
      <c r="J4630" s="19">
        <v>0</v>
      </c>
      <c r="K4630" s="19"/>
      <c r="L4630" s="19" t="s">
        <v>8363</v>
      </c>
      <c r="M4630" s="21">
        <v>19.899999999999999</v>
      </c>
      <c r="N4630">
        <f t="shared" si="72"/>
        <v>1</v>
      </c>
    </row>
    <row r="4631" spans="1:14" x14ac:dyDescent="0.35">
      <c r="A4631" s="22" t="s">
        <v>4701</v>
      </c>
      <c r="B4631" s="23" t="s">
        <v>236</v>
      </c>
      <c r="C4631" s="23">
        <v>6</v>
      </c>
      <c r="D4631" s="24">
        <v>45830</v>
      </c>
      <c r="E4631" s="23" t="s">
        <v>13</v>
      </c>
      <c r="F4631" s="23" t="s">
        <v>59</v>
      </c>
      <c r="G4631" s="23" t="s">
        <v>15</v>
      </c>
      <c r="H4631" s="23" t="s">
        <v>22</v>
      </c>
      <c r="I4631" s="23">
        <v>4</v>
      </c>
      <c r="J4631" s="23">
        <v>0</v>
      </c>
      <c r="K4631" s="23">
        <v>3</v>
      </c>
      <c r="L4631" s="23" t="s">
        <v>8363</v>
      </c>
      <c r="M4631" s="25">
        <v>9.1999999999999993</v>
      </c>
      <c r="N4631">
        <f t="shared" si="72"/>
        <v>0</v>
      </c>
    </row>
    <row r="4632" spans="1:14" x14ac:dyDescent="0.35">
      <c r="A4632" s="6" t="s">
        <v>4702</v>
      </c>
      <c r="B4632" s="19" t="s">
        <v>146</v>
      </c>
      <c r="C4632" s="19">
        <v>9</v>
      </c>
      <c r="D4632" s="20">
        <v>45913</v>
      </c>
      <c r="E4632" s="19" t="s">
        <v>8364</v>
      </c>
      <c r="F4632" s="19" t="s">
        <v>43</v>
      </c>
      <c r="G4632" s="19" t="s">
        <v>8364</v>
      </c>
      <c r="H4632" s="19" t="s">
        <v>22</v>
      </c>
      <c r="I4632" s="19">
        <v>8</v>
      </c>
      <c r="J4632" s="19">
        <v>0</v>
      </c>
      <c r="K4632" s="19">
        <v>4</v>
      </c>
      <c r="L4632" s="19" t="s">
        <v>44</v>
      </c>
      <c r="M4632" s="21">
        <v>20.100000000000001</v>
      </c>
      <c r="N4632">
        <f t="shared" si="72"/>
        <v>0</v>
      </c>
    </row>
    <row r="4633" spans="1:14" x14ac:dyDescent="0.35">
      <c r="A4633" s="22" t="s">
        <v>4703</v>
      </c>
      <c r="B4633" s="23" t="s">
        <v>143</v>
      </c>
      <c r="C4633" s="23">
        <v>12</v>
      </c>
      <c r="D4633" s="24">
        <v>45993</v>
      </c>
      <c r="E4633" s="23" t="s">
        <v>36</v>
      </c>
      <c r="F4633" s="23" t="s">
        <v>43</v>
      </c>
      <c r="G4633" s="23" t="s">
        <v>27</v>
      </c>
      <c r="H4633" s="23" t="s">
        <v>8364</v>
      </c>
      <c r="I4633" s="23">
        <v>4</v>
      </c>
      <c r="J4633" s="23">
        <v>1</v>
      </c>
      <c r="K4633" s="23">
        <v>2</v>
      </c>
      <c r="L4633" s="23" t="s">
        <v>8363</v>
      </c>
      <c r="M4633" s="25">
        <v>9.6999999999999993</v>
      </c>
      <c r="N4633">
        <f t="shared" si="72"/>
        <v>0</v>
      </c>
    </row>
    <row r="4634" spans="1:14" x14ac:dyDescent="0.35">
      <c r="A4634" s="6" t="s">
        <v>4704</v>
      </c>
      <c r="B4634" s="19" t="s">
        <v>39</v>
      </c>
      <c r="C4634" s="19">
        <v>8</v>
      </c>
      <c r="D4634" s="20">
        <v>45892</v>
      </c>
      <c r="E4634" s="19" t="s">
        <v>25</v>
      </c>
      <c r="F4634" s="19" t="s">
        <v>37</v>
      </c>
      <c r="G4634" s="19" t="s">
        <v>27</v>
      </c>
      <c r="H4634" s="19" t="s">
        <v>28</v>
      </c>
      <c r="I4634" s="19">
        <v>24</v>
      </c>
      <c r="J4634" s="19">
        <v>0</v>
      </c>
      <c r="K4634" s="19">
        <v>4</v>
      </c>
      <c r="L4634" s="19" t="s">
        <v>75</v>
      </c>
      <c r="M4634" s="21">
        <v>17.100000000000001</v>
      </c>
      <c r="N4634">
        <f t="shared" si="72"/>
        <v>1</v>
      </c>
    </row>
    <row r="4635" spans="1:14" x14ac:dyDescent="0.35">
      <c r="A4635" s="22" t="s">
        <v>4705</v>
      </c>
      <c r="B4635" s="23" t="s">
        <v>18</v>
      </c>
      <c r="C4635" s="23">
        <v>11</v>
      </c>
      <c r="D4635" s="24">
        <v>45971</v>
      </c>
      <c r="E4635" s="23" t="s">
        <v>13</v>
      </c>
      <c r="F4635" s="23" t="s">
        <v>59</v>
      </c>
      <c r="G4635" s="23" t="s">
        <v>27</v>
      </c>
      <c r="H4635" s="23" t="s">
        <v>16</v>
      </c>
      <c r="I4635" s="23">
        <v>4</v>
      </c>
      <c r="J4635" s="23">
        <v>2</v>
      </c>
      <c r="K4635" s="23">
        <v>5</v>
      </c>
      <c r="L4635" s="23" t="s">
        <v>8363</v>
      </c>
      <c r="M4635" s="25">
        <v>18.2</v>
      </c>
      <c r="N4635">
        <f t="shared" si="72"/>
        <v>0</v>
      </c>
    </row>
    <row r="4636" spans="1:14" x14ac:dyDescent="0.35">
      <c r="A4636" s="6" t="s">
        <v>4706</v>
      </c>
      <c r="B4636" s="19" t="s">
        <v>69</v>
      </c>
      <c r="C4636" s="19">
        <v>4</v>
      </c>
      <c r="D4636" s="20">
        <v>45759</v>
      </c>
      <c r="E4636" s="19" t="s">
        <v>25</v>
      </c>
      <c r="F4636" s="19" t="s">
        <v>43</v>
      </c>
      <c r="G4636" s="19" t="s">
        <v>15</v>
      </c>
      <c r="H4636" s="19" t="s">
        <v>8364</v>
      </c>
      <c r="I4636" s="19">
        <v>48</v>
      </c>
      <c r="J4636" s="19">
        <v>0</v>
      </c>
      <c r="K4636" s="19">
        <v>4</v>
      </c>
      <c r="L4636" s="19" t="s">
        <v>62</v>
      </c>
      <c r="M4636" s="21">
        <v>9.5</v>
      </c>
      <c r="N4636">
        <f t="shared" si="72"/>
        <v>1</v>
      </c>
    </row>
    <row r="4637" spans="1:14" x14ac:dyDescent="0.35">
      <c r="A4637" s="22" t="s">
        <v>4707</v>
      </c>
      <c r="B4637" s="23" t="s">
        <v>92</v>
      </c>
      <c r="C4637" s="23">
        <v>9</v>
      </c>
      <c r="D4637" s="24">
        <v>45916</v>
      </c>
      <c r="E4637" s="23" t="s">
        <v>13</v>
      </c>
      <c r="F4637" s="23" t="s">
        <v>43</v>
      </c>
      <c r="G4637" s="23" t="s">
        <v>27</v>
      </c>
      <c r="H4637" s="23" t="s">
        <v>22</v>
      </c>
      <c r="I4637" s="23">
        <v>72</v>
      </c>
      <c r="J4637" s="23">
        <v>1</v>
      </c>
      <c r="K4637" s="23">
        <v>5</v>
      </c>
      <c r="L4637" s="23" t="s">
        <v>8363</v>
      </c>
      <c r="M4637" s="25">
        <v>22.4</v>
      </c>
      <c r="N4637">
        <f t="shared" si="72"/>
        <v>1</v>
      </c>
    </row>
    <row r="4638" spans="1:14" x14ac:dyDescent="0.35">
      <c r="A4638" s="6" t="s">
        <v>4708</v>
      </c>
      <c r="B4638" s="19" t="s">
        <v>18</v>
      </c>
      <c r="C4638" s="19">
        <v>1</v>
      </c>
      <c r="D4638" s="20">
        <v>45671</v>
      </c>
      <c r="E4638" s="19" t="s">
        <v>8364</v>
      </c>
      <c r="F4638" s="19" t="s">
        <v>8364</v>
      </c>
      <c r="G4638" s="19" t="s">
        <v>15</v>
      </c>
      <c r="H4638" s="19" t="s">
        <v>28</v>
      </c>
      <c r="I4638" s="19">
        <v>4</v>
      </c>
      <c r="J4638" s="19">
        <v>0</v>
      </c>
      <c r="K4638" s="19">
        <v>4</v>
      </c>
      <c r="L4638" s="19" t="s">
        <v>62</v>
      </c>
      <c r="M4638" s="21">
        <v>5.4</v>
      </c>
      <c r="N4638">
        <f t="shared" si="72"/>
        <v>0</v>
      </c>
    </row>
    <row r="4639" spans="1:14" x14ac:dyDescent="0.35">
      <c r="A4639" s="22" t="s">
        <v>4709</v>
      </c>
      <c r="B4639" s="23" t="s">
        <v>18</v>
      </c>
      <c r="C4639" s="23">
        <v>11</v>
      </c>
      <c r="D4639" s="24">
        <v>45987</v>
      </c>
      <c r="E4639" s="23" t="s">
        <v>8364</v>
      </c>
      <c r="F4639" s="23" t="s">
        <v>14</v>
      </c>
      <c r="G4639" s="23" t="s">
        <v>15</v>
      </c>
      <c r="H4639" s="23" t="s">
        <v>28</v>
      </c>
      <c r="I4639" s="23">
        <v>8</v>
      </c>
      <c r="J4639" s="23">
        <v>1</v>
      </c>
      <c r="K4639" s="23">
        <v>2</v>
      </c>
      <c r="L4639" s="23" t="s">
        <v>17</v>
      </c>
      <c r="M4639" s="25">
        <v>9.6</v>
      </c>
      <c r="N4639">
        <f t="shared" si="72"/>
        <v>0</v>
      </c>
    </row>
    <row r="4640" spans="1:14" x14ac:dyDescent="0.35">
      <c r="A4640" s="6" t="s">
        <v>4710</v>
      </c>
      <c r="B4640" s="19" t="s">
        <v>18</v>
      </c>
      <c r="C4640" s="19"/>
      <c r="D4640" s="20"/>
      <c r="E4640" s="19" t="s">
        <v>13</v>
      </c>
      <c r="F4640" s="19" t="s">
        <v>40</v>
      </c>
      <c r="G4640" s="19" t="s">
        <v>27</v>
      </c>
      <c r="H4640" s="19" t="s">
        <v>28</v>
      </c>
      <c r="I4640" s="19">
        <v>72</v>
      </c>
      <c r="J4640" s="19">
        <v>2</v>
      </c>
      <c r="K4640" s="19">
        <v>4</v>
      </c>
      <c r="L4640" s="19" t="s">
        <v>38</v>
      </c>
      <c r="M4640" s="21">
        <v>5.7</v>
      </c>
      <c r="N4640">
        <f t="shared" si="72"/>
        <v>1</v>
      </c>
    </row>
    <row r="4641" spans="1:14" x14ac:dyDescent="0.35">
      <c r="A4641" s="22" t="s">
        <v>4711</v>
      </c>
      <c r="B4641" s="23" t="s">
        <v>92</v>
      </c>
      <c r="C4641" s="23">
        <v>3</v>
      </c>
      <c r="D4641" s="24">
        <v>45724</v>
      </c>
      <c r="E4641" s="23" t="s">
        <v>13</v>
      </c>
      <c r="F4641" s="23" t="s">
        <v>8364</v>
      </c>
      <c r="G4641" s="23" t="s">
        <v>21</v>
      </c>
      <c r="H4641" s="23" t="s">
        <v>22</v>
      </c>
      <c r="I4641" s="23">
        <v>8</v>
      </c>
      <c r="J4641" s="23">
        <v>0</v>
      </c>
      <c r="K4641" s="23">
        <v>4</v>
      </c>
      <c r="L4641" s="23" t="s">
        <v>17</v>
      </c>
      <c r="M4641" s="25">
        <v>6.5</v>
      </c>
      <c r="N4641">
        <f t="shared" si="72"/>
        <v>1</v>
      </c>
    </row>
    <row r="4642" spans="1:14" x14ac:dyDescent="0.35">
      <c r="A4642" s="6" t="s">
        <v>4712</v>
      </c>
      <c r="B4642" s="19" t="s">
        <v>57</v>
      </c>
      <c r="C4642" s="19">
        <v>9</v>
      </c>
      <c r="D4642" s="20">
        <v>45919</v>
      </c>
      <c r="E4642" s="19" t="s">
        <v>13</v>
      </c>
      <c r="F4642" s="19" t="s">
        <v>59</v>
      </c>
      <c r="G4642" s="19" t="s">
        <v>27</v>
      </c>
      <c r="H4642" s="19" t="s">
        <v>32</v>
      </c>
      <c r="I4642" s="19">
        <v>24</v>
      </c>
      <c r="J4642" s="19">
        <v>0</v>
      </c>
      <c r="K4642" s="19"/>
      <c r="L4642" s="19" t="s">
        <v>44</v>
      </c>
      <c r="M4642" s="21">
        <v>12.5</v>
      </c>
      <c r="N4642">
        <f t="shared" si="72"/>
        <v>1</v>
      </c>
    </row>
    <row r="4643" spans="1:14" x14ac:dyDescent="0.35">
      <c r="A4643" s="22" t="s">
        <v>4713</v>
      </c>
      <c r="B4643" s="23" t="s">
        <v>85</v>
      </c>
      <c r="C4643" s="23">
        <v>7</v>
      </c>
      <c r="D4643" s="24">
        <v>45841</v>
      </c>
      <c r="E4643" s="23" t="s">
        <v>8364</v>
      </c>
      <c r="F4643" s="23" t="s">
        <v>26</v>
      </c>
      <c r="G4643" s="23" t="s">
        <v>8364</v>
      </c>
      <c r="H4643" s="23" t="s">
        <v>22</v>
      </c>
      <c r="I4643" s="23">
        <v>24</v>
      </c>
      <c r="J4643" s="23">
        <v>0</v>
      </c>
      <c r="K4643" s="23">
        <v>2</v>
      </c>
      <c r="L4643" s="23" t="s">
        <v>75</v>
      </c>
      <c r="M4643" s="25">
        <v>19.399999999999999</v>
      </c>
      <c r="N4643">
        <f t="shared" si="72"/>
        <v>1</v>
      </c>
    </row>
    <row r="4644" spans="1:14" x14ac:dyDescent="0.35">
      <c r="A4644" s="6" t="s">
        <v>4714</v>
      </c>
      <c r="B4644" s="19" t="s">
        <v>104</v>
      </c>
      <c r="C4644" s="19">
        <v>1</v>
      </c>
      <c r="D4644" s="20">
        <v>45660</v>
      </c>
      <c r="E4644" s="19" t="s">
        <v>36</v>
      </c>
      <c r="F4644" s="19" t="s">
        <v>37</v>
      </c>
      <c r="G4644" s="19" t="s">
        <v>21</v>
      </c>
      <c r="H4644" s="19" t="s">
        <v>28</v>
      </c>
      <c r="I4644" s="19">
        <v>72</v>
      </c>
      <c r="J4644" s="19">
        <v>1</v>
      </c>
      <c r="K4644" s="19">
        <v>5</v>
      </c>
      <c r="L4644" s="19" t="s">
        <v>17</v>
      </c>
      <c r="M4644" s="21">
        <v>18.5</v>
      </c>
      <c r="N4644">
        <f t="shared" si="72"/>
        <v>1</v>
      </c>
    </row>
    <row r="4645" spans="1:14" x14ac:dyDescent="0.35">
      <c r="A4645" s="22" t="s">
        <v>4715</v>
      </c>
      <c r="B4645" s="23" t="s">
        <v>89</v>
      </c>
      <c r="C4645" s="23">
        <v>12</v>
      </c>
      <c r="D4645" s="24">
        <v>46009</v>
      </c>
      <c r="E4645" s="23" t="s">
        <v>25</v>
      </c>
      <c r="F4645" s="23" t="s">
        <v>43</v>
      </c>
      <c r="G4645" s="23" t="s">
        <v>8364</v>
      </c>
      <c r="H4645" s="23" t="s">
        <v>8364</v>
      </c>
      <c r="I4645" s="23">
        <v>4</v>
      </c>
      <c r="J4645" s="23">
        <v>0</v>
      </c>
      <c r="K4645" s="23">
        <v>2</v>
      </c>
      <c r="L4645" s="23" t="s">
        <v>75</v>
      </c>
      <c r="M4645" s="25">
        <v>16.100000000000001</v>
      </c>
      <c r="N4645">
        <f t="shared" si="72"/>
        <v>0</v>
      </c>
    </row>
    <row r="4646" spans="1:14" x14ac:dyDescent="0.35">
      <c r="A4646" s="6" t="s">
        <v>4716</v>
      </c>
      <c r="B4646" s="19" t="s">
        <v>85</v>
      </c>
      <c r="C4646" s="19">
        <v>1</v>
      </c>
      <c r="D4646" s="20">
        <v>45662</v>
      </c>
      <c r="E4646" s="19" t="s">
        <v>25</v>
      </c>
      <c r="F4646" s="19" t="s">
        <v>14</v>
      </c>
      <c r="G4646" s="19" t="s">
        <v>15</v>
      </c>
      <c r="H4646" s="19" t="s">
        <v>22</v>
      </c>
      <c r="I4646" s="19">
        <v>4</v>
      </c>
      <c r="J4646" s="19">
        <v>0</v>
      </c>
      <c r="K4646" s="19">
        <v>2</v>
      </c>
      <c r="L4646" s="19" t="s">
        <v>55</v>
      </c>
      <c r="M4646" s="21">
        <v>9.9</v>
      </c>
      <c r="N4646">
        <f t="shared" si="72"/>
        <v>0</v>
      </c>
    </row>
    <row r="4647" spans="1:14" x14ac:dyDescent="0.35">
      <c r="A4647" s="22" t="s">
        <v>4717</v>
      </c>
      <c r="B4647" s="23" t="s">
        <v>89</v>
      </c>
      <c r="C4647" s="23">
        <v>4</v>
      </c>
      <c r="D4647" s="24">
        <v>45755</v>
      </c>
      <c r="E4647" s="23" t="s">
        <v>68</v>
      </c>
      <c r="F4647" s="23" t="s">
        <v>14</v>
      </c>
      <c r="G4647" s="23" t="s">
        <v>21</v>
      </c>
      <c r="H4647" s="23" t="s">
        <v>22</v>
      </c>
      <c r="I4647" s="23">
        <v>48</v>
      </c>
      <c r="J4647" s="23">
        <v>1</v>
      </c>
      <c r="K4647" s="23">
        <v>2</v>
      </c>
      <c r="L4647" s="23" t="s">
        <v>44</v>
      </c>
      <c r="M4647" s="25">
        <v>6</v>
      </c>
      <c r="N4647">
        <f t="shared" si="72"/>
        <v>1</v>
      </c>
    </row>
    <row r="4648" spans="1:14" x14ac:dyDescent="0.35">
      <c r="A4648" s="6" t="s">
        <v>4718</v>
      </c>
      <c r="B4648" s="19" t="s">
        <v>236</v>
      </c>
      <c r="C4648" s="19">
        <v>9</v>
      </c>
      <c r="D4648" s="20">
        <v>45923</v>
      </c>
      <c r="E4648" s="19" t="s">
        <v>25</v>
      </c>
      <c r="F4648" s="19" t="s">
        <v>14</v>
      </c>
      <c r="G4648" s="19" t="s">
        <v>15</v>
      </c>
      <c r="H4648" s="19" t="s">
        <v>28</v>
      </c>
      <c r="I4648" s="19">
        <v>4</v>
      </c>
      <c r="J4648" s="19">
        <v>3</v>
      </c>
      <c r="K4648" s="19">
        <v>5</v>
      </c>
      <c r="L4648" s="19" t="s">
        <v>33</v>
      </c>
      <c r="M4648" s="21"/>
      <c r="N4648">
        <f t="shared" si="72"/>
        <v>1</v>
      </c>
    </row>
    <row r="4649" spans="1:14" x14ac:dyDescent="0.35">
      <c r="A4649" s="22" t="s">
        <v>4719</v>
      </c>
      <c r="B4649" s="23" t="s">
        <v>53</v>
      </c>
      <c r="C4649" s="23">
        <v>3</v>
      </c>
      <c r="D4649" s="24">
        <v>45740</v>
      </c>
      <c r="E4649" s="23" t="s">
        <v>13</v>
      </c>
      <c r="F4649" s="23" t="s">
        <v>14</v>
      </c>
      <c r="G4649" s="23" t="s">
        <v>21</v>
      </c>
      <c r="H4649" s="23" t="s">
        <v>22</v>
      </c>
      <c r="I4649" s="23">
        <v>48</v>
      </c>
      <c r="J4649" s="23">
        <v>0</v>
      </c>
      <c r="K4649" s="23"/>
      <c r="L4649" s="23" t="s">
        <v>8363</v>
      </c>
      <c r="M4649" s="25">
        <v>20</v>
      </c>
      <c r="N4649">
        <f t="shared" si="72"/>
        <v>1</v>
      </c>
    </row>
    <row r="4650" spans="1:14" x14ac:dyDescent="0.35">
      <c r="A4650" s="6" t="s">
        <v>4720</v>
      </c>
      <c r="B4650" s="19" t="s">
        <v>139</v>
      </c>
      <c r="C4650" s="19">
        <v>6</v>
      </c>
      <c r="D4650" s="20">
        <v>45832</v>
      </c>
      <c r="E4650" s="19" t="s">
        <v>20</v>
      </c>
      <c r="F4650" s="19" t="s">
        <v>26</v>
      </c>
      <c r="G4650" s="19" t="s">
        <v>21</v>
      </c>
      <c r="H4650" s="19" t="s">
        <v>8364</v>
      </c>
      <c r="I4650" s="19">
        <v>4</v>
      </c>
      <c r="J4650" s="19">
        <v>0</v>
      </c>
      <c r="K4650" s="19">
        <v>4</v>
      </c>
      <c r="L4650" s="19" t="s">
        <v>55</v>
      </c>
      <c r="M4650" s="21">
        <v>2.6</v>
      </c>
      <c r="N4650">
        <f t="shared" si="72"/>
        <v>1</v>
      </c>
    </row>
    <row r="4651" spans="1:14" x14ac:dyDescent="0.35">
      <c r="A4651" s="22" t="s">
        <v>4721</v>
      </c>
      <c r="B4651" s="23" t="s">
        <v>97</v>
      </c>
      <c r="C4651" s="23">
        <v>1</v>
      </c>
      <c r="D4651" s="24">
        <v>45681</v>
      </c>
      <c r="E4651" s="23" t="s">
        <v>13</v>
      </c>
      <c r="F4651" s="23" t="s">
        <v>14</v>
      </c>
      <c r="G4651" s="23" t="s">
        <v>31</v>
      </c>
      <c r="H4651" s="23" t="s">
        <v>28</v>
      </c>
      <c r="I4651" s="23">
        <v>4</v>
      </c>
      <c r="J4651" s="23">
        <v>0</v>
      </c>
      <c r="K4651" s="23">
        <v>4</v>
      </c>
      <c r="L4651" s="23" t="s">
        <v>55</v>
      </c>
      <c r="M4651" s="25">
        <v>7.9</v>
      </c>
      <c r="N4651">
        <f t="shared" si="72"/>
        <v>0</v>
      </c>
    </row>
    <row r="4652" spans="1:14" x14ac:dyDescent="0.35">
      <c r="A4652" s="6" t="s">
        <v>4722</v>
      </c>
      <c r="B4652" s="19" t="s">
        <v>81</v>
      </c>
      <c r="C4652" s="19">
        <v>2</v>
      </c>
      <c r="D4652" s="20">
        <v>45695</v>
      </c>
      <c r="E4652" s="19" t="s">
        <v>20</v>
      </c>
      <c r="F4652" s="19" t="s">
        <v>43</v>
      </c>
      <c r="G4652" s="19" t="s">
        <v>15</v>
      </c>
      <c r="H4652" s="19" t="s">
        <v>8364</v>
      </c>
      <c r="I4652" s="19">
        <v>8</v>
      </c>
      <c r="J4652" s="19">
        <v>0</v>
      </c>
      <c r="K4652" s="19">
        <v>4</v>
      </c>
      <c r="L4652" s="19" t="s">
        <v>8363</v>
      </c>
      <c r="M4652" s="21">
        <v>13.4</v>
      </c>
      <c r="N4652">
        <f t="shared" si="72"/>
        <v>0</v>
      </c>
    </row>
    <row r="4653" spans="1:14" x14ac:dyDescent="0.35">
      <c r="A4653" s="22" t="s">
        <v>4723</v>
      </c>
      <c r="B4653" s="23" t="s">
        <v>41</v>
      </c>
      <c r="C4653" s="23">
        <v>4</v>
      </c>
      <c r="D4653" s="24">
        <v>45750</v>
      </c>
      <c r="E4653" s="23" t="s">
        <v>25</v>
      </c>
      <c r="F4653" s="23" t="s">
        <v>8364</v>
      </c>
      <c r="G4653" s="23" t="s">
        <v>31</v>
      </c>
      <c r="H4653" s="23" t="s">
        <v>22</v>
      </c>
      <c r="I4653" s="23">
        <v>72</v>
      </c>
      <c r="J4653" s="23">
        <v>2</v>
      </c>
      <c r="K4653" s="23">
        <v>2</v>
      </c>
      <c r="L4653" s="23" t="s">
        <v>17</v>
      </c>
      <c r="M4653" s="25">
        <v>22</v>
      </c>
      <c r="N4653">
        <f t="shared" si="72"/>
        <v>1</v>
      </c>
    </row>
    <row r="4654" spans="1:14" x14ac:dyDescent="0.35">
      <c r="A4654" s="6" t="s">
        <v>4724</v>
      </c>
      <c r="B4654" s="19" t="s">
        <v>47</v>
      </c>
      <c r="C4654" s="19">
        <v>2</v>
      </c>
      <c r="D4654" s="20">
        <v>45693</v>
      </c>
      <c r="E4654" s="19" t="s">
        <v>13</v>
      </c>
      <c r="F4654" s="19" t="s">
        <v>14</v>
      </c>
      <c r="G4654" s="19" t="s">
        <v>31</v>
      </c>
      <c r="H4654" s="19" t="s">
        <v>32</v>
      </c>
      <c r="I4654" s="19">
        <v>48</v>
      </c>
      <c r="J4654" s="19">
        <v>0</v>
      </c>
      <c r="K4654" s="19">
        <v>5</v>
      </c>
      <c r="L4654" s="19" t="s">
        <v>44</v>
      </c>
      <c r="M4654" s="21">
        <v>30.6</v>
      </c>
      <c r="N4654">
        <f t="shared" si="72"/>
        <v>1</v>
      </c>
    </row>
    <row r="4655" spans="1:14" x14ac:dyDescent="0.35">
      <c r="A4655" s="22" t="s">
        <v>4725</v>
      </c>
      <c r="B4655" s="23" t="s">
        <v>39</v>
      </c>
      <c r="C4655" s="23">
        <v>6</v>
      </c>
      <c r="D4655" s="24">
        <v>45816</v>
      </c>
      <c r="E4655" s="23" t="s">
        <v>25</v>
      </c>
      <c r="F4655" s="23" t="s">
        <v>14</v>
      </c>
      <c r="G4655" s="23" t="s">
        <v>27</v>
      </c>
      <c r="H4655" s="23" t="s">
        <v>32</v>
      </c>
      <c r="I4655" s="23">
        <v>4</v>
      </c>
      <c r="J4655" s="23">
        <v>1</v>
      </c>
      <c r="K4655" s="23">
        <v>3</v>
      </c>
      <c r="L4655" s="23" t="s">
        <v>55</v>
      </c>
      <c r="M4655" s="25">
        <v>31.3</v>
      </c>
      <c r="N4655">
        <f t="shared" si="72"/>
        <v>0</v>
      </c>
    </row>
    <row r="4656" spans="1:14" x14ac:dyDescent="0.35">
      <c r="A4656" s="6" t="s">
        <v>4726</v>
      </c>
      <c r="B4656" s="19" t="s">
        <v>89</v>
      </c>
      <c r="C4656" s="19">
        <v>7</v>
      </c>
      <c r="D4656" s="20">
        <v>45868</v>
      </c>
      <c r="E4656" s="19" t="s">
        <v>25</v>
      </c>
      <c r="F4656" s="19" t="s">
        <v>43</v>
      </c>
      <c r="G4656" s="19" t="s">
        <v>15</v>
      </c>
      <c r="H4656" s="19" t="s">
        <v>22</v>
      </c>
      <c r="I4656" s="19">
        <v>4</v>
      </c>
      <c r="J4656" s="19">
        <v>0</v>
      </c>
      <c r="K4656" s="19">
        <v>5</v>
      </c>
      <c r="L4656" s="19" t="s">
        <v>38</v>
      </c>
      <c r="M4656" s="21">
        <v>8.4</v>
      </c>
      <c r="N4656">
        <f t="shared" si="72"/>
        <v>0</v>
      </c>
    </row>
    <row r="4657" spans="1:14" x14ac:dyDescent="0.35">
      <c r="A4657" s="22" t="s">
        <v>4727</v>
      </c>
      <c r="B4657" s="23" t="s">
        <v>78</v>
      </c>
      <c r="C4657" s="23">
        <v>6</v>
      </c>
      <c r="D4657" s="24">
        <v>45820</v>
      </c>
      <c r="E4657" s="23" t="s">
        <v>25</v>
      </c>
      <c r="F4657" s="23" t="s">
        <v>59</v>
      </c>
      <c r="G4657" s="23" t="s">
        <v>31</v>
      </c>
      <c r="H4657" s="23" t="s">
        <v>22</v>
      </c>
      <c r="I4657" s="23">
        <v>4</v>
      </c>
      <c r="J4657" s="23">
        <v>1</v>
      </c>
      <c r="K4657" s="23">
        <v>5</v>
      </c>
      <c r="L4657" s="23" t="s">
        <v>33</v>
      </c>
      <c r="M4657" s="25">
        <v>20.9</v>
      </c>
      <c r="N4657">
        <f t="shared" si="72"/>
        <v>0</v>
      </c>
    </row>
    <row r="4658" spans="1:14" x14ac:dyDescent="0.35">
      <c r="A4658" s="6" t="s">
        <v>4728</v>
      </c>
      <c r="B4658" s="19" t="s">
        <v>65</v>
      </c>
      <c r="C4658" s="19">
        <v>9</v>
      </c>
      <c r="D4658" s="20">
        <v>45913</v>
      </c>
      <c r="E4658" s="19" t="s">
        <v>25</v>
      </c>
      <c r="F4658" s="19" t="s">
        <v>14</v>
      </c>
      <c r="G4658" s="19" t="s">
        <v>27</v>
      </c>
      <c r="H4658" s="19" t="s">
        <v>22</v>
      </c>
      <c r="I4658" s="19">
        <v>24</v>
      </c>
      <c r="J4658" s="19">
        <v>0</v>
      </c>
      <c r="K4658" s="19">
        <v>4</v>
      </c>
      <c r="L4658" s="19" t="s">
        <v>62</v>
      </c>
      <c r="M4658" s="21">
        <v>40.4</v>
      </c>
      <c r="N4658">
        <f t="shared" si="72"/>
        <v>0</v>
      </c>
    </row>
    <row r="4659" spans="1:14" x14ac:dyDescent="0.35">
      <c r="A4659" s="22" t="s">
        <v>4729</v>
      </c>
      <c r="B4659" s="23" t="s">
        <v>34</v>
      </c>
      <c r="C4659" s="23">
        <v>9</v>
      </c>
      <c r="D4659" s="24">
        <v>45925</v>
      </c>
      <c r="E4659" s="23" t="s">
        <v>8364</v>
      </c>
      <c r="F4659" s="23" t="s">
        <v>43</v>
      </c>
      <c r="G4659" s="23" t="s">
        <v>27</v>
      </c>
      <c r="H4659" s="23" t="s">
        <v>22</v>
      </c>
      <c r="I4659" s="23">
        <v>72</v>
      </c>
      <c r="J4659" s="23">
        <v>2</v>
      </c>
      <c r="K4659" s="23">
        <v>5</v>
      </c>
      <c r="L4659" s="23" t="s">
        <v>8363</v>
      </c>
      <c r="M4659" s="25">
        <v>18.8</v>
      </c>
      <c r="N4659">
        <f t="shared" si="72"/>
        <v>1</v>
      </c>
    </row>
    <row r="4660" spans="1:14" x14ac:dyDescent="0.35">
      <c r="A4660" s="6" t="s">
        <v>4730</v>
      </c>
      <c r="B4660" s="19" t="s">
        <v>72</v>
      </c>
      <c r="C4660" s="19">
        <v>7</v>
      </c>
      <c r="D4660" s="20">
        <v>45848</v>
      </c>
      <c r="E4660" s="19" t="s">
        <v>13</v>
      </c>
      <c r="F4660" s="19" t="s">
        <v>59</v>
      </c>
      <c r="G4660" s="19" t="s">
        <v>15</v>
      </c>
      <c r="H4660" s="19" t="s">
        <v>28</v>
      </c>
      <c r="I4660" s="19">
        <v>4</v>
      </c>
      <c r="J4660" s="19">
        <v>0</v>
      </c>
      <c r="K4660" s="19">
        <v>4</v>
      </c>
      <c r="L4660" s="19" t="s">
        <v>8363</v>
      </c>
      <c r="M4660" s="21">
        <v>2.2000000000000002</v>
      </c>
      <c r="N4660">
        <f t="shared" si="72"/>
        <v>1</v>
      </c>
    </row>
    <row r="4661" spans="1:14" x14ac:dyDescent="0.35">
      <c r="A4661" s="22" t="s">
        <v>4731</v>
      </c>
      <c r="B4661" s="23" t="s">
        <v>47</v>
      </c>
      <c r="C4661" s="23">
        <v>10</v>
      </c>
      <c r="D4661" s="24">
        <v>45953</v>
      </c>
      <c r="E4661" s="23" t="s">
        <v>68</v>
      </c>
      <c r="F4661" s="23" t="s">
        <v>14</v>
      </c>
      <c r="G4661" s="23" t="s">
        <v>15</v>
      </c>
      <c r="H4661" s="23" t="s">
        <v>22</v>
      </c>
      <c r="I4661" s="23">
        <v>8</v>
      </c>
      <c r="J4661" s="23">
        <v>0</v>
      </c>
      <c r="K4661" s="23">
        <v>5</v>
      </c>
      <c r="L4661" s="23" t="s">
        <v>8363</v>
      </c>
      <c r="M4661" s="25">
        <v>7.5</v>
      </c>
      <c r="N4661">
        <f t="shared" si="72"/>
        <v>1</v>
      </c>
    </row>
    <row r="4662" spans="1:14" x14ac:dyDescent="0.35">
      <c r="A4662" s="6" t="s">
        <v>4732</v>
      </c>
      <c r="B4662" s="19" t="s">
        <v>97</v>
      </c>
      <c r="C4662" s="19">
        <v>2</v>
      </c>
      <c r="D4662" s="20">
        <v>45692</v>
      </c>
      <c r="E4662" s="19" t="s">
        <v>13</v>
      </c>
      <c r="F4662" s="19" t="s">
        <v>37</v>
      </c>
      <c r="G4662" s="19" t="s">
        <v>31</v>
      </c>
      <c r="H4662" s="19" t="s">
        <v>22</v>
      </c>
      <c r="I4662" s="19">
        <v>48</v>
      </c>
      <c r="J4662" s="19">
        <v>1</v>
      </c>
      <c r="K4662" s="19">
        <v>3</v>
      </c>
      <c r="L4662" s="19" t="s">
        <v>33</v>
      </c>
      <c r="M4662" s="21">
        <v>8.4</v>
      </c>
      <c r="N4662">
        <f t="shared" si="72"/>
        <v>1</v>
      </c>
    </row>
    <row r="4663" spans="1:14" x14ac:dyDescent="0.35">
      <c r="A4663" s="22" t="s">
        <v>4733</v>
      </c>
      <c r="B4663" s="23" t="s">
        <v>85</v>
      </c>
      <c r="C4663" s="23">
        <v>6</v>
      </c>
      <c r="D4663" s="24">
        <v>45811</v>
      </c>
      <c r="E4663" s="23" t="s">
        <v>36</v>
      </c>
      <c r="F4663" s="23" t="s">
        <v>14</v>
      </c>
      <c r="G4663" s="23" t="s">
        <v>15</v>
      </c>
      <c r="H4663" s="23" t="s">
        <v>32</v>
      </c>
      <c r="I4663" s="23">
        <v>72</v>
      </c>
      <c r="J4663" s="23"/>
      <c r="K4663" s="23">
        <v>5</v>
      </c>
      <c r="L4663" s="23" t="s">
        <v>62</v>
      </c>
      <c r="M4663" s="25">
        <v>19.2</v>
      </c>
      <c r="N4663">
        <f t="shared" si="72"/>
        <v>1</v>
      </c>
    </row>
    <row r="4664" spans="1:14" x14ac:dyDescent="0.35">
      <c r="A4664" s="6" t="s">
        <v>4734</v>
      </c>
      <c r="B4664" s="19" t="s">
        <v>47</v>
      </c>
      <c r="C4664" s="19">
        <v>4</v>
      </c>
      <c r="D4664" s="20">
        <v>45759</v>
      </c>
      <c r="E4664" s="19" t="s">
        <v>68</v>
      </c>
      <c r="F4664" s="19" t="s">
        <v>37</v>
      </c>
      <c r="G4664" s="19" t="s">
        <v>21</v>
      </c>
      <c r="H4664" s="19" t="s">
        <v>32</v>
      </c>
      <c r="I4664" s="19">
        <v>24</v>
      </c>
      <c r="J4664" s="19">
        <v>0</v>
      </c>
      <c r="K4664" s="19">
        <v>4</v>
      </c>
      <c r="L4664" s="19" t="s">
        <v>8363</v>
      </c>
      <c r="M4664" s="21"/>
      <c r="N4664">
        <f t="shared" si="72"/>
        <v>1</v>
      </c>
    </row>
    <row r="4665" spans="1:14" x14ac:dyDescent="0.35">
      <c r="A4665" s="22" t="s">
        <v>4735</v>
      </c>
      <c r="B4665" s="23" t="s">
        <v>53</v>
      </c>
      <c r="C4665" s="23">
        <v>9</v>
      </c>
      <c r="D4665" s="24">
        <v>45902</v>
      </c>
      <c r="E4665" s="23" t="s">
        <v>68</v>
      </c>
      <c r="F4665" s="23" t="s">
        <v>14</v>
      </c>
      <c r="G4665" s="23" t="s">
        <v>15</v>
      </c>
      <c r="H4665" s="23" t="s">
        <v>32</v>
      </c>
      <c r="I4665" s="23">
        <v>4</v>
      </c>
      <c r="J4665" s="23">
        <v>1</v>
      </c>
      <c r="K4665" s="23">
        <v>5</v>
      </c>
      <c r="L4665" s="23" t="s">
        <v>17</v>
      </c>
      <c r="M4665" s="25">
        <v>49.3</v>
      </c>
      <c r="N4665">
        <f t="shared" si="72"/>
        <v>0</v>
      </c>
    </row>
    <row r="4666" spans="1:14" x14ac:dyDescent="0.35">
      <c r="A4666" s="6" t="s">
        <v>4736</v>
      </c>
      <c r="B4666" s="19" t="s">
        <v>69</v>
      </c>
      <c r="C4666" s="19">
        <v>12</v>
      </c>
      <c r="D4666" s="20">
        <v>46014</v>
      </c>
      <c r="E4666" s="19" t="s">
        <v>36</v>
      </c>
      <c r="F4666" s="19" t="s">
        <v>40</v>
      </c>
      <c r="G4666" s="19" t="s">
        <v>8364</v>
      </c>
      <c r="H4666" s="19" t="s">
        <v>22</v>
      </c>
      <c r="I4666" s="19">
        <v>24</v>
      </c>
      <c r="J4666" s="19">
        <v>0</v>
      </c>
      <c r="K4666" s="19"/>
      <c r="L4666" s="19" t="s">
        <v>62</v>
      </c>
      <c r="M4666" s="21">
        <v>16.2</v>
      </c>
      <c r="N4666">
        <f t="shared" si="72"/>
        <v>1</v>
      </c>
    </row>
    <row r="4667" spans="1:14" x14ac:dyDescent="0.35">
      <c r="A4667" s="22" t="s">
        <v>4737</v>
      </c>
      <c r="B4667" s="23" t="s">
        <v>87</v>
      </c>
      <c r="C4667" s="23">
        <v>11</v>
      </c>
      <c r="D4667" s="24">
        <v>45964</v>
      </c>
      <c r="E4667" s="23" t="s">
        <v>36</v>
      </c>
      <c r="F4667" s="23" t="s">
        <v>37</v>
      </c>
      <c r="G4667" s="23" t="s">
        <v>27</v>
      </c>
      <c r="H4667" s="23" t="s">
        <v>22</v>
      </c>
      <c r="I4667" s="23">
        <v>48</v>
      </c>
      <c r="J4667" s="23">
        <v>3</v>
      </c>
      <c r="K4667" s="23">
        <v>5</v>
      </c>
      <c r="L4667" s="23" t="s">
        <v>55</v>
      </c>
      <c r="M4667" s="25">
        <v>10</v>
      </c>
      <c r="N4667">
        <f t="shared" si="72"/>
        <v>1</v>
      </c>
    </row>
    <row r="4668" spans="1:14" x14ac:dyDescent="0.35">
      <c r="A4668" s="6" t="s">
        <v>4738</v>
      </c>
      <c r="B4668" s="19" t="s">
        <v>236</v>
      </c>
      <c r="C4668" s="19">
        <v>4</v>
      </c>
      <c r="D4668" s="20">
        <v>45759</v>
      </c>
      <c r="E4668" s="19" t="s">
        <v>36</v>
      </c>
      <c r="F4668" s="19" t="s">
        <v>40</v>
      </c>
      <c r="G4668" s="19" t="s">
        <v>15</v>
      </c>
      <c r="H4668" s="19" t="s">
        <v>28</v>
      </c>
      <c r="I4668" s="19">
        <v>72</v>
      </c>
      <c r="J4668" s="19">
        <v>1</v>
      </c>
      <c r="K4668" s="19">
        <v>5</v>
      </c>
      <c r="L4668" s="19" t="s">
        <v>38</v>
      </c>
      <c r="M4668" s="21">
        <v>6.6</v>
      </c>
      <c r="N4668">
        <f t="shared" si="72"/>
        <v>1</v>
      </c>
    </row>
    <row r="4669" spans="1:14" x14ac:dyDescent="0.35">
      <c r="A4669" s="22" t="s">
        <v>4739</v>
      </c>
      <c r="B4669" s="23" t="s">
        <v>104</v>
      </c>
      <c r="C4669" s="23">
        <v>7</v>
      </c>
      <c r="D4669" s="24">
        <v>45851</v>
      </c>
      <c r="E4669" s="23" t="s">
        <v>20</v>
      </c>
      <c r="F4669" s="23" t="s">
        <v>14</v>
      </c>
      <c r="G4669" s="23" t="s">
        <v>27</v>
      </c>
      <c r="H4669" s="23" t="s">
        <v>22</v>
      </c>
      <c r="I4669" s="23">
        <v>48</v>
      </c>
      <c r="J4669" s="23">
        <v>0</v>
      </c>
      <c r="K4669" s="23">
        <v>5</v>
      </c>
      <c r="L4669" s="23" t="s">
        <v>75</v>
      </c>
      <c r="M4669" s="25">
        <v>11.6</v>
      </c>
      <c r="N4669">
        <f t="shared" si="72"/>
        <v>1</v>
      </c>
    </row>
    <row r="4670" spans="1:14" x14ac:dyDescent="0.35">
      <c r="A4670" s="6" t="s">
        <v>4740</v>
      </c>
      <c r="B4670" s="19" t="s">
        <v>53</v>
      </c>
      <c r="C4670" s="19">
        <v>1</v>
      </c>
      <c r="D4670" s="20">
        <v>45679</v>
      </c>
      <c r="E4670" s="19" t="s">
        <v>36</v>
      </c>
      <c r="F4670" s="19" t="s">
        <v>14</v>
      </c>
      <c r="G4670" s="19" t="s">
        <v>31</v>
      </c>
      <c r="H4670" s="19" t="s">
        <v>22</v>
      </c>
      <c r="I4670" s="19">
        <v>4</v>
      </c>
      <c r="J4670" s="19">
        <v>0</v>
      </c>
      <c r="K4670" s="19">
        <v>5</v>
      </c>
      <c r="L4670" s="19" t="s">
        <v>75</v>
      </c>
      <c r="M4670" s="21">
        <v>8.8000000000000007</v>
      </c>
      <c r="N4670">
        <f t="shared" si="72"/>
        <v>0</v>
      </c>
    </row>
    <row r="4671" spans="1:14" x14ac:dyDescent="0.35">
      <c r="A4671" s="22" t="s">
        <v>4741</v>
      </c>
      <c r="B4671" s="23" t="s">
        <v>18</v>
      </c>
      <c r="C4671" s="23">
        <v>5</v>
      </c>
      <c r="D4671" s="24">
        <v>45781</v>
      </c>
      <c r="E4671" s="23" t="s">
        <v>20</v>
      </c>
      <c r="F4671" s="23" t="s">
        <v>14</v>
      </c>
      <c r="G4671" s="23" t="s">
        <v>8364</v>
      </c>
      <c r="H4671" s="23" t="s">
        <v>22</v>
      </c>
      <c r="I4671" s="23">
        <v>48</v>
      </c>
      <c r="J4671" s="23">
        <v>0</v>
      </c>
      <c r="K4671" s="23">
        <v>2</v>
      </c>
      <c r="L4671" s="23" t="s">
        <v>75</v>
      </c>
      <c r="M4671" s="25">
        <v>2.2999999999999998</v>
      </c>
      <c r="N4671">
        <f t="shared" si="72"/>
        <v>1</v>
      </c>
    </row>
    <row r="4672" spans="1:14" x14ac:dyDescent="0.35">
      <c r="A4672" s="6" t="s">
        <v>4742</v>
      </c>
      <c r="B4672" s="19" t="s">
        <v>81</v>
      </c>
      <c r="C4672" s="19">
        <v>10</v>
      </c>
      <c r="D4672" s="20">
        <v>45950</v>
      </c>
      <c r="E4672" s="19" t="s">
        <v>8364</v>
      </c>
      <c r="F4672" s="19" t="s">
        <v>14</v>
      </c>
      <c r="G4672" s="19" t="s">
        <v>31</v>
      </c>
      <c r="H4672" s="19" t="s">
        <v>16</v>
      </c>
      <c r="I4672" s="19">
        <v>24</v>
      </c>
      <c r="J4672" s="19">
        <v>0</v>
      </c>
      <c r="K4672" s="19">
        <v>5</v>
      </c>
      <c r="L4672" s="19" t="s">
        <v>75</v>
      </c>
      <c r="M4672" s="21"/>
      <c r="N4672">
        <f t="shared" si="72"/>
        <v>1</v>
      </c>
    </row>
    <row r="4673" spans="1:14" x14ac:dyDescent="0.35">
      <c r="A4673" s="22" t="s">
        <v>4743</v>
      </c>
      <c r="B4673" s="23" t="s">
        <v>97</v>
      </c>
      <c r="C4673" s="23">
        <v>9</v>
      </c>
      <c r="D4673" s="24">
        <v>45927</v>
      </c>
      <c r="E4673" s="23" t="s">
        <v>68</v>
      </c>
      <c r="F4673" s="23" t="s">
        <v>40</v>
      </c>
      <c r="G4673" s="23" t="s">
        <v>15</v>
      </c>
      <c r="H4673" s="23" t="s">
        <v>16</v>
      </c>
      <c r="I4673" s="23">
        <v>72</v>
      </c>
      <c r="J4673" s="23">
        <v>2</v>
      </c>
      <c r="K4673" s="23">
        <v>2</v>
      </c>
      <c r="L4673" s="23" t="s">
        <v>44</v>
      </c>
      <c r="M4673" s="25">
        <v>8.4</v>
      </c>
      <c r="N4673">
        <f t="shared" si="72"/>
        <v>1</v>
      </c>
    </row>
    <row r="4674" spans="1:14" x14ac:dyDescent="0.35">
      <c r="A4674" s="6" t="s">
        <v>4744</v>
      </c>
      <c r="B4674" s="19" t="s">
        <v>51</v>
      </c>
      <c r="C4674" s="19">
        <v>10</v>
      </c>
      <c r="D4674" s="20">
        <v>45953</v>
      </c>
      <c r="E4674" s="19" t="s">
        <v>68</v>
      </c>
      <c r="F4674" s="19" t="s">
        <v>43</v>
      </c>
      <c r="G4674" s="19" t="s">
        <v>21</v>
      </c>
      <c r="H4674" s="19" t="s">
        <v>8364</v>
      </c>
      <c r="I4674" s="19">
        <v>8</v>
      </c>
      <c r="J4674" s="19">
        <v>0</v>
      </c>
      <c r="K4674" s="19">
        <v>1</v>
      </c>
      <c r="L4674" s="19" t="s">
        <v>38</v>
      </c>
      <c r="M4674" s="21">
        <v>7.6</v>
      </c>
      <c r="N4674">
        <f t="shared" si="72"/>
        <v>1</v>
      </c>
    </row>
    <row r="4675" spans="1:14" x14ac:dyDescent="0.35">
      <c r="A4675" s="22" t="s">
        <v>4745</v>
      </c>
      <c r="B4675" s="23" t="s">
        <v>253</v>
      </c>
      <c r="C4675" s="23">
        <v>3</v>
      </c>
      <c r="D4675" s="24">
        <v>45733</v>
      </c>
      <c r="E4675" s="23" t="s">
        <v>13</v>
      </c>
      <c r="F4675" s="23" t="s">
        <v>26</v>
      </c>
      <c r="G4675" s="23" t="s">
        <v>31</v>
      </c>
      <c r="H4675" s="23" t="s">
        <v>22</v>
      </c>
      <c r="I4675" s="23">
        <v>24</v>
      </c>
      <c r="J4675" s="23">
        <v>0</v>
      </c>
      <c r="K4675" s="23">
        <v>5</v>
      </c>
      <c r="L4675" s="23" t="s">
        <v>44</v>
      </c>
      <c r="M4675" s="25">
        <v>11.7</v>
      </c>
      <c r="N4675">
        <f t="shared" ref="N4675:N4738" si="73">IF(M4675 &lt;= I4675, 1, 0)</f>
        <v>1</v>
      </c>
    </row>
    <row r="4676" spans="1:14" x14ac:dyDescent="0.35">
      <c r="A4676" s="6" t="s">
        <v>4746</v>
      </c>
      <c r="B4676" s="19" t="s">
        <v>143</v>
      </c>
      <c r="C4676" s="19">
        <v>3</v>
      </c>
      <c r="D4676" s="20">
        <v>45725</v>
      </c>
      <c r="E4676" s="19" t="s">
        <v>68</v>
      </c>
      <c r="F4676" s="19" t="s">
        <v>43</v>
      </c>
      <c r="G4676" s="19" t="s">
        <v>8364</v>
      </c>
      <c r="H4676" s="19" t="s">
        <v>22</v>
      </c>
      <c r="I4676" s="19">
        <v>4</v>
      </c>
      <c r="J4676" s="19">
        <v>1</v>
      </c>
      <c r="K4676" s="19">
        <v>5</v>
      </c>
      <c r="L4676" s="19" t="s">
        <v>8363</v>
      </c>
      <c r="M4676" s="21">
        <v>18.600000000000001</v>
      </c>
      <c r="N4676">
        <f t="shared" si="73"/>
        <v>0</v>
      </c>
    </row>
    <row r="4677" spans="1:14" x14ac:dyDescent="0.35">
      <c r="A4677" s="22" t="s">
        <v>4747</v>
      </c>
      <c r="B4677" s="23" t="s">
        <v>45</v>
      </c>
      <c r="C4677" s="23">
        <v>12</v>
      </c>
      <c r="D4677" s="24">
        <v>45995</v>
      </c>
      <c r="E4677" s="23" t="s">
        <v>13</v>
      </c>
      <c r="F4677" s="23" t="s">
        <v>59</v>
      </c>
      <c r="G4677" s="23" t="s">
        <v>15</v>
      </c>
      <c r="H4677" s="23" t="s">
        <v>28</v>
      </c>
      <c r="I4677" s="23">
        <v>24</v>
      </c>
      <c r="J4677" s="23">
        <v>1</v>
      </c>
      <c r="K4677" s="23">
        <v>4</v>
      </c>
      <c r="L4677" s="23" t="s">
        <v>8363</v>
      </c>
      <c r="M4677" s="25">
        <v>13.2</v>
      </c>
      <c r="N4677">
        <f t="shared" si="73"/>
        <v>1</v>
      </c>
    </row>
    <row r="4678" spans="1:14" x14ac:dyDescent="0.35">
      <c r="A4678" s="6" t="s">
        <v>4748</v>
      </c>
      <c r="B4678" s="19" t="s">
        <v>89</v>
      </c>
      <c r="C4678" s="19">
        <v>7</v>
      </c>
      <c r="D4678" s="20">
        <v>45856</v>
      </c>
      <c r="E4678" s="19" t="s">
        <v>36</v>
      </c>
      <c r="F4678" s="19" t="s">
        <v>59</v>
      </c>
      <c r="G4678" s="19" t="s">
        <v>15</v>
      </c>
      <c r="H4678" s="19" t="s">
        <v>22</v>
      </c>
      <c r="I4678" s="19">
        <v>72</v>
      </c>
      <c r="J4678" s="19">
        <v>0</v>
      </c>
      <c r="K4678" s="19">
        <v>5</v>
      </c>
      <c r="L4678" s="19" t="s">
        <v>75</v>
      </c>
      <c r="M4678" s="21">
        <v>6</v>
      </c>
      <c r="N4678">
        <f t="shared" si="73"/>
        <v>1</v>
      </c>
    </row>
    <row r="4679" spans="1:14" x14ac:dyDescent="0.35">
      <c r="A4679" s="22" t="s">
        <v>4749</v>
      </c>
      <c r="B4679" s="23" t="s">
        <v>34</v>
      </c>
      <c r="C4679" s="23">
        <v>4</v>
      </c>
      <c r="D4679" s="24">
        <v>45777</v>
      </c>
      <c r="E4679" s="23" t="s">
        <v>68</v>
      </c>
      <c r="F4679" s="23" t="s">
        <v>37</v>
      </c>
      <c r="G4679" s="23" t="s">
        <v>27</v>
      </c>
      <c r="H4679" s="23" t="s">
        <v>32</v>
      </c>
      <c r="I4679" s="23">
        <v>72</v>
      </c>
      <c r="J4679" s="23">
        <v>1</v>
      </c>
      <c r="K4679" s="23">
        <v>5</v>
      </c>
      <c r="L4679" s="23" t="s">
        <v>17</v>
      </c>
      <c r="M4679" s="25">
        <v>5.9</v>
      </c>
      <c r="N4679">
        <f t="shared" si="73"/>
        <v>1</v>
      </c>
    </row>
    <row r="4680" spans="1:14" x14ac:dyDescent="0.35">
      <c r="A4680" s="6" t="s">
        <v>4750</v>
      </c>
      <c r="B4680" s="19" t="s">
        <v>101</v>
      </c>
      <c r="C4680" s="19">
        <v>8</v>
      </c>
      <c r="D4680" s="20">
        <v>45886</v>
      </c>
      <c r="E4680" s="19" t="s">
        <v>13</v>
      </c>
      <c r="F4680" s="19" t="s">
        <v>43</v>
      </c>
      <c r="G4680" s="19" t="s">
        <v>27</v>
      </c>
      <c r="H4680" s="19" t="s">
        <v>28</v>
      </c>
      <c r="I4680" s="19">
        <v>8</v>
      </c>
      <c r="J4680" s="19">
        <v>1</v>
      </c>
      <c r="K4680" s="19">
        <v>3</v>
      </c>
      <c r="L4680" s="19" t="s">
        <v>44</v>
      </c>
      <c r="M4680" s="21">
        <v>22.2</v>
      </c>
      <c r="N4680">
        <f t="shared" si="73"/>
        <v>0</v>
      </c>
    </row>
    <row r="4681" spans="1:14" x14ac:dyDescent="0.35">
      <c r="A4681" s="22" t="s">
        <v>4751</v>
      </c>
      <c r="B4681" s="23" t="s">
        <v>49</v>
      </c>
      <c r="C4681" s="23">
        <v>5</v>
      </c>
      <c r="D4681" s="24">
        <v>45796</v>
      </c>
      <c r="E4681" s="23" t="s">
        <v>13</v>
      </c>
      <c r="F4681" s="23" t="s">
        <v>37</v>
      </c>
      <c r="G4681" s="23" t="s">
        <v>8364</v>
      </c>
      <c r="H4681" s="23" t="s">
        <v>8364</v>
      </c>
      <c r="I4681" s="23">
        <v>24</v>
      </c>
      <c r="J4681" s="23">
        <v>0</v>
      </c>
      <c r="K4681" s="23">
        <v>5</v>
      </c>
      <c r="L4681" s="23" t="s">
        <v>55</v>
      </c>
      <c r="M4681" s="25">
        <v>28.3</v>
      </c>
      <c r="N4681">
        <f t="shared" si="73"/>
        <v>0</v>
      </c>
    </row>
    <row r="4682" spans="1:14" x14ac:dyDescent="0.35">
      <c r="A4682" s="6" t="s">
        <v>4752</v>
      </c>
      <c r="B4682" s="19" t="s">
        <v>99</v>
      </c>
      <c r="C4682" s="19">
        <v>12</v>
      </c>
      <c r="D4682" s="20">
        <v>46015</v>
      </c>
      <c r="E4682" s="19" t="s">
        <v>8364</v>
      </c>
      <c r="F4682" s="19" t="s">
        <v>26</v>
      </c>
      <c r="G4682" s="19" t="s">
        <v>21</v>
      </c>
      <c r="H4682" s="19" t="s">
        <v>22</v>
      </c>
      <c r="I4682" s="19">
        <v>72</v>
      </c>
      <c r="J4682" s="19">
        <v>0</v>
      </c>
      <c r="K4682" s="19">
        <v>2</v>
      </c>
      <c r="L4682" s="19" t="s">
        <v>33</v>
      </c>
      <c r="M4682" s="21"/>
      <c r="N4682">
        <f t="shared" si="73"/>
        <v>1</v>
      </c>
    </row>
    <row r="4683" spans="1:14" x14ac:dyDescent="0.35">
      <c r="A4683" s="22" t="s">
        <v>4753</v>
      </c>
      <c r="B4683" s="23" t="s">
        <v>108</v>
      </c>
      <c r="C4683" s="23">
        <v>11</v>
      </c>
      <c r="D4683" s="24">
        <v>45972</v>
      </c>
      <c r="E4683" s="23" t="s">
        <v>13</v>
      </c>
      <c r="F4683" s="23" t="s">
        <v>43</v>
      </c>
      <c r="G4683" s="23" t="s">
        <v>27</v>
      </c>
      <c r="H4683" s="23" t="s">
        <v>22</v>
      </c>
      <c r="I4683" s="23">
        <v>48</v>
      </c>
      <c r="J4683" s="23">
        <v>0</v>
      </c>
      <c r="K4683" s="23">
        <v>1</v>
      </c>
      <c r="L4683" s="23" t="s">
        <v>8363</v>
      </c>
      <c r="M4683" s="25">
        <v>4.2</v>
      </c>
      <c r="N4683">
        <f t="shared" si="73"/>
        <v>1</v>
      </c>
    </row>
    <row r="4684" spans="1:14" x14ac:dyDescent="0.35">
      <c r="A4684" s="6" t="s">
        <v>4754</v>
      </c>
      <c r="B4684" s="19" t="s">
        <v>49</v>
      </c>
      <c r="C4684" s="19">
        <v>5</v>
      </c>
      <c r="D4684" s="20">
        <v>45783</v>
      </c>
      <c r="E4684" s="19" t="s">
        <v>25</v>
      </c>
      <c r="F4684" s="19" t="s">
        <v>8364</v>
      </c>
      <c r="G4684" s="19" t="s">
        <v>31</v>
      </c>
      <c r="H4684" s="19" t="s">
        <v>28</v>
      </c>
      <c r="I4684" s="19">
        <v>4</v>
      </c>
      <c r="J4684" s="19">
        <v>0</v>
      </c>
      <c r="K4684" s="19">
        <v>4</v>
      </c>
      <c r="L4684" s="19" t="s">
        <v>8363</v>
      </c>
      <c r="M4684" s="21">
        <v>3.6</v>
      </c>
      <c r="N4684">
        <f t="shared" si="73"/>
        <v>1</v>
      </c>
    </row>
    <row r="4685" spans="1:14" x14ac:dyDescent="0.35">
      <c r="A4685" s="22" t="s">
        <v>4755</v>
      </c>
      <c r="B4685" s="23" t="s">
        <v>146</v>
      </c>
      <c r="C4685" s="23">
        <v>5</v>
      </c>
      <c r="D4685" s="24">
        <v>45792</v>
      </c>
      <c r="E4685" s="23" t="s">
        <v>13</v>
      </c>
      <c r="F4685" s="23" t="s">
        <v>14</v>
      </c>
      <c r="G4685" s="23" t="s">
        <v>27</v>
      </c>
      <c r="H4685" s="23" t="s">
        <v>28</v>
      </c>
      <c r="I4685" s="23">
        <v>8</v>
      </c>
      <c r="J4685" s="23">
        <v>0</v>
      </c>
      <c r="K4685" s="23">
        <v>4</v>
      </c>
      <c r="L4685" s="23" t="s">
        <v>33</v>
      </c>
      <c r="M4685" s="25">
        <v>12.6</v>
      </c>
      <c r="N4685">
        <f t="shared" si="73"/>
        <v>0</v>
      </c>
    </row>
    <row r="4686" spans="1:14" x14ac:dyDescent="0.35">
      <c r="A4686" s="6" t="s">
        <v>4756</v>
      </c>
      <c r="B4686" s="19" t="s">
        <v>158</v>
      </c>
      <c r="C4686" s="19">
        <v>1</v>
      </c>
      <c r="D4686" s="20">
        <v>45659</v>
      </c>
      <c r="E4686" s="19" t="s">
        <v>8364</v>
      </c>
      <c r="F4686" s="19" t="s">
        <v>14</v>
      </c>
      <c r="G4686" s="19" t="s">
        <v>21</v>
      </c>
      <c r="H4686" s="19" t="s">
        <v>32</v>
      </c>
      <c r="I4686" s="19">
        <v>48</v>
      </c>
      <c r="J4686" s="19">
        <v>1</v>
      </c>
      <c r="K4686" s="19">
        <v>4</v>
      </c>
      <c r="L4686" s="19" t="s">
        <v>8363</v>
      </c>
      <c r="M4686" s="21">
        <v>15.9</v>
      </c>
      <c r="N4686">
        <f t="shared" si="73"/>
        <v>1</v>
      </c>
    </row>
    <row r="4687" spans="1:14" x14ac:dyDescent="0.35">
      <c r="A4687" s="22" t="s">
        <v>4757</v>
      </c>
      <c r="B4687" s="23" t="s">
        <v>104</v>
      </c>
      <c r="C4687" s="23">
        <v>4</v>
      </c>
      <c r="D4687" s="24">
        <v>45760</v>
      </c>
      <c r="E4687" s="23" t="s">
        <v>13</v>
      </c>
      <c r="F4687" s="23" t="s">
        <v>14</v>
      </c>
      <c r="G4687" s="23" t="s">
        <v>31</v>
      </c>
      <c r="H4687" s="23" t="s">
        <v>32</v>
      </c>
      <c r="I4687" s="23">
        <v>72</v>
      </c>
      <c r="J4687" s="23">
        <v>0</v>
      </c>
      <c r="K4687" s="23"/>
      <c r="L4687" s="23" t="s">
        <v>62</v>
      </c>
      <c r="M4687" s="25"/>
      <c r="N4687">
        <f t="shared" si="73"/>
        <v>1</v>
      </c>
    </row>
    <row r="4688" spans="1:14" x14ac:dyDescent="0.35">
      <c r="A4688" s="6" t="s">
        <v>4758</v>
      </c>
      <c r="B4688" s="19" t="s">
        <v>53</v>
      </c>
      <c r="C4688" s="19"/>
      <c r="D4688" s="20"/>
      <c r="E4688" s="19" t="s">
        <v>13</v>
      </c>
      <c r="F4688" s="19" t="s">
        <v>43</v>
      </c>
      <c r="G4688" s="19" t="s">
        <v>27</v>
      </c>
      <c r="H4688" s="19" t="s">
        <v>22</v>
      </c>
      <c r="I4688" s="19">
        <v>72</v>
      </c>
      <c r="J4688" s="19">
        <v>0</v>
      </c>
      <c r="K4688" s="19">
        <v>5</v>
      </c>
      <c r="L4688" s="19" t="s">
        <v>17</v>
      </c>
      <c r="M4688" s="21">
        <v>19.8</v>
      </c>
      <c r="N4688">
        <f t="shared" si="73"/>
        <v>1</v>
      </c>
    </row>
    <row r="4689" spans="1:14" x14ac:dyDescent="0.35">
      <c r="A4689" s="22" t="s">
        <v>4759</v>
      </c>
      <c r="B4689" s="23" t="s">
        <v>87</v>
      </c>
      <c r="C4689" s="23">
        <v>5</v>
      </c>
      <c r="D4689" s="24">
        <v>45790</v>
      </c>
      <c r="E4689" s="23" t="s">
        <v>13</v>
      </c>
      <c r="F4689" s="23" t="s">
        <v>14</v>
      </c>
      <c r="G4689" s="23" t="s">
        <v>21</v>
      </c>
      <c r="H4689" s="23" t="s">
        <v>32</v>
      </c>
      <c r="I4689" s="23">
        <v>72</v>
      </c>
      <c r="J4689" s="23">
        <v>0</v>
      </c>
      <c r="K4689" s="23">
        <v>4</v>
      </c>
      <c r="L4689" s="23" t="s">
        <v>38</v>
      </c>
      <c r="M4689" s="25">
        <v>20.7</v>
      </c>
      <c r="N4689">
        <f t="shared" si="73"/>
        <v>1</v>
      </c>
    </row>
    <row r="4690" spans="1:14" x14ac:dyDescent="0.35">
      <c r="A4690" s="6" t="s">
        <v>4760</v>
      </c>
      <c r="B4690" s="19" t="s">
        <v>104</v>
      </c>
      <c r="C4690" s="19">
        <v>11</v>
      </c>
      <c r="D4690" s="20">
        <v>45969</v>
      </c>
      <c r="E4690" s="19" t="s">
        <v>25</v>
      </c>
      <c r="F4690" s="19" t="s">
        <v>40</v>
      </c>
      <c r="G4690" s="19" t="s">
        <v>27</v>
      </c>
      <c r="H4690" s="19" t="s">
        <v>28</v>
      </c>
      <c r="I4690" s="19">
        <v>8</v>
      </c>
      <c r="J4690" s="19">
        <v>0</v>
      </c>
      <c r="K4690" s="19">
        <v>4</v>
      </c>
      <c r="L4690" s="19" t="s">
        <v>62</v>
      </c>
      <c r="M4690" s="21">
        <v>9.3000000000000007</v>
      </c>
      <c r="N4690">
        <f t="shared" si="73"/>
        <v>0</v>
      </c>
    </row>
    <row r="4691" spans="1:14" x14ac:dyDescent="0.35">
      <c r="A4691" s="22" t="s">
        <v>4761</v>
      </c>
      <c r="B4691" s="23" t="s">
        <v>236</v>
      </c>
      <c r="C4691" s="23">
        <v>10</v>
      </c>
      <c r="D4691" s="24">
        <v>45958</v>
      </c>
      <c r="E4691" s="23" t="s">
        <v>8364</v>
      </c>
      <c r="F4691" s="23" t="s">
        <v>14</v>
      </c>
      <c r="G4691" s="23" t="s">
        <v>21</v>
      </c>
      <c r="H4691" s="23" t="s">
        <v>22</v>
      </c>
      <c r="I4691" s="23">
        <v>48</v>
      </c>
      <c r="J4691" s="23">
        <v>0</v>
      </c>
      <c r="K4691" s="23"/>
      <c r="L4691" s="23" t="s">
        <v>62</v>
      </c>
      <c r="M4691" s="25">
        <v>13.6</v>
      </c>
      <c r="N4691">
        <f t="shared" si="73"/>
        <v>1</v>
      </c>
    </row>
    <row r="4692" spans="1:14" x14ac:dyDescent="0.35">
      <c r="A4692" s="6" t="s">
        <v>4762</v>
      </c>
      <c r="B4692" s="19" t="s">
        <v>99</v>
      </c>
      <c r="C4692" s="19">
        <v>7</v>
      </c>
      <c r="D4692" s="20">
        <v>45849</v>
      </c>
      <c r="E4692" s="19" t="s">
        <v>8364</v>
      </c>
      <c r="F4692" s="19" t="s">
        <v>40</v>
      </c>
      <c r="G4692" s="19" t="s">
        <v>31</v>
      </c>
      <c r="H4692" s="19" t="s">
        <v>8364</v>
      </c>
      <c r="I4692" s="19">
        <v>4</v>
      </c>
      <c r="J4692" s="19">
        <v>2</v>
      </c>
      <c r="K4692" s="19">
        <v>3</v>
      </c>
      <c r="L4692" s="19" t="s">
        <v>38</v>
      </c>
      <c r="M4692" s="21"/>
      <c r="N4692">
        <f t="shared" si="73"/>
        <v>1</v>
      </c>
    </row>
    <row r="4693" spans="1:14" x14ac:dyDescent="0.35">
      <c r="A4693" s="22" t="s">
        <v>4763</v>
      </c>
      <c r="B4693" s="23" t="s">
        <v>23</v>
      </c>
      <c r="C4693" s="23">
        <v>11</v>
      </c>
      <c r="D4693" s="24">
        <v>45975</v>
      </c>
      <c r="E4693" s="23" t="s">
        <v>25</v>
      </c>
      <c r="F4693" s="23" t="s">
        <v>14</v>
      </c>
      <c r="G4693" s="23" t="s">
        <v>27</v>
      </c>
      <c r="H4693" s="23" t="s">
        <v>8364</v>
      </c>
      <c r="I4693" s="23">
        <v>48</v>
      </c>
      <c r="J4693" s="23">
        <v>1</v>
      </c>
      <c r="K4693" s="23">
        <v>3</v>
      </c>
      <c r="L4693" s="23" t="s">
        <v>62</v>
      </c>
      <c r="M4693" s="25">
        <v>28.2</v>
      </c>
      <c r="N4693">
        <f t="shared" si="73"/>
        <v>1</v>
      </c>
    </row>
    <row r="4694" spans="1:14" x14ac:dyDescent="0.35">
      <c r="A4694" s="6" t="s">
        <v>4764</v>
      </c>
      <c r="B4694" s="19" t="s">
        <v>89</v>
      </c>
      <c r="C4694" s="19">
        <v>6</v>
      </c>
      <c r="D4694" s="20">
        <v>45823</v>
      </c>
      <c r="E4694" s="19" t="s">
        <v>8364</v>
      </c>
      <c r="F4694" s="19" t="s">
        <v>26</v>
      </c>
      <c r="G4694" s="19" t="s">
        <v>31</v>
      </c>
      <c r="H4694" s="19" t="s">
        <v>32</v>
      </c>
      <c r="I4694" s="19">
        <v>4</v>
      </c>
      <c r="J4694" s="19">
        <v>3</v>
      </c>
      <c r="K4694" s="19">
        <v>4</v>
      </c>
      <c r="L4694" s="19" t="s">
        <v>55</v>
      </c>
      <c r="M4694" s="21">
        <v>18.8</v>
      </c>
      <c r="N4694">
        <f t="shared" si="73"/>
        <v>0</v>
      </c>
    </row>
    <row r="4695" spans="1:14" x14ac:dyDescent="0.35">
      <c r="A4695" s="22" t="s">
        <v>4765</v>
      </c>
      <c r="B4695" s="23" t="s">
        <v>181</v>
      </c>
      <c r="C4695" s="23">
        <v>7</v>
      </c>
      <c r="D4695" s="24">
        <v>45857</v>
      </c>
      <c r="E4695" s="23" t="s">
        <v>8364</v>
      </c>
      <c r="F4695" s="23" t="s">
        <v>8364</v>
      </c>
      <c r="G4695" s="23" t="s">
        <v>27</v>
      </c>
      <c r="H4695" s="23" t="s">
        <v>8364</v>
      </c>
      <c r="I4695" s="23">
        <v>8</v>
      </c>
      <c r="J4695" s="23">
        <v>0</v>
      </c>
      <c r="K4695" s="23">
        <v>4</v>
      </c>
      <c r="L4695" s="23" t="s">
        <v>62</v>
      </c>
      <c r="M4695" s="25">
        <v>20.2</v>
      </c>
      <c r="N4695">
        <f t="shared" si="73"/>
        <v>0</v>
      </c>
    </row>
    <row r="4696" spans="1:14" x14ac:dyDescent="0.35">
      <c r="A4696" s="6" t="s">
        <v>4766</v>
      </c>
      <c r="B4696" s="19" t="s">
        <v>47</v>
      </c>
      <c r="C4696" s="19">
        <v>5</v>
      </c>
      <c r="D4696" s="20">
        <v>45803</v>
      </c>
      <c r="E4696" s="19" t="s">
        <v>25</v>
      </c>
      <c r="F4696" s="19" t="s">
        <v>8364</v>
      </c>
      <c r="G4696" s="19" t="s">
        <v>27</v>
      </c>
      <c r="H4696" s="19" t="s">
        <v>22</v>
      </c>
      <c r="I4696" s="19">
        <v>8</v>
      </c>
      <c r="J4696" s="19">
        <v>0</v>
      </c>
      <c r="K4696" s="19">
        <v>5</v>
      </c>
      <c r="L4696" s="19" t="s">
        <v>75</v>
      </c>
      <c r="M4696" s="21">
        <v>6.6</v>
      </c>
      <c r="N4696">
        <f t="shared" si="73"/>
        <v>1</v>
      </c>
    </row>
    <row r="4697" spans="1:14" x14ac:dyDescent="0.35">
      <c r="A4697" s="22" t="s">
        <v>4767</v>
      </c>
      <c r="B4697" s="23" t="s">
        <v>85</v>
      </c>
      <c r="C4697" s="23"/>
      <c r="D4697" s="24"/>
      <c r="E4697" s="23" t="s">
        <v>13</v>
      </c>
      <c r="F4697" s="23" t="s">
        <v>37</v>
      </c>
      <c r="G4697" s="23" t="s">
        <v>27</v>
      </c>
      <c r="H4697" s="23" t="s">
        <v>32</v>
      </c>
      <c r="I4697" s="23">
        <v>8</v>
      </c>
      <c r="J4697" s="23">
        <v>1</v>
      </c>
      <c r="K4697" s="23">
        <v>5</v>
      </c>
      <c r="L4697" s="23" t="s">
        <v>55</v>
      </c>
      <c r="M4697" s="25">
        <v>12.1</v>
      </c>
      <c r="N4697">
        <f t="shared" si="73"/>
        <v>0</v>
      </c>
    </row>
    <row r="4698" spans="1:14" x14ac:dyDescent="0.35">
      <c r="A4698" s="6" t="s">
        <v>4768</v>
      </c>
      <c r="B4698" s="19" t="s">
        <v>29</v>
      </c>
      <c r="C4698" s="19">
        <v>5</v>
      </c>
      <c r="D4698" s="20">
        <v>45783</v>
      </c>
      <c r="E4698" s="19" t="s">
        <v>8364</v>
      </c>
      <c r="F4698" s="19" t="s">
        <v>43</v>
      </c>
      <c r="G4698" s="19" t="s">
        <v>15</v>
      </c>
      <c r="H4698" s="19" t="s">
        <v>8364</v>
      </c>
      <c r="I4698" s="19">
        <v>8</v>
      </c>
      <c r="J4698" s="19">
        <v>0</v>
      </c>
      <c r="K4698" s="19">
        <v>5</v>
      </c>
      <c r="L4698" s="19" t="s">
        <v>17</v>
      </c>
      <c r="M4698" s="21">
        <v>11.5</v>
      </c>
      <c r="N4698">
        <f t="shared" si="73"/>
        <v>0</v>
      </c>
    </row>
    <row r="4699" spans="1:14" x14ac:dyDescent="0.35">
      <c r="A4699" s="22" t="s">
        <v>4769</v>
      </c>
      <c r="B4699" s="23" t="s">
        <v>143</v>
      </c>
      <c r="C4699" s="23">
        <v>1</v>
      </c>
      <c r="D4699" s="24">
        <v>45679</v>
      </c>
      <c r="E4699" s="23" t="s">
        <v>36</v>
      </c>
      <c r="F4699" s="23" t="s">
        <v>43</v>
      </c>
      <c r="G4699" s="23" t="s">
        <v>8364</v>
      </c>
      <c r="H4699" s="23" t="s">
        <v>32</v>
      </c>
      <c r="I4699" s="23">
        <v>24</v>
      </c>
      <c r="J4699" s="23">
        <v>0</v>
      </c>
      <c r="K4699" s="23">
        <v>4</v>
      </c>
      <c r="L4699" s="23" t="s">
        <v>75</v>
      </c>
      <c r="M4699" s="25">
        <v>2.7</v>
      </c>
      <c r="N4699">
        <f t="shared" si="73"/>
        <v>1</v>
      </c>
    </row>
    <row r="4700" spans="1:14" x14ac:dyDescent="0.35">
      <c r="A4700" s="6" t="s">
        <v>4770</v>
      </c>
      <c r="B4700" s="19" t="s">
        <v>253</v>
      </c>
      <c r="C4700" s="19">
        <v>9</v>
      </c>
      <c r="D4700" s="20">
        <v>45910</v>
      </c>
      <c r="E4700" s="19" t="s">
        <v>68</v>
      </c>
      <c r="F4700" s="19" t="s">
        <v>37</v>
      </c>
      <c r="G4700" s="19" t="s">
        <v>31</v>
      </c>
      <c r="H4700" s="19" t="s">
        <v>22</v>
      </c>
      <c r="I4700" s="19">
        <v>72</v>
      </c>
      <c r="J4700" s="19">
        <v>3</v>
      </c>
      <c r="K4700" s="19">
        <v>5</v>
      </c>
      <c r="L4700" s="19" t="s">
        <v>38</v>
      </c>
      <c r="M4700" s="21">
        <v>16.600000000000001</v>
      </c>
      <c r="N4700">
        <f t="shared" si="73"/>
        <v>1</v>
      </c>
    </row>
    <row r="4701" spans="1:14" x14ac:dyDescent="0.35">
      <c r="A4701" s="22" t="s">
        <v>4771</v>
      </c>
      <c r="B4701" s="23" t="s">
        <v>53</v>
      </c>
      <c r="C4701" s="23">
        <v>2</v>
      </c>
      <c r="D4701" s="24">
        <v>45689</v>
      </c>
      <c r="E4701" s="23" t="s">
        <v>13</v>
      </c>
      <c r="F4701" s="23" t="s">
        <v>43</v>
      </c>
      <c r="G4701" s="23" t="s">
        <v>15</v>
      </c>
      <c r="H4701" s="23" t="s">
        <v>22</v>
      </c>
      <c r="I4701" s="23">
        <v>48</v>
      </c>
      <c r="J4701" s="23">
        <v>1</v>
      </c>
      <c r="K4701" s="23">
        <v>5</v>
      </c>
      <c r="L4701" s="23" t="s">
        <v>8363</v>
      </c>
      <c r="M4701" s="25">
        <v>7.1</v>
      </c>
      <c r="N4701">
        <f t="shared" si="73"/>
        <v>1</v>
      </c>
    </row>
    <row r="4702" spans="1:14" x14ac:dyDescent="0.35">
      <c r="A4702" s="6" t="s">
        <v>4772</v>
      </c>
      <c r="B4702" s="19" t="s">
        <v>81</v>
      </c>
      <c r="C4702" s="19"/>
      <c r="D4702" s="20"/>
      <c r="E4702" s="19" t="s">
        <v>13</v>
      </c>
      <c r="F4702" s="19" t="s">
        <v>37</v>
      </c>
      <c r="G4702" s="19" t="s">
        <v>31</v>
      </c>
      <c r="H4702" s="19" t="s">
        <v>22</v>
      </c>
      <c r="I4702" s="19">
        <v>24</v>
      </c>
      <c r="J4702" s="19">
        <v>0</v>
      </c>
      <c r="K4702" s="19">
        <v>4</v>
      </c>
      <c r="L4702" s="19" t="s">
        <v>33</v>
      </c>
      <c r="M4702" s="21">
        <v>6.8</v>
      </c>
      <c r="N4702">
        <f t="shared" si="73"/>
        <v>1</v>
      </c>
    </row>
    <row r="4703" spans="1:14" x14ac:dyDescent="0.35">
      <c r="A4703" s="22" t="s">
        <v>4773</v>
      </c>
      <c r="B4703" s="23" t="s">
        <v>81</v>
      </c>
      <c r="C4703" s="23">
        <v>9</v>
      </c>
      <c r="D4703" s="24">
        <v>45930</v>
      </c>
      <c r="E4703" s="23" t="s">
        <v>20</v>
      </c>
      <c r="F4703" s="23" t="s">
        <v>40</v>
      </c>
      <c r="G4703" s="23" t="s">
        <v>21</v>
      </c>
      <c r="H4703" s="23" t="s">
        <v>22</v>
      </c>
      <c r="I4703" s="23">
        <v>48</v>
      </c>
      <c r="J4703" s="23">
        <v>0</v>
      </c>
      <c r="K4703" s="23">
        <v>4</v>
      </c>
      <c r="L4703" s="23" t="s">
        <v>75</v>
      </c>
      <c r="M4703" s="25">
        <v>6.5</v>
      </c>
      <c r="N4703">
        <f t="shared" si="73"/>
        <v>1</v>
      </c>
    </row>
    <row r="4704" spans="1:14" x14ac:dyDescent="0.35">
      <c r="A4704" s="6" t="s">
        <v>4774</v>
      </c>
      <c r="B4704" s="19" t="s">
        <v>101</v>
      </c>
      <c r="C4704" s="19">
        <v>9</v>
      </c>
      <c r="D4704" s="20">
        <v>45911</v>
      </c>
      <c r="E4704" s="19" t="s">
        <v>36</v>
      </c>
      <c r="F4704" s="19" t="s">
        <v>43</v>
      </c>
      <c r="G4704" s="19" t="s">
        <v>31</v>
      </c>
      <c r="H4704" s="19" t="s">
        <v>28</v>
      </c>
      <c r="I4704" s="19">
        <v>72</v>
      </c>
      <c r="J4704" s="19">
        <v>0</v>
      </c>
      <c r="K4704" s="19">
        <v>5</v>
      </c>
      <c r="L4704" s="19" t="s">
        <v>38</v>
      </c>
      <c r="M4704" s="21">
        <v>4.5999999999999996</v>
      </c>
      <c r="N4704">
        <f t="shared" si="73"/>
        <v>1</v>
      </c>
    </row>
    <row r="4705" spans="1:14" x14ac:dyDescent="0.35">
      <c r="A4705" s="22" t="s">
        <v>4775</v>
      </c>
      <c r="B4705" s="23" t="s">
        <v>51</v>
      </c>
      <c r="C4705" s="23">
        <v>2</v>
      </c>
      <c r="D4705" s="24">
        <v>45709</v>
      </c>
      <c r="E4705" s="23" t="s">
        <v>25</v>
      </c>
      <c r="F4705" s="23" t="s">
        <v>14</v>
      </c>
      <c r="G4705" s="23" t="s">
        <v>31</v>
      </c>
      <c r="H4705" s="23" t="s">
        <v>28</v>
      </c>
      <c r="I4705" s="23">
        <v>4</v>
      </c>
      <c r="J4705" s="23">
        <v>2</v>
      </c>
      <c r="K4705" s="23">
        <v>4</v>
      </c>
      <c r="L4705" s="23" t="s">
        <v>55</v>
      </c>
      <c r="M4705" s="25">
        <v>6.2</v>
      </c>
      <c r="N4705">
        <f t="shared" si="73"/>
        <v>0</v>
      </c>
    </row>
    <row r="4706" spans="1:14" x14ac:dyDescent="0.35">
      <c r="A4706" s="6" t="s">
        <v>4776</v>
      </c>
      <c r="B4706" s="19" t="s">
        <v>143</v>
      </c>
      <c r="C4706" s="19"/>
      <c r="D4706" s="20"/>
      <c r="E4706" s="19" t="s">
        <v>13</v>
      </c>
      <c r="F4706" s="19" t="s">
        <v>14</v>
      </c>
      <c r="G4706" s="19" t="s">
        <v>31</v>
      </c>
      <c r="H4706" s="19" t="s">
        <v>16</v>
      </c>
      <c r="I4706" s="19">
        <v>4</v>
      </c>
      <c r="J4706" s="19">
        <v>2</v>
      </c>
      <c r="K4706" s="19">
        <v>1</v>
      </c>
      <c r="L4706" s="19" t="s">
        <v>75</v>
      </c>
      <c r="M4706" s="21">
        <v>5.2</v>
      </c>
      <c r="N4706">
        <f t="shared" si="73"/>
        <v>0</v>
      </c>
    </row>
    <row r="4707" spans="1:14" x14ac:dyDescent="0.35">
      <c r="A4707" s="22" t="s">
        <v>4777</v>
      </c>
      <c r="B4707" s="23" t="s">
        <v>23</v>
      </c>
      <c r="C4707" s="23">
        <v>9</v>
      </c>
      <c r="D4707" s="24">
        <v>45904</v>
      </c>
      <c r="E4707" s="23" t="s">
        <v>68</v>
      </c>
      <c r="F4707" s="23" t="s">
        <v>43</v>
      </c>
      <c r="G4707" s="23" t="s">
        <v>31</v>
      </c>
      <c r="H4707" s="23" t="s">
        <v>32</v>
      </c>
      <c r="I4707" s="23">
        <v>8</v>
      </c>
      <c r="J4707" s="23">
        <v>0</v>
      </c>
      <c r="K4707" s="23">
        <v>2</v>
      </c>
      <c r="L4707" s="23" t="s">
        <v>17</v>
      </c>
      <c r="M4707" s="25">
        <v>13.3</v>
      </c>
      <c r="N4707">
        <f t="shared" si="73"/>
        <v>0</v>
      </c>
    </row>
    <row r="4708" spans="1:14" x14ac:dyDescent="0.35">
      <c r="A4708" s="6" t="s">
        <v>4778</v>
      </c>
      <c r="B4708" s="19" t="s">
        <v>158</v>
      </c>
      <c r="C4708" s="19">
        <v>3</v>
      </c>
      <c r="D4708" s="20">
        <v>45725</v>
      </c>
      <c r="E4708" s="19" t="s">
        <v>36</v>
      </c>
      <c r="F4708" s="19" t="s">
        <v>26</v>
      </c>
      <c r="G4708" s="19" t="s">
        <v>21</v>
      </c>
      <c r="H4708" s="19" t="s">
        <v>28</v>
      </c>
      <c r="I4708" s="19">
        <v>48</v>
      </c>
      <c r="J4708" s="19">
        <v>0</v>
      </c>
      <c r="K4708" s="19">
        <v>5</v>
      </c>
      <c r="L4708" s="19" t="s">
        <v>8363</v>
      </c>
      <c r="M4708" s="21">
        <v>7.3</v>
      </c>
      <c r="N4708">
        <f t="shared" si="73"/>
        <v>1</v>
      </c>
    </row>
    <row r="4709" spans="1:14" x14ac:dyDescent="0.35">
      <c r="A4709" s="22" t="s">
        <v>4779</v>
      </c>
      <c r="B4709" s="23" t="s">
        <v>65</v>
      </c>
      <c r="C4709" s="23">
        <v>11</v>
      </c>
      <c r="D4709" s="24">
        <v>45976</v>
      </c>
      <c r="E4709" s="23" t="s">
        <v>25</v>
      </c>
      <c r="F4709" s="23" t="s">
        <v>59</v>
      </c>
      <c r="G4709" s="23" t="s">
        <v>15</v>
      </c>
      <c r="H4709" s="23" t="s">
        <v>28</v>
      </c>
      <c r="I4709" s="23">
        <v>24</v>
      </c>
      <c r="J4709" s="23">
        <v>0</v>
      </c>
      <c r="K4709" s="23"/>
      <c r="L4709" s="23" t="s">
        <v>17</v>
      </c>
      <c r="M4709" s="25">
        <v>5.4</v>
      </c>
      <c r="N4709">
        <f t="shared" si="73"/>
        <v>1</v>
      </c>
    </row>
    <row r="4710" spans="1:14" x14ac:dyDescent="0.35">
      <c r="A4710" s="6" t="s">
        <v>4780</v>
      </c>
      <c r="B4710" s="19" t="s">
        <v>18</v>
      </c>
      <c r="C4710" s="19">
        <v>11</v>
      </c>
      <c r="D4710" s="20">
        <v>45985</v>
      </c>
      <c r="E4710" s="19" t="s">
        <v>13</v>
      </c>
      <c r="F4710" s="19" t="s">
        <v>43</v>
      </c>
      <c r="G4710" s="19" t="s">
        <v>31</v>
      </c>
      <c r="H4710" s="19" t="s">
        <v>8364</v>
      </c>
      <c r="I4710" s="19">
        <v>8</v>
      </c>
      <c r="J4710" s="19">
        <v>0</v>
      </c>
      <c r="K4710" s="19">
        <v>5</v>
      </c>
      <c r="L4710" s="19" t="s">
        <v>38</v>
      </c>
      <c r="M4710" s="21">
        <v>26.2</v>
      </c>
      <c r="N4710">
        <f t="shared" si="73"/>
        <v>0</v>
      </c>
    </row>
    <row r="4711" spans="1:14" x14ac:dyDescent="0.35">
      <c r="A4711" s="22" t="s">
        <v>4781</v>
      </c>
      <c r="B4711" s="23" t="s">
        <v>53</v>
      </c>
      <c r="C4711" s="23">
        <v>5</v>
      </c>
      <c r="D4711" s="24">
        <v>45786</v>
      </c>
      <c r="E4711" s="23" t="s">
        <v>25</v>
      </c>
      <c r="F4711" s="23" t="s">
        <v>43</v>
      </c>
      <c r="G4711" s="23" t="s">
        <v>15</v>
      </c>
      <c r="H4711" s="23" t="s">
        <v>22</v>
      </c>
      <c r="I4711" s="23">
        <v>4</v>
      </c>
      <c r="J4711" s="23">
        <v>0</v>
      </c>
      <c r="K4711" s="23">
        <v>5</v>
      </c>
      <c r="L4711" s="23" t="s">
        <v>8363</v>
      </c>
      <c r="M4711" s="25">
        <v>13.1</v>
      </c>
      <c r="N4711">
        <f t="shared" si="73"/>
        <v>0</v>
      </c>
    </row>
    <row r="4712" spans="1:14" x14ac:dyDescent="0.35">
      <c r="A4712" s="6" t="s">
        <v>4782</v>
      </c>
      <c r="B4712" s="19" t="s">
        <v>236</v>
      </c>
      <c r="C4712" s="19">
        <v>4</v>
      </c>
      <c r="D4712" s="20">
        <v>45752</v>
      </c>
      <c r="E4712" s="19" t="s">
        <v>36</v>
      </c>
      <c r="F4712" s="19" t="s">
        <v>37</v>
      </c>
      <c r="G4712" s="19" t="s">
        <v>21</v>
      </c>
      <c r="H4712" s="19" t="s">
        <v>22</v>
      </c>
      <c r="I4712" s="19">
        <v>8</v>
      </c>
      <c r="J4712" s="19">
        <v>0</v>
      </c>
      <c r="K4712" s="19">
        <v>4</v>
      </c>
      <c r="L4712" s="19" t="s">
        <v>8363</v>
      </c>
      <c r="M4712" s="21">
        <v>22.9</v>
      </c>
      <c r="N4712">
        <f t="shared" si="73"/>
        <v>0</v>
      </c>
    </row>
    <row r="4713" spans="1:14" x14ac:dyDescent="0.35">
      <c r="A4713" s="22" t="s">
        <v>4783</v>
      </c>
      <c r="B4713" s="23" t="s">
        <v>87</v>
      </c>
      <c r="C4713" s="23">
        <v>1</v>
      </c>
      <c r="D4713" s="24">
        <v>45684</v>
      </c>
      <c r="E4713" s="23" t="s">
        <v>68</v>
      </c>
      <c r="F4713" s="23" t="s">
        <v>14</v>
      </c>
      <c r="G4713" s="23" t="s">
        <v>8364</v>
      </c>
      <c r="H4713" s="23" t="s">
        <v>8364</v>
      </c>
      <c r="I4713" s="23">
        <v>4</v>
      </c>
      <c r="J4713" s="23">
        <v>0</v>
      </c>
      <c r="K4713" s="23">
        <v>1</v>
      </c>
      <c r="L4713" s="23" t="s">
        <v>17</v>
      </c>
      <c r="M4713" s="25"/>
      <c r="N4713">
        <f t="shared" si="73"/>
        <v>1</v>
      </c>
    </row>
    <row r="4714" spans="1:14" x14ac:dyDescent="0.35">
      <c r="A4714" s="6" t="s">
        <v>4784</v>
      </c>
      <c r="B4714" s="19" t="s">
        <v>143</v>
      </c>
      <c r="C4714" s="19">
        <v>8</v>
      </c>
      <c r="D4714" s="20">
        <v>45899</v>
      </c>
      <c r="E4714" s="19" t="s">
        <v>25</v>
      </c>
      <c r="F4714" s="19" t="s">
        <v>14</v>
      </c>
      <c r="G4714" s="19" t="s">
        <v>21</v>
      </c>
      <c r="H4714" s="19" t="s">
        <v>8364</v>
      </c>
      <c r="I4714" s="19">
        <v>24</v>
      </c>
      <c r="J4714" s="19">
        <v>2</v>
      </c>
      <c r="K4714" s="19">
        <v>5</v>
      </c>
      <c r="L4714" s="19" t="s">
        <v>55</v>
      </c>
      <c r="M4714" s="21">
        <v>10.5</v>
      </c>
      <c r="N4714">
        <f t="shared" si="73"/>
        <v>1</v>
      </c>
    </row>
    <row r="4715" spans="1:14" x14ac:dyDescent="0.35">
      <c r="A4715" s="22" t="s">
        <v>4785</v>
      </c>
      <c r="B4715" s="23" t="s">
        <v>49</v>
      </c>
      <c r="C4715" s="23">
        <v>2</v>
      </c>
      <c r="D4715" s="24">
        <v>45701</v>
      </c>
      <c r="E4715" s="23" t="s">
        <v>8364</v>
      </c>
      <c r="F4715" s="23" t="s">
        <v>14</v>
      </c>
      <c r="G4715" s="23" t="s">
        <v>21</v>
      </c>
      <c r="H4715" s="23" t="s">
        <v>28</v>
      </c>
      <c r="I4715" s="23">
        <v>4</v>
      </c>
      <c r="J4715" s="23">
        <v>0</v>
      </c>
      <c r="K4715" s="23">
        <v>5</v>
      </c>
      <c r="L4715" s="23" t="s">
        <v>8363</v>
      </c>
      <c r="M4715" s="25">
        <v>78</v>
      </c>
      <c r="N4715">
        <f t="shared" si="73"/>
        <v>0</v>
      </c>
    </row>
    <row r="4716" spans="1:14" x14ac:dyDescent="0.35">
      <c r="A4716" s="6" t="s">
        <v>4786</v>
      </c>
      <c r="B4716" s="19" t="s">
        <v>34</v>
      </c>
      <c r="C4716" s="19">
        <v>3</v>
      </c>
      <c r="D4716" s="20">
        <v>45737</v>
      </c>
      <c r="E4716" s="19" t="s">
        <v>13</v>
      </c>
      <c r="F4716" s="19" t="s">
        <v>26</v>
      </c>
      <c r="G4716" s="19" t="s">
        <v>8364</v>
      </c>
      <c r="H4716" s="19" t="s">
        <v>22</v>
      </c>
      <c r="I4716" s="19">
        <v>24</v>
      </c>
      <c r="J4716" s="19">
        <v>0</v>
      </c>
      <c r="K4716" s="19"/>
      <c r="L4716" s="19" t="s">
        <v>33</v>
      </c>
      <c r="M4716" s="21"/>
      <c r="N4716">
        <f t="shared" si="73"/>
        <v>1</v>
      </c>
    </row>
    <row r="4717" spans="1:14" x14ac:dyDescent="0.35">
      <c r="A4717" s="22" t="s">
        <v>4787</v>
      </c>
      <c r="B4717" s="23" t="s">
        <v>39</v>
      </c>
      <c r="C4717" s="23">
        <v>9</v>
      </c>
      <c r="D4717" s="24">
        <v>45921</v>
      </c>
      <c r="E4717" s="23" t="s">
        <v>13</v>
      </c>
      <c r="F4717" s="23" t="s">
        <v>40</v>
      </c>
      <c r="G4717" s="23" t="s">
        <v>15</v>
      </c>
      <c r="H4717" s="23" t="s">
        <v>32</v>
      </c>
      <c r="I4717" s="23">
        <v>4</v>
      </c>
      <c r="J4717" s="23">
        <v>2</v>
      </c>
      <c r="K4717" s="23">
        <v>5</v>
      </c>
      <c r="L4717" s="23" t="s">
        <v>62</v>
      </c>
      <c r="M4717" s="25">
        <v>27.2</v>
      </c>
      <c r="N4717">
        <f t="shared" si="73"/>
        <v>0</v>
      </c>
    </row>
    <row r="4718" spans="1:14" x14ac:dyDescent="0.35">
      <c r="A4718" s="6" t="s">
        <v>4788</v>
      </c>
      <c r="B4718" s="19" t="s">
        <v>39</v>
      </c>
      <c r="C4718" s="19">
        <v>5</v>
      </c>
      <c r="D4718" s="20">
        <v>45798</v>
      </c>
      <c r="E4718" s="19" t="s">
        <v>13</v>
      </c>
      <c r="F4718" s="19" t="s">
        <v>14</v>
      </c>
      <c r="G4718" s="19" t="s">
        <v>27</v>
      </c>
      <c r="H4718" s="19" t="s">
        <v>8364</v>
      </c>
      <c r="I4718" s="19">
        <v>48</v>
      </c>
      <c r="J4718" s="19">
        <v>0</v>
      </c>
      <c r="K4718" s="19">
        <v>3</v>
      </c>
      <c r="L4718" s="19" t="s">
        <v>62</v>
      </c>
      <c r="M4718" s="21">
        <v>6.5</v>
      </c>
      <c r="N4718">
        <f t="shared" si="73"/>
        <v>1</v>
      </c>
    </row>
    <row r="4719" spans="1:14" x14ac:dyDescent="0.35">
      <c r="A4719" s="22" t="s">
        <v>4789</v>
      </c>
      <c r="B4719" s="23" t="s">
        <v>89</v>
      </c>
      <c r="C4719" s="23">
        <v>7</v>
      </c>
      <c r="D4719" s="24">
        <v>45867</v>
      </c>
      <c r="E4719" s="23" t="s">
        <v>13</v>
      </c>
      <c r="F4719" s="23" t="s">
        <v>37</v>
      </c>
      <c r="G4719" s="23" t="s">
        <v>21</v>
      </c>
      <c r="H4719" s="23" t="s">
        <v>22</v>
      </c>
      <c r="I4719" s="23">
        <v>24</v>
      </c>
      <c r="J4719" s="23">
        <v>0</v>
      </c>
      <c r="K4719" s="23">
        <v>5</v>
      </c>
      <c r="L4719" s="23" t="s">
        <v>8363</v>
      </c>
      <c r="M4719" s="25">
        <v>10.6</v>
      </c>
      <c r="N4719">
        <f t="shared" si="73"/>
        <v>1</v>
      </c>
    </row>
    <row r="4720" spans="1:14" x14ac:dyDescent="0.35">
      <c r="A4720" s="6" t="s">
        <v>4790</v>
      </c>
      <c r="B4720" s="19" t="s">
        <v>89</v>
      </c>
      <c r="C4720" s="19">
        <v>6</v>
      </c>
      <c r="D4720" s="20">
        <v>45828</v>
      </c>
      <c r="E4720" s="19" t="s">
        <v>13</v>
      </c>
      <c r="F4720" s="19" t="s">
        <v>43</v>
      </c>
      <c r="G4720" s="19" t="s">
        <v>31</v>
      </c>
      <c r="H4720" s="19" t="s">
        <v>8364</v>
      </c>
      <c r="I4720" s="19">
        <v>4</v>
      </c>
      <c r="J4720" s="19">
        <v>2</v>
      </c>
      <c r="K4720" s="19">
        <v>2</v>
      </c>
      <c r="L4720" s="19" t="s">
        <v>55</v>
      </c>
      <c r="M4720" s="21">
        <v>29.8</v>
      </c>
      <c r="N4720">
        <f t="shared" si="73"/>
        <v>0</v>
      </c>
    </row>
    <row r="4721" spans="1:14" x14ac:dyDescent="0.35">
      <c r="A4721" s="22" t="s">
        <v>4791</v>
      </c>
      <c r="B4721" s="23" t="s">
        <v>23</v>
      </c>
      <c r="C4721" s="23">
        <v>12</v>
      </c>
      <c r="D4721" s="24">
        <v>46013</v>
      </c>
      <c r="E4721" s="23" t="s">
        <v>36</v>
      </c>
      <c r="F4721" s="23" t="s">
        <v>59</v>
      </c>
      <c r="G4721" s="23" t="s">
        <v>21</v>
      </c>
      <c r="H4721" s="23" t="s">
        <v>28</v>
      </c>
      <c r="I4721" s="23">
        <v>48</v>
      </c>
      <c r="J4721" s="23">
        <v>0</v>
      </c>
      <c r="K4721" s="23">
        <v>2</v>
      </c>
      <c r="L4721" s="23" t="s">
        <v>38</v>
      </c>
      <c r="M4721" s="25">
        <v>13.3</v>
      </c>
      <c r="N4721">
        <f t="shared" si="73"/>
        <v>1</v>
      </c>
    </row>
    <row r="4722" spans="1:14" x14ac:dyDescent="0.35">
      <c r="A4722" s="6" t="s">
        <v>4792</v>
      </c>
      <c r="B4722" s="19" t="s">
        <v>51</v>
      </c>
      <c r="C4722" s="19"/>
      <c r="D4722" s="20"/>
      <c r="E4722" s="19" t="s">
        <v>13</v>
      </c>
      <c r="F4722" s="19" t="s">
        <v>40</v>
      </c>
      <c r="G4722" s="19" t="s">
        <v>15</v>
      </c>
      <c r="H4722" s="19" t="s">
        <v>28</v>
      </c>
      <c r="I4722" s="19">
        <v>72</v>
      </c>
      <c r="J4722" s="19">
        <v>0</v>
      </c>
      <c r="K4722" s="19">
        <v>5</v>
      </c>
      <c r="L4722" s="19" t="s">
        <v>33</v>
      </c>
      <c r="M4722" s="21">
        <v>5</v>
      </c>
      <c r="N4722">
        <f t="shared" si="73"/>
        <v>1</v>
      </c>
    </row>
    <row r="4723" spans="1:14" x14ac:dyDescent="0.35">
      <c r="A4723" s="22" t="s">
        <v>4793</v>
      </c>
      <c r="B4723" s="23" t="s">
        <v>158</v>
      </c>
      <c r="C4723" s="23">
        <v>1</v>
      </c>
      <c r="D4723" s="24">
        <v>45668</v>
      </c>
      <c r="E4723" s="23" t="s">
        <v>36</v>
      </c>
      <c r="F4723" s="23" t="s">
        <v>26</v>
      </c>
      <c r="G4723" s="23" t="s">
        <v>31</v>
      </c>
      <c r="H4723" s="23" t="s">
        <v>16</v>
      </c>
      <c r="I4723" s="23">
        <v>48</v>
      </c>
      <c r="J4723" s="23">
        <v>0</v>
      </c>
      <c r="K4723" s="23">
        <v>3</v>
      </c>
      <c r="L4723" s="23" t="s">
        <v>55</v>
      </c>
      <c r="M4723" s="25">
        <v>6.8</v>
      </c>
      <c r="N4723">
        <f t="shared" si="73"/>
        <v>1</v>
      </c>
    </row>
    <row r="4724" spans="1:14" x14ac:dyDescent="0.35">
      <c r="A4724" s="6" t="s">
        <v>4794</v>
      </c>
      <c r="B4724" s="19" t="s">
        <v>108</v>
      </c>
      <c r="C4724" s="19">
        <v>9</v>
      </c>
      <c r="D4724" s="20">
        <v>45914</v>
      </c>
      <c r="E4724" s="19" t="s">
        <v>13</v>
      </c>
      <c r="F4724" s="19" t="s">
        <v>26</v>
      </c>
      <c r="G4724" s="19" t="s">
        <v>31</v>
      </c>
      <c r="H4724" s="19" t="s">
        <v>28</v>
      </c>
      <c r="I4724" s="19">
        <v>24</v>
      </c>
      <c r="J4724" s="19">
        <v>3</v>
      </c>
      <c r="K4724" s="19">
        <v>5</v>
      </c>
      <c r="L4724" s="19" t="s">
        <v>8363</v>
      </c>
      <c r="M4724" s="21">
        <v>11.9</v>
      </c>
      <c r="N4724">
        <f t="shared" si="73"/>
        <v>1</v>
      </c>
    </row>
    <row r="4725" spans="1:14" x14ac:dyDescent="0.35">
      <c r="A4725" s="22" t="s">
        <v>4795</v>
      </c>
      <c r="B4725" s="23" t="s">
        <v>89</v>
      </c>
      <c r="C4725" s="23">
        <v>4</v>
      </c>
      <c r="D4725" s="24">
        <v>45759</v>
      </c>
      <c r="E4725" s="23" t="s">
        <v>25</v>
      </c>
      <c r="F4725" s="23" t="s">
        <v>40</v>
      </c>
      <c r="G4725" s="23" t="s">
        <v>21</v>
      </c>
      <c r="H4725" s="23" t="s">
        <v>22</v>
      </c>
      <c r="I4725" s="23">
        <v>48</v>
      </c>
      <c r="J4725" s="23">
        <v>0</v>
      </c>
      <c r="K4725" s="23">
        <v>4</v>
      </c>
      <c r="L4725" s="23" t="s">
        <v>44</v>
      </c>
      <c r="M4725" s="25">
        <v>10.8</v>
      </c>
      <c r="N4725">
        <f t="shared" si="73"/>
        <v>1</v>
      </c>
    </row>
    <row r="4726" spans="1:14" x14ac:dyDescent="0.35">
      <c r="A4726" s="6" t="s">
        <v>4796</v>
      </c>
      <c r="B4726" s="19" t="s">
        <v>104</v>
      </c>
      <c r="C4726" s="19">
        <v>8</v>
      </c>
      <c r="D4726" s="20">
        <v>45895</v>
      </c>
      <c r="E4726" s="19" t="s">
        <v>68</v>
      </c>
      <c r="F4726" s="19" t="s">
        <v>43</v>
      </c>
      <c r="G4726" s="19" t="s">
        <v>31</v>
      </c>
      <c r="H4726" s="19" t="s">
        <v>22</v>
      </c>
      <c r="I4726" s="19">
        <v>72</v>
      </c>
      <c r="J4726" s="19">
        <v>2</v>
      </c>
      <c r="K4726" s="19">
        <v>4</v>
      </c>
      <c r="L4726" s="19" t="s">
        <v>8363</v>
      </c>
      <c r="M4726" s="21">
        <v>7.9</v>
      </c>
      <c r="N4726">
        <f t="shared" si="73"/>
        <v>1</v>
      </c>
    </row>
    <row r="4727" spans="1:14" x14ac:dyDescent="0.35">
      <c r="A4727" s="22" t="s">
        <v>4797</v>
      </c>
      <c r="B4727" s="23" t="s">
        <v>23</v>
      </c>
      <c r="C4727" s="23">
        <v>10</v>
      </c>
      <c r="D4727" s="24">
        <v>45960</v>
      </c>
      <c r="E4727" s="23" t="s">
        <v>25</v>
      </c>
      <c r="F4727" s="23" t="s">
        <v>14</v>
      </c>
      <c r="G4727" s="23" t="s">
        <v>31</v>
      </c>
      <c r="H4727" s="23" t="s">
        <v>28</v>
      </c>
      <c r="I4727" s="23">
        <v>72</v>
      </c>
      <c r="J4727" s="23">
        <v>0</v>
      </c>
      <c r="K4727" s="23"/>
      <c r="L4727" s="23" t="s">
        <v>38</v>
      </c>
      <c r="M4727" s="25">
        <v>14.3</v>
      </c>
      <c r="N4727">
        <f t="shared" si="73"/>
        <v>1</v>
      </c>
    </row>
    <row r="4728" spans="1:14" x14ac:dyDescent="0.35">
      <c r="A4728" s="6" t="s">
        <v>4798</v>
      </c>
      <c r="B4728" s="19" t="s">
        <v>236</v>
      </c>
      <c r="C4728" s="19">
        <v>5</v>
      </c>
      <c r="D4728" s="20">
        <v>45794</v>
      </c>
      <c r="E4728" s="19" t="s">
        <v>13</v>
      </c>
      <c r="F4728" s="19" t="s">
        <v>26</v>
      </c>
      <c r="G4728" s="19" t="s">
        <v>27</v>
      </c>
      <c r="H4728" s="19" t="s">
        <v>28</v>
      </c>
      <c r="I4728" s="19">
        <v>4</v>
      </c>
      <c r="J4728" s="19">
        <v>0</v>
      </c>
      <c r="K4728" s="19">
        <v>5</v>
      </c>
      <c r="L4728" s="19" t="s">
        <v>62</v>
      </c>
      <c r="M4728" s="21">
        <v>17.5</v>
      </c>
      <c r="N4728">
        <f t="shared" si="73"/>
        <v>0</v>
      </c>
    </row>
    <row r="4729" spans="1:14" x14ac:dyDescent="0.35">
      <c r="A4729" s="22" t="s">
        <v>4799</v>
      </c>
      <c r="B4729" s="23" t="s">
        <v>34</v>
      </c>
      <c r="C4729" s="23">
        <v>1</v>
      </c>
      <c r="D4729" s="24">
        <v>45663</v>
      </c>
      <c r="E4729" s="23" t="s">
        <v>36</v>
      </c>
      <c r="F4729" s="23" t="s">
        <v>43</v>
      </c>
      <c r="G4729" s="23" t="s">
        <v>27</v>
      </c>
      <c r="H4729" s="23" t="s">
        <v>28</v>
      </c>
      <c r="I4729" s="23">
        <v>72</v>
      </c>
      <c r="J4729" s="23">
        <v>0</v>
      </c>
      <c r="K4729" s="23">
        <v>5</v>
      </c>
      <c r="L4729" s="23" t="s">
        <v>55</v>
      </c>
      <c r="M4729" s="25">
        <v>6.1</v>
      </c>
      <c r="N4729">
        <f t="shared" si="73"/>
        <v>1</v>
      </c>
    </row>
    <row r="4730" spans="1:14" x14ac:dyDescent="0.35">
      <c r="A4730" s="6" t="s">
        <v>4800</v>
      </c>
      <c r="B4730" s="19" t="s">
        <v>87</v>
      </c>
      <c r="C4730" s="19">
        <v>6</v>
      </c>
      <c r="D4730" s="20">
        <v>45822</v>
      </c>
      <c r="E4730" s="19" t="s">
        <v>36</v>
      </c>
      <c r="F4730" s="19" t="s">
        <v>59</v>
      </c>
      <c r="G4730" s="19" t="s">
        <v>27</v>
      </c>
      <c r="H4730" s="19" t="s">
        <v>8364</v>
      </c>
      <c r="I4730" s="19">
        <v>48</v>
      </c>
      <c r="J4730" s="19">
        <v>0</v>
      </c>
      <c r="K4730" s="19">
        <v>5</v>
      </c>
      <c r="L4730" s="19" t="s">
        <v>62</v>
      </c>
      <c r="M4730" s="21">
        <v>7.1</v>
      </c>
      <c r="N4730">
        <f t="shared" si="73"/>
        <v>1</v>
      </c>
    </row>
    <row r="4731" spans="1:14" x14ac:dyDescent="0.35">
      <c r="A4731" s="22" t="s">
        <v>4801</v>
      </c>
      <c r="B4731" s="23" t="s">
        <v>69</v>
      </c>
      <c r="C4731" s="23">
        <v>6</v>
      </c>
      <c r="D4731" s="24">
        <v>45809</v>
      </c>
      <c r="E4731" s="23" t="s">
        <v>36</v>
      </c>
      <c r="F4731" s="23" t="s">
        <v>43</v>
      </c>
      <c r="G4731" s="23" t="s">
        <v>27</v>
      </c>
      <c r="H4731" s="23" t="s">
        <v>22</v>
      </c>
      <c r="I4731" s="23">
        <v>4</v>
      </c>
      <c r="J4731" s="23">
        <v>0</v>
      </c>
      <c r="K4731" s="23">
        <v>5</v>
      </c>
      <c r="L4731" s="23" t="s">
        <v>62</v>
      </c>
      <c r="M4731" s="25">
        <v>15.5</v>
      </c>
      <c r="N4731">
        <f t="shared" si="73"/>
        <v>0</v>
      </c>
    </row>
    <row r="4732" spans="1:14" x14ac:dyDescent="0.35">
      <c r="A4732" s="6" t="s">
        <v>4802</v>
      </c>
      <c r="B4732" s="19" t="s">
        <v>18</v>
      </c>
      <c r="C4732" s="19">
        <v>2</v>
      </c>
      <c r="D4732" s="20">
        <v>45709</v>
      </c>
      <c r="E4732" s="19" t="s">
        <v>13</v>
      </c>
      <c r="F4732" s="19" t="s">
        <v>43</v>
      </c>
      <c r="G4732" s="19" t="s">
        <v>21</v>
      </c>
      <c r="H4732" s="19" t="s">
        <v>28</v>
      </c>
      <c r="I4732" s="19">
        <v>72</v>
      </c>
      <c r="J4732" s="19">
        <v>2</v>
      </c>
      <c r="K4732" s="19">
        <v>2</v>
      </c>
      <c r="L4732" s="19" t="s">
        <v>55</v>
      </c>
      <c r="M4732" s="21">
        <v>21.9</v>
      </c>
      <c r="N4732">
        <f t="shared" si="73"/>
        <v>1</v>
      </c>
    </row>
    <row r="4733" spans="1:14" x14ac:dyDescent="0.35">
      <c r="A4733" s="22" t="s">
        <v>4803</v>
      </c>
      <c r="B4733" s="23" t="s">
        <v>139</v>
      </c>
      <c r="C4733" s="23">
        <v>8</v>
      </c>
      <c r="D4733" s="24">
        <v>45875</v>
      </c>
      <c r="E4733" s="23" t="s">
        <v>20</v>
      </c>
      <c r="F4733" s="23" t="s">
        <v>26</v>
      </c>
      <c r="G4733" s="23" t="s">
        <v>8364</v>
      </c>
      <c r="H4733" s="23" t="s">
        <v>28</v>
      </c>
      <c r="I4733" s="23">
        <v>48</v>
      </c>
      <c r="J4733" s="23">
        <v>0</v>
      </c>
      <c r="K4733" s="23">
        <v>4</v>
      </c>
      <c r="L4733" s="23" t="s">
        <v>44</v>
      </c>
      <c r="M4733" s="25">
        <v>35.299999999999997</v>
      </c>
      <c r="N4733">
        <f t="shared" si="73"/>
        <v>1</v>
      </c>
    </row>
    <row r="4734" spans="1:14" x14ac:dyDescent="0.35">
      <c r="A4734" s="6" t="s">
        <v>4804</v>
      </c>
      <c r="B4734" s="19" t="s">
        <v>158</v>
      </c>
      <c r="C4734" s="19">
        <v>9</v>
      </c>
      <c r="D4734" s="20">
        <v>45909</v>
      </c>
      <c r="E4734" s="19" t="s">
        <v>68</v>
      </c>
      <c r="F4734" s="19" t="s">
        <v>43</v>
      </c>
      <c r="G4734" s="19" t="s">
        <v>31</v>
      </c>
      <c r="H4734" s="19" t="s">
        <v>22</v>
      </c>
      <c r="I4734" s="19">
        <v>48</v>
      </c>
      <c r="J4734" s="19">
        <v>0</v>
      </c>
      <c r="K4734" s="19">
        <v>4</v>
      </c>
      <c r="L4734" s="19" t="s">
        <v>44</v>
      </c>
      <c r="M4734" s="21">
        <v>17.7</v>
      </c>
      <c r="N4734">
        <f t="shared" si="73"/>
        <v>1</v>
      </c>
    </row>
    <row r="4735" spans="1:14" x14ac:dyDescent="0.35">
      <c r="A4735" s="22" t="s">
        <v>4805</v>
      </c>
      <c r="B4735" s="23" t="s">
        <v>29</v>
      </c>
      <c r="C4735" s="23">
        <v>11</v>
      </c>
      <c r="D4735" s="24">
        <v>45987</v>
      </c>
      <c r="E4735" s="23" t="s">
        <v>13</v>
      </c>
      <c r="F4735" s="23" t="s">
        <v>37</v>
      </c>
      <c r="G4735" s="23" t="s">
        <v>31</v>
      </c>
      <c r="H4735" s="23" t="s">
        <v>28</v>
      </c>
      <c r="I4735" s="23">
        <v>8</v>
      </c>
      <c r="J4735" s="23">
        <v>0</v>
      </c>
      <c r="K4735" s="23">
        <v>5</v>
      </c>
      <c r="L4735" s="23" t="s">
        <v>8363</v>
      </c>
      <c r="M4735" s="25">
        <v>8.6999999999999993</v>
      </c>
      <c r="N4735">
        <f t="shared" si="73"/>
        <v>0</v>
      </c>
    </row>
    <row r="4736" spans="1:14" x14ac:dyDescent="0.35">
      <c r="A4736" s="6" t="s">
        <v>4806</v>
      </c>
      <c r="B4736" s="19" t="s">
        <v>97</v>
      </c>
      <c r="C4736" s="19">
        <v>1</v>
      </c>
      <c r="D4736" s="20">
        <v>45676</v>
      </c>
      <c r="E4736" s="19" t="s">
        <v>20</v>
      </c>
      <c r="F4736" s="19" t="s">
        <v>14</v>
      </c>
      <c r="G4736" s="19" t="s">
        <v>21</v>
      </c>
      <c r="H4736" s="19" t="s">
        <v>28</v>
      </c>
      <c r="I4736" s="19">
        <v>8</v>
      </c>
      <c r="J4736" s="19">
        <v>2</v>
      </c>
      <c r="K4736" s="19">
        <v>4</v>
      </c>
      <c r="L4736" s="19" t="s">
        <v>75</v>
      </c>
      <c r="M4736" s="21">
        <v>6.4</v>
      </c>
      <c r="N4736">
        <f t="shared" si="73"/>
        <v>1</v>
      </c>
    </row>
    <row r="4737" spans="1:14" x14ac:dyDescent="0.35">
      <c r="A4737" s="22" t="s">
        <v>4807</v>
      </c>
      <c r="B4737" s="23" t="s">
        <v>65</v>
      </c>
      <c r="C4737" s="23">
        <v>3</v>
      </c>
      <c r="D4737" s="24">
        <v>45738</v>
      </c>
      <c r="E4737" s="23" t="s">
        <v>8364</v>
      </c>
      <c r="F4737" s="23" t="s">
        <v>8364</v>
      </c>
      <c r="G4737" s="23" t="s">
        <v>31</v>
      </c>
      <c r="H4737" s="23" t="s">
        <v>8364</v>
      </c>
      <c r="I4737" s="23">
        <v>72</v>
      </c>
      <c r="J4737" s="23">
        <v>0</v>
      </c>
      <c r="K4737" s="23">
        <v>3</v>
      </c>
      <c r="L4737" s="23" t="s">
        <v>8363</v>
      </c>
      <c r="M4737" s="25">
        <v>16</v>
      </c>
      <c r="N4737">
        <f t="shared" si="73"/>
        <v>1</v>
      </c>
    </row>
    <row r="4738" spans="1:14" x14ac:dyDescent="0.35">
      <c r="A4738" s="6" t="s">
        <v>4808</v>
      </c>
      <c r="B4738" s="19" t="s">
        <v>23</v>
      </c>
      <c r="C4738" s="19">
        <v>8</v>
      </c>
      <c r="D4738" s="20">
        <v>45883</v>
      </c>
      <c r="E4738" s="19" t="s">
        <v>13</v>
      </c>
      <c r="F4738" s="19" t="s">
        <v>37</v>
      </c>
      <c r="G4738" s="19" t="s">
        <v>8364</v>
      </c>
      <c r="H4738" s="19" t="s">
        <v>22</v>
      </c>
      <c r="I4738" s="19">
        <v>4</v>
      </c>
      <c r="J4738" s="19">
        <v>0</v>
      </c>
      <c r="K4738" s="19">
        <v>2</v>
      </c>
      <c r="L4738" s="19" t="s">
        <v>75</v>
      </c>
      <c r="M4738" s="21">
        <v>5.5</v>
      </c>
      <c r="N4738">
        <f t="shared" si="73"/>
        <v>0</v>
      </c>
    </row>
    <row r="4739" spans="1:14" x14ac:dyDescent="0.35">
      <c r="A4739" s="22" t="s">
        <v>4809</v>
      </c>
      <c r="B4739" s="23" t="s">
        <v>47</v>
      </c>
      <c r="C4739" s="23">
        <v>9</v>
      </c>
      <c r="D4739" s="24">
        <v>45914</v>
      </c>
      <c r="E4739" s="23" t="s">
        <v>13</v>
      </c>
      <c r="F4739" s="23" t="s">
        <v>8364</v>
      </c>
      <c r="G4739" s="23" t="s">
        <v>21</v>
      </c>
      <c r="H4739" s="23" t="s">
        <v>22</v>
      </c>
      <c r="I4739" s="23">
        <v>48</v>
      </c>
      <c r="J4739" s="23">
        <v>2</v>
      </c>
      <c r="K4739" s="23">
        <v>5</v>
      </c>
      <c r="L4739" s="23" t="s">
        <v>8363</v>
      </c>
      <c r="M4739" s="25">
        <v>23.3</v>
      </c>
      <c r="N4739">
        <f t="shared" ref="N4739:N4802" si="74">IF(M4739 &lt;= I4739, 1, 0)</f>
        <v>1</v>
      </c>
    </row>
    <row r="4740" spans="1:14" x14ac:dyDescent="0.35">
      <c r="A4740" s="6" t="s">
        <v>4810</v>
      </c>
      <c r="B4740" s="19" t="s">
        <v>49</v>
      </c>
      <c r="C4740" s="19">
        <v>12</v>
      </c>
      <c r="D4740" s="20">
        <v>45999</v>
      </c>
      <c r="E4740" s="19" t="s">
        <v>68</v>
      </c>
      <c r="F4740" s="19" t="s">
        <v>8364</v>
      </c>
      <c r="G4740" s="19" t="s">
        <v>21</v>
      </c>
      <c r="H4740" s="19" t="s">
        <v>28</v>
      </c>
      <c r="I4740" s="19">
        <v>72</v>
      </c>
      <c r="J4740" s="19">
        <v>0</v>
      </c>
      <c r="K4740" s="19">
        <v>3</v>
      </c>
      <c r="L4740" s="19" t="s">
        <v>33</v>
      </c>
      <c r="M4740" s="21">
        <v>8.5</v>
      </c>
      <c r="N4740">
        <f t="shared" si="74"/>
        <v>1</v>
      </c>
    </row>
    <row r="4741" spans="1:14" x14ac:dyDescent="0.35">
      <c r="A4741" s="22" t="s">
        <v>4811</v>
      </c>
      <c r="B4741" s="23" t="s">
        <v>253</v>
      </c>
      <c r="C4741" s="23">
        <v>8</v>
      </c>
      <c r="D4741" s="24">
        <v>45883</v>
      </c>
      <c r="E4741" s="23" t="s">
        <v>8364</v>
      </c>
      <c r="F4741" s="23" t="s">
        <v>14</v>
      </c>
      <c r="G4741" s="23" t="s">
        <v>31</v>
      </c>
      <c r="H4741" s="23" t="s">
        <v>22</v>
      </c>
      <c r="I4741" s="23">
        <v>4</v>
      </c>
      <c r="J4741" s="23">
        <v>0</v>
      </c>
      <c r="K4741" s="23">
        <v>5</v>
      </c>
      <c r="L4741" s="23" t="s">
        <v>8363</v>
      </c>
      <c r="M4741" s="25">
        <v>5.8</v>
      </c>
      <c r="N4741">
        <f t="shared" si="74"/>
        <v>0</v>
      </c>
    </row>
    <row r="4742" spans="1:14" x14ac:dyDescent="0.35">
      <c r="A4742" s="6" t="s">
        <v>4812</v>
      </c>
      <c r="B4742" s="19" t="s">
        <v>158</v>
      </c>
      <c r="C4742" s="19">
        <v>7</v>
      </c>
      <c r="D4742" s="20">
        <v>45843</v>
      </c>
      <c r="E4742" s="19" t="s">
        <v>25</v>
      </c>
      <c r="F4742" s="19" t="s">
        <v>59</v>
      </c>
      <c r="G4742" s="19" t="s">
        <v>21</v>
      </c>
      <c r="H4742" s="19" t="s">
        <v>28</v>
      </c>
      <c r="I4742" s="19">
        <v>48</v>
      </c>
      <c r="J4742" s="19">
        <v>0</v>
      </c>
      <c r="K4742" s="19">
        <v>5</v>
      </c>
      <c r="L4742" s="19" t="s">
        <v>38</v>
      </c>
      <c r="M4742" s="21">
        <v>4.9000000000000004</v>
      </c>
      <c r="N4742">
        <f t="shared" si="74"/>
        <v>1</v>
      </c>
    </row>
    <row r="4743" spans="1:14" x14ac:dyDescent="0.35">
      <c r="A4743" s="22" t="s">
        <v>4813</v>
      </c>
      <c r="B4743" s="23" t="s">
        <v>89</v>
      </c>
      <c r="C4743" s="23">
        <v>7</v>
      </c>
      <c r="D4743" s="24">
        <v>45858</v>
      </c>
      <c r="E4743" s="23" t="s">
        <v>8364</v>
      </c>
      <c r="F4743" s="23" t="s">
        <v>14</v>
      </c>
      <c r="G4743" s="23" t="s">
        <v>27</v>
      </c>
      <c r="H4743" s="23" t="s">
        <v>16</v>
      </c>
      <c r="I4743" s="23">
        <v>72</v>
      </c>
      <c r="J4743" s="23">
        <v>0</v>
      </c>
      <c r="K4743" s="23">
        <v>5</v>
      </c>
      <c r="L4743" s="23" t="s">
        <v>75</v>
      </c>
      <c r="M4743" s="25">
        <v>11.7</v>
      </c>
      <c r="N4743">
        <f t="shared" si="74"/>
        <v>1</v>
      </c>
    </row>
    <row r="4744" spans="1:14" x14ac:dyDescent="0.35">
      <c r="A4744" s="6" t="s">
        <v>4814</v>
      </c>
      <c r="B4744" s="19" t="s">
        <v>104</v>
      </c>
      <c r="C4744" s="19">
        <v>12</v>
      </c>
      <c r="D4744" s="20">
        <v>46015</v>
      </c>
      <c r="E4744" s="19" t="s">
        <v>25</v>
      </c>
      <c r="F4744" s="19" t="s">
        <v>59</v>
      </c>
      <c r="G4744" s="19" t="s">
        <v>31</v>
      </c>
      <c r="H4744" s="19" t="s">
        <v>28</v>
      </c>
      <c r="I4744" s="19">
        <v>48</v>
      </c>
      <c r="J4744" s="19">
        <v>0</v>
      </c>
      <c r="K4744" s="19">
        <v>2</v>
      </c>
      <c r="L4744" s="19" t="s">
        <v>62</v>
      </c>
      <c r="M4744" s="21">
        <v>14.7</v>
      </c>
      <c r="N4744">
        <f t="shared" si="74"/>
        <v>1</v>
      </c>
    </row>
    <row r="4745" spans="1:14" x14ac:dyDescent="0.35">
      <c r="A4745" s="22" t="s">
        <v>4815</v>
      </c>
      <c r="B4745" s="23" t="s">
        <v>53</v>
      </c>
      <c r="C4745" s="23">
        <v>10</v>
      </c>
      <c r="D4745" s="24">
        <v>45954</v>
      </c>
      <c r="E4745" s="23" t="s">
        <v>25</v>
      </c>
      <c r="F4745" s="23" t="s">
        <v>8364</v>
      </c>
      <c r="G4745" s="23" t="s">
        <v>21</v>
      </c>
      <c r="H4745" s="23" t="s">
        <v>22</v>
      </c>
      <c r="I4745" s="23">
        <v>4</v>
      </c>
      <c r="J4745" s="23">
        <v>0</v>
      </c>
      <c r="K4745" s="23">
        <v>4</v>
      </c>
      <c r="L4745" s="23" t="s">
        <v>75</v>
      </c>
      <c r="M4745" s="25">
        <v>22.1</v>
      </c>
      <c r="N4745">
        <f t="shared" si="74"/>
        <v>0</v>
      </c>
    </row>
    <row r="4746" spans="1:14" x14ac:dyDescent="0.35">
      <c r="A4746" s="6" t="s">
        <v>4816</v>
      </c>
      <c r="B4746" s="19" t="s">
        <v>72</v>
      </c>
      <c r="C4746" s="19">
        <v>1</v>
      </c>
      <c r="D4746" s="20">
        <v>45663</v>
      </c>
      <c r="E4746" s="19" t="s">
        <v>13</v>
      </c>
      <c r="F4746" s="19" t="s">
        <v>14</v>
      </c>
      <c r="G4746" s="19" t="s">
        <v>21</v>
      </c>
      <c r="H4746" s="19" t="s">
        <v>16</v>
      </c>
      <c r="I4746" s="19">
        <v>8</v>
      </c>
      <c r="J4746" s="19">
        <v>2</v>
      </c>
      <c r="K4746" s="19">
        <v>4</v>
      </c>
      <c r="L4746" s="19" t="s">
        <v>33</v>
      </c>
      <c r="M4746" s="21">
        <v>17.899999999999999</v>
      </c>
      <c r="N4746">
        <f t="shared" si="74"/>
        <v>0</v>
      </c>
    </row>
    <row r="4747" spans="1:14" x14ac:dyDescent="0.35">
      <c r="A4747" s="22" t="s">
        <v>4817</v>
      </c>
      <c r="B4747" s="23" t="s">
        <v>49</v>
      </c>
      <c r="C4747" s="23">
        <v>11</v>
      </c>
      <c r="D4747" s="24">
        <v>45962</v>
      </c>
      <c r="E4747" s="23" t="s">
        <v>68</v>
      </c>
      <c r="F4747" s="23" t="s">
        <v>14</v>
      </c>
      <c r="G4747" s="23" t="s">
        <v>21</v>
      </c>
      <c r="H4747" s="23" t="s">
        <v>16</v>
      </c>
      <c r="I4747" s="23">
        <v>48</v>
      </c>
      <c r="J4747" s="23">
        <v>1</v>
      </c>
      <c r="K4747" s="23">
        <v>4</v>
      </c>
      <c r="L4747" s="23" t="s">
        <v>75</v>
      </c>
      <c r="M4747" s="25">
        <v>22.4</v>
      </c>
      <c r="N4747">
        <f t="shared" si="74"/>
        <v>1</v>
      </c>
    </row>
    <row r="4748" spans="1:14" x14ac:dyDescent="0.35">
      <c r="A4748" s="6" t="s">
        <v>4818</v>
      </c>
      <c r="B4748" s="19" t="s">
        <v>126</v>
      </c>
      <c r="C4748" s="19">
        <v>6</v>
      </c>
      <c r="D4748" s="20">
        <v>45813</v>
      </c>
      <c r="E4748" s="19" t="s">
        <v>68</v>
      </c>
      <c r="F4748" s="19" t="s">
        <v>26</v>
      </c>
      <c r="G4748" s="19" t="s">
        <v>27</v>
      </c>
      <c r="H4748" s="19" t="s">
        <v>32</v>
      </c>
      <c r="I4748" s="19">
        <v>72</v>
      </c>
      <c r="J4748" s="19">
        <v>0</v>
      </c>
      <c r="K4748" s="19">
        <v>4</v>
      </c>
      <c r="L4748" s="19" t="s">
        <v>33</v>
      </c>
      <c r="M4748" s="21">
        <v>6.6</v>
      </c>
      <c r="N4748">
        <f t="shared" si="74"/>
        <v>1</v>
      </c>
    </row>
    <row r="4749" spans="1:14" x14ac:dyDescent="0.35">
      <c r="A4749" s="22" t="s">
        <v>4819</v>
      </c>
      <c r="B4749" s="23" t="s">
        <v>49</v>
      </c>
      <c r="C4749" s="23">
        <v>4</v>
      </c>
      <c r="D4749" s="24">
        <v>45755</v>
      </c>
      <c r="E4749" s="23" t="s">
        <v>25</v>
      </c>
      <c r="F4749" s="23" t="s">
        <v>8364</v>
      </c>
      <c r="G4749" s="23" t="s">
        <v>27</v>
      </c>
      <c r="H4749" s="23" t="s">
        <v>16</v>
      </c>
      <c r="I4749" s="23">
        <v>8</v>
      </c>
      <c r="J4749" s="23">
        <v>0</v>
      </c>
      <c r="K4749" s="23"/>
      <c r="L4749" s="23" t="s">
        <v>44</v>
      </c>
      <c r="M4749" s="25">
        <v>6.7</v>
      </c>
      <c r="N4749">
        <f t="shared" si="74"/>
        <v>1</v>
      </c>
    </row>
    <row r="4750" spans="1:14" x14ac:dyDescent="0.35">
      <c r="A4750" s="6" t="s">
        <v>4820</v>
      </c>
      <c r="B4750" s="19" t="s">
        <v>53</v>
      </c>
      <c r="C4750" s="19">
        <v>10</v>
      </c>
      <c r="D4750" s="20">
        <v>45944</v>
      </c>
      <c r="E4750" s="19" t="s">
        <v>68</v>
      </c>
      <c r="F4750" s="19" t="s">
        <v>43</v>
      </c>
      <c r="G4750" s="19" t="s">
        <v>31</v>
      </c>
      <c r="H4750" s="19" t="s">
        <v>32</v>
      </c>
      <c r="I4750" s="19">
        <v>48</v>
      </c>
      <c r="J4750" s="19">
        <v>1</v>
      </c>
      <c r="K4750" s="19">
        <v>4</v>
      </c>
      <c r="L4750" s="19" t="s">
        <v>33</v>
      </c>
      <c r="M4750" s="21">
        <v>4.7</v>
      </c>
      <c r="N4750">
        <f t="shared" si="74"/>
        <v>1</v>
      </c>
    </row>
    <row r="4751" spans="1:14" x14ac:dyDescent="0.35">
      <c r="A4751" s="22" t="s">
        <v>4821</v>
      </c>
      <c r="B4751" s="23" t="s">
        <v>236</v>
      </c>
      <c r="C4751" s="23">
        <v>4</v>
      </c>
      <c r="D4751" s="24">
        <v>45765</v>
      </c>
      <c r="E4751" s="23" t="s">
        <v>25</v>
      </c>
      <c r="F4751" s="23" t="s">
        <v>43</v>
      </c>
      <c r="G4751" s="23" t="s">
        <v>21</v>
      </c>
      <c r="H4751" s="23" t="s">
        <v>16</v>
      </c>
      <c r="I4751" s="23">
        <v>72</v>
      </c>
      <c r="J4751" s="23">
        <v>0</v>
      </c>
      <c r="K4751" s="23">
        <v>5</v>
      </c>
      <c r="L4751" s="23" t="s">
        <v>17</v>
      </c>
      <c r="M4751" s="25">
        <v>15.7</v>
      </c>
      <c r="N4751">
        <f t="shared" si="74"/>
        <v>1</v>
      </c>
    </row>
    <row r="4752" spans="1:14" x14ac:dyDescent="0.35">
      <c r="A4752" s="6" t="s">
        <v>4822</v>
      </c>
      <c r="B4752" s="19" t="s">
        <v>49</v>
      </c>
      <c r="C4752" s="19">
        <v>12</v>
      </c>
      <c r="D4752" s="20">
        <v>46018</v>
      </c>
      <c r="E4752" s="19" t="s">
        <v>8364</v>
      </c>
      <c r="F4752" s="19" t="s">
        <v>26</v>
      </c>
      <c r="G4752" s="19" t="s">
        <v>27</v>
      </c>
      <c r="H4752" s="19" t="s">
        <v>22</v>
      </c>
      <c r="I4752" s="19">
        <v>48</v>
      </c>
      <c r="J4752" s="19">
        <v>0</v>
      </c>
      <c r="K4752" s="19">
        <v>5</v>
      </c>
      <c r="L4752" s="19" t="s">
        <v>44</v>
      </c>
      <c r="M4752" s="21">
        <v>12.4</v>
      </c>
      <c r="N4752">
        <f t="shared" si="74"/>
        <v>1</v>
      </c>
    </row>
    <row r="4753" spans="1:14" x14ac:dyDescent="0.35">
      <c r="A4753" s="22" t="s">
        <v>4823</v>
      </c>
      <c r="B4753" s="23" t="s">
        <v>69</v>
      </c>
      <c r="C4753" s="23">
        <v>8</v>
      </c>
      <c r="D4753" s="24">
        <v>45899</v>
      </c>
      <c r="E4753" s="23" t="s">
        <v>68</v>
      </c>
      <c r="F4753" s="23" t="s">
        <v>40</v>
      </c>
      <c r="G4753" s="23" t="s">
        <v>15</v>
      </c>
      <c r="H4753" s="23" t="s">
        <v>22</v>
      </c>
      <c r="I4753" s="23">
        <v>8</v>
      </c>
      <c r="J4753" s="23">
        <v>1</v>
      </c>
      <c r="K4753" s="23"/>
      <c r="L4753" s="23" t="s">
        <v>17</v>
      </c>
      <c r="M4753" s="25">
        <v>15.3</v>
      </c>
      <c r="N4753">
        <f t="shared" si="74"/>
        <v>0</v>
      </c>
    </row>
    <row r="4754" spans="1:14" x14ac:dyDescent="0.35">
      <c r="A4754" s="6" t="s">
        <v>4824</v>
      </c>
      <c r="B4754" s="19" t="s">
        <v>49</v>
      </c>
      <c r="C4754" s="19">
        <v>8</v>
      </c>
      <c r="D4754" s="20">
        <v>45899</v>
      </c>
      <c r="E4754" s="19" t="s">
        <v>20</v>
      </c>
      <c r="F4754" s="19" t="s">
        <v>14</v>
      </c>
      <c r="G4754" s="19" t="s">
        <v>21</v>
      </c>
      <c r="H4754" s="19" t="s">
        <v>22</v>
      </c>
      <c r="I4754" s="19">
        <v>8</v>
      </c>
      <c r="J4754" s="19">
        <v>0</v>
      </c>
      <c r="K4754" s="19">
        <v>3</v>
      </c>
      <c r="L4754" s="19" t="s">
        <v>38</v>
      </c>
      <c r="M4754" s="21">
        <v>7.6</v>
      </c>
      <c r="N4754">
        <f t="shared" si="74"/>
        <v>1</v>
      </c>
    </row>
    <row r="4755" spans="1:14" x14ac:dyDescent="0.35">
      <c r="A4755" s="22" t="s">
        <v>4825</v>
      </c>
      <c r="B4755" s="23" t="s">
        <v>97</v>
      </c>
      <c r="C4755" s="23">
        <v>6</v>
      </c>
      <c r="D4755" s="24">
        <v>45823</v>
      </c>
      <c r="E4755" s="23" t="s">
        <v>20</v>
      </c>
      <c r="F4755" s="23" t="s">
        <v>37</v>
      </c>
      <c r="G4755" s="23" t="s">
        <v>31</v>
      </c>
      <c r="H4755" s="23" t="s">
        <v>32</v>
      </c>
      <c r="I4755" s="23">
        <v>48</v>
      </c>
      <c r="J4755" s="23">
        <v>0</v>
      </c>
      <c r="K4755" s="23">
        <v>5</v>
      </c>
      <c r="L4755" s="23" t="s">
        <v>33</v>
      </c>
      <c r="M4755" s="25"/>
      <c r="N4755">
        <f t="shared" si="74"/>
        <v>1</v>
      </c>
    </row>
    <row r="4756" spans="1:14" x14ac:dyDescent="0.35">
      <c r="A4756" s="6" t="s">
        <v>4826</v>
      </c>
      <c r="B4756" s="19" t="s">
        <v>53</v>
      </c>
      <c r="C4756" s="19">
        <v>8</v>
      </c>
      <c r="D4756" s="20">
        <v>45872</v>
      </c>
      <c r="E4756" s="19" t="s">
        <v>20</v>
      </c>
      <c r="F4756" s="19" t="s">
        <v>8364</v>
      </c>
      <c r="G4756" s="19" t="s">
        <v>27</v>
      </c>
      <c r="H4756" s="19" t="s">
        <v>22</v>
      </c>
      <c r="I4756" s="19">
        <v>72</v>
      </c>
      <c r="J4756" s="19">
        <v>0</v>
      </c>
      <c r="K4756" s="19">
        <v>4</v>
      </c>
      <c r="L4756" s="19" t="s">
        <v>62</v>
      </c>
      <c r="M4756" s="21">
        <v>11.3</v>
      </c>
      <c r="N4756">
        <f t="shared" si="74"/>
        <v>1</v>
      </c>
    </row>
    <row r="4757" spans="1:14" x14ac:dyDescent="0.35">
      <c r="A4757" s="22" t="s">
        <v>4827</v>
      </c>
      <c r="B4757" s="23" t="s">
        <v>126</v>
      </c>
      <c r="C4757" s="23">
        <v>8</v>
      </c>
      <c r="D4757" s="24">
        <v>45892</v>
      </c>
      <c r="E4757" s="23" t="s">
        <v>68</v>
      </c>
      <c r="F4757" s="23" t="s">
        <v>14</v>
      </c>
      <c r="G4757" s="23" t="s">
        <v>27</v>
      </c>
      <c r="H4757" s="23" t="s">
        <v>16</v>
      </c>
      <c r="I4757" s="23">
        <v>72</v>
      </c>
      <c r="J4757" s="23">
        <v>0</v>
      </c>
      <c r="K4757" s="23">
        <v>2</v>
      </c>
      <c r="L4757" s="23" t="s">
        <v>55</v>
      </c>
      <c r="M4757" s="25">
        <v>7.4</v>
      </c>
      <c r="N4757">
        <f t="shared" si="74"/>
        <v>1</v>
      </c>
    </row>
    <row r="4758" spans="1:14" x14ac:dyDescent="0.35">
      <c r="A4758" s="6" t="s">
        <v>4828</v>
      </c>
      <c r="B4758" s="19" t="s">
        <v>41</v>
      </c>
      <c r="C4758" s="19">
        <v>7</v>
      </c>
      <c r="D4758" s="20">
        <v>45839</v>
      </c>
      <c r="E4758" s="19" t="s">
        <v>8364</v>
      </c>
      <c r="F4758" s="19" t="s">
        <v>14</v>
      </c>
      <c r="G4758" s="19" t="s">
        <v>31</v>
      </c>
      <c r="H4758" s="19" t="s">
        <v>22</v>
      </c>
      <c r="I4758" s="19">
        <v>4</v>
      </c>
      <c r="J4758" s="19">
        <v>0</v>
      </c>
      <c r="K4758" s="19">
        <v>2</v>
      </c>
      <c r="L4758" s="19" t="s">
        <v>55</v>
      </c>
      <c r="M4758" s="21">
        <v>21.6</v>
      </c>
      <c r="N4758">
        <f t="shared" si="74"/>
        <v>0</v>
      </c>
    </row>
    <row r="4759" spans="1:14" x14ac:dyDescent="0.35">
      <c r="A4759" s="22" t="s">
        <v>4829</v>
      </c>
      <c r="B4759" s="23" t="s">
        <v>97</v>
      </c>
      <c r="C4759" s="23"/>
      <c r="D4759" s="24"/>
      <c r="E4759" s="23" t="s">
        <v>20</v>
      </c>
      <c r="F4759" s="23" t="s">
        <v>37</v>
      </c>
      <c r="G4759" s="23" t="s">
        <v>15</v>
      </c>
      <c r="H4759" s="23" t="s">
        <v>22</v>
      </c>
      <c r="I4759" s="23">
        <v>8</v>
      </c>
      <c r="J4759" s="23">
        <v>0</v>
      </c>
      <c r="K4759" s="23">
        <v>5</v>
      </c>
      <c r="L4759" s="23" t="s">
        <v>38</v>
      </c>
      <c r="M4759" s="25">
        <v>7.5</v>
      </c>
      <c r="N4759">
        <f t="shared" si="74"/>
        <v>1</v>
      </c>
    </row>
    <row r="4760" spans="1:14" x14ac:dyDescent="0.35">
      <c r="A4760" s="6" t="s">
        <v>4830</v>
      </c>
      <c r="B4760" s="19" t="s">
        <v>87</v>
      </c>
      <c r="C4760" s="19">
        <v>12</v>
      </c>
      <c r="D4760" s="20">
        <v>45993</v>
      </c>
      <c r="E4760" s="19" t="s">
        <v>8364</v>
      </c>
      <c r="F4760" s="19" t="s">
        <v>43</v>
      </c>
      <c r="G4760" s="19" t="s">
        <v>21</v>
      </c>
      <c r="H4760" s="19" t="s">
        <v>16</v>
      </c>
      <c r="I4760" s="19">
        <v>8</v>
      </c>
      <c r="J4760" s="19">
        <v>1</v>
      </c>
      <c r="K4760" s="19">
        <v>5</v>
      </c>
      <c r="L4760" s="19" t="s">
        <v>75</v>
      </c>
      <c r="M4760" s="21">
        <v>9</v>
      </c>
      <c r="N4760">
        <f t="shared" si="74"/>
        <v>0</v>
      </c>
    </row>
    <row r="4761" spans="1:14" x14ac:dyDescent="0.35">
      <c r="A4761" s="22" t="s">
        <v>4831</v>
      </c>
      <c r="B4761" s="23" t="s">
        <v>65</v>
      </c>
      <c r="C4761" s="23">
        <v>12</v>
      </c>
      <c r="D4761" s="24">
        <v>46012</v>
      </c>
      <c r="E4761" s="23" t="s">
        <v>25</v>
      </c>
      <c r="F4761" s="23" t="s">
        <v>14</v>
      </c>
      <c r="G4761" s="23" t="s">
        <v>21</v>
      </c>
      <c r="H4761" s="23" t="s">
        <v>22</v>
      </c>
      <c r="I4761" s="23">
        <v>72</v>
      </c>
      <c r="J4761" s="23">
        <v>0</v>
      </c>
      <c r="K4761" s="23">
        <v>5</v>
      </c>
      <c r="L4761" s="23" t="s">
        <v>44</v>
      </c>
      <c r="M4761" s="25">
        <v>12.8</v>
      </c>
      <c r="N4761">
        <f t="shared" si="74"/>
        <v>1</v>
      </c>
    </row>
    <row r="4762" spans="1:14" x14ac:dyDescent="0.35">
      <c r="A4762" s="6" t="s">
        <v>4832</v>
      </c>
      <c r="B4762" s="19" t="s">
        <v>72</v>
      </c>
      <c r="C4762" s="19">
        <v>10</v>
      </c>
      <c r="D4762" s="20">
        <v>45939</v>
      </c>
      <c r="E4762" s="19" t="s">
        <v>68</v>
      </c>
      <c r="F4762" s="19" t="s">
        <v>14</v>
      </c>
      <c r="G4762" s="19" t="s">
        <v>27</v>
      </c>
      <c r="H4762" s="19" t="s">
        <v>8364</v>
      </c>
      <c r="I4762" s="19">
        <v>48</v>
      </c>
      <c r="J4762" s="19">
        <v>1</v>
      </c>
      <c r="K4762" s="19">
        <v>4</v>
      </c>
      <c r="L4762" s="19" t="s">
        <v>17</v>
      </c>
      <c r="M4762" s="21">
        <v>4.9000000000000004</v>
      </c>
      <c r="N4762">
        <f t="shared" si="74"/>
        <v>1</v>
      </c>
    </row>
    <row r="4763" spans="1:14" x14ac:dyDescent="0.35">
      <c r="A4763" s="22" t="s">
        <v>4833</v>
      </c>
      <c r="B4763" s="23" t="s">
        <v>139</v>
      </c>
      <c r="C4763" s="23">
        <v>3</v>
      </c>
      <c r="D4763" s="24">
        <v>45726</v>
      </c>
      <c r="E4763" s="23" t="s">
        <v>8364</v>
      </c>
      <c r="F4763" s="23" t="s">
        <v>37</v>
      </c>
      <c r="G4763" s="23" t="s">
        <v>31</v>
      </c>
      <c r="H4763" s="23" t="s">
        <v>32</v>
      </c>
      <c r="I4763" s="23">
        <v>72</v>
      </c>
      <c r="J4763" s="23">
        <v>0</v>
      </c>
      <c r="K4763" s="23">
        <v>3</v>
      </c>
      <c r="L4763" s="23" t="s">
        <v>8363</v>
      </c>
      <c r="M4763" s="25">
        <v>9.4</v>
      </c>
      <c r="N4763">
        <f t="shared" si="74"/>
        <v>1</v>
      </c>
    </row>
    <row r="4764" spans="1:14" x14ac:dyDescent="0.35">
      <c r="A4764" s="6" t="s">
        <v>4834</v>
      </c>
      <c r="B4764" s="19" t="s">
        <v>57</v>
      </c>
      <c r="C4764" s="19">
        <v>4</v>
      </c>
      <c r="D4764" s="20">
        <v>45776</v>
      </c>
      <c r="E4764" s="19" t="s">
        <v>25</v>
      </c>
      <c r="F4764" s="19" t="s">
        <v>14</v>
      </c>
      <c r="G4764" s="19" t="s">
        <v>27</v>
      </c>
      <c r="H4764" s="19" t="s">
        <v>22</v>
      </c>
      <c r="I4764" s="19">
        <v>24</v>
      </c>
      <c r="J4764" s="19">
        <v>0</v>
      </c>
      <c r="K4764" s="19">
        <v>5</v>
      </c>
      <c r="L4764" s="19" t="s">
        <v>75</v>
      </c>
      <c r="M4764" s="21">
        <v>9.3000000000000007</v>
      </c>
      <c r="N4764">
        <f t="shared" si="74"/>
        <v>1</v>
      </c>
    </row>
    <row r="4765" spans="1:14" x14ac:dyDescent="0.35">
      <c r="A4765" s="22" t="s">
        <v>4835</v>
      </c>
      <c r="B4765" s="23" t="s">
        <v>47</v>
      </c>
      <c r="C4765" s="23">
        <v>3</v>
      </c>
      <c r="D4765" s="24">
        <v>45717</v>
      </c>
      <c r="E4765" s="23" t="s">
        <v>36</v>
      </c>
      <c r="F4765" s="23" t="s">
        <v>43</v>
      </c>
      <c r="G4765" s="23" t="s">
        <v>21</v>
      </c>
      <c r="H4765" s="23" t="s">
        <v>28</v>
      </c>
      <c r="I4765" s="23">
        <v>24</v>
      </c>
      <c r="J4765" s="23">
        <v>0</v>
      </c>
      <c r="K4765" s="23">
        <v>4</v>
      </c>
      <c r="L4765" s="23" t="s">
        <v>55</v>
      </c>
      <c r="M4765" s="25">
        <v>18.8</v>
      </c>
      <c r="N4765">
        <f t="shared" si="74"/>
        <v>1</v>
      </c>
    </row>
    <row r="4766" spans="1:14" x14ac:dyDescent="0.35">
      <c r="A4766" s="6" t="s">
        <v>4836</v>
      </c>
      <c r="B4766" s="19" t="s">
        <v>92</v>
      </c>
      <c r="C4766" s="19">
        <v>8</v>
      </c>
      <c r="D4766" s="20">
        <v>45873</v>
      </c>
      <c r="E4766" s="19" t="s">
        <v>20</v>
      </c>
      <c r="F4766" s="19" t="s">
        <v>14</v>
      </c>
      <c r="G4766" s="19" t="s">
        <v>31</v>
      </c>
      <c r="H4766" s="19" t="s">
        <v>28</v>
      </c>
      <c r="I4766" s="19">
        <v>48</v>
      </c>
      <c r="J4766" s="19">
        <v>2</v>
      </c>
      <c r="K4766" s="19">
        <v>4</v>
      </c>
      <c r="L4766" s="19" t="s">
        <v>8363</v>
      </c>
      <c r="M4766" s="21">
        <v>9</v>
      </c>
      <c r="N4766">
        <f t="shared" si="74"/>
        <v>1</v>
      </c>
    </row>
    <row r="4767" spans="1:14" x14ac:dyDescent="0.35">
      <c r="A4767" s="22" t="s">
        <v>4837</v>
      </c>
      <c r="B4767" s="23" t="s">
        <v>108</v>
      </c>
      <c r="C4767" s="23">
        <v>2</v>
      </c>
      <c r="D4767" s="24">
        <v>45693</v>
      </c>
      <c r="E4767" s="23" t="s">
        <v>20</v>
      </c>
      <c r="F4767" s="23" t="s">
        <v>8364</v>
      </c>
      <c r="G4767" s="23" t="s">
        <v>31</v>
      </c>
      <c r="H4767" s="23" t="s">
        <v>32</v>
      </c>
      <c r="I4767" s="23">
        <v>24</v>
      </c>
      <c r="J4767" s="23">
        <v>1</v>
      </c>
      <c r="K4767" s="23">
        <v>3</v>
      </c>
      <c r="L4767" s="23" t="s">
        <v>8363</v>
      </c>
      <c r="M4767" s="25">
        <v>7.8</v>
      </c>
      <c r="N4767">
        <f t="shared" si="74"/>
        <v>1</v>
      </c>
    </row>
    <row r="4768" spans="1:14" x14ac:dyDescent="0.35">
      <c r="A4768" s="6" t="s">
        <v>4838</v>
      </c>
      <c r="B4768" s="19" t="s">
        <v>29</v>
      </c>
      <c r="C4768" s="19"/>
      <c r="D4768" s="20"/>
      <c r="E4768" s="19" t="s">
        <v>25</v>
      </c>
      <c r="F4768" s="19" t="s">
        <v>14</v>
      </c>
      <c r="G4768" s="19" t="s">
        <v>31</v>
      </c>
      <c r="H4768" s="19" t="s">
        <v>32</v>
      </c>
      <c r="I4768" s="19">
        <v>24</v>
      </c>
      <c r="J4768" s="19">
        <v>0</v>
      </c>
      <c r="K4768" s="19">
        <v>5</v>
      </c>
      <c r="L4768" s="19" t="s">
        <v>8363</v>
      </c>
      <c r="M4768" s="21">
        <v>2</v>
      </c>
      <c r="N4768">
        <f t="shared" si="74"/>
        <v>1</v>
      </c>
    </row>
    <row r="4769" spans="1:14" x14ac:dyDescent="0.35">
      <c r="A4769" s="22" t="s">
        <v>4839</v>
      </c>
      <c r="B4769" s="23" t="s">
        <v>29</v>
      </c>
      <c r="C4769" s="23">
        <v>7</v>
      </c>
      <c r="D4769" s="24">
        <v>45846</v>
      </c>
      <c r="E4769" s="23" t="s">
        <v>25</v>
      </c>
      <c r="F4769" s="23" t="s">
        <v>59</v>
      </c>
      <c r="G4769" s="23" t="s">
        <v>27</v>
      </c>
      <c r="H4769" s="23" t="s">
        <v>8364</v>
      </c>
      <c r="I4769" s="23">
        <v>8</v>
      </c>
      <c r="J4769" s="23">
        <v>2</v>
      </c>
      <c r="K4769" s="23">
        <v>4</v>
      </c>
      <c r="L4769" s="23" t="s">
        <v>8363</v>
      </c>
      <c r="M4769" s="25">
        <v>10.6</v>
      </c>
      <c r="N4769">
        <f t="shared" si="74"/>
        <v>0</v>
      </c>
    </row>
    <row r="4770" spans="1:14" x14ac:dyDescent="0.35">
      <c r="A4770" s="6" t="s">
        <v>4840</v>
      </c>
      <c r="B4770" s="19" t="s">
        <v>41</v>
      </c>
      <c r="C4770" s="19">
        <v>11</v>
      </c>
      <c r="D4770" s="20">
        <v>45980</v>
      </c>
      <c r="E4770" s="19" t="s">
        <v>68</v>
      </c>
      <c r="F4770" s="19" t="s">
        <v>37</v>
      </c>
      <c r="G4770" s="19" t="s">
        <v>31</v>
      </c>
      <c r="H4770" s="19" t="s">
        <v>28</v>
      </c>
      <c r="I4770" s="19">
        <v>4</v>
      </c>
      <c r="J4770" s="19">
        <v>0</v>
      </c>
      <c r="K4770" s="19">
        <v>1</v>
      </c>
      <c r="L4770" s="19" t="s">
        <v>17</v>
      </c>
      <c r="M4770" s="21">
        <v>12.9</v>
      </c>
      <c r="N4770">
        <f t="shared" si="74"/>
        <v>0</v>
      </c>
    </row>
    <row r="4771" spans="1:14" x14ac:dyDescent="0.35">
      <c r="A4771" s="22" t="s">
        <v>4841</v>
      </c>
      <c r="B4771" s="23" t="s">
        <v>104</v>
      </c>
      <c r="C4771" s="23">
        <v>10</v>
      </c>
      <c r="D4771" s="24">
        <v>45949</v>
      </c>
      <c r="E4771" s="23" t="s">
        <v>25</v>
      </c>
      <c r="F4771" s="23" t="s">
        <v>37</v>
      </c>
      <c r="G4771" s="23" t="s">
        <v>31</v>
      </c>
      <c r="H4771" s="23" t="s">
        <v>28</v>
      </c>
      <c r="I4771" s="23">
        <v>24</v>
      </c>
      <c r="J4771" s="23">
        <v>0</v>
      </c>
      <c r="K4771" s="23">
        <v>3</v>
      </c>
      <c r="L4771" s="23" t="s">
        <v>55</v>
      </c>
      <c r="M4771" s="25">
        <v>12</v>
      </c>
      <c r="N4771">
        <f t="shared" si="74"/>
        <v>1</v>
      </c>
    </row>
    <row r="4772" spans="1:14" x14ac:dyDescent="0.35">
      <c r="A4772" s="6" t="s">
        <v>4842</v>
      </c>
      <c r="B4772" s="19" t="s">
        <v>51</v>
      </c>
      <c r="C4772" s="19">
        <v>10</v>
      </c>
      <c r="D4772" s="20">
        <v>45932</v>
      </c>
      <c r="E4772" s="19" t="s">
        <v>68</v>
      </c>
      <c r="F4772" s="19" t="s">
        <v>8364</v>
      </c>
      <c r="G4772" s="19" t="s">
        <v>27</v>
      </c>
      <c r="H4772" s="19" t="s">
        <v>22</v>
      </c>
      <c r="I4772" s="19">
        <v>8</v>
      </c>
      <c r="J4772" s="19">
        <v>0</v>
      </c>
      <c r="K4772" s="19">
        <v>3</v>
      </c>
      <c r="L4772" s="19" t="s">
        <v>55</v>
      </c>
      <c r="M4772" s="21">
        <v>20.399999999999999</v>
      </c>
      <c r="N4772">
        <f t="shared" si="74"/>
        <v>0</v>
      </c>
    </row>
    <row r="4773" spans="1:14" x14ac:dyDescent="0.35">
      <c r="A4773" s="22" t="s">
        <v>4843</v>
      </c>
      <c r="B4773" s="23" t="s">
        <v>47</v>
      </c>
      <c r="C4773" s="23">
        <v>3</v>
      </c>
      <c r="D4773" s="24">
        <v>45718</v>
      </c>
      <c r="E4773" s="23" t="s">
        <v>13</v>
      </c>
      <c r="F4773" s="23" t="s">
        <v>14</v>
      </c>
      <c r="G4773" s="23" t="s">
        <v>8364</v>
      </c>
      <c r="H4773" s="23" t="s">
        <v>22</v>
      </c>
      <c r="I4773" s="23">
        <v>48</v>
      </c>
      <c r="J4773" s="23">
        <v>0</v>
      </c>
      <c r="K4773" s="23">
        <v>2</v>
      </c>
      <c r="L4773" s="23" t="s">
        <v>17</v>
      </c>
      <c r="M4773" s="25">
        <v>6</v>
      </c>
      <c r="N4773">
        <f t="shared" si="74"/>
        <v>1</v>
      </c>
    </row>
    <row r="4774" spans="1:14" x14ac:dyDescent="0.35">
      <c r="A4774" s="6" t="s">
        <v>4844</v>
      </c>
      <c r="B4774" s="19" t="s">
        <v>130</v>
      </c>
      <c r="C4774" s="19">
        <v>12</v>
      </c>
      <c r="D4774" s="20">
        <v>46012</v>
      </c>
      <c r="E4774" s="19" t="s">
        <v>25</v>
      </c>
      <c r="F4774" s="19" t="s">
        <v>26</v>
      </c>
      <c r="G4774" s="19" t="s">
        <v>15</v>
      </c>
      <c r="H4774" s="19" t="s">
        <v>22</v>
      </c>
      <c r="I4774" s="19">
        <v>24</v>
      </c>
      <c r="J4774" s="19">
        <v>1</v>
      </c>
      <c r="K4774" s="19">
        <v>5</v>
      </c>
      <c r="L4774" s="19" t="s">
        <v>8363</v>
      </c>
      <c r="M4774" s="21">
        <v>17.7</v>
      </c>
      <c r="N4774">
        <f t="shared" si="74"/>
        <v>1</v>
      </c>
    </row>
    <row r="4775" spans="1:14" x14ac:dyDescent="0.35">
      <c r="A4775" s="22" t="s">
        <v>4845</v>
      </c>
      <c r="B4775" s="23" t="s">
        <v>85</v>
      </c>
      <c r="C4775" s="23"/>
      <c r="D4775" s="24"/>
      <c r="E4775" s="23" t="s">
        <v>13</v>
      </c>
      <c r="F4775" s="23" t="s">
        <v>14</v>
      </c>
      <c r="G4775" s="23" t="s">
        <v>15</v>
      </c>
      <c r="H4775" s="23" t="s">
        <v>8364</v>
      </c>
      <c r="I4775" s="23">
        <v>8</v>
      </c>
      <c r="J4775" s="23">
        <v>0</v>
      </c>
      <c r="K4775" s="23">
        <v>3</v>
      </c>
      <c r="L4775" s="23" t="s">
        <v>17</v>
      </c>
      <c r="M4775" s="25">
        <v>13</v>
      </c>
      <c r="N4775">
        <f t="shared" si="74"/>
        <v>0</v>
      </c>
    </row>
    <row r="4776" spans="1:14" x14ac:dyDescent="0.35">
      <c r="A4776" s="6" t="s">
        <v>4846</v>
      </c>
      <c r="B4776" s="19" t="s">
        <v>39</v>
      </c>
      <c r="C4776" s="19">
        <v>7</v>
      </c>
      <c r="D4776" s="20">
        <v>45869</v>
      </c>
      <c r="E4776" s="19" t="s">
        <v>36</v>
      </c>
      <c r="F4776" s="19" t="s">
        <v>14</v>
      </c>
      <c r="G4776" s="19" t="s">
        <v>31</v>
      </c>
      <c r="H4776" s="19" t="s">
        <v>22</v>
      </c>
      <c r="I4776" s="19">
        <v>48</v>
      </c>
      <c r="J4776" s="19">
        <v>0</v>
      </c>
      <c r="K4776" s="19">
        <v>5</v>
      </c>
      <c r="L4776" s="19" t="s">
        <v>75</v>
      </c>
      <c r="M4776" s="21">
        <v>9.1999999999999993</v>
      </c>
      <c r="N4776">
        <f t="shared" si="74"/>
        <v>1</v>
      </c>
    </row>
    <row r="4777" spans="1:14" x14ac:dyDescent="0.35">
      <c r="A4777" s="22" t="s">
        <v>4847</v>
      </c>
      <c r="B4777" s="23" t="s">
        <v>130</v>
      </c>
      <c r="C4777" s="23">
        <v>5</v>
      </c>
      <c r="D4777" s="24">
        <v>45802</v>
      </c>
      <c r="E4777" s="23" t="s">
        <v>25</v>
      </c>
      <c r="F4777" s="23" t="s">
        <v>14</v>
      </c>
      <c r="G4777" s="23" t="s">
        <v>8364</v>
      </c>
      <c r="H4777" s="23" t="s">
        <v>8364</v>
      </c>
      <c r="I4777" s="23">
        <v>72</v>
      </c>
      <c r="J4777" s="23">
        <v>0</v>
      </c>
      <c r="K4777" s="23">
        <v>4</v>
      </c>
      <c r="L4777" s="23" t="s">
        <v>33</v>
      </c>
      <c r="M4777" s="25">
        <v>10.3</v>
      </c>
      <c r="N4777">
        <f t="shared" si="74"/>
        <v>1</v>
      </c>
    </row>
    <row r="4778" spans="1:14" x14ac:dyDescent="0.35">
      <c r="A4778" s="6" t="s">
        <v>4848</v>
      </c>
      <c r="B4778" s="19" t="s">
        <v>47</v>
      </c>
      <c r="C4778" s="19">
        <v>9</v>
      </c>
      <c r="D4778" s="20">
        <v>45907</v>
      </c>
      <c r="E4778" s="19" t="s">
        <v>8364</v>
      </c>
      <c r="F4778" s="19" t="s">
        <v>14</v>
      </c>
      <c r="G4778" s="19" t="s">
        <v>27</v>
      </c>
      <c r="H4778" s="19" t="s">
        <v>22</v>
      </c>
      <c r="I4778" s="19">
        <v>72</v>
      </c>
      <c r="J4778" s="19">
        <v>3</v>
      </c>
      <c r="K4778" s="19">
        <v>1</v>
      </c>
      <c r="L4778" s="19" t="s">
        <v>44</v>
      </c>
      <c r="M4778" s="21">
        <v>8.9</v>
      </c>
      <c r="N4778">
        <f t="shared" si="74"/>
        <v>1</v>
      </c>
    </row>
    <row r="4779" spans="1:14" x14ac:dyDescent="0.35">
      <c r="A4779" s="22" t="s">
        <v>4849</v>
      </c>
      <c r="B4779" s="23" t="s">
        <v>49</v>
      </c>
      <c r="C4779" s="23">
        <v>11</v>
      </c>
      <c r="D4779" s="24">
        <v>45967</v>
      </c>
      <c r="E4779" s="23" t="s">
        <v>25</v>
      </c>
      <c r="F4779" s="23" t="s">
        <v>14</v>
      </c>
      <c r="G4779" s="23" t="s">
        <v>31</v>
      </c>
      <c r="H4779" s="23" t="s">
        <v>32</v>
      </c>
      <c r="I4779" s="23">
        <v>72</v>
      </c>
      <c r="J4779" s="23">
        <v>0</v>
      </c>
      <c r="K4779" s="23"/>
      <c r="L4779" s="23" t="s">
        <v>55</v>
      </c>
      <c r="M4779" s="25">
        <v>1.2</v>
      </c>
      <c r="N4779">
        <f t="shared" si="74"/>
        <v>1</v>
      </c>
    </row>
    <row r="4780" spans="1:14" x14ac:dyDescent="0.35">
      <c r="A4780" s="6" t="s">
        <v>4850</v>
      </c>
      <c r="B4780" s="19" t="s">
        <v>69</v>
      </c>
      <c r="C4780" s="19">
        <v>11</v>
      </c>
      <c r="D4780" s="20">
        <v>45972</v>
      </c>
      <c r="E4780" s="19" t="s">
        <v>13</v>
      </c>
      <c r="F4780" s="19" t="s">
        <v>59</v>
      </c>
      <c r="G4780" s="19" t="s">
        <v>27</v>
      </c>
      <c r="H4780" s="19" t="s">
        <v>16</v>
      </c>
      <c r="I4780" s="19">
        <v>8</v>
      </c>
      <c r="J4780" s="19">
        <v>1</v>
      </c>
      <c r="K4780" s="19">
        <v>5</v>
      </c>
      <c r="L4780" s="19" t="s">
        <v>8363</v>
      </c>
      <c r="M4780" s="21">
        <v>11.4</v>
      </c>
      <c r="N4780">
        <f t="shared" si="74"/>
        <v>0</v>
      </c>
    </row>
    <row r="4781" spans="1:14" x14ac:dyDescent="0.35">
      <c r="A4781" s="22" t="s">
        <v>4851</v>
      </c>
      <c r="B4781" s="23" t="s">
        <v>72</v>
      </c>
      <c r="C4781" s="23">
        <v>4</v>
      </c>
      <c r="D4781" s="24">
        <v>45748</v>
      </c>
      <c r="E4781" s="23" t="s">
        <v>20</v>
      </c>
      <c r="F4781" s="23" t="s">
        <v>43</v>
      </c>
      <c r="G4781" s="23" t="s">
        <v>15</v>
      </c>
      <c r="H4781" s="23" t="s">
        <v>32</v>
      </c>
      <c r="I4781" s="23">
        <v>72</v>
      </c>
      <c r="J4781" s="23">
        <v>3</v>
      </c>
      <c r="K4781" s="23">
        <v>5</v>
      </c>
      <c r="L4781" s="23" t="s">
        <v>44</v>
      </c>
      <c r="M4781" s="25">
        <v>27.6</v>
      </c>
      <c r="N4781">
        <f t="shared" si="74"/>
        <v>1</v>
      </c>
    </row>
    <row r="4782" spans="1:14" x14ac:dyDescent="0.35">
      <c r="A4782" s="6" t="s">
        <v>4852</v>
      </c>
      <c r="B4782" s="19" t="s">
        <v>236</v>
      </c>
      <c r="C4782" s="19">
        <v>10</v>
      </c>
      <c r="D4782" s="20">
        <v>45933</v>
      </c>
      <c r="E4782" s="19" t="s">
        <v>68</v>
      </c>
      <c r="F4782" s="19" t="s">
        <v>43</v>
      </c>
      <c r="G4782" s="19" t="s">
        <v>27</v>
      </c>
      <c r="H4782" s="19" t="s">
        <v>22</v>
      </c>
      <c r="I4782" s="19">
        <v>4</v>
      </c>
      <c r="J4782" s="19">
        <v>1</v>
      </c>
      <c r="K4782" s="19">
        <v>4</v>
      </c>
      <c r="L4782" s="19" t="s">
        <v>8363</v>
      </c>
      <c r="M4782" s="21"/>
      <c r="N4782">
        <f t="shared" si="74"/>
        <v>1</v>
      </c>
    </row>
    <row r="4783" spans="1:14" x14ac:dyDescent="0.35">
      <c r="A4783" s="22" t="s">
        <v>4853</v>
      </c>
      <c r="B4783" s="23" t="s">
        <v>108</v>
      </c>
      <c r="C4783" s="23">
        <v>1</v>
      </c>
      <c r="D4783" s="24">
        <v>45672</v>
      </c>
      <c r="E4783" s="23" t="s">
        <v>68</v>
      </c>
      <c r="F4783" s="23" t="s">
        <v>40</v>
      </c>
      <c r="G4783" s="23" t="s">
        <v>27</v>
      </c>
      <c r="H4783" s="23" t="s">
        <v>28</v>
      </c>
      <c r="I4783" s="23">
        <v>72</v>
      </c>
      <c r="J4783" s="23">
        <v>0</v>
      </c>
      <c r="K4783" s="23">
        <v>5</v>
      </c>
      <c r="L4783" s="23" t="s">
        <v>75</v>
      </c>
      <c r="M4783" s="25">
        <v>5</v>
      </c>
      <c r="N4783">
        <f t="shared" si="74"/>
        <v>1</v>
      </c>
    </row>
    <row r="4784" spans="1:14" x14ac:dyDescent="0.35">
      <c r="A4784" s="6" t="s">
        <v>4854</v>
      </c>
      <c r="B4784" s="19" t="s">
        <v>85</v>
      </c>
      <c r="C4784" s="19"/>
      <c r="D4784" s="20"/>
      <c r="E4784" s="19" t="s">
        <v>25</v>
      </c>
      <c r="F4784" s="19" t="s">
        <v>26</v>
      </c>
      <c r="G4784" s="19" t="s">
        <v>31</v>
      </c>
      <c r="H4784" s="19" t="s">
        <v>8364</v>
      </c>
      <c r="I4784" s="19">
        <v>48</v>
      </c>
      <c r="J4784" s="19">
        <v>1</v>
      </c>
      <c r="K4784" s="19"/>
      <c r="L4784" s="19" t="s">
        <v>75</v>
      </c>
      <c r="M4784" s="21">
        <v>6.7</v>
      </c>
      <c r="N4784">
        <f t="shared" si="74"/>
        <v>1</v>
      </c>
    </row>
    <row r="4785" spans="1:14" x14ac:dyDescent="0.35">
      <c r="A4785" s="22" t="s">
        <v>4855</v>
      </c>
      <c r="B4785" s="23" t="s">
        <v>57</v>
      </c>
      <c r="C4785" s="23">
        <v>7</v>
      </c>
      <c r="D4785" s="24">
        <v>45839</v>
      </c>
      <c r="E4785" s="23" t="s">
        <v>36</v>
      </c>
      <c r="F4785" s="23" t="s">
        <v>14</v>
      </c>
      <c r="G4785" s="23" t="s">
        <v>8364</v>
      </c>
      <c r="H4785" s="23" t="s">
        <v>8364</v>
      </c>
      <c r="I4785" s="23">
        <v>24</v>
      </c>
      <c r="J4785" s="23">
        <v>2</v>
      </c>
      <c r="K4785" s="23">
        <v>4</v>
      </c>
      <c r="L4785" s="23" t="s">
        <v>75</v>
      </c>
      <c r="M4785" s="25">
        <v>22.7</v>
      </c>
      <c r="N4785">
        <f t="shared" si="74"/>
        <v>1</v>
      </c>
    </row>
    <row r="4786" spans="1:14" x14ac:dyDescent="0.35">
      <c r="A4786" s="6" t="s">
        <v>4856</v>
      </c>
      <c r="B4786" s="19" t="s">
        <v>108</v>
      </c>
      <c r="C4786" s="19">
        <v>4</v>
      </c>
      <c r="D4786" s="20">
        <v>45761</v>
      </c>
      <c r="E4786" s="19" t="s">
        <v>68</v>
      </c>
      <c r="F4786" s="19" t="s">
        <v>26</v>
      </c>
      <c r="G4786" s="19" t="s">
        <v>31</v>
      </c>
      <c r="H4786" s="19" t="s">
        <v>22</v>
      </c>
      <c r="I4786" s="19">
        <v>8</v>
      </c>
      <c r="J4786" s="19">
        <v>0</v>
      </c>
      <c r="K4786" s="19">
        <v>4</v>
      </c>
      <c r="L4786" s="19" t="s">
        <v>75</v>
      </c>
      <c r="M4786" s="21">
        <v>4.9000000000000004</v>
      </c>
      <c r="N4786">
        <f t="shared" si="74"/>
        <v>1</v>
      </c>
    </row>
    <row r="4787" spans="1:14" x14ac:dyDescent="0.35">
      <c r="A4787" s="22" t="s">
        <v>4857</v>
      </c>
      <c r="B4787" s="23" t="s">
        <v>97</v>
      </c>
      <c r="C4787" s="23">
        <v>12</v>
      </c>
      <c r="D4787" s="24">
        <v>46002</v>
      </c>
      <c r="E4787" s="23" t="s">
        <v>8364</v>
      </c>
      <c r="F4787" s="23" t="s">
        <v>14</v>
      </c>
      <c r="G4787" s="23" t="s">
        <v>27</v>
      </c>
      <c r="H4787" s="23" t="s">
        <v>22</v>
      </c>
      <c r="I4787" s="23">
        <v>8</v>
      </c>
      <c r="J4787" s="23">
        <v>0</v>
      </c>
      <c r="K4787" s="23">
        <v>4</v>
      </c>
      <c r="L4787" s="23" t="s">
        <v>44</v>
      </c>
      <c r="M4787" s="25">
        <v>24.5</v>
      </c>
      <c r="N4787">
        <f t="shared" si="74"/>
        <v>0</v>
      </c>
    </row>
    <row r="4788" spans="1:14" x14ac:dyDescent="0.35">
      <c r="A4788" s="6" t="s">
        <v>4858</v>
      </c>
      <c r="B4788" s="19" t="s">
        <v>101</v>
      </c>
      <c r="C4788" s="19">
        <v>6</v>
      </c>
      <c r="D4788" s="20">
        <v>45830</v>
      </c>
      <c r="E4788" s="19" t="s">
        <v>13</v>
      </c>
      <c r="F4788" s="19" t="s">
        <v>59</v>
      </c>
      <c r="G4788" s="19" t="s">
        <v>15</v>
      </c>
      <c r="H4788" s="19" t="s">
        <v>32</v>
      </c>
      <c r="I4788" s="19">
        <v>4</v>
      </c>
      <c r="J4788" s="19">
        <v>0</v>
      </c>
      <c r="K4788" s="19">
        <v>4</v>
      </c>
      <c r="L4788" s="19" t="s">
        <v>8363</v>
      </c>
      <c r="M4788" s="21">
        <v>13.9</v>
      </c>
      <c r="N4788">
        <f t="shared" si="74"/>
        <v>0</v>
      </c>
    </row>
    <row r="4789" spans="1:14" x14ac:dyDescent="0.35">
      <c r="A4789" s="22" t="s">
        <v>4859</v>
      </c>
      <c r="B4789" s="23" t="s">
        <v>99</v>
      </c>
      <c r="C4789" s="23">
        <v>6</v>
      </c>
      <c r="D4789" s="24">
        <v>45815</v>
      </c>
      <c r="E4789" s="23" t="s">
        <v>13</v>
      </c>
      <c r="F4789" s="23" t="s">
        <v>14</v>
      </c>
      <c r="G4789" s="23" t="s">
        <v>31</v>
      </c>
      <c r="H4789" s="23" t="s">
        <v>22</v>
      </c>
      <c r="I4789" s="23">
        <v>24</v>
      </c>
      <c r="J4789" s="23">
        <v>0</v>
      </c>
      <c r="K4789" s="23">
        <v>3</v>
      </c>
      <c r="L4789" s="23" t="s">
        <v>44</v>
      </c>
      <c r="M4789" s="25">
        <v>4</v>
      </c>
      <c r="N4789">
        <f t="shared" si="74"/>
        <v>1</v>
      </c>
    </row>
    <row r="4790" spans="1:14" x14ac:dyDescent="0.35">
      <c r="A4790" s="6" t="s">
        <v>4860</v>
      </c>
      <c r="B4790" s="19" t="s">
        <v>47</v>
      </c>
      <c r="C4790" s="19">
        <v>5</v>
      </c>
      <c r="D4790" s="20">
        <v>45799</v>
      </c>
      <c r="E4790" s="19" t="s">
        <v>13</v>
      </c>
      <c r="F4790" s="19" t="s">
        <v>43</v>
      </c>
      <c r="G4790" s="19" t="s">
        <v>27</v>
      </c>
      <c r="H4790" s="19" t="s">
        <v>28</v>
      </c>
      <c r="I4790" s="19">
        <v>8</v>
      </c>
      <c r="J4790" s="19">
        <v>0</v>
      </c>
      <c r="K4790" s="19">
        <v>5</v>
      </c>
      <c r="L4790" s="19" t="s">
        <v>38</v>
      </c>
      <c r="M4790" s="21">
        <v>24.8</v>
      </c>
      <c r="N4790">
        <f t="shared" si="74"/>
        <v>0</v>
      </c>
    </row>
    <row r="4791" spans="1:14" x14ac:dyDescent="0.35">
      <c r="A4791" s="22" t="s">
        <v>4861</v>
      </c>
      <c r="B4791" s="23" t="s">
        <v>65</v>
      </c>
      <c r="C4791" s="23">
        <v>4</v>
      </c>
      <c r="D4791" s="24">
        <v>45749</v>
      </c>
      <c r="E4791" s="23" t="s">
        <v>25</v>
      </c>
      <c r="F4791" s="23" t="s">
        <v>40</v>
      </c>
      <c r="G4791" s="23" t="s">
        <v>31</v>
      </c>
      <c r="H4791" s="23" t="s">
        <v>22</v>
      </c>
      <c r="I4791" s="23">
        <v>8</v>
      </c>
      <c r="J4791" s="23">
        <v>0</v>
      </c>
      <c r="K4791" s="23">
        <v>5</v>
      </c>
      <c r="L4791" s="23" t="s">
        <v>55</v>
      </c>
      <c r="M4791" s="25">
        <v>22.7</v>
      </c>
      <c r="N4791">
        <f t="shared" si="74"/>
        <v>0</v>
      </c>
    </row>
    <row r="4792" spans="1:14" x14ac:dyDescent="0.35">
      <c r="A4792" s="6" t="s">
        <v>4862</v>
      </c>
      <c r="B4792" s="19" t="s">
        <v>53</v>
      </c>
      <c r="C4792" s="19">
        <v>6</v>
      </c>
      <c r="D4792" s="20">
        <v>45834</v>
      </c>
      <c r="E4792" s="19" t="s">
        <v>68</v>
      </c>
      <c r="F4792" s="19" t="s">
        <v>8364</v>
      </c>
      <c r="G4792" s="19" t="s">
        <v>15</v>
      </c>
      <c r="H4792" s="19" t="s">
        <v>16</v>
      </c>
      <c r="I4792" s="19">
        <v>72</v>
      </c>
      <c r="J4792" s="19">
        <v>0</v>
      </c>
      <c r="K4792" s="19">
        <v>1</v>
      </c>
      <c r="L4792" s="19" t="s">
        <v>62</v>
      </c>
      <c r="M4792" s="21">
        <v>12.5</v>
      </c>
      <c r="N4792">
        <f t="shared" si="74"/>
        <v>1</v>
      </c>
    </row>
    <row r="4793" spans="1:14" x14ac:dyDescent="0.35">
      <c r="A4793" s="22" t="s">
        <v>4863</v>
      </c>
      <c r="B4793" s="23" t="s">
        <v>29</v>
      </c>
      <c r="C4793" s="23">
        <v>4</v>
      </c>
      <c r="D4793" s="24">
        <v>45749</v>
      </c>
      <c r="E4793" s="23" t="s">
        <v>25</v>
      </c>
      <c r="F4793" s="23" t="s">
        <v>8364</v>
      </c>
      <c r="G4793" s="23" t="s">
        <v>15</v>
      </c>
      <c r="H4793" s="23" t="s">
        <v>22</v>
      </c>
      <c r="I4793" s="23">
        <v>4</v>
      </c>
      <c r="J4793" s="23">
        <v>0</v>
      </c>
      <c r="K4793" s="23">
        <v>2</v>
      </c>
      <c r="L4793" s="23" t="s">
        <v>62</v>
      </c>
      <c r="M4793" s="25">
        <v>6.9</v>
      </c>
      <c r="N4793">
        <f t="shared" si="74"/>
        <v>0</v>
      </c>
    </row>
    <row r="4794" spans="1:14" x14ac:dyDescent="0.35">
      <c r="A4794" s="6" t="s">
        <v>4864</v>
      </c>
      <c r="B4794" s="19" t="s">
        <v>39</v>
      </c>
      <c r="C4794" s="19">
        <v>3</v>
      </c>
      <c r="D4794" s="20">
        <v>45735</v>
      </c>
      <c r="E4794" s="19" t="s">
        <v>13</v>
      </c>
      <c r="F4794" s="19" t="s">
        <v>14</v>
      </c>
      <c r="G4794" s="19" t="s">
        <v>15</v>
      </c>
      <c r="H4794" s="19" t="s">
        <v>32</v>
      </c>
      <c r="I4794" s="19">
        <v>8</v>
      </c>
      <c r="J4794" s="19">
        <v>1</v>
      </c>
      <c r="K4794" s="19">
        <v>4</v>
      </c>
      <c r="L4794" s="19" t="s">
        <v>17</v>
      </c>
      <c r="M4794" s="21">
        <v>4</v>
      </c>
      <c r="N4794">
        <f t="shared" si="74"/>
        <v>1</v>
      </c>
    </row>
    <row r="4795" spans="1:14" x14ac:dyDescent="0.35">
      <c r="A4795" s="22" t="s">
        <v>4865</v>
      </c>
      <c r="B4795" s="23" t="s">
        <v>47</v>
      </c>
      <c r="C4795" s="23">
        <v>4</v>
      </c>
      <c r="D4795" s="24">
        <v>45768</v>
      </c>
      <c r="E4795" s="23" t="s">
        <v>13</v>
      </c>
      <c r="F4795" s="23" t="s">
        <v>26</v>
      </c>
      <c r="G4795" s="23" t="s">
        <v>31</v>
      </c>
      <c r="H4795" s="23" t="s">
        <v>22</v>
      </c>
      <c r="I4795" s="23">
        <v>8</v>
      </c>
      <c r="J4795" s="23">
        <v>0</v>
      </c>
      <c r="K4795" s="23">
        <v>5</v>
      </c>
      <c r="L4795" s="23" t="s">
        <v>8363</v>
      </c>
      <c r="M4795" s="25"/>
      <c r="N4795">
        <f t="shared" si="74"/>
        <v>1</v>
      </c>
    </row>
    <row r="4796" spans="1:14" x14ac:dyDescent="0.35">
      <c r="A4796" s="6" t="s">
        <v>4866</v>
      </c>
      <c r="B4796" s="19" t="s">
        <v>146</v>
      </c>
      <c r="C4796" s="19">
        <v>6</v>
      </c>
      <c r="D4796" s="20">
        <v>45834</v>
      </c>
      <c r="E4796" s="19" t="s">
        <v>25</v>
      </c>
      <c r="F4796" s="19" t="s">
        <v>14</v>
      </c>
      <c r="G4796" s="19" t="s">
        <v>31</v>
      </c>
      <c r="H4796" s="19" t="s">
        <v>32</v>
      </c>
      <c r="I4796" s="19">
        <v>24</v>
      </c>
      <c r="J4796" s="19">
        <v>0</v>
      </c>
      <c r="K4796" s="19">
        <v>2</v>
      </c>
      <c r="L4796" s="19" t="s">
        <v>55</v>
      </c>
      <c r="M4796" s="21">
        <v>0.8</v>
      </c>
      <c r="N4796">
        <f t="shared" si="74"/>
        <v>1</v>
      </c>
    </row>
    <row r="4797" spans="1:14" x14ac:dyDescent="0.35">
      <c r="A4797" s="22" t="s">
        <v>4867</v>
      </c>
      <c r="B4797" s="23" t="s">
        <v>47</v>
      </c>
      <c r="C4797" s="23"/>
      <c r="D4797" s="24"/>
      <c r="E4797" s="23" t="s">
        <v>68</v>
      </c>
      <c r="F4797" s="23" t="s">
        <v>40</v>
      </c>
      <c r="G4797" s="23" t="s">
        <v>21</v>
      </c>
      <c r="H4797" s="23" t="s">
        <v>8364</v>
      </c>
      <c r="I4797" s="23">
        <v>8</v>
      </c>
      <c r="J4797" s="23">
        <v>0</v>
      </c>
      <c r="K4797" s="23">
        <v>3</v>
      </c>
      <c r="L4797" s="23" t="s">
        <v>62</v>
      </c>
      <c r="M4797" s="25">
        <v>15.3</v>
      </c>
      <c r="N4797">
        <f t="shared" si="74"/>
        <v>0</v>
      </c>
    </row>
    <row r="4798" spans="1:14" x14ac:dyDescent="0.35">
      <c r="A4798" s="6" t="s">
        <v>4868</v>
      </c>
      <c r="B4798" s="19" t="s">
        <v>253</v>
      </c>
      <c r="C4798" s="19">
        <v>8</v>
      </c>
      <c r="D4798" s="20">
        <v>45895</v>
      </c>
      <c r="E4798" s="19" t="s">
        <v>25</v>
      </c>
      <c r="F4798" s="19" t="s">
        <v>26</v>
      </c>
      <c r="G4798" s="19" t="s">
        <v>21</v>
      </c>
      <c r="H4798" s="19" t="s">
        <v>22</v>
      </c>
      <c r="I4798" s="19">
        <v>24</v>
      </c>
      <c r="J4798" s="19">
        <v>0</v>
      </c>
      <c r="K4798" s="19">
        <v>5</v>
      </c>
      <c r="L4798" s="19" t="s">
        <v>8363</v>
      </c>
      <c r="M4798" s="21">
        <v>17.2</v>
      </c>
      <c r="N4798">
        <f t="shared" si="74"/>
        <v>1</v>
      </c>
    </row>
    <row r="4799" spans="1:14" x14ac:dyDescent="0.35">
      <c r="A4799" s="22" t="s">
        <v>4869</v>
      </c>
      <c r="B4799" s="23" t="s">
        <v>45</v>
      </c>
      <c r="C4799" s="23">
        <v>2</v>
      </c>
      <c r="D4799" s="24">
        <v>45713</v>
      </c>
      <c r="E4799" s="23" t="s">
        <v>25</v>
      </c>
      <c r="F4799" s="23" t="s">
        <v>43</v>
      </c>
      <c r="G4799" s="23" t="s">
        <v>15</v>
      </c>
      <c r="H4799" s="23" t="s">
        <v>8364</v>
      </c>
      <c r="I4799" s="23">
        <v>24</v>
      </c>
      <c r="J4799" s="23">
        <v>0</v>
      </c>
      <c r="K4799" s="23">
        <v>1</v>
      </c>
      <c r="L4799" s="23" t="s">
        <v>55</v>
      </c>
      <c r="M4799" s="25">
        <v>16.3</v>
      </c>
      <c r="N4799">
        <f t="shared" si="74"/>
        <v>1</v>
      </c>
    </row>
    <row r="4800" spans="1:14" x14ac:dyDescent="0.35">
      <c r="A4800" s="6" t="s">
        <v>4870</v>
      </c>
      <c r="B4800" s="19" t="s">
        <v>143</v>
      </c>
      <c r="C4800" s="19">
        <v>8</v>
      </c>
      <c r="D4800" s="20">
        <v>45872</v>
      </c>
      <c r="E4800" s="19" t="s">
        <v>25</v>
      </c>
      <c r="F4800" s="19" t="s">
        <v>59</v>
      </c>
      <c r="G4800" s="19" t="s">
        <v>8364</v>
      </c>
      <c r="H4800" s="19" t="s">
        <v>22</v>
      </c>
      <c r="I4800" s="19">
        <v>72</v>
      </c>
      <c r="J4800" s="19">
        <v>0</v>
      </c>
      <c r="K4800" s="19">
        <v>5</v>
      </c>
      <c r="L4800" s="19" t="s">
        <v>75</v>
      </c>
      <c r="M4800" s="21">
        <v>18.399999999999999</v>
      </c>
      <c r="N4800">
        <f t="shared" si="74"/>
        <v>1</v>
      </c>
    </row>
    <row r="4801" spans="1:14" x14ac:dyDescent="0.35">
      <c r="A4801" s="22" t="s">
        <v>4871</v>
      </c>
      <c r="B4801" s="23" t="s">
        <v>41</v>
      </c>
      <c r="C4801" s="23">
        <v>3</v>
      </c>
      <c r="D4801" s="24">
        <v>45740</v>
      </c>
      <c r="E4801" s="23" t="s">
        <v>20</v>
      </c>
      <c r="F4801" s="23" t="s">
        <v>40</v>
      </c>
      <c r="G4801" s="23" t="s">
        <v>27</v>
      </c>
      <c r="H4801" s="23" t="s">
        <v>32</v>
      </c>
      <c r="I4801" s="23">
        <v>4</v>
      </c>
      <c r="J4801" s="23">
        <v>1</v>
      </c>
      <c r="K4801" s="23">
        <v>2</v>
      </c>
      <c r="L4801" s="23" t="s">
        <v>55</v>
      </c>
      <c r="M4801" s="25">
        <v>12.3</v>
      </c>
      <c r="N4801">
        <f t="shared" si="74"/>
        <v>0</v>
      </c>
    </row>
    <row r="4802" spans="1:14" x14ac:dyDescent="0.35">
      <c r="A4802" s="6" t="s">
        <v>4872</v>
      </c>
      <c r="B4802" s="19" t="s">
        <v>51</v>
      </c>
      <c r="C4802" s="19">
        <v>5</v>
      </c>
      <c r="D4802" s="20">
        <v>45781</v>
      </c>
      <c r="E4802" s="19" t="s">
        <v>13</v>
      </c>
      <c r="F4802" s="19" t="s">
        <v>43</v>
      </c>
      <c r="G4802" s="19" t="s">
        <v>8364</v>
      </c>
      <c r="H4802" s="19" t="s">
        <v>8364</v>
      </c>
      <c r="I4802" s="19">
        <v>4</v>
      </c>
      <c r="J4802" s="19">
        <v>1</v>
      </c>
      <c r="K4802" s="19">
        <v>4</v>
      </c>
      <c r="L4802" s="19" t="s">
        <v>8363</v>
      </c>
      <c r="M4802" s="21">
        <v>31.6</v>
      </c>
      <c r="N4802">
        <f t="shared" si="74"/>
        <v>0</v>
      </c>
    </row>
    <row r="4803" spans="1:14" x14ac:dyDescent="0.35">
      <c r="A4803" s="22" t="s">
        <v>4873</v>
      </c>
      <c r="B4803" s="23" t="s">
        <v>57</v>
      </c>
      <c r="C4803" s="23">
        <v>4</v>
      </c>
      <c r="D4803" s="24">
        <v>45758</v>
      </c>
      <c r="E4803" s="23" t="s">
        <v>36</v>
      </c>
      <c r="F4803" s="23" t="s">
        <v>26</v>
      </c>
      <c r="G4803" s="23" t="s">
        <v>15</v>
      </c>
      <c r="H4803" s="23" t="s">
        <v>8364</v>
      </c>
      <c r="I4803" s="23">
        <v>4</v>
      </c>
      <c r="J4803" s="23">
        <v>0</v>
      </c>
      <c r="K4803" s="23">
        <v>5</v>
      </c>
      <c r="L4803" s="23" t="s">
        <v>33</v>
      </c>
      <c r="M4803" s="25">
        <v>12.8</v>
      </c>
      <c r="N4803">
        <f t="shared" ref="N4803:N4866" si="75">IF(M4803 &lt;= I4803, 1, 0)</f>
        <v>0</v>
      </c>
    </row>
    <row r="4804" spans="1:14" x14ac:dyDescent="0.35">
      <c r="A4804" s="6" t="s">
        <v>4874</v>
      </c>
      <c r="B4804" s="19" t="s">
        <v>158</v>
      </c>
      <c r="C4804" s="19">
        <v>12</v>
      </c>
      <c r="D4804" s="20">
        <v>45996</v>
      </c>
      <c r="E4804" s="19" t="s">
        <v>68</v>
      </c>
      <c r="F4804" s="19" t="s">
        <v>59</v>
      </c>
      <c r="G4804" s="19" t="s">
        <v>27</v>
      </c>
      <c r="H4804" s="19" t="s">
        <v>8364</v>
      </c>
      <c r="I4804" s="19">
        <v>8</v>
      </c>
      <c r="J4804" s="19">
        <v>1</v>
      </c>
      <c r="K4804" s="19">
        <v>1</v>
      </c>
      <c r="L4804" s="19" t="s">
        <v>17</v>
      </c>
      <c r="M4804" s="21">
        <v>11.2</v>
      </c>
      <c r="N4804">
        <f t="shared" si="75"/>
        <v>0</v>
      </c>
    </row>
    <row r="4805" spans="1:14" x14ac:dyDescent="0.35">
      <c r="A4805" s="22" t="s">
        <v>4875</v>
      </c>
      <c r="B4805" s="23" t="s">
        <v>236</v>
      </c>
      <c r="C4805" s="23">
        <v>2</v>
      </c>
      <c r="D4805" s="24">
        <v>45698</v>
      </c>
      <c r="E4805" s="23" t="s">
        <v>20</v>
      </c>
      <c r="F4805" s="23" t="s">
        <v>43</v>
      </c>
      <c r="G4805" s="23" t="s">
        <v>27</v>
      </c>
      <c r="H4805" s="23" t="s">
        <v>22</v>
      </c>
      <c r="I4805" s="23">
        <v>24</v>
      </c>
      <c r="J4805" s="23">
        <v>1</v>
      </c>
      <c r="K4805" s="23">
        <v>4</v>
      </c>
      <c r="L4805" s="23" t="s">
        <v>62</v>
      </c>
      <c r="M4805" s="25">
        <v>18.5</v>
      </c>
      <c r="N4805">
        <f t="shared" si="75"/>
        <v>1</v>
      </c>
    </row>
    <row r="4806" spans="1:14" x14ac:dyDescent="0.35">
      <c r="A4806" s="6" t="s">
        <v>4876</v>
      </c>
      <c r="B4806" s="19" t="s">
        <v>72</v>
      </c>
      <c r="C4806" s="19">
        <v>3</v>
      </c>
      <c r="D4806" s="20">
        <v>45730</v>
      </c>
      <c r="E4806" s="19" t="s">
        <v>25</v>
      </c>
      <c r="F4806" s="19" t="s">
        <v>14</v>
      </c>
      <c r="G4806" s="19" t="s">
        <v>15</v>
      </c>
      <c r="H4806" s="19" t="s">
        <v>22</v>
      </c>
      <c r="I4806" s="19">
        <v>8</v>
      </c>
      <c r="J4806" s="19">
        <v>1</v>
      </c>
      <c r="K4806" s="19">
        <v>2</v>
      </c>
      <c r="L4806" s="19" t="s">
        <v>33</v>
      </c>
      <c r="M4806" s="21">
        <v>7.5</v>
      </c>
      <c r="N4806">
        <f t="shared" si="75"/>
        <v>1</v>
      </c>
    </row>
    <row r="4807" spans="1:14" x14ac:dyDescent="0.35">
      <c r="A4807" s="22" t="s">
        <v>4877</v>
      </c>
      <c r="B4807" s="23" t="s">
        <v>45</v>
      </c>
      <c r="C4807" s="23"/>
      <c r="D4807" s="24"/>
      <c r="E4807" s="23" t="s">
        <v>13</v>
      </c>
      <c r="F4807" s="23" t="s">
        <v>37</v>
      </c>
      <c r="G4807" s="23" t="s">
        <v>31</v>
      </c>
      <c r="H4807" s="23" t="s">
        <v>22</v>
      </c>
      <c r="I4807" s="23">
        <v>8</v>
      </c>
      <c r="J4807" s="23">
        <v>0</v>
      </c>
      <c r="K4807" s="23">
        <v>5</v>
      </c>
      <c r="L4807" s="23" t="s">
        <v>33</v>
      </c>
      <c r="M4807" s="25">
        <v>6</v>
      </c>
      <c r="N4807">
        <f t="shared" si="75"/>
        <v>1</v>
      </c>
    </row>
    <row r="4808" spans="1:14" x14ac:dyDescent="0.35">
      <c r="A4808" s="6" t="s">
        <v>4878</v>
      </c>
      <c r="B4808" s="19" t="s">
        <v>47</v>
      </c>
      <c r="C4808" s="19">
        <v>2</v>
      </c>
      <c r="D4808" s="20">
        <v>45702</v>
      </c>
      <c r="E4808" s="19" t="s">
        <v>25</v>
      </c>
      <c r="F4808" s="19" t="s">
        <v>14</v>
      </c>
      <c r="G4808" s="19" t="s">
        <v>31</v>
      </c>
      <c r="H4808" s="19" t="s">
        <v>22</v>
      </c>
      <c r="I4808" s="19">
        <v>48</v>
      </c>
      <c r="J4808" s="19">
        <v>0</v>
      </c>
      <c r="K4808" s="19">
        <v>5</v>
      </c>
      <c r="L4808" s="19" t="s">
        <v>8363</v>
      </c>
      <c r="M4808" s="21">
        <v>21.7</v>
      </c>
      <c r="N4808">
        <f t="shared" si="75"/>
        <v>1</v>
      </c>
    </row>
    <row r="4809" spans="1:14" x14ac:dyDescent="0.35">
      <c r="A4809" s="22" t="s">
        <v>4879</v>
      </c>
      <c r="B4809" s="23" t="s">
        <v>18</v>
      </c>
      <c r="C4809" s="23">
        <v>1</v>
      </c>
      <c r="D4809" s="24">
        <v>45664</v>
      </c>
      <c r="E4809" s="23" t="s">
        <v>25</v>
      </c>
      <c r="F4809" s="23" t="s">
        <v>40</v>
      </c>
      <c r="G4809" s="23" t="s">
        <v>31</v>
      </c>
      <c r="H4809" s="23" t="s">
        <v>32</v>
      </c>
      <c r="I4809" s="23">
        <v>72</v>
      </c>
      <c r="J4809" s="23">
        <v>0</v>
      </c>
      <c r="K4809" s="23">
        <v>4</v>
      </c>
      <c r="L4809" s="23" t="s">
        <v>62</v>
      </c>
      <c r="M4809" s="25">
        <v>6.5</v>
      </c>
      <c r="N4809">
        <f t="shared" si="75"/>
        <v>1</v>
      </c>
    </row>
    <row r="4810" spans="1:14" x14ac:dyDescent="0.35">
      <c r="A4810" s="6" t="s">
        <v>4880</v>
      </c>
      <c r="B4810" s="19" t="s">
        <v>158</v>
      </c>
      <c r="C4810" s="19"/>
      <c r="D4810" s="20"/>
      <c r="E4810" s="19" t="s">
        <v>13</v>
      </c>
      <c r="F4810" s="19" t="s">
        <v>43</v>
      </c>
      <c r="G4810" s="19" t="s">
        <v>15</v>
      </c>
      <c r="H4810" s="19" t="s">
        <v>8364</v>
      </c>
      <c r="I4810" s="19">
        <v>24</v>
      </c>
      <c r="J4810" s="19">
        <v>0</v>
      </c>
      <c r="K4810" s="19">
        <v>5</v>
      </c>
      <c r="L4810" s="19" t="s">
        <v>55</v>
      </c>
      <c r="M4810" s="21">
        <v>25.4</v>
      </c>
      <c r="N4810">
        <f t="shared" si="75"/>
        <v>0</v>
      </c>
    </row>
    <row r="4811" spans="1:14" x14ac:dyDescent="0.35">
      <c r="A4811" s="22" t="s">
        <v>4881</v>
      </c>
      <c r="B4811" s="23" t="s">
        <v>130</v>
      </c>
      <c r="C4811" s="23">
        <v>5</v>
      </c>
      <c r="D4811" s="24">
        <v>45787</v>
      </c>
      <c r="E4811" s="23" t="s">
        <v>8364</v>
      </c>
      <c r="F4811" s="23" t="s">
        <v>8364</v>
      </c>
      <c r="G4811" s="23" t="s">
        <v>27</v>
      </c>
      <c r="H4811" s="23" t="s">
        <v>28</v>
      </c>
      <c r="I4811" s="23">
        <v>4</v>
      </c>
      <c r="J4811" s="23">
        <v>0</v>
      </c>
      <c r="K4811" s="23">
        <v>4</v>
      </c>
      <c r="L4811" s="23" t="s">
        <v>33</v>
      </c>
      <c r="M4811" s="25">
        <v>19.8</v>
      </c>
      <c r="N4811">
        <f t="shared" si="75"/>
        <v>0</v>
      </c>
    </row>
    <row r="4812" spans="1:14" x14ac:dyDescent="0.35">
      <c r="A4812" s="6" t="s">
        <v>4882</v>
      </c>
      <c r="B4812" s="19" t="s">
        <v>47</v>
      </c>
      <c r="C4812" s="19">
        <v>6</v>
      </c>
      <c r="D4812" s="20">
        <v>45825</v>
      </c>
      <c r="E4812" s="19" t="s">
        <v>25</v>
      </c>
      <c r="F4812" s="19" t="s">
        <v>43</v>
      </c>
      <c r="G4812" s="19" t="s">
        <v>27</v>
      </c>
      <c r="H4812" s="19" t="s">
        <v>8364</v>
      </c>
      <c r="I4812" s="19">
        <v>4</v>
      </c>
      <c r="J4812" s="19">
        <v>0</v>
      </c>
      <c r="K4812" s="19"/>
      <c r="L4812" s="19" t="s">
        <v>44</v>
      </c>
      <c r="M4812" s="21">
        <v>54</v>
      </c>
      <c r="N4812">
        <f t="shared" si="75"/>
        <v>0</v>
      </c>
    </row>
    <row r="4813" spans="1:14" x14ac:dyDescent="0.35">
      <c r="A4813" s="22" t="s">
        <v>4883</v>
      </c>
      <c r="B4813" s="23" t="s">
        <v>181</v>
      </c>
      <c r="C4813" s="23">
        <v>10</v>
      </c>
      <c r="D4813" s="24">
        <v>45957</v>
      </c>
      <c r="E4813" s="23" t="s">
        <v>68</v>
      </c>
      <c r="F4813" s="23" t="s">
        <v>43</v>
      </c>
      <c r="G4813" s="23" t="s">
        <v>8364</v>
      </c>
      <c r="H4813" s="23" t="s">
        <v>22</v>
      </c>
      <c r="I4813" s="23">
        <v>24</v>
      </c>
      <c r="J4813" s="23">
        <v>1</v>
      </c>
      <c r="K4813" s="23">
        <v>5</v>
      </c>
      <c r="L4813" s="23" t="s">
        <v>17</v>
      </c>
      <c r="M4813" s="25">
        <v>20</v>
      </c>
      <c r="N4813">
        <f t="shared" si="75"/>
        <v>1</v>
      </c>
    </row>
    <row r="4814" spans="1:14" x14ac:dyDescent="0.35">
      <c r="A4814" s="6" t="s">
        <v>4884</v>
      </c>
      <c r="B4814" s="19" t="s">
        <v>85</v>
      </c>
      <c r="C4814" s="19">
        <v>12</v>
      </c>
      <c r="D4814" s="20">
        <v>46018</v>
      </c>
      <c r="E4814" s="19" t="s">
        <v>13</v>
      </c>
      <c r="F4814" s="19" t="s">
        <v>37</v>
      </c>
      <c r="G4814" s="19" t="s">
        <v>15</v>
      </c>
      <c r="H4814" s="19" t="s">
        <v>22</v>
      </c>
      <c r="I4814" s="19">
        <v>48</v>
      </c>
      <c r="J4814" s="19">
        <v>0</v>
      </c>
      <c r="K4814" s="19">
        <v>3</v>
      </c>
      <c r="L4814" s="19" t="s">
        <v>44</v>
      </c>
      <c r="M4814" s="21">
        <v>8.6999999999999993</v>
      </c>
      <c r="N4814">
        <f t="shared" si="75"/>
        <v>1</v>
      </c>
    </row>
    <row r="4815" spans="1:14" x14ac:dyDescent="0.35">
      <c r="A4815" s="22" t="s">
        <v>4885</v>
      </c>
      <c r="B4815" s="23" t="s">
        <v>253</v>
      </c>
      <c r="C4815" s="23">
        <v>10</v>
      </c>
      <c r="D4815" s="24">
        <v>45950</v>
      </c>
      <c r="E4815" s="23" t="s">
        <v>20</v>
      </c>
      <c r="F4815" s="23" t="s">
        <v>14</v>
      </c>
      <c r="G4815" s="23" t="s">
        <v>15</v>
      </c>
      <c r="H4815" s="23" t="s">
        <v>22</v>
      </c>
      <c r="I4815" s="23">
        <v>4</v>
      </c>
      <c r="J4815" s="23">
        <v>0</v>
      </c>
      <c r="K4815" s="23">
        <v>5</v>
      </c>
      <c r="L4815" s="23" t="s">
        <v>8363</v>
      </c>
      <c r="M4815" s="25">
        <v>78</v>
      </c>
      <c r="N4815">
        <f t="shared" si="75"/>
        <v>0</v>
      </c>
    </row>
    <row r="4816" spans="1:14" x14ac:dyDescent="0.35">
      <c r="A4816" s="6" t="s">
        <v>4886</v>
      </c>
      <c r="B4816" s="19" t="s">
        <v>236</v>
      </c>
      <c r="C4816" s="19">
        <v>11</v>
      </c>
      <c r="D4816" s="20">
        <v>45989</v>
      </c>
      <c r="E4816" s="19" t="s">
        <v>36</v>
      </c>
      <c r="F4816" s="19" t="s">
        <v>14</v>
      </c>
      <c r="G4816" s="19" t="s">
        <v>31</v>
      </c>
      <c r="H4816" s="19" t="s">
        <v>28</v>
      </c>
      <c r="I4816" s="19">
        <v>24</v>
      </c>
      <c r="J4816" s="19">
        <v>0</v>
      </c>
      <c r="K4816" s="19">
        <v>5</v>
      </c>
      <c r="L4816" s="19" t="s">
        <v>38</v>
      </c>
      <c r="M4816" s="21">
        <v>17.5</v>
      </c>
      <c r="N4816">
        <f t="shared" si="75"/>
        <v>1</v>
      </c>
    </row>
    <row r="4817" spans="1:14" x14ac:dyDescent="0.35">
      <c r="A4817" s="22" t="s">
        <v>4887</v>
      </c>
      <c r="B4817" s="23" t="s">
        <v>81</v>
      </c>
      <c r="C4817" s="23">
        <v>1</v>
      </c>
      <c r="D4817" s="24">
        <v>45665</v>
      </c>
      <c r="E4817" s="23" t="s">
        <v>13</v>
      </c>
      <c r="F4817" s="23" t="s">
        <v>8364</v>
      </c>
      <c r="G4817" s="23" t="s">
        <v>15</v>
      </c>
      <c r="H4817" s="23" t="s">
        <v>22</v>
      </c>
      <c r="I4817" s="23">
        <v>24</v>
      </c>
      <c r="J4817" s="23">
        <v>0</v>
      </c>
      <c r="K4817" s="23">
        <v>5</v>
      </c>
      <c r="L4817" s="23" t="s">
        <v>33</v>
      </c>
      <c r="M4817" s="25">
        <v>2.8</v>
      </c>
      <c r="N4817">
        <f t="shared" si="75"/>
        <v>1</v>
      </c>
    </row>
    <row r="4818" spans="1:14" x14ac:dyDescent="0.35">
      <c r="A4818" s="6" t="s">
        <v>4888</v>
      </c>
      <c r="B4818" s="19" t="s">
        <v>47</v>
      </c>
      <c r="C4818" s="19">
        <v>6</v>
      </c>
      <c r="D4818" s="20">
        <v>45817</v>
      </c>
      <c r="E4818" s="19" t="s">
        <v>25</v>
      </c>
      <c r="F4818" s="19" t="s">
        <v>14</v>
      </c>
      <c r="G4818" s="19" t="s">
        <v>27</v>
      </c>
      <c r="H4818" s="19" t="s">
        <v>32</v>
      </c>
      <c r="I4818" s="19">
        <v>72</v>
      </c>
      <c r="J4818" s="19">
        <v>1</v>
      </c>
      <c r="K4818" s="19"/>
      <c r="L4818" s="19" t="s">
        <v>62</v>
      </c>
      <c r="M4818" s="21">
        <v>13</v>
      </c>
      <c r="N4818">
        <f t="shared" si="75"/>
        <v>1</v>
      </c>
    </row>
    <row r="4819" spans="1:14" x14ac:dyDescent="0.35">
      <c r="A4819" s="22" t="s">
        <v>4889</v>
      </c>
      <c r="B4819" s="23" t="s">
        <v>81</v>
      </c>
      <c r="C4819" s="23">
        <v>11</v>
      </c>
      <c r="D4819" s="24">
        <v>45983</v>
      </c>
      <c r="E4819" s="23" t="s">
        <v>13</v>
      </c>
      <c r="F4819" s="23" t="s">
        <v>26</v>
      </c>
      <c r="G4819" s="23" t="s">
        <v>15</v>
      </c>
      <c r="H4819" s="23" t="s">
        <v>22</v>
      </c>
      <c r="I4819" s="23">
        <v>72</v>
      </c>
      <c r="J4819" s="23">
        <v>0</v>
      </c>
      <c r="K4819" s="23">
        <v>1</v>
      </c>
      <c r="L4819" s="23" t="s">
        <v>75</v>
      </c>
      <c r="M4819" s="25">
        <v>23.8</v>
      </c>
      <c r="N4819">
        <f t="shared" si="75"/>
        <v>1</v>
      </c>
    </row>
    <row r="4820" spans="1:14" x14ac:dyDescent="0.35">
      <c r="A4820" s="6" t="s">
        <v>4890</v>
      </c>
      <c r="B4820" s="19" t="s">
        <v>47</v>
      </c>
      <c r="C4820" s="19">
        <v>1</v>
      </c>
      <c r="D4820" s="20">
        <v>45662</v>
      </c>
      <c r="E4820" s="19" t="s">
        <v>13</v>
      </c>
      <c r="F4820" s="19" t="s">
        <v>26</v>
      </c>
      <c r="G4820" s="19" t="s">
        <v>21</v>
      </c>
      <c r="H4820" s="19" t="s">
        <v>22</v>
      </c>
      <c r="I4820" s="19">
        <v>8</v>
      </c>
      <c r="J4820" s="19">
        <v>0</v>
      </c>
      <c r="K4820" s="19">
        <v>3</v>
      </c>
      <c r="L4820" s="19" t="s">
        <v>55</v>
      </c>
      <c r="M4820" s="21">
        <v>9</v>
      </c>
      <c r="N4820">
        <f t="shared" si="75"/>
        <v>0</v>
      </c>
    </row>
    <row r="4821" spans="1:14" x14ac:dyDescent="0.35">
      <c r="A4821" s="22" t="s">
        <v>4891</v>
      </c>
      <c r="B4821" s="23" t="s">
        <v>18</v>
      </c>
      <c r="C4821" s="23">
        <v>4</v>
      </c>
      <c r="D4821" s="24">
        <v>45767</v>
      </c>
      <c r="E4821" s="23" t="s">
        <v>8364</v>
      </c>
      <c r="F4821" s="23" t="s">
        <v>14</v>
      </c>
      <c r="G4821" s="23" t="s">
        <v>21</v>
      </c>
      <c r="H4821" s="23" t="s">
        <v>28</v>
      </c>
      <c r="I4821" s="23">
        <v>24</v>
      </c>
      <c r="J4821" s="23">
        <v>1</v>
      </c>
      <c r="K4821" s="23">
        <v>3</v>
      </c>
      <c r="L4821" s="23" t="s">
        <v>44</v>
      </c>
      <c r="M4821" s="25">
        <v>34</v>
      </c>
      <c r="N4821">
        <f t="shared" si="75"/>
        <v>0</v>
      </c>
    </row>
    <row r="4822" spans="1:14" x14ac:dyDescent="0.35">
      <c r="A4822" s="6" t="s">
        <v>4892</v>
      </c>
      <c r="B4822" s="19" t="s">
        <v>49</v>
      </c>
      <c r="C4822" s="19">
        <v>7</v>
      </c>
      <c r="D4822" s="20">
        <v>45862</v>
      </c>
      <c r="E4822" s="19" t="s">
        <v>13</v>
      </c>
      <c r="F4822" s="19" t="s">
        <v>8364</v>
      </c>
      <c r="G4822" s="19" t="s">
        <v>31</v>
      </c>
      <c r="H4822" s="19" t="s">
        <v>8364</v>
      </c>
      <c r="I4822" s="19">
        <v>8</v>
      </c>
      <c r="J4822" s="19">
        <v>0</v>
      </c>
      <c r="K4822" s="19">
        <v>5</v>
      </c>
      <c r="L4822" s="19" t="s">
        <v>62</v>
      </c>
      <c r="M4822" s="21">
        <v>41.2</v>
      </c>
      <c r="N4822">
        <f t="shared" si="75"/>
        <v>0</v>
      </c>
    </row>
    <row r="4823" spans="1:14" x14ac:dyDescent="0.35">
      <c r="A4823" s="22" t="s">
        <v>4893</v>
      </c>
      <c r="B4823" s="23" t="s">
        <v>29</v>
      </c>
      <c r="C4823" s="23">
        <v>5</v>
      </c>
      <c r="D4823" s="24">
        <v>45788</v>
      </c>
      <c r="E4823" s="23" t="s">
        <v>8364</v>
      </c>
      <c r="F4823" s="23" t="s">
        <v>59</v>
      </c>
      <c r="G4823" s="23" t="s">
        <v>31</v>
      </c>
      <c r="H4823" s="23" t="s">
        <v>22</v>
      </c>
      <c r="I4823" s="23">
        <v>48</v>
      </c>
      <c r="J4823" s="23">
        <v>2</v>
      </c>
      <c r="K4823" s="23">
        <v>2</v>
      </c>
      <c r="L4823" s="23" t="s">
        <v>55</v>
      </c>
      <c r="M4823" s="25">
        <v>7.9</v>
      </c>
      <c r="N4823">
        <f t="shared" si="75"/>
        <v>1</v>
      </c>
    </row>
    <row r="4824" spans="1:14" x14ac:dyDescent="0.35">
      <c r="A4824" s="6" t="s">
        <v>4894</v>
      </c>
      <c r="B4824" s="19" t="s">
        <v>34</v>
      </c>
      <c r="C4824" s="19">
        <v>2</v>
      </c>
      <c r="D4824" s="20">
        <v>45700</v>
      </c>
      <c r="E4824" s="19" t="s">
        <v>8364</v>
      </c>
      <c r="F4824" s="19" t="s">
        <v>8364</v>
      </c>
      <c r="G4824" s="19" t="s">
        <v>31</v>
      </c>
      <c r="H4824" s="19" t="s">
        <v>32</v>
      </c>
      <c r="I4824" s="19">
        <v>72</v>
      </c>
      <c r="J4824" s="19">
        <v>0</v>
      </c>
      <c r="K4824" s="19">
        <v>4</v>
      </c>
      <c r="L4824" s="19" t="s">
        <v>55</v>
      </c>
      <c r="M4824" s="21">
        <v>11.1</v>
      </c>
      <c r="N4824">
        <f t="shared" si="75"/>
        <v>1</v>
      </c>
    </row>
    <row r="4825" spans="1:14" x14ac:dyDescent="0.35">
      <c r="A4825" s="22" t="s">
        <v>4895</v>
      </c>
      <c r="B4825" s="23" t="s">
        <v>139</v>
      </c>
      <c r="C4825" s="23">
        <v>7</v>
      </c>
      <c r="D4825" s="24">
        <v>45865</v>
      </c>
      <c r="E4825" s="23" t="s">
        <v>25</v>
      </c>
      <c r="F4825" s="23" t="s">
        <v>14</v>
      </c>
      <c r="G4825" s="23" t="s">
        <v>15</v>
      </c>
      <c r="H4825" s="23" t="s">
        <v>22</v>
      </c>
      <c r="I4825" s="23">
        <v>4</v>
      </c>
      <c r="J4825" s="23">
        <v>0</v>
      </c>
      <c r="K4825" s="23">
        <v>4</v>
      </c>
      <c r="L4825" s="23" t="s">
        <v>62</v>
      </c>
      <c r="M4825" s="25">
        <v>15.1</v>
      </c>
      <c r="N4825">
        <f t="shared" si="75"/>
        <v>0</v>
      </c>
    </row>
    <row r="4826" spans="1:14" x14ac:dyDescent="0.35">
      <c r="A4826" s="6" t="s">
        <v>4896</v>
      </c>
      <c r="B4826" s="19" t="s">
        <v>45</v>
      </c>
      <c r="C4826" s="19">
        <v>4</v>
      </c>
      <c r="D4826" s="20">
        <v>45773</v>
      </c>
      <c r="E4826" s="19" t="s">
        <v>25</v>
      </c>
      <c r="F4826" s="19" t="s">
        <v>43</v>
      </c>
      <c r="G4826" s="19" t="s">
        <v>31</v>
      </c>
      <c r="H4826" s="19" t="s">
        <v>22</v>
      </c>
      <c r="I4826" s="19">
        <v>4</v>
      </c>
      <c r="J4826" s="19">
        <v>0</v>
      </c>
      <c r="K4826" s="19">
        <v>5</v>
      </c>
      <c r="L4826" s="19" t="s">
        <v>55</v>
      </c>
      <c r="M4826" s="21">
        <v>28.1</v>
      </c>
      <c r="N4826">
        <f t="shared" si="75"/>
        <v>0</v>
      </c>
    </row>
    <row r="4827" spans="1:14" x14ac:dyDescent="0.35">
      <c r="A4827" s="22" t="s">
        <v>4897</v>
      </c>
      <c r="B4827" s="23" t="s">
        <v>87</v>
      </c>
      <c r="C4827" s="23">
        <v>11</v>
      </c>
      <c r="D4827" s="24">
        <v>45984</v>
      </c>
      <c r="E4827" s="23" t="s">
        <v>25</v>
      </c>
      <c r="F4827" s="23" t="s">
        <v>14</v>
      </c>
      <c r="G4827" s="23" t="s">
        <v>27</v>
      </c>
      <c r="H4827" s="23" t="s">
        <v>28</v>
      </c>
      <c r="I4827" s="23">
        <v>48</v>
      </c>
      <c r="J4827" s="23">
        <v>1</v>
      </c>
      <c r="K4827" s="23">
        <v>5</v>
      </c>
      <c r="L4827" s="23" t="s">
        <v>44</v>
      </c>
      <c r="M4827" s="25">
        <v>6.8</v>
      </c>
      <c r="N4827">
        <f t="shared" si="75"/>
        <v>1</v>
      </c>
    </row>
    <row r="4828" spans="1:14" x14ac:dyDescent="0.35">
      <c r="A4828" s="6" t="s">
        <v>4898</v>
      </c>
      <c r="B4828" s="19" t="s">
        <v>18</v>
      </c>
      <c r="C4828" s="19">
        <v>6</v>
      </c>
      <c r="D4828" s="20">
        <v>45835</v>
      </c>
      <c r="E4828" s="19" t="s">
        <v>13</v>
      </c>
      <c r="F4828" s="19" t="s">
        <v>37</v>
      </c>
      <c r="G4828" s="19" t="s">
        <v>27</v>
      </c>
      <c r="H4828" s="19" t="s">
        <v>32</v>
      </c>
      <c r="I4828" s="19">
        <v>72</v>
      </c>
      <c r="J4828" s="19">
        <v>0</v>
      </c>
      <c r="K4828" s="19">
        <v>3</v>
      </c>
      <c r="L4828" s="19" t="s">
        <v>55</v>
      </c>
      <c r="M4828" s="21">
        <v>11.9</v>
      </c>
      <c r="N4828">
        <f t="shared" si="75"/>
        <v>1</v>
      </c>
    </row>
    <row r="4829" spans="1:14" x14ac:dyDescent="0.35">
      <c r="A4829" s="22" t="s">
        <v>4899</v>
      </c>
      <c r="B4829" s="23" t="s">
        <v>41</v>
      </c>
      <c r="C4829" s="23">
        <v>7</v>
      </c>
      <c r="D4829" s="24">
        <v>45863</v>
      </c>
      <c r="E4829" s="23" t="s">
        <v>13</v>
      </c>
      <c r="F4829" s="23" t="s">
        <v>8364</v>
      </c>
      <c r="G4829" s="23" t="s">
        <v>31</v>
      </c>
      <c r="H4829" s="23" t="s">
        <v>32</v>
      </c>
      <c r="I4829" s="23">
        <v>4</v>
      </c>
      <c r="J4829" s="23">
        <v>0</v>
      </c>
      <c r="K4829" s="23">
        <v>3</v>
      </c>
      <c r="L4829" s="23" t="s">
        <v>55</v>
      </c>
      <c r="M4829" s="25">
        <v>0.5</v>
      </c>
      <c r="N4829">
        <f t="shared" si="75"/>
        <v>1</v>
      </c>
    </row>
    <row r="4830" spans="1:14" x14ac:dyDescent="0.35">
      <c r="A4830" s="6" t="s">
        <v>4900</v>
      </c>
      <c r="B4830" s="19" t="s">
        <v>49</v>
      </c>
      <c r="C4830" s="19">
        <v>2</v>
      </c>
      <c r="D4830" s="20">
        <v>45689</v>
      </c>
      <c r="E4830" s="19" t="s">
        <v>13</v>
      </c>
      <c r="F4830" s="19" t="s">
        <v>14</v>
      </c>
      <c r="G4830" s="19" t="s">
        <v>21</v>
      </c>
      <c r="H4830" s="19" t="s">
        <v>22</v>
      </c>
      <c r="I4830" s="19">
        <v>8</v>
      </c>
      <c r="J4830" s="19">
        <v>0</v>
      </c>
      <c r="K4830" s="19">
        <v>4</v>
      </c>
      <c r="L4830" s="19" t="s">
        <v>75</v>
      </c>
      <c r="M4830" s="21">
        <v>12.4</v>
      </c>
      <c r="N4830">
        <f t="shared" si="75"/>
        <v>0</v>
      </c>
    </row>
    <row r="4831" spans="1:14" x14ac:dyDescent="0.35">
      <c r="A4831" s="22" t="s">
        <v>4901</v>
      </c>
      <c r="B4831" s="23" t="s">
        <v>236</v>
      </c>
      <c r="C4831" s="23">
        <v>1</v>
      </c>
      <c r="D4831" s="24">
        <v>45678</v>
      </c>
      <c r="E4831" s="23" t="s">
        <v>25</v>
      </c>
      <c r="F4831" s="23" t="s">
        <v>59</v>
      </c>
      <c r="G4831" s="23" t="s">
        <v>15</v>
      </c>
      <c r="H4831" s="23" t="s">
        <v>16</v>
      </c>
      <c r="I4831" s="23">
        <v>8</v>
      </c>
      <c r="J4831" s="23">
        <v>0</v>
      </c>
      <c r="K4831" s="23">
        <v>5</v>
      </c>
      <c r="L4831" s="23" t="s">
        <v>8363</v>
      </c>
      <c r="M4831" s="25">
        <v>16.5</v>
      </c>
      <c r="N4831">
        <f t="shared" si="75"/>
        <v>0</v>
      </c>
    </row>
    <row r="4832" spans="1:14" x14ac:dyDescent="0.35">
      <c r="A4832" s="6" t="s">
        <v>4902</v>
      </c>
      <c r="B4832" s="19" t="s">
        <v>101</v>
      </c>
      <c r="C4832" s="19">
        <v>12</v>
      </c>
      <c r="D4832" s="20">
        <v>46022</v>
      </c>
      <c r="E4832" s="19" t="s">
        <v>13</v>
      </c>
      <c r="F4832" s="19" t="s">
        <v>37</v>
      </c>
      <c r="G4832" s="19" t="s">
        <v>21</v>
      </c>
      <c r="H4832" s="19" t="s">
        <v>8364</v>
      </c>
      <c r="I4832" s="19">
        <v>48</v>
      </c>
      <c r="J4832" s="19">
        <v>1</v>
      </c>
      <c r="K4832" s="19">
        <v>5</v>
      </c>
      <c r="L4832" s="19" t="s">
        <v>55</v>
      </c>
      <c r="M4832" s="21">
        <v>13</v>
      </c>
      <c r="N4832">
        <f t="shared" si="75"/>
        <v>1</v>
      </c>
    </row>
    <row r="4833" spans="1:14" x14ac:dyDescent="0.35">
      <c r="A4833" s="22" t="s">
        <v>4903</v>
      </c>
      <c r="B4833" s="23" t="s">
        <v>99</v>
      </c>
      <c r="C4833" s="23">
        <v>7</v>
      </c>
      <c r="D4833" s="24">
        <v>45855</v>
      </c>
      <c r="E4833" s="23" t="s">
        <v>25</v>
      </c>
      <c r="F4833" s="23" t="s">
        <v>14</v>
      </c>
      <c r="G4833" s="23" t="s">
        <v>31</v>
      </c>
      <c r="H4833" s="23" t="s">
        <v>28</v>
      </c>
      <c r="I4833" s="23">
        <v>24</v>
      </c>
      <c r="J4833" s="23">
        <v>0</v>
      </c>
      <c r="K4833" s="23">
        <v>3</v>
      </c>
      <c r="L4833" s="23" t="s">
        <v>75</v>
      </c>
      <c r="M4833" s="25">
        <v>11.2</v>
      </c>
      <c r="N4833">
        <f t="shared" si="75"/>
        <v>1</v>
      </c>
    </row>
    <row r="4834" spans="1:14" x14ac:dyDescent="0.35">
      <c r="A4834" s="6" t="s">
        <v>4904</v>
      </c>
      <c r="B4834" s="19" t="s">
        <v>41</v>
      </c>
      <c r="C4834" s="19"/>
      <c r="D4834" s="20"/>
      <c r="E4834" s="19" t="s">
        <v>13</v>
      </c>
      <c r="F4834" s="19" t="s">
        <v>26</v>
      </c>
      <c r="G4834" s="19" t="s">
        <v>31</v>
      </c>
      <c r="H4834" s="19" t="s">
        <v>32</v>
      </c>
      <c r="I4834" s="19">
        <v>4</v>
      </c>
      <c r="J4834" s="19">
        <v>0</v>
      </c>
      <c r="K4834" s="19">
        <v>3</v>
      </c>
      <c r="L4834" s="19" t="s">
        <v>62</v>
      </c>
      <c r="M4834" s="21">
        <v>13.4</v>
      </c>
      <c r="N4834">
        <f t="shared" si="75"/>
        <v>0</v>
      </c>
    </row>
    <row r="4835" spans="1:14" x14ac:dyDescent="0.35">
      <c r="A4835" s="22" t="s">
        <v>4905</v>
      </c>
      <c r="B4835" s="23" t="s">
        <v>45</v>
      </c>
      <c r="C4835" s="23">
        <v>3</v>
      </c>
      <c r="D4835" s="24">
        <v>45747</v>
      </c>
      <c r="E4835" s="23" t="s">
        <v>36</v>
      </c>
      <c r="F4835" s="23" t="s">
        <v>14</v>
      </c>
      <c r="G4835" s="23" t="s">
        <v>27</v>
      </c>
      <c r="H4835" s="23" t="s">
        <v>8364</v>
      </c>
      <c r="I4835" s="23">
        <v>4</v>
      </c>
      <c r="J4835" s="23">
        <v>0</v>
      </c>
      <c r="K4835" s="23">
        <v>5</v>
      </c>
      <c r="L4835" s="23" t="s">
        <v>8363</v>
      </c>
      <c r="M4835" s="25">
        <v>28.2</v>
      </c>
      <c r="N4835">
        <f t="shared" si="75"/>
        <v>0</v>
      </c>
    </row>
    <row r="4836" spans="1:14" x14ac:dyDescent="0.35">
      <c r="A4836" s="6" t="s">
        <v>4906</v>
      </c>
      <c r="B4836" s="19" t="s">
        <v>45</v>
      </c>
      <c r="C4836" s="19">
        <v>7</v>
      </c>
      <c r="D4836" s="20">
        <v>45845</v>
      </c>
      <c r="E4836" s="19" t="s">
        <v>25</v>
      </c>
      <c r="F4836" s="19" t="s">
        <v>14</v>
      </c>
      <c r="G4836" s="19" t="s">
        <v>21</v>
      </c>
      <c r="H4836" s="19" t="s">
        <v>22</v>
      </c>
      <c r="I4836" s="19">
        <v>4</v>
      </c>
      <c r="J4836" s="19">
        <v>0</v>
      </c>
      <c r="K4836" s="19">
        <v>3</v>
      </c>
      <c r="L4836" s="19" t="s">
        <v>8363</v>
      </c>
      <c r="M4836" s="21">
        <v>8.6</v>
      </c>
      <c r="N4836">
        <f t="shared" si="75"/>
        <v>0</v>
      </c>
    </row>
    <row r="4837" spans="1:14" x14ac:dyDescent="0.35">
      <c r="A4837" s="22" t="s">
        <v>4907</v>
      </c>
      <c r="B4837" s="23" t="s">
        <v>104</v>
      </c>
      <c r="C4837" s="23">
        <v>7</v>
      </c>
      <c r="D4837" s="24">
        <v>45839</v>
      </c>
      <c r="E4837" s="23" t="s">
        <v>13</v>
      </c>
      <c r="F4837" s="23" t="s">
        <v>40</v>
      </c>
      <c r="G4837" s="23" t="s">
        <v>31</v>
      </c>
      <c r="H4837" s="23" t="s">
        <v>16</v>
      </c>
      <c r="I4837" s="23">
        <v>72</v>
      </c>
      <c r="J4837" s="23">
        <v>1</v>
      </c>
      <c r="K4837" s="23">
        <v>5</v>
      </c>
      <c r="L4837" s="23" t="s">
        <v>55</v>
      </c>
      <c r="M4837" s="25">
        <v>3.9</v>
      </c>
      <c r="N4837">
        <f t="shared" si="75"/>
        <v>1</v>
      </c>
    </row>
    <row r="4838" spans="1:14" x14ac:dyDescent="0.35">
      <c r="A4838" s="6" t="s">
        <v>4908</v>
      </c>
      <c r="B4838" s="19" t="s">
        <v>69</v>
      </c>
      <c r="C4838" s="19">
        <v>5</v>
      </c>
      <c r="D4838" s="20">
        <v>45783</v>
      </c>
      <c r="E4838" s="19" t="s">
        <v>36</v>
      </c>
      <c r="F4838" s="19" t="s">
        <v>59</v>
      </c>
      <c r="G4838" s="19" t="s">
        <v>31</v>
      </c>
      <c r="H4838" s="19" t="s">
        <v>8364</v>
      </c>
      <c r="I4838" s="19">
        <v>4</v>
      </c>
      <c r="J4838" s="19">
        <v>0</v>
      </c>
      <c r="K4838" s="19">
        <v>1</v>
      </c>
      <c r="L4838" s="19" t="s">
        <v>38</v>
      </c>
      <c r="M4838" s="21">
        <v>4.7</v>
      </c>
      <c r="N4838">
        <f t="shared" si="75"/>
        <v>0</v>
      </c>
    </row>
    <row r="4839" spans="1:14" x14ac:dyDescent="0.35">
      <c r="A4839" s="22" t="s">
        <v>4909</v>
      </c>
      <c r="B4839" s="23" t="s">
        <v>87</v>
      </c>
      <c r="C4839" s="23">
        <v>10</v>
      </c>
      <c r="D4839" s="24">
        <v>45957</v>
      </c>
      <c r="E4839" s="23" t="s">
        <v>25</v>
      </c>
      <c r="F4839" s="23" t="s">
        <v>40</v>
      </c>
      <c r="G4839" s="23" t="s">
        <v>31</v>
      </c>
      <c r="H4839" s="23" t="s">
        <v>28</v>
      </c>
      <c r="I4839" s="23">
        <v>72</v>
      </c>
      <c r="J4839" s="23">
        <v>0</v>
      </c>
      <c r="K4839" s="23"/>
      <c r="L4839" s="23" t="s">
        <v>17</v>
      </c>
      <c r="M4839" s="25">
        <v>20.8</v>
      </c>
      <c r="N4839">
        <f t="shared" si="75"/>
        <v>1</v>
      </c>
    </row>
    <row r="4840" spans="1:14" x14ac:dyDescent="0.35">
      <c r="A4840" s="6" t="s">
        <v>4910</v>
      </c>
      <c r="B4840" s="19" t="s">
        <v>72</v>
      </c>
      <c r="C4840" s="19">
        <v>2</v>
      </c>
      <c r="D4840" s="20">
        <v>45702</v>
      </c>
      <c r="E4840" s="19" t="s">
        <v>13</v>
      </c>
      <c r="F4840" s="19" t="s">
        <v>14</v>
      </c>
      <c r="G4840" s="19" t="s">
        <v>31</v>
      </c>
      <c r="H4840" s="19" t="s">
        <v>8364</v>
      </c>
      <c r="I4840" s="19">
        <v>8</v>
      </c>
      <c r="J4840" s="19">
        <v>0</v>
      </c>
      <c r="K4840" s="19"/>
      <c r="L4840" s="19" t="s">
        <v>44</v>
      </c>
      <c r="M4840" s="21">
        <v>18.399999999999999</v>
      </c>
      <c r="N4840">
        <f t="shared" si="75"/>
        <v>0</v>
      </c>
    </row>
    <row r="4841" spans="1:14" x14ac:dyDescent="0.35">
      <c r="A4841" s="22" t="s">
        <v>4911</v>
      </c>
      <c r="B4841" s="23" t="s">
        <v>47</v>
      </c>
      <c r="C4841" s="23">
        <v>6</v>
      </c>
      <c r="D4841" s="24">
        <v>45817</v>
      </c>
      <c r="E4841" s="23" t="s">
        <v>20</v>
      </c>
      <c r="F4841" s="23" t="s">
        <v>14</v>
      </c>
      <c r="G4841" s="23" t="s">
        <v>15</v>
      </c>
      <c r="H4841" s="23" t="s">
        <v>28</v>
      </c>
      <c r="I4841" s="23">
        <v>4</v>
      </c>
      <c r="J4841" s="23">
        <v>1</v>
      </c>
      <c r="K4841" s="23">
        <v>5</v>
      </c>
      <c r="L4841" s="23" t="s">
        <v>17</v>
      </c>
      <c r="M4841" s="25">
        <v>15</v>
      </c>
      <c r="N4841">
        <f t="shared" si="75"/>
        <v>0</v>
      </c>
    </row>
    <row r="4842" spans="1:14" x14ac:dyDescent="0.35">
      <c r="A4842" s="6" t="s">
        <v>4912</v>
      </c>
      <c r="B4842" s="19" t="s">
        <v>236</v>
      </c>
      <c r="C4842" s="19">
        <v>10</v>
      </c>
      <c r="D4842" s="20">
        <v>45960</v>
      </c>
      <c r="E4842" s="19" t="s">
        <v>8364</v>
      </c>
      <c r="F4842" s="19" t="s">
        <v>14</v>
      </c>
      <c r="G4842" s="19" t="s">
        <v>8364</v>
      </c>
      <c r="H4842" s="19" t="s">
        <v>22</v>
      </c>
      <c r="I4842" s="19">
        <v>72</v>
      </c>
      <c r="J4842" s="19">
        <v>0</v>
      </c>
      <c r="K4842" s="19">
        <v>4</v>
      </c>
      <c r="L4842" s="19" t="s">
        <v>8363</v>
      </c>
      <c r="M4842" s="21">
        <v>5.9</v>
      </c>
      <c r="N4842">
        <f t="shared" si="75"/>
        <v>1</v>
      </c>
    </row>
    <row r="4843" spans="1:14" x14ac:dyDescent="0.35">
      <c r="A4843" s="22" t="s">
        <v>4913</v>
      </c>
      <c r="B4843" s="23" t="s">
        <v>104</v>
      </c>
      <c r="C4843" s="23">
        <v>12</v>
      </c>
      <c r="D4843" s="24">
        <v>46012</v>
      </c>
      <c r="E4843" s="23" t="s">
        <v>13</v>
      </c>
      <c r="F4843" s="23" t="s">
        <v>14</v>
      </c>
      <c r="G4843" s="23" t="s">
        <v>8364</v>
      </c>
      <c r="H4843" s="23" t="s">
        <v>16</v>
      </c>
      <c r="I4843" s="23">
        <v>24</v>
      </c>
      <c r="J4843" s="23">
        <v>0</v>
      </c>
      <c r="K4843" s="23">
        <v>4</v>
      </c>
      <c r="L4843" s="23" t="s">
        <v>8363</v>
      </c>
      <c r="M4843" s="25">
        <v>6.5</v>
      </c>
      <c r="N4843">
        <f t="shared" si="75"/>
        <v>1</v>
      </c>
    </row>
    <row r="4844" spans="1:14" x14ac:dyDescent="0.35">
      <c r="A4844" s="6" t="s">
        <v>4914</v>
      </c>
      <c r="B4844" s="19" t="s">
        <v>69</v>
      </c>
      <c r="C4844" s="19">
        <v>4</v>
      </c>
      <c r="D4844" s="20">
        <v>45748</v>
      </c>
      <c r="E4844" s="19" t="s">
        <v>25</v>
      </c>
      <c r="F4844" s="19" t="s">
        <v>43</v>
      </c>
      <c r="G4844" s="19" t="s">
        <v>31</v>
      </c>
      <c r="H4844" s="19" t="s">
        <v>28</v>
      </c>
      <c r="I4844" s="19">
        <v>8</v>
      </c>
      <c r="J4844" s="19">
        <v>1</v>
      </c>
      <c r="K4844" s="19">
        <v>3</v>
      </c>
      <c r="L4844" s="19" t="s">
        <v>33</v>
      </c>
      <c r="M4844" s="21">
        <v>8.8000000000000007</v>
      </c>
      <c r="N4844">
        <f t="shared" si="75"/>
        <v>0</v>
      </c>
    </row>
    <row r="4845" spans="1:14" x14ac:dyDescent="0.35">
      <c r="A4845" s="22" t="s">
        <v>4915</v>
      </c>
      <c r="B4845" s="23" t="s">
        <v>47</v>
      </c>
      <c r="C4845" s="23">
        <v>5</v>
      </c>
      <c r="D4845" s="24">
        <v>45799</v>
      </c>
      <c r="E4845" s="23" t="s">
        <v>36</v>
      </c>
      <c r="F4845" s="23" t="s">
        <v>40</v>
      </c>
      <c r="G4845" s="23" t="s">
        <v>8364</v>
      </c>
      <c r="H4845" s="23" t="s">
        <v>22</v>
      </c>
      <c r="I4845" s="23">
        <v>48</v>
      </c>
      <c r="J4845" s="23">
        <v>0</v>
      </c>
      <c r="K4845" s="23">
        <v>4</v>
      </c>
      <c r="L4845" s="23" t="s">
        <v>55</v>
      </c>
      <c r="M4845" s="25">
        <v>10.6</v>
      </c>
      <c r="N4845">
        <f t="shared" si="75"/>
        <v>1</v>
      </c>
    </row>
    <row r="4846" spans="1:14" x14ac:dyDescent="0.35">
      <c r="A4846" s="6" t="s">
        <v>4916</v>
      </c>
      <c r="B4846" s="19" t="s">
        <v>89</v>
      </c>
      <c r="C4846" s="19">
        <v>3</v>
      </c>
      <c r="D4846" s="20">
        <v>45737</v>
      </c>
      <c r="E4846" s="19" t="s">
        <v>8364</v>
      </c>
      <c r="F4846" s="19" t="s">
        <v>26</v>
      </c>
      <c r="G4846" s="19" t="s">
        <v>27</v>
      </c>
      <c r="H4846" s="19" t="s">
        <v>22</v>
      </c>
      <c r="I4846" s="19">
        <v>8</v>
      </c>
      <c r="J4846" s="19">
        <v>0</v>
      </c>
      <c r="K4846" s="19">
        <v>3</v>
      </c>
      <c r="L4846" s="19" t="s">
        <v>44</v>
      </c>
      <c r="M4846" s="21">
        <v>46.4</v>
      </c>
      <c r="N4846">
        <f t="shared" si="75"/>
        <v>0</v>
      </c>
    </row>
    <row r="4847" spans="1:14" x14ac:dyDescent="0.35">
      <c r="A4847" s="22" t="s">
        <v>4917</v>
      </c>
      <c r="B4847" s="23" t="s">
        <v>57</v>
      </c>
      <c r="C4847" s="23"/>
      <c r="D4847" s="24"/>
      <c r="E4847" s="23" t="s">
        <v>13</v>
      </c>
      <c r="F4847" s="23" t="s">
        <v>14</v>
      </c>
      <c r="G4847" s="23" t="s">
        <v>8364</v>
      </c>
      <c r="H4847" s="23" t="s">
        <v>28</v>
      </c>
      <c r="I4847" s="23">
        <v>8</v>
      </c>
      <c r="J4847" s="23">
        <v>0</v>
      </c>
      <c r="K4847" s="23">
        <v>4</v>
      </c>
      <c r="L4847" s="23" t="s">
        <v>8363</v>
      </c>
      <c r="M4847" s="25">
        <v>12.4</v>
      </c>
      <c r="N4847">
        <f t="shared" si="75"/>
        <v>0</v>
      </c>
    </row>
    <row r="4848" spans="1:14" x14ac:dyDescent="0.35">
      <c r="A4848" s="6" t="s">
        <v>4918</v>
      </c>
      <c r="B4848" s="19" t="s">
        <v>104</v>
      </c>
      <c r="C4848" s="19">
        <v>3</v>
      </c>
      <c r="D4848" s="20">
        <v>45717</v>
      </c>
      <c r="E4848" s="19" t="s">
        <v>25</v>
      </c>
      <c r="F4848" s="19" t="s">
        <v>43</v>
      </c>
      <c r="G4848" s="19" t="s">
        <v>31</v>
      </c>
      <c r="H4848" s="19" t="s">
        <v>16</v>
      </c>
      <c r="I4848" s="19">
        <v>72</v>
      </c>
      <c r="J4848" s="19">
        <v>0</v>
      </c>
      <c r="K4848" s="19">
        <v>5</v>
      </c>
      <c r="L4848" s="19" t="s">
        <v>55</v>
      </c>
      <c r="M4848" s="21"/>
      <c r="N4848">
        <f t="shared" si="75"/>
        <v>1</v>
      </c>
    </row>
    <row r="4849" spans="1:14" x14ac:dyDescent="0.35">
      <c r="A4849" s="22" t="s">
        <v>4919</v>
      </c>
      <c r="B4849" s="23" t="s">
        <v>97</v>
      </c>
      <c r="C4849" s="23">
        <v>10</v>
      </c>
      <c r="D4849" s="24">
        <v>45960</v>
      </c>
      <c r="E4849" s="23" t="s">
        <v>13</v>
      </c>
      <c r="F4849" s="23" t="s">
        <v>8364</v>
      </c>
      <c r="G4849" s="23" t="s">
        <v>21</v>
      </c>
      <c r="H4849" s="23" t="s">
        <v>28</v>
      </c>
      <c r="I4849" s="23">
        <v>48</v>
      </c>
      <c r="J4849" s="23">
        <v>0</v>
      </c>
      <c r="K4849" s="23">
        <v>5</v>
      </c>
      <c r="L4849" s="23" t="s">
        <v>8363</v>
      </c>
      <c r="M4849" s="25">
        <v>17.100000000000001</v>
      </c>
      <c r="N4849">
        <f t="shared" si="75"/>
        <v>1</v>
      </c>
    </row>
    <row r="4850" spans="1:14" x14ac:dyDescent="0.35">
      <c r="A4850" s="6" t="s">
        <v>4920</v>
      </c>
      <c r="B4850" s="19" t="s">
        <v>108</v>
      </c>
      <c r="C4850" s="19">
        <v>7</v>
      </c>
      <c r="D4850" s="20">
        <v>45868</v>
      </c>
      <c r="E4850" s="19" t="s">
        <v>8364</v>
      </c>
      <c r="F4850" s="19" t="s">
        <v>59</v>
      </c>
      <c r="G4850" s="19" t="s">
        <v>31</v>
      </c>
      <c r="H4850" s="19" t="s">
        <v>16</v>
      </c>
      <c r="I4850" s="19">
        <v>24</v>
      </c>
      <c r="J4850" s="19">
        <v>2</v>
      </c>
      <c r="K4850" s="19">
        <v>4</v>
      </c>
      <c r="L4850" s="19" t="s">
        <v>17</v>
      </c>
      <c r="M4850" s="21">
        <v>13.6</v>
      </c>
      <c r="N4850">
        <f t="shared" si="75"/>
        <v>1</v>
      </c>
    </row>
    <row r="4851" spans="1:14" x14ac:dyDescent="0.35">
      <c r="A4851" s="22" t="s">
        <v>4921</v>
      </c>
      <c r="B4851" s="23" t="s">
        <v>47</v>
      </c>
      <c r="C4851" s="23"/>
      <c r="D4851" s="24"/>
      <c r="E4851" s="23" t="s">
        <v>8364</v>
      </c>
      <c r="F4851" s="23" t="s">
        <v>43</v>
      </c>
      <c r="G4851" s="23" t="s">
        <v>27</v>
      </c>
      <c r="H4851" s="23" t="s">
        <v>16</v>
      </c>
      <c r="I4851" s="23">
        <v>72</v>
      </c>
      <c r="J4851" s="23">
        <v>0</v>
      </c>
      <c r="K4851" s="23">
        <v>3</v>
      </c>
      <c r="L4851" s="23" t="s">
        <v>33</v>
      </c>
      <c r="M4851" s="25">
        <v>8.3000000000000007</v>
      </c>
      <c r="N4851">
        <f t="shared" si="75"/>
        <v>1</v>
      </c>
    </row>
    <row r="4852" spans="1:14" x14ac:dyDescent="0.35">
      <c r="A4852" s="6" t="s">
        <v>4922</v>
      </c>
      <c r="B4852" s="19" t="s">
        <v>72</v>
      </c>
      <c r="C4852" s="19">
        <v>5</v>
      </c>
      <c r="D4852" s="20">
        <v>45791</v>
      </c>
      <c r="E4852" s="19" t="s">
        <v>36</v>
      </c>
      <c r="F4852" s="19" t="s">
        <v>43</v>
      </c>
      <c r="G4852" s="19" t="s">
        <v>31</v>
      </c>
      <c r="H4852" s="19" t="s">
        <v>8364</v>
      </c>
      <c r="I4852" s="19">
        <v>4</v>
      </c>
      <c r="J4852" s="19">
        <v>0</v>
      </c>
      <c r="K4852" s="19">
        <v>4</v>
      </c>
      <c r="L4852" s="19" t="s">
        <v>75</v>
      </c>
      <c r="M4852" s="21"/>
      <c r="N4852">
        <f t="shared" si="75"/>
        <v>1</v>
      </c>
    </row>
    <row r="4853" spans="1:14" x14ac:dyDescent="0.35">
      <c r="A4853" s="22" t="s">
        <v>4923</v>
      </c>
      <c r="B4853" s="23" t="s">
        <v>101</v>
      </c>
      <c r="C4853" s="23">
        <v>11</v>
      </c>
      <c r="D4853" s="24">
        <v>45970</v>
      </c>
      <c r="E4853" s="23" t="s">
        <v>20</v>
      </c>
      <c r="F4853" s="23" t="s">
        <v>8364</v>
      </c>
      <c r="G4853" s="23" t="s">
        <v>21</v>
      </c>
      <c r="H4853" s="23" t="s">
        <v>16</v>
      </c>
      <c r="I4853" s="23">
        <v>48</v>
      </c>
      <c r="J4853" s="23">
        <v>0</v>
      </c>
      <c r="K4853" s="23">
        <v>5</v>
      </c>
      <c r="L4853" s="23" t="s">
        <v>55</v>
      </c>
      <c r="M4853" s="25">
        <v>2.7</v>
      </c>
      <c r="N4853">
        <f t="shared" si="75"/>
        <v>1</v>
      </c>
    </row>
    <row r="4854" spans="1:14" x14ac:dyDescent="0.35">
      <c r="A4854" s="6" t="s">
        <v>4924</v>
      </c>
      <c r="B4854" s="19" t="s">
        <v>18</v>
      </c>
      <c r="C4854" s="19">
        <v>1</v>
      </c>
      <c r="D4854" s="20">
        <v>45664</v>
      </c>
      <c r="E4854" s="19" t="s">
        <v>13</v>
      </c>
      <c r="F4854" s="19" t="s">
        <v>14</v>
      </c>
      <c r="G4854" s="19" t="s">
        <v>31</v>
      </c>
      <c r="H4854" s="19" t="s">
        <v>22</v>
      </c>
      <c r="I4854" s="19">
        <v>48</v>
      </c>
      <c r="J4854" s="19">
        <v>0</v>
      </c>
      <c r="K4854" s="19">
        <v>5</v>
      </c>
      <c r="L4854" s="19" t="s">
        <v>62</v>
      </c>
      <c r="M4854" s="21">
        <v>8.1999999999999993</v>
      </c>
      <c r="N4854">
        <f t="shared" si="75"/>
        <v>1</v>
      </c>
    </row>
    <row r="4855" spans="1:14" x14ac:dyDescent="0.35">
      <c r="A4855" s="22" t="s">
        <v>4925</v>
      </c>
      <c r="B4855" s="23" t="s">
        <v>101</v>
      </c>
      <c r="C4855" s="23">
        <v>5</v>
      </c>
      <c r="D4855" s="24">
        <v>45801</v>
      </c>
      <c r="E4855" s="23" t="s">
        <v>36</v>
      </c>
      <c r="F4855" s="23" t="s">
        <v>26</v>
      </c>
      <c r="G4855" s="23" t="s">
        <v>31</v>
      </c>
      <c r="H4855" s="23" t="s">
        <v>22</v>
      </c>
      <c r="I4855" s="23">
        <v>8</v>
      </c>
      <c r="J4855" s="23">
        <v>2</v>
      </c>
      <c r="K4855" s="23">
        <v>5</v>
      </c>
      <c r="L4855" s="23" t="s">
        <v>55</v>
      </c>
      <c r="M4855" s="25">
        <v>14.6</v>
      </c>
      <c r="N4855">
        <f t="shared" si="75"/>
        <v>0</v>
      </c>
    </row>
    <row r="4856" spans="1:14" x14ac:dyDescent="0.35">
      <c r="A4856" s="6" t="s">
        <v>4926</v>
      </c>
      <c r="B4856" s="19" t="s">
        <v>51</v>
      </c>
      <c r="C4856" s="19">
        <v>11</v>
      </c>
      <c r="D4856" s="20">
        <v>45977</v>
      </c>
      <c r="E4856" s="19" t="s">
        <v>25</v>
      </c>
      <c r="F4856" s="19" t="s">
        <v>14</v>
      </c>
      <c r="G4856" s="19" t="s">
        <v>27</v>
      </c>
      <c r="H4856" s="19" t="s">
        <v>8364</v>
      </c>
      <c r="I4856" s="19">
        <v>4</v>
      </c>
      <c r="J4856" s="19">
        <v>0</v>
      </c>
      <c r="K4856" s="19">
        <v>4</v>
      </c>
      <c r="L4856" s="19" t="s">
        <v>17</v>
      </c>
      <c r="M4856" s="21">
        <v>15.1</v>
      </c>
      <c r="N4856">
        <f t="shared" si="75"/>
        <v>0</v>
      </c>
    </row>
    <row r="4857" spans="1:14" x14ac:dyDescent="0.35">
      <c r="A4857" s="22" t="s">
        <v>4927</v>
      </c>
      <c r="B4857" s="23" t="s">
        <v>89</v>
      </c>
      <c r="C4857" s="23">
        <v>7</v>
      </c>
      <c r="D4857" s="24">
        <v>45868</v>
      </c>
      <c r="E4857" s="23" t="s">
        <v>68</v>
      </c>
      <c r="F4857" s="23" t="s">
        <v>43</v>
      </c>
      <c r="G4857" s="23" t="s">
        <v>31</v>
      </c>
      <c r="H4857" s="23" t="s">
        <v>22</v>
      </c>
      <c r="I4857" s="23">
        <v>48</v>
      </c>
      <c r="J4857" s="23">
        <v>0</v>
      </c>
      <c r="K4857" s="23"/>
      <c r="L4857" s="23" t="s">
        <v>75</v>
      </c>
      <c r="M4857" s="25"/>
      <c r="N4857">
        <f t="shared" si="75"/>
        <v>1</v>
      </c>
    </row>
    <row r="4858" spans="1:14" x14ac:dyDescent="0.35">
      <c r="A4858" s="6" t="s">
        <v>4928</v>
      </c>
      <c r="B4858" s="19" t="s">
        <v>34</v>
      </c>
      <c r="C4858" s="19">
        <v>2</v>
      </c>
      <c r="D4858" s="20">
        <v>45694</v>
      </c>
      <c r="E4858" s="19" t="s">
        <v>20</v>
      </c>
      <c r="F4858" s="19" t="s">
        <v>40</v>
      </c>
      <c r="G4858" s="19" t="s">
        <v>31</v>
      </c>
      <c r="H4858" s="19" t="s">
        <v>28</v>
      </c>
      <c r="I4858" s="19">
        <v>24</v>
      </c>
      <c r="J4858" s="19">
        <v>2</v>
      </c>
      <c r="K4858" s="19">
        <v>4</v>
      </c>
      <c r="L4858" s="19" t="s">
        <v>8363</v>
      </c>
      <c r="M4858" s="21">
        <v>14.6</v>
      </c>
      <c r="N4858">
        <f t="shared" si="75"/>
        <v>1</v>
      </c>
    </row>
    <row r="4859" spans="1:14" x14ac:dyDescent="0.35">
      <c r="A4859" s="22" t="s">
        <v>4929</v>
      </c>
      <c r="B4859" s="23" t="s">
        <v>34</v>
      </c>
      <c r="C4859" s="23">
        <v>1</v>
      </c>
      <c r="D4859" s="24">
        <v>45671</v>
      </c>
      <c r="E4859" s="23" t="s">
        <v>36</v>
      </c>
      <c r="F4859" s="23" t="s">
        <v>8364</v>
      </c>
      <c r="G4859" s="23" t="s">
        <v>31</v>
      </c>
      <c r="H4859" s="23" t="s">
        <v>22</v>
      </c>
      <c r="I4859" s="23">
        <v>48</v>
      </c>
      <c r="J4859" s="23">
        <v>1</v>
      </c>
      <c r="K4859" s="23">
        <v>2</v>
      </c>
      <c r="L4859" s="23" t="s">
        <v>44</v>
      </c>
      <c r="M4859" s="25">
        <v>11.7</v>
      </c>
      <c r="N4859">
        <f t="shared" si="75"/>
        <v>1</v>
      </c>
    </row>
    <row r="4860" spans="1:14" x14ac:dyDescent="0.35">
      <c r="A4860" s="6" t="s">
        <v>4930</v>
      </c>
      <c r="B4860" s="19" t="s">
        <v>181</v>
      </c>
      <c r="C4860" s="19">
        <v>8</v>
      </c>
      <c r="D4860" s="20">
        <v>45894</v>
      </c>
      <c r="E4860" s="19" t="s">
        <v>8364</v>
      </c>
      <c r="F4860" s="19" t="s">
        <v>8364</v>
      </c>
      <c r="G4860" s="19" t="s">
        <v>15</v>
      </c>
      <c r="H4860" s="19" t="s">
        <v>8364</v>
      </c>
      <c r="I4860" s="19">
        <v>24</v>
      </c>
      <c r="J4860" s="19">
        <v>2</v>
      </c>
      <c r="K4860" s="19">
        <v>1</v>
      </c>
      <c r="L4860" s="19" t="s">
        <v>44</v>
      </c>
      <c r="M4860" s="21">
        <v>0.9</v>
      </c>
      <c r="N4860">
        <f t="shared" si="75"/>
        <v>1</v>
      </c>
    </row>
    <row r="4861" spans="1:14" x14ac:dyDescent="0.35">
      <c r="A4861" s="22" t="s">
        <v>4931</v>
      </c>
      <c r="B4861" s="23" t="s">
        <v>41</v>
      </c>
      <c r="C4861" s="23">
        <v>1</v>
      </c>
      <c r="D4861" s="24">
        <v>45663</v>
      </c>
      <c r="E4861" s="23" t="s">
        <v>13</v>
      </c>
      <c r="F4861" s="23" t="s">
        <v>8364</v>
      </c>
      <c r="G4861" s="23" t="s">
        <v>21</v>
      </c>
      <c r="H4861" s="23" t="s">
        <v>28</v>
      </c>
      <c r="I4861" s="23">
        <v>72</v>
      </c>
      <c r="J4861" s="23">
        <v>0</v>
      </c>
      <c r="K4861" s="23">
        <v>3</v>
      </c>
      <c r="L4861" s="23" t="s">
        <v>62</v>
      </c>
      <c r="M4861" s="25">
        <v>7.6</v>
      </c>
      <c r="N4861">
        <f t="shared" si="75"/>
        <v>1</v>
      </c>
    </row>
    <row r="4862" spans="1:14" x14ac:dyDescent="0.35">
      <c r="A4862" s="6" t="s">
        <v>4932</v>
      </c>
      <c r="B4862" s="19" t="s">
        <v>49</v>
      </c>
      <c r="C4862" s="19"/>
      <c r="D4862" s="20"/>
      <c r="E4862" s="19" t="s">
        <v>8364</v>
      </c>
      <c r="F4862" s="19" t="s">
        <v>40</v>
      </c>
      <c r="G4862" s="19" t="s">
        <v>31</v>
      </c>
      <c r="H4862" s="19" t="s">
        <v>22</v>
      </c>
      <c r="I4862" s="19">
        <v>48</v>
      </c>
      <c r="J4862" s="19">
        <v>0</v>
      </c>
      <c r="K4862" s="19"/>
      <c r="L4862" s="19" t="s">
        <v>17</v>
      </c>
      <c r="M4862" s="21">
        <v>16.3</v>
      </c>
      <c r="N4862">
        <f t="shared" si="75"/>
        <v>1</v>
      </c>
    </row>
    <row r="4863" spans="1:14" x14ac:dyDescent="0.35">
      <c r="A4863" s="22" t="s">
        <v>4933</v>
      </c>
      <c r="B4863" s="23" t="s">
        <v>45</v>
      </c>
      <c r="C4863" s="23">
        <v>1</v>
      </c>
      <c r="D4863" s="24">
        <v>45678</v>
      </c>
      <c r="E4863" s="23" t="s">
        <v>36</v>
      </c>
      <c r="F4863" s="23" t="s">
        <v>59</v>
      </c>
      <c r="G4863" s="23" t="s">
        <v>8364</v>
      </c>
      <c r="H4863" s="23" t="s">
        <v>22</v>
      </c>
      <c r="I4863" s="23">
        <v>24</v>
      </c>
      <c r="J4863" s="23">
        <v>1</v>
      </c>
      <c r="K4863" s="23">
        <v>4</v>
      </c>
      <c r="L4863" s="23" t="s">
        <v>44</v>
      </c>
      <c r="M4863" s="25">
        <v>5</v>
      </c>
      <c r="N4863">
        <f t="shared" si="75"/>
        <v>1</v>
      </c>
    </row>
    <row r="4864" spans="1:14" x14ac:dyDescent="0.35">
      <c r="A4864" s="6" t="s">
        <v>4934</v>
      </c>
      <c r="B4864" s="19" t="s">
        <v>57</v>
      </c>
      <c r="C4864" s="19">
        <v>11</v>
      </c>
      <c r="D4864" s="20">
        <v>45971</v>
      </c>
      <c r="E4864" s="19" t="s">
        <v>20</v>
      </c>
      <c r="F4864" s="19" t="s">
        <v>26</v>
      </c>
      <c r="G4864" s="19" t="s">
        <v>27</v>
      </c>
      <c r="H4864" s="19" t="s">
        <v>22</v>
      </c>
      <c r="I4864" s="19">
        <v>8</v>
      </c>
      <c r="J4864" s="19">
        <v>0</v>
      </c>
      <c r="K4864" s="19">
        <v>5</v>
      </c>
      <c r="L4864" s="19" t="s">
        <v>38</v>
      </c>
      <c r="M4864" s="21">
        <v>11.2</v>
      </c>
      <c r="N4864">
        <f t="shared" si="75"/>
        <v>0</v>
      </c>
    </row>
    <row r="4865" spans="1:14" x14ac:dyDescent="0.35">
      <c r="A4865" s="22" t="s">
        <v>4935</v>
      </c>
      <c r="B4865" s="23" t="s">
        <v>89</v>
      </c>
      <c r="C4865" s="23">
        <v>1</v>
      </c>
      <c r="D4865" s="24">
        <v>45666</v>
      </c>
      <c r="E4865" s="23" t="s">
        <v>25</v>
      </c>
      <c r="F4865" s="23" t="s">
        <v>8364</v>
      </c>
      <c r="G4865" s="23" t="s">
        <v>27</v>
      </c>
      <c r="H4865" s="23" t="s">
        <v>22</v>
      </c>
      <c r="I4865" s="23">
        <v>72</v>
      </c>
      <c r="J4865" s="23">
        <v>1</v>
      </c>
      <c r="K4865" s="23">
        <v>4</v>
      </c>
      <c r="L4865" s="23" t="s">
        <v>8363</v>
      </c>
      <c r="M4865" s="25">
        <v>16.8</v>
      </c>
      <c r="N4865">
        <f t="shared" si="75"/>
        <v>1</v>
      </c>
    </row>
    <row r="4866" spans="1:14" x14ac:dyDescent="0.35">
      <c r="A4866" s="6" t="s">
        <v>4936</v>
      </c>
      <c r="B4866" s="19" t="s">
        <v>101</v>
      </c>
      <c r="C4866" s="19">
        <v>11</v>
      </c>
      <c r="D4866" s="20">
        <v>45963</v>
      </c>
      <c r="E4866" s="19" t="s">
        <v>25</v>
      </c>
      <c r="F4866" s="19" t="s">
        <v>14</v>
      </c>
      <c r="G4866" s="19" t="s">
        <v>15</v>
      </c>
      <c r="H4866" s="19" t="s">
        <v>28</v>
      </c>
      <c r="I4866" s="19">
        <v>8</v>
      </c>
      <c r="J4866" s="19">
        <v>0</v>
      </c>
      <c r="K4866" s="19">
        <v>5</v>
      </c>
      <c r="L4866" s="19" t="s">
        <v>33</v>
      </c>
      <c r="M4866" s="21"/>
      <c r="N4866">
        <f t="shared" si="75"/>
        <v>1</v>
      </c>
    </row>
    <row r="4867" spans="1:14" x14ac:dyDescent="0.35">
      <c r="A4867" s="22" t="s">
        <v>4937</v>
      </c>
      <c r="B4867" s="23" t="s">
        <v>69</v>
      </c>
      <c r="C4867" s="23">
        <v>8</v>
      </c>
      <c r="D4867" s="24">
        <v>45887</v>
      </c>
      <c r="E4867" s="23" t="s">
        <v>8364</v>
      </c>
      <c r="F4867" s="23" t="s">
        <v>14</v>
      </c>
      <c r="G4867" s="23" t="s">
        <v>8364</v>
      </c>
      <c r="H4867" s="23" t="s">
        <v>16</v>
      </c>
      <c r="I4867" s="23">
        <v>48</v>
      </c>
      <c r="J4867" s="23">
        <v>1</v>
      </c>
      <c r="K4867" s="23"/>
      <c r="L4867" s="23" t="s">
        <v>17</v>
      </c>
      <c r="M4867" s="25">
        <v>4.5</v>
      </c>
      <c r="N4867">
        <f t="shared" ref="N4867:N4930" si="76">IF(M4867 &lt;= I4867, 1, 0)</f>
        <v>1</v>
      </c>
    </row>
    <row r="4868" spans="1:14" x14ac:dyDescent="0.35">
      <c r="A4868" s="6" t="s">
        <v>4938</v>
      </c>
      <c r="B4868" s="19" t="s">
        <v>81</v>
      </c>
      <c r="C4868" s="19">
        <v>11</v>
      </c>
      <c r="D4868" s="20">
        <v>45967</v>
      </c>
      <c r="E4868" s="19" t="s">
        <v>36</v>
      </c>
      <c r="F4868" s="19" t="s">
        <v>14</v>
      </c>
      <c r="G4868" s="19" t="s">
        <v>15</v>
      </c>
      <c r="H4868" s="19" t="s">
        <v>32</v>
      </c>
      <c r="I4868" s="19">
        <v>72</v>
      </c>
      <c r="J4868" s="19">
        <v>0</v>
      </c>
      <c r="K4868" s="19">
        <v>3</v>
      </c>
      <c r="L4868" s="19" t="s">
        <v>44</v>
      </c>
      <c r="M4868" s="21">
        <v>29.3</v>
      </c>
      <c r="N4868">
        <f t="shared" si="76"/>
        <v>1</v>
      </c>
    </row>
    <row r="4869" spans="1:14" x14ac:dyDescent="0.35">
      <c r="A4869" s="22" t="s">
        <v>4939</v>
      </c>
      <c r="B4869" s="23" t="s">
        <v>89</v>
      </c>
      <c r="C4869" s="23">
        <v>2</v>
      </c>
      <c r="D4869" s="24">
        <v>45711</v>
      </c>
      <c r="E4869" s="23" t="s">
        <v>68</v>
      </c>
      <c r="F4869" s="23" t="s">
        <v>14</v>
      </c>
      <c r="G4869" s="23" t="s">
        <v>21</v>
      </c>
      <c r="H4869" s="23" t="s">
        <v>16</v>
      </c>
      <c r="I4869" s="23">
        <v>4</v>
      </c>
      <c r="J4869" s="23">
        <v>0</v>
      </c>
      <c r="K4869" s="23">
        <v>5</v>
      </c>
      <c r="L4869" s="23" t="s">
        <v>44</v>
      </c>
      <c r="M4869" s="25">
        <v>41.8</v>
      </c>
      <c r="N4869">
        <f t="shared" si="76"/>
        <v>0</v>
      </c>
    </row>
    <row r="4870" spans="1:14" x14ac:dyDescent="0.35">
      <c r="A4870" s="6" t="s">
        <v>4940</v>
      </c>
      <c r="B4870" s="19" t="s">
        <v>101</v>
      </c>
      <c r="C4870" s="19">
        <v>5</v>
      </c>
      <c r="D4870" s="20">
        <v>45791</v>
      </c>
      <c r="E4870" s="19" t="s">
        <v>25</v>
      </c>
      <c r="F4870" s="19" t="s">
        <v>37</v>
      </c>
      <c r="G4870" s="19" t="s">
        <v>8364</v>
      </c>
      <c r="H4870" s="19" t="s">
        <v>22</v>
      </c>
      <c r="I4870" s="19">
        <v>72</v>
      </c>
      <c r="J4870" s="19">
        <v>0</v>
      </c>
      <c r="K4870" s="19">
        <v>3</v>
      </c>
      <c r="L4870" s="19" t="s">
        <v>44</v>
      </c>
      <c r="M4870" s="21">
        <v>9.8000000000000007</v>
      </c>
      <c r="N4870">
        <f t="shared" si="76"/>
        <v>1</v>
      </c>
    </row>
    <row r="4871" spans="1:14" x14ac:dyDescent="0.35">
      <c r="A4871" s="22" t="s">
        <v>4941</v>
      </c>
      <c r="B4871" s="23" t="s">
        <v>143</v>
      </c>
      <c r="C4871" s="23">
        <v>2</v>
      </c>
      <c r="D4871" s="24">
        <v>45704</v>
      </c>
      <c r="E4871" s="23" t="s">
        <v>20</v>
      </c>
      <c r="F4871" s="23" t="s">
        <v>8364</v>
      </c>
      <c r="G4871" s="23" t="s">
        <v>21</v>
      </c>
      <c r="H4871" s="23" t="s">
        <v>22</v>
      </c>
      <c r="I4871" s="23">
        <v>24</v>
      </c>
      <c r="J4871" s="23">
        <v>2</v>
      </c>
      <c r="K4871" s="23">
        <v>2</v>
      </c>
      <c r="L4871" s="23" t="s">
        <v>33</v>
      </c>
      <c r="M4871" s="25">
        <v>10.5</v>
      </c>
      <c r="N4871">
        <f t="shared" si="76"/>
        <v>1</v>
      </c>
    </row>
    <row r="4872" spans="1:14" x14ac:dyDescent="0.35">
      <c r="A4872" s="6" t="s">
        <v>4942</v>
      </c>
      <c r="B4872" s="19" t="s">
        <v>99</v>
      </c>
      <c r="C4872" s="19">
        <v>5</v>
      </c>
      <c r="D4872" s="20">
        <v>45791</v>
      </c>
      <c r="E4872" s="19" t="s">
        <v>68</v>
      </c>
      <c r="F4872" s="19" t="s">
        <v>43</v>
      </c>
      <c r="G4872" s="19" t="s">
        <v>31</v>
      </c>
      <c r="H4872" s="19" t="s">
        <v>32</v>
      </c>
      <c r="I4872" s="19">
        <v>8</v>
      </c>
      <c r="J4872" s="19">
        <v>0</v>
      </c>
      <c r="K4872" s="19"/>
      <c r="L4872" s="19" t="s">
        <v>8363</v>
      </c>
      <c r="M4872" s="21">
        <v>2.1</v>
      </c>
      <c r="N4872">
        <f t="shared" si="76"/>
        <v>1</v>
      </c>
    </row>
    <row r="4873" spans="1:14" x14ac:dyDescent="0.35">
      <c r="A4873" s="22" t="s">
        <v>4943</v>
      </c>
      <c r="B4873" s="23" t="s">
        <v>47</v>
      </c>
      <c r="C4873" s="23">
        <v>4</v>
      </c>
      <c r="D4873" s="24">
        <v>45769</v>
      </c>
      <c r="E4873" s="23" t="s">
        <v>25</v>
      </c>
      <c r="F4873" s="23" t="s">
        <v>8364</v>
      </c>
      <c r="G4873" s="23" t="s">
        <v>31</v>
      </c>
      <c r="H4873" s="23" t="s">
        <v>22</v>
      </c>
      <c r="I4873" s="23">
        <v>4</v>
      </c>
      <c r="J4873" s="23">
        <v>0</v>
      </c>
      <c r="K4873" s="23">
        <v>5</v>
      </c>
      <c r="L4873" s="23" t="s">
        <v>8363</v>
      </c>
      <c r="M4873" s="25">
        <v>1.8</v>
      </c>
      <c r="N4873">
        <f t="shared" si="76"/>
        <v>1</v>
      </c>
    </row>
    <row r="4874" spans="1:14" x14ac:dyDescent="0.35">
      <c r="A4874" s="6" t="s">
        <v>4944</v>
      </c>
      <c r="B4874" s="19" t="s">
        <v>51</v>
      </c>
      <c r="C4874" s="19">
        <v>5</v>
      </c>
      <c r="D4874" s="20">
        <v>45791</v>
      </c>
      <c r="E4874" s="19" t="s">
        <v>68</v>
      </c>
      <c r="F4874" s="19" t="s">
        <v>14</v>
      </c>
      <c r="G4874" s="19" t="s">
        <v>15</v>
      </c>
      <c r="H4874" s="19" t="s">
        <v>8364</v>
      </c>
      <c r="I4874" s="19">
        <v>4</v>
      </c>
      <c r="J4874" s="19">
        <v>0</v>
      </c>
      <c r="K4874" s="19">
        <v>1</v>
      </c>
      <c r="L4874" s="19" t="s">
        <v>62</v>
      </c>
      <c r="M4874" s="21">
        <v>6</v>
      </c>
      <c r="N4874">
        <f t="shared" si="76"/>
        <v>0</v>
      </c>
    </row>
    <row r="4875" spans="1:14" x14ac:dyDescent="0.35">
      <c r="A4875" s="22" t="s">
        <v>4945</v>
      </c>
      <c r="B4875" s="23" t="s">
        <v>69</v>
      </c>
      <c r="C4875" s="23">
        <v>4</v>
      </c>
      <c r="D4875" s="24">
        <v>45763</v>
      </c>
      <c r="E4875" s="23" t="s">
        <v>20</v>
      </c>
      <c r="F4875" s="23" t="s">
        <v>37</v>
      </c>
      <c r="G4875" s="23" t="s">
        <v>31</v>
      </c>
      <c r="H4875" s="23" t="s">
        <v>22</v>
      </c>
      <c r="I4875" s="23">
        <v>24</v>
      </c>
      <c r="J4875" s="23">
        <v>0</v>
      </c>
      <c r="K4875" s="23">
        <v>4</v>
      </c>
      <c r="L4875" s="23" t="s">
        <v>44</v>
      </c>
      <c r="M4875" s="25">
        <v>11.2</v>
      </c>
      <c r="N4875">
        <f t="shared" si="76"/>
        <v>1</v>
      </c>
    </row>
    <row r="4876" spans="1:14" x14ac:dyDescent="0.35">
      <c r="A4876" s="6" t="s">
        <v>4946</v>
      </c>
      <c r="B4876" s="19" t="s">
        <v>139</v>
      </c>
      <c r="C4876" s="19">
        <v>4</v>
      </c>
      <c r="D4876" s="20">
        <v>45771</v>
      </c>
      <c r="E4876" s="19" t="s">
        <v>13</v>
      </c>
      <c r="F4876" s="19" t="s">
        <v>14</v>
      </c>
      <c r="G4876" s="19" t="s">
        <v>15</v>
      </c>
      <c r="H4876" s="19" t="s">
        <v>32</v>
      </c>
      <c r="I4876" s="19">
        <v>4</v>
      </c>
      <c r="J4876" s="19">
        <v>1</v>
      </c>
      <c r="K4876" s="19">
        <v>5</v>
      </c>
      <c r="L4876" s="19" t="s">
        <v>17</v>
      </c>
      <c r="M4876" s="21">
        <v>17.2</v>
      </c>
      <c r="N4876">
        <f t="shared" si="76"/>
        <v>0</v>
      </c>
    </row>
    <row r="4877" spans="1:14" x14ac:dyDescent="0.35">
      <c r="A4877" s="22" t="s">
        <v>4947</v>
      </c>
      <c r="B4877" s="23" t="s">
        <v>78</v>
      </c>
      <c r="C4877" s="23">
        <v>12</v>
      </c>
      <c r="D4877" s="24">
        <v>46017</v>
      </c>
      <c r="E4877" s="23" t="s">
        <v>25</v>
      </c>
      <c r="F4877" s="23" t="s">
        <v>14</v>
      </c>
      <c r="G4877" s="23" t="s">
        <v>21</v>
      </c>
      <c r="H4877" s="23" t="s">
        <v>22</v>
      </c>
      <c r="I4877" s="23">
        <v>24</v>
      </c>
      <c r="J4877" s="23">
        <v>3</v>
      </c>
      <c r="K4877" s="23">
        <v>3</v>
      </c>
      <c r="L4877" s="23" t="s">
        <v>44</v>
      </c>
      <c r="M4877" s="25">
        <v>16.2</v>
      </c>
      <c r="N4877">
        <f t="shared" si="76"/>
        <v>1</v>
      </c>
    </row>
    <row r="4878" spans="1:14" x14ac:dyDescent="0.35">
      <c r="A4878" s="6" t="s">
        <v>4948</v>
      </c>
      <c r="B4878" s="19" t="s">
        <v>65</v>
      </c>
      <c r="C4878" s="19">
        <v>9</v>
      </c>
      <c r="D4878" s="20">
        <v>45911</v>
      </c>
      <c r="E4878" s="19" t="s">
        <v>8364</v>
      </c>
      <c r="F4878" s="19" t="s">
        <v>14</v>
      </c>
      <c r="G4878" s="19" t="s">
        <v>21</v>
      </c>
      <c r="H4878" s="19" t="s">
        <v>16</v>
      </c>
      <c r="I4878" s="19">
        <v>24</v>
      </c>
      <c r="J4878" s="19">
        <v>0</v>
      </c>
      <c r="K4878" s="19">
        <v>2</v>
      </c>
      <c r="L4878" s="19" t="s">
        <v>8363</v>
      </c>
      <c r="M4878" s="21">
        <v>5.4</v>
      </c>
      <c r="N4878">
        <f t="shared" si="76"/>
        <v>1</v>
      </c>
    </row>
    <row r="4879" spans="1:14" x14ac:dyDescent="0.35">
      <c r="A4879" s="22" t="s">
        <v>4949</v>
      </c>
      <c r="B4879" s="23" t="s">
        <v>41</v>
      </c>
      <c r="C4879" s="23">
        <v>7</v>
      </c>
      <c r="D4879" s="24">
        <v>45862</v>
      </c>
      <c r="E4879" s="23" t="s">
        <v>25</v>
      </c>
      <c r="F4879" s="23" t="s">
        <v>14</v>
      </c>
      <c r="G4879" s="23" t="s">
        <v>31</v>
      </c>
      <c r="H4879" s="23" t="s">
        <v>22</v>
      </c>
      <c r="I4879" s="23">
        <v>24</v>
      </c>
      <c r="J4879" s="23">
        <v>1</v>
      </c>
      <c r="K4879" s="23"/>
      <c r="L4879" s="23" t="s">
        <v>44</v>
      </c>
      <c r="M4879" s="25">
        <v>31.8</v>
      </c>
      <c r="N4879">
        <f t="shared" si="76"/>
        <v>0</v>
      </c>
    </row>
    <row r="4880" spans="1:14" x14ac:dyDescent="0.35">
      <c r="A4880" s="6" t="s">
        <v>4950</v>
      </c>
      <c r="B4880" s="19" t="s">
        <v>49</v>
      </c>
      <c r="C4880" s="19">
        <v>11</v>
      </c>
      <c r="D4880" s="20">
        <v>45972</v>
      </c>
      <c r="E4880" s="19" t="s">
        <v>20</v>
      </c>
      <c r="F4880" s="19" t="s">
        <v>8364</v>
      </c>
      <c r="G4880" s="19" t="s">
        <v>31</v>
      </c>
      <c r="H4880" s="19" t="s">
        <v>8364</v>
      </c>
      <c r="I4880" s="19">
        <v>4</v>
      </c>
      <c r="J4880" s="19">
        <v>2</v>
      </c>
      <c r="K4880" s="19">
        <v>4</v>
      </c>
      <c r="L4880" s="19" t="s">
        <v>33</v>
      </c>
      <c r="M4880" s="21">
        <v>11.4</v>
      </c>
      <c r="N4880">
        <f t="shared" si="76"/>
        <v>0</v>
      </c>
    </row>
    <row r="4881" spans="1:14" x14ac:dyDescent="0.35">
      <c r="A4881" s="22" t="s">
        <v>4951</v>
      </c>
      <c r="B4881" s="23" t="s">
        <v>81</v>
      </c>
      <c r="C4881" s="23">
        <v>11</v>
      </c>
      <c r="D4881" s="24">
        <v>45978</v>
      </c>
      <c r="E4881" s="23" t="s">
        <v>8364</v>
      </c>
      <c r="F4881" s="23" t="s">
        <v>14</v>
      </c>
      <c r="G4881" s="23" t="s">
        <v>27</v>
      </c>
      <c r="H4881" s="23" t="s">
        <v>8364</v>
      </c>
      <c r="I4881" s="23">
        <v>24</v>
      </c>
      <c r="J4881" s="23">
        <v>0</v>
      </c>
      <c r="K4881" s="23">
        <v>3</v>
      </c>
      <c r="L4881" s="23" t="s">
        <v>75</v>
      </c>
      <c r="M4881" s="25">
        <v>17.7</v>
      </c>
      <c r="N4881">
        <f t="shared" si="76"/>
        <v>1</v>
      </c>
    </row>
    <row r="4882" spans="1:14" x14ac:dyDescent="0.35">
      <c r="A4882" s="6" t="s">
        <v>4952</v>
      </c>
      <c r="B4882" s="19" t="s">
        <v>39</v>
      </c>
      <c r="C4882" s="19">
        <v>9</v>
      </c>
      <c r="D4882" s="20">
        <v>45926</v>
      </c>
      <c r="E4882" s="19" t="s">
        <v>25</v>
      </c>
      <c r="F4882" s="19" t="s">
        <v>40</v>
      </c>
      <c r="G4882" s="19" t="s">
        <v>27</v>
      </c>
      <c r="H4882" s="19" t="s">
        <v>16</v>
      </c>
      <c r="I4882" s="19">
        <v>72</v>
      </c>
      <c r="J4882" s="19">
        <v>0</v>
      </c>
      <c r="K4882" s="19">
        <v>5</v>
      </c>
      <c r="L4882" s="19" t="s">
        <v>44</v>
      </c>
      <c r="M4882" s="21">
        <v>4.2</v>
      </c>
      <c r="N4882">
        <f t="shared" si="76"/>
        <v>1</v>
      </c>
    </row>
    <row r="4883" spans="1:14" x14ac:dyDescent="0.35">
      <c r="A4883" s="22" t="s">
        <v>4953</v>
      </c>
      <c r="B4883" s="23" t="s">
        <v>29</v>
      </c>
      <c r="C4883" s="23">
        <v>9</v>
      </c>
      <c r="D4883" s="24">
        <v>45915</v>
      </c>
      <c r="E4883" s="23" t="s">
        <v>25</v>
      </c>
      <c r="F4883" s="23" t="s">
        <v>14</v>
      </c>
      <c r="G4883" s="23" t="s">
        <v>31</v>
      </c>
      <c r="H4883" s="23" t="s">
        <v>22</v>
      </c>
      <c r="I4883" s="23">
        <v>24</v>
      </c>
      <c r="J4883" s="23">
        <v>0</v>
      </c>
      <c r="K4883" s="23">
        <v>4</v>
      </c>
      <c r="L4883" s="23" t="s">
        <v>8363</v>
      </c>
      <c r="M4883" s="25">
        <v>16.3</v>
      </c>
      <c r="N4883">
        <f t="shared" si="76"/>
        <v>1</v>
      </c>
    </row>
    <row r="4884" spans="1:14" x14ac:dyDescent="0.35">
      <c r="A4884" s="6" t="s">
        <v>4954</v>
      </c>
      <c r="B4884" s="19" t="s">
        <v>130</v>
      </c>
      <c r="C4884" s="19">
        <v>9</v>
      </c>
      <c r="D4884" s="20">
        <v>45906</v>
      </c>
      <c r="E4884" s="19" t="s">
        <v>13</v>
      </c>
      <c r="F4884" s="19" t="s">
        <v>14</v>
      </c>
      <c r="G4884" s="19" t="s">
        <v>15</v>
      </c>
      <c r="H4884" s="19" t="s">
        <v>22</v>
      </c>
      <c r="I4884" s="19">
        <v>4</v>
      </c>
      <c r="J4884" s="19">
        <v>1</v>
      </c>
      <c r="K4884" s="19">
        <v>3</v>
      </c>
      <c r="L4884" s="19" t="s">
        <v>8363</v>
      </c>
      <c r="M4884" s="21">
        <v>14.3</v>
      </c>
      <c r="N4884">
        <f t="shared" si="76"/>
        <v>0</v>
      </c>
    </row>
    <row r="4885" spans="1:14" x14ac:dyDescent="0.35">
      <c r="A4885" s="22" t="s">
        <v>4955</v>
      </c>
      <c r="B4885" s="23" t="s">
        <v>65</v>
      </c>
      <c r="C4885" s="23">
        <v>6</v>
      </c>
      <c r="D4885" s="24">
        <v>45833</v>
      </c>
      <c r="E4885" s="23" t="s">
        <v>20</v>
      </c>
      <c r="F4885" s="23" t="s">
        <v>8364</v>
      </c>
      <c r="G4885" s="23" t="s">
        <v>21</v>
      </c>
      <c r="H4885" s="23" t="s">
        <v>8364</v>
      </c>
      <c r="I4885" s="23">
        <v>4</v>
      </c>
      <c r="J4885" s="23">
        <v>3</v>
      </c>
      <c r="K4885" s="23">
        <v>3</v>
      </c>
      <c r="L4885" s="23" t="s">
        <v>17</v>
      </c>
      <c r="M4885" s="25">
        <v>13.8</v>
      </c>
      <c r="N4885">
        <f t="shared" si="76"/>
        <v>0</v>
      </c>
    </row>
    <row r="4886" spans="1:14" x14ac:dyDescent="0.35">
      <c r="A4886" s="6" t="s">
        <v>4956</v>
      </c>
      <c r="B4886" s="19" t="s">
        <v>130</v>
      </c>
      <c r="C4886" s="19">
        <v>6</v>
      </c>
      <c r="D4886" s="20">
        <v>45817</v>
      </c>
      <c r="E4886" s="19" t="s">
        <v>13</v>
      </c>
      <c r="F4886" s="19" t="s">
        <v>8364</v>
      </c>
      <c r="G4886" s="19" t="s">
        <v>31</v>
      </c>
      <c r="H4886" s="19" t="s">
        <v>22</v>
      </c>
      <c r="I4886" s="19">
        <v>8</v>
      </c>
      <c r="J4886" s="19">
        <v>0</v>
      </c>
      <c r="K4886" s="19">
        <v>1</v>
      </c>
      <c r="L4886" s="19" t="s">
        <v>38</v>
      </c>
      <c r="M4886" s="21">
        <v>38.4</v>
      </c>
      <c r="N4886">
        <f t="shared" si="76"/>
        <v>0</v>
      </c>
    </row>
    <row r="4887" spans="1:14" x14ac:dyDescent="0.35">
      <c r="A4887" s="22" t="s">
        <v>4957</v>
      </c>
      <c r="B4887" s="23" t="s">
        <v>23</v>
      </c>
      <c r="C4887" s="23">
        <v>5</v>
      </c>
      <c r="D4887" s="24">
        <v>45787</v>
      </c>
      <c r="E4887" s="23" t="s">
        <v>36</v>
      </c>
      <c r="F4887" s="23" t="s">
        <v>43</v>
      </c>
      <c r="G4887" s="23" t="s">
        <v>8364</v>
      </c>
      <c r="H4887" s="23" t="s">
        <v>28</v>
      </c>
      <c r="I4887" s="23">
        <v>8</v>
      </c>
      <c r="J4887" s="23">
        <v>0</v>
      </c>
      <c r="K4887" s="23">
        <v>4</v>
      </c>
      <c r="L4887" s="23" t="s">
        <v>33</v>
      </c>
      <c r="M4887" s="25">
        <v>12.6</v>
      </c>
      <c r="N4887">
        <f t="shared" si="76"/>
        <v>0</v>
      </c>
    </row>
    <row r="4888" spans="1:14" x14ac:dyDescent="0.35">
      <c r="A4888" s="6" t="s">
        <v>4958</v>
      </c>
      <c r="B4888" s="19" t="s">
        <v>130</v>
      </c>
      <c r="C4888" s="19">
        <v>4</v>
      </c>
      <c r="D4888" s="20">
        <v>45755</v>
      </c>
      <c r="E4888" s="19" t="s">
        <v>8364</v>
      </c>
      <c r="F4888" s="19" t="s">
        <v>8364</v>
      </c>
      <c r="G4888" s="19" t="s">
        <v>15</v>
      </c>
      <c r="H4888" s="19" t="s">
        <v>22</v>
      </c>
      <c r="I4888" s="19">
        <v>4</v>
      </c>
      <c r="J4888" s="19">
        <v>0</v>
      </c>
      <c r="K4888" s="19">
        <v>5</v>
      </c>
      <c r="L4888" s="19" t="s">
        <v>17</v>
      </c>
      <c r="M4888" s="21">
        <v>36.200000000000003</v>
      </c>
      <c r="N4888">
        <f t="shared" si="76"/>
        <v>0</v>
      </c>
    </row>
    <row r="4889" spans="1:14" x14ac:dyDescent="0.35">
      <c r="A4889" s="22" t="s">
        <v>4959</v>
      </c>
      <c r="B4889" s="23" t="s">
        <v>57</v>
      </c>
      <c r="C4889" s="23">
        <v>7</v>
      </c>
      <c r="D4889" s="24">
        <v>45866</v>
      </c>
      <c r="E4889" s="23" t="s">
        <v>8364</v>
      </c>
      <c r="F4889" s="23" t="s">
        <v>14</v>
      </c>
      <c r="G4889" s="23" t="s">
        <v>15</v>
      </c>
      <c r="H4889" s="23" t="s">
        <v>28</v>
      </c>
      <c r="I4889" s="23">
        <v>72</v>
      </c>
      <c r="J4889" s="23">
        <v>0</v>
      </c>
      <c r="K4889" s="23">
        <v>5</v>
      </c>
      <c r="L4889" s="23" t="s">
        <v>8363</v>
      </c>
      <c r="M4889" s="25">
        <v>15.3</v>
      </c>
      <c r="N4889">
        <f t="shared" si="76"/>
        <v>1</v>
      </c>
    </row>
    <row r="4890" spans="1:14" x14ac:dyDescent="0.35">
      <c r="A4890" s="6" t="s">
        <v>4960</v>
      </c>
      <c r="B4890" s="19" t="s">
        <v>139</v>
      </c>
      <c r="C4890" s="19">
        <v>1</v>
      </c>
      <c r="D4890" s="20">
        <v>45677</v>
      </c>
      <c r="E4890" s="19" t="s">
        <v>25</v>
      </c>
      <c r="F4890" s="19" t="s">
        <v>14</v>
      </c>
      <c r="G4890" s="19" t="s">
        <v>8364</v>
      </c>
      <c r="H4890" s="19" t="s">
        <v>22</v>
      </c>
      <c r="I4890" s="19">
        <v>72</v>
      </c>
      <c r="J4890" s="19">
        <v>0</v>
      </c>
      <c r="K4890" s="19"/>
      <c r="L4890" s="19" t="s">
        <v>38</v>
      </c>
      <c r="M4890" s="21">
        <v>13.9</v>
      </c>
      <c r="N4890">
        <f t="shared" si="76"/>
        <v>1</v>
      </c>
    </row>
    <row r="4891" spans="1:14" x14ac:dyDescent="0.35">
      <c r="A4891" s="22" t="s">
        <v>4961</v>
      </c>
      <c r="B4891" s="23" t="s">
        <v>23</v>
      </c>
      <c r="C4891" s="23">
        <v>8</v>
      </c>
      <c r="D4891" s="24">
        <v>45879</v>
      </c>
      <c r="E4891" s="23" t="s">
        <v>8364</v>
      </c>
      <c r="F4891" s="23" t="s">
        <v>8364</v>
      </c>
      <c r="G4891" s="23" t="s">
        <v>31</v>
      </c>
      <c r="H4891" s="23" t="s">
        <v>22</v>
      </c>
      <c r="I4891" s="23">
        <v>48</v>
      </c>
      <c r="J4891" s="23">
        <v>0</v>
      </c>
      <c r="K4891" s="23">
        <v>5</v>
      </c>
      <c r="L4891" s="23" t="s">
        <v>62</v>
      </c>
      <c r="M4891" s="25">
        <v>25</v>
      </c>
      <c r="N4891">
        <f t="shared" si="76"/>
        <v>1</v>
      </c>
    </row>
    <row r="4892" spans="1:14" x14ac:dyDescent="0.35">
      <c r="A4892" s="6" t="s">
        <v>4962</v>
      </c>
      <c r="B4892" s="19" t="s">
        <v>41</v>
      </c>
      <c r="C4892" s="19">
        <v>6</v>
      </c>
      <c r="D4892" s="20">
        <v>45814</v>
      </c>
      <c r="E4892" s="19" t="s">
        <v>25</v>
      </c>
      <c r="F4892" s="19" t="s">
        <v>14</v>
      </c>
      <c r="G4892" s="19" t="s">
        <v>31</v>
      </c>
      <c r="H4892" s="19" t="s">
        <v>28</v>
      </c>
      <c r="I4892" s="19">
        <v>8</v>
      </c>
      <c r="J4892" s="19">
        <v>1</v>
      </c>
      <c r="K4892" s="19">
        <v>3</v>
      </c>
      <c r="L4892" s="19" t="s">
        <v>8363</v>
      </c>
      <c r="M4892" s="21">
        <v>27.5</v>
      </c>
      <c r="N4892">
        <f t="shared" si="76"/>
        <v>0</v>
      </c>
    </row>
    <row r="4893" spans="1:14" x14ac:dyDescent="0.35">
      <c r="A4893" s="22" t="s">
        <v>4963</v>
      </c>
      <c r="B4893" s="23" t="s">
        <v>97</v>
      </c>
      <c r="C4893" s="23">
        <v>11</v>
      </c>
      <c r="D4893" s="24">
        <v>45983</v>
      </c>
      <c r="E4893" s="23" t="s">
        <v>20</v>
      </c>
      <c r="F4893" s="23" t="s">
        <v>14</v>
      </c>
      <c r="G4893" s="23" t="s">
        <v>15</v>
      </c>
      <c r="H4893" s="23" t="s">
        <v>22</v>
      </c>
      <c r="I4893" s="23">
        <v>24</v>
      </c>
      <c r="J4893" s="23">
        <v>0</v>
      </c>
      <c r="K4893" s="23">
        <v>4</v>
      </c>
      <c r="L4893" s="23" t="s">
        <v>33</v>
      </c>
      <c r="M4893" s="25">
        <v>7.8</v>
      </c>
      <c r="N4893">
        <f t="shared" si="76"/>
        <v>1</v>
      </c>
    </row>
    <row r="4894" spans="1:14" x14ac:dyDescent="0.35">
      <c r="A4894" s="6" t="s">
        <v>4964</v>
      </c>
      <c r="B4894" s="19" t="s">
        <v>41</v>
      </c>
      <c r="C4894" s="19"/>
      <c r="D4894" s="20"/>
      <c r="E4894" s="19" t="s">
        <v>25</v>
      </c>
      <c r="F4894" s="19" t="s">
        <v>14</v>
      </c>
      <c r="G4894" s="19" t="s">
        <v>27</v>
      </c>
      <c r="H4894" s="19" t="s">
        <v>22</v>
      </c>
      <c r="I4894" s="19">
        <v>24</v>
      </c>
      <c r="J4894" s="19">
        <v>1</v>
      </c>
      <c r="K4894" s="19">
        <v>4</v>
      </c>
      <c r="L4894" s="19" t="s">
        <v>38</v>
      </c>
      <c r="M4894" s="21">
        <v>1.8</v>
      </c>
      <c r="N4894">
        <f t="shared" si="76"/>
        <v>1</v>
      </c>
    </row>
    <row r="4895" spans="1:14" x14ac:dyDescent="0.35">
      <c r="A4895" s="22" t="s">
        <v>4965</v>
      </c>
      <c r="B4895" s="23" t="s">
        <v>78</v>
      </c>
      <c r="C4895" s="23">
        <v>12</v>
      </c>
      <c r="D4895" s="24">
        <v>46007</v>
      </c>
      <c r="E4895" s="23" t="s">
        <v>13</v>
      </c>
      <c r="F4895" s="23" t="s">
        <v>14</v>
      </c>
      <c r="G4895" s="23" t="s">
        <v>15</v>
      </c>
      <c r="H4895" s="23" t="s">
        <v>22</v>
      </c>
      <c r="I4895" s="23">
        <v>48</v>
      </c>
      <c r="J4895" s="23">
        <v>0</v>
      </c>
      <c r="K4895" s="23"/>
      <c r="L4895" s="23" t="s">
        <v>55</v>
      </c>
      <c r="M4895" s="25"/>
      <c r="N4895">
        <f t="shared" si="76"/>
        <v>1</v>
      </c>
    </row>
    <row r="4896" spans="1:14" x14ac:dyDescent="0.35">
      <c r="A4896" s="6" t="s">
        <v>4966</v>
      </c>
      <c r="B4896" s="19" t="s">
        <v>78</v>
      </c>
      <c r="C4896" s="19"/>
      <c r="D4896" s="20"/>
      <c r="E4896" s="19" t="s">
        <v>20</v>
      </c>
      <c r="F4896" s="19" t="s">
        <v>26</v>
      </c>
      <c r="G4896" s="19" t="s">
        <v>31</v>
      </c>
      <c r="H4896" s="19" t="s">
        <v>32</v>
      </c>
      <c r="I4896" s="19">
        <v>48</v>
      </c>
      <c r="J4896" s="19">
        <v>0</v>
      </c>
      <c r="K4896" s="19">
        <v>4</v>
      </c>
      <c r="L4896" s="19" t="s">
        <v>55</v>
      </c>
      <c r="M4896" s="21">
        <v>10.199999999999999</v>
      </c>
      <c r="N4896">
        <f t="shared" si="76"/>
        <v>1</v>
      </c>
    </row>
    <row r="4897" spans="1:14" x14ac:dyDescent="0.35">
      <c r="A4897" s="22" t="s">
        <v>4967</v>
      </c>
      <c r="B4897" s="23" t="s">
        <v>97</v>
      </c>
      <c r="C4897" s="23">
        <v>8</v>
      </c>
      <c r="D4897" s="24">
        <v>45897</v>
      </c>
      <c r="E4897" s="23" t="s">
        <v>20</v>
      </c>
      <c r="F4897" s="23" t="s">
        <v>26</v>
      </c>
      <c r="G4897" s="23" t="s">
        <v>21</v>
      </c>
      <c r="H4897" s="23" t="s">
        <v>28</v>
      </c>
      <c r="I4897" s="23">
        <v>48</v>
      </c>
      <c r="J4897" s="23">
        <v>0</v>
      </c>
      <c r="K4897" s="23"/>
      <c r="L4897" s="23" t="s">
        <v>44</v>
      </c>
      <c r="M4897" s="25">
        <v>19.899999999999999</v>
      </c>
      <c r="N4897">
        <f t="shared" si="76"/>
        <v>1</v>
      </c>
    </row>
    <row r="4898" spans="1:14" x14ac:dyDescent="0.35">
      <c r="A4898" s="6" t="s">
        <v>4968</v>
      </c>
      <c r="B4898" s="19" t="s">
        <v>85</v>
      </c>
      <c r="C4898" s="19">
        <v>9</v>
      </c>
      <c r="D4898" s="20">
        <v>45914</v>
      </c>
      <c r="E4898" s="19" t="s">
        <v>25</v>
      </c>
      <c r="F4898" s="19" t="s">
        <v>14</v>
      </c>
      <c r="G4898" s="19" t="s">
        <v>21</v>
      </c>
      <c r="H4898" s="19" t="s">
        <v>22</v>
      </c>
      <c r="I4898" s="19">
        <v>4</v>
      </c>
      <c r="J4898" s="19">
        <v>0</v>
      </c>
      <c r="K4898" s="19">
        <v>5</v>
      </c>
      <c r="L4898" s="19" t="s">
        <v>38</v>
      </c>
      <c r="M4898" s="21">
        <v>14.9</v>
      </c>
      <c r="N4898">
        <f t="shared" si="76"/>
        <v>0</v>
      </c>
    </row>
    <row r="4899" spans="1:14" x14ac:dyDescent="0.35">
      <c r="A4899" s="22" t="s">
        <v>4969</v>
      </c>
      <c r="B4899" s="23" t="s">
        <v>158</v>
      </c>
      <c r="C4899" s="23">
        <v>9</v>
      </c>
      <c r="D4899" s="24">
        <v>45904</v>
      </c>
      <c r="E4899" s="23" t="s">
        <v>68</v>
      </c>
      <c r="F4899" s="23" t="s">
        <v>14</v>
      </c>
      <c r="G4899" s="23" t="s">
        <v>27</v>
      </c>
      <c r="H4899" s="23" t="s">
        <v>28</v>
      </c>
      <c r="I4899" s="23">
        <v>24</v>
      </c>
      <c r="J4899" s="23">
        <v>0</v>
      </c>
      <c r="K4899" s="23">
        <v>3</v>
      </c>
      <c r="L4899" s="23" t="s">
        <v>8363</v>
      </c>
      <c r="M4899" s="25">
        <v>29.2</v>
      </c>
      <c r="N4899">
        <f t="shared" si="76"/>
        <v>0</v>
      </c>
    </row>
    <row r="4900" spans="1:14" x14ac:dyDescent="0.35">
      <c r="A4900" s="6" t="s">
        <v>4970</v>
      </c>
      <c r="B4900" s="19" t="s">
        <v>236</v>
      </c>
      <c r="C4900" s="19">
        <v>2</v>
      </c>
      <c r="D4900" s="20">
        <v>45696</v>
      </c>
      <c r="E4900" s="19" t="s">
        <v>8364</v>
      </c>
      <c r="F4900" s="19" t="s">
        <v>14</v>
      </c>
      <c r="G4900" s="19" t="s">
        <v>27</v>
      </c>
      <c r="H4900" s="19" t="s">
        <v>28</v>
      </c>
      <c r="I4900" s="19">
        <v>8</v>
      </c>
      <c r="J4900" s="19">
        <v>0</v>
      </c>
      <c r="K4900" s="19">
        <v>5</v>
      </c>
      <c r="L4900" s="19" t="s">
        <v>44</v>
      </c>
      <c r="M4900" s="21">
        <v>30.1</v>
      </c>
      <c r="N4900">
        <f t="shared" si="76"/>
        <v>0</v>
      </c>
    </row>
    <row r="4901" spans="1:14" x14ac:dyDescent="0.35">
      <c r="A4901" s="22" t="s">
        <v>4971</v>
      </c>
      <c r="B4901" s="23" t="s">
        <v>126</v>
      </c>
      <c r="C4901" s="23">
        <v>4</v>
      </c>
      <c r="D4901" s="24">
        <v>45765</v>
      </c>
      <c r="E4901" s="23" t="s">
        <v>8364</v>
      </c>
      <c r="F4901" s="23" t="s">
        <v>14</v>
      </c>
      <c r="G4901" s="23" t="s">
        <v>27</v>
      </c>
      <c r="H4901" s="23" t="s">
        <v>16</v>
      </c>
      <c r="I4901" s="23">
        <v>24</v>
      </c>
      <c r="J4901" s="23">
        <v>1</v>
      </c>
      <c r="K4901" s="23">
        <v>4</v>
      </c>
      <c r="L4901" s="23" t="s">
        <v>62</v>
      </c>
      <c r="M4901" s="25">
        <v>17.100000000000001</v>
      </c>
      <c r="N4901">
        <f t="shared" si="76"/>
        <v>1</v>
      </c>
    </row>
    <row r="4902" spans="1:14" x14ac:dyDescent="0.35">
      <c r="A4902" s="6" t="s">
        <v>4972</v>
      </c>
      <c r="B4902" s="19" t="s">
        <v>65</v>
      </c>
      <c r="C4902" s="19">
        <v>11</v>
      </c>
      <c r="D4902" s="20">
        <v>45991</v>
      </c>
      <c r="E4902" s="19" t="s">
        <v>13</v>
      </c>
      <c r="F4902" s="19" t="s">
        <v>8364</v>
      </c>
      <c r="G4902" s="19" t="s">
        <v>31</v>
      </c>
      <c r="H4902" s="19" t="s">
        <v>22</v>
      </c>
      <c r="I4902" s="19">
        <v>48</v>
      </c>
      <c r="J4902" s="19">
        <v>0</v>
      </c>
      <c r="K4902" s="19">
        <v>5</v>
      </c>
      <c r="L4902" s="19" t="s">
        <v>75</v>
      </c>
      <c r="M4902" s="21">
        <v>8.9</v>
      </c>
      <c r="N4902">
        <f t="shared" si="76"/>
        <v>1</v>
      </c>
    </row>
    <row r="4903" spans="1:14" x14ac:dyDescent="0.35">
      <c r="A4903" s="22" t="s">
        <v>4973</v>
      </c>
      <c r="B4903" s="23" t="s">
        <v>39</v>
      </c>
      <c r="C4903" s="23">
        <v>2</v>
      </c>
      <c r="D4903" s="24">
        <v>45689</v>
      </c>
      <c r="E4903" s="23" t="s">
        <v>36</v>
      </c>
      <c r="F4903" s="23" t="s">
        <v>59</v>
      </c>
      <c r="G4903" s="23" t="s">
        <v>27</v>
      </c>
      <c r="H4903" s="23" t="s">
        <v>22</v>
      </c>
      <c r="I4903" s="23">
        <v>48</v>
      </c>
      <c r="J4903" s="23">
        <v>1</v>
      </c>
      <c r="K4903" s="23">
        <v>5</v>
      </c>
      <c r="L4903" s="23" t="s">
        <v>55</v>
      </c>
      <c r="M4903" s="25">
        <v>5.0999999999999996</v>
      </c>
      <c r="N4903">
        <f t="shared" si="76"/>
        <v>1</v>
      </c>
    </row>
    <row r="4904" spans="1:14" x14ac:dyDescent="0.35">
      <c r="A4904" s="6" t="s">
        <v>4974</v>
      </c>
      <c r="B4904" s="19" t="s">
        <v>65</v>
      </c>
      <c r="C4904" s="19">
        <v>6</v>
      </c>
      <c r="D4904" s="20">
        <v>45811</v>
      </c>
      <c r="E4904" s="19" t="s">
        <v>13</v>
      </c>
      <c r="F4904" s="19" t="s">
        <v>14</v>
      </c>
      <c r="G4904" s="19" t="s">
        <v>31</v>
      </c>
      <c r="H4904" s="19" t="s">
        <v>32</v>
      </c>
      <c r="I4904" s="19">
        <v>48</v>
      </c>
      <c r="J4904" s="19">
        <v>0</v>
      </c>
      <c r="K4904" s="19">
        <v>4</v>
      </c>
      <c r="L4904" s="19" t="s">
        <v>44</v>
      </c>
      <c r="M4904" s="21">
        <v>16.3</v>
      </c>
      <c r="N4904">
        <f t="shared" si="76"/>
        <v>1</v>
      </c>
    </row>
    <row r="4905" spans="1:14" x14ac:dyDescent="0.35">
      <c r="A4905" s="22" t="s">
        <v>4975</v>
      </c>
      <c r="B4905" s="23" t="s">
        <v>92</v>
      </c>
      <c r="C4905" s="23"/>
      <c r="D4905" s="24"/>
      <c r="E4905" s="23" t="s">
        <v>25</v>
      </c>
      <c r="F4905" s="23" t="s">
        <v>59</v>
      </c>
      <c r="G4905" s="23" t="s">
        <v>21</v>
      </c>
      <c r="H4905" s="23" t="s">
        <v>28</v>
      </c>
      <c r="I4905" s="23">
        <v>48</v>
      </c>
      <c r="J4905" s="23">
        <v>0</v>
      </c>
      <c r="K4905" s="23"/>
      <c r="L4905" s="23" t="s">
        <v>75</v>
      </c>
      <c r="M4905" s="25">
        <v>16.5</v>
      </c>
      <c r="N4905">
        <f t="shared" si="76"/>
        <v>1</v>
      </c>
    </row>
    <row r="4906" spans="1:14" x14ac:dyDescent="0.35">
      <c r="A4906" s="6" t="s">
        <v>4976</v>
      </c>
      <c r="B4906" s="19" t="s">
        <v>130</v>
      </c>
      <c r="C4906" s="19"/>
      <c r="D4906" s="20"/>
      <c r="E4906" s="19" t="s">
        <v>13</v>
      </c>
      <c r="F4906" s="19" t="s">
        <v>43</v>
      </c>
      <c r="G4906" s="19" t="s">
        <v>15</v>
      </c>
      <c r="H4906" s="19" t="s">
        <v>22</v>
      </c>
      <c r="I4906" s="19">
        <v>48</v>
      </c>
      <c r="J4906" s="19">
        <v>0</v>
      </c>
      <c r="K4906" s="19">
        <v>5</v>
      </c>
      <c r="L4906" s="19" t="s">
        <v>38</v>
      </c>
      <c r="M4906" s="21">
        <v>7</v>
      </c>
      <c r="N4906">
        <f t="shared" si="76"/>
        <v>1</v>
      </c>
    </row>
    <row r="4907" spans="1:14" x14ac:dyDescent="0.35">
      <c r="A4907" s="22" t="s">
        <v>4977</v>
      </c>
      <c r="B4907" s="23" t="s">
        <v>87</v>
      </c>
      <c r="C4907" s="23"/>
      <c r="D4907" s="24"/>
      <c r="E4907" s="23" t="s">
        <v>25</v>
      </c>
      <c r="F4907" s="23" t="s">
        <v>43</v>
      </c>
      <c r="G4907" s="23" t="s">
        <v>15</v>
      </c>
      <c r="H4907" s="23" t="s">
        <v>22</v>
      </c>
      <c r="I4907" s="23">
        <v>8</v>
      </c>
      <c r="J4907" s="23">
        <v>0</v>
      </c>
      <c r="K4907" s="23">
        <v>5</v>
      </c>
      <c r="L4907" s="23" t="s">
        <v>33</v>
      </c>
      <c r="M4907" s="25">
        <v>17.600000000000001</v>
      </c>
      <c r="N4907">
        <f t="shared" si="76"/>
        <v>0</v>
      </c>
    </row>
    <row r="4908" spans="1:14" x14ac:dyDescent="0.35">
      <c r="A4908" s="6" t="s">
        <v>4978</v>
      </c>
      <c r="B4908" s="19" t="s">
        <v>65</v>
      </c>
      <c r="C4908" s="19">
        <v>4</v>
      </c>
      <c r="D4908" s="20">
        <v>45750</v>
      </c>
      <c r="E4908" s="19" t="s">
        <v>68</v>
      </c>
      <c r="F4908" s="19" t="s">
        <v>14</v>
      </c>
      <c r="G4908" s="19" t="s">
        <v>8364</v>
      </c>
      <c r="H4908" s="19" t="s">
        <v>22</v>
      </c>
      <c r="I4908" s="19">
        <v>8</v>
      </c>
      <c r="J4908" s="19">
        <v>1</v>
      </c>
      <c r="K4908" s="19"/>
      <c r="L4908" s="19" t="s">
        <v>8363</v>
      </c>
      <c r="M4908" s="21">
        <v>1.8</v>
      </c>
      <c r="N4908">
        <f t="shared" si="76"/>
        <v>1</v>
      </c>
    </row>
    <row r="4909" spans="1:14" x14ac:dyDescent="0.35">
      <c r="A4909" s="22" t="s">
        <v>4979</v>
      </c>
      <c r="B4909" s="23" t="s">
        <v>23</v>
      </c>
      <c r="C4909" s="23">
        <v>1</v>
      </c>
      <c r="D4909" s="24">
        <v>45664</v>
      </c>
      <c r="E4909" s="23" t="s">
        <v>25</v>
      </c>
      <c r="F4909" s="23" t="s">
        <v>37</v>
      </c>
      <c r="G4909" s="23" t="s">
        <v>15</v>
      </c>
      <c r="H4909" s="23" t="s">
        <v>16</v>
      </c>
      <c r="I4909" s="23">
        <v>8</v>
      </c>
      <c r="J4909" s="23">
        <v>0</v>
      </c>
      <c r="K4909" s="23">
        <v>5</v>
      </c>
      <c r="L4909" s="23" t="s">
        <v>17</v>
      </c>
      <c r="M4909" s="25">
        <v>19.600000000000001</v>
      </c>
      <c r="N4909">
        <f t="shared" si="76"/>
        <v>0</v>
      </c>
    </row>
    <row r="4910" spans="1:14" x14ac:dyDescent="0.35">
      <c r="A4910" s="6" t="s">
        <v>4980</v>
      </c>
      <c r="B4910" s="19" t="s">
        <v>97</v>
      </c>
      <c r="C4910" s="19">
        <v>5</v>
      </c>
      <c r="D4910" s="20">
        <v>45783</v>
      </c>
      <c r="E4910" s="19" t="s">
        <v>25</v>
      </c>
      <c r="F4910" s="19" t="s">
        <v>40</v>
      </c>
      <c r="G4910" s="19" t="s">
        <v>27</v>
      </c>
      <c r="H4910" s="19" t="s">
        <v>8364</v>
      </c>
      <c r="I4910" s="19">
        <v>8</v>
      </c>
      <c r="J4910" s="19">
        <v>2</v>
      </c>
      <c r="K4910" s="19">
        <v>5</v>
      </c>
      <c r="L4910" s="19" t="s">
        <v>8363</v>
      </c>
      <c r="M4910" s="21">
        <v>14.8</v>
      </c>
      <c r="N4910">
        <f t="shared" si="76"/>
        <v>0</v>
      </c>
    </row>
    <row r="4911" spans="1:14" x14ac:dyDescent="0.35">
      <c r="A4911" s="22" t="s">
        <v>4981</v>
      </c>
      <c r="B4911" s="23" t="s">
        <v>89</v>
      </c>
      <c r="C4911" s="23">
        <v>1</v>
      </c>
      <c r="D4911" s="24">
        <v>45676</v>
      </c>
      <c r="E4911" s="23" t="s">
        <v>13</v>
      </c>
      <c r="F4911" s="23" t="s">
        <v>14</v>
      </c>
      <c r="G4911" s="23" t="s">
        <v>31</v>
      </c>
      <c r="H4911" s="23" t="s">
        <v>22</v>
      </c>
      <c r="I4911" s="23">
        <v>48</v>
      </c>
      <c r="J4911" s="23">
        <v>0</v>
      </c>
      <c r="K4911" s="23">
        <v>3</v>
      </c>
      <c r="L4911" s="23" t="s">
        <v>75</v>
      </c>
      <c r="M4911" s="25">
        <v>14.1</v>
      </c>
      <c r="N4911">
        <f t="shared" si="76"/>
        <v>1</v>
      </c>
    </row>
    <row r="4912" spans="1:14" x14ac:dyDescent="0.35">
      <c r="A4912" s="6" t="s">
        <v>4982</v>
      </c>
      <c r="B4912" s="19" t="s">
        <v>69</v>
      </c>
      <c r="C4912" s="19">
        <v>8</v>
      </c>
      <c r="D4912" s="20">
        <v>45898</v>
      </c>
      <c r="E4912" s="19" t="s">
        <v>36</v>
      </c>
      <c r="F4912" s="19" t="s">
        <v>14</v>
      </c>
      <c r="G4912" s="19" t="s">
        <v>27</v>
      </c>
      <c r="H4912" s="19" t="s">
        <v>8364</v>
      </c>
      <c r="I4912" s="19">
        <v>48</v>
      </c>
      <c r="J4912" s="19">
        <v>2</v>
      </c>
      <c r="K4912" s="19">
        <v>1</v>
      </c>
      <c r="L4912" s="19" t="s">
        <v>55</v>
      </c>
      <c r="M4912" s="21">
        <v>5.9</v>
      </c>
      <c r="N4912">
        <f t="shared" si="76"/>
        <v>1</v>
      </c>
    </row>
    <row r="4913" spans="1:14" x14ac:dyDescent="0.35">
      <c r="A4913" s="22" t="s">
        <v>4983</v>
      </c>
      <c r="B4913" s="23" t="s">
        <v>101</v>
      </c>
      <c r="C4913" s="23"/>
      <c r="D4913" s="24"/>
      <c r="E4913" s="23" t="s">
        <v>25</v>
      </c>
      <c r="F4913" s="23" t="s">
        <v>43</v>
      </c>
      <c r="G4913" s="23" t="s">
        <v>15</v>
      </c>
      <c r="H4913" s="23" t="s">
        <v>8364</v>
      </c>
      <c r="I4913" s="23">
        <v>4</v>
      </c>
      <c r="J4913" s="23">
        <v>0</v>
      </c>
      <c r="K4913" s="23">
        <v>2</v>
      </c>
      <c r="L4913" s="23" t="s">
        <v>17</v>
      </c>
      <c r="M4913" s="25">
        <v>12.1</v>
      </c>
      <c r="N4913">
        <f t="shared" si="76"/>
        <v>0</v>
      </c>
    </row>
    <row r="4914" spans="1:14" x14ac:dyDescent="0.35">
      <c r="A4914" s="6" t="s">
        <v>4984</v>
      </c>
      <c r="B4914" s="19" t="s">
        <v>41</v>
      </c>
      <c r="C4914" s="19">
        <v>7</v>
      </c>
      <c r="D4914" s="20">
        <v>45842</v>
      </c>
      <c r="E4914" s="19" t="s">
        <v>36</v>
      </c>
      <c r="F4914" s="19" t="s">
        <v>8364</v>
      </c>
      <c r="G4914" s="19" t="s">
        <v>31</v>
      </c>
      <c r="H4914" s="19" t="s">
        <v>32</v>
      </c>
      <c r="I4914" s="19">
        <v>48</v>
      </c>
      <c r="J4914" s="19">
        <v>1</v>
      </c>
      <c r="K4914" s="19">
        <v>3</v>
      </c>
      <c r="L4914" s="19" t="s">
        <v>17</v>
      </c>
      <c r="M4914" s="21">
        <v>16.5</v>
      </c>
      <c r="N4914">
        <f t="shared" si="76"/>
        <v>1</v>
      </c>
    </row>
    <row r="4915" spans="1:14" x14ac:dyDescent="0.35">
      <c r="A4915" s="22" t="s">
        <v>4985</v>
      </c>
      <c r="B4915" s="23" t="s">
        <v>57</v>
      </c>
      <c r="C4915" s="23"/>
      <c r="D4915" s="24"/>
      <c r="E4915" s="23" t="s">
        <v>68</v>
      </c>
      <c r="F4915" s="23" t="s">
        <v>43</v>
      </c>
      <c r="G4915" s="23" t="s">
        <v>15</v>
      </c>
      <c r="H4915" s="23" t="s">
        <v>22</v>
      </c>
      <c r="I4915" s="23">
        <v>72</v>
      </c>
      <c r="J4915" s="23">
        <v>0</v>
      </c>
      <c r="K4915" s="23">
        <v>5</v>
      </c>
      <c r="L4915" s="23" t="s">
        <v>62</v>
      </c>
      <c r="M4915" s="25">
        <v>7.1</v>
      </c>
      <c r="N4915">
        <f t="shared" si="76"/>
        <v>1</v>
      </c>
    </row>
    <row r="4916" spans="1:14" x14ac:dyDescent="0.35">
      <c r="A4916" s="6" t="s">
        <v>4986</v>
      </c>
      <c r="B4916" s="19" t="s">
        <v>53</v>
      </c>
      <c r="C4916" s="19">
        <v>11</v>
      </c>
      <c r="D4916" s="20">
        <v>45988</v>
      </c>
      <c r="E4916" s="19" t="s">
        <v>25</v>
      </c>
      <c r="F4916" s="19" t="s">
        <v>14</v>
      </c>
      <c r="G4916" s="19" t="s">
        <v>8364</v>
      </c>
      <c r="H4916" s="19" t="s">
        <v>28</v>
      </c>
      <c r="I4916" s="19">
        <v>24</v>
      </c>
      <c r="J4916" s="19">
        <v>0</v>
      </c>
      <c r="K4916" s="19">
        <v>5</v>
      </c>
      <c r="L4916" s="19" t="s">
        <v>55</v>
      </c>
      <c r="M4916" s="21">
        <v>7.3</v>
      </c>
      <c r="N4916">
        <f t="shared" si="76"/>
        <v>1</v>
      </c>
    </row>
    <row r="4917" spans="1:14" x14ac:dyDescent="0.35">
      <c r="A4917" s="22" t="s">
        <v>4987</v>
      </c>
      <c r="B4917" s="23" t="s">
        <v>104</v>
      </c>
      <c r="C4917" s="23">
        <v>9</v>
      </c>
      <c r="D4917" s="24">
        <v>45915</v>
      </c>
      <c r="E4917" s="23" t="s">
        <v>25</v>
      </c>
      <c r="F4917" s="23" t="s">
        <v>14</v>
      </c>
      <c r="G4917" s="23" t="s">
        <v>27</v>
      </c>
      <c r="H4917" s="23" t="s">
        <v>8364</v>
      </c>
      <c r="I4917" s="23">
        <v>72</v>
      </c>
      <c r="J4917" s="23">
        <v>0</v>
      </c>
      <c r="K4917" s="23">
        <v>5</v>
      </c>
      <c r="L4917" s="23" t="s">
        <v>17</v>
      </c>
      <c r="M4917" s="25">
        <v>30.4</v>
      </c>
      <c r="N4917">
        <f t="shared" si="76"/>
        <v>1</v>
      </c>
    </row>
    <row r="4918" spans="1:14" x14ac:dyDescent="0.35">
      <c r="A4918" s="6" t="s">
        <v>4988</v>
      </c>
      <c r="B4918" s="19" t="s">
        <v>18</v>
      </c>
      <c r="C4918" s="19">
        <v>2</v>
      </c>
      <c r="D4918" s="20">
        <v>45716</v>
      </c>
      <c r="E4918" s="19" t="s">
        <v>8364</v>
      </c>
      <c r="F4918" s="19" t="s">
        <v>8364</v>
      </c>
      <c r="G4918" s="19" t="s">
        <v>15</v>
      </c>
      <c r="H4918" s="19" t="s">
        <v>22</v>
      </c>
      <c r="I4918" s="19">
        <v>48</v>
      </c>
      <c r="J4918" s="19">
        <v>1</v>
      </c>
      <c r="K4918" s="19">
        <v>4</v>
      </c>
      <c r="L4918" s="19" t="s">
        <v>55</v>
      </c>
      <c r="M4918" s="21">
        <v>4.3</v>
      </c>
      <c r="N4918">
        <f t="shared" si="76"/>
        <v>1</v>
      </c>
    </row>
    <row r="4919" spans="1:14" x14ac:dyDescent="0.35">
      <c r="A4919" s="22" t="s">
        <v>4989</v>
      </c>
      <c r="B4919" s="23" t="s">
        <v>139</v>
      </c>
      <c r="C4919" s="23"/>
      <c r="D4919" s="24"/>
      <c r="E4919" s="23" t="s">
        <v>25</v>
      </c>
      <c r="F4919" s="23" t="s">
        <v>59</v>
      </c>
      <c r="G4919" s="23" t="s">
        <v>15</v>
      </c>
      <c r="H4919" s="23" t="s">
        <v>8364</v>
      </c>
      <c r="I4919" s="23">
        <v>8</v>
      </c>
      <c r="J4919" s="23">
        <v>0</v>
      </c>
      <c r="K4919" s="23">
        <v>5</v>
      </c>
      <c r="L4919" s="23" t="s">
        <v>33</v>
      </c>
      <c r="M4919" s="25">
        <v>18.899999999999999</v>
      </c>
      <c r="N4919">
        <f t="shared" si="76"/>
        <v>0</v>
      </c>
    </row>
    <row r="4920" spans="1:14" x14ac:dyDescent="0.35">
      <c r="A4920" s="6" t="s">
        <v>4990</v>
      </c>
      <c r="B4920" s="19" t="s">
        <v>51</v>
      </c>
      <c r="C4920" s="19">
        <v>10</v>
      </c>
      <c r="D4920" s="20">
        <v>45951</v>
      </c>
      <c r="E4920" s="19" t="s">
        <v>25</v>
      </c>
      <c r="F4920" s="19" t="s">
        <v>14</v>
      </c>
      <c r="G4920" s="19" t="s">
        <v>31</v>
      </c>
      <c r="H4920" s="19" t="s">
        <v>8364</v>
      </c>
      <c r="I4920" s="19">
        <v>8</v>
      </c>
      <c r="J4920" s="19">
        <v>0</v>
      </c>
      <c r="K4920" s="19">
        <v>4</v>
      </c>
      <c r="L4920" s="19" t="s">
        <v>17</v>
      </c>
      <c r="M4920" s="21">
        <v>27.1</v>
      </c>
      <c r="N4920">
        <f t="shared" si="76"/>
        <v>0</v>
      </c>
    </row>
    <row r="4921" spans="1:14" x14ac:dyDescent="0.35">
      <c r="A4921" s="22" t="s">
        <v>4991</v>
      </c>
      <c r="B4921" s="23" t="s">
        <v>72</v>
      </c>
      <c r="C4921" s="23">
        <v>4</v>
      </c>
      <c r="D4921" s="24">
        <v>45754</v>
      </c>
      <c r="E4921" s="23" t="s">
        <v>25</v>
      </c>
      <c r="F4921" s="23" t="s">
        <v>14</v>
      </c>
      <c r="G4921" s="23" t="s">
        <v>15</v>
      </c>
      <c r="H4921" s="23" t="s">
        <v>8364</v>
      </c>
      <c r="I4921" s="23">
        <v>4</v>
      </c>
      <c r="J4921" s="23">
        <v>0</v>
      </c>
      <c r="K4921" s="23">
        <v>4</v>
      </c>
      <c r="L4921" s="23" t="s">
        <v>62</v>
      </c>
      <c r="M4921" s="25">
        <v>5.6</v>
      </c>
      <c r="N4921">
        <f t="shared" si="76"/>
        <v>0</v>
      </c>
    </row>
    <row r="4922" spans="1:14" x14ac:dyDescent="0.35">
      <c r="A4922" s="6" t="s">
        <v>4992</v>
      </c>
      <c r="B4922" s="19" t="s">
        <v>143</v>
      </c>
      <c r="C4922" s="19">
        <v>4</v>
      </c>
      <c r="D4922" s="20">
        <v>45748</v>
      </c>
      <c r="E4922" s="19" t="s">
        <v>25</v>
      </c>
      <c r="F4922" s="19" t="s">
        <v>26</v>
      </c>
      <c r="G4922" s="19" t="s">
        <v>31</v>
      </c>
      <c r="H4922" s="19" t="s">
        <v>28</v>
      </c>
      <c r="I4922" s="19">
        <v>48</v>
      </c>
      <c r="J4922" s="19">
        <v>0</v>
      </c>
      <c r="K4922" s="19"/>
      <c r="L4922" s="19" t="s">
        <v>8363</v>
      </c>
      <c r="M4922" s="21">
        <v>21</v>
      </c>
      <c r="N4922">
        <f t="shared" si="76"/>
        <v>1</v>
      </c>
    </row>
    <row r="4923" spans="1:14" x14ac:dyDescent="0.35">
      <c r="A4923" s="22" t="s">
        <v>4993</v>
      </c>
      <c r="B4923" s="23" t="s">
        <v>47</v>
      </c>
      <c r="C4923" s="23">
        <v>7</v>
      </c>
      <c r="D4923" s="24">
        <v>45856</v>
      </c>
      <c r="E4923" s="23" t="s">
        <v>25</v>
      </c>
      <c r="F4923" s="23" t="s">
        <v>14</v>
      </c>
      <c r="G4923" s="23" t="s">
        <v>15</v>
      </c>
      <c r="H4923" s="23" t="s">
        <v>22</v>
      </c>
      <c r="I4923" s="23">
        <v>48</v>
      </c>
      <c r="J4923" s="23">
        <v>0</v>
      </c>
      <c r="K4923" s="23">
        <v>3</v>
      </c>
      <c r="L4923" s="23" t="s">
        <v>62</v>
      </c>
      <c r="M4923" s="25">
        <v>8.9</v>
      </c>
      <c r="N4923">
        <f t="shared" si="76"/>
        <v>1</v>
      </c>
    </row>
    <row r="4924" spans="1:14" x14ac:dyDescent="0.35">
      <c r="A4924" s="6" t="s">
        <v>4994</v>
      </c>
      <c r="B4924" s="19" t="s">
        <v>69</v>
      </c>
      <c r="C4924" s="19">
        <v>11</v>
      </c>
      <c r="D4924" s="20">
        <v>45989</v>
      </c>
      <c r="E4924" s="19" t="s">
        <v>68</v>
      </c>
      <c r="F4924" s="19" t="s">
        <v>43</v>
      </c>
      <c r="G4924" s="19" t="s">
        <v>8364</v>
      </c>
      <c r="H4924" s="19" t="s">
        <v>28</v>
      </c>
      <c r="I4924" s="19">
        <v>24</v>
      </c>
      <c r="J4924" s="19">
        <v>0</v>
      </c>
      <c r="K4924" s="19">
        <v>5</v>
      </c>
      <c r="L4924" s="19" t="s">
        <v>75</v>
      </c>
      <c r="M4924" s="21">
        <v>1.5</v>
      </c>
      <c r="N4924">
        <f t="shared" si="76"/>
        <v>1</v>
      </c>
    </row>
    <row r="4925" spans="1:14" x14ac:dyDescent="0.35">
      <c r="A4925" s="22" t="s">
        <v>4995</v>
      </c>
      <c r="B4925" s="23" t="s">
        <v>69</v>
      </c>
      <c r="C4925" s="23">
        <v>12</v>
      </c>
      <c r="D4925" s="24">
        <v>46010</v>
      </c>
      <c r="E4925" s="23" t="s">
        <v>68</v>
      </c>
      <c r="F4925" s="23" t="s">
        <v>43</v>
      </c>
      <c r="G4925" s="23" t="s">
        <v>31</v>
      </c>
      <c r="H4925" s="23" t="s">
        <v>22</v>
      </c>
      <c r="I4925" s="23">
        <v>48</v>
      </c>
      <c r="J4925" s="23">
        <v>0</v>
      </c>
      <c r="K4925" s="23">
        <v>4</v>
      </c>
      <c r="L4925" s="23" t="s">
        <v>62</v>
      </c>
      <c r="M4925" s="25">
        <v>5.7</v>
      </c>
      <c r="N4925">
        <f t="shared" si="76"/>
        <v>1</v>
      </c>
    </row>
    <row r="4926" spans="1:14" x14ac:dyDescent="0.35">
      <c r="A4926" s="6" t="s">
        <v>4996</v>
      </c>
      <c r="B4926" s="19" t="s">
        <v>39</v>
      </c>
      <c r="C4926" s="19">
        <v>6</v>
      </c>
      <c r="D4926" s="20">
        <v>45831</v>
      </c>
      <c r="E4926" s="19" t="s">
        <v>25</v>
      </c>
      <c r="F4926" s="19" t="s">
        <v>43</v>
      </c>
      <c r="G4926" s="19" t="s">
        <v>15</v>
      </c>
      <c r="H4926" s="19" t="s">
        <v>22</v>
      </c>
      <c r="I4926" s="19">
        <v>4</v>
      </c>
      <c r="J4926" s="19">
        <v>3</v>
      </c>
      <c r="K4926" s="19">
        <v>4</v>
      </c>
      <c r="L4926" s="19" t="s">
        <v>75</v>
      </c>
      <c r="M4926" s="21">
        <v>9.8000000000000007</v>
      </c>
      <c r="N4926">
        <f t="shared" si="76"/>
        <v>0</v>
      </c>
    </row>
    <row r="4927" spans="1:14" x14ac:dyDescent="0.35">
      <c r="A4927" s="22" t="s">
        <v>4997</v>
      </c>
      <c r="B4927" s="23" t="s">
        <v>18</v>
      </c>
      <c r="C4927" s="23">
        <v>8</v>
      </c>
      <c r="D4927" s="24">
        <v>45889</v>
      </c>
      <c r="E4927" s="23" t="s">
        <v>13</v>
      </c>
      <c r="F4927" s="23" t="s">
        <v>43</v>
      </c>
      <c r="G4927" s="23" t="s">
        <v>21</v>
      </c>
      <c r="H4927" s="23" t="s">
        <v>8364</v>
      </c>
      <c r="I4927" s="23">
        <v>8</v>
      </c>
      <c r="J4927" s="23">
        <v>0</v>
      </c>
      <c r="K4927" s="23">
        <v>4</v>
      </c>
      <c r="L4927" s="23" t="s">
        <v>17</v>
      </c>
      <c r="M4927" s="25">
        <v>5</v>
      </c>
      <c r="N4927">
        <f t="shared" si="76"/>
        <v>1</v>
      </c>
    </row>
    <row r="4928" spans="1:14" x14ac:dyDescent="0.35">
      <c r="A4928" s="6" t="s">
        <v>4998</v>
      </c>
      <c r="B4928" s="19" t="s">
        <v>49</v>
      </c>
      <c r="C4928" s="19">
        <v>5</v>
      </c>
      <c r="D4928" s="20">
        <v>45788</v>
      </c>
      <c r="E4928" s="19" t="s">
        <v>20</v>
      </c>
      <c r="F4928" s="19" t="s">
        <v>59</v>
      </c>
      <c r="G4928" s="19" t="s">
        <v>27</v>
      </c>
      <c r="H4928" s="19" t="s">
        <v>8364</v>
      </c>
      <c r="I4928" s="19">
        <v>72</v>
      </c>
      <c r="J4928" s="19">
        <v>0</v>
      </c>
      <c r="K4928" s="19">
        <v>2</v>
      </c>
      <c r="L4928" s="19" t="s">
        <v>8363</v>
      </c>
      <c r="M4928" s="21">
        <v>10.9</v>
      </c>
      <c r="N4928">
        <f t="shared" si="76"/>
        <v>1</v>
      </c>
    </row>
    <row r="4929" spans="1:14" x14ac:dyDescent="0.35">
      <c r="A4929" s="22" t="s">
        <v>4999</v>
      </c>
      <c r="B4929" s="23" t="s">
        <v>34</v>
      </c>
      <c r="C4929" s="23">
        <v>4</v>
      </c>
      <c r="D4929" s="24">
        <v>45749</v>
      </c>
      <c r="E4929" s="23" t="s">
        <v>25</v>
      </c>
      <c r="F4929" s="23" t="s">
        <v>14</v>
      </c>
      <c r="G4929" s="23" t="s">
        <v>27</v>
      </c>
      <c r="H4929" s="23" t="s">
        <v>22</v>
      </c>
      <c r="I4929" s="23">
        <v>72</v>
      </c>
      <c r="J4929" s="23">
        <v>0</v>
      </c>
      <c r="K4929" s="23">
        <v>5</v>
      </c>
      <c r="L4929" s="23" t="s">
        <v>17</v>
      </c>
      <c r="M4929" s="25">
        <v>30.1</v>
      </c>
      <c r="N4929">
        <f t="shared" si="76"/>
        <v>1</v>
      </c>
    </row>
    <row r="4930" spans="1:14" x14ac:dyDescent="0.35">
      <c r="A4930" s="6" t="s">
        <v>5000</v>
      </c>
      <c r="B4930" s="19" t="s">
        <v>18</v>
      </c>
      <c r="C4930" s="19">
        <v>9</v>
      </c>
      <c r="D4930" s="20">
        <v>45904</v>
      </c>
      <c r="E4930" s="19" t="s">
        <v>25</v>
      </c>
      <c r="F4930" s="19" t="s">
        <v>43</v>
      </c>
      <c r="G4930" s="19" t="s">
        <v>15</v>
      </c>
      <c r="H4930" s="19" t="s">
        <v>28</v>
      </c>
      <c r="I4930" s="19">
        <v>4</v>
      </c>
      <c r="J4930" s="19">
        <v>0</v>
      </c>
      <c r="K4930" s="19">
        <v>3</v>
      </c>
      <c r="L4930" s="19" t="s">
        <v>38</v>
      </c>
      <c r="M4930" s="21">
        <v>13</v>
      </c>
      <c r="N4930">
        <f t="shared" si="76"/>
        <v>0</v>
      </c>
    </row>
    <row r="4931" spans="1:14" x14ac:dyDescent="0.35">
      <c r="A4931" s="22" t="s">
        <v>5001</v>
      </c>
      <c r="B4931" s="23" t="s">
        <v>104</v>
      </c>
      <c r="C4931" s="23">
        <v>7</v>
      </c>
      <c r="D4931" s="24">
        <v>45851</v>
      </c>
      <c r="E4931" s="23" t="s">
        <v>36</v>
      </c>
      <c r="F4931" s="23" t="s">
        <v>14</v>
      </c>
      <c r="G4931" s="23" t="s">
        <v>27</v>
      </c>
      <c r="H4931" s="23" t="s">
        <v>8364</v>
      </c>
      <c r="I4931" s="23">
        <v>8</v>
      </c>
      <c r="J4931" s="23">
        <v>2</v>
      </c>
      <c r="K4931" s="23"/>
      <c r="L4931" s="23" t="s">
        <v>62</v>
      </c>
      <c r="M4931" s="25">
        <v>11.8</v>
      </c>
      <c r="N4931">
        <f t="shared" ref="N4931:N4994" si="77">IF(M4931 &lt;= I4931, 1, 0)</f>
        <v>0</v>
      </c>
    </row>
    <row r="4932" spans="1:14" x14ac:dyDescent="0.35">
      <c r="A4932" s="6" t="s">
        <v>5002</v>
      </c>
      <c r="B4932" s="19" t="s">
        <v>23</v>
      </c>
      <c r="C4932" s="19">
        <v>11</v>
      </c>
      <c r="D4932" s="20">
        <v>45977</v>
      </c>
      <c r="E4932" s="19" t="s">
        <v>25</v>
      </c>
      <c r="F4932" s="19" t="s">
        <v>37</v>
      </c>
      <c r="G4932" s="19" t="s">
        <v>27</v>
      </c>
      <c r="H4932" s="19" t="s">
        <v>32</v>
      </c>
      <c r="I4932" s="19">
        <v>72</v>
      </c>
      <c r="J4932" s="19">
        <v>3</v>
      </c>
      <c r="K4932" s="19">
        <v>4</v>
      </c>
      <c r="L4932" s="19" t="s">
        <v>75</v>
      </c>
      <c r="M4932" s="21">
        <v>7.4</v>
      </c>
      <c r="N4932">
        <f t="shared" si="77"/>
        <v>1</v>
      </c>
    </row>
    <row r="4933" spans="1:14" x14ac:dyDescent="0.35">
      <c r="A4933" s="22" t="s">
        <v>5003</v>
      </c>
      <c r="B4933" s="23" t="s">
        <v>49</v>
      </c>
      <c r="C4933" s="23">
        <v>3</v>
      </c>
      <c r="D4933" s="24">
        <v>45732</v>
      </c>
      <c r="E4933" s="23" t="s">
        <v>36</v>
      </c>
      <c r="F4933" s="23" t="s">
        <v>14</v>
      </c>
      <c r="G4933" s="23" t="s">
        <v>21</v>
      </c>
      <c r="H4933" s="23" t="s">
        <v>8364</v>
      </c>
      <c r="I4933" s="23">
        <v>24</v>
      </c>
      <c r="J4933" s="23">
        <v>0</v>
      </c>
      <c r="K4933" s="23"/>
      <c r="L4933" s="23" t="s">
        <v>44</v>
      </c>
      <c r="M4933" s="25">
        <v>17.899999999999999</v>
      </c>
      <c r="N4933">
        <f t="shared" si="77"/>
        <v>1</v>
      </c>
    </row>
    <row r="4934" spans="1:14" x14ac:dyDescent="0.35">
      <c r="A4934" s="6" t="s">
        <v>5004</v>
      </c>
      <c r="B4934" s="19" t="s">
        <v>51</v>
      </c>
      <c r="C4934" s="19">
        <v>2</v>
      </c>
      <c r="D4934" s="20">
        <v>45696</v>
      </c>
      <c r="E4934" s="19" t="s">
        <v>68</v>
      </c>
      <c r="F4934" s="19" t="s">
        <v>14</v>
      </c>
      <c r="G4934" s="19" t="s">
        <v>27</v>
      </c>
      <c r="H4934" s="19" t="s">
        <v>22</v>
      </c>
      <c r="I4934" s="19">
        <v>48</v>
      </c>
      <c r="J4934" s="19">
        <v>2</v>
      </c>
      <c r="K4934" s="19">
        <v>3</v>
      </c>
      <c r="L4934" s="19" t="s">
        <v>44</v>
      </c>
      <c r="M4934" s="21">
        <v>2.7</v>
      </c>
      <c r="N4934">
        <f t="shared" si="77"/>
        <v>1</v>
      </c>
    </row>
    <row r="4935" spans="1:14" x14ac:dyDescent="0.35">
      <c r="A4935" s="22" t="s">
        <v>5005</v>
      </c>
      <c r="B4935" s="23" t="s">
        <v>49</v>
      </c>
      <c r="C4935" s="23">
        <v>5</v>
      </c>
      <c r="D4935" s="24">
        <v>45781</v>
      </c>
      <c r="E4935" s="23" t="s">
        <v>68</v>
      </c>
      <c r="F4935" s="23" t="s">
        <v>37</v>
      </c>
      <c r="G4935" s="23" t="s">
        <v>8364</v>
      </c>
      <c r="H4935" s="23" t="s">
        <v>22</v>
      </c>
      <c r="I4935" s="23">
        <v>8</v>
      </c>
      <c r="J4935" s="23">
        <v>0</v>
      </c>
      <c r="K4935" s="23"/>
      <c r="L4935" s="23" t="s">
        <v>8363</v>
      </c>
      <c r="M4935" s="25">
        <v>4.0999999999999996</v>
      </c>
      <c r="N4935">
        <f t="shared" si="77"/>
        <v>1</v>
      </c>
    </row>
    <row r="4936" spans="1:14" x14ac:dyDescent="0.35">
      <c r="A4936" s="6" t="s">
        <v>5006</v>
      </c>
      <c r="B4936" s="19" t="s">
        <v>47</v>
      </c>
      <c r="C4936" s="19">
        <v>5</v>
      </c>
      <c r="D4936" s="20">
        <v>45800</v>
      </c>
      <c r="E4936" s="19" t="s">
        <v>25</v>
      </c>
      <c r="F4936" s="19" t="s">
        <v>37</v>
      </c>
      <c r="G4936" s="19" t="s">
        <v>27</v>
      </c>
      <c r="H4936" s="19" t="s">
        <v>22</v>
      </c>
      <c r="I4936" s="19">
        <v>48</v>
      </c>
      <c r="J4936" s="19">
        <v>0</v>
      </c>
      <c r="K4936" s="19">
        <v>5</v>
      </c>
      <c r="L4936" s="19" t="s">
        <v>8363</v>
      </c>
      <c r="M4936" s="21">
        <v>9.9</v>
      </c>
      <c r="N4936">
        <f t="shared" si="77"/>
        <v>1</v>
      </c>
    </row>
    <row r="4937" spans="1:14" x14ac:dyDescent="0.35">
      <c r="A4937" s="22" t="s">
        <v>5007</v>
      </c>
      <c r="B4937" s="23" t="s">
        <v>18</v>
      </c>
      <c r="C4937" s="23">
        <v>9</v>
      </c>
      <c r="D4937" s="24">
        <v>45908</v>
      </c>
      <c r="E4937" s="23" t="s">
        <v>25</v>
      </c>
      <c r="F4937" s="23" t="s">
        <v>14</v>
      </c>
      <c r="G4937" s="23" t="s">
        <v>27</v>
      </c>
      <c r="H4937" s="23" t="s">
        <v>22</v>
      </c>
      <c r="I4937" s="23">
        <v>24</v>
      </c>
      <c r="J4937" s="23">
        <v>0</v>
      </c>
      <c r="K4937" s="23">
        <v>3</v>
      </c>
      <c r="L4937" s="23" t="s">
        <v>8363</v>
      </c>
      <c r="M4937" s="25">
        <v>1.6</v>
      </c>
      <c r="N4937">
        <f t="shared" si="77"/>
        <v>1</v>
      </c>
    </row>
    <row r="4938" spans="1:14" x14ac:dyDescent="0.35">
      <c r="A4938" s="6" t="s">
        <v>5008</v>
      </c>
      <c r="B4938" s="19" t="s">
        <v>51</v>
      </c>
      <c r="C4938" s="19">
        <v>7</v>
      </c>
      <c r="D4938" s="20">
        <v>45839</v>
      </c>
      <c r="E4938" s="19" t="s">
        <v>25</v>
      </c>
      <c r="F4938" s="19" t="s">
        <v>37</v>
      </c>
      <c r="G4938" s="19" t="s">
        <v>27</v>
      </c>
      <c r="H4938" s="19" t="s">
        <v>28</v>
      </c>
      <c r="I4938" s="19">
        <v>8</v>
      </c>
      <c r="J4938" s="19">
        <v>0</v>
      </c>
      <c r="K4938" s="19">
        <v>4</v>
      </c>
      <c r="L4938" s="19" t="s">
        <v>8363</v>
      </c>
      <c r="M4938" s="21">
        <v>5.6</v>
      </c>
      <c r="N4938">
        <f t="shared" si="77"/>
        <v>1</v>
      </c>
    </row>
    <row r="4939" spans="1:14" x14ac:dyDescent="0.35">
      <c r="A4939" s="22" t="s">
        <v>5009</v>
      </c>
      <c r="B4939" s="23" t="s">
        <v>65</v>
      </c>
      <c r="C4939" s="23"/>
      <c r="D4939" s="24"/>
      <c r="E4939" s="23" t="s">
        <v>68</v>
      </c>
      <c r="F4939" s="23" t="s">
        <v>40</v>
      </c>
      <c r="G4939" s="23" t="s">
        <v>27</v>
      </c>
      <c r="H4939" s="23" t="s">
        <v>8364</v>
      </c>
      <c r="I4939" s="23">
        <v>8</v>
      </c>
      <c r="J4939" s="23">
        <v>0</v>
      </c>
      <c r="K4939" s="23"/>
      <c r="L4939" s="23" t="s">
        <v>44</v>
      </c>
      <c r="M4939" s="25">
        <v>4.5999999999999996</v>
      </c>
      <c r="N4939">
        <f t="shared" si="77"/>
        <v>1</v>
      </c>
    </row>
    <row r="4940" spans="1:14" x14ac:dyDescent="0.35">
      <c r="A4940" s="6" t="s">
        <v>5010</v>
      </c>
      <c r="B4940" s="19" t="s">
        <v>47</v>
      </c>
      <c r="C4940" s="19">
        <v>2</v>
      </c>
      <c r="D4940" s="20">
        <v>45689</v>
      </c>
      <c r="E4940" s="19" t="s">
        <v>68</v>
      </c>
      <c r="F4940" s="19" t="s">
        <v>14</v>
      </c>
      <c r="G4940" s="19" t="s">
        <v>27</v>
      </c>
      <c r="H4940" s="19" t="s">
        <v>8364</v>
      </c>
      <c r="I4940" s="19">
        <v>72</v>
      </c>
      <c r="J4940" s="19">
        <v>1</v>
      </c>
      <c r="K4940" s="19">
        <v>5</v>
      </c>
      <c r="L4940" s="19" t="s">
        <v>17</v>
      </c>
      <c r="M4940" s="21">
        <v>0.8</v>
      </c>
      <c r="N4940">
        <f t="shared" si="77"/>
        <v>1</v>
      </c>
    </row>
    <row r="4941" spans="1:14" x14ac:dyDescent="0.35">
      <c r="A4941" s="22" t="s">
        <v>5011</v>
      </c>
      <c r="B4941" s="23" t="s">
        <v>51</v>
      </c>
      <c r="C4941" s="23">
        <v>4</v>
      </c>
      <c r="D4941" s="24">
        <v>45761</v>
      </c>
      <c r="E4941" s="23" t="s">
        <v>25</v>
      </c>
      <c r="F4941" s="23" t="s">
        <v>8364</v>
      </c>
      <c r="G4941" s="23" t="s">
        <v>15</v>
      </c>
      <c r="H4941" s="23" t="s">
        <v>8364</v>
      </c>
      <c r="I4941" s="23">
        <v>8</v>
      </c>
      <c r="J4941" s="23">
        <v>0</v>
      </c>
      <c r="K4941" s="23">
        <v>2</v>
      </c>
      <c r="L4941" s="23" t="s">
        <v>38</v>
      </c>
      <c r="M4941" s="25">
        <v>15.1</v>
      </c>
      <c r="N4941">
        <f t="shared" si="77"/>
        <v>0</v>
      </c>
    </row>
    <row r="4942" spans="1:14" x14ac:dyDescent="0.35">
      <c r="A4942" s="6" t="s">
        <v>5012</v>
      </c>
      <c r="B4942" s="19" t="s">
        <v>57</v>
      </c>
      <c r="C4942" s="19">
        <v>8</v>
      </c>
      <c r="D4942" s="20">
        <v>45879</v>
      </c>
      <c r="E4942" s="19" t="s">
        <v>20</v>
      </c>
      <c r="F4942" s="19" t="s">
        <v>43</v>
      </c>
      <c r="G4942" s="19" t="s">
        <v>31</v>
      </c>
      <c r="H4942" s="19" t="s">
        <v>22</v>
      </c>
      <c r="I4942" s="19">
        <v>24</v>
      </c>
      <c r="J4942" s="19">
        <v>1</v>
      </c>
      <c r="K4942" s="19">
        <v>2</v>
      </c>
      <c r="L4942" s="19" t="s">
        <v>55</v>
      </c>
      <c r="M4942" s="21"/>
      <c r="N4942">
        <f t="shared" si="77"/>
        <v>1</v>
      </c>
    </row>
    <row r="4943" spans="1:14" x14ac:dyDescent="0.35">
      <c r="A4943" s="22" t="s">
        <v>5013</v>
      </c>
      <c r="B4943" s="23" t="s">
        <v>41</v>
      </c>
      <c r="C4943" s="23">
        <v>9</v>
      </c>
      <c r="D4943" s="24">
        <v>45919</v>
      </c>
      <c r="E4943" s="23" t="s">
        <v>36</v>
      </c>
      <c r="F4943" s="23" t="s">
        <v>43</v>
      </c>
      <c r="G4943" s="23" t="s">
        <v>15</v>
      </c>
      <c r="H4943" s="23" t="s">
        <v>28</v>
      </c>
      <c r="I4943" s="23">
        <v>4</v>
      </c>
      <c r="J4943" s="23">
        <v>0</v>
      </c>
      <c r="K4943" s="23"/>
      <c r="L4943" s="23" t="s">
        <v>62</v>
      </c>
      <c r="M4943" s="25">
        <v>7.9</v>
      </c>
      <c r="N4943">
        <f t="shared" si="77"/>
        <v>0</v>
      </c>
    </row>
    <row r="4944" spans="1:14" x14ac:dyDescent="0.35">
      <c r="A4944" s="6" t="s">
        <v>5014</v>
      </c>
      <c r="B4944" s="19" t="s">
        <v>181</v>
      </c>
      <c r="C4944" s="19">
        <v>12</v>
      </c>
      <c r="D4944" s="20">
        <v>46021</v>
      </c>
      <c r="E4944" s="19" t="s">
        <v>68</v>
      </c>
      <c r="F4944" s="19" t="s">
        <v>43</v>
      </c>
      <c r="G4944" s="19" t="s">
        <v>27</v>
      </c>
      <c r="H4944" s="19" t="s">
        <v>32</v>
      </c>
      <c r="I4944" s="19">
        <v>72</v>
      </c>
      <c r="J4944" s="19">
        <v>1</v>
      </c>
      <c r="K4944" s="19">
        <v>4</v>
      </c>
      <c r="L4944" s="19" t="s">
        <v>8363</v>
      </c>
      <c r="M4944" s="21">
        <v>28.5</v>
      </c>
      <c r="N4944">
        <f t="shared" si="77"/>
        <v>1</v>
      </c>
    </row>
    <row r="4945" spans="1:14" x14ac:dyDescent="0.35">
      <c r="A4945" s="22" t="s">
        <v>5015</v>
      </c>
      <c r="B4945" s="23" t="s">
        <v>85</v>
      </c>
      <c r="C4945" s="23">
        <v>6</v>
      </c>
      <c r="D4945" s="24">
        <v>45819</v>
      </c>
      <c r="E4945" s="23" t="s">
        <v>13</v>
      </c>
      <c r="F4945" s="23" t="s">
        <v>43</v>
      </c>
      <c r="G4945" s="23" t="s">
        <v>31</v>
      </c>
      <c r="H4945" s="23" t="s">
        <v>22</v>
      </c>
      <c r="I4945" s="23">
        <v>48</v>
      </c>
      <c r="J4945" s="23">
        <v>0</v>
      </c>
      <c r="K4945" s="23">
        <v>5</v>
      </c>
      <c r="L4945" s="23" t="s">
        <v>55</v>
      </c>
      <c r="M4945" s="25">
        <v>19.600000000000001</v>
      </c>
      <c r="N4945">
        <f t="shared" si="77"/>
        <v>1</v>
      </c>
    </row>
    <row r="4946" spans="1:14" x14ac:dyDescent="0.35">
      <c r="A4946" s="6" t="s">
        <v>5016</v>
      </c>
      <c r="B4946" s="19" t="s">
        <v>89</v>
      </c>
      <c r="C4946" s="19">
        <v>12</v>
      </c>
      <c r="D4946" s="20">
        <v>45993</v>
      </c>
      <c r="E4946" s="19" t="s">
        <v>8364</v>
      </c>
      <c r="F4946" s="19" t="s">
        <v>59</v>
      </c>
      <c r="G4946" s="19" t="s">
        <v>15</v>
      </c>
      <c r="H4946" s="19" t="s">
        <v>8364</v>
      </c>
      <c r="I4946" s="19">
        <v>24</v>
      </c>
      <c r="J4946" s="19">
        <v>0</v>
      </c>
      <c r="K4946" s="19">
        <v>4</v>
      </c>
      <c r="L4946" s="19" t="s">
        <v>75</v>
      </c>
      <c r="M4946" s="21">
        <v>5.8</v>
      </c>
      <c r="N4946">
        <f t="shared" si="77"/>
        <v>1</v>
      </c>
    </row>
    <row r="4947" spans="1:14" x14ac:dyDescent="0.35">
      <c r="A4947" s="22" t="s">
        <v>5017</v>
      </c>
      <c r="B4947" s="23" t="s">
        <v>181</v>
      </c>
      <c r="C4947" s="23">
        <v>6</v>
      </c>
      <c r="D4947" s="24">
        <v>45818</v>
      </c>
      <c r="E4947" s="23" t="s">
        <v>13</v>
      </c>
      <c r="F4947" s="23" t="s">
        <v>59</v>
      </c>
      <c r="G4947" s="23" t="s">
        <v>27</v>
      </c>
      <c r="H4947" s="23" t="s">
        <v>8364</v>
      </c>
      <c r="I4947" s="23">
        <v>72</v>
      </c>
      <c r="J4947" s="23">
        <v>2</v>
      </c>
      <c r="K4947" s="23">
        <v>4</v>
      </c>
      <c r="L4947" s="23" t="s">
        <v>8363</v>
      </c>
      <c r="M4947" s="25">
        <v>5.5</v>
      </c>
      <c r="N4947">
        <f t="shared" si="77"/>
        <v>1</v>
      </c>
    </row>
    <row r="4948" spans="1:14" x14ac:dyDescent="0.35">
      <c r="A4948" s="6" t="s">
        <v>5018</v>
      </c>
      <c r="B4948" s="19" t="s">
        <v>104</v>
      </c>
      <c r="C4948" s="19">
        <v>12</v>
      </c>
      <c r="D4948" s="20">
        <v>45993</v>
      </c>
      <c r="E4948" s="19" t="s">
        <v>68</v>
      </c>
      <c r="F4948" s="19" t="s">
        <v>43</v>
      </c>
      <c r="G4948" s="19" t="s">
        <v>15</v>
      </c>
      <c r="H4948" s="19" t="s">
        <v>22</v>
      </c>
      <c r="I4948" s="19">
        <v>4</v>
      </c>
      <c r="J4948" s="19">
        <v>0</v>
      </c>
      <c r="K4948" s="19">
        <v>3</v>
      </c>
      <c r="L4948" s="19" t="s">
        <v>62</v>
      </c>
      <c r="M4948" s="21"/>
      <c r="N4948">
        <f t="shared" si="77"/>
        <v>1</v>
      </c>
    </row>
    <row r="4949" spans="1:14" x14ac:dyDescent="0.35">
      <c r="A4949" s="22" t="s">
        <v>5019</v>
      </c>
      <c r="B4949" s="23" t="s">
        <v>146</v>
      </c>
      <c r="C4949" s="23">
        <v>1</v>
      </c>
      <c r="D4949" s="24">
        <v>45671</v>
      </c>
      <c r="E4949" s="23" t="s">
        <v>20</v>
      </c>
      <c r="F4949" s="23" t="s">
        <v>14</v>
      </c>
      <c r="G4949" s="23" t="s">
        <v>31</v>
      </c>
      <c r="H4949" s="23" t="s">
        <v>28</v>
      </c>
      <c r="I4949" s="23">
        <v>8</v>
      </c>
      <c r="J4949" s="23">
        <v>0</v>
      </c>
      <c r="K4949" s="23">
        <v>5</v>
      </c>
      <c r="L4949" s="23" t="s">
        <v>44</v>
      </c>
      <c r="M4949" s="25">
        <v>1.7</v>
      </c>
      <c r="N4949">
        <f t="shared" si="77"/>
        <v>1</v>
      </c>
    </row>
    <row r="4950" spans="1:14" x14ac:dyDescent="0.35">
      <c r="A4950" s="6" t="s">
        <v>5020</v>
      </c>
      <c r="B4950" s="19" t="s">
        <v>18</v>
      </c>
      <c r="C4950" s="19">
        <v>12</v>
      </c>
      <c r="D4950" s="20">
        <v>46003</v>
      </c>
      <c r="E4950" s="19" t="s">
        <v>68</v>
      </c>
      <c r="F4950" s="19" t="s">
        <v>43</v>
      </c>
      <c r="G4950" s="19" t="s">
        <v>21</v>
      </c>
      <c r="H4950" s="19" t="s">
        <v>32</v>
      </c>
      <c r="I4950" s="19">
        <v>72</v>
      </c>
      <c r="J4950" s="19">
        <v>0</v>
      </c>
      <c r="K4950" s="19">
        <v>5</v>
      </c>
      <c r="L4950" s="19" t="s">
        <v>75</v>
      </c>
      <c r="M4950" s="21">
        <v>14.1</v>
      </c>
      <c r="N4950">
        <f t="shared" si="77"/>
        <v>1</v>
      </c>
    </row>
    <row r="4951" spans="1:14" x14ac:dyDescent="0.35">
      <c r="A4951" s="22" t="s">
        <v>5021</v>
      </c>
      <c r="B4951" s="23" t="s">
        <v>104</v>
      </c>
      <c r="C4951" s="23">
        <v>11</v>
      </c>
      <c r="D4951" s="24">
        <v>45990</v>
      </c>
      <c r="E4951" s="23" t="s">
        <v>36</v>
      </c>
      <c r="F4951" s="23" t="s">
        <v>59</v>
      </c>
      <c r="G4951" s="23" t="s">
        <v>31</v>
      </c>
      <c r="H4951" s="23" t="s">
        <v>8364</v>
      </c>
      <c r="I4951" s="23">
        <v>4</v>
      </c>
      <c r="J4951" s="23">
        <v>0</v>
      </c>
      <c r="K4951" s="23">
        <v>5</v>
      </c>
      <c r="L4951" s="23" t="s">
        <v>62</v>
      </c>
      <c r="M4951" s="25">
        <v>14.9</v>
      </c>
      <c r="N4951">
        <f t="shared" si="77"/>
        <v>0</v>
      </c>
    </row>
    <row r="4952" spans="1:14" x14ac:dyDescent="0.35">
      <c r="A4952" s="6" t="s">
        <v>5022</v>
      </c>
      <c r="B4952" s="19" t="s">
        <v>81</v>
      </c>
      <c r="C4952" s="19">
        <v>6</v>
      </c>
      <c r="D4952" s="20">
        <v>45823</v>
      </c>
      <c r="E4952" s="19" t="s">
        <v>8364</v>
      </c>
      <c r="F4952" s="19" t="s">
        <v>26</v>
      </c>
      <c r="G4952" s="19" t="s">
        <v>8364</v>
      </c>
      <c r="H4952" s="19" t="s">
        <v>16</v>
      </c>
      <c r="I4952" s="19">
        <v>72</v>
      </c>
      <c r="J4952" s="19">
        <v>0</v>
      </c>
      <c r="K4952" s="19">
        <v>5</v>
      </c>
      <c r="L4952" s="19" t="s">
        <v>75</v>
      </c>
      <c r="M4952" s="21">
        <v>8.5</v>
      </c>
      <c r="N4952">
        <f t="shared" si="77"/>
        <v>1</v>
      </c>
    </row>
    <row r="4953" spans="1:14" x14ac:dyDescent="0.35">
      <c r="A4953" s="22" t="s">
        <v>5023</v>
      </c>
      <c r="B4953" s="23" t="s">
        <v>87</v>
      </c>
      <c r="C4953" s="23">
        <v>8</v>
      </c>
      <c r="D4953" s="24">
        <v>45880</v>
      </c>
      <c r="E4953" s="23" t="s">
        <v>68</v>
      </c>
      <c r="F4953" s="23" t="s">
        <v>26</v>
      </c>
      <c r="G4953" s="23" t="s">
        <v>21</v>
      </c>
      <c r="H4953" s="23" t="s">
        <v>22</v>
      </c>
      <c r="I4953" s="23">
        <v>8</v>
      </c>
      <c r="J4953" s="23">
        <v>0</v>
      </c>
      <c r="K4953" s="23"/>
      <c r="L4953" s="23" t="s">
        <v>62</v>
      </c>
      <c r="M4953" s="25">
        <v>14.9</v>
      </c>
      <c r="N4953">
        <f t="shared" si="77"/>
        <v>0</v>
      </c>
    </row>
    <row r="4954" spans="1:14" x14ac:dyDescent="0.35">
      <c r="A4954" s="6" t="s">
        <v>5024</v>
      </c>
      <c r="B4954" s="19" t="s">
        <v>49</v>
      </c>
      <c r="C4954" s="19">
        <v>4</v>
      </c>
      <c r="D4954" s="20">
        <v>45763</v>
      </c>
      <c r="E4954" s="19" t="s">
        <v>36</v>
      </c>
      <c r="F4954" s="19" t="s">
        <v>26</v>
      </c>
      <c r="G4954" s="19" t="s">
        <v>31</v>
      </c>
      <c r="H4954" s="19" t="s">
        <v>16</v>
      </c>
      <c r="I4954" s="19">
        <v>8</v>
      </c>
      <c r="J4954" s="19">
        <v>0</v>
      </c>
      <c r="K4954" s="19">
        <v>4</v>
      </c>
      <c r="L4954" s="19" t="s">
        <v>44</v>
      </c>
      <c r="M4954" s="21"/>
      <c r="N4954">
        <f t="shared" si="77"/>
        <v>1</v>
      </c>
    </row>
    <row r="4955" spans="1:14" x14ac:dyDescent="0.35">
      <c r="A4955" s="22" t="s">
        <v>5025</v>
      </c>
      <c r="B4955" s="23" t="s">
        <v>99</v>
      </c>
      <c r="C4955" s="23"/>
      <c r="D4955" s="24"/>
      <c r="E4955" s="23" t="s">
        <v>68</v>
      </c>
      <c r="F4955" s="23" t="s">
        <v>26</v>
      </c>
      <c r="G4955" s="23" t="s">
        <v>8364</v>
      </c>
      <c r="H4955" s="23" t="s">
        <v>22</v>
      </c>
      <c r="I4955" s="23">
        <v>48</v>
      </c>
      <c r="J4955" s="23">
        <v>0</v>
      </c>
      <c r="K4955" s="23">
        <v>5</v>
      </c>
      <c r="L4955" s="23" t="s">
        <v>38</v>
      </c>
      <c r="M4955" s="25">
        <v>4</v>
      </c>
      <c r="N4955">
        <f t="shared" si="77"/>
        <v>1</v>
      </c>
    </row>
    <row r="4956" spans="1:14" x14ac:dyDescent="0.35">
      <c r="A4956" s="6" t="s">
        <v>5026</v>
      </c>
      <c r="B4956" s="19" t="s">
        <v>139</v>
      </c>
      <c r="C4956" s="19">
        <v>2</v>
      </c>
      <c r="D4956" s="20">
        <v>45689</v>
      </c>
      <c r="E4956" s="19" t="s">
        <v>20</v>
      </c>
      <c r="F4956" s="19" t="s">
        <v>40</v>
      </c>
      <c r="G4956" s="19" t="s">
        <v>27</v>
      </c>
      <c r="H4956" s="19" t="s">
        <v>22</v>
      </c>
      <c r="I4956" s="19">
        <v>72</v>
      </c>
      <c r="J4956" s="19">
        <v>0</v>
      </c>
      <c r="K4956" s="19">
        <v>1</v>
      </c>
      <c r="L4956" s="19" t="s">
        <v>8363</v>
      </c>
      <c r="M4956" s="21">
        <v>20.6</v>
      </c>
      <c r="N4956">
        <f t="shared" si="77"/>
        <v>1</v>
      </c>
    </row>
    <row r="4957" spans="1:14" x14ac:dyDescent="0.35">
      <c r="A4957" s="22" t="s">
        <v>5027</v>
      </c>
      <c r="B4957" s="23" t="s">
        <v>34</v>
      </c>
      <c r="C4957" s="23">
        <v>10</v>
      </c>
      <c r="D4957" s="24">
        <v>45934</v>
      </c>
      <c r="E4957" s="23" t="s">
        <v>13</v>
      </c>
      <c r="F4957" s="23" t="s">
        <v>43</v>
      </c>
      <c r="G4957" s="23" t="s">
        <v>15</v>
      </c>
      <c r="H4957" s="23" t="s">
        <v>22</v>
      </c>
      <c r="I4957" s="23">
        <v>48</v>
      </c>
      <c r="J4957" s="23">
        <v>0</v>
      </c>
      <c r="K4957" s="23">
        <v>5</v>
      </c>
      <c r="L4957" s="23" t="s">
        <v>8363</v>
      </c>
      <c r="M4957" s="25">
        <v>12.8</v>
      </c>
      <c r="N4957">
        <f t="shared" si="77"/>
        <v>1</v>
      </c>
    </row>
    <row r="4958" spans="1:14" x14ac:dyDescent="0.35">
      <c r="A4958" s="6" t="s">
        <v>5028</v>
      </c>
      <c r="B4958" s="19" t="s">
        <v>253</v>
      </c>
      <c r="C4958" s="19">
        <v>11</v>
      </c>
      <c r="D4958" s="20">
        <v>45980</v>
      </c>
      <c r="E4958" s="19" t="s">
        <v>8364</v>
      </c>
      <c r="F4958" s="19" t="s">
        <v>37</v>
      </c>
      <c r="G4958" s="19" t="s">
        <v>27</v>
      </c>
      <c r="H4958" s="19" t="s">
        <v>28</v>
      </c>
      <c r="I4958" s="19">
        <v>72</v>
      </c>
      <c r="J4958" s="19">
        <v>1</v>
      </c>
      <c r="K4958" s="19">
        <v>5</v>
      </c>
      <c r="L4958" s="19" t="s">
        <v>44</v>
      </c>
      <c r="M4958" s="21">
        <v>16.8</v>
      </c>
      <c r="N4958">
        <f t="shared" si="77"/>
        <v>1</v>
      </c>
    </row>
    <row r="4959" spans="1:14" x14ac:dyDescent="0.35">
      <c r="A4959" s="22" t="s">
        <v>5029</v>
      </c>
      <c r="B4959" s="23" t="s">
        <v>146</v>
      </c>
      <c r="C4959" s="23">
        <v>8</v>
      </c>
      <c r="D4959" s="24">
        <v>45890</v>
      </c>
      <c r="E4959" s="23" t="s">
        <v>68</v>
      </c>
      <c r="F4959" s="23" t="s">
        <v>59</v>
      </c>
      <c r="G4959" s="23" t="s">
        <v>21</v>
      </c>
      <c r="H4959" s="23" t="s">
        <v>22</v>
      </c>
      <c r="I4959" s="23">
        <v>8</v>
      </c>
      <c r="J4959" s="23">
        <v>0</v>
      </c>
      <c r="K4959" s="23"/>
      <c r="L4959" s="23" t="s">
        <v>62</v>
      </c>
      <c r="M4959" s="25">
        <v>5.3</v>
      </c>
      <c r="N4959">
        <f t="shared" si="77"/>
        <v>1</v>
      </c>
    </row>
    <row r="4960" spans="1:14" x14ac:dyDescent="0.35">
      <c r="A4960" s="6" t="s">
        <v>5030</v>
      </c>
      <c r="B4960" s="19" t="s">
        <v>34</v>
      </c>
      <c r="C4960" s="19">
        <v>9</v>
      </c>
      <c r="D4960" s="20">
        <v>45914</v>
      </c>
      <c r="E4960" s="19" t="s">
        <v>25</v>
      </c>
      <c r="F4960" s="19" t="s">
        <v>40</v>
      </c>
      <c r="G4960" s="19" t="s">
        <v>27</v>
      </c>
      <c r="H4960" s="19" t="s">
        <v>22</v>
      </c>
      <c r="I4960" s="19">
        <v>72</v>
      </c>
      <c r="J4960" s="19">
        <v>0</v>
      </c>
      <c r="K4960" s="19">
        <v>5</v>
      </c>
      <c r="L4960" s="19" t="s">
        <v>8363</v>
      </c>
      <c r="M4960" s="21">
        <v>6.4</v>
      </c>
      <c r="N4960">
        <f t="shared" si="77"/>
        <v>1</v>
      </c>
    </row>
    <row r="4961" spans="1:14" x14ac:dyDescent="0.35">
      <c r="A4961" s="22" t="s">
        <v>5031</v>
      </c>
      <c r="B4961" s="23" t="s">
        <v>104</v>
      </c>
      <c r="C4961" s="23">
        <v>3</v>
      </c>
      <c r="D4961" s="24">
        <v>45745</v>
      </c>
      <c r="E4961" s="23" t="s">
        <v>25</v>
      </c>
      <c r="F4961" s="23" t="s">
        <v>14</v>
      </c>
      <c r="G4961" s="23" t="s">
        <v>31</v>
      </c>
      <c r="H4961" s="23" t="s">
        <v>22</v>
      </c>
      <c r="I4961" s="23">
        <v>8</v>
      </c>
      <c r="J4961" s="23">
        <v>0</v>
      </c>
      <c r="K4961" s="23">
        <v>4</v>
      </c>
      <c r="L4961" s="23" t="s">
        <v>55</v>
      </c>
      <c r="M4961" s="25">
        <v>14.6</v>
      </c>
      <c r="N4961">
        <f t="shared" si="77"/>
        <v>0</v>
      </c>
    </row>
    <row r="4962" spans="1:14" x14ac:dyDescent="0.35">
      <c r="A4962" s="6" t="s">
        <v>5032</v>
      </c>
      <c r="B4962" s="19" t="s">
        <v>236</v>
      </c>
      <c r="C4962" s="19">
        <v>1</v>
      </c>
      <c r="D4962" s="20">
        <v>45678</v>
      </c>
      <c r="E4962" s="19" t="s">
        <v>25</v>
      </c>
      <c r="F4962" s="19" t="s">
        <v>43</v>
      </c>
      <c r="G4962" s="19" t="s">
        <v>31</v>
      </c>
      <c r="H4962" s="19" t="s">
        <v>28</v>
      </c>
      <c r="I4962" s="19">
        <v>72</v>
      </c>
      <c r="J4962" s="19">
        <v>0</v>
      </c>
      <c r="K4962" s="19">
        <v>1</v>
      </c>
      <c r="L4962" s="19" t="s">
        <v>55</v>
      </c>
      <c r="M4962" s="21"/>
      <c r="N4962">
        <f t="shared" si="77"/>
        <v>1</v>
      </c>
    </row>
    <row r="4963" spans="1:14" x14ac:dyDescent="0.35">
      <c r="A4963" s="22" t="s">
        <v>5033</v>
      </c>
      <c r="B4963" s="23" t="s">
        <v>18</v>
      </c>
      <c r="C4963" s="23"/>
      <c r="D4963" s="24"/>
      <c r="E4963" s="23" t="s">
        <v>8364</v>
      </c>
      <c r="F4963" s="23" t="s">
        <v>14</v>
      </c>
      <c r="G4963" s="23" t="s">
        <v>15</v>
      </c>
      <c r="H4963" s="23" t="s">
        <v>32</v>
      </c>
      <c r="I4963" s="23">
        <v>8</v>
      </c>
      <c r="J4963" s="23">
        <v>0</v>
      </c>
      <c r="K4963" s="23">
        <v>3</v>
      </c>
      <c r="L4963" s="23" t="s">
        <v>55</v>
      </c>
      <c r="M4963" s="25">
        <v>12.8</v>
      </c>
      <c r="N4963">
        <f t="shared" si="77"/>
        <v>0</v>
      </c>
    </row>
    <row r="4964" spans="1:14" x14ac:dyDescent="0.35">
      <c r="A4964" s="6" t="s">
        <v>5034</v>
      </c>
      <c r="B4964" s="19" t="s">
        <v>53</v>
      </c>
      <c r="C4964" s="19">
        <v>11</v>
      </c>
      <c r="D4964" s="20">
        <v>45977</v>
      </c>
      <c r="E4964" s="19" t="s">
        <v>8364</v>
      </c>
      <c r="F4964" s="19" t="s">
        <v>43</v>
      </c>
      <c r="G4964" s="19" t="s">
        <v>21</v>
      </c>
      <c r="H4964" s="19" t="s">
        <v>28</v>
      </c>
      <c r="I4964" s="19">
        <v>8</v>
      </c>
      <c r="J4964" s="19">
        <v>1</v>
      </c>
      <c r="K4964" s="19">
        <v>3</v>
      </c>
      <c r="L4964" s="19" t="s">
        <v>75</v>
      </c>
      <c r="M4964" s="21">
        <v>16.899999999999999</v>
      </c>
      <c r="N4964">
        <f t="shared" si="77"/>
        <v>0</v>
      </c>
    </row>
    <row r="4965" spans="1:14" x14ac:dyDescent="0.35">
      <c r="A4965" s="22" t="s">
        <v>5035</v>
      </c>
      <c r="B4965" s="23" t="s">
        <v>34</v>
      </c>
      <c r="C4965" s="23">
        <v>10</v>
      </c>
      <c r="D4965" s="24">
        <v>45940</v>
      </c>
      <c r="E4965" s="23" t="s">
        <v>25</v>
      </c>
      <c r="F4965" s="23" t="s">
        <v>43</v>
      </c>
      <c r="G4965" s="23" t="s">
        <v>21</v>
      </c>
      <c r="H4965" s="23" t="s">
        <v>22</v>
      </c>
      <c r="I4965" s="23">
        <v>48</v>
      </c>
      <c r="J4965" s="23">
        <v>0</v>
      </c>
      <c r="K4965" s="23">
        <v>5</v>
      </c>
      <c r="L4965" s="23" t="s">
        <v>8363</v>
      </c>
      <c r="M4965" s="25">
        <v>5.8</v>
      </c>
      <c r="N4965">
        <f t="shared" si="77"/>
        <v>1</v>
      </c>
    </row>
    <row r="4966" spans="1:14" x14ac:dyDescent="0.35">
      <c r="A4966" s="6" t="s">
        <v>5036</v>
      </c>
      <c r="B4966" s="19" t="s">
        <v>41</v>
      </c>
      <c r="C4966" s="19">
        <v>12</v>
      </c>
      <c r="D4966" s="20">
        <v>46016</v>
      </c>
      <c r="E4966" s="19" t="s">
        <v>25</v>
      </c>
      <c r="F4966" s="19" t="s">
        <v>40</v>
      </c>
      <c r="G4966" s="19" t="s">
        <v>27</v>
      </c>
      <c r="H4966" s="19" t="s">
        <v>32</v>
      </c>
      <c r="I4966" s="19">
        <v>4</v>
      </c>
      <c r="J4966" s="19">
        <v>0</v>
      </c>
      <c r="K4966" s="19">
        <v>3</v>
      </c>
      <c r="L4966" s="19" t="s">
        <v>38</v>
      </c>
      <c r="M4966" s="21">
        <v>6.8</v>
      </c>
      <c r="N4966">
        <f t="shared" si="77"/>
        <v>0</v>
      </c>
    </row>
    <row r="4967" spans="1:14" x14ac:dyDescent="0.35">
      <c r="A4967" s="22" t="s">
        <v>5037</v>
      </c>
      <c r="B4967" s="23" t="s">
        <v>23</v>
      </c>
      <c r="C4967" s="23">
        <v>3</v>
      </c>
      <c r="D4967" s="24">
        <v>45736</v>
      </c>
      <c r="E4967" s="23" t="s">
        <v>20</v>
      </c>
      <c r="F4967" s="23" t="s">
        <v>43</v>
      </c>
      <c r="G4967" s="23" t="s">
        <v>27</v>
      </c>
      <c r="H4967" s="23" t="s">
        <v>16</v>
      </c>
      <c r="I4967" s="23">
        <v>8</v>
      </c>
      <c r="J4967" s="23">
        <v>0</v>
      </c>
      <c r="K4967" s="23">
        <v>5</v>
      </c>
      <c r="L4967" s="23" t="s">
        <v>44</v>
      </c>
      <c r="M4967" s="25">
        <v>24.3</v>
      </c>
      <c r="N4967">
        <f t="shared" si="77"/>
        <v>0</v>
      </c>
    </row>
    <row r="4968" spans="1:14" x14ac:dyDescent="0.35">
      <c r="A4968" s="6" t="s">
        <v>5038</v>
      </c>
      <c r="B4968" s="19" t="s">
        <v>18</v>
      </c>
      <c r="C4968" s="19">
        <v>3</v>
      </c>
      <c r="D4968" s="20">
        <v>45720</v>
      </c>
      <c r="E4968" s="19" t="s">
        <v>8364</v>
      </c>
      <c r="F4968" s="19" t="s">
        <v>40</v>
      </c>
      <c r="G4968" s="19" t="s">
        <v>31</v>
      </c>
      <c r="H4968" s="19" t="s">
        <v>22</v>
      </c>
      <c r="I4968" s="19">
        <v>24</v>
      </c>
      <c r="J4968" s="19">
        <v>0</v>
      </c>
      <c r="K4968" s="19">
        <v>4</v>
      </c>
      <c r="L4968" s="19" t="s">
        <v>8363</v>
      </c>
      <c r="M4968" s="21">
        <v>6.8</v>
      </c>
      <c r="N4968">
        <f t="shared" si="77"/>
        <v>1</v>
      </c>
    </row>
    <row r="4969" spans="1:14" x14ac:dyDescent="0.35">
      <c r="A4969" s="22" t="s">
        <v>5039</v>
      </c>
      <c r="B4969" s="23" t="s">
        <v>72</v>
      </c>
      <c r="C4969" s="23">
        <v>1</v>
      </c>
      <c r="D4969" s="24">
        <v>45670</v>
      </c>
      <c r="E4969" s="23" t="s">
        <v>25</v>
      </c>
      <c r="F4969" s="23" t="s">
        <v>14</v>
      </c>
      <c r="G4969" s="23" t="s">
        <v>31</v>
      </c>
      <c r="H4969" s="23" t="s">
        <v>8364</v>
      </c>
      <c r="I4969" s="23">
        <v>8</v>
      </c>
      <c r="J4969" s="23">
        <v>0</v>
      </c>
      <c r="K4969" s="23">
        <v>4</v>
      </c>
      <c r="L4969" s="23" t="s">
        <v>75</v>
      </c>
      <c r="M4969" s="25">
        <v>17.5</v>
      </c>
      <c r="N4969">
        <f t="shared" si="77"/>
        <v>0</v>
      </c>
    </row>
    <row r="4970" spans="1:14" x14ac:dyDescent="0.35">
      <c r="A4970" s="6" t="s">
        <v>5040</v>
      </c>
      <c r="B4970" s="19" t="s">
        <v>29</v>
      </c>
      <c r="C4970" s="19">
        <v>11</v>
      </c>
      <c r="D4970" s="20">
        <v>45971</v>
      </c>
      <c r="E4970" s="19" t="s">
        <v>13</v>
      </c>
      <c r="F4970" s="19" t="s">
        <v>14</v>
      </c>
      <c r="G4970" s="19" t="s">
        <v>31</v>
      </c>
      <c r="H4970" s="19" t="s">
        <v>32</v>
      </c>
      <c r="I4970" s="19">
        <v>8</v>
      </c>
      <c r="J4970" s="19">
        <v>0</v>
      </c>
      <c r="K4970" s="19">
        <v>5</v>
      </c>
      <c r="L4970" s="19" t="s">
        <v>38</v>
      </c>
      <c r="M4970" s="21">
        <v>8.4</v>
      </c>
      <c r="N4970">
        <f t="shared" si="77"/>
        <v>0</v>
      </c>
    </row>
    <row r="4971" spans="1:14" x14ac:dyDescent="0.35">
      <c r="A4971" s="22" t="s">
        <v>5041</v>
      </c>
      <c r="B4971" s="23" t="s">
        <v>104</v>
      </c>
      <c r="C4971" s="23">
        <v>10</v>
      </c>
      <c r="D4971" s="24">
        <v>45931</v>
      </c>
      <c r="E4971" s="23" t="s">
        <v>68</v>
      </c>
      <c r="F4971" s="23" t="s">
        <v>14</v>
      </c>
      <c r="G4971" s="23" t="s">
        <v>31</v>
      </c>
      <c r="H4971" s="23" t="s">
        <v>22</v>
      </c>
      <c r="I4971" s="23">
        <v>48</v>
      </c>
      <c r="J4971" s="23">
        <v>0</v>
      </c>
      <c r="K4971" s="23">
        <v>5</v>
      </c>
      <c r="L4971" s="23" t="s">
        <v>8363</v>
      </c>
      <c r="M4971" s="25">
        <v>5.3</v>
      </c>
      <c r="N4971">
        <f t="shared" si="77"/>
        <v>1</v>
      </c>
    </row>
    <row r="4972" spans="1:14" x14ac:dyDescent="0.35">
      <c r="A4972" s="6" t="s">
        <v>5042</v>
      </c>
      <c r="B4972" s="19" t="s">
        <v>85</v>
      </c>
      <c r="C4972" s="19">
        <v>9</v>
      </c>
      <c r="D4972" s="20">
        <v>45920</v>
      </c>
      <c r="E4972" s="19" t="s">
        <v>68</v>
      </c>
      <c r="F4972" s="19" t="s">
        <v>14</v>
      </c>
      <c r="G4972" s="19" t="s">
        <v>21</v>
      </c>
      <c r="H4972" s="19" t="s">
        <v>28</v>
      </c>
      <c r="I4972" s="19">
        <v>72</v>
      </c>
      <c r="J4972" s="19">
        <v>0</v>
      </c>
      <c r="K4972" s="19">
        <v>1</v>
      </c>
      <c r="L4972" s="19" t="s">
        <v>17</v>
      </c>
      <c r="M4972" s="21">
        <v>13.9</v>
      </c>
      <c r="N4972">
        <f t="shared" si="77"/>
        <v>1</v>
      </c>
    </row>
    <row r="4973" spans="1:14" x14ac:dyDescent="0.35">
      <c r="A4973" s="22" t="s">
        <v>5043</v>
      </c>
      <c r="B4973" s="23" t="s">
        <v>85</v>
      </c>
      <c r="C4973" s="23">
        <v>9</v>
      </c>
      <c r="D4973" s="24">
        <v>45911</v>
      </c>
      <c r="E4973" s="23" t="s">
        <v>13</v>
      </c>
      <c r="F4973" s="23" t="s">
        <v>26</v>
      </c>
      <c r="G4973" s="23" t="s">
        <v>8364</v>
      </c>
      <c r="H4973" s="23" t="s">
        <v>22</v>
      </c>
      <c r="I4973" s="23">
        <v>48</v>
      </c>
      <c r="J4973" s="23">
        <v>1</v>
      </c>
      <c r="K4973" s="23">
        <v>5</v>
      </c>
      <c r="L4973" s="23" t="s">
        <v>62</v>
      </c>
      <c r="M4973" s="25">
        <v>20.9</v>
      </c>
      <c r="N4973">
        <f t="shared" si="77"/>
        <v>1</v>
      </c>
    </row>
    <row r="4974" spans="1:14" x14ac:dyDescent="0.35">
      <c r="A4974" s="6" t="s">
        <v>5044</v>
      </c>
      <c r="B4974" s="19" t="s">
        <v>89</v>
      </c>
      <c r="C4974" s="19">
        <v>11</v>
      </c>
      <c r="D4974" s="20">
        <v>45986</v>
      </c>
      <c r="E4974" s="19" t="s">
        <v>8364</v>
      </c>
      <c r="F4974" s="19" t="s">
        <v>14</v>
      </c>
      <c r="G4974" s="19" t="s">
        <v>15</v>
      </c>
      <c r="H4974" s="19" t="s">
        <v>22</v>
      </c>
      <c r="I4974" s="19">
        <v>24</v>
      </c>
      <c r="J4974" s="19">
        <v>1</v>
      </c>
      <c r="K4974" s="19">
        <v>3</v>
      </c>
      <c r="L4974" s="19" t="s">
        <v>55</v>
      </c>
      <c r="M4974" s="21">
        <v>10</v>
      </c>
      <c r="N4974">
        <f t="shared" si="77"/>
        <v>1</v>
      </c>
    </row>
    <row r="4975" spans="1:14" x14ac:dyDescent="0.35">
      <c r="A4975" s="22" t="s">
        <v>5045</v>
      </c>
      <c r="B4975" s="23" t="s">
        <v>99</v>
      </c>
      <c r="C4975" s="23">
        <v>9</v>
      </c>
      <c r="D4975" s="24">
        <v>45918</v>
      </c>
      <c r="E4975" s="23" t="s">
        <v>36</v>
      </c>
      <c r="F4975" s="23" t="s">
        <v>37</v>
      </c>
      <c r="G4975" s="23" t="s">
        <v>31</v>
      </c>
      <c r="H4975" s="23" t="s">
        <v>8364</v>
      </c>
      <c r="I4975" s="23">
        <v>48</v>
      </c>
      <c r="J4975" s="23">
        <v>0</v>
      </c>
      <c r="K4975" s="23">
        <v>4</v>
      </c>
      <c r="L4975" s="23" t="s">
        <v>55</v>
      </c>
      <c r="M4975" s="25">
        <v>14</v>
      </c>
      <c r="N4975">
        <f t="shared" si="77"/>
        <v>1</v>
      </c>
    </row>
    <row r="4976" spans="1:14" x14ac:dyDescent="0.35">
      <c r="A4976" s="6" t="s">
        <v>5046</v>
      </c>
      <c r="B4976" s="19" t="s">
        <v>45</v>
      </c>
      <c r="C4976" s="19">
        <v>8</v>
      </c>
      <c r="D4976" s="20">
        <v>45879</v>
      </c>
      <c r="E4976" s="19" t="s">
        <v>20</v>
      </c>
      <c r="F4976" s="19" t="s">
        <v>43</v>
      </c>
      <c r="G4976" s="19" t="s">
        <v>27</v>
      </c>
      <c r="H4976" s="19" t="s">
        <v>16</v>
      </c>
      <c r="I4976" s="19">
        <v>8</v>
      </c>
      <c r="J4976" s="19">
        <v>0</v>
      </c>
      <c r="K4976" s="19">
        <v>5</v>
      </c>
      <c r="L4976" s="19" t="s">
        <v>75</v>
      </c>
      <c r="M4976" s="21">
        <v>20.2</v>
      </c>
      <c r="N4976">
        <f t="shared" si="77"/>
        <v>0</v>
      </c>
    </row>
    <row r="4977" spans="1:14" x14ac:dyDescent="0.35">
      <c r="A4977" s="22" t="s">
        <v>5047</v>
      </c>
      <c r="B4977" s="23" t="s">
        <v>57</v>
      </c>
      <c r="C4977" s="23">
        <v>5</v>
      </c>
      <c r="D4977" s="24">
        <v>45786</v>
      </c>
      <c r="E4977" s="23" t="s">
        <v>20</v>
      </c>
      <c r="F4977" s="23" t="s">
        <v>14</v>
      </c>
      <c r="G4977" s="23" t="s">
        <v>27</v>
      </c>
      <c r="H4977" s="23" t="s">
        <v>32</v>
      </c>
      <c r="I4977" s="23">
        <v>48</v>
      </c>
      <c r="J4977" s="23">
        <v>0</v>
      </c>
      <c r="K4977" s="23">
        <v>4</v>
      </c>
      <c r="L4977" s="23" t="s">
        <v>8363</v>
      </c>
      <c r="M4977" s="25">
        <v>9.5</v>
      </c>
      <c r="N4977">
        <f t="shared" si="77"/>
        <v>1</v>
      </c>
    </row>
    <row r="4978" spans="1:14" x14ac:dyDescent="0.35">
      <c r="A4978" s="6" t="s">
        <v>5048</v>
      </c>
      <c r="B4978" s="19" t="s">
        <v>34</v>
      </c>
      <c r="C4978" s="19">
        <v>8</v>
      </c>
      <c r="D4978" s="20">
        <v>45885</v>
      </c>
      <c r="E4978" s="19" t="s">
        <v>68</v>
      </c>
      <c r="F4978" s="19" t="s">
        <v>14</v>
      </c>
      <c r="G4978" s="19" t="s">
        <v>27</v>
      </c>
      <c r="H4978" s="19" t="s">
        <v>22</v>
      </c>
      <c r="I4978" s="19">
        <v>24</v>
      </c>
      <c r="J4978" s="19">
        <v>0</v>
      </c>
      <c r="K4978" s="19">
        <v>5</v>
      </c>
      <c r="L4978" s="19" t="s">
        <v>75</v>
      </c>
      <c r="M4978" s="21">
        <v>13.9</v>
      </c>
      <c r="N4978">
        <f t="shared" si="77"/>
        <v>1</v>
      </c>
    </row>
    <row r="4979" spans="1:14" x14ac:dyDescent="0.35">
      <c r="A4979" s="22" t="s">
        <v>5049</v>
      </c>
      <c r="B4979" s="23" t="s">
        <v>34</v>
      </c>
      <c r="C4979" s="23">
        <v>10</v>
      </c>
      <c r="D4979" s="24">
        <v>45940</v>
      </c>
      <c r="E4979" s="23" t="s">
        <v>36</v>
      </c>
      <c r="F4979" s="23" t="s">
        <v>14</v>
      </c>
      <c r="G4979" s="23" t="s">
        <v>15</v>
      </c>
      <c r="H4979" s="23" t="s">
        <v>28</v>
      </c>
      <c r="I4979" s="23">
        <v>24</v>
      </c>
      <c r="J4979" s="23">
        <v>0</v>
      </c>
      <c r="K4979" s="23">
        <v>1</v>
      </c>
      <c r="L4979" s="23" t="s">
        <v>44</v>
      </c>
      <c r="M4979" s="25">
        <v>12.8</v>
      </c>
      <c r="N4979">
        <f t="shared" si="77"/>
        <v>1</v>
      </c>
    </row>
    <row r="4980" spans="1:14" x14ac:dyDescent="0.35">
      <c r="A4980" s="6" t="s">
        <v>5050</v>
      </c>
      <c r="B4980" s="19" t="s">
        <v>108</v>
      </c>
      <c r="C4980" s="19"/>
      <c r="D4980" s="20"/>
      <c r="E4980" s="19" t="s">
        <v>25</v>
      </c>
      <c r="F4980" s="19" t="s">
        <v>59</v>
      </c>
      <c r="G4980" s="19" t="s">
        <v>27</v>
      </c>
      <c r="H4980" s="19" t="s">
        <v>32</v>
      </c>
      <c r="I4980" s="19">
        <v>4</v>
      </c>
      <c r="J4980" s="19">
        <v>0</v>
      </c>
      <c r="K4980" s="19">
        <v>5</v>
      </c>
      <c r="L4980" s="19" t="s">
        <v>44</v>
      </c>
      <c r="M4980" s="21">
        <v>6.4</v>
      </c>
      <c r="N4980">
        <f t="shared" si="77"/>
        <v>0</v>
      </c>
    </row>
    <row r="4981" spans="1:14" x14ac:dyDescent="0.35">
      <c r="A4981" s="22" t="s">
        <v>5051</v>
      </c>
      <c r="B4981" s="23" t="s">
        <v>45</v>
      </c>
      <c r="C4981" s="23">
        <v>1</v>
      </c>
      <c r="D4981" s="24">
        <v>45660</v>
      </c>
      <c r="E4981" s="23" t="s">
        <v>25</v>
      </c>
      <c r="F4981" s="23" t="s">
        <v>43</v>
      </c>
      <c r="G4981" s="23" t="s">
        <v>31</v>
      </c>
      <c r="H4981" s="23" t="s">
        <v>8364</v>
      </c>
      <c r="I4981" s="23">
        <v>24</v>
      </c>
      <c r="J4981" s="23">
        <v>0</v>
      </c>
      <c r="K4981" s="23">
        <v>3</v>
      </c>
      <c r="L4981" s="23" t="s">
        <v>8363</v>
      </c>
      <c r="M4981" s="25"/>
      <c r="N4981">
        <f t="shared" si="77"/>
        <v>1</v>
      </c>
    </row>
    <row r="4982" spans="1:14" x14ac:dyDescent="0.35">
      <c r="A4982" s="6" t="s">
        <v>5052</v>
      </c>
      <c r="B4982" s="19" t="s">
        <v>49</v>
      </c>
      <c r="C4982" s="19"/>
      <c r="D4982" s="20"/>
      <c r="E4982" s="19" t="s">
        <v>13</v>
      </c>
      <c r="F4982" s="19" t="s">
        <v>8364</v>
      </c>
      <c r="G4982" s="19" t="s">
        <v>21</v>
      </c>
      <c r="H4982" s="19" t="s">
        <v>22</v>
      </c>
      <c r="I4982" s="19">
        <v>8</v>
      </c>
      <c r="J4982" s="19">
        <v>0</v>
      </c>
      <c r="K4982" s="19">
        <v>5</v>
      </c>
      <c r="L4982" s="19" t="s">
        <v>8363</v>
      </c>
      <c r="M4982" s="21">
        <v>9.1999999999999993</v>
      </c>
      <c r="N4982">
        <f t="shared" si="77"/>
        <v>0</v>
      </c>
    </row>
    <row r="4983" spans="1:14" x14ac:dyDescent="0.35">
      <c r="A4983" s="22" t="s">
        <v>5053</v>
      </c>
      <c r="B4983" s="23" t="s">
        <v>92</v>
      </c>
      <c r="C4983" s="23">
        <v>4</v>
      </c>
      <c r="D4983" s="24">
        <v>45762</v>
      </c>
      <c r="E4983" s="23" t="s">
        <v>25</v>
      </c>
      <c r="F4983" s="23" t="s">
        <v>40</v>
      </c>
      <c r="G4983" s="23" t="s">
        <v>27</v>
      </c>
      <c r="H4983" s="23" t="s">
        <v>22</v>
      </c>
      <c r="I4983" s="23">
        <v>24</v>
      </c>
      <c r="J4983" s="23">
        <v>0</v>
      </c>
      <c r="K4983" s="23"/>
      <c r="L4983" s="23" t="s">
        <v>33</v>
      </c>
      <c r="M4983" s="25">
        <v>4.4000000000000004</v>
      </c>
      <c r="N4983">
        <f t="shared" si="77"/>
        <v>1</v>
      </c>
    </row>
    <row r="4984" spans="1:14" x14ac:dyDescent="0.35">
      <c r="A4984" s="6" t="s">
        <v>5054</v>
      </c>
      <c r="B4984" s="19" t="s">
        <v>130</v>
      </c>
      <c r="C4984" s="19">
        <v>8</v>
      </c>
      <c r="D4984" s="20">
        <v>45871</v>
      </c>
      <c r="E4984" s="19" t="s">
        <v>25</v>
      </c>
      <c r="F4984" s="19" t="s">
        <v>14</v>
      </c>
      <c r="G4984" s="19" t="s">
        <v>8364</v>
      </c>
      <c r="H4984" s="19" t="s">
        <v>22</v>
      </c>
      <c r="I4984" s="19">
        <v>48</v>
      </c>
      <c r="J4984" s="19">
        <v>0</v>
      </c>
      <c r="K4984" s="19">
        <v>4</v>
      </c>
      <c r="L4984" s="19" t="s">
        <v>62</v>
      </c>
      <c r="M4984" s="21">
        <v>11.6</v>
      </c>
      <c r="N4984">
        <f t="shared" si="77"/>
        <v>1</v>
      </c>
    </row>
    <row r="4985" spans="1:14" x14ac:dyDescent="0.35">
      <c r="A4985" s="22" t="s">
        <v>5055</v>
      </c>
      <c r="B4985" s="23" t="s">
        <v>65</v>
      </c>
      <c r="C4985" s="23"/>
      <c r="D4985" s="24"/>
      <c r="E4985" s="23" t="s">
        <v>8364</v>
      </c>
      <c r="F4985" s="23" t="s">
        <v>40</v>
      </c>
      <c r="G4985" s="23" t="s">
        <v>15</v>
      </c>
      <c r="H4985" s="23" t="s">
        <v>28</v>
      </c>
      <c r="I4985" s="23">
        <v>4</v>
      </c>
      <c r="J4985" s="23">
        <v>0</v>
      </c>
      <c r="K4985" s="23">
        <v>3</v>
      </c>
      <c r="L4985" s="23" t="s">
        <v>17</v>
      </c>
      <c r="M4985" s="25">
        <v>5.6</v>
      </c>
      <c r="N4985">
        <f t="shared" si="77"/>
        <v>0</v>
      </c>
    </row>
    <row r="4986" spans="1:14" x14ac:dyDescent="0.35">
      <c r="A4986" s="6" t="s">
        <v>5056</v>
      </c>
      <c r="B4986" s="19" t="s">
        <v>146</v>
      </c>
      <c r="C4986" s="19"/>
      <c r="D4986" s="20"/>
      <c r="E4986" s="19" t="s">
        <v>25</v>
      </c>
      <c r="F4986" s="19" t="s">
        <v>43</v>
      </c>
      <c r="G4986" s="19" t="s">
        <v>21</v>
      </c>
      <c r="H4986" s="19" t="s">
        <v>8364</v>
      </c>
      <c r="I4986" s="19">
        <v>8</v>
      </c>
      <c r="J4986" s="19">
        <v>1</v>
      </c>
      <c r="K4986" s="19">
        <v>3</v>
      </c>
      <c r="L4986" s="19" t="s">
        <v>44</v>
      </c>
      <c r="M4986" s="21">
        <v>11.3</v>
      </c>
      <c r="N4986">
        <f t="shared" si="77"/>
        <v>0</v>
      </c>
    </row>
    <row r="4987" spans="1:14" x14ac:dyDescent="0.35">
      <c r="A4987" s="22" t="s">
        <v>5057</v>
      </c>
      <c r="B4987" s="23" t="s">
        <v>158</v>
      </c>
      <c r="C4987" s="23">
        <v>5</v>
      </c>
      <c r="D4987" s="24">
        <v>45785</v>
      </c>
      <c r="E4987" s="23" t="s">
        <v>8364</v>
      </c>
      <c r="F4987" s="23" t="s">
        <v>43</v>
      </c>
      <c r="G4987" s="23" t="s">
        <v>31</v>
      </c>
      <c r="H4987" s="23" t="s">
        <v>28</v>
      </c>
      <c r="I4987" s="23">
        <v>4</v>
      </c>
      <c r="J4987" s="23">
        <v>0</v>
      </c>
      <c r="K4987" s="23">
        <v>5</v>
      </c>
      <c r="L4987" s="23" t="s">
        <v>38</v>
      </c>
      <c r="M4987" s="25">
        <v>2.6</v>
      </c>
      <c r="N4987">
        <f t="shared" si="77"/>
        <v>1</v>
      </c>
    </row>
    <row r="4988" spans="1:14" x14ac:dyDescent="0.35">
      <c r="A4988" s="6" t="s">
        <v>5058</v>
      </c>
      <c r="B4988" s="19" t="s">
        <v>18</v>
      </c>
      <c r="C4988" s="19">
        <v>12</v>
      </c>
      <c r="D4988" s="20">
        <v>46013</v>
      </c>
      <c r="E4988" s="19" t="s">
        <v>25</v>
      </c>
      <c r="F4988" s="19" t="s">
        <v>14</v>
      </c>
      <c r="G4988" s="19" t="s">
        <v>27</v>
      </c>
      <c r="H4988" s="19" t="s">
        <v>16</v>
      </c>
      <c r="I4988" s="19">
        <v>4</v>
      </c>
      <c r="J4988" s="19">
        <v>0</v>
      </c>
      <c r="K4988" s="19">
        <v>3</v>
      </c>
      <c r="L4988" s="19" t="s">
        <v>38</v>
      </c>
      <c r="M4988" s="21">
        <v>3.8</v>
      </c>
      <c r="N4988">
        <f t="shared" si="77"/>
        <v>1</v>
      </c>
    </row>
    <row r="4989" spans="1:14" x14ac:dyDescent="0.35">
      <c r="A4989" s="22" t="s">
        <v>5059</v>
      </c>
      <c r="B4989" s="23" t="s">
        <v>69</v>
      </c>
      <c r="C4989" s="23">
        <v>11</v>
      </c>
      <c r="D4989" s="24">
        <v>45964</v>
      </c>
      <c r="E4989" s="23" t="s">
        <v>8364</v>
      </c>
      <c r="F4989" s="23" t="s">
        <v>40</v>
      </c>
      <c r="G4989" s="23" t="s">
        <v>8364</v>
      </c>
      <c r="H4989" s="23" t="s">
        <v>22</v>
      </c>
      <c r="I4989" s="23">
        <v>4</v>
      </c>
      <c r="J4989" s="23">
        <v>1</v>
      </c>
      <c r="K4989" s="23">
        <v>5</v>
      </c>
      <c r="L4989" s="23" t="s">
        <v>8363</v>
      </c>
      <c r="M4989" s="25">
        <v>7.4</v>
      </c>
      <c r="N4989">
        <f t="shared" si="77"/>
        <v>0</v>
      </c>
    </row>
    <row r="4990" spans="1:14" x14ac:dyDescent="0.35">
      <c r="A4990" s="6" t="s">
        <v>5060</v>
      </c>
      <c r="B4990" s="19" t="s">
        <v>34</v>
      </c>
      <c r="C4990" s="19"/>
      <c r="D4990" s="20"/>
      <c r="E4990" s="19" t="s">
        <v>13</v>
      </c>
      <c r="F4990" s="19" t="s">
        <v>26</v>
      </c>
      <c r="G4990" s="19" t="s">
        <v>31</v>
      </c>
      <c r="H4990" s="19" t="s">
        <v>22</v>
      </c>
      <c r="I4990" s="19">
        <v>4</v>
      </c>
      <c r="J4990" s="19">
        <v>0</v>
      </c>
      <c r="K4990" s="19">
        <v>4</v>
      </c>
      <c r="L4990" s="19" t="s">
        <v>75</v>
      </c>
      <c r="M4990" s="21">
        <v>2.4</v>
      </c>
      <c r="N4990">
        <f t="shared" si="77"/>
        <v>1</v>
      </c>
    </row>
    <row r="4991" spans="1:14" x14ac:dyDescent="0.35">
      <c r="A4991" s="22" t="s">
        <v>5061</v>
      </c>
      <c r="B4991" s="23" t="s">
        <v>69</v>
      </c>
      <c r="C4991" s="23">
        <v>12</v>
      </c>
      <c r="D4991" s="24">
        <v>46007</v>
      </c>
      <c r="E4991" s="23" t="s">
        <v>13</v>
      </c>
      <c r="F4991" s="23" t="s">
        <v>37</v>
      </c>
      <c r="G4991" s="23" t="s">
        <v>27</v>
      </c>
      <c r="H4991" s="23" t="s">
        <v>8364</v>
      </c>
      <c r="I4991" s="23">
        <v>48</v>
      </c>
      <c r="J4991" s="23">
        <v>0</v>
      </c>
      <c r="K4991" s="23">
        <v>5</v>
      </c>
      <c r="L4991" s="23" t="s">
        <v>75</v>
      </c>
      <c r="M4991" s="25"/>
      <c r="N4991">
        <f t="shared" si="77"/>
        <v>1</v>
      </c>
    </row>
    <row r="4992" spans="1:14" x14ac:dyDescent="0.35">
      <c r="A4992" s="6" t="s">
        <v>5062</v>
      </c>
      <c r="B4992" s="19" t="s">
        <v>18</v>
      </c>
      <c r="C4992" s="19">
        <v>1</v>
      </c>
      <c r="D4992" s="20">
        <v>45687</v>
      </c>
      <c r="E4992" s="19" t="s">
        <v>8364</v>
      </c>
      <c r="F4992" s="19" t="s">
        <v>43</v>
      </c>
      <c r="G4992" s="19" t="s">
        <v>31</v>
      </c>
      <c r="H4992" s="19" t="s">
        <v>22</v>
      </c>
      <c r="I4992" s="19">
        <v>8</v>
      </c>
      <c r="J4992" s="19">
        <v>1</v>
      </c>
      <c r="K4992" s="19"/>
      <c r="L4992" s="19" t="s">
        <v>8363</v>
      </c>
      <c r="M4992" s="21">
        <v>13.5</v>
      </c>
      <c r="N4992">
        <f t="shared" si="77"/>
        <v>0</v>
      </c>
    </row>
    <row r="4993" spans="1:14" x14ac:dyDescent="0.35">
      <c r="A4993" s="22" t="s">
        <v>5063</v>
      </c>
      <c r="B4993" s="23" t="s">
        <v>146</v>
      </c>
      <c r="C4993" s="23">
        <v>3</v>
      </c>
      <c r="D4993" s="24">
        <v>45725</v>
      </c>
      <c r="E4993" s="23" t="s">
        <v>25</v>
      </c>
      <c r="F4993" s="23" t="s">
        <v>43</v>
      </c>
      <c r="G4993" s="23" t="s">
        <v>31</v>
      </c>
      <c r="H4993" s="23" t="s">
        <v>28</v>
      </c>
      <c r="I4993" s="23">
        <v>48</v>
      </c>
      <c r="J4993" s="23">
        <v>0</v>
      </c>
      <c r="K4993" s="23">
        <v>4</v>
      </c>
      <c r="L4993" s="23" t="s">
        <v>38</v>
      </c>
      <c r="M4993" s="25">
        <v>10.3</v>
      </c>
      <c r="N4993">
        <f t="shared" si="77"/>
        <v>1</v>
      </c>
    </row>
    <row r="4994" spans="1:14" x14ac:dyDescent="0.35">
      <c r="A4994" s="6" t="s">
        <v>5064</v>
      </c>
      <c r="B4994" s="19" t="s">
        <v>78</v>
      </c>
      <c r="C4994" s="19">
        <v>5</v>
      </c>
      <c r="D4994" s="20">
        <v>45787</v>
      </c>
      <c r="E4994" s="19" t="s">
        <v>68</v>
      </c>
      <c r="F4994" s="19" t="s">
        <v>8364</v>
      </c>
      <c r="G4994" s="19" t="s">
        <v>21</v>
      </c>
      <c r="H4994" s="19" t="s">
        <v>22</v>
      </c>
      <c r="I4994" s="19">
        <v>8</v>
      </c>
      <c r="J4994" s="19">
        <v>1</v>
      </c>
      <c r="K4994" s="19">
        <v>5</v>
      </c>
      <c r="L4994" s="19" t="s">
        <v>75</v>
      </c>
      <c r="M4994" s="21">
        <v>2.6</v>
      </c>
      <c r="N4994">
        <f t="shared" si="77"/>
        <v>1</v>
      </c>
    </row>
    <row r="4995" spans="1:14" x14ac:dyDescent="0.35">
      <c r="A4995" s="22" t="s">
        <v>5065</v>
      </c>
      <c r="B4995" s="23" t="s">
        <v>89</v>
      </c>
      <c r="C4995" s="23">
        <v>12</v>
      </c>
      <c r="D4995" s="24">
        <v>46015</v>
      </c>
      <c r="E4995" s="23" t="s">
        <v>25</v>
      </c>
      <c r="F4995" s="23" t="s">
        <v>8364</v>
      </c>
      <c r="G4995" s="23" t="s">
        <v>15</v>
      </c>
      <c r="H4995" s="23" t="s">
        <v>32</v>
      </c>
      <c r="I4995" s="23">
        <v>4</v>
      </c>
      <c r="J4995" s="23">
        <v>3</v>
      </c>
      <c r="K4995" s="23">
        <v>4</v>
      </c>
      <c r="L4995" s="23" t="s">
        <v>8363</v>
      </c>
      <c r="M4995" s="25">
        <v>13.7</v>
      </c>
      <c r="N4995">
        <f t="shared" ref="N4995:N5058" si="78">IF(M4995 &lt;= I4995, 1, 0)</f>
        <v>0</v>
      </c>
    </row>
    <row r="4996" spans="1:14" x14ac:dyDescent="0.35">
      <c r="A4996" s="6" t="s">
        <v>5066</v>
      </c>
      <c r="B4996" s="19" t="s">
        <v>51</v>
      </c>
      <c r="C4996" s="19">
        <v>2</v>
      </c>
      <c r="D4996" s="20">
        <v>45709</v>
      </c>
      <c r="E4996" s="19" t="s">
        <v>36</v>
      </c>
      <c r="F4996" s="19" t="s">
        <v>43</v>
      </c>
      <c r="G4996" s="19" t="s">
        <v>27</v>
      </c>
      <c r="H4996" s="19" t="s">
        <v>32</v>
      </c>
      <c r="I4996" s="19">
        <v>72</v>
      </c>
      <c r="J4996" s="19">
        <v>0</v>
      </c>
      <c r="K4996" s="19">
        <v>3</v>
      </c>
      <c r="L4996" s="19" t="s">
        <v>75</v>
      </c>
      <c r="M4996" s="21">
        <v>5.7</v>
      </c>
      <c r="N4996">
        <f t="shared" si="78"/>
        <v>1</v>
      </c>
    </row>
    <row r="4997" spans="1:14" x14ac:dyDescent="0.35">
      <c r="A4997" s="22" t="s">
        <v>5067</v>
      </c>
      <c r="B4997" s="23" t="s">
        <v>29</v>
      </c>
      <c r="C4997" s="23"/>
      <c r="D4997" s="24"/>
      <c r="E4997" s="23" t="s">
        <v>8364</v>
      </c>
      <c r="F4997" s="23" t="s">
        <v>59</v>
      </c>
      <c r="G4997" s="23" t="s">
        <v>15</v>
      </c>
      <c r="H4997" s="23" t="s">
        <v>8364</v>
      </c>
      <c r="I4997" s="23">
        <v>4</v>
      </c>
      <c r="J4997" s="23">
        <v>0</v>
      </c>
      <c r="K4997" s="23">
        <v>5</v>
      </c>
      <c r="L4997" s="23" t="s">
        <v>75</v>
      </c>
      <c r="M4997" s="25">
        <v>14.5</v>
      </c>
      <c r="N4997">
        <f t="shared" si="78"/>
        <v>0</v>
      </c>
    </row>
    <row r="4998" spans="1:14" x14ac:dyDescent="0.35">
      <c r="A4998" s="6" t="s">
        <v>5068</v>
      </c>
      <c r="B4998" s="19" t="s">
        <v>253</v>
      </c>
      <c r="C4998" s="19">
        <v>8</v>
      </c>
      <c r="D4998" s="20">
        <v>45897</v>
      </c>
      <c r="E4998" s="19" t="s">
        <v>20</v>
      </c>
      <c r="F4998" s="19" t="s">
        <v>14</v>
      </c>
      <c r="G4998" s="19" t="s">
        <v>8364</v>
      </c>
      <c r="H4998" s="19" t="s">
        <v>8364</v>
      </c>
      <c r="I4998" s="19">
        <v>24</v>
      </c>
      <c r="J4998" s="19">
        <v>0</v>
      </c>
      <c r="K4998" s="19">
        <v>1</v>
      </c>
      <c r="L4998" s="19" t="s">
        <v>62</v>
      </c>
      <c r="M4998" s="21">
        <v>12.8</v>
      </c>
      <c r="N4998">
        <f t="shared" si="78"/>
        <v>1</v>
      </c>
    </row>
    <row r="4999" spans="1:14" x14ac:dyDescent="0.35">
      <c r="A4999" s="22" t="s">
        <v>5069</v>
      </c>
      <c r="B4999" s="23" t="s">
        <v>126</v>
      </c>
      <c r="C4999" s="23"/>
      <c r="D4999" s="24"/>
      <c r="E4999" s="23" t="s">
        <v>68</v>
      </c>
      <c r="F4999" s="23" t="s">
        <v>8364</v>
      </c>
      <c r="G4999" s="23" t="s">
        <v>15</v>
      </c>
      <c r="H4999" s="23" t="s">
        <v>8364</v>
      </c>
      <c r="I4999" s="23">
        <v>8</v>
      </c>
      <c r="J4999" s="23">
        <v>0</v>
      </c>
      <c r="K4999" s="23">
        <v>3</v>
      </c>
      <c r="L4999" s="23" t="s">
        <v>62</v>
      </c>
      <c r="M4999" s="25">
        <v>27.1</v>
      </c>
      <c r="N4999">
        <f t="shared" si="78"/>
        <v>0</v>
      </c>
    </row>
    <row r="5000" spans="1:14" x14ac:dyDescent="0.35">
      <c r="A5000" s="6" t="s">
        <v>5070</v>
      </c>
      <c r="B5000" s="19" t="s">
        <v>41</v>
      </c>
      <c r="C5000" s="19">
        <v>11</v>
      </c>
      <c r="D5000" s="20">
        <v>45968</v>
      </c>
      <c r="E5000" s="19" t="s">
        <v>13</v>
      </c>
      <c r="F5000" s="19" t="s">
        <v>43</v>
      </c>
      <c r="G5000" s="19" t="s">
        <v>27</v>
      </c>
      <c r="H5000" s="19" t="s">
        <v>8364</v>
      </c>
      <c r="I5000" s="19">
        <v>8</v>
      </c>
      <c r="J5000" s="19">
        <v>0</v>
      </c>
      <c r="K5000" s="19">
        <v>4</v>
      </c>
      <c r="L5000" s="19" t="s">
        <v>8363</v>
      </c>
      <c r="M5000" s="21">
        <v>19</v>
      </c>
      <c r="N5000">
        <f t="shared" si="78"/>
        <v>0</v>
      </c>
    </row>
    <row r="5001" spans="1:14" x14ac:dyDescent="0.35">
      <c r="A5001" s="22" t="s">
        <v>5071</v>
      </c>
      <c r="B5001" s="23" t="s">
        <v>81</v>
      </c>
      <c r="C5001" s="23">
        <v>8</v>
      </c>
      <c r="D5001" s="24">
        <v>45872</v>
      </c>
      <c r="E5001" s="23" t="s">
        <v>36</v>
      </c>
      <c r="F5001" s="23" t="s">
        <v>14</v>
      </c>
      <c r="G5001" s="23" t="s">
        <v>15</v>
      </c>
      <c r="H5001" s="23" t="s">
        <v>22</v>
      </c>
      <c r="I5001" s="23">
        <v>8</v>
      </c>
      <c r="J5001" s="23">
        <v>0</v>
      </c>
      <c r="K5001" s="23">
        <v>3</v>
      </c>
      <c r="L5001" s="23" t="s">
        <v>62</v>
      </c>
      <c r="M5001" s="25">
        <v>11.7</v>
      </c>
      <c r="N5001">
        <f t="shared" si="78"/>
        <v>0</v>
      </c>
    </row>
    <row r="5002" spans="1:14" x14ac:dyDescent="0.35">
      <c r="A5002" s="6" t="s">
        <v>5072</v>
      </c>
      <c r="B5002" s="19" t="s">
        <v>146</v>
      </c>
      <c r="C5002" s="19">
        <v>8</v>
      </c>
      <c r="D5002" s="20">
        <v>45878</v>
      </c>
      <c r="E5002" s="19" t="s">
        <v>8364</v>
      </c>
      <c r="F5002" s="19" t="s">
        <v>40</v>
      </c>
      <c r="G5002" s="19" t="s">
        <v>31</v>
      </c>
      <c r="H5002" s="19" t="s">
        <v>22</v>
      </c>
      <c r="I5002" s="19">
        <v>8</v>
      </c>
      <c r="J5002" s="19">
        <v>1</v>
      </c>
      <c r="K5002" s="19">
        <v>5</v>
      </c>
      <c r="L5002" s="19" t="s">
        <v>55</v>
      </c>
      <c r="M5002" s="21">
        <v>3.4</v>
      </c>
      <c r="N5002">
        <f t="shared" si="78"/>
        <v>1</v>
      </c>
    </row>
    <row r="5003" spans="1:14" x14ac:dyDescent="0.35">
      <c r="A5003" s="22" t="s">
        <v>5073</v>
      </c>
      <c r="B5003" s="23" t="s">
        <v>108</v>
      </c>
      <c r="C5003" s="23">
        <v>12</v>
      </c>
      <c r="D5003" s="24">
        <v>46020</v>
      </c>
      <c r="E5003" s="23" t="s">
        <v>13</v>
      </c>
      <c r="F5003" s="23" t="s">
        <v>26</v>
      </c>
      <c r="G5003" s="23" t="s">
        <v>8364</v>
      </c>
      <c r="H5003" s="23" t="s">
        <v>22</v>
      </c>
      <c r="I5003" s="23">
        <v>48</v>
      </c>
      <c r="J5003" s="23">
        <v>2</v>
      </c>
      <c r="K5003" s="23">
        <v>1</v>
      </c>
      <c r="L5003" s="23" t="s">
        <v>8363</v>
      </c>
      <c r="M5003" s="25">
        <v>2.8</v>
      </c>
      <c r="N5003">
        <f t="shared" si="78"/>
        <v>1</v>
      </c>
    </row>
    <row r="5004" spans="1:14" x14ac:dyDescent="0.35">
      <c r="A5004" s="6" t="s">
        <v>5074</v>
      </c>
      <c r="B5004" s="19" t="s">
        <v>104</v>
      </c>
      <c r="C5004" s="19">
        <v>6</v>
      </c>
      <c r="D5004" s="20">
        <v>45835</v>
      </c>
      <c r="E5004" s="19" t="s">
        <v>13</v>
      </c>
      <c r="F5004" s="19" t="s">
        <v>43</v>
      </c>
      <c r="G5004" s="19" t="s">
        <v>31</v>
      </c>
      <c r="H5004" s="19" t="s">
        <v>8364</v>
      </c>
      <c r="I5004" s="19">
        <v>72</v>
      </c>
      <c r="J5004" s="19">
        <v>0</v>
      </c>
      <c r="K5004" s="19">
        <v>1</v>
      </c>
      <c r="L5004" s="19" t="s">
        <v>44</v>
      </c>
      <c r="M5004" s="21">
        <v>3.5</v>
      </c>
      <c r="N5004">
        <f t="shared" si="78"/>
        <v>1</v>
      </c>
    </row>
    <row r="5005" spans="1:14" x14ac:dyDescent="0.35">
      <c r="A5005" s="22" t="s">
        <v>5075</v>
      </c>
      <c r="B5005" s="23" t="s">
        <v>108</v>
      </c>
      <c r="C5005" s="23">
        <v>4</v>
      </c>
      <c r="D5005" s="24">
        <v>45776</v>
      </c>
      <c r="E5005" s="23" t="s">
        <v>36</v>
      </c>
      <c r="F5005" s="23" t="s">
        <v>59</v>
      </c>
      <c r="G5005" s="23" t="s">
        <v>31</v>
      </c>
      <c r="H5005" s="23" t="s">
        <v>16</v>
      </c>
      <c r="I5005" s="23">
        <v>72</v>
      </c>
      <c r="J5005" s="23">
        <v>0</v>
      </c>
      <c r="K5005" s="23">
        <v>5</v>
      </c>
      <c r="L5005" s="23" t="s">
        <v>55</v>
      </c>
      <c r="M5005" s="25">
        <v>33.799999999999997</v>
      </c>
      <c r="N5005">
        <f t="shared" si="78"/>
        <v>1</v>
      </c>
    </row>
    <row r="5006" spans="1:14" x14ac:dyDescent="0.35">
      <c r="A5006" s="6" t="s">
        <v>5076</v>
      </c>
      <c r="B5006" s="19" t="s">
        <v>65</v>
      </c>
      <c r="C5006" s="19">
        <v>6</v>
      </c>
      <c r="D5006" s="20">
        <v>45825</v>
      </c>
      <c r="E5006" s="19" t="s">
        <v>8364</v>
      </c>
      <c r="F5006" s="19" t="s">
        <v>59</v>
      </c>
      <c r="G5006" s="19" t="s">
        <v>31</v>
      </c>
      <c r="H5006" s="19" t="s">
        <v>22</v>
      </c>
      <c r="I5006" s="19">
        <v>72</v>
      </c>
      <c r="J5006" s="19">
        <v>0</v>
      </c>
      <c r="K5006" s="19">
        <v>4</v>
      </c>
      <c r="L5006" s="19" t="s">
        <v>75</v>
      </c>
      <c r="M5006" s="21">
        <v>12.5</v>
      </c>
      <c r="N5006">
        <f t="shared" si="78"/>
        <v>1</v>
      </c>
    </row>
    <row r="5007" spans="1:14" x14ac:dyDescent="0.35">
      <c r="A5007" s="22" t="s">
        <v>5077</v>
      </c>
      <c r="B5007" s="23" t="s">
        <v>41</v>
      </c>
      <c r="C5007" s="23">
        <v>11</v>
      </c>
      <c r="D5007" s="24">
        <v>45968</v>
      </c>
      <c r="E5007" s="23" t="s">
        <v>36</v>
      </c>
      <c r="F5007" s="23" t="s">
        <v>43</v>
      </c>
      <c r="G5007" s="23" t="s">
        <v>31</v>
      </c>
      <c r="H5007" s="23" t="s">
        <v>22</v>
      </c>
      <c r="I5007" s="23">
        <v>72</v>
      </c>
      <c r="J5007" s="23">
        <v>0</v>
      </c>
      <c r="K5007" s="23">
        <v>5</v>
      </c>
      <c r="L5007" s="23" t="s">
        <v>75</v>
      </c>
      <c r="M5007" s="25">
        <v>19.899999999999999</v>
      </c>
      <c r="N5007">
        <f t="shared" si="78"/>
        <v>1</v>
      </c>
    </row>
    <row r="5008" spans="1:14" x14ac:dyDescent="0.35">
      <c r="A5008" s="6" t="s">
        <v>5078</v>
      </c>
      <c r="B5008" s="19" t="s">
        <v>39</v>
      </c>
      <c r="C5008" s="19">
        <v>5</v>
      </c>
      <c r="D5008" s="20">
        <v>45786</v>
      </c>
      <c r="E5008" s="19" t="s">
        <v>8364</v>
      </c>
      <c r="F5008" s="19" t="s">
        <v>14</v>
      </c>
      <c r="G5008" s="19" t="s">
        <v>15</v>
      </c>
      <c r="H5008" s="19" t="s">
        <v>32</v>
      </c>
      <c r="I5008" s="19">
        <v>4</v>
      </c>
      <c r="J5008" s="19">
        <v>0</v>
      </c>
      <c r="K5008" s="19">
        <v>3</v>
      </c>
      <c r="L5008" s="19" t="s">
        <v>62</v>
      </c>
      <c r="M5008" s="21">
        <v>12.8</v>
      </c>
      <c r="N5008">
        <f t="shared" si="78"/>
        <v>0</v>
      </c>
    </row>
    <row r="5009" spans="1:14" x14ac:dyDescent="0.35">
      <c r="A5009" s="22" t="s">
        <v>5079</v>
      </c>
      <c r="B5009" s="23" t="s">
        <v>45</v>
      </c>
      <c r="C5009" s="23">
        <v>8</v>
      </c>
      <c r="D5009" s="24">
        <v>45878</v>
      </c>
      <c r="E5009" s="23" t="s">
        <v>25</v>
      </c>
      <c r="F5009" s="23" t="s">
        <v>59</v>
      </c>
      <c r="G5009" s="23" t="s">
        <v>15</v>
      </c>
      <c r="H5009" s="23" t="s">
        <v>8364</v>
      </c>
      <c r="I5009" s="23">
        <v>72</v>
      </c>
      <c r="J5009" s="23">
        <v>0</v>
      </c>
      <c r="K5009" s="23">
        <v>2</v>
      </c>
      <c r="L5009" s="23" t="s">
        <v>17</v>
      </c>
      <c r="M5009" s="25">
        <v>9.6</v>
      </c>
      <c r="N5009">
        <f t="shared" si="78"/>
        <v>1</v>
      </c>
    </row>
    <row r="5010" spans="1:14" x14ac:dyDescent="0.35">
      <c r="A5010" s="6" t="s">
        <v>5080</v>
      </c>
      <c r="B5010" s="19" t="s">
        <v>53</v>
      </c>
      <c r="C5010" s="19">
        <v>4</v>
      </c>
      <c r="D5010" s="20">
        <v>45771</v>
      </c>
      <c r="E5010" s="19" t="s">
        <v>36</v>
      </c>
      <c r="F5010" s="19" t="s">
        <v>43</v>
      </c>
      <c r="G5010" s="19" t="s">
        <v>31</v>
      </c>
      <c r="H5010" s="19" t="s">
        <v>8364</v>
      </c>
      <c r="I5010" s="19">
        <v>48</v>
      </c>
      <c r="J5010" s="19">
        <v>0</v>
      </c>
      <c r="K5010" s="19">
        <v>5</v>
      </c>
      <c r="L5010" s="19" t="s">
        <v>8363</v>
      </c>
      <c r="M5010" s="21">
        <v>10.5</v>
      </c>
      <c r="N5010">
        <f t="shared" si="78"/>
        <v>1</v>
      </c>
    </row>
    <row r="5011" spans="1:14" x14ac:dyDescent="0.35">
      <c r="A5011" s="22" t="s">
        <v>5081</v>
      </c>
      <c r="B5011" s="23" t="s">
        <v>47</v>
      </c>
      <c r="C5011" s="23">
        <v>12</v>
      </c>
      <c r="D5011" s="24">
        <v>45999</v>
      </c>
      <c r="E5011" s="23" t="s">
        <v>68</v>
      </c>
      <c r="F5011" s="23" t="s">
        <v>43</v>
      </c>
      <c r="G5011" s="23" t="s">
        <v>31</v>
      </c>
      <c r="H5011" s="23" t="s">
        <v>28</v>
      </c>
      <c r="I5011" s="23">
        <v>72</v>
      </c>
      <c r="J5011" s="23">
        <v>0</v>
      </c>
      <c r="K5011" s="23"/>
      <c r="L5011" s="23" t="s">
        <v>62</v>
      </c>
      <c r="M5011" s="25">
        <v>1.7</v>
      </c>
      <c r="N5011">
        <f t="shared" si="78"/>
        <v>1</v>
      </c>
    </row>
    <row r="5012" spans="1:14" x14ac:dyDescent="0.35">
      <c r="A5012" s="6" t="s">
        <v>5082</v>
      </c>
      <c r="B5012" s="19" t="s">
        <v>158</v>
      </c>
      <c r="C5012" s="19">
        <v>11</v>
      </c>
      <c r="D5012" s="20">
        <v>45980</v>
      </c>
      <c r="E5012" s="19" t="s">
        <v>13</v>
      </c>
      <c r="F5012" s="19" t="s">
        <v>14</v>
      </c>
      <c r="G5012" s="19" t="s">
        <v>31</v>
      </c>
      <c r="H5012" s="19" t="s">
        <v>32</v>
      </c>
      <c r="I5012" s="19">
        <v>72</v>
      </c>
      <c r="J5012" s="19">
        <v>1</v>
      </c>
      <c r="K5012" s="19"/>
      <c r="L5012" s="19" t="s">
        <v>38</v>
      </c>
      <c r="M5012" s="21">
        <v>5.0999999999999996</v>
      </c>
      <c r="N5012">
        <f t="shared" si="78"/>
        <v>1</v>
      </c>
    </row>
    <row r="5013" spans="1:14" x14ac:dyDescent="0.35">
      <c r="A5013" s="22" t="s">
        <v>5083</v>
      </c>
      <c r="B5013" s="23" t="s">
        <v>41</v>
      </c>
      <c r="C5013" s="23">
        <v>8</v>
      </c>
      <c r="D5013" s="24">
        <v>45888</v>
      </c>
      <c r="E5013" s="23" t="s">
        <v>25</v>
      </c>
      <c r="F5013" s="23" t="s">
        <v>8364</v>
      </c>
      <c r="G5013" s="23" t="s">
        <v>15</v>
      </c>
      <c r="H5013" s="23" t="s">
        <v>22</v>
      </c>
      <c r="I5013" s="23">
        <v>24</v>
      </c>
      <c r="J5013" s="23">
        <v>0</v>
      </c>
      <c r="K5013" s="23">
        <v>5</v>
      </c>
      <c r="L5013" s="23" t="s">
        <v>75</v>
      </c>
      <c r="M5013" s="25">
        <v>4.9000000000000004</v>
      </c>
      <c r="N5013">
        <f t="shared" si="78"/>
        <v>1</v>
      </c>
    </row>
    <row r="5014" spans="1:14" x14ac:dyDescent="0.35">
      <c r="A5014" s="6" t="s">
        <v>5084</v>
      </c>
      <c r="B5014" s="19" t="s">
        <v>104</v>
      </c>
      <c r="C5014" s="19">
        <v>11</v>
      </c>
      <c r="D5014" s="20">
        <v>45971</v>
      </c>
      <c r="E5014" s="19" t="s">
        <v>36</v>
      </c>
      <c r="F5014" s="19" t="s">
        <v>43</v>
      </c>
      <c r="G5014" s="19" t="s">
        <v>21</v>
      </c>
      <c r="H5014" s="19" t="s">
        <v>22</v>
      </c>
      <c r="I5014" s="19">
        <v>72</v>
      </c>
      <c r="J5014" s="19">
        <v>1</v>
      </c>
      <c r="K5014" s="19">
        <v>5</v>
      </c>
      <c r="L5014" s="19" t="s">
        <v>44</v>
      </c>
      <c r="M5014" s="21">
        <v>7.3</v>
      </c>
      <c r="N5014">
        <f t="shared" si="78"/>
        <v>1</v>
      </c>
    </row>
    <row r="5015" spans="1:14" x14ac:dyDescent="0.35">
      <c r="A5015" s="22" t="s">
        <v>5085</v>
      </c>
      <c r="B5015" s="23" t="s">
        <v>47</v>
      </c>
      <c r="C5015" s="23">
        <v>11</v>
      </c>
      <c r="D5015" s="24">
        <v>45985</v>
      </c>
      <c r="E5015" s="23" t="s">
        <v>8364</v>
      </c>
      <c r="F5015" s="23" t="s">
        <v>14</v>
      </c>
      <c r="G5015" s="23" t="s">
        <v>8364</v>
      </c>
      <c r="H5015" s="23" t="s">
        <v>8364</v>
      </c>
      <c r="I5015" s="23">
        <v>4</v>
      </c>
      <c r="J5015" s="23">
        <v>0</v>
      </c>
      <c r="K5015" s="23">
        <v>5</v>
      </c>
      <c r="L5015" s="23" t="s">
        <v>44</v>
      </c>
      <c r="M5015" s="25">
        <v>22.7</v>
      </c>
      <c r="N5015">
        <f t="shared" si="78"/>
        <v>0</v>
      </c>
    </row>
    <row r="5016" spans="1:14" x14ac:dyDescent="0.35">
      <c r="A5016" s="6" t="s">
        <v>5086</v>
      </c>
      <c r="B5016" s="19" t="s">
        <v>101</v>
      </c>
      <c r="C5016" s="19">
        <v>5</v>
      </c>
      <c r="D5016" s="20">
        <v>45807</v>
      </c>
      <c r="E5016" s="19" t="s">
        <v>13</v>
      </c>
      <c r="F5016" s="19" t="s">
        <v>14</v>
      </c>
      <c r="G5016" s="19" t="s">
        <v>21</v>
      </c>
      <c r="H5016" s="19" t="s">
        <v>8364</v>
      </c>
      <c r="I5016" s="19">
        <v>8</v>
      </c>
      <c r="J5016" s="19">
        <v>0</v>
      </c>
      <c r="K5016" s="19">
        <v>4</v>
      </c>
      <c r="L5016" s="19" t="s">
        <v>17</v>
      </c>
      <c r="M5016" s="21">
        <v>4.0999999999999996</v>
      </c>
      <c r="N5016">
        <f t="shared" si="78"/>
        <v>1</v>
      </c>
    </row>
    <row r="5017" spans="1:14" x14ac:dyDescent="0.35">
      <c r="A5017" s="22" t="s">
        <v>5087</v>
      </c>
      <c r="B5017" s="23" t="s">
        <v>39</v>
      </c>
      <c r="C5017" s="23">
        <v>9</v>
      </c>
      <c r="D5017" s="24">
        <v>45906</v>
      </c>
      <c r="E5017" s="23" t="s">
        <v>8364</v>
      </c>
      <c r="F5017" s="23" t="s">
        <v>37</v>
      </c>
      <c r="G5017" s="23" t="s">
        <v>21</v>
      </c>
      <c r="H5017" s="23" t="s">
        <v>22</v>
      </c>
      <c r="I5017" s="23">
        <v>72</v>
      </c>
      <c r="J5017" s="23">
        <v>0</v>
      </c>
      <c r="K5017" s="23">
        <v>5</v>
      </c>
      <c r="L5017" s="23" t="s">
        <v>55</v>
      </c>
      <c r="M5017" s="25">
        <v>8.5</v>
      </c>
      <c r="N5017">
        <f t="shared" si="78"/>
        <v>1</v>
      </c>
    </row>
    <row r="5018" spans="1:14" x14ac:dyDescent="0.35">
      <c r="A5018" s="6" t="s">
        <v>5088</v>
      </c>
      <c r="B5018" s="19" t="s">
        <v>53</v>
      </c>
      <c r="C5018" s="19">
        <v>5</v>
      </c>
      <c r="D5018" s="20">
        <v>45798</v>
      </c>
      <c r="E5018" s="19" t="s">
        <v>25</v>
      </c>
      <c r="F5018" s="19" t="s">
        <v>14</v>
      </c>
      <c r="G5018" s="19" t="s">
        <v>27</v>
      </c>
      <c r="H5018" s="19" t="s">
        <v>28</v>
      </c>
      <c r="I5018" s="19">
        <v>48</v>
      </c>
      <c r="J5018" s="19">
        <v>0</v>
      </c>
      <c r="K5018" s="19">
        <v>5</v>
      </c>
      <c r="L5018" s="19" t="s">
        <v>75</v>
      </c>
      <c r="M5018" s="21">
        <v>4.9000000000000004</v>
      </c>
      <c r="N5018">
        <f t="shared" si="78"/>
        <v>1</v>
      </c>
    </row>
    <row r="5019" spans="1:14" x14ac:dyDescent="0.35">
      <c r="A5019" s="22" t="s">
        <v>5089</v>
      </c>
      <c r="B5019" s="23" t="s">
        <v>89</v>
      </c>
      <c r="C5019" s="23">
        <v>2</v>
      </c>
      <c r="D5019" s="24">
        <v>45692</v>
      </c>
      <c r="E5019" s="23" t="s">
        <v>68</v>
      </c>
      <c r="F5019" s="23" t="s">
        <v>14</v>
      </c>
      <c r="G5019" s="23" t="s">
        <v>27</v>
      </c>
      <c r="H5019" s="23" t="s">
        <v>22</v>
      </c>
      <c r="I5019" s="23">
        <v>72</v>
      </c>
      <c r="J5019" s="23">
        <v>0</v>
      </c>
      <c r="K5019" s="23">
        <v>2</v>
      </c>
      <c r="L5019" s="23" t="s">
        <v>62</v>
      </c>
      <c r="M5019" s="25">
        <v>6</v>
      </c>
      <c r="N5019">
        <f t="shared" si="78"/>
        <v>1</v>
      </c>
    </row>
    <row r="5020" spans="1:14" x14ac:dyDescent="0.35">
      <c r="A5020" s="6" t="s">
        <v>5090</v>
      </c>
      <c r="B5020" s="19" t="s">
        <v>139</v>
      </c>
      <c r="C5020" s="19">
        <v>12</v>
      </c>
      <c r="D5020" s="20">
        <v>46003</v>
      </c>
      <c r="E5020" s="19" t="s">
        <v>13</v>
      </c>
      <c r="F5020" s="19" t="s">
        <v>37</v>
      </c>
      <c r="G5020" s="19" t="s">
        <v>15</v>
      </c>
      <c r="H5020" s="19" t="s">
        <v>22</v>
      </c>
      <c r="I5020" s="19">
        <v>4</v>
      </c>
      <c r="J5020" s="19">
        <v>0</v>
      </c>
      <c r="K5020" s="19">
        <v>4</v>
      </c>
      <c r="L5020" s="19" t="s">
        <v>33</v>
      </c>
      <c r="M5020" s="21">
        <v>15.1</v>
      </c>
      <c r="N5020">
        <f t="shared" si="78"/>
        <v>0</v>
      </c>
    </row>
    <row r="5021" spans="1:14" x14ac:dyDescent="0.35">
      <c r="A5021" s="22" t="s">
        <v>5091</v>
      </c>
      <c r="B5021" s="23" t="s">
        <v>85</v>
      </c>
      <c r="C5021" s="23">
        <v>8</v>
      </c>
      <c r="D5021" s="24">
        <v>45890</v>
      </c>
      <c r="E5021" s="23" t="s">
        <v>25</v>
      </c>
      <c r="F5021" s="23" t="s">
        <v>26</v>
      </c>
      <c r="G5021" s="23" t="s">
        <v>15</v>
      </c>
      <c r="H5021" s="23" t="s">
        <v>32</v>
      </c>
      <c r="I5021" s="23">
        <v>48</v>
      </c>
      <c r="J5021" s="23">
        <v>0</v>
      </c>
      <c r="K5021" s="23">
        <v>5</v>
      </c>
      <c r="L5021" s="23" t="s">
        <v>55</v>
      </c>
      <c r="M5021" s="25">
        <v>4.4000000000000004</v>
      </c>
      <c r="N5021">
        <f t="shared" si="78"/>
        <v>1</v>
      </c>
    </row>
    <row r="5022" spans="1:14" x14ac:dyDescent="0.35">
      <c r="A5022" s="6" t="s">
        <v>5092</v>
      </c>
      <c r="B5022" s="19" t="s">
        <v>49</v>
      </c>
      <c r="C5022" s="19">
        <v>7</v>
      </c>
      <c r="D5022" s="20">
        <v>45847</v>
      </c>
      <c r="E5022" s="19" t="s">
        <v>20</v>
      </c>
      <c r="F5022" s="19" t="s">
        <v>43</v>
      </c>
      <c r="G5022" s="19" t="s">
        <v>27</v>
      </c>
      <c r="H5022" s="19" t="s">
        <v>22</v>
      </c>
      <c r="I5022" s="19">
        <v>4</v>
      </c>
      <c r="J5022" s="19">
        <v>0</v>
      </c>
      <c r="K5022" s="19">
        <v>4</v>
      </c>
      <c r="L5022" s="19" t="s">
        <v>38</v>
      </c>
      <c r="M5022" s="21">
        <v>12.7</v>
      </c>
      <c r="N5022">
        <f t="shared" si="78"/>
        <v>0</v>
      </c>
    </row>
    <row r="5023" spans="1:14" x14ac:dyDescent="0.35">
      <c r="A5023" s="22" t="s">
        <v>5093</v>
      </c>
      <c r="B5023" s="23" t="s">
        <v>23</v>
      </c>
      <c r="C5023" s="23">
        <v>8</v>
      </c>
      <c r="D5023" s="24">
        <v>45879</v>
      </c>
      <c r="E5023" s="23" t="s">
        <v>13</v>
      </c>
      <c r="F5023" s="23" t="s">
        <v>43</v>
      </c>
      <c r="G5023" s="23" t="s">
        <v>31</v>
      </c>
      <c r="H5023" s="23" t="s">
        <v>8364</v>
      </c>
      <c r="I5023" s="23">
        <v>4</v>
      </c>
      <c r="J5023" s="23">
        <v>0</v>
      </c>
      <c r="K5023" s="23">
        <v>4</v>
      </c>
      <c r="L5023" s="23" t="s">
        <v>8363</v>
      </c>
      <c r="M5023" s="25"/>
      <c r="N5023">
        <f t="shared" si="78"/>
        <v>1</v>
      </c>
    </row>
    <row r="5024" spans="1:14" x14ac:dyDescent="0.35">
      <c r="A5024" s="6" t="s">
        <v>5094</v>
      </c>
      <c r="B5024" s="19" t="s">
        <v>47</v>
      </c>
      <c r="C5024" s="19">
        <v>7</v>
      </c>
      <c r="D5024" s="20">
        <v>45839</v>
      </c>
      <c r="E5024" s="19" t="s">
        <v>25</v>
      </c>
      <c r="F5024" s="19" t="s">
        <v>14</v>
      </c>
      <c r="G5024" s="19" t="s">
        <v>27</v>
      </c>
      <c r="H5024" s="19" t="s">
        <v>28</v>
      </c>
      <c r="I5024" s="19">
        <v>48</v>
      </c>
      <c r="J5024" s="19">
        <v>1</v>
      </c>
      <c r="K5024" s="19">
        <v>5</v>
      </c>
      <c r="L5024" s="19" t="s">
        <v>55</v>
      </c>
      <c r="M5024" s="21">
        <v>27.8</v>
      </c>
      <c r="N5024">
        <f t="shared" si="78"/>
        <v>1</v>
      </c>
    </row>
    <row r="5025" spans="1:14" x14ac:dyDescent="0.35">
      <c r="A5025" s="22" t="s">
        <v>5095</v>
      </c>
      <c r="B5025" s="23" t="s">
        <v>236</v>
      </c>
      <c r="C5025" s="23">
        <v>1</v>
      </c>
      <c r="D5025" s="24">
        <v>45676</v>
      </c>
      <c r="E5025" s="23" t="s">
        <v>13</v>
      </c>
      <c r="F5025" s="23" t="s">
        <v>43</v>
      </c>
      <c r="G5025" s="23" t="s">
        <v>27</v>
      </c>
      <c r="H5025" s="23" t="s">
        <v>28</v>
      </c>
      <c r="I5025" s="23">
        <v>4</v>
      </c>
      <c r="J5025" s="23">
        <v>0</v>
      </c>
      <c r="K5025" s="23">
        <v>3</v>
      </c>
      <c r="L5025" s="23" t="s">
        <v>8363</v>
      </c>
      <c r="M5025" s="25">
        <v>4.4000000000000004</v>
      </c>
      <c r="N5025">
        <f t="shared" si="78"/>
        <v>0</v>
      </c>
    </row>
    <row r="5026" spans="1:14" x14ac:dyDescent="0.35">
      <c r="A5026" s="6" t="s">
        <v>5096</v>
      </c>
      <c r="B5026" s="19" t="s">
        <v>78</v>
      </c>
      <c r="C5026" s="19">
        <v>2</v>
      </c>
      <c r="D5026" s="20">
        <v>45716</v>
      </c>
      <c r="E5026" s="19" t="s">
        <v>68</v>
      </c>
      <c r="F5026" s="19" t="s">
        <v>8364</v>
      </c>
      <c r="G5026" s="19" t="s">
        <v>15</v>
      </c>
      <c r="H5026" s="19" t="s">
        <v>22</v>
      </c>
      <c r="I5026" s="19">
        <v>72</v>
      </c>
      <c r="J5026" s="19">
        <v>0</v>
      </c>
      <c r="K5026" s="19">
        <v>5</v>
      </c>
      <c r="L5026" s="19" t="s">
        <v>75</v>
      </c>
      <c r="M5026" s="21">
        <v>41.6</v>
      </c>
      <c r="N5026">
        <f t="shared" si="78"/>
        <v>1</v>
      </c>
    </row>
    <row r="5027" spans="1:14" x14ac:dyDescent="0.35">
      <c r="A5027" s="22" t="s">
        <v>5097</v>
      </c>
      <c r="B5027" s="23" t="s">
        <v>34</v>
      </c>
      <c r="C5027" s="23">
        <v>7</v>
      </c>
      <c r="D5027" s="24">
        <v>45852</v>
      </c>
      <c r="E5027" s="23" t="s">
        <v>13</v>
      </c>
      <c r="F5027" s="23" t="s">
        <v>40</v>
      </c>
      <c r="G5027" s="23" t="s">
        <v>21</v>
      </c>
      <c r="H5027" s="23" t="s">
        <v>22</v>
      </c>
      <c r="I5027" s="23">
        <v>72</v>
      </c>
      <c r="J5027" s="23">
        <v>0</v>
      </c>
      <c r="K5027" s="23">
        <v>2</v>
      </c>
      <c r="L5027" s="23" t="s">
        <v>55</v>
      </c>
      <c r="M5027" s="25">
        <v>11.4</v>
      </c>
      <c r="N5027">
        <f t="shared" si="78"/>
        <v>1</v>
      </c>
    </row>
    <row r="5028" spans="1:14" x14ac:dyDescent="0.35">
      <c r="A5028" s="6" t="s">
        <v>5098</v>
      </c>
      <c r="B5028" s="19" t="s">
        <v>139</v>
      </c>
      <c r="C5028" s="19">
        <v>8</v>
      </c>
      <c r="D5028" s="20">
        <v>45875</v>
      </c>
      <c r="E5028" s="19" t="s">
        <v>20</v>
      </c>
      <c r="F5028" s="19" t="s">
        <v>8364</v>
      </c>
      <c r="G5028" s="19" t="s">
        <v>21</v>
      </c>
      <c r="H5028" s="19" t="s">
        <v>16</v>
      </c>
      <c r="I5028" s="19">
        <v>8</v>
      </c>
      <c r="J5028" s="19">
        <v>0</v>
      </c>
      <c r="K5028" s="19">
        <v>5</v>
      </c>
      <c r="L5028" s="19" t="s">
        <v>75</v>
      </c>
      <c r="M5028" s="21">
        <v>10.4</v>
      </c>
      <c r="N5028">
        <f t="shared" si="78"/>
        <v>0</v>
      </c>
    </row>
    <row r="5029" spans="1:14" x14ac:dyDescent="0.35">
      <c r="A5029" s="22" t="s">
        <v>5099</v>
      </c>
      <c r="B5029" s="23" t="s">
        <v>45</v>
      </c>
      <c r="C5029" s="23"/>
      <c r="D5029" s="24"/>
      <c r="E5029" s="23" t="s">
        <v>20</v>
      </c>
      <c r="F5029" s="23" t="s">
        <v>14</v>
      </c>
      <c r="G5029" s="23" t="s">
        <v>31</v>
      </c>
      <c r="H5029" s="23" t="s">
        <v>22</v>
      </c>
      <c r="I5029" s="23">
        <v>24</v>
      </c>
      <c r="J5029" s="23">
        <v>0</v>
      </c>
      <c r="K5029" s="23">
        <v>4</v>
      </c>
      <c r="L5029" s="23" t="s">
        <v>8363</v>
      </c>
      <c r="M5029" s="25">
        <v>10.9</v>
      </c>
      <c r="N5029">
        <f t="shared" si="78"/>
        <v>1</v>
      </c>
    </row>
    <row r="5030" spans="1:14" x14ac:dyDescent="0.35">
      <c r="A5030" s="6" t="s">
        <v>5100</v>
      </c>
      <c r="B5030" s="19" t="s">
        <v>34</v>
      </c>
      <c r="C5030" s="19">
        <v>2</v>
      </c>
      <c r="D5030" s="20">
        <v>45690</v>
      </c>
      <c r="E5030" s="19" t="s">
        <v>13</v>
      </c>
      <c r="F5030" s="19" t="s">
        <v>59</v>
      </c>
      <c r="G5030" s="19" t="s">
        <v>27</v>
      </c>
      <c r="H5030" s="19" t="s">
        <v>32</v>
      </c>
      <c r="I5030" s="19">
        <v>4</v>
      </c>
      <c r="J5030" s="19">
        <v>1</v>
      </c>
      <c r="K5030" s="19">
        <v>5</v>
      </c>
      <c r="L5030" s="19" t="s">
        <v>38</v>
      </c>
      <c r="M5030" s="21">
        <v>19.2</v>
      </c>
      <c r="N5030">
        <f t="shared" si="78"/>
        <v>0</v>
      </c>
    </row>
    <row r="5031" spans="1:14" x14ac:dyDescent="0.35">
      <c r="A5031" s="22" t="s">
        <v>5101</v>
      </c>
      <c r="B5031" s="23" t="s">
        <v>181</v>
      </c>
      <c r="C5031" s="23">
        <v>9</v>
      </c>
      <c r="D5031" s="24">
        <v>45930</v>
      </c>
      <c r="E5031" s="23" t="s">
        <v>13</v>
      </c>
      <c r="F5031" s="23" t="s">
        <v>14</v>
      </c>
      <c r="G5031" s="23" t="s">
        <v>21</v>
      </c>
      <c r="H5031" s="23" t="s">
        <v>28</v>
      </c>
      <c r="I5031" s="23">
        <v>24</v>
      </c>
      <c r="J5031" s="23">
        <v>0</v>
      </c>
      <c r="K5031" s="23">
        <v>5</v>
      </c>
      <c r="L5031" s="23" t="s">
        <v>8363</v>
      </c>
      <c r="M5031" s="25">
        <v>35.299999999999997</v>
      </c>
      <c r="N5031">
        <f t="shared" si="78"/>
        <v>0</v>
      </c>
    </row>
    <row r="5032" spans="1:14" x14ac:dyDescent="0.35">
      <c r="A5032" s="6" t="s">
        <v>5102</v>
      </c>
      <c r="B5032" s="19" t="s">
        <v>34</v>
      </c>
      <c r="C5032" s="19"/>
      <c r="D5032" s="20"/>
      <c r="E5032" s="19" t="s">
        <v>25</v>
      </c>
      <c r="F5032" s="19" t="s">
        <v>59</v>
      </c>
      <c r="G5032" s="19" t="s">
        <v>15</v>
      </c>
      <c r="H5032" s="19" t="s">
        <v>22</v>
      </c>
      <c r="I5032" s="19">
        <v>72</v>
      </c>
      <c r="J5032" s="19">
        <v>1</v>
      </c>
      <c r="K5032" s="19">
        <v>5</v>
      </c>
      <c r="L5032" s="19" t="s">
        <v>55</v>
      </c>
      <c r="M5032" s="21">
        <v>9.1</v>
      </c>
      <c r="N5032">
        <f t="shared" si="78"/>
        <v>1</v>
      </c>
    </row>
    <row r="5033" spans="1:14" x14ac:dyDescent="0.35">
      <c r="A5033" s="22" t="s">
        <v>5103</v>
      </c>
      <c r="B5033" s="23" t="s">
        <v>236</v>
      </c>
      <c r="C5033" s="23">
        <v>1</v>
      </c>
      <c r="D5033" s="24">
        <v>45687</v>
      </c>
      <c r="E5033" s="23" t="s">
        <v>8364</v>
      </c>
      <c r="F5033" s="23" t="s">
        <v>37</v>
      </c>
      <c r="G5033" s="23" t="s">
        <v>27</v>
      </c>
      <c r="H5033" s="23" t="s">
        <v>32</v>
      </c>
      <c r="I5033" s="23">
        <v>4</v>
      </c>
      <c r="J5033" s="23">
        <v>0</v>
      </c>
      <c r="K5033" s="23">
        <v>3</v>
      </c>
      <c r="L5033" s="23" t="s">
        <v>33</v>
      </c>
      <c r="M5033" s="25">
        <v>7.4</v>
      </c>
      <c r="N5033">
        <f t="shared" si="78"/>
        <v>0</v>
      </c>
    </row>
    <row r="5034" spans="1:14" x14ac:dyDescent="0.35">
      <c r="A5034" s="6" t="s">
        <v>5104</v>
      </c>
      <c r="B5034" s="19" t="s">
        <v>53</v>
      </c>
      <c r="C5034" s="19">
        <v>2</v>
      </c>
      <c r="D5034" s="20">
        <v>45691</v>
      </c>
      <c r="E5034" s="19" t="s">
        <v>25</v>
      </c>
      <c r="F5034" s="19" t="s">
        <v>14</v>
      </c>
      <c r="G5034" s="19" t="s">
        <v>15</v>
      </c>
      <c r="H5034" s="19" t="s">
        <v>28</v>
      </c>
      <c r="I5034" s="19">
        <v>4</v>
      </c>
      <c r="J5034" s="19">
        <v>2</v>
      </c>
      <c r="K5034" s="19">
        <v>2</v>
      </c>
      <c r="L5034" s="19" t="s">
        <v>17</v>
      </c>
      <c r="M5034" s="21">
        <v>8.6</v>
      </c>
      <c r="N5034">
        <f t="shared" si="78"/>
        <v>0</v>
      </c>
    </row>
    <row r="5035" spans="1:14" x14ac:dyDescent="0.35">
      <c r="A5035" s="22" t="s">
        <v>5105</v>
      </c>
      <c r="B5035" s="23" t="s">
        <v>65</v>
      </c>
      <c r="C5035" s="23">
        <v>12</v>
      </c>
      <c r="D5035" s="24">
        <v>46008</v>
      </c>
      <c r="E5035" s="23" t="s">
        <v>13</v>
      </c>
      <c r="F5035" s="23" t="s">
        <v>14</v>
      </c>
      <c r="G5035" s="23" t="s">
        <v>27</v>
      </c>
      <c r="H5035" s="23" t="s">
        <v>28</v>
      </c>
      <c r="I5035" s="23">
        <v>24</v>
      </c>
      <c r="J5035" s="23">
        <v>1</v>
      </c>
      <c r="K5035" s="23">
        <v>4</v>
      </c>
      <c r="L5035" s="23" t="s">
        <v>38</v>
      </c>
      <c r="M5035" s="25">
        <v>12.1</v>
      </c>
      <c r="N5035">
        <f t="shared" si="78"/>
        <v>1</v>
      </c>
    </row>
    <row r="5036" spans="1:14" x14ac:dyDescent="0.35">
      <c r="A5036" s="6" t="s">
        <v>5106</v>
      </c>
      <c r="B5036" s="19" t="s">
        <v>51</v>
      </c>
      <c r="C5036" s="19">
        <v>11</v>
      </c>
      <c r="D5036" s="20">
        <v>45978</v>
      </c>
      <c r="E5036" s="19" t="s">
        <v>20</v>
      </c>
      <c r="F5036" s="19" t="s">
        <v>26</v>
      </c>
      <c r="G5036" s="19" t="s">
        <v>27</v>
      </c>
      <c r="H5036" s="19" t="s">
        <v>28</v>
      </c>
      <c r="I5036" s="19">
        <v>24</v>
      </c>
      <c r="J5036" s="19">
        <v>0</v>
      </c>
      <c r="K5036" s="19">
        <v>4</v>
      </c>
      <c r="L5036" s="19" t="s">
        <v>75</v>
      </c>
      <c r="M5036" s="21">
        <v>11.2</v>
      </c>
      <c r="N5036">
        <f t="shared" si="78"/>
        <v>1</v>
      </c>
    </row>
    <row r="5037" spans="1:14" x14ac:dyDescent="0.35">
      <c r="A5037" s="22" t="s">
        <v>5107</v>
      </c>
      <c r="B5037" s="23" t="s">
        <v>57</v>
      </c>
      <c r="C5037" s="23">
        <v>12</v>
      </c>
      <c r="D5037" s="24">
        <v>46008</v>
      </c>
      <c r="E5037" s="23" t="s">
        <v>8364</v>
      </c>
      <c r="F5037" s="23" t="s">
        <v>8364</v>
      </c>
      <c r="G5037" s="23" t="s">
        <v>27</v>
      </c>
      <c r="H5037" s="23" t="s">
        <v>16</v>
      </c>
      <c r="I5037" s="23">
        <v>72</v>
      </c>
      <c r="J5037" s="23">
        <v>0</v>
      </c>
      <c r="K5037" s="23">
        <v>4</v>
      </c>
      <c r="L5037" s="23" t="s">
        <v>44</v>
      </c>
      <c r="M5037" s="25">
        <v>7.8</v>
      </c>
      <c r="N5037">
        <f t="shared" si="78"/>
        <v>1</v>
      </c>
    </row>
    <row r="5038" spans="1:14" x14ac:dyDescent="0.35">
      <c r="A5038" s="6" t="s">
        <v>5108</v>
      </c>
      <c r="B5038" s="19" t="s">
        <v>81</v>
      </c>
      <c r="C5038" s="19">
        <v>9</v>
      </c>
      <c r="D5038" s="20">
        <v>45928</v>
      </c>
      <c r="E5038" s="19" t="s">
        <v>13</v>
      </c>
      <c r="F5038" s="19" t="s">
        <v>43</v>
      </c>
      <c r="G5038" s="19" t="s">
        <v>15</v>
      </c>
      <c r="H5038" s="19" t="s">
        <v>28</v>
      </c>
      <c r="I5038" s="19">
        <v>72</v>
      </c>
      <c r="J5038" s="19">
        <v>0</v>
      </c>
      <c r="K5038" s="19">
        <v>5</v>
      </c>
      <c r="L5038" s="19" t="s">
        <v>33</v>
      </c>
      <c r="M5038" s="21">
        <v>14.8</v>
      </c>
      <c r="N5038">
        <f t="shared" si="78"/>
        <v>1</v>
      </c>
    </row>
    <row r="5039" spans="1:14" x14ac:dyDescent="0.35">
      <c r="A5039" s="22" t="s">
        <v>5109</v>
      </c>
      <c r="B5039" s="23" t="s">
        <v>41</v>
      </c>
      <c r="C5039" s="23">
        <v>10</v>
      </c>
      <c r="D5039" s="24">
        <v>45955</v>
      </c>
      <c r="E5039" s="23" t="s">
        <v>36</v>
      </c>
      <c r="F5039" s="23" t="s">
        <v>14</v>
      </c>
      <c r="G5039" s="23" t="s">
        <v>27</v>
      </c>
      <c r="H5039" s="23" t="s">
        <v>22</v>
      </c>
      <c r="I5039" s="23">
        <v>8</v>
      </c>
      <c r="J5039" s="23">
        <v>0</v>
      </c>
      <c r="K5039" s="23">
        <v>1</v>
      </c>
      <c r="L5039" s="23" t="s">
        <v>8363</v>
      </c>
      <c r="M5039" s="25">
        <v>6.8</v>
      </c>
      <c r="N5039">
        <f t="shared" si="78"/>
        <v>1</v>
      </c>
    </row>
    <row r="5040" spans="1:14" x14ac:dyDescent="0.35">
      <c r="A5040" s="6" t="s">
        <v>5110</v>
      </c>
      <c r="B5040" s="19" t="s">
        <v>53</v>
      </c>
      <c r="C5040" s="19">
        <v>1</v>
      </c>
      <c r="D5040" s="20">
        <v>45673</v>
      </c>
      <c r="E5040" s="19" t="s">
        <v>13</v>
      </c>
      <c r="F5040" s="19" t="s">
        <v>40</v>
      </c>
      <c r="G5040" s="19" t="s">
        <v>27</v>
      </c>
      <c r="H5040" s="19" t="s">
        <v>8364</v>
      </c>
      <c r="I5040" s="19">
        <v>4</v>
      </c>
      <c r="J5040" s="19">
        <v>0</v>
      </c>
      <c r="K5040" s="19">
        <v>1</v>
      </c>
      <c r="L5040" s="19" t="s">
        <v>38</v>
      </c>
      <c r="M5040" s="21">
        <v>3.1</v>
      </c>
      <c r="N5040">
        <f t="shared" si="78"/>
        <v>1</v>
      </c>
    </row>
    <row r="5041" spans="1:14" x14ac:dyDescent="0.35">
      <c r="A5041" s="22" t="s">
        <v>5111</v>
      </c>
      <c r="B5041" s="23" t="s">
        <v>47</v>
      </c>
      <c r="C5041" s="23">
        <v>12</v>
      </c>
      <c r="D5041" s="24">
        <v>46002</v>
      </c>
      <c r="E5041" s="23" t="s">
        <v>36</v>
      </c>
      <c r="F5041" s="23" t="s">
        <v>43</v>
      </c>
      <c r="G5041" s="23" t="s">
        <v>31</v>
      </c>
      <c r="H5041" s="23" t="s">
        <v>32</v>
      </c>
      <c r="I5041" s="23">
        <v>8</v>
      </c>
      <c r="J5041" s="23">
        <v>0</v>
      </c>
      <c r="K5041" s="23">
        <v>3</v>
      </c>
      <c r="L5041" s="23" t="s">
        <v>8363</v>
      </c>
      <c r="M5041" s="25">
        <v>20.8</v>
      </c>
      <c r="N5041">
        <f t="shared" si="78"/>
        <v>0</v>
      </c>
    </row>
    <row r="5042" spans="1:14" x14ac:dyDescent="0.35">
      <c r="A5042" s="6" t="s">
        <v>5112</v>
      </c>
      <c r="B5042" s="19" t="s">
        <v>78</v>
      </c>
      <c r="C5042" s="19">
        <v>5</v>
      </c>
      <c r="D5042" s="20">
        <v>45790</v>
      </c>
      <c r="E5042" s="19" t="s">
        <v>36</v>
      </c>
      <c r="F5042" s="19" t="s">
        <v>40</v>
      </c>
      <c r="G5042" s="19" t="s">
        <v>27</v>
      </c>
      <c r="H5042" s="19" t="s">
        <v>8364</v>
      </c>
      <c r="I5042" s="19">
        <v>8</v>
      </c>
      <c r="J5042" s="19">
        <v>0</v>
      </c>
      <c r="K5042" s="19">
        <v>4</v>
      </c>
      <c r="L5042" s="19" t="s">
        <v>44</v>
      </c>
      <c r="M5042" s="21">
        <v>17.899999999999999</v>
      </c>
      <c r="N5042">
        <f t="shared" si="78"/>
        <v>0</v>
      </c>
    </row>
    <row r="5043" spans="1:14" x14ac:dyDescent="0.35">
      <c r="A5043" s="22" t="s">
        <v>5113</v>
      </c>
      <c r="B5043" s="23" t="s">
        <v>89</v>
      </c>
      <c r="C5043" s="23">
        <v>3</v>
      </c>
      <c r="D5043" s="24">
        <v>45733</v>
      </c>
      <c r="E5043" s="23" t="s">
        <v>68</v>
      </c>
      <c r="F5043" s="23" t="s">
        <v>43</v>
      </c>
      <c r="G5043" s="23" t="s">
        <v>31</v>
      </c>
      <c r="H5043" s="23" t="s">
        <v>22</v>
      </c>
      <c r="I5043" s="23">
        <v>72</v>
      </c>
      <c r="J5043" s="23">
        <v>0</v>
      </c>
      <c r="K5043" s="23">
        <v>4</v>
      </c>
      <c r="L5043" s="23" t="s">
        <v>44</v>
      </c>
      <c r="M5043" s="25">
        <v>12</v>
      </c>
      <c r="N5043">
        <f t="shared" si="78"/>
        <v>1</v>
      </c>
    </row>
    <row r="5044" spans="1:14" x14ac:dyDescent="0.35">
      <c r="A5044" s="6" t="s">
        <v>5114</v>
      </c>
      <c r="B5044" s="19" t="s">
        <v>34</v>
      </c>
      <c r="C5044" s="19">
        <v>10</v>
      </c>
      <c r="D5044" s="20">
        <v>45936</v>
      </c>
      <c r="E5044" s="19" t="s">
        <v>25</v>
      </c>
      <c r="F5044" s="19" t="s">
        <v>40</v>
      </c>
      <c r="G5044" s="19" t="s">
        <v>27</v>
      </c>
      <c r="H5044" s="19" t="s">
        <v>8364</v>
      </c>
      <c r="I5044" s="19">
        <v>72</v>
      </c>
      <c r="J5044" s="19">
        <v>0</v>
      </c>
      <c r="K5044" s="19">
        <v>5</v>
      </c>
      <c r="L5044" s="19" t="s">
        <v>8363</v>
      </c>
      <c r="M5044" s="21">
        <v>12.4</v>
      </c>
      <c r="N5044">
        <f t="shared" si="78"/>
        <v>1</v>
      </c>
    </row>
    <row r="5045" spans="1:14" x14ac:dyDescent="0.35">
      <c r="A5045" s="22" t="s">
        <v>5115</v>
      </c>
      <c r="B5045" s="23" t="s">
        <v>146</v>
      </c>
      <c r="C5045" s="23">
        <v>12</v>
      </c>
      <c r="D5045" s="24">
        <v>45994</v>
      </c>
      <c r="E5045" s="23" t="s">
        <v>25</v>
      </c>
      <c r="F5045" s="23" t="s">
        <v>8364</v>
      </c>
      <c r="G5045" s="23" t="s">
        <v>31</v>
      </c>
      <c r="H5045" s="23" t="s">
        <v>16</v>
      </c>
      <c r="I5045" s="23">
        <v>72</v>
      </c>
      <c r="J5045" s="23">
        <v>0</v>
      </c>
      <c r="K5045" s="23">
        <v>4</v>
      </c>
      <c r="L5045" s="23" t="s">
        <v>62</v>
      </c>
      <c r="M5045" s="25">
        <v>13.4</v>
      </c>
      <c r="N5045">
        <f t="shared" si="78"/>
        <v>1</v>
      </c>
    </row>
    <row r="5046" spans="1:14" x14ac:dyDescent="0.35">
      <c r="A5046" s="6" t="s">
        <v>5116</v>
      </c>
      <c r="B5046" s="19" t="s">
        <v>89</v>
      </c>
      <c r="C5046" s="19">
        <v>11</v>
      </c>
      <c r="D5046" s="20">
        <v>45979</v>
      </c>
      <c r="E5046" s="19" t="s">
        <v>8364</v>
      </c>
      <c r="F5046" s="19" t="s">
        <v>14</v>
      </c>
      <c r="G5046" s="19" t="s">
        <v>31</v>
      </c>
      <c r="H5046" s="19" t="s">
        <v>22</v>
      </c>
      <c r="I5046" s="19">
        <v>48</v>
      </c>
      <c r="J5046" s="19">
        <v>0</v>
      </c>
      <c r="K5046" s="19">
        <v>2</v>
      </c>
      <c r="L5046" s="19" t="s">
        <v>75</v>
      </c>
      <c r="M5046" s="21">
        <v>27.7</v>
      </c>
      <c r="N5046">
        <f t="shared" si="78"/>
        <v>1</v>
      </c>
    </row>
    <row r="5047" spans="1:14" x14ac:dyDescent="0.35">
      <c r="A5047" s="22" t="s">
        <v>5117</v>
      </c>
      <c r="B5047" s="23" t="s">
        <v>45</v>
      </c>
      <c r="C5047" s="23">
        <v>10</v>
      </c>
      <c r="D5047" s="24">
        <v>45937</v>
      </c>
      <c r="E5047" s="23" t="s">
        <v>25</v>
      </c>
      <c r="F5047" s="23" t="s">
        <v>59</v>
      </c>
      <c r="G5047" s="23" t="s">
        <v>27</v>
      </c>
      <c r="H5047" s="23" t="s">
        <v>22</v>
      </c>
      <c r="I5047" s="23">
        <v>48</v>
      </c>
      <c r="J5047" s="23">
        <v>0</v>
      </c>
      <c r="K5047" s="23"/>
      <c r="L5047" s="23" t="s">
        <v>55</v>
      </c>
      <c r="M5047" s="25">
        <v>8.1999999999999993</v>
      </c>
      <c r="N5047">
        <f t="shared" si="78"/>
        <v>1</v>
      </c>
    </row>
    <row r="5048" spans="1:14" x14ac:dyDescent="0.35">
      <c r="A5048" s="6" t="s">
        <v>5118</v>
      </c>
      <c r="B5048" s="19" t="s">
        <v>87</v>
      </c>
      <c r="C5048" s="19">
        <v>11</v>
      </c>
      <c r="D5048" s="20">
        <v>45983</v>
      </c>
      <c r="E5048" s="19" t="s">
        <v>13</v>
      </c>
      <c r="F5048" s="19" t="s">
        <v>26</v>
      </c>
      <c r="G5048" s="19" t="s">
        <v>27</v>
      </c>
      <c r="H5048" s="19" t="s">
        <v>8364</v>
      </c>
      <c r="I5048" s="19">
        <v>24</v>
      </c>
      <c r="J5048" s="19">
        <v>0</v>
      </c>
      <c r="K5048" s="19">
        <v>5</v>
      </c>
      <c r="L5048" s="19" t="s">
        <v>33</v>
      </c>
      <c r="M5048" s="21">
        <v>9.4</v>
      </c>
      <c r="N5048">
        <f t="shared" si="78"/>
        <v>1</v>
      </c>
    </row>
    <row r="5049" spans="1:14" x14ac:dyDescent="0.35">
      <c r="A5049" s="22" t="s">
        <v>5119</v>
      </c>
      <c r="B5049" s="23" t="s">
        <v>49</v>
      </c>
      <c r="C5049" s="23">
        <v>10</v>
      </c>
      <c r="D5049" s="24">
        <v>45955</v>
      </c>
      <c r="E5049" s="23" t="s">
        <v>8364</v>
      </c>
      <c r="F5049" s="23" t="s">
        <v>37</v>
      </c>
      <c r="G5049" s="23" t="s">
        <v>8364</v>
      </c>
      <c r="H5049" s="23" t="s">
        <v>8364</v>
      </c>
      <c r="I5049" s="23">
        <v>4</v>
      </c>
      <c r="J5049" s="23">
        <v>0</v>
      </c>
      <c r="K5049" s="23">
        <v>2</v>
      </c>
      <c r="L5049" s="23" t="s">
        <v>8363</v>
      </c>
      <c r="M5049" s="25">
        <v>7.2</v>
      </c>
      <c r="N5049">
        <f t="shared" si="78"/>
        <v>0</v>
      </c>
    </row>
    <row r="5050" spans="1:14" x14ac:dyDescent="0.35">
      <c r="A5050" s="6" t="s">
        <v>5120</v>
      </c>
      <c r="B5050" s="19" t="s">
        <v>236</v>
      </c>
      <c r="C5050" s="19">
        <v>7</v>
      </c>
      <c r="D5050" s="20">
        <v>45866</v>
      </c>
      <c r="E5050" s="19" t="s">
        <v>25</v>
      </c>
      <c r="F5050" s="19" t="s">
        <v>26</v>
      </c>
      <c r="G5050" s="19" t="s">
        <v>21</v>
      </c>
      <c r="H5050" s="19" t="s">
        <v>22</v>
      </c>
      <c r="I5050" s="19">
        <v>8</v>
      </c>
      <c r="J5050" s="19">
        <v>0</v>
      </c>
      <c r="K5050" s="19">
        <v>5</v>
      </c>
      <c r="L5050" s="19" t="s">
        <v>8363</v>
      </c>
      <c r="M5050" s="21">
        <v>1.2</v>
      </c>
      <c r="N5050">
        <f t="shared" si="78"/>
        <v>1</v>
      </c>
    </row>
    <row r="5051" spans="1:14" x14ac:dyDescent="0.35">
      <c r="A5051" s="22" t="s">
        <v>5121</v>
      </c>
      <c r="B5051" s="23" t="s">
        <v>45</v>
      </c>
      <c r="C5051" s="23">
        <v>5</v>
      </c>
      <c r="D5051" s="24">
        <v>45803</v>
      </c>
      <c r="E5051" s="23" t="s">
        <v>25</v>
      </c>
      <c r="F5051" s="23" t="s">
        <v>37</v>
      </c>
      <c r="G5051" s="23" t="s">
        <v>31</v>
      </c>
      <c r="H5051" s="23" t="s">
        <v>16</v>
      </c>
      <c r="I5051" s="23">
        <v>72</v>
      </c>
      <c r="J5051" s="23">
        <v>0</v>
      </c>
      <c r="K5051" s="23">
        <v>3</v>
      </c>
      <c r="L5051" s="23" t="s">
        <v>38</v>
      </c>
      <c r="M5051" s="25">
        <v>10.199999999999999</v>
      </c>
      <c r="N5051">
        <f t="shared" si="78"/>
        <v>1</v>
      </c>
    </row>
    <row r="5052" spans="1:14" x14ac:dyDescent="0.35">
      <c r="A5052" s="6" t="s">
        <v>5122</v>
      </c>
      <c r="B5052" s="19" t="s">
        <v>158</v>
      </c>
      <c r="C5052" s="19">
        <v>11</v>
      </c>
      <c r="D5052" s="20">
        <v>45981</v>
      </c>
      <c r="E5052" s="19" t="s">
        <v>36</v>
      </c>
      <c r="F5052" s="19" t="s">
        <v>14</v>
      </c>
      <c r="G5052" s="19" t="s">
        <v>31</v>
      </c>
      <c r="H5052" s="19" t="s">
        <v>28</v>
      </c>
      <c r="I5052" s="19">
        <v>4</v>
      </c>
      <c r="J5052" s="19">
        <v>0</v>
      </c>
      <c r="K5052" s="19">
        <v>4</v>
      </c>
      <c r="L5052" s="19" t="s">
        <v>33</v>
      </c>
      <c r="M5052" s="21">
        <v>19.5</v>
      </c>
      <c r="N5052">
        <f t="shared" si="78"/>
        <v>0</v>
      </c>
    </row>
    <row r="5053" spans="1:14" x14ac:dyDescent="0.35">
      <c r="A5053" s="22" t="s">
        <v>5123</v>
      </c>
      <c r="B5053" s="23" t="s">
        <v>23</v>
      </c>
      <c r="C5053" s="23">
        <v>3</v>
      </c>
      <c r="D5053" s="24">
        <v>45720</v>
      </c>
      <c r="E5053" s="23" t="s">
        <v>68</v>
      </c>
      <c r="F5053" s="23" t="s">
        <v>14</v>
      </c>
      <c r="G5053" s="23" t="s">
        <v>15</v>
      </c>
      <c r="H5053" s="23" t="s">
        <v>22</v>
      </c>
      <c r="I5053" s="23">
        <v>48</v>
      </c>
      <c r="J5053" s="23">
        <v>0</v>
      </c>
      <c r="K5053" s="23">
        <v>2</v>
      </c>
      <c r="L5053" s="23" t="s">
        <v>33</v>
      </c>
      <c r="M5053" s="25">
        <v>19.7</v>
      </c>
      <c r="N5053">
        <f t="shared" si="78"/>
        <v>1</v>
      </c>
    </row>
    <row r="5054" spans="1:14" x14ac:dyDescent="0.35">
      <c r="A5054" s="6" t="s">
        <v>5124</v>
      </c>
      <c r="B5054" s="19" t="s">
        <v>104</v>
      </c>
      <c r="C5054" s="19">
        <v>6</v>
      </c>
      <c r="D5054" s="20">
        <v>45828</v>
      </c>
      <c r="E5054" s="19" t="s">
        <v>36</v>
      </c>
      <c r="F5054" s="19" t="s">
        <v>43</v>
      </c>
      <c r="G5054" s="19" t="s">
        <v>27</v>
      </c>
      <c r="H5054" s="19" t="s">
        <v>22</v>
      </c>
      <c r="I5054" s="19">
        <v>48</v>
      </c>
      <c r="J5054" s="19">
        <v>0</v>
      </c>
      <c r="K5054" s="19">
        <v>5</v>
      </c>
      <c r="L5054" s="19" t="s">
        <v>8363</v>
      </c>
      <c r="M5054" s="21">
        <v>1</v>
      </c>
      <c r="N5054">
        <f t="shared" si="78"/>
        <v>1</v>
      </c>
    </row>
    <row r="5055" spans="1:14" x14ac:dyDescent="0.35">
      <c r="A5055" s="22" t="s">
        <v>5125</v>
      </c>
      <c r="B5055" s="23" t="s">
        <v>34</v>
      </c>
      <c r="C5055" s="23">
        <v>6</v>
      </c>
      <c r="D5055" s="24">
        <v>45819</v>
      </c>
      <c r="E5055" s="23" t="s">
        <v>25</v>
      </c>
      <c r="F5055" s="23" t="s">
        <v>26</v>
      </c>
      <c r="G5055" s="23" t="s">
        <v>15</v>
      </c>
      <c r="H5055" s="23" t="s">
        <v>22</v>
      </c>
      <c r="I5055" s="23">
        <v>4</v>
      </c>
      <c r="J5055" s="23">
        <v>0</v>
      </c>
      <c r="K5055" s="23">
        <v>4</v>
      </c>
      <c r="L5055" s="23" t="s">
        <v>33</v>
      </c>
      <c r="M5055" s="25">
        <v>17.2</v>
      </c>
      <c r="N5055">
        <f t="shared" si="78"/>
        <v>0</v>
      </c>
    </row>
    <row r="5056" spans="1:14" x14ac:dyDescent="0.35">
      <c r="A5056" s="6" t="s">
        <v>5126</v>
      </c>
      <c r="B5056" s="19" t="s">
        <v>81</v>
      </c>
      <c r="C5056" s="19">
        <v>10</v>
      </c>
      <c r="D5056" s="20">
        <v>45934</v>
      </c>
      <c r="E5056" s="19" t="s">
        <v>8364</v>
      </c>
      <c r="F5056" s="19" t="s">
        <v>59</v>
      </c>
      <c r="G5056" s="19" t="s">
        <v>31</v>
      </c>
      <c r="H5056" s="19" t="s">
        <v>22</v>
      </c>
      <c r="I5056" s="19">
        <v>48</v>
      </c>
      <c r="J5056" s="19">
        <v>3</v>
      </c>
      <c r="K5056" s="19">
        <v>4</v>
      </c>
      <c r="L5056" s="19" t="s">
        <v>38</v>
      </c>
      <c r="M5056" s="21">
        <v>9.1</v>
      </c>
      <c r="N5056">
        <f t="shared" si="78"/>
        <v>1</v>
      </c>
    </row>
    <row r="5057" spans="1:14" x14ac:dyDescent="0.35">
      <c r="A5057" s="22" t="s">
        <v>5127</v>
      </c>
      <c r="B5057" s="23" t="s">
        <v>81</v>
      </c>
      <c r="C5057" s="23">
        <v>4</v>
      </c>
      <c r="D5057" s="24">
        <v>45771</v>
      </c>
      <c r="E5057" s="23" t="s">
        <v>13</v>
      </c>
      <c r="F5057" s="23" t="s">
        <v>14</v>
      </c>
      <c r="G5057" s="23" t="s">
        <v>27</v>
      </c>
      <c r="H5057" s="23" t="s">
        <v>22</v>
      </c>
      <c r="I5057" s="23">
        <v>4</v>
      </c>
      <c r="J5057" s="23">
        <v>1</v>
      </c>
      <c r="K5057" s="23">
        <v>4</v>
      </c>
      <c r="L5057" s="23" t="s">
        <v>8363</v>
      </c>
      <c r="M5057" s="25">
        <v>3.9</v>
      </c>
      <c r="N5057">
        <f t="shared" si="78"/>
        <v>1</v>
      </c>
    </row>
    <row r="5058" spans="1:14" x14ac:dyDescent="0.35">
      <c r="A5058" s="6" t="s">
        <v>5128</v>
      </c>
      <c r="B5058" s="19" t="s">
        <v>253</v>
      </c>
      <c r="C5058" s="19">
        <v>10</v>
      </c>
      <c r="D5058" s="20">
        <v>45937</v>
      </c>
      <c r="E5058" s="19" t="s">
        <v>20</v>
      </c>
      <c r="F5058" s="19" t="s">
        <v>43</v>
      </c>
      <c r="G5058" s="19" t="s">
        <v>8364</v>
      </c>
      <c r="H5058" s="19" t="s">
        <v>22</v>
      </c>
      <c r="I5058" s="19">
        <v>48</v>
      </c>
      <c r="J5058" s="19">
        <v>0</v>
      </c>
      <c r="K5058" s="19">
        <v>5</v>
      </c>
      <c r="L5058" s="19" t="s">
        <v>55</v>
      </c>
      <c r="M5058" s="21">
        <v>8.8000000000000007</v>
      </c>
      <c r="N5058">
        <f t="shared" si="78"/>
        <v>1</v>
      </c>
    </row>
    <row r="5059" spans="1:14" x14ac:dyDescent="0.35">
      <c r="A5059" s="22" t="s">
        <v>5129</v>
      </c>
      <c r="B5059" s="23" t="s">
        <v>49</v>
      </c>
      <c r="C5059" s="23">
        <v>5</v>
      </c>
      <c r="D5059" s="24">
        <v>45802</v>
      </c>
      <c r="E5059" s="23" t="s">
        <v>20</v>
      </c>
      <c r="F5059" s="23" t="s">
        <v>8364</v>
      </c>
      <c r="G5059" s="23" t="s">
        <v>27</v>
      </c>
      <c r="H5059" s="23" t="s">
        <v>22</v>
      </c>
      <c r="I5059" s="23">
        <v>72</v>
      </c>
      <c r="J5059" s="23">
        <v>0</v>
      </c>
      <c r="K5059" s="23">
        <v>3</v>
      </c>
      <c r="L5059" s="23" t="s">
        <v>8363</v>
      </c>
      <c r="M5059" s="25">
        <v>3</v>
      </c>
      <c r="N5059">
        <f t="shared" ref="N5059:N5122" si="79">IF(M5059 &lt;= I5059, 1, 0)</f>
        <v>1</v>
      </c>
    </row>
    <row r="5060" spans="1:14" x14ac:dyDescent="0.35">
      <c r="A5060" s="6" t="s">
        <v>5130</v>
      </c>
      <c r="B5060" s="19" t="s">
        <v>57</v>
      </c>
      <c r="C5060" s="19">
        <v>6</v>
      </c>
      <c r="D5060" s="20">
        <v>45832</v>
      </c>
      <c r="E5060" s="19" t="s">
        <v>13</v>
      </c>
      <c r="F5060" s="19" t="s">
        <v>8364</v>
      </c>
      <c r="G5060" s="19" t="s">
        <v>8364</v>
      </c>
      <c r="H5060" s="19" t="s">
        <v>22</v>
      </c>
      <c r="I5060" s="19">
        <v>4</v>
      </c>
      <c r="J5060" s="19">
        <v>0</v>
      </c>
      <c r="K5060" s="19">
        <v>4</v>
      </c>
      <c r="L5060" s="19" t="s">
        <v>8363</v>
      </c>
      <c r="M5060" s="21">
        <v>28.9</v>
      </c>
      <c r="N5060">
        <f t="shared" si="79"/>
        <v>0</v>
      </c>
    </row>
    <row r="5061" spans="1:14" x14ac:dyDescent="0.35">
      <c r="A5061" s="22" t="s">
        <v>5131</v>
      </c>
      <c r="B5061" s="23" t="s">
        <v>65</v>
      </c>
      <c r="C5061" s="23">
        <v>1</v>
      </c>
      <c r="D5061" s="24">
        <v>45665</v>
      </c>
      <c r="E5061" s="23" t="s">
        <v>25</v>
      </c>
      <c r="F5061" s="23" t="s">
        <v>43</v>
      </c>
      <c r="G5061" s="23" t="s">
        <v>21</v>
      </c>
      <c r="H5061" s="23" t="s">
        <v>22</v>
      </c>
      <c r="I5061" s="23">
        <v>72</v>
      </c>
      <c r="J5061" s="23">
        <v>1</v>
      </c>
      <c r="K5061" s="23">
        <v>5</v>
      </c>
      <c r="L5061" s="23" t="s">
        <v>17</v>
      </c>
      <c r="M5061" s="25">
        <v>6.4</v>
      </c>
      <c r="N5061">
        <f t="shared" si="79"/>
        <v>1</v>
      </c>
    </row>
    <row r="5062" spans="1:14" x14ac:dyDescent="0.35">
      <c r="A5062" s="6" t="s">
        <v>5132</v>
      </c>
      <c r="B5062" s="19" t="s">
        <v>236</v>
      </c>
      <c r="C5062" s="19">
        <v>12</v>
      </c>
      <c r="D5062" s="20">
        <v>46008</v>
      </c>
      <c r="E5062" s="19" t="s">
        <v>13</v>
      </c>
      <c r="F5062" s="19" t="s">
        <v>37</v>
      </c>
      <c r="G5062" s="19" t="s">
        <v>31</v>
      </c>
      <c r="H5062" s="19" t="s">
        <v>28</v>
      </c>
      <c r="I5062" s="19">
        <v>8</v>
      </c>
      <c r="J5062" s="19">
        <v>0</v>
      </c>
      <c r="K5062" s="19">
        <v>3</v>
      </c>
      <c r="L5062" s="19" t="s">
        <v>38</v>
      </c>
      <c r="M5062" s="21">
        <v>12.7</v>
      </c>
      <c r="N5062">
        <f t="shared" si="79"/>
        <v>0</v>
      </c>
    </row>
    <row r="5063" spans="1:14" x14ac:dyDescent="0.35">
      <c r="A5063" s="22" t="s">
        <v>5133</v>
      </c>
      <c r="B5063" s="23" t="s">
        <v>47</v>
      </c>
      <c r="C5063" s="23">
        <v>4</v>
      </c>
      <c r="D5063" s="24">
        <v>45751</v>
      </c>
      <c r="E5063" s="23" t="s">
        <v>8364</v>
      </c>
      <c r="F5063" s="23" t="s">
        <v>43</v>
      </c>
      <c r="G5063" s="23" t="s">
        <v>21</v>
      </c>
      <c r="H5063" s="23" t="s">
        <v>28</v>
      </c>
      <c r="I5063" s="23">
        <v>4</v>
      </c>
      <c r="J5063" s="23">
        <v>0</v>
      </c>
      <c r="K5063" s="23">
        <v>4</v>
      </c>
      <c r="L5063" s="23" t="s">
        <v>75</v>
      </c>
      <c r="M5063" s="25">
        <v>19.3</v>
      </c>
      <c r="N5063">
        <f t="shared" si="79"/>
        <v>0</v>
      </c>
    </row>
    <row r="5064" spans="1:14" x14ac:dyDescent="0.35">
      <c r="A5064" s="6" t="s">
        <v>5134</v>
      </c>
      <c r="B5064" s="19" t="s">
        <v>69</v>
      </c>
      <c r="C5064" s="19">
        <v>4</v>
      </c>
      <c r="D5064" s="20">
        <v>45754</v>
      </c>
      <c r="E5064" s="19" t="s">
        <v>13</v>
      </c>
      <c r="F5064" s="19" t="s">
        <v>59</v>
      </c>
      <c r="G5064" s="19" t="s">
        <v>27</v>
      </c>
      <c r="H5064" s="19" t="s">
        <v>22</v>
      </c>
      <c r="I5064" s="19">
        <v>4</v>
      </c>
      <c r="J5064" s="19">
        <v>0</v>
      </c>
      <c r="K5064" s="19">
        <v>4</v>
      </c>
      <c r="L5064" s="19" t="s">
        <v>8363</v>
      </c>
      <c r="M5064" s="21">
        <v>4</v>
      </c>
      <c r="N5064">
        <f t="shared" si="79"/>
        <v>1</v>
      </c>
    </row>
    <row r="5065" spans="1:14" x14ac:dyDescent="0.35">
      <c r="A5065" s="22" t="s">
        <v>5135</v>
      </c>
      <c r="B5065" s="23" t="s">
        <v>89</v>
      </c>
      <c r="C5065" s="23">
        <v>2</v>
      </c>
      <c r="D5065" s="24">
        <v>45703</v>
      </c>
      <c r="E5065" s="23" t="s">
        <v>13</v>
      </c>
      <c r="F5065" s="23" t="s">
        <v>14</v>
      </c>
      <c r="G5065" s="23" t="s">
        <v>27</v>
      </c>
      <c r="H5065" s="23" t="s">
        <v>28</v>
      </c>
      <c r="I5065" s="23">
        <v>24</v>
      </c>
      <c r="J5065" s="23">
        <v>0</v>
      </c>
      <c r="K5065" s="23">
        <v>4</v>
      </c>
      <c r="L5065" s="23" t="s">
        <v>75</v>
      </c>
      <c r="M5065" s="25">
        <v>6.8</v>
      </c>
      <c r="N5065">
        <f t="shared" si="79"/>
        <v>1</v>
      </c>
    </row>
    <row r="5066" spans="1:14" x14ac:dyDescent="0.35">
      <c r="A5066" s="6" t="s">
        <v>5136</v>
      </c>
      <c r="B5066" s="19" t="s">
        <v>130</v>
      </c>
      <c r="C5066" s="19">
        <v>3</v>
      </c>
      <c r="D5066" s="20">
        <v>45747</v>
      </c>
      <c r="E5066" s="19" t="s">
        <v>68</v>
      </c>
      <c r="F5066" s="19" t="s">
        <v>40</v>
      </c>
      <c r="G5066" s="19" t="s">
        <v>21</v>
      </c>
      <c r="H5066" s="19" t="s">
        <v>16</v>
      </c>
      <c r="I5066" s="19">
        <v>72</v>
      </c>
      <c r="J5066" s="19">
        <v>0</v>
      </c>
      <c r="K5066" s="19">
        <v>3</v>
      </c>
      <c r="L5066" s="19" t="s">
        <v>8363</v>
      </c>
      <c r="M5066" s="21">
        <v>27.6</v>
      </c>
      <c r="N5066">
        <f t="shared" si="79"/>
        <v>1</v>
      </c>
    </row>
    <row r="5067" spans="1:14" x14ac:dyDescent="0.35">
      <c r="A5067" s="22" t="s">
        <v>5137</v>
      </c>
      <c r="B5067" s="23" t="s">
        <v>85</v>
      </c>
      <c r="C5067" s="23">
        <v>9</v>
      </c>
      <c r="D5067" s="24">
        <v>45921</v>
      </c>
      <c r="E5067" s="23" t="s">
        <v>25</v>
      </c>
      <c r="F5067" s="23" t="s">
        <v>8364</v>
      </c>
      <c r="G5067" s="23" t="s">
        <v>15</v>
      </c>
      <c r="H5067" s="23" t="s">
        <v>16</v>
      </c>
      <c r="I5067" s="23">
        <v>72</v>
      </c>
      <c r="J5067" s="23">
        <v>0</v>
      </c>
      <c r="K5067" s="23">
        <v>5</v>
      </c>
      <c r="L5067" s="23" t="s">
        <v>75</v>
      </c>
      <c r="M5067" s="25">
        <v>9.8000000000000007</v>
      </c>
      <c r="N5067">
        <f t="shared" si="79"/>
        <v>1</v>
      </c>
    </row>
    <row r="5068" spans="1:14" x14ac:dyDescent="0.35">
      <c r="A5068" s="6" t="s">
        <v>5138</v>
      </c>
      <c r="B5068" s="19" t="s">
        <v>101</v>
      </c>
      <c r="C5068" s="19">
        <v>9</v>
      </c>
      <c r="D5068" s="20">
        <v>45914</v>
      </c>
      <c r="E5068" s="19" t="s">
        <v>20</v>
      </c>
      <c r="F5068" s="19" t="s">
        <v>43</v>
      </c>
      <c r="G5068" s="19" t="s">
        <v>21</v>
      </c>
      <c r="H5068" s="19" t="s">
        <v>8364</v>
      </c>
      <c r="I5068" s="19">
        <v>48</v>
      </c>
      <c r="J5068" s="19">
        <v>1</v>
      </c>
      <c r="K5068" s="19">
        <v>5</v>
      </c>
      <c r="L5068" s="19" t="s">
        <v>44</v>
      </c>
      <c r="M5068" s="21">
        <v>4.7</v>
      </c>
      <c r="N5068">
        <f t="shared" si="79"/>
        <v>1</v>
      </c>
    </row>
    <row r="5069" spans="1:14" x14ac:dyDescent="0.35">
      <c r="A5069" s="22" t="s">
        <v>5139</v>
      </c>
      <c r="B5069" s="23" t="s">
        <v>92</v>
      </c>
      <c r="C5069" s="23">
        <v>1</v>
      </c>
      <c r="D5069" s="24">
        <v>45676</v>
      </c>
      <c r="E5069" s="23" t="s">
        <v>20</v>
      </c>
      <c r="F5069" s="23" t="s">
        <v>40</v>
      </c>
      <c r="G5069" s="23" t="s">
        <v>27</v>
      </c>
      <c r="H5069" s="23" t="s">
        <v>32</v>
      </c>
      <c r="I5069" s="23">
        <v>48</v>
      </c>
      <c r="J5069" s="23">
        <v>0</v>
      </c>
      <c r="K5069" s="23">
        <v>4</v>
      </c>
      <c r="L5069" s="23" t="s">
        <v>17</v>
      </c>
      <c r="M5069" s="25">
        <v>21.4</v>
      </c>
      <c r="N5069">
        <f t="shared" si="79"/>
        <v>1</v>
      </c>
    </row>
    <row r="5070" spans="1:14" x14ac:dyDescent="0.35">
      <c r="A5070" s="6" t="s">
        <v>5140</v>
      </c>
      <c r="B5070" s="19" t="s">
        <v>146</v>
      </c>
      <c r="C5070" s="19">
        <v>3</v>
      </c>
      <c r="D5070" s="20">
        <v>45738</v>
      </c>
      <c r="E5070" s="19" t="s">
        <v>25</v>
      </c>
      <c r="F5070" s="19" t="s">
        <v>26</v>
      </c>
      <c r="G5070" s="19" t="s">
        <v>31</v>
      </c>
      <c r="H5070" s="19" t="s">
        <v>32</v>
      </c>
      <c r="I5070" s="19">
        <v>48</v>
      </c>
      <c r="J5070" s="19">
        <v>0</v>
      </c>
      <c r="K5070" s="19"/>
      <c r="L5070" s="19" t="s">
        <v>75</v>
      </c>
      <c r="M5070" s="21">
        <v>7.1</v>
      </c>
      <c r="N5070">
        <f t="shared" si="79"/>
        <v>1</v>
      </c>
    </row>
    <row r="5071" spans="1:14" x14ac:dyDescent="0.35">
      <c r="A5071" s="22" t="s">
        <v>5141</v>
      </c>
      <c r="B5071" s="23" t="s">
        <v>158</v>
      </c>
      <c r="C5071" s="23">
        <v>9</v>
      </c>
      <c r="D5071" s="24">
        <v>45917</v>
      </c>
      <c r="E5071" s="23" t="s">
        <v>25</v>
      </c>
      <c r="F5071" s="23" t="s">
        <v>43</v>
      </c>
      <c r="G5071" s="23" t="s">
        <v>27</v>
      </c>
      <c r="H5071" s="23" t="s">
        <v>32</v>
      </c>
      <c r="I5071" s="23">
        <v>48</v>
      </c>
      <c r="J5071" s="23">
        <v>0</v>
      </c>
      <c r="K5071" s="23">
        <v>4</v>
      </c>
      <c r="L5071" s="23" t="s">
        <v>38</v>
      </c>
      <c r="M5071" s="25">
        <v>4.8</v>
      </c>
      <c r="N5071">
        <f t="shared" si="79"/>
        <v>1</v>
      </c>
    </row>
    <row r="5072" spans="1:14" x14ac:dyDescent="0.35">
      <c r="A5072" s="6" t="s">
        <v>5142</v>
      </c>
      <c r="B5072" s="19" t="s">
        <v>29</v>
      </c>
      <c r="C5072" s="19">
        <v>9</v>
      </c>
      <c r="D5072" s="20">
        <v>45921</v>
      </c>
      <c r="E5072" s="19" t="s">
        <v>68</v>
      </c>
      <c r="F5072" s="19" t="s">
        <v>8364</v>
      </c>
      <c r="G5072" s="19" t="s">
        <v>8364</v>
      </c>
      <c r="H5072" s="19" t="s">
        <v>22</v>
      </c>
      <c r="I5072" s="19">
        <v>48</v>
      </c>
      <c r="J5072" s="19">
        <v>0</v>
      </c>
      <c r="K5072" s="19">
        <v>5</v>
      </c>
      <c r="L5072" s="19" t="s">
        <v>8363</v>
      </c>
      <c r="M5072" s="21">
        <v>21.7</v>
      </c>
      <c r="N5072">
        <f t="shared" si="79"/>
        <v>1</v>
      </c>
    </row>
    <row r="5073" spans="1:14" x14ac:dyDescent="0.35">
      <c r="A5073" s="22" t="s">
        <v>5143</v>
      </c>
      <c r="B5073" s="23" t="s">
        <v>236</v>
      </c>
      <c r="C5073" s="23">
        <v>7</v>
      </c>
      <c r="D5073" s="24">
        <v>45848</v>
      </c>
      <c r="E5073" s="23" t="s">
        <v>25</v>
      </c>
      <c r="F5073" s="23" t="s">
        <v>14</v>
      </c>
      <c r="G5073" s="23" t="s">
        <v>27</v>
      </c>
      <c r="H5073" s="23" t="s">
        <v>16</v>
      </c>
      <c r="I5073" s="23">
        <v>24</v>
      </c>
      <c r="J5073" s="23">
        <v>0</v>
      </c>
      <c r="K5073" s="23"/>
      <c r="L5073" s="23" t="s">
        <v>75</v>
      </c>
      <c r="M5073" s="25">
        <v>15.2</v>
      </c>
      <c r="N5073">
        <f t="shared" si="79"/>
        <v>1</v>
      </c>
    </row>
    <row r="5074" spans="1:14" x14ac:dyDescent="0.35">
      <c r="A5074" s="6" t="s">
        <v>5144</v>
      </c>
      <c r="B5074" s="19" t="s">
        <v>34</v>
      </c>
      <c r="C5074" s="19">
        <v>7</v>
      </c>
      <c r="D5074" s="20">
        <v>45839</v>
      </c>
      <c r="E5074" s="19" t="s">
        <v>36</v>
      </c>
      <c r="F5074" s="19" t="s">
        <v>14</v>
      </c>
      <c r="G5074" s="19" t="s">
        <v>31</v>
      </c>
      <c r="H5074" s="19" t="s">
        <v>32</v>
      </c>
      <c r="I5074" s="19">
        <v>72</v>
      </c>
      <c r="J5074" s="19">
        <v>0</v>
      </c>
      <c r="K5074" s="19">
        <v>3</v>
      </c>
      <c r="L5074" s="19" t="s">
        <v>8363</v>
      </c>
      <c r="M5074" s="21">
        <v>13.7</v>
      </c>
      <c r="N5074">
        <f t="shared" si="79"/>
        <v>1</v>
      </c>
    </row>
    <row r="5075" spans="1:14" x14ac:dyDescent="0.35">
      <c r="A5075" s="22" t="s">
        <v>5145</v>
      </c>
      <c r="B5075" s="23" t="s">
        <v>108</v>
      </c>
      <c r="C5075" s="23"/>
      <c r="D5075" s="24"/>
      <c r="E5075" s="23" t="s">
        <v>25</v>
      </c>
      <c r="F5075" s="23" t="s">
        <v>43</v>
      </c>
      <c r="G5075" s="23" t="s">
        <v>31</v>
      </c>
      <c r="H5075" s="23" t="s">
        <v>32</v>
      </c>
      <c r="I5075" s="23">
        <v>24</v>
      </c>
      <c r="J5075" s="23">
        <v>0</v>
      </c>
      <c r="K5075" s="23">
        <v>5</v>
      </c>
      <c r="L5075" s="23" t="s">
        <v>62</v>
      </c>
      <c r="M5075" s="25">
        <v>12.6</v>
      </c>
      <c r="N5075">
        <f t="shared" si="79"/>
        <v>1</v>
      </c>
    </row>
    <row r="5076" spans="1:14" x14ac:dyDescent="0.35">
      <c r="A5076" s="6" t="s">
        <v>5146</v>
      </c>
      <c r="B5076" s="19" t="s">
        <v>146</v>
      </c>
      <c r="C5076" s="19">
        <v>10</v>
      </c>
      <c r="D5076" s="20">
        <v>45944</v>
      </c>
      <c r="E5076" s="19" t="s">
        <v>13</v>
      </c>
      <c r="F5076" s="19" t="s">
        <v>59</v>
      </c>
      <c r="G5076" s="19" t="s">
        <v>31</v>
      </c>
      <c r="H5076" s="19" t="s">
        <v>8364</v>
      </c>
      <c r="I5076" s="19">
        <v>24</v>
      </c>
      <c r="J5076" s="19">
        <v>1</v>
      </c>
      <c r="K5076" s="19">
        <v>2</v>
      </c>
      <c r="L5076" s="19" t="s">
        <v>55</v>
      </c>
      <c r="M5076" s="21">
        <v>6.6</v>
      </c>
      <c r="N5076">
        <f t="shared" si="79"/>
        <v>1</v>
      </c>
    </row>
    <row r="5077" spans="1:14" x14ac:dyDescent="0.35">
      <c r="A5077" s="22" t="s">
        <v>5147</v>
      </c>
      <c r="B5077" s="23" t="s">
        <v>29</v>
      </c>
      <c r="C5077" s="23"/>
      <c r="D5077" s="24"/>
      <c r="E5077" s="23" t="s">
        <v>25</v>
      </c>
      <c r="F5077" s="23" t="s">
        <v>43</v>
      </c>
      <c r="G5077" s="23" t="s">
        <v>8364</v>
      </c>
      <c r="H5077" s="23" t="s">
        <v>8364</v>
      </c>
      <c r="I5077" s="23">
        <v>4</v>
      </c>
      <c r="J5077" s="23">
        <v>0</v>
      </c>
      <c r="K5077" s="23">
        <v>4</v>
      </c>
      <c r="L5077" s="23" t="s">
        <v>8363</v>
      </c>
      <c r="M5077" s="25">
        <v>32.700000000000003</v>
      </c>
      <c r="N5077">
        <f t="shared" si="79"/>
        <v>0</v>
      </c>
    </row>
    <row r="5078" spans="1:14" x14ac:dyDescent="0.35">
      <c r="A5078" s="6" t="s">
        <v>5148</v>
      </c>
      <c r="B5078" s="19" t="s">
        <v>41</v>
      </c>
      <c r="C5078" s="19">
        <v>11</v>
      </c>
      <c r="D5078" s="20">
        <v>45983</v>
      </c>
      <c r="E5078" s="19" t="s">
        <v>25</v>
      </c>
      <c r="F5078" s="19" t="s">
        <v>40</v>
      </c>
      <c r="G5078" s="19" t="s">
        <v>27</v>
      </c>
      <c r="H5078" s="19" t="s">
        <v>8364</v>
      </c>
      <c r="I5078" s="19">
        <v>72</v>
      </c>
      <c r="J5078" s="19">
        <v>0</v>
      </c>
      <c r="K5078" s="19">
        <v>5</v>
      </c>
      <c r="L5078" s="19" t="s">
        <v>62</v>
      </c>
      <c r="M5078" s="21">
        <v>20.399999999999999</v>
      </c>
      <c r="N5078">
        <f t="shared" si="79"/>
        <v>1</v>
      </c>
    </row>
    <row r="5079" spans="1:14" x14ac:dyDescent="0.35">
      <c r="A5079" s="22" t="s">
        <v>5149</v>
      </c>
      <c r="B5079" s="23" t="s">
        <v>97</v>
      </c>
      <c r="C5079" s="23"/>
      <c r="D5079" s="24"/>
      <c r="E5079" s="23" t="s">
        <v>25</v>
      </c>
      <c r="F5079" s="23" t="s">
        <v>43</v>
      </c>
      <c r="G5079" s="23" t="s">
        <v>8364</v>
      </c>
      <c r="H5079" s="23" t="s">
        <v>8364</v>
      </c>
      <c r="I5079" s="23">
        <v>72</v>
      </c>
      <c r="J5079" s="23">
        <v>0</v>
      </c>
      <c r="K5079" s="23">
        <v>1</v>
      </c>
      <c r="L5079" s="23" t="s">
        <v>17</v>
      </c>
      <c r="M5079" s="25">
        <v>19.100000000000001</v>
      </c>
      <c r="N5079">
        <f t="shared" si="79"/>
        <v>1</v>
      </c>
    </row>
    <row r="5080" spans="1:14" x14ac:dyDescent="0.35">
      <c r="A5080" s="6" t="s">
        <v>5150</v>
      </c>
      <c r="B5080" s="19" t="s">
        <v>99</v>
      </c>
      <c r="C5080" s="19">
        <v>10</v>
      </c>
      <c r="D5080" s="20">
        <v>45959</v>
      </c>
      <c r="E5080" s="19" t="s">
        <v>25</v>
      </c>
      <c r="F5080" s="19" t="s">
        <v>14</v>
      </c>
      <c r="G5080" s="19" t="s">
        <v>31</v>
      </c>
      <c r="H5080" s="19" t="s">
        <v>28</v>
      </c>
      <c r="I5080" s="19">
        <v>24</v>
      </c>
      <c r="J5080" s="19">
        <v>0</v>
      </c>
      <c r="K5080" s="19">
        <v>5</v>
      </c>
      <c r="L5080" s="19" t="s">
        <v>44</v>
      </c>
      <c r="M5080" s="21">
        <v>6.3</v>
      </c>
      <c r="N5080">
        <f t="shared" si="79"/>
        <v>1</v>
      </c>
    </row>
    <row r="5081" spans="1:14" x14ac:dyDescent="0.35">
      <c r="A5081" s="22" t="s">
        <v>5151</v>
      </c>
      <c r="B5081" s="23" t="s">
        <v>158</v>
      </c>
      <c r="C5081" s="23">
        <v>11</v>
      </c>
      <c r="D5081" s="24">
        <v>45976</v>
      </c>
      <c r="E5081" s="23" t="s">
        <v>68</v>
      </c>
      <c r="F5081" s="23" t="s">
        <v>14</v>
      </c>
      <c r="G5081" s="23" t="s">
        <v>27</v>
      </c>
      <c r="H5081" s="23" t="s">
        <v>16</v>
      </c>
      <c r="I5081" s="23">
        <v>72</v>
      </c>
      <c r="J5081" s="23">
        <v>2</v>
      </c>
      <c r="K5081" s="23">
        <v>3</v>
      </c>
      <c r="L5081" s="23" t="s">
        <v>44</v>
      </c>
      <c r="M5081" s="25">
        <v>7.3</v>
      </c>
      <c r="N5081">
        <f t="shared" si="79"/>
        <v>1</v>
      </c>
    </row>
    <row r="5082" spans="1:14" x14ac:dyDescent="0.35">
      <c r="A5082" s="6" t="s">
        <v>5152</v>
      </c>
      <c r="B5082" s="19" t="s">
        <v>108</v>
      </c>
      <c r="C5082" s="19">
        <v>12</v>
      </c>
      <c r="D5082" s="20">
        <v>46009</v>
      </c>
      <c r="E5082" s="19" t="s">
        <v>8364</v>
      </c>
      <c r="F5082" s="19" t="s">
        <v>37</v>
      </c>
      <c r="G5082" s="19" t="s">
        <v>15</v>
      </c>
      <c r="H5082" s="19" t="s">
        <v>16</v>
      </c>
      <c r="I5082" s="19">
        <v>24</v>
      </c>
      <c r="J5082" s="19">
        <v>2</v>
      </c>
      <c r="K5082" s="19">
        <v>5</v>
      </c>
      <c r="L5082" s="19" t="s">
        <v>38</v>
      </c>
      <c r="M5082" s="21">
        <v>12.1</v>
      </c>
      <c r="N5082">
        <f t="shared" si="79"/>
        <v>1</v>
      </c>
    </row>
    <row r="5083" spans="1:14" x14ac:dyDescent="0.35">
      <c r="A5083" s="22" t="s">
        <v>5153</v>
      </c>
      <c r="B5083" s="23" t="s">
        <v>51</v>
      </c>
      <c r="C5083" s="23">
        <v>2</v>
      </c>
      <c r="D5083" s="24">
        <v>45700</v>
      </c>
      <c r="E5083" s="23" t="s">
        <v>13</v>
      </c>
      <c r="F5083" s="23" t="s">
        <v>40</v>
      </c>
      <c r="G5083" s="23" t="s">
        <v>15</v>
      </c>
      <c r="H5083" s="23" t="s">
        <v>8364</v>
      </c>
      <c r="I5083" s="23">
        <v>24</v>
      </c>
      <c r="J5083" s="23">
        <v>0</v>
      </c>
      <c r="K5083" s="23">
        <v>5</v>
      </c>
      <c r="L5083" s="23" t="s">
        <v>44</v>
      </c>
      <c r="M5083" s="25">
        <v>3.3</v>
      </c>
      <c r="N5083">
        <f t="shared" si="79"/>
        <v>1</v>
      </c>
    </row>
    <row r="5084" spans="1:14" x14ac:dyDescent="0.35">
      <c r="A5084" s="6" t="s">
        <v>5154</v>
      </c>
      <c r="B5084" s="19" t="s">
        <v>34</v>
      </c>
      <c r="C5084" s="19">
        <v>3</v>
      </c>
      <c r="D5084" s="20">
        <v>45729</v>
      </c>
      <c r="E5084" s="19" t="s">
        <v>20</v>
      </c>
      <c r="F5084" s="19" t="s">
        <v>14</v>
      </c>
      <c r="G5084" s="19" t="s">
        <v>15</v>
      </c>
      <c r="H5084" s="19" t="s">
        <v>8364</v>
      </c>
      <c r="I5084" s="19">
        <v>4</v>
      </c>
      <c r="J5084" s="19">
        <v>0</v>
      </c>
      <c r="K5084" s="19">
        <v>5</v>
      </c>
      <c r="L5084" s="19" t="s">
        <v>62</v>
      </c>
      <c r="M5084" s="21">
        <v>15.1</v>
      </c>
      <c r="N5084">
        <f t="shared" si="79"/>
        <v>0</v>
      </c>
    </row>
    <row r="5085" spans="1:14" x14ac:dyDescent="0.35">
      <c r="A5085" s="22" t="s">
        <v>5155</v>
      </c>
      <c r="B5085" s="23" t="s">
        <v>47</v>
      </c>
      <c r="C5085" s="23">
        <v>12</v>
      </c>
      <c r="D5085" s="24">
        <v>45998</v>
      </c>
      <c r="E5085" s="23" t="s">
        <v>8364</v>
      </c>
      <c r="F5085" s="23" t="s">
        <v>14</v>
      </c>
      <c r="G5085" s="23" t="s">
        <v>27</v>
      </c>
      <c r="H5085" s="23" t="s">
        <v>28</v>
      </c>
      <c r="I5085" s="23">
        <v>48</v>
      </c>
      <c r="J5085" s="23">
        <v>1</v>
      </c>
      <c r="K5085" s="23">
        <v>5</v>
      </c>
      <c r="L5085" s="23" t="s">
        <v>17</v>
      </c>
      <c r="M5085" s="25">
        <v>18.8</v>
      </c>
      <c r="N5085">
        <f t="shared" si="79"/>
        <v>1</v>
      </c>
    </row>
    <row r="5086" spans="1:14" x14ac:dyDescent="0.35">
      <c r="A5086" s="6" t="s">
        <v>5156</v>
      </c>
      <c r="B5086" s="19" t="s">
        <v>47</v>
      </c>
      <c r="C5086" s="19">
        <v>10</v>
      </c>
      <c r="D5086" s="20">
        <v>45940</v>
      </c>
      <c r="E5086" s="19" t="s">
        <v>36</v>
      </c>
      <c r="F5086" s="19" t="s">
        <v>14</v>
      </c>
      <c r="G5086" s="19" t="s">
        <v>15</v>
      </c>
      <c r="H5086" s="19" t="s">
        <v>28</v>
      </c>
      <c r="I5086" s="19">
        <v>24</v>
      </c>
      <c r="J5086" s="19">
        <v>0</v>
      </c>
      <c r="K5086" s="19">
        <v>5</v>
      </c>
      <c r="L5086" s="19" t="s">
        <v>8363</v>
      </c>
      <c r="M5086" s="21">
        <v>20.7</v>
      </c>
      <c r="N5086">
        <f t="shared" si="79"/>
        <v>1</v>
      </c>
    </row>
    <row r="5087" spans="1:14" x14ac:dyDescent="0.35">
      <c r="A5087" s="22" t="s">
        <v>5157</v>
      </c>
      <c r="B5087" s="23" t="s">
        <v>41</v>
      </c>
      <c r="C5087" s="23">
        <v>8</v>
      </c>
      <c r="D5087" s="24">
        <v>45891</v>
      </c>
      <c r="E5087" s="23" t="s">
        <v>25</v>
      </c>
      <c r="F5087" s="23" t="s">
        <v>43</v>
      </c>
      <c r="G5087" s="23" t="s">
        <v>27</v>
      </c>
      <c r="H5087" s="23" t="s">
        <v>8364</v>
      </c>
      <c r="I5087" s="23">
        <v>24</v>
      </c>
      <c r="J5087" s="23">
        <v>1</v>
      </c>
      <c r="K5087" s="23">
        <v>2</v>
      </c>
      <c r="L5087" s="23" t="s">
        <v>75</v>
      </c>
      <c r="M5087" s="25">
        <v>34.299999999999997</v>
      </c>
      <c r="N5087">
        <f t="shared" si="79"/>
        <v>0</v>
      </c>
    </row>
    <row r="5088" spans="1:14" x14ac:dyDescent="0.35">
      <c r="A5088" s="6" t="s">
        <v>5158</v>
      </c>
      <c r="B5088" s="19" t="s">
        <v>69</v>
      </c>
      <c r="C5088" s="19">
        <v>10</v>
      </c>
      <c r="D5088" s="20">
        <v>45932</v>
      </c>
      <c r="E5088" s="19" t="s">
        <v>68</v>
      </c>
      <c r="F5088" s="19" t="s">
        <v>43</v>
      </c>
      <c r="G5088" s="19" t="s">
        <v>27</v>
      </c>
      <c r="H5088" s="19" t="s">
        <v>32</v>
      </c>
      <c r="I5088" s="19">
        <v>4</v>
      </c>
      <c r="J5088" s="19">
        <v>2</v>
      </c>
      <c r="K5088" s="19">
        <v>5</v>
      </c>
      <c r="L5088" s="19" t="s">
        <v>8363</v>
      </c>
      <c r="M5088" s="21">
        <v>4.2</v>
      </c>
      <c r="N5088">
        <f t="shared" si="79"/>
        <v>0</v>
      </c>
    </row>
    <row r="5089" spans="1:14" x14ac:dyDescent="0.35">
      <c r="A5089" s="22" t="s">
        <v>5159</v>
      </c>
      <c r="B5089" s="23" t="s">
        <v>143</v>
      </c>
      <c r="C5089" s="23">
        <v>12</v>
      </c>
      <c r="D5089" s="24">
        <v>46019</v>
      </c>
      <c r="E5089" s="23" t="s">
        <v>13</v>
      </c>
      <c r="F5089" s="23" t="s">
        <v>43</v>
      </c>
      <c r="G5089" s="23" t="s">
        <v>15</v>
      </c>
      <c r="H5089" s="23" t="s">
        <v>28</v>
      </c>
      <c r="I5089" s="23">
        <v>8</v>
      </c>
      <c r="J5089" s="23">
        <v>1</v>
      </c>
      <c r="K5089" s="23">
        <v>4</v>
      </c>
      <c r="L5089" s="23" t="s">
        <v>62</v>
      </c>
      <c r="M5089" s="25">
        <v>8.9</v>
      </c>
      <c r="N5089">
        <f t="shared" si="79"/>
        <v>0</v>
      </c>
    </row>
    <row r="5090" spans="1:14" x14ac:dyDescent="0.35">
      <c r="A5090" s="6" t="s">
        <v>5160</v>
      </c>
      <c r="B5090" s="19" t="s">
        <v>181</v>
      </c>
      <c r="C5090" s="19">
        <v>7</v>
      </c>
      <c r="D5090" s="20">
        <v>45851</v>
      </c>
      <c r="E5090" s="19" t="s">
        <v>8364</v>
      </c>
      <c r="F5090" s="19" t="s">
        <v>8364</v>
      </c>
      <c r="G5090" s="19" t="s">
        <v>31</v>
      </c>
      <c r="H5090" s="19" t="s">
        <v>8364</v>
      </c>
      <c r="I5090" s="19">
        <v>72</v>
      </c>
      <c r="J5090" s="19">
        <v>0</v>
      </c>
      <c r="K5090" s="19">
        <v>5</v>
      </c>
      <c r="L5090" s="19" t="s">
        <v>62</v>
      </c>
      <c r="M5090" s="21">
        <v>7.7</v>
      </c>
      <c r="N5090">
        <f t="shared" si="79"/>
        <v>1</v>
      </c>
    </row>
    <row r="5091" spans="1:14" x14ac:dyDescent="0.35">
      <c r="A5091" s="22" t="s">
        <v>5161</v>
      </c>
      <c r="B5091" s="23" t="s">
        <v>29</v>
      </c>
      <c r="C5091" s="23">
        <v>12</v>
      </c>
      <c r="D5091" s="24">
        <v>46009</v>
      </c>
      <c r="E5091" s="23" t="s">
        <v>20</v>
      </c>
      <c r="F5091" s="23" t="s">
        <v>37</v>
      </c>
      <c r="G5091" s="23" t="s">
        <v>21</v>
      </c>
      <c r="H5091" s="23" t="s">
        <v>28</v>
      </c>
      <c r="I5091" s="23">
        <v>72</v>
      </c>
      <c r="J5091" s="23">
        <v>0</v>
      </c>
      <c r="K5091" s="23">
        <v>5</v>
      </c>
      <c r="L5091" s="23" t="s">
        <v>17</v>
      </c>
      <c r="M5091" s="25">
        <v>28.8</v>
      </c>
      <c r="N5091">
        <f t="shared" si="79"/>
        <v>1</v>
      </c>
    </row>
    <row r="5092" spans="1:14" x14ac:dyDescent="0.35">
      <c r="A5092" s="6" t="s">
        <v>5162</v>
      </c>
      <c r="B5092" s="19" t="s">
        <v>53</v>
      </c>
      <c r="C5092" s="19">
        <v>7</v>
      </c>
      <c r="D5092" s="20">
        <v>45867</v>
      </c>
      <c r="E5092" s="19" t="s">
        <v>36</v>
      </c>
      <c r="F5092" s="19" t="s">
        <v>14</v>
      </c>
      <c r="G5092" s="19" t="s">
        <v>8364</v>
      </c>
      <c r="H5092" s="19" t="s">
        <v>22</v>
      </c>
      <c r="I5092" s="19">
        <v>72</v>
      </c>
      <c r="J5092" s="19">
        <v>0</v>
      </c>
      <c r="K5092" s="19">
        <v>3</v>
      </c>
      <c r="L5092" s="19" t="s">
        <v>38</v>
      </c>
      <c r="M5092" s="21"/>
      <c r="N5092">
        <f t="shared" si="79"/>
        <v>1</v>
      </c>
    </row>
    <row r="5093" spans="1:14" x14ac:dyDescent="0.35">
      <c r="A5093" s="22" t="s">
        <v>5163</v>
      </c>
      <c r="B5093" s="23" t="s">
        <v>81</v>
      </c>
      <c r="C5093" s="23">
        <v>4</v>
      </c>
      <c r="D5093" s="24">
        <v>45757</v>
      </c>
      <c r="E5093" s="23" t="s">
        <v>25</v>
      </c>
      <c r="F5093" s="23" t="s">
        <v>43</v>
      </c>
      <c r="G5093" s="23" t="s">
        <v>27</v>
      </c>
      <c r="H5093" s="23" t="s">
        <v>8364</v>
      </c>
      <c r="I5093" s="23">
        <v>4</v>
      </c>
      <c r="J5093" s="23">
        <v>0</v>
      </c>
      <c r="K5093" s="23">
        <v>5</v>
      </c>
      <c r="L5093" s="23" t="s">
        <v>38</v>
      </c>
      <c r="M5093" s="25">
        <v>11.6</v>
      </c>
      <c r="N5093">
        <f t="shared" si="79"/>
        <v>0</v>
      </c>
    </row>
    <row r="5094" spans="1:14" x14ac:dyDescent="0.35">
      <c r="A5094" s="6" t="s">
        <v>5164</v>
      </c>
      <c r="B5094" s="19" t="s">
        <v>69</v>
      </c>
      <c r="C5094" s="19">
        <v>2</v>
      </c>
      <c r="D5094" s="20">
        <v>45705</v>
      </c>
      <c r="E5094" s="19" t="s">
        <v>25</v>
      </c>
      <c r="F5094" s="19" t="s">
        <v>43</v>
      </c>
      <c r="G5094" s="19" t="s">
        <v>15</v>
      </c>
      <c r="H5094" s="19" t="s">
        <v>22</v>
      </c>
      <c r="I5094" s="19">
        <v>24</v>
      </c>
      <c r="J5094" s="19">
        <v>0</v>
      </c>
      <c r="K5094" s="19"/>
      <c r="L5094" s="19" t="s">
        <v>17</v>
      </c>
      <c r="M5094" s="21">
        <v>1.7</v>
      </c>
      <c r="N5094">
        <f t="shared" si="79"/>
        <v>1</v>
      </c>
    </row>
    <row r="5095" spans="1:14" x14ac:dyDescent="0.35">
      <c r="A5095" s="22" t="s">
        <v>5165</v>
      </c>
      <c r="B5095" s="23" t="s">
        <v>69</v>
      </c>
      <c r="C5095" s="23"/>
      <c r="D5095" s="24"/>
      <c r="E5095" s="23" t="s">
        <v>36</v>
      </c>
      <c r="F5095" s="23" t="s">
        <v>37</v>
      </c>
      <c r="G5095" s="23" t="s">
        <v>27</v>
      </c>
      <c r="H5095" s="23" t="s">
        <v>8364</v>
      </c>
      <c r="I5095" s="23">
        <v>4</v>
      </c>
      <c r="J5095" s="23">
        <v>0</v>
      </c>
      <c r="K5095" s="23">
        <v>4</v>
      </c>
      <c r="L5095" s="23" t="s">
        <v>8363</v>
      </c>
      <c r="M5095" s="25">
        <v>7</v>
      </c>
      <c r="N5095">
        <f t="shared" si="79"/>
        <v>0</v>
      </c>
    </row>
    <row r="5096" spans="1:14" x14ac:dyDescent="0.35">
      <c r="A5096" s="6" t="s">
        <v>5166</v>
      </c>
      <c r="B5096" s="19" t="s">
        <v>39</v>
      </c>
      <c r="C5096" s="19">
        <v>7</v>
      </c>
      <c r="D5096" s="20">
        <v>45842</v>
      </c>
      <c r="E5096" s="19" t="s">
        <v>25</v>
      </c>
      <c r="F5096" s="19" t="s">
        <v>26</v>
      </c>
      <c r="G5096" s="19" t="s">
        <v>15</v>
      </c>
      <c r="H5096" s="19" t="s">
        <v>8364</v>
      </c>
      <c r="I5096" s="19">
        <v>72</v>
      </c>
      <c r="J5096" s="19">
        <v>1</v>
      </c>
      <c r="K5096" s="19">
        <v>4</v>
      </c>
      <c r="L5096" s="19" t="s">
        <v>62</v>
      </c>
      <c r="M5096" s="21">
        <v>6.9</v>
      </c>
      <c r="N5096">
        <f t="shared" si="79"/>
        <v>1</v>
      </c>
    </row>
    <row r="5097" spans="1:14" x14ac:dyDescent="0.35">
      <c r="A5097" s="22" t="s">
        <v>5167</v>
      </c>
      <c r="B5097" s="23" t="s">
        <v>23</v>
      </c>
      <c r="C5097" s="23">
        <v>6</v>
      </c>
      <c r="D5097" s="24">
        <v>45814</v>
      </c>
      <c r="E5097" s="23" t="s">
        <v>25</v>
      </c>
      <c r="F5097" s="23" t="s">
        <v>40</v>
      </c>
      <c r="G5097" s="23" t="s">
        <v>8364</v>
      </c>
      <c r="H5097" s="23" t="s">
        <v>16</v>
      </c>
      <c r="I5097" s="23">
        <v>24</v>
      </c>
      <c r="J5097" s="23">
        <v>1</v>
      </c>
      <c r="K5097" s="23">
        <v>2</v>
      </c>
      <c r="L5097" s="23" t="s">
        <v>55</v>
      </c>
      <c r="M5097" s="25">
        <v>17.100000000000001</v>
      </c>
      <c r="N5097">
        <f t="shared" si="79"/>
        <v>1</v>
      </c>
    </row>
    <row r="5098" spans="1:14" x14ac:dyDescent="0.35">
      <c r="A5098" s="6" t="s">
        <v>5168</v>
      </c>
      <c r="B5098" s="19" t="s">
        <v>34</v>
      </c>
      <c r="C5098" s="19">
        <v>8</v>
      </c>
      <c r="D5098" s="20">
        <v>45891</v>
      </c>
      <c r="E5098" s="19" t="s">
        <v>25</v>
      </c>
      <c r="F5098" s="19" t="s">
        <v>37</v>
      </c>
      <c r="G5098" s="19" t="s">
        <v>31</v>
      </c>
      <c r="H5098" s="19" t="s">
        <v>32</v>
      </c>
      <c r="I5098" s="19">
        <v>48</v>
      </c>
      <c r="J5098" s="19">
        <v>0</v>
      </c>
      <c r="K5098" s="19">
        <v>5</v>
      </c>
      <c r="L5098" s="19" t="s">
        <v>44</v>
      </c>
      <c r="M5098" s="21">
        <v>9.9</v>
      </c>
      <c r="N5098">
        <f t="shared" si="79"/>
        <v>1</v>
      </c>
    </row>
    <row r="5099" spans="1:14" x14ac:dyDescent="0.35">
      <c r="A5099" s="22" t="s">
        <v>5169</v>
      </c>
      <c r="B5099" s="23" t="s">
        <v>101</v>
      </c>
      <c r="C5099" s="23">
        <v>6</v>
      </c>
      <c r="D5099" s="24">
        <v>45830</v>
      </c>
      <c r="E5099" s="23" t="s">
        <v>25</v>
      </c>
      <c r="F5099" s="23" t="s">
        <v>43</v>
      </c>
      <c r="G5099" s="23" t="s">
        <v>21</v>
      </c>
      <c r="H5099" s="23" t="s">
        <v>22</v>
      </c>
      <c r="I5099" s="23">
        <v>24</v>
      </c>
      <c r="J5099" s="23">
        <v>0</v>
      </c>
      <c r="K5099" s="23">
        <v>5</v>
      </c>
      <c r="L5099" s="23" t="s">
        <v>38</v>
      </c>
      <c r="M5099" s="25">
        <v>5.0999999999999996</v>
      </c>
      <c r="N5099">
        <f t="shared" si="79"/>
        <v>1</v>
      </c>
    </row>
    <row r="5100" spans="1:14" x14ac:dyDescent="0.35">
      <c r="A5100" s="6" t="s">
        <v>5170</v>
      </c>
      <c r="B5100" s="19" t="s">
        <v>29</v>
      </c>
      <c r="C5100" s="19">
        <v>10</v>
      </c>
      <c r="D5100" s="20">
        <v>45959</v>
      </c>
      <c r="E5100" s="19" t="s">
        <v>25</v>
      </c>
      <c r="F5100" s="19" t="s">
        <v>14</v>
      </c>
      <c r="G5100" s="19" t="s">
        <v>27</v>
      </c>
      <c r="H5100" s="19" t="s">
        <v>22</v>
      </c>
      <c r="I5100" s="19">
        <v>8</v>
      </c>
      <c r="J5100" s="19">
        <v>0</v>
      </c>
      <c r="K5100" s="19">
        <v>4</v>
      </c>
      <c r="L5100" s="19" t="s">
        <v>17</v>
      </c>
      <c r="M5100" s="21">
        <v>14.1</v>
      </c>
      <c r="N5100">
        <f t="shared" si="79"/>
        <v>0</v>
      </c>
    </row>
    <row r="5101" spans="1:14" x14ac:dyDescent="0.35">
      <c r="A5101" s="22" t="s">
        <v>5171</v>
      </c>
      <c r="B5101" s="23" t="s">
        <v>72</v>
      </c>
      <c r="C5101" s="23">
        <v>1</v>
      </c>
      <c r="D5101" s="24">
        <v>45662</v>
      </c>
      <c r="E5101" s="23" t="s">
        <v>36</v>
      </c>
      <c r="F5101" s="23" t="s">
        <v>37</v>
      </c>
      <c r="G5101" s="23" t="s">
        <v>27</v>
      </c>
      <c r="H5101" s="23" t="s">
        <v>32</v>
      </c>
      <c r="I5101" s="23">
        <v>4</v>
      </c>
      <c r="J5101" s="23">
        <v>0</v>
      </c>
      <c r="K5101" s="23">
        <v>4</v>
      </c>
      <c r="L5101" s="23" t="s">
        <v>8363</v>
      </c>
      <c r="M5101" s="25">
        <v>27.5</v>
      </c>
      <c r="N5101">
        <f t="shared" si="79"/>
        <v>0</v>
      </c>
    </row>
    <row r="5102" spans="1:14" x14ac:dyDescent="0.35">
      <c r="A5102" s="6" t="s">
        <v>5172</v>
      </c>
      <c r="B5102" s="19" t="s">
        <v>99</v>
      </c>
      <c r="C5102" s="19">
        <v>3</v>
      </c>
      <c r="D5102" s="20">
        <v>45721</v>
      </c>
      <c r="E5102" s="19" t="s">
        <v>20</v>
      </c>
      <c r="F5102" s="19" t="s">
        <v>14</v>
      </c>
      <c r="G5102" s="19" t="s">
        <v>15</v>
      </c>
      <c r="H5102" s="19" t="s">
        <v>28</v>
      </c>
      <c r="I5102" s="19">
        <v>72</v>
      </c>
      <c r="J5102" s="19">
        <v>0</v>
      </c>
      <c r="K5102" s="19">
        <v>4</v>
      </c>
      <c r="L5102" s="19" t="s">
        <v>44</v>
      </c>
      <c r="M5102" s="21">
        <v>8.6</v>
      </c>
      <c r="N5102">
        <f t="shared" si="79"/>
        <v>1</v>
      </c>
    </row>
    <row r="5103" spans="1:14" x14ac:dyDescent="0.35">
      <c r="A5103" s="22" t="s">
        <v>5173</v>
      </c>
      <c r="B5103" s="23" t="s">
        <v>34</v>
      </c>
      <c r="C5103" s="23">
        <v>8</v>
      </c>
      <c r="D5103" s="24">
        <v>45894</v>
      </c>
      <c r="E5103" s="23" t="s">
        <v>68</v>
      </c>
      <c r="F5103" s="23" t="s">
        <v>14</v>
      </c>
      <c r="G5103" s="23" t="s">
        <v>15</v>
      </c>
      <c r="H5103" s="23" t="s">
        <v>28</v>
      </c>
      <c r="I5103" s="23">
        <v>48</v>
      </c>
      <c r="J5103" s="23">
        <v>0</v>
      </c>
      <c r="K5103" s="23">
        <v>4</v>
      </c>
      <c r="L5103" s="23" t="s">
        <v>33</v>
      </c>
      <c r="M5103" s="25">
        <v>19.2</v>
      </c>
      <c r="N5103">
        <f t="shared" si="79"/>
        <v>1</v>
      </c>
    </row>
    <row r="5104" spans="1:14" x14ac:dyDescent="0.35">
      <c r="A5104" s="6" t="s">
        <v>5174</v>
      </c>
      <c r="B5104" s="19" t="s">
        <v>18</v>
      </c>
      <c r="C5104" s="19">
        <v>3</v>
      </c>
      <c r="D5104" s="20">
        <v>45727</v>
      </c>
      <c r="E5104" s="19" t="s">
        <v>25</v>
      </c>
      <c r="F5104" s="19" t="s">
        <v>40</v>
      </c>
      <c r="G5104" s="19" t="s">
        <v>21</v>
      </c>
      <c r="H5104" s="19" t="s">
        <v>28</v>
      </c>
      <c r="I5104" s="19">
        <v>48</v>
      </c>
      <c r="J5104" s="19">
        <v>0</v>
      </c>
      <c r="K5104" s="19">
        <v>5</v>
      </c>
      <c r="L5104" s="19" t="s">
        <v>62</v>
      </c>
      <c r="M5104" s="21">
        <v>9</v>
      </c>
      <c r="N5104">
        <f t="shared" si="79"/>
        <v>1</v>
      </c>
    </row>
    <row r="5105" spans="1:14" x14ac:dyDescent="0.35">
      <c r="A5105" s="22" t="s">
        <v>5175</v>
      </c>
      <c r="B5105" s="23" t="s">
        <v>65</v>
      </c>
      <c r="C5105" s="23">
        <v>6</v>
      </c>
      <c r="D5105" s="24">
        <v>45836</v>
      </c>
      <c r="E5105" s="23" t="s">
        <v>25</v>
      </c>
      <c r="F5105" s="23" t="s">
        <v>43</v>
      </c>
      <c r="G5105" s="23" t="s">
        <v>31</v>
      </c>
      <c r="H5105" s="23" t="s">
        <v>8364</v>
      </c>
      <c r="I5105" s="23">
        <v>8</v>
      </c>
      <c r="J5105" s="23">
        <v>0</v>
      </c>
      <c r="K5105" s="23">
        <v>4</v>
      </c>
      <c r="L5105" s="23" t="s">
        <v>8363</v>
      </c>
      <c r="M5105" s="25">
        <v>4.3</v>
      </c>
      <c r="N5105">
        <f t="shared" si="79"/>
        <v>1</v>
      </c>
    </row>
    <row r="5106" spans="1:14" x14ac:dyDescent="0.35">
      <c r="A5106" s="6" t="s">
        <v>5176</v>
      </c>
      <c r="B5106" s="19" t="s">
        <v>143</v>
      </c>
      <c r="C5106" s="19">
        <v>12</v>
      </c>
      <c r="D5106" s="20">
        <v>45993</v>
      </c>
      <c r="E5106" s="19" t="s">
        <v>68</v>
      </c>
      <c r="F5106" s="19" t="s">
        <v>59</v>
      </c>
      <c r="G5106" s="19" t="s">
        <v>27</v>
      </c>
      <c r="H5106" s="19" t="s">
        <v>28</v>
      </c>
      <c r="I5106" s="19">
        <v>4</v>
      </c>
      <c r="J5106" s="19">
        <v>0</v>
      </c>
      <c r="K5106" s="19">
        <v>5</v>
      </c>
      <c r="L5106" s="19" t="s">
        <v>33</v>
      </c>
      <c r="M5106" s="21">
        <v>2.5</v>
      </c>
      <c r="N5106">
        <f t="shared" si="79"/>
        <v>1</v>
      </c>
    </row>
    <row r="5107" spans="1:14" x14ac:dyDescent="0.35">
      <c r="A5107" s="22" t="s">
        <v>5177</v>
      </c>
      <c r="B5107" s="23" t="s">
        <v>108</v>
      </c>
      <c r="C5107" s="23">
        <v>5</v>
      </c>
      <c r="D5107" s="24">
        <v>45778</v>
      </c>
      <c r="E5107" s="23" t="s">
        <v>68</v>
      </c>
      <c r="F5107" s="23" t="s">
        <v>8364</v>
      </c>
      <c r="G5107" s="23" t="s">
        <v>31</v>
      </c>
      <c r="H5107" s="23" t="s">
        <v>8364</v>
      </c>
      <c r="I5107" s="23">
        <v>8</v>
      </c>
      <c r="J5107" s="23">
        <v>0</v>
      </c>
      <c r="K5107" s="23">
        <v>4</v>
      </c>
      <c r="L5107" s="23" t="s">
        <v>8363</v>
      </c>
      <c r="M5107" s="25">
        <v>15.3</v>
      </c>
      <c r="N5107">
        <f t="shared" si="79"/>
        <v>0</v>
      </c>
    </row>
    <row r="5108" spans="1:14" x14ac:dyDescent="0.35">
      <c r="A5108" s="6" t="s">
        <v>5178</v>
      </c>
      <c r="B5108" s="19" t="s">
        <v>139</v>
      </c>
      <c r="C5108" s="19">
        <v>6</v>
      </c>
      <c r="D5108" s="20">
        <v>45810</v>
      </c>
      <c r="E5108" s="19" t="s">
        <v>20</v>
      </c>
      <c r="F5108" s="19" t="s">
        <v>14</v>
      </c>
      <c r="G5108" s="19" t="s">
        <v>15</v>
      </c>
      <c r="H5108" s="19" t="s">
        <v>8364</v>
      </c>
      <c r="I5108" s="19">
        <v>48</v>
      </c>
      <c r="J5108" s="19">
        <v>0</v>
      </c>
      <c r="K5108" s="19">
        <v>4</v>
      </c>
      <c r="L5108" s="19" t="s">
        <v>55</v>
      </c>
      <c r="M5108" s="21">
        <v>5.6</v>
      </c>
      <c r="N5108">
        <f t="shared" si="79"/>
        <v>1</v>
      </c>
    </row>
    <row r="5109" spans="1:14" x14ac:dyDescent="0.35">
      <c r="A5109" s="22" t="s">
        <v>5179</v>
      </c>
      <c r="B5109" s="23" t="s">
        <v>34</v>
      </c>
      <c r="C5109" s="23">
        <v>12</v>
      </c>
      <c r="D5109" s="24">
        <v>46018</v>
      </c>
      <c r="E5109" s="23" t="s">
        <v>68</v>
      </c>
      <c r="F5109" s="23" t="s">
        <v>43</v>
      </c>
      <c r="G5109" s="23" t="s">
        <v>31</v>
      </c>
      <c r="H5109" s="23" t="s">
        <v>16</v>
      </c>
      <c r="I5109" s="23">
        <v>72</v>
      </c>
      <c r="J5109" s="23">
        <v>0</v>
      </c>
      <c r="K5109" s="23">
        <v>4</v>
      </c>
      <c r="L5109" s="23" t="s">
        <v>17</v>
      </c>
      <c r="M5109" s="25">
        <v>11.8</v>
      </c>
      <c r="N5109">
        <f t="shared" si="79"/>
        <v>1</v>
      </c>
    </row>
    <row r="5110" spans="1:14" x14ac:dyDescent="0.35">
      <c r="A5110" s="6" t="s">
        <v>5180</v>
      </c>
      <c r="B5110" s="19" t="s">
        <v>143</v>
      </c>
      <c r="C5110" s="19"/>
      <c r="D5110" s="20"/>
      <c r="E5110" s="19" t="s">
        <v>13</v>
      </c>
      <c r="F5110" s="19" t="s">
        <v>14</v>
      </c>
      <c r="G5110" s="19" t="s">
        <v>15</v>
      </c>
      <c r="H5110" s="19" t="s">
        <v>22</v>
      </c>
      <c r="I5110" s="19">
        <v>48</v>
      </c>
      <c r="J5110" s="19">
        <v>0</v>
      </c>
      <c r="K5110" s="19">
        <v>5</v>
      </c>
      <c r="L5110" s="19" t="s">
        <v>38</v>
      </c>
      <c r="M5110" s="21">
        <v>17.3</v>
      </c>
      <c r="N5110">
        <f t="shared" si="79"/>
        <v>1</v>
      </c>
    </row>
    <row r="5111" spans="1:14" x14ac:dyDescent="0.35">
      <c r="A5111" s="22" t="s">
        <v>5181</v>
      </c>
      <c r="B5111" s="23" t="s">
        <v>89</v>
      </c>
      <c r="C5111" s="23"/>
      <c r="D5111" s="24"/>
      <c r="E5111" s="23" t="s">
        <v>25</v>
      </c>
      <c r="F5111" s="23" t="s">
        <v>43</v>
      </c>
      <c r="G5111" s="23" t="s">
        <v>27</v>
      </c>
      <c r="H5111" s="23" t="s">
        <v>22</v>
      </c>
      <c r="I5111" s="23">
        <v>24</v>
      </c>
      <c r="J5111" s="23">
        <v>2</v>
      </c>
      <c r="K5111" s="23">
        <v>5</v>
      </c>
      <c r="L5111" s="23" t="s">
        <v>44</v>
      </c>
      <c r="M5111" s="25">
        <v>4.5999999999999996</v>
      </c>
      <c r="N5111">
        <f t="shared" si="79"/>
        <v>1</v>
      </c>
    </row>
    <row r="5112" spans="1:14" x14ac:dyDescent="0.35">
      <c r="A5112" s="6" t="s">
        <v>5182</v>
      </c>
      <c r="B5112" s="19" t="s">
        <v>34</v>
      </c>
      <c r="C5112" s="19">
        <v>2</v>
      </c>
      <c r="D5112" s="20">
        <v>45714</v>
      </c>
      <c r="E5112" s="19" t="s">
        <v>25</v>
      </c>
      <c r="F5112" s="19" t="s">
        <v>14</v>
      </c>
      <c r="G5112" s="19" t="s">
        <v>21</v>
      </c>
      <c r="H5112" s="19" t="s">
        <v>8364</v>
      </c>
      <c r="I5112" s="19">
        <v>48</v>
      </c>
      <c r="J5112" s="19">
        <v>0</v>
      </c>
      <c r="K5112" s="19">
        <v>3</v>
      </c>
      <c r="L5112" s="19" t="s">
        <v>17</v>
      </c>
      <c r="M5112" s="21">
        <v>8</v>
      </c>
      <c r="N5112">
        <f t="shared" si="79"/>
        <v>1</v>
      </c>
    </row>
    <row r="5113" spans="1:14" x14ac:dyDescent="0.35">
      <c r="A5113" s="22" t="s">
        <v>5183</v>
      </c>
      <c r="B5113" s="23" t="s">
        <v>49</v>
      </c>
      <c r="C5113" s="23">
        <v>5</v>
      </c>
      <c r="D5113" s="24">
        <v>45791</v>
      </c>
      <c r="E5113" s="23" t="s">
        <v>8364</v>
      </c>
      <c r="F5113" s="23" t="s">
        <v>40</v>
      </c>
      <c r="G5113" s="23" t="s">
        <v>15</v>
      </c>
      <c r="H5113" s="23" t="s">
        <v>28</v>
      </c>
      <c r="I5113" s="23">
        <v>8</v>
      </c>
      <c r="J5113" s="23">
        <v>0</v>
      </c>
      <c r="K5113" s="23">
        <v>5</v>
      </c>
      <c r="L5113" s="23" t="s">
        <v>8363</v>
      </c>
      <c r="M5113" s="25"/>
      <c r="N5113">
        <f t="shared" si="79"/>
        <v>1</v>
      </c>
    </row>
    <row r="5114" spans="1:14" x14ac:dyDescent="0.35">
      <c r="A5114" s="6" t="s">
        <v>5184</v>
      </c>
      <c r="B5114" s="19" t="s">
        <v>47</v>
      </c>
      <c r="C5114" s="19">
        <v>12</v>
      </c>
      <c r="D5114" s="20">
        <v>45993</v>
      </c>
      <c r="E5114" s="19" t="s">
        <v>13</v>
      </c>
      <c r="F5114" s="19" t="s">
        <v>14</v>
      </c>
      <c r="G5114" s="19" t="s">
        <v>21</v>
      </c>
      <c r="H5114" s="19" t="s">
        <v>8364</v>
      </c>
      <c r="I5114" s="19">
        <v>24</v>
      </c>
      <c r="J5114" s="19">
        <v>0</v>
      </c>
      <c r="K5114" s="19"/>
      <c r="L5114" s="19" t="s">
        <v>8363</v>
      </c>
      <c r="M5114" s="21">
        <v>28.5</v>
      </c>
      <c r="N5114">
        <f t="shared" si="79"/>
        <v>0</v>
      </c>
    </row>
    <row r="5115" spans="1:14" x14ac:dyDescent="0.35">
      <c r="A5115" s="22" t="s">
        <v>5185</v>
      </c>
      <c r="B5115" s="23" t="s">
        <v>69</v>
      </c>
      <c r="C5115" s="23">
        <v>8</v>
      </c>
      <c r="D5115" s="24">
        <v>45889</v>
      </c>
      <c r="E5115" s="23" t="s">
        <v>68</v>
      </c>
      <c r="F5115" s="23" t="s">
        <v>43</v>
      </c>
      <c r="G5115" s="23" t="s">
        <v>15</v>
      </c>
      <c r="H5115" s="23" t="s">
        <v>22</v>
      </c>
      <c r="I5115" s="23">
        <v>8</v>
      </c>
      <c r="J5115" s="23">
        <v>0</v>
      </c>
      <c r="K5115" s="23"/>
      <c r="L5115" s="23" t="s">
        <v>17</v>
      </c>
      <c r="M5115" s="25">
        <v>26.2</v>
      </c>
      <c r="N5115">
        <f t="shared" si="79"/>
        <v>0</v>
      </c>
    </row>
    <row r="5116" spans="1:14" x14ac:dyDescent="0.35">
      <c r="A5116" s="6" t="s">
        <v>5186</v>
      </c>
      <c r="B5116" s="19" t="s">
        <v>104</v>
      </c>
      <c r="C5116" s="19">
        <v>7</v>
      </c>
      <c r="D5116" s="20">
        <v>45846</v>
      </c>
      <c r="E5116" s="19" t="s">
        <v>8364</v>
      </c>
      <c r="F5116" s="19" t="s">
        <v>43</v>
      </c>
      <c r="G5116" s="19" t="s">
        <v>15</v>
      </c>
      <c r="H5116" s="19" t="s">
        <v>32</v>
      </c>
      <c r="I5116" s="19">
        <v>24</v>
      </c>
      <c r="J5116" s="19">
        <v>0</v>
      </c>
      <c r="K5116" s="19"/>
      <c r="L5116" s="19" t="s">
        <v>17</v>
      </c>
      <c r="M5116" s="21">
        <v>13.4</v>
      </c>
      <c r="N5116">
        <f t="shared" si="79"/>
        <v>1</v>
      </c>
    </row>
    <row r="5117" spans="1:14" x14ac:dyDescent="0.35">
      <c r="A5117" s="22" t="s">
        <v>5187</v>
      </c>
      <c r="B5117" s="23" t="s">
        <v>181</v>
      </c>
      <c r="C5117" s="23">
        <v>1</v>
      </c>
      <c r="D5117" s="24">
        <v>45677</v>
      </c>
      <c r="E5117" s="23" t="s">
        <v>36</v>
      </c>
      <c r="F5117" s="23" t="s">
        <v>14</v>
      </c>
      <c r="G5117" s="23" t="s">
        <v>21</v>
      </c>
      <c r="H5117" s="23" t="s">
        <v>8364</v>
      </c>
      <c r="I5117" s="23">
        <v>72</v>
      </c>
      <c r="J5117" s="23">
        <v>0</v>
      </c>
      <c r="K5117" s="23">
        <v>4</v>
      </c>
      <c r="L5117" s="23" t="s">
        <v>38</v>
      </c>
      <c r="M5117" s="25">
        <v>9.6</v>
      </c>
      <c r="N5117">
        <f t="shared" si="79"/>
        <v>1</v>
      </c>
    </row>
    <row r="5118" spans="1:14" x14ac:dyDescent="0.35">
      <c r="A5118" s="6" t="s">
        <v>5188</v>
      </c>
      <c r="B5118" s="19" t="s">
        <v>97</v>
      </c>
      <c r="C5118" s="19"/>
      <c r="D5118" s="20"/>
      <c r="E5118" s="19" t="s">
        <v>36</v>
      </c>
      <c r="F5118" s="19" t="s">
        <v>8364</v>
      </c>
      <c r="G5118" s="19" t="s">
        <v>21</v>
      </c>
      <c r="H5118" s="19" t="s">
        <v>22</v>
      </c>
      <c r="I5118" s="19">
        <v>24</v>
      </c>
      <c r="J5118" s="19">
        <v>0</v>
      </c>
      <c r="K5118" s="19">
        <v>4</v>
      </c>
      <c r="L5118" s="19" t="s">
        <v>62</v>
      </c>
      <c r="M5118" s="21">
        <v>15.7</v>
      </c>
      <c r="N5118">
        <f t="shared" si="79"/>
        <v>1</v>
      </c>
    </row>
    <row r="5119" spans="1:14" x14ac:dyDescent="0.35">
      <c r="A5119" s="22" t="s">
        <v>5189</v>
      </c>
      <c r="B5119" s="23" t="s">
        <v>49</v>
      </c>
      <c r="C5119" s="23">
        <v>9</v>
      </c>
      <c r="D5119" s="24">
        <v>45927</v>
      </c>
      <c r="E5119" s="23" t="s">
        <v>36</v>
      </c>
      <c r="F5119" s="23" t="s">
        <v>26</v>
      </c>
      <c r="G5119" s="23" t="s">
        <v>8364</v>
      </c>
      <c r="H5119" s="23" t="s">
        <v>22</v>
      </c>
      <c r="I5119" s="23">
        <v>72</v>
      </c>
      <c r="J5119" s="23">
        <v>0</v>
      </c>
      <c r="K5119" s="23">
        <v>5</v>
      </c>
      <c r="L5119" s="23" t="s">
        <v>33</v>
      </c>
      <c r="M5119" s="25">
        <v>3.2</v>
      </c>
      <c r="N5119">
        <f t="shared" si="79"/>
        <v>1</v>
      </c>
    </row>
    <row r="5120" spans="1:14" x14ac:dyDescent="0.35">
      <c r="A5120" s="6" t="s">
        <v>5190</v>
      </c>
      <c r="B5120" s="19" t="s">
        <v>143</v>
      </c>
      <c r="C5120" s="19">
        <v>5</v>
      </c>
      <c r="D5120" s="20">
        <v>45806</v>
      </c>
      <c r="E5120" s="19" t="s">
        <v>13</v>
      </c>
      <c r="F5120" s="19" t="s">
        <v>26</v>
      </c>
      <c r="G5120" s="19" t="s">
        <v>31</v>
      </c>
      <c r="H5120" s="19" t="s">
        <v>28</v>
      </c>
      <c r="I5120" s="19">
        <v>72</v>
      </c>
      <c r="J5120" s="19">
        <v>2</v>
      </c>
      <c r="K5120" s="19"/>
      <c r="L5120" s="19" t="s">
        <v>55</v>
      </c>
      <c r="M5120" s="21">
        <v>15.8</v>
      </c>
      <c r="N5120">
        <f t="shared" si="79"/>
        <v>1</v>
      </c>
    </row>
    <row r="5121" spans="1:14" x14ac:dyDescent="0.35">
      <c r="A5121" s="22" t="s">
        <v>5191</v>
      </c>
      <c r="B5121" s="23" t="s">
        <v>69</v>
      </c>
      <c r="C5121" s="23">
        <v>3</v>
      </c>
      <c r="D5121" s="24">
        <v>45721</v>
      </c>
      <c r="E5121" s="23" t="s">
        <v>8364</v>
      </c>
      <c r="F5121" s="23" t="s">
        <v>14</v>
      </c>
      <c r="G5121" s="23" t="s">
        <v>27</v>
      </c>
      <c r="H5121" s="23" t="s">
        <v>28</v>
      </c>
      <c r="I5121" s="23">
        <v>4</v>
      </c>
      <c r="J5121" s="23">
        <v>0</v>
      </c>
      <c r="K5121" s="23">
        <v>3</v>
      </c>
      <c r="L5121" s="23" t="s">
        <v>44</v>
      </c>
      <c r="M5121" s="25">
        <v>26.3</v>
      </c>
      <c r="N5121">
        <f t="shared" si="79"/>
        <v>0</v>
      </c>
    </row>
    <row r="5122" spans="1:14" x14ac:dyDescent="0.35">
      <c r="A5122" s="6" t="s">
        <v>5192</v>
      </c>
      <c r="B5122" s="19" t="s">
        <v>89</v>
      </c>
      <c r="C5122" s="19">
        <v>4</v>
      </c>
      <c r="D5122" s="20">
        <v>45776</v>
      </c>
      <c r="E5122" s="19" t="s">
        <v>8364</v>
      </c>
      <c r="F5122" s="19" t="s">
        <v>37</v>
      </c>
      <c r="G5122" s="19" t="s">
        <v>27</v>
      </c>
      <c r="H5122" s="19" t="s">
        <v>28</v>
      </c>
      <c r="I5122" s="19">
        <v>4</v>
      </c>
      <c r="J5122" s="19">
        <v>0</v>
      </c>
      <c r="K5122" s="19">
        <v>5</v>
      </c>
      <c r="L5122" s="19" t="s">
        <v>8363</v>
      </c>
      <c r="M5122" s="21">
        <v>8.9</v>
      </c>
      <c r="N5122">
        <f t="shared" si="79"/>
        <v>0</v>
      </c>
    </row>
    <row r="5123" spans="1:14" x14ac:dyDescent="0.35">
      <c r="A5123" s="22" t="s">
        <v>5193</v>
      </c>
      <c r="B5123" s="23" t="s">
        <v>99</v>
      </c>
      <c r="C5123" s="23">
        <v>6</v>
      </c>
      <c r="D5123" s="24">
        <v>45819</v>
      </c>
      <c r="E5123" s="23" t="s">
        <v>36</v>
      </c>
      <c r="F5123" s="23" t="s">
        <v>43</v>
      </c>
      <c r="G5123" s="23" t="s">
        <v>31</v>
      </c>
      <c r="H5123" s="23" t="s">
        <v>8364</v>
      </c>
      <c r="I5123" s="23">
        <v>4</v>
      </c>
      <c r="J5123" s="23">
        <v>1</v>
      </c>
      <c r="K5123" s="23">
        <v>3</v>
      </c>
      <c r="L5123" s="23" t="s">
        <v>62</v>
      </c>
      <c r="M5123" s="25">
        <v>28.9</v>
      </c>
      <c r="N5123">
        <f t="shared" ref="N5123:N5186" si="80">IF(M5123 &lt;= I5123, 1, 0)</f>
        <v>0</v>
      </c>
    </row>
    <row r="5124" spans="1:14" x14ac:dyDescent="0.35">
      <c r="A5124" s="6" t="s">
        <v>5194</v>
      </c>
      <c r="B5124" s="19" t="s">
        <v>85</v>
      </c>
      <c r="C5124" s="19">
        <v>5</v>
      </c>
      <c r="D5124" s="20">
        <v>45789</v>
      </c>
      <c r="E5124" s="19" t="s">
        <v>13</v>
      </c>
      <c r="F5124" s="19" t="s">
        <v>14</v>
      </c>
      <c r="G5124" s="19" t="s">
        <v>21</v>
      </c>
      <c r="H5124" s="19" t="s">
        <v>22</v>
      </c>
      <c r="I5124" s="19">
        <v>8</v>
      </c>
      <c r="J5124" s="19">
        <v>0</v>
      </c>
      <c r="K5124" s="19"/>
      <c r="L5124" s="19" t="s">
        <v>17</v>
      </c>
      <c r="M5124" s="21">
        <v>17.3</v>
      </c>
      <c r="N5124">
        <f t="shared" si="80"/>
        <v>0</v>
      </c>
    </row>
    <row r="5125" spans="1:14" x14ac:dyDescent="0.35">
      <c r="A5125" s="22" t="s">
        <v>5195</v>
      </c>
      <c r="B5125" s="23" t="s">
        <v>81</v>
      </c>
      <c r="C5125" s="23">
        <v>10</v>
      </c>
      <c r="D5125" s="24">
        <v>45939</v>
      </c>
      <c r="E5125" s="23" t="s">
        <v>36</v>
      </c>
      <c r="F5125" s="23" t="s">
        <v>14</v>
      </c>
      <c r="G5125" s="23" t="s">
        <v>15</v>
      </c>
      <c r="H5125" s="23" t="s">
        <v>28</v>
      </c>
      <c r="I5125" s="23">
        <v>24</v>
      </c>
      <c r="J5125" s="23">
        <v>0</v>
      </c>
      <c r="K5125" s="23">
        <v>4</v>
      </c>
      <c r="L5125" s="23" t="s">
        <v>33</v>
      </c>
      <c r="M5125" s="25"/>
      <c r="N5125">
        <f t="shared" si="80"/>
        <v>1</v>
      </c>
    </row>
    <row r="5126" spans="1:14" x14ac:dyDescent="0.35">
      <c r="A5126" s="6" t="s">
        <v>5196</v>
      </c>
      <c r="B5126" s="19" t="s">
        <v>57</v>
      </c>
      <c r="C5126" s="19">
        <v>8</v>
      </c>
      <c r="D5126" s="20">
        <v>45872</v>
      </c>
      <c r="E5126" s="19" t="s">
        <v>36</v>
      </c>
      <c r="F5126" s="19" t="s">
        <v>43</v>
      </c>
      <c r="G5126" s="19" t="s">
        <v>15</v>
      </c>
      <c r="H5126" s="19" t="s">
        <v>22</v>
      </c>
      <c r="I5126" s="19">
        <v>8</v>
      </c>
      <c r="J5126" s="19">
        <v>0</v>
      </c>
      <c r="K5126" s="19">
        <v>5</v>
      </c>
      <c r="L5126" s="19" t="s">
        <v>44</v>
      </c>
      <c r="M5126" s="21">
        <v>3.4</v>
      </c>
      <c r="N5126">
        <f t="shared" si="80"/>
        <v>1</v>
      </c>
    </row>
    <row r="5127" spans="1:14" x14ac:dyDescent="0.35">
      <c r="A5127" s="22" t="s">
        <v>5197</v>
      </c>
      <c r="B5127" s="23" t="s">
        <v>104</v>
      </c>
      <c r="C5127" s="23">
        <v>4</v>
      </c>
      <c r="D5127" s="24">
        <v>45750</v>
      </c>
      <c r="E5127" s="23" t="s">
        <v>20</v>
      </c>
      <c r="F5127" s="23" t="s">
        <v>37</v>
      </c>
      <c r="G5127" s="23" t="s">
        <v>31</v>
      </c>
      <c r="H5127" s="23" t="s">
        <v>22</v>
      </c>
      <c r="I5127" s="23">
        <v>4</v>
      </c>
      <c r="J5127" s="23">
        <v>0</v>
      </c>
      <c r="K5127" s="23">
        <v>5</v>
      </c>
      <c r="L5127" s="23" t="s">
        <v>33</v>
      </c>
      <c r="M5127" s="25">
        <v>4.4000000000000004</v>
      </c>
      <c r="N5127">
        <f t="shared" si="80"/>
        <v>0</v>
      </c>
    </row>
    <row r="5128" spans="1:14" x14ac:dyDescent="0.35">
      <c r="A5128" s="6" t="s">
        <v>5198</v>
      </c>
      <c r="B5128" s="19" t="s">
        <v>45</v>
      </c>
      <c r="C5128" s="19">
        <v>6</v>
      </c>
      <c r="D5128" s="20">
        <v>45810</v>
      </c>
      <c r="E5128" s="19" t="s">
        <v>36</v>
      </c>
      <c r="F5128" s="19" t="s">
        <v>14</v>
      </c>
      <c r="G5128" s="19" t="s">
        <v>8364</v>
      </c>
      <c r="H5128" s="19" t="s">
        <v>22</v>
      </c>
      <c r="I5128" s="19">
        <v>8</v>
      </c>
      <c r="J5128" s="19">
        <v>0</v>
      </c>
      <c r="K5128" s="19">
        <v>5</v>
      </c>
      <c r="L5128" s="19" t="s">
        <v>44</v>
      </c>
      <c r="M5128" s="21">
        <v>15.3</v>
      </c>
      <c r="N5128">
        <f t="shared" si="80"/>
        <v>0</v>
      </c>
    </row>
    <row r="5129" spans="1:14" x14ac:dyDescent="0.35">
      <c r="A5129" s="22" t="s">
        <v>5199</v>
      </c>
      <c r="B5129" s="23" t="s">
        <v>47</v>
      </c>
      <c r="C5129" s="23">
        <v>3</v>
      </c>
      <c r="D5129" s="24">
        <v>45735</v>
      </c>
      <c r="E5129" s="23" t="s">
        <v>8364</v>
      </c>
      <c r="F5129" s="23" t="s">
        <v>14</v>
      </c>
      <c r="G5129" s="23" t="s">
        <v>31</v>
      </c>
      <c r="H5129" s="23" t="s">
        <v>22</v>
      </c>
      <c r="I5129" s="23">
        <v>24</v>
      </c>
      <c r="J5129" s="23">
        <v>0</v>
      </c>
      <c r="K5129" s="23">
        <v>4</v>
      </c>
      <c r="L5129" s="23" t="s">
        <v>8363</v>
      </c>
      <c r="M5129" s="25">
        <v>6.9</v>
      </c>
      <c r="N5129">
        <f t="shared" si="80"/>
        <v>1</v>
      </c>
    </row>
    <row r="5130" spans="1:14" x14ac:dyDescent="0.35">
      <c r="A5130" s="6" t="s">
        <v>5200</v>
      </c>
      <c r="B5130" s="19" t="s">
        <v>51</v>
      </c>
      <c r="C5130" s="19">
        <v>4</v>
      </c>
      <c r="D5130" s="20">
        <v>45751</v>
      </c>
      <c r="E5130" s="19" t="s">
        <v>68</v>
      </c>
      <c r="F5130" s="19" t="s">
        <v>59</v>
      </c>
      <c r="G5130" s="19" t="s">
        <v>31</v>
      </c>
      <c r="H5130" s="19" t="s">
        <v>22</v>
      </c>
      <c r="I5130" s="19">
        <v>48</v>
      </c>
      <c r="J5130" s="19">
        <v>0</v>
      </c>
      <c r="K5130" s="19">
        <v>4</v>
      </c>
      <c r="L5130" s="19" t="s">
        <v>62</v>
      </c>
      <c r="M5130" s="21">
        <v>3.5</v>
      </c>
      <c r="N5130">
        <f t="shared" si="80"/>
        <v>1</v>
      </c>
    </row>
    <row r="5131" spans="1:14" x14ac:dyDescent="0.35">
      <c r="A5131" s="22" t="s">
        <v>5201</v>
      </c>
      <c r="B5131" s="23" t="s">
        <v>101</v>
      </c>
      <c r="C5131" s="23">
        <v>4</v>
      </c>
      <c r="D5131" s="24">
        <v>45770</v>
      </c>
      <c r="E5131" s="23" t="s">
        <v>36</v>
      </c>
      <c r="F5131" s="23" t="s">
        <v>40</v>
      </c>
      <c r="G5131" s="23" t="s">
        <v>31</v>
      </c>
      <c r="H5131" s="23" t="s">
        <v>22</v>
      </c>
      <c r="I5131" s="23">
        <v>8</v>
      </c>
      <c r="J5131" s="23">
        <v>1</v>
      </c>
      <c r="K5131" s="23">
        <v>1</v>
      </c>
      <c r="L5131" s="23" t="s">
        <v>62</v>
      </c>
      <c r="M5131" s="25">
        <v>8.9</v>
      </c>
      <c r="N5131">
        <f t="shared" si="80"/>
        <v>0</v>
      </c>
    </row>
    <row r="5132" spans="1:14" x14ac:dyDescent="0.35">
      <c r="A5132" s="6" t="s">
        <v>5202</v>
      </c>
      <c r="B5132" s="19" t="s">
        <v>51</v>
      </c>
      <c r="C5132" s="19">
        <v>8</v>
      </c>
      <c r="D5132" s="20">
        <v>45879</v>
      </c>
      <c r="E5132" s="19" t="s">
        <v>8364</v>
      </c>
      <c r="F5132" s="19" t="s">
        <v>59</v>
      </c>
      <c r="G5132" s="19" t="s">
        <v>15</v>
      </c>
      <c r="H5132" s="19" t="s">
        <v>8364</v>
      </c>
      <c r="I5132" s="19">
        <v>72</v>
      </c>
      <c r="J5132" s="19">
        <v>0</v>
      </c>
      <c r="K5132" s="19">
        <v>3</v>
      </c>
      <c r="L5132" s="19" t="s">
        <v>8363</v>
      </c>
      <c r="M5132" s="21"/>
      <c r="N5132">
        <f t="shared" si="80"/>
        <v>1</v>
      </c>
    </row>
    <row r="5133" spans="1:14" x14ac:dyDescent="0.35">
      <c r="A5133" s="22" t="s">
        <v>5203</v>
      </c>
      <c r="B5133" s="23" t="s">
        <v>39</v>
      </c>
      <c r="C5133" s="23">
        <v>5</v>
      </c>
      <c r="D5133" s="24">
        <v>45784</v>
      </c>
      <c r="E5133" s="23" t="s">
        <v>13</v>
      </c>
      <c r="F5133" s="23" t="s">
        <v>40</v>
      </c>
      <c r="G5133" s="23" t="s">
        <v>31</v>
      </c>
      <c r="H5133" s="23" t="s">
        <v>28</v>
      </c>
      <c r="I5133" s="23">
        <v>72</v>
      </c>
      <c r="J5133" s="23">
        <v>0</v>
      </c>
      <c r="K5133" s="23">
        <v>3</v>
      </c>
      <c r="L5133" s="23" t="s">
        <v>17</v>
      </c>
      <c r="M5133" s="25">
        <v>17.7</v>
      </c>
      <c r="N5133">
        <f t="shared" si="80"/>
        <v>1</v>
      </c>
    </row>
    <row r="5134" spans="1:14" x14ac:dyDescent="0.35">
      <c r="A5134" s="6" t="s">
        <v>5204</v>
      </c>
      <c r="B5134" s="19" t="s">
        <v>85</v>
      </c>
      <c r="C5134" s="19"/>
      <c r="D5134" s="20"/>
      <c r="E5134" s="19" t="s">
        <v>8364</v>
      </c>
      <c r="F5134" s="19" t="s">
        <v>37</v>
      </c>
      <c r="G5134" s="19" t="s">
        <v>27</v>
      </c>
      <c r="H5134" s="19" t="s">
        <v>22</v>
      </c>
      <c r="I5134" s="19">
        <v>4</v>
      </c>
      <c r="J5134" s="19">
        <v>1</v>
      </c>
      <c r="K5134" s="19">
        <v>5</v>
      </c>
      <c r="L5134" s="19" t="s">
        <v>33</v>
      </c>
      <c r="M5134" s="21">
        <v>12</v>
      </c>
      <c r="N5134">
        <f t="shared" si="80"/>
        <v>0</v>
      </c>
    </row>
    <row r="5135" spans="1:14" x14ac:dyDescent="0.35">
      <c r="A5135" s="22" t="s">
        <v>5205</v>
      </c>
      <c r="B5135" s="23" t="s">
        <v>69</v>
      </c>
      <c r="C5135" s="23">
        <v>9</v>
      </c>
      <c r="D5135" s="24">
        <v>45918</v>
      </c>
      <c r="E5135" s="23" t="s">
        <v>13</v>
      </c>
      <c r="F5135" s="23" t="s">
        <v>43</v>
      </c>
      <c r="G5135" s="23" t="s">
        <v>31</v>
      </c>
      <c r="H5135" s="23" t="s">
        <v>28</v>
      </c>
      <c r="I5135" s="23">
        <v>48</v>
      </c>
      <c r="J5135" s="23">
        <v>0</v>
      </c>
      <c r="K5135" s="23">
        <v>1</v>
      </c>
      <c r="L5135" s="23" t="s">
        <v>62</v>
      </c>
      <c r="M5135" s="25">
        <v>32.799999999999997</v>
      </c>
      <c r="N5135">
        <f t="shared" si="80"/>
        <v>1</v>
      </c>
    </row>
    <row r="5136" spans="1:14" x14ac:dyDescent="0.35">
      <c r="A5136" s="6" t="s">
        <v>5206</v>
      </c>
      <c r="B5136" s="19" t="s">
        <v>92</v>
      </c>
      <c r="C5136" s="19">
        <v>6</v>
      </c>
      <c r="D5136" s="20">
        <v>45819</v>
      </c>
      <c r="E5136" s="19" t="s">
        <v>25</v>
      </c>
      <c r="F5136" s="19" t="s">
        <v>43</v>
      </c>
      <c r="G5136" s="19" t="s">
        <v>27</v>
      </c>
      <c r="H5136" s="19" t="s">
        <v>22</v>
      </c>
      <c r="I5136" s="19">
        <v>24</v>
      </c>
      <c r="J5136" s="19">
        <v>0</v>
      </c>
      <c r="K5136" s="19">
        <v>5</v>
      </c>
      <c r="L5136" s="19" t="s">
        <v>62</v>
      </c>
      <c r="M5136" s="21">
        <v>8.1999999999999993</v>
      </c>
      <c r="N5136">
        <f t="shared" si="80"/>
        <v>1</v>
      </c>
    </row>
    <row r="5137" spans="1:14" x14ac:dyDescent="0.35">
      <c r="A5137" s="22" t="s">
        <v>5207</v>
      </c>
      <c r="B5137" s="23" t="s">
        <v>47</v>
      </c>
      <c r="C5137" s="23">
        <v>10</v>
      </c>
      <c r="D5137" s="24">
        <v>45948</v>
      </c>
      <c r="E5137" s="23" t="s">
        <v>36</v>
      </c>
      <c r="F5137" s="23" t="s">
        <v>59</v>
      </c>
      <c r="G5137" s="23" t="s">
        <v>21</v>
      </c>
      <c r="H5137" s="23" t="s">
        <v>28</v>
      </c>
      <c r="I5137" s="23">
        <v>24</v>
      </c>
      <c r="J5137" s="23">
        <v>0</v>
      </c>
      <c r="K5137" s="23">
        <v>4</v>
      </c>
      <c r="L5137" s="23" t="s">
        <v>55</v>
      </c>
      <c r="M5137" s="25">
        <v>3</v>
      </c>
      <c r="N5137">
        <f t="shared" si="80"/>
        <v>1</v>
      </c>
    </row>
    <row r="5138" spans="1:14" x14ac:dyDescent="0.35">
      <c r="A5138" s="6" t="s">
        <v>5208</v>
      </c>
      <c r="B5138" s="19" t="s">
        <v>51</v>
      </c>
      <c r="C5138" s="19">
        <v>2</v>
      </c>
      <c r="D5138" s="20">
        <v>45703</v>
      </c>
      <c r="E5138" s="19" t="s">
        <v>13</v>
      </c>
      <c r="F5138" s="19" t="s">
        <v>43</v>
      </c>
      <c r="G5138" s="19" t="s">
        <v>27</v>
      </c>
      <c r="H5138" s="19" t="s">
        <v>22</v>
      </c>
      <c r="I5138" s="19">
        <v>48</v>
      </c>
      <c r="J5138" s="19">
        <v>0</v>
      </c>
      <c r="K5138" s="19">
        <v>2</v>
      </c>
      <c r="L5138" s="19" t="s">
        <v>62</v>
      </c>
      <c r="M5138" s="21">
        <v>3.8</v>
      </c>
      <c r="N5138">
        <f t="shared" si="80"/>
        <v>1</v>
      </c>
    </row>
    <row r="5139" spans="1:14" x14ac:dyDescent="0.35">
      <c r="A5139" s="22" t="s">
        <v>5209</v>
      </c>
      <c r="B5139" s="23" t="s">
        <v>158</v>
      </c>
      <c r="C5139" s="23">
        <v>3</v>
      </c>
      <c r="D5139" s="24">
        <v>45735</v>
      </c>
      <c r="E5139" s="23" t="s">
        <v>20</v>
      </c>
      <c r="F5139" s="23" t="s">
        <v>40</v>
      </c>
      <c r="G5139" s="23" t="s">
        <v>31</v>
      </c>
      <c r="H5139" s="23" t="s">
        <v>8364</v>
      </c>
      <c r="I5139" s="23">
        <v>48</v>
      </c>
      <c r="J5139" s="23">
        <v>0</v>
      </c>
      <c r="K5139" s="23">
        <v>4</v>
      </c>
      <c r="L5139" s="23" t="s">
        <v>44</v>
      </c>
      <c r="M5139" s="25">
        <v>5</v>
      </c>
      <c r="N5139">
        <f t="shared" si="80"/>
        <v>1</v>
      </c>
    </row>
    <row r="5140" spans="1:14" x14ac:dyDescent="0.35">
      <c r="A5140" s="6" t="s">
        <v>5210</v>
      </c>
      <c r="B5140" s="19" t="s">
        <v>89</v>
      </c>
      <c r="C5140" s="19">
        <v>11</v>
      </c>
      <c r="D5140" s="20">
        <v>45983</v>
      </c>
      <c r="E5140" s="19" t="s">
        <v>13</v>
      </c>
      <c r="F5140" s="19" t="s">
        <v>40</v>
      </c>
      <c r="G5140" s="19" t="s">
        <v>31</v>
      </c>
      <c r="H5140" s="19" t="s">
        <v>28</v>
      </c>
      <c r="I5140" s="19">
        <v>72</v>
      </c>
      <c r="J5140" s="19">
        <v>0</v>
      </c>
      <c r="K5140" s="19">
        <v>4</v>
      </c>
      <c r="L5140" s="19" t="s">
        <v>8363</v>
      </c>
      <c r="M5140" s="21">
        <v>3.1</v>
      </c>
      <c r="N5140">
        <f t="shared" si="80"/>
        <v>1</v>
      </c>
    </row>
    <row r="5141" spans="1:14" x14ac:dyDescent="0.35">
      <c r="A5141" s="22" t="s">
        <v>5211</v>
      </c>
      <c r="B5141" s="23" t="s">
        <v>34</v>
      </c>
      <c r="C5141" s="23">
        <v>2</v>
      </c>
      <c r="D5141" s="24">
        <v>45699</v>
      </c>
      <c r="E5141" s="23" t="s">
        <v>13</v>
      </c>
      <c r="F5141" s="23" t="s">
        <v>43</v>
      </c>
      <c r="G5141" s="23" t="s">
        <v>27</v>
      </c>
      <c r="H5141" s="23" t="s">
        <v>16</v>
      </c>
      <c r="I5141" s="23">
        <v>24</v>
      </c>
      <c r="J5141" s="23">
        <v>0</v>
      </c>
      <c r="K5141" s="23">
        <v>5</v>
      </c>
      <c r="L5141" s="23" t="s">
        <v>8363</v>
      </c>
      <c r="M5141" s="25">
        <v>21.4</v>
      </c>
      <c r="N5141">
        <f t="shared" si="80"/>
        <v>1</v>
      </c>
    </row>
    <row r="5142" spans="1:14" x14ac:dyDescent="0.35">
      <c r="A5142" s="6" t="s">
        <v>5212</v>
      </c>
      <c r="B5142" s="19" t="s">
        <v>81</v>
      </c>
      <c r="C5142" s="19">
        <v>11</v>
      </c>
      <c r="D5142" s="20">
        <v>45966</v>
      </c>
      <c r="E5142" s="19" t="s">
        <v>8364</v>
      </c>
      <c r="F5142" s="19" t="s">
        <v>26</v>
      </c>
      <c r="G5142" s="19" t="s">
        <v>27</v>
      </c>
      <c r="H5142" s="19" t="s">
        <v>22</v>
      </c>
      <c r="I5142" s="19">
        <v>4</v>
      </c>
      <c r="J5142" s="19">
        <v>0</v>
      </c>
      <c r="K5142" s="19">
        <v>3</v>
      </c>
      <c r="L5142" s="19" t="s">
        <v>38</v>
      </c>
      <c r="M5142" s="21">
        <v>1.4</v>
      </c>
      <c r="N5142">
        <f t="shared" si="80"/>
        <v>1</v>
      </c>
    </row>
    <row r="5143" spans="1:14" x14ac:dyDescent="0.35">
      <c r="A5143" s="22" t="s">
        <v>5213</v>
      </c>
      <c r="B5143" s="23" t="s">
        <v>53</v>
      </c>
      <c r="C5143" s="23">
        <v>3</v>
      </c>
      <c r="D5143" s="24">
        <v>45724</v>
      </c>
      <c r="E5143" s="23" t="s">
        <v>13</v>
      </c>
      <c r="F5143" s="23" t="s">
        <v>37</v>
      </c>
      <c r="G5143" s="23" t="s">
        <v>21</v>
      </c>
      <c r="H5143" s="23" t="s">
        <v>22</v>
      </c>
      <c r="I5143" s="23">
        <v>8</v>
      </c>
      <c r="J5143" s="23">
        <v>3</v>
      </c>
      <c r="K5143" s="23">
        <v>5</v>
      </c>
      <c r="L5143" s="23" t="s">
        <v>33</v>
      </c>
      <c r="M5143" s="25">
        <v>30.1</v>
      </c>
      <c r="N5143">
        <f t="shared" si="80"/>
        <v>0</v>
      </c>
    </row>
    <row r="5144" spans="1:14" x14ac:dyDescent="0.35">
      <c r="A5144" s="6" t="s">
        <v>5214</v>
      </c>
      <c r="B5144" s="19" t="s">
        <v>78</v>
      </c>
      <c r="C5144" s="19">
        <v>9</v>
      </c>
      <c r="D5144" s="20">
        <v>45915</v>
      </c>
      <c r="E5144" s="19" t="s">
        <v>25</v>
      </c>
      <c r="F5144" s="19" t="s">
        <v>14</v>
      </c>
      <c r="G5144" s="19" t="s">
        <v>8364</v>
      </c>
      <c r="H5144" s="19" t="s">
        <v>32</v>
      </c>
      <c r="I5144" s="19">
        <v>48</v>
      </c>
      <c r="J5144" s="19">
        <v>0</v>
      </c>
      <c r="K5144" s="19">
        <v>4</v>
      </c>
      <c r="L5144" s="19" t="s">
        <v>55</v>
      </c>
      <c r="M5144" s="21">
        <v>27.7</v>
      </c>
      <c r="N5144">
        <f t="shared" si="80"/>
        <v>1</v>
      </c>
    </row>
    <row r="5145" spans="1:14" x14ac:dyDescent="0.35">
      <c r="A5145" s="22" t="s">
        <v>5215</v>
      </c>
      <c r="B5145" s="23" t="s">
        <v>49</v>
      </c>
      <c r="C5145" s="23">
        <v>10</v>
      </c>
      <c r="D5145" s="24">
        <v>45932</v>
      </c>
      <c r="E5145" s="23" t="s">
        <v>68</v>
      </c>
      <c r="F5145" s="23" t="s">
        <v>14</v>
      </c>
      <c r="G5145" s="23" t="s">
        <v>21</v>
      </c>
      <c r="H5145" s="23" t="s">
        <v>8364</v>
      </c>
      <c r="I5145" s="23">
        <v>24</v>
      </c>
      <c r="J5145" s="23">
        <v>1</v>
      </c>
      <c r="K5145" s="23">
        <v>5</v>
      </c>
      <c r="L5145" s="23" t="s">
        <v>33</v>
      </c>
      <c r="M5145" s="25">
        <v>7.6</v>
      </c>
      <c r="N5145">
        <f t="shared" si="80"/>
        <v>1</v>
      </c>
    </row>
    <row r="5146" spans="1:14" x14ac:dyDescent="0.35">
      <c r="A5146" s="6" t="s">
        <v>5216</v>
      </c>
      <c r="B5146" s="19" t="s">
        <v>34</v>
      </c>
      <c r="C5146" s="19">
        <v>11</v>
      </c>
      <c r="D5146" s="20">
        <v>45990</v>
      </c>
      <c r="E5146" s="19" t="s">
        <v>68</v>
      </c>
      <c r="F5146" s="19" t="s">
        <v>14</v>
      </c>
      <c r="G5146" s="19" t="s">
        <v>15</v>
      </c>
      <c r="H5146" s="19" t="s">
        <v>22</v>
      </c>
      <c r="I5146" s="19">
        <v>24</v>
      </c>
      <c r="J5146" s="19">
        <v>3</v>
      </c>
      <c r="K5146" s="19">
        <v>4</v>
      </c>
      <c r="L5146" s="19" t="s">
        <v>17</v>
      </c>
      <c r="M5146" s="21">
        <v>11.8</v>
      </c>
      <c r="N5146">
        <f t="shared" si="80"/>
        <v>1</v>
      </c>
    </row>
    <row r="5147" spans="1:14" x14ac:dyDescent="0.35">
      <c r="A5147" s="22" t="s">
        <v>5217</v>
      </c>
      <c r="B5147" s="23" t="s">
        <v>99</v>
      </c>
      <c r="C5147" s="23"/>
      <c r="D5147" s="24"/>
      <c r="E5147" s="23" t="s">
        <v>68</v>
      </c>
      <c r="F5147" s="23" t="s">
        <v>37</v>
      </c>
      <c r="G5147" s="23" t="s">
        <v>8364</v>
      </c>
      <c r="H5147" s="23" t="s">
        <v>22</v>
      </c>
      <c r="I5147" s="23">
        <v>72</v>
      </c>
      <c r="J5147" s="23">
        <v>1</v>
      </c>
      <c r="K5147" s="23">
        <v>5</v>
      </c>
      <c r="L5147" s="23" t="s">
        <v>8363</v>
      </c>
      <c r="M5147" s="25">
        <v>4.0999999999999996</v>
      </c>
      <c r="N5147">
        <f t="shared" si="80"/>
        <v>1</v>
      </c>
    </row>
    <row r="5148" spans="1:14" x14ac:dyDescent="0.35">
      <c r="A5148" s="6" t="s">
        <v>5218</v>
      </c>
      <c r="B5148" s="19" t="s">
        <v>65</v>
      </c>
      <c r="C5148" s="19">
        <v>3</v>
      </c>
      <c r="D5148" s="20">
        <v>45735</v>
      </c>
      <c r="E5148" s="19" t="s">
        <v>25</v>
      </c>
      <c r="F5148" s="19" t="s">
        <v>14</v>
      </c>
      <c r="G5148" s="19" t="s">
        <v>31</v>
      </c>
      <c r="H5148" s="19" t="s">
        <v>22</v>
      </c>
      <c r="I5148" s="19">
        <v>4</v>
      </c>
      <c r="J5148" s="19">
        <v>0</v>
      </c>
      <c r="K5148" s="19">
        <v>5</v>
      </c>
      <c r="L5148" s="19" t="s">
        <v>8363</v>
      </c>
      <c r="M5148" s="21">
        <v>9.1</v>
      </c>
      <c r="N5148">
        <f t="shared" si="80"/>
        <v>0</v>
      </c>
    </row>
    <row r="5149" spans="1:14" x14ac:dyDescent="0.35">
      <c r="A5149" s="22" t="s">
        <v>5219</v>
      </c>
      <c r="B5149" s="23" t="s">
        <v>146</v>
      </c>
      <c r="C5149" s="23">
        <v>1</v>
      </c>
      <c r="D5149" s="24">
        <v>45674</v>
      </c>
      <c r="E5149" s="23" t="s">
        <v>13</v>
      </c>
      <c r="F5149" s="23" t="s">
        <v>37</v>
      </c>
      <c r="G5149" s="23" t="s">
        <v>21</v>
      </c>
      <c r="H5149" s="23" t="s">
        <v>28</v>
      </c>
      <c r="I5149" s="23">
        <v>72</v>
      </c>
      <c r="J5149" s="23">
        <v>0</v>
      </c>
      <c r="K5149" s="23">
        <v>3</v>
      </c>
      <c r="L5149" s="23" t="s">
        <v>62</v>
      </c>
      <c r="M5149" s="25">
        <v>6.6</v>
      </c>
      <c r="N5149">
        <f t="shared" si="80"/>
        <v>1</v>
      </c>
    </row>
    <row r="5150" spans="1:14" x14ac:dyDescent="0.35">
      <c r="A5150" s="6" t="s">
        <v>5220</v>
      </c>
      <c r="B5150" s="19" t="s">
        <v>139</v>
      </c>
      <c r="C5150" s="19">
        <v>12</v>
      </c>
      <c r="D5150" s="20">
        <v>46011</v>
      </c>
      <c r="E5150" s="19" t="s">
        <v>13</v>
      </c>
      <c r="F5150" s="19" t="s">
        <v>40</v>
      </c>
      <c r="G5150" s="19" t="s">
        <v>15</v>
      </c>
      <c r="H5150" s="19" t="s">
        <v>32</v>
      </c>
      <c r="I5150" s="19">
        <v>24</v>
      </c>
      <c r="J5150" s="19">
        <v>0</v>
      </c>
      <c r="K5150" s="19">
        <v>2</v>
      </c>
      <c r="L5150" s="19" t="s">
        <v>44</v>
      </c>
      <c r="M5150" s="21">
        <v>14.6</v>
      </c>
      <c r="N5150">
        <f t="shared" si="80"/>
        <v>1</v>
      </c>
    </row>
    <row r="5151" spans="1:14" x14ac:dyDescent="0.35">
      <c r="A5151" s="22" t="s">
        <v>5221</v>
      </c>
      <c r="B5151" s="23" t="s">
        <v>34</v>
      </c>
      <c r="C5151" s="23">
        <v>9</v>
      </c>
      <c r="D5151" s="24">
        <v>45902</v>
      </c>
      <c r="E5151" s="23" t="s">
        <v>20</v>
      </c>
      <c r="F5151" s="23" t="s">
        <v>26</v>
      </c>
      <c r="G5151" s="23" t="s">
        <v>21</v>
      </c>
      <c r="H5151" s="23" t="s">
        <v>28</v>
      </c>
      <c r="I5151" s="23">
        <v>48</v>
      </c>
      <c r="J5151" s="23">
        <v>0</v>
      </c>
      <c r="K5151" s="23">
        <v>3</v>
      </c>
      <c r="L5151" s="23" t="s">
        <v>8363</v>
      </c>
      <c r="M5151" s="25"/>
      <c r="N5151">
        <f t="shared" si="80"/>
        <v>1</v>
      </c>
    </row>
    <row r="5152" spans="1:14" x14ac:dyDescent="0.35">
      <c r="A5152" s="6" t="s">
        <v>5222</v>
      </c>
      <c r="B5152" s="19" t="s">
        <v>92</v>
      </c>
      <c r="C5152" s="19">
        <v>12</v>
      </c>
      <c r="D5152" s="20">
        <v>45992</v>
      </c>
      <c r="E5152" s="19" t="s">
        <v>25</v>
      </c>
      <c r="F5152" s="19" t="s">
        <v>26</v>
      </c>
      <c r="G5152" s="19" t="s">
        <v>31</v>
      </c>
      <c r="H5152" s="19" t="s">
        <v>22</v>
      </c>
      <c r="I5152" s="19">
        <v>72</v>
      </c>
      <c r="J5152" s="19">
        <v>1</v>
      </c>
      <c r="K5152" s="19">
        <v>5</v>
      </c>
      <c r="L5152" s="19" t="s">
        <v>44</v>
      </c>
      <c r="M5152" s="21">
        <v>7.1</v>
      </c>
      <c r="N5152">
        <f t="shared" si="80"/>
        <v>1</v>
      </c>
    </row>
    <row r="5153" spans="1:14" x14ac:dyDescent="0.35">
      <c r="A5153" s="22" t="s">
        <v>5223</v>
      </c>
      <c r="B5153" s="23" t="s">
        <v>41</v>
      </c>
      <c r="C5153" s="23">
        <v>9</v>
      </c>
      <c r="D5153" s="24">
        <v>45910</v>
      </c>
      <c r="E5153" s="23" t="s">
        <v>8364</v>
      </c>
      <c r="F5153" s="23" t="s">
        <v>26</v>
      </c>
      <c r="G5153" s="23" t="s">
        <v>21</v>
      </c>
      <c r="H5153" s="23" t="s">
        <v>32</v>
      </c>
      <c r="I5153" s="23">
        <v>72</v>
      </c>
      <c r="J5153" s="23">
        <v>3</v>
      </c>
      <c r="K5153" s="23">
        <v>3</v>
      </c>
      <c r="L5153" s="23" t="s">
        <v>33</v>
      </c>
      <c r="M5153" s="25">
        <v>5</v>
      </c>
      <c r="N5153">
        <f t="shared" si="80"/>
        <v>1</v>
      </c>
    </row>
    <row r="5154" spans="1:14" x14ac:dyDescent="0.35">
      <c r="A5154" s="6" t="s">
        <v>5224</v>
      </c>
      <c r="B5154" s="19" t="s">
        <v>126</v>
      </c>
      <c r="C5154" s="19">
        <v>3</v>
      </c>
      <c r="D5154" s="20">
        <v>45743</v>
      </c>
      <c r="E5154" s="19" t="s">
        <v>25</v>
      </c>
      <c r="F5154" s="19" t="s">
        <v>14</v>
      </c>
      <c r="G5154" s="19" t="s">
        <v>31</v>
      </c>
      <c r="H5154" s="19" t="s">
        <v>8364</v>
      </c>
      <c r="I5154" s="19">
        <v>72</v>
      </c>
      <c r="J5154" s="19">
        <v>0</v>
      </c>
      <c r="K5154" s="19">
        <v>5</v>
      </c>
      <c r="L5154" s="19" t="s">
        <v>8363</v>
      </c>
      <c r="M5154" s="21">
        <v>3.2</v>
      </c>
      <c r="N5154">
        <f t="shared" si="80"/>
        <v>1</v>
      </c>
    </row>
    <row r="5155" spans="1:14" x14ac:dyDescent="0.35">
      <c r="A5155" s="22" t="s">
        <v>5225</v>
      </c>
      <c r="B5155" s="23" t="s">
        <v>34</v>
      </c>
      <c r="C5155" s="23">
        <v>6</v>
      </c>
      <c r="D5155" s="24">
        <v>45820</v>
      </c>
      <c r="E5155" s="23" t="s">
        <v>13</v>
      </c>
      <c r="F5155" s="23" t="s">
        <v>43</v>
      </c>
      <c r="G5155" s="23" t="s">
        <v>21</v>
      </c>
      <c r="H5155" s="23" t="s">
        <v>16</v>
      </c>
      <c r="I5155" s="23">
        <v>72</v>
      </c>
      <c r="J5155" s="23">
        <v>0</v>
      </c>
      <c r="K5155" s="23">
        <v>4</v>
      </c>
      <c r="L5155" s="23" t="s">
        <v>44</v>
      </c>
      <c r="M5155" s="25">
        <v>13.4</v>
      </c>
      <c r="N5155">
        <f t="shared" si="80"/>
        <v>1</v>
      </c>
    </row>
    <row r="5156" spans="1:14" x14ac:dyDescent="0.35">
      <c r="A5156" s="6" t="s">
        <v>5226</v>
      </c>
      <c r="B5156" s="19" t="s">
        <v>57</v>
      </c>
      <c r="C5156" s="19">
        <v>6</v>
      </c>
      <c r="D5156" s="20">
        <v>45830</v>
      </c>
      <c r="E5156" s="19" t="s">
        <v>25</v>
      </c>
      <c r="F5156" s="19" t="s">
        <v>8364</v>
      </c>
      <c r="G5156" s="19" t="s">
        <v>15</v>
      </c>
      <c r="H5156" s="19" t="s">
        <v>28</v>
      </c>
      <c r="I5156" s="19">
        <v>8</v>
      </c>
      <c r="J5156" s="19">
        <v>0</v>
      </c>
      <c r="K5156" s="19">
        <v>4</v>
      </c>
      <c r="L5156" s="19" t="s">
        <v>8363</v>
      </c>
      <c r="M5156" s="21">
        <v>19.399999999999999</v>
      </c>
      <c r="N5156">
        <f t="shared" si="80"/>
        <v>0</v>
      </c>
    </row>
    <row r="5157" spans="1:14" x14ac:dyDescent="0.35">
      <c r="A5157" s="22" t="s">
        <v>5227</v>
      </c>
      <c r="B5157" s="23" t="s">
        <v>81</v>
      </c>
      <c r="C5157" s="23">
        <v>3</v>
      </c>
      <c r="D5157" s="24">
        <v>45744</v>
      </c>
      <c r="E5157" s="23" t="s">
        <v>68</v>
      </c>
      <c r="F5157" s="23" t="s">
        <v>59</v>
      </c>
      <c r="G5157" s="23" t="s">
        <v>21</v>
      </c>
      <c r="H5157" s="23" t="s">
        <v>22</v>
      </c>
      <c r="I5157" s="23">
        <v>24</v>
      </c>
      <c r="J5157" s="23">
        <v>0</v>
      </c>
      <c r="K5157" s="23">
        <v>4</v>
      </c>
      <c r="L5157" s="23" t="s">
        <v>62</v>
      </c>
      <c r="M5157" s="25">
        <v>7.8</v>
      </c>
      <c r="N5157">
        <f t="shared" si="80"/>
        <v>1</v>
      </c>
    </row>
    <row r="5158" spans="1:14" x14ac:dyDescent="0.35">
      <c r="A5158" s="6" t="s">
        <v>5228</v>
      </c>
      <c r="B5158" s="19" t="s">
        <v>181</v>
      </c>
      <c r="C5158" s="19">
        <v>7</v>
      </c>
      <c r="D5158" s="20">
        <v>45848</v>
      </c>
      <c r="E5158" s="19" t="s">
        <v>20</v>
      </c>
      <c r="F5158" s="19" t="s">
        <v>40</v>
      </c>
      <c r="G5158" s="19" t="s">
        <v>27</v>
      </c>
      <c r="H5158" s="19" t="s">
        <v>16</v>
      </c>
      <c r="I5158" s="19">
        <v>4</v>
      </c>
      <c r="J5158" s="19">
        <v>0</v>
      </c>
      <c r="K5158" s="19">
        <v>5</v>
      </c>
      <c r="L5158" s="19" t="s">
        <v>33</v>
      </c>
      <c r="M5158" s="21">
        <v>6.5</v>
      </c>
      <c r="N5158">
        <f t="shared" si="80"/>
        <v>0</v>
      </c>
    </row>
    <row r="5159" spans="1:14" x14ac:dyDescent="0.35">
      <c r="A5159" s="22" t="s">
        <v>5229</v>
      </c>
      <c r="B5159" s="23" t="s">
        <v>41</v>
      </c>
      <c r="C5159" s="23">
        <v>1</v>
      </c>
      <c r="D5159" s="24">
        <v>45671</v>
      </c>
      <c r="E5159" s="23" t="s">
        <v>20</v>
      </c>
      <c r="F5159" s="23" t="s">
        <v>37</v>
      </c>
      <c r="G5159" s="23" t="s">
        <v>15</v>
      </c>
      <c r="H5159" s="23" t="s">
        <v>22</v>
      </c>
      <c r="I5159" s="23">
        <v>24</v>
      </c>
      <c r="J5159" s="23">
        <v>0</v>
      </c>
      <c r="K5159" s="23">
        <v>5</v>
      </c>
      <c r="L5159" s="23" t="s">
        <v>55</v>
      </c>
      <c r="M5159" s="25">
        <v>11.5</v>
      </c>
      <c r="N5159">
        <f t="shared" si="80"/>
        <v>1</v>
      </c>
    </row>
    <row r="5160" spans="1:14" x14ac:dyDescent="0.35">
      <c r="A5160" s="6" t="s">
        <v>5230</v>
      </c>
      <c r="B5160" s="19" t="s">
        <v>92</v>
      </c>
      <c r="C5160" s="19">
        <v>3</v>
      </c>
      <c r="D5160" s="20">
        <v>45746</v>
      </c>
      <c r="E5160" s="19" t="s">
        <v>20</v>
      </c>
      <c r="F5160" s="19" t="s">
        <v>40</v>
      </c>
      <c r="G5160" s="19" t="s">
        <v>8364</v>
      </c>
      <c r="H5160" s="19" t="s">
        <v>16</v>
      </c>
      <c r="I5160" s="19">
        <v>8</v>
      </c>
      <c r="J5160" s="19">
        <v>0</v>
      </c>
      <c r="K5160" s="19">
        <v>5</v>
      </c>
      <c r="L5160" s="19" t="s">
        <v>17</v>
      </c>
      <c r="M5160" s="21">
        <v>27.8</v>
      </c>
      <c r="N5160">
        <f t="shared" si="80"/>
        <v>0</v>
      </c>
    </row>
    <row r="5161" spans="1:14" x14ac:dyDescent="0.35">
      <c r="A5161" s="22" t="s">
        <v>5231</v>
      </c>
      <c r="B5161" s="23" t="s">
        <v>81</v>
      </c>
      <c r="C5161" s="23">
        <v>5</v>
      </c>
      <c r="D5161" s="24">
        <v>45798</v>
      </c>
      <c r="E5161" s="23" t="s">
        <v>20</v>
      </c>
      <c r="F5161" s="23" t="s">
        <v>59</v>
      </c>
      <c r="G5161" s="23" t="s">
        <v>8364</v>
      </c>
      <c r="H5161" s="23" t="s">
        <v>16</v>
      </c>
      <c r="I5161" s="23">
        <v>48</v>
      </c>
      <c r="J5161" s="23">
        <v>1</v>
      </c>
      <c r="K5161" s="23">
        <v>3</v>
      </c>
      <c r="L5161" s="23" t="s">
        <v>55</v>
      </c>
      <c r="M5161" s="25">
        <v>23.8</v>
      </c>
      <c r="N5161">
        <f t="shared" si="80"/>
        <v>1</v>
      </c>
    </row>
    <row r="5162" spans="1:14" x14ac:dyDescent="0.35">
      <c r="A5162" s="6" t="s">
        <v>5232</v>
      </c>
      <c r="B5162" s="19" t="s">
        <v>89</v>
      </c>
      <c r="C5162" s="19">
        <v>12</v>
      </c>
      <c r="D5162" s="20">
        <v>46018</v>
      </c>
      <c r="E5162" s="19" t="s">
        <v>36</v>
      </c>
      <c r="F5162" s="19" t="s">
        <v>14</v>
      </c>
      <c r="G5162" s="19" t="s">
        <v>15</v>
      </c>
      <c r="H5162" s="19" t="s">
        <v>8364</v>
      </c>
      <c r="I5162" s="19">
        <v>8</v>
      </c>
      <c r="J5162" s="19">
        <v>0</v>
      </c>
      <c r="K5162" s="19">
        <v>5</v>
      </c>
      <c r="L5162" s="19" t="s">
        <v>62</v>
      </c>
      <c r="M5162" s="21">
        <v>6.2</v>
      </c>
      <c r="N5162">
        <f t="shared" si="80"/>
        <v>1</v>
      </c>
    </row>
    <row r="5163" spans="1:14" x14ac:dyDescent="0.35">
      <c r="A5163" s="22" t="s">
        <v>5233</v>
      </c>
      <c r="B5163" s="23" t="s">
        <v>87</v>
      </c>
      <c r="C5163" s="23">
        <v>12</v>
      </c>
      <c r="D5163" s="24">
        <v>45992</v>
      </c>
      <c r="E5163" s="23" t="s">
        <v>13</v>
      </c>
      <c r="F5163" s="23" t="s">
        <v>59</v>
      </c>
      <c r="G5163" s="23" t="s">
        <v>8364</v>
      </c>
      <c r="H5163" s="23" t="s">
        <v>16</v>
      </c>
      <c r="I5163" s="23">
        <v>24</v>
      </c>
      <c r="J5163" s="23">
        <v>0</v>
      </c>
      <c r="K5163" s="23">
        <v>4</v>
      </c>
      <c r="L5163" s="23" t="s">
        <v>38</v>
      </c>
      <c r="M5163" s="25">
        <v>14.4</v>
      </c>
      <c r="N5163">
        <f t="shared" si="80"/>
        <v>1</v>
      </c>
    </row>
    <row r="5164" spans="1:14" x14ac:dyDescent="0.35">
      <c r="A5164" s="6" t="s">
        <v>5234</v>
      </c>
      <c r="B5164" s="19" t="s">
        <v>34</v>
      </c>
      <c r="C5164" s="19">
        <v>10</v>
      </c>
      <c r="D5164" s="20">
        <v>45947</v>
      </c>
      <c r="E5164" s="19" t="s">
        <v>25</v>
      </c>
      <c r="F5164" s="19" t="s">
        <v>8364</v>
      </c>
      <c r="G5164" s="19" t="s">
        <v>31</v>
      </c>
      <c r="H5164" s="19" t="s">
        <v>22</v>
      </c>
      <c r="I5164" s="19">
        <v>8</v>
      </c>
      <c r="J5164" s="19">
        <v>0</v>
      </c>
      <c r="K5164" s="19">
        <v>4</v>
      </c>
      <c r="L5164" s="19" t="s">
        <v>75</v>
      </c>
      <c r="M5164" s="21">
        <v>16.100000000000001</v>
      </c>
      <c r="N5164">
        <f t="shared" si="80"/>
        <v>0</v>
      </c>
    </row>
    <row r="5165" spans="1:14" x14ac:dyDescent="0.35">
      <c r="A5165" s="22" t="s">
        <v>5235</v>
      </c>
      <c r="B5165" s="23" t="s">
        <v>51</v>
      </c>
      <c r="C5165" s="23">
        <v>8</v>
      </c>
      <c r="D5165" s="24">
        <v>45870</v>
      </c>
      <c r="E5165" s="23" t="s">
        <v>20</v>
      </c>
      <c r="F5165" s="23" t="s">
        <v>8364</v>
      </c>
      <c r="G5165" s="23" t="s">
        <v>31</v>
      </c>
      <c r="H5165" s="23" t="s">
        <v>22</v>
      </c>
      <c r="I5165" s="23">
        <v>4</v>
      </c>
      <c r="J5165" s="23">
        <v>0</v>
      </c>
      <c r="K5165" s="23">
        <v>5</v>
      </c>
      <c r="L5165" s="23" t="s">
        <v>62</v>
      </c>
      <c r="M5165" s="25">
        <v>1</v>
      </c>
      <c r="N5165">
        <f t="shared" si="80"/>
        <v>1</v>
      </c>
    </row>
    <row r="5166" spans="1:14" x14ac:dyDescent="0.35">
      <c r="A5166" s="6" t="s">
        <v>5236</v>
      </c>
      <c r="B5166" s="19" t="s">
        <v>89</v>
      </c>
      <c r="C5166" s="19">
        <v>4</v>
      </c>
      <c r="D5166" s="20">
        <v>45763</v>
      </c>
      <c r="E5166" s="19" t="s">
        <v>25</v>
      </c>
      <c r="F5166" s="19" t="s">
        <v>8364</v>
      </c>
      <c r="G5166" s="19" t="s">
        <v>31</v>
      </c>
      <c r="H5166" s="19" t="s">
        <v>22</v>
      </c>
      <c r="I5166" s="19">
        <v>8</v>
      </c>
      <c r="J5166" s="19">
        <v>0</v>
      </c>
      <c r="K5166" s="19">
        <v>5</v>
      </c>
      <c r="L5166" s="19" t="s">
        <v>8363</v>
      </c>
      <c r="M5166" s="21">
        <v>8.9</v>
      </c>
      <c r="N5166">
        <f t="shared" si="80"/>
        <v>0</v>
      </c>
    </row>
    <row r="5167" spans="1:14" x14ac:dyDescent="0.35">
      <c r="A5167" s="22" t="s">
        <v>5237</v>
      </c>
      <c r="B5167" s="23" t="s">
        <v>39</v>
      </c>
      <c r="C5167" s="23">
        <v>3</v>
      </c>
      <c r="D5167" s="24">
        <v>45736</v>
      </c>
      <c r="E5167" s="23" t="s">
        <v>68</v>
      </c>
      <c r="F5167" s="23" t="s">
        <v>37</v>
      </c>
      <c r="G5167" s="23" t="s">
        <v>27</v>
      </c>
      <c r="H5167" s="23" t="s">
        <v>8364</v>
      </c>
      <c r="I5167" s="23">
        <v>8</v>
      </c>
      <c r="J5167" s="23">
        <v>0</v>
      </c>
      <c r="K5167" s="23">
        <v>4</v>
      </c>
      <c r="L5167" s="23" t="s">
        <v>8363</v>
      </c>
      <c r="M5167" s="25">
        <v>4</v>
      </c>
      <c r="N5167">
        <f t="shared" si="80"/>
        <v>1</v>
      </c>
    </row>
    <row r="5168" spans="1:14" x14ac:dyDescent="0.35">
      <c r="A5168" s="6" t="s">
        <v>5238</v>
      </c>
      <c r="B5168" s="19" t="s">
        <v>101</v>
      </c>
      <c r="C5168" s="19">
        <v>6</v>
      </c>
      <c r="D5168" s="20">
        <v>45823</v>
      </c>
      <c r="E5168" s="19" t="s">
        <v>13</v>
      </c>
      <c r="F5168" s="19" t="s">
        <v>14</v>
      </c>
      <c r="G5168" s="19" t="s">
        <v>31</v>
      </c>
      <c r="H5168" s="19" t="s">
        <v>22</v>
      </c>
      <c r="I5168" s="19">
        <v>48</v>
      </c>
      <c r="J5168" s="19">
        <v>0</v>
      </c>
      <c r="K5168" s="19">
        <v>5</v>
      </c>
      <c r="L5168" s="19" t="s">
        <v>75</v>
      </c>
      <c r="M5168" s="21">
        <v>17.8</v>
      </c>
      <c r="N5168">
        <f t="shared" si="80"/>
        <v>1</v>
      </c>
    </row>
    <row r="5169" spans="1:14" x14ac:dyDescent="0.35">
      <c r="A5169" s="22" t="s">
        <v>5239</v>
      </c>
      <c r="B5169" s="23" t="s">
        <v>143</v>
      </c>
      <c r="C5169" s="23">
        <v>2</v>
      </c>
      <c r="D5169" s="24">
        <v>45716</v>
      </c>
      <c r="E5169" s="23" t="s">
        <v>36</v>
      </c>
      <c r="F5169" s="23" t="s">
        <v>14</v>
      </c>
      <c r="G5169" s="23" t="s">
        <v>21</v>
      </c>
      <c r="H5169" s="23" t="s">
        <v>22</v>
      </c>
      <c r="I5169" s="23">
        <v>24</v>
      </c>
      <c r="J5169" s="23">
        <v>0</v>
      </c>
      <c r="K5169" s="23">
        <v>5</v>
      </c>
      <c r="L5169" s="23" t="s">
        <v>44</v>
      </c>
      <c r="M5169" s="25">
        <v>13.3</v>
      </c>
      <c r="N5169">
        <f t="shared" si="80"/>
        <v>1</v>
      </c>
    </row>
    <row r="5170" spans="1:14" x14ac:dyDescent="0.35">
      <c r="A5170" s="6" t="s">
        <v>5240</v>
      </c>
      <c r="B5170" s="19" t="s">
        <v>108</v>
      </c>
      <c r="C5170" s="19">
        <v>1</v>
      </c>
      <c r="D5170" s="20">
        <v>45675</v>
      </c>
      <c r="E5170" s="19" t="s">
        <v>13</v>
      </c>
      <c r="F5170" s="19" t="s">
        <v>8364</v>
      </c>
      <c r="G5170" s="19" t="s">
        <v>21</v>
      </c>
      <c r="H5170" s="19" t="s">
        <v>16</v>
      </c>
      <c r="I5170" s="19">
        <v>4</v>
      </c>
      <c r="J5170" s="19">
        <v>0</v>
      </c>
      <c r="K5170" s="19"/>
      <c r="L5170" s="19" t="s">
        <v>17</v>
      </c>
      <c r="M5170" s="21">
        <v>2.2999999999999998</v>
      </c>
      <c r="N5170">
        <f t="shared" si="80"/>
        <v>1</v>
      </c>
    </row>
    <row r="5171" spans="1:14" x14ac:dyDescent="0.35">
      <c r="A5171" s="22" t="s">
        <v>5241</v>
      </c>
      <c r="B5171" s="23" t="s">
        <v>34</v>
      </c>
      <c r="C5171" s="23">
        <v>12</v>
      </c>
      <c r="D5171" s="24">
        <v>45997</v>
      </c>
      <c r="E5171" s="23" t="s">
        <v>36</v>
      </c>
      <c r="F5171" s="23" t="s">
        <v>59</v>
      </c>
      <c r="G5171" s="23" t="s">
        <v>15</v>
      </c>
      <c r="H5171" s="23" t="s">
        <v>22</v>
      </c>
      <c r="I5171" s="23">
        <v>4</v>
      </c>
      <c r="J5171" s="23">
        <v>3</v>
      </c>
      <c r="K5171" s="23">
        <v>5</v>
      </c>
      <c r="L5171" s="23" t="s">
        <v>38</v>
      </c>
      <c r="M5171" s="25">
        <v>2</v>
      </c>
      <c r="N5171">
        <f t="shared" si="80"/>
        <v>1</v>
      </c>
    </row>
    <row r="5172" spans="1:14" x14ac:dyDescent="0.35">
      <c r="A5172" s="6" t="s">
        <v>5242</v>
      </c>
      <c r="B5172" s="19" t="s">
        <v>57</v>
      </c>
      <c r="C5172" s="19">
        <v>4</v>
      </c>
      <c r="D5172" s="20">
        <v>45775</v>
      </c>
      <c r="E5172" s="19" t="s">
        <v>13</v>
      </c>
      <c r="F5172" s="19" t="s">
        <v>59</v>
      </c>
      <c r="G5172" s="19" t="s">
        <v>31</v>
      </c>
      <c r="H5172" s="19" t="s">
        <v>16</v>
      </c>
      <c r="I5172" s="19">
        <v>8</v>
      </c>
      <c r="J5172" s="19">
        <v>0</v>
      </c>
      <c r="K5172" s="19">
        <v>2</v>
      </c>
      <c r="L5172" s="19" t="s">
        <v>8363</v>
      </c>
      <c r="M5172" s="21">
        <v>8.3000000000000007</v>
      </c>
      <c r="N5172">
        <f t="shared" si="80"/>
        <v>0</v>
      </c>
    </row>
    <row r="5173" spans="1:14" x14ac:dyDescent="0.35">
      <c r="A5173" s="22" t="s">
        <v>5243</v>
      </c>
      <c r="B5173" s="23" t="s">
        <v>69</v>
      </c>
      <c r="C5173" s="23">
        <v>6</v>
      </c>
      <c r="D5173" s="24">
        <v>45820</v>
      </c>
      <c r="E5173" s="23" t="s">
        <v>25</v>
      </c>
      <c r="F5173" s="23" t="s">
        <v>14</v>
      </c>
      <c r="G5173" s="23" t="s">
        <v>27</v>
      </c>
      <c r="H5173" s="23" t="s">
        <v>32</v>
      </c>
      <c r="I5173" s="23">
        <v>48</v>
      </c>
      <c r="J5173" s="23">
        <v>1</v>
      </c>
      <c r="K5173" s="23">
        <v>5</v>
      </c>
      <c r="L5173" s="23" t="s">
        <v>75</v>
      </c>
      <c r="M5173" s="25">
        <v>3.7</v>
      </c>
      <c r="N5173">
        <f t="shared" si="80"/>
        <v>1</v>
      </c>
    </row>
    <row r="5174" spans="1:14" x14ac:dyDescent="0.35">
      <c r="A5174" s="6" t="s">
        <v>5244</v>
      </c>
      <c r="B5174" s="19" t="s">
        <v>99</v>
      </c>
      <c r="C5174" s="19">
        <v>10</v>
      </c>
      <c r="D5174" s="20">
        <v>45955</v>
      </c>
      <c r="E5174" s="19" t="s">
        <v>8364</v>
      </c>
      <c r="F5174" s="19" t="s">
        <v>43</v>
      </c>
      <c r="G5174" s="19" t="s">
        <v>21</v>
      </c>
      <c r="H5174" s="19" t="s">
        <v>22</v>
      </c>
      <c r="I5174" s="19">
        <v>24</v>
      </c>
      <c r="J5174" s="19">
        <v>1</v>
      </c>
      <c r="K5174" s="19">
        <v>3</v>
      </c>
      <c r="L5174" s="19" t="s">
        <v>62</v>
      </c>
      <c r="M5174" s="21">
        <v>3.8</v>
      </c>
      <c r="N5174">
        <f t="shared" si="80"/>
        <v>1</v>
      </c>
    </row>
    <row r="5175" spans="1:14" x14ac:dyDescent="0.35">
      <c r="A5175" s="22" t="s">
        <v>5245</v>
      </c>
      <c r="B5175" s="23" t="s">
        <v>99</v>
      </c>
      <c r="C5175" s="23">
        <v>6</v>
      </c>
      <c r="D5175" s="24">
        <v>45832</v>
      </c>
      <c r="E5175" s="23" t="s">
        <v>13</v>
      </c>
      <c r="F5175" s="23" t="s">
        <v>43</v>
      </c>
      <c r="G5175" s="23" t="s">
        <v>21</v>
      </c>
      <c r="H5175" s="23" t="s">
        <v>8364</v>
      </c>
      <c r="I5175" s="23">
        <v>24</v>
      </c>
      <c r="J5175" s="23">
        <v>0</v>
      </c>
      <c r="K5175" s="23">
        <v>5</v>
      </c>
      <c r="L5175" s="23" t="s">
        <v>8363</v>
      </c>
      <c r="M5175" s="25">
        <v>37.200000000000003</v>
      </c>
      <c r="N5175">
        <f t="shared" si="80"/>
        <v>0</v>
      </c>
    </row>
    <row r="5176" spans="1:14" x14ac:dyDescent="0.35">
      <c r="A5176" s="6" t="s">
        <v>5246</v>
      </c>
      <c r="B5176" s="19" t="s">
        <v>108</v>
      </c>
      <c r="C5176" s="19">
        <v>12</v>
      </c>
      <c r="D5176" s="20">
        <v>46011</v>
      </c>
      <c r="E5176" s="19" t="s">
        <v>20</v>
      </c>
      <c r="F5176" s="19" t="s">
        <v>40</v>
      </c>
      <c r="G5176" s="19" t="s">
        <v>8364</v>
      </c>
      <c r="H5176" s="19" t="s">
        <v>22</v>
      </c>
      <c r="I5176" s="19">
        <v>4</v>
      </c>
      <c r="J5176" s="19">
        <v>0</v>
      </c>
      <c r="K5176" s="19"/>
      <c r="L5176" s="19" t="s">
        <v>8363</v>
      </c>
      <c r="M5176" s="21">
        <v>7.6</v>
      </c>
      <c r="N5176">
        <f t="shared" si="80"/>
        <v>0</v>
      </c>
    </row>
    <row r="5177" spans="1:14" x14ac:dyDescent="0.35">
      <c r="A5177" s="22" t="s">
        <v>5247</v>
      </c>
      <c r="B5177" s="23" t="s">
        <v>34</v>
      </c>
      <c r="C5177" s="23">
        <v>5</v>
      </c>
      <c r="D5177" s="24">
        <v>45801</v>
      </c>
      <c r="E5177" s="23" t="s">
        <v>13</v>
      </c>
      <c r="F5177" s="23" t="s">
        <v>8364</v>
      </c>
      <c r="G5177" s="23" t="s">
        <v>21</v>
      </c>
      <c r="H5177" s="23" t="s">
        <v>22</v>
      </c>
      <c r="I5177" s="23">
        <v>8</v>
      </c>
      <c r="J5177" s="23">
        <v>2</v>
      </c>
      <c r="K5177" s="23">
        <v>3</v>
      </c>
      <c r="L5177" s="23" t="s">
        <v>17</v>
      </c>
      <c r="M5177" s="25">
        <v>10.4</v>
      </c>
      <c r="N5177">
        <f t="shared" si="80"/>
        <v>0</v>
      </c>
    </row>
    <row r="5178" spans="1:14" x14ac:dyDescent="0.35">
      <c r="A5178" s="6" t="s">
        <v>5248</v>
      </c>
      <c r="B5178" s="19" t="s">
        <v>101</v>
      </c>
      <c r="C5178" s="19">
        <v>12</v>
      </c>
      <c r="D5178" s="20">
        <v>46015</v>
      </c>
      <c r="E5178" s="19" t="s">
        <v>36</v>
      </c>
      <c r="F5178" s="19" t="s">
        <v>43</v>
      </c>
      <c r="G5178" s="19" t="s">
        <v>27</v>
      </c>
      <c r="H5178" s="19" t="s">
        <v>28</v>
      </c>
      <c r="I5178" s="19">
        <v>48</v>
      </c>
      <c r="J5178" s="19">
        <v>2</v>
      </c>
      <c r="K5178" s="19">
        <v>3</v>
      </c>
      <c r="L5178" s="19" t="s">
        <v>17</v>
      </c>
      <c r="M5178" s="21">
        <v>22.7</v>
      </c>
      <c r="N5178">
        <f t="shared" si="80"/>
        <v>1</v>
      </c>
    </row>
    <row r="5179" spans="1:14" x14ac:dyDescent="0.35">
      <c r="A5179" s="22" t="s">
        <v>5249</v>
      </c>
      <c r="B5179" s="23" t="s">
        <v>143</v>
      </c>
      <c r="C5179" s="23">
        <v>2</v>
      </c>
      <c r="D5179" s="24">
        <v>45707</v>
      </c>
      <c r="E5179" s="23" t="s">
        <v>36</v>
      </c>
      <c r="F5179" s="23" t="s">
        <v>59</v>
      </c>
      <c r="G5179" s="23" t="s">
        <v>15</v>
      </c>
      <c r="H5179" s="23" t="s">
        <v>8364</v>
      </c>
      <c r="I5179" s="23">
        <v>24</v>
      </c>
      <c r="J5179" s="23">
        <v>1</v>
      </c>
      <c r="K5179" s="23">
        <v>2</v>
      </c>
      <c r="L5179" s="23" t="s">
        <v>75</v>
      </c>
      <c r="M5179" s="25">
        <v>7.4</v>
      </c>
      <c r="N5179">
        <f t="shared" si="80"/>
        <v>1</v>
      </c>
    </row>
    <row r="5180" spans="1:14" x14ac:dyDescent="0.35">
      <c r="A5180" s="6" t="s">
        <v>5250</v>
      </c>
      <c r="B5180" s="19" t="s">
        <v>181</v>
      </c>
      <c r="C5180" s="19">
        <v>1</v>
      </c>
      <c r="D5180" s="20">
        <v>45674</v>
      </c>
      <c r="E5180" s="19" t="s">
        <v>25</v>
      </c>
      <c r="F5180" s="19" t="s">
        <v>59</v>
      </c>
      <c r="G5180" s="19" t="s">
        <v>15</v>
      </c>
      <c r="H5180" s="19" t="s">
        <v>8364</v>
      </c>
      <c r="I5180" s="19">
        <v>24</v>
      </c>
      <c r="J5180" s="19">
        <v>1</v>
      </c>
      <c r="K5180" s="19">
        <v>5</v>
      </c>
      <c r="L5180" s="19" t="s">
        <v>44</v>
      </c>
      <c r="M5180" s="21">
        <v>10.3</v>
      </c>
      <c r="N5180">
        <f t="shared" si="80"/>
        <v>1</v>
      </c>
    </row>
    <row r="5181" spans="1:14" x14ac:dyDescent="0.35">
      <c r="A5181" s="22" t="s">
        <v>5251</v>
      </c>
      <c r="B5181" s="23" t="s">
        <v>146</v>
      </c>
      <c r="C5181" s="23">
        <v>1</v>
      </c>
      <c r="D5181" s="24">
        <v>45662</v>
      </c>
      <c r="E5181" s="23" t="s">
        <v>68</v>
      </c>
      <c r="F5181" s="23" t="s">
        <v>43</v>
      </c>
      <c r="G5181" s="23" t="s">
        <v>27</v>
      </c>
      <c r="H5181" s="23" t="s">
        <v>8364</v>
      </c>
      <c r="I5181" s="23">
        <v>4</v>
      </c>
      <c r="J5181" s="23">
        <v>0</v>
      </c>
      <c r="K5181" s="23">
        <v>5</v>
      </c>
      <c r="L5181" s="23" t="s">
        <v>17</v>
      </c>
      <c r="M5181" s="25">
        <v>28.9</v>
      </c>
      <c r="N5181">
        <f t="shared" si="80"/>
        <v>0</v>
      </c>
    </row>
    <row r="5182" spans="1:14" x14ac:dyDescent="0.35">
      <c r="A5182" s="6" t="s">
        <v>5252</v>
      </c>
      <c r="B5182" s="19" t="s">
        <v>69</v>
      </c>
      <c r="C5182" s="19">
        <v>10</v>
      </c>
      <c r="D5182" s="20">
        <v>45933</v>
      </c>
      <c r="E5182" s="19" t="s">
        <v>20</v>
      </c>
      <c r="F5182" s="19" t="s">
        <v>37</v>
      </c>
      <c r="G5182" s="19" t="s">
        <v>15</v>
      </c>
      <c r="H5182" s="19" t="s">
        <v>8364</v>
      </c>
      <c r="I5182" s="19">
        <v>4</v>
      </c>
      <c r="J5182" s="19">
        <v>0</v>
      </c>
      <c r="K5182" s="19">
        <v>3</v>
      </c>
      <c r="L5182" s="19" t="s">
        <v>17</v>
      </c>
      <c r="M5182" s="21">
        <v>8.3000000000000007</v>
      </c>
      <c r="N5182">
        <f t="shared" si="80"/>
        <v>0</v>
      </c>
    </row>
    <row r="5183" spans="1:14" x14ac:dyDescent="0.35">
      <c r="A5183" s="22" t="s">
        <v>5253</v>
      </c>
      <c r="B5183" s="23" t="s">
        <v>49</v>
      </c>
      <c r="C5183" s="23">
        <v>10</v>
      </c>
      <c r="D5183" s="24">
        <v>45936</v>
      </c>
      <c r="E5183" s="23" t="s">
        <v>13</v>
      </c>
      <c r="F5183" s="23" t="s">
        <v>59</v>
      </c>
      <c r="G5183" s="23" t="s">
        <v>31</v>
      </c>
      <c r="H5183" s="23" t="s">
        <v>8364</v>
      </c>
      <c r="I5183" s="23">
        <v>4</v>
      </c>
      <c r="J5183" s="23">
        <v>0</v>
      </c>
      <c r="K5183" s="23">
        <v>5</v>
      </c>
      <c r="L5183" s="23" t="s">
        <v>55</v>
      </c>
      <c r="M5183" s="25">
        <v>5.8</v>
      </c>
      <c r="N5183">
        <f t="shared" si="80"/>
        <v>0</v>
      </c>
    </row>
    <row r="5184" spans="1:14" x14ac:dyDescent="0.35">
      <c r="A5184" s="6" t="s">
        <v>5254</v>
      </c>
      <c r="B5184" s="19" t="s">
        <v>65</v>
      </c>
      <c r="C5184" s="19"/>
      <c r="D5184" s="20"/>
      <c r="E5184" s="19" t="s">
        <v>13</v>
      </c>
      <c r="F5184" s="19" t="s">
        <v>43</v>
      </c>
      <c r="G5184" s="19" t="s">
        <v>21</v>
      </c>
      <c r="H5184" s="19" t="s">
        <v>22</v>
      </c>
      <c r="I5184" s="19">
        <v>72</v>
      </c>
      <c r="J5184" s="19">
        <v>1</v>
      </c>
      <c r="K5184" s="19">
        <v>1</v>
      </c>
      <c r="L5184" s="19" t="s">
        <v>55</v>
      </c>
      <c r="M5184" s="21">
        <v>19.5</v>
      </c>
      <c r="N5184">
        <f t="shared" si="80"/>
        <v>1</v>
      </c>
    </row>
    <row r="5185" spans="1:14" x14ac:dyDescent="0.35">
      <c r="A5185" s="22" t="s">
        <v>5255</v>
      </c>
      <c r="B5185" s="23" t="s">
        <v>65</v>
      </c>
      <c r="C5185" s="23">
        <v>1</v>
      </c>
      <c r="D5185" s="24">
        <v>45669</v>
      </c>
      <c r="E5185" s="23" t="s">
        <v>25</v>
      </c>
      <c r="F5185" s="23" t="s">
        <v>26</v>
      </c>
      <c r="G5185" s="23" t="s">
        <v>21</v>
      </c>
      <c r="H5185" s="23" t="s">
        <v>28</v>
      </c>
      <c r="I5185" s="23">
        <v>72</v>
      </c>
      <c r="J5185" s="23">
        <v>0</v>
      </c>
      <c r="K5185" s="23">
        <v>4</v>
      </c>
      <c r="L5185" s="23" t="s">
        <v>55</v>
      </c>
      <c r="M5185" s="25">
        <v>18.8</v>
      </c>
      <c r="N5185">
        <f t="shared" si="80"/>
        <v>1</v>
      </c>
    </row>
    <row r="5186" spans="1:14" x14ac:dyDescent="0.35">
      <c r="A5186" s="6" t="s">
        <v>5256</v>
      </c>
      <c r="B5186" s="19" t="s">
        <v>47</v>
      </c>
      <c r="C5186" s="19">
        <v>10</v>
      </c>
      <c r="D5186" s="20">
        <v>45951</v>
      </c>
      <c r="E5186" s="19" t="s">
        <v>68</v>
      </c>
      <c r="F5186" s="19" t="s">
        <v>14</v>
      </c>
      <c r="G5186" s="19" t="s">
        <v>21</v>
      </c>
      <c r="H5186" s="19" t="s">
        <v>22</v>
      </c>
      <c r="I5186" s="19">
        <v>72</v>
      </c>
      <c r="J5186" s="19">
        <v>0</v>
      </c>
      <c r="K5186" s="19">
        <v>5</v>
      </c>
      <c r="L5186" s="19" t="s">
        <v>33</v>
      </c>
      <c r="M5186" s="21">
        <v>24</v>
      </c>
      <c r="N5186">
        <f t="shared" si="80"/>
        <v>1</v>
      </c>
    </row>
    <row r="5187" spans="1:14" x14ac:dyDescent="0.35">
      <c r="A5187" s="22" t="s">
        <v>5257</v>
      </c>
      <c r="B5187" s="23" t="s">
        <v>253</v>
      </c>
      <c r="C5187" s="23">
        <v>11</v>
      </c>
      <c r="D5187" s="24">
        <v>45966</v>
      </c>
      <c r="E5187" s="23" t="s">
        <v>36</v>
      </c>
      <c r="F5187" s="23" t="s">
        <v>43</v>
      </c>
      <c r="G5187" s="23" t="s">
        <v>31</v>
      </c>
      <c r="H5187" s="23" t="s">
        <v>28</v>
      </c>
      <c r="I5187" s="23">
        <v>72</v>
      </c>
      <c r="J5187" s="23">
        <v>0</v>
      </c>
      <c r="K5187" s="23">
        <v>4</v>
      </c>
      <c r="L5187" s="23" t="s">
        <v>38</v>
      </c>
      <c r="M5187" s="25">
        <v>8.6999999999999993</v>
      </c>
      <c r="N5187">
        <f t="shared" ref="N5187:N5250" si="81">IF(M5187 &lt;= I5187, 1, 0)</f>
        <v>1</v>
      </c>
    </row>
    <row r="5188" spans="1:14" x14ac:dyDescent="0.35">
      <c r="A5188" s="6" t="s">
        <v>5258</v>
      </c>
      <c r="B5188" s="19" t="s">
        <v>39</v>
      </c>
      <c r="C5188" s="19">
        <v>5</v>
      </c>
      <c r="D5188" s="20">
        <v>45807</v>
      </c>
      <c r="E5188" s="19" t="s">
        <v>13</v>
      </c>
      <c r="F5188" s="19" t="s">
        <v>14</v>
      </c>
      <c r="G5188" s="19" t="s">
        <v>31</v>
      </c>
      <c r="H5188" s="19" t="s">
        <v>16</v>
      </c>
      <c r="I5188" s="19">
        <v>72</v>
      </c>
      <c r="J5188" s="19">
        <v>0</v>
      </c>
      <c r="K5188" s="19">
        <v>5</v>
      </c>
      <c r="L5188" s="19" t="s">
        <v>62</v>
      </c>
      <c r="M5188" s="21">
        <v>16.3</v>
      </c>
      <c r="N5188">
        <f t="shared" si="81"/>
        <v>1</v>
      </c>
    </row>
    <row r="5189" spans="1:14" x14ac:dyDescent="0.35">
      <c r="A5189" s="22" t="s">
        <v>5259</v>
      </c>
      <c r="B5189" s="23" t="s">
        <v>81</v>
      </c>
      <c r="C5189" s="23">
        <v>1</v>
      </c>
      <c r="D5189" s="24">
        <v>45662</v>
      </c>
      <c r="E5189" s="23" t="s">
        <v>20</v>
      </c>
      <c r="F5189" s="23" t="s">
        <v>14</v>
      </c>
      <c r="G5189" s="23" t="s">
        <v>8364</v>
      </c>
      <c r="H5189" s="23" t="s">
        <v>8364</v>
      </c>
      <c r="I5189" s="23">
        <v>72</v>
      </c>
      <c r="J5189" s="23">
        <v>0</v>
      </c>
      <c r="K5189" s="23">
        <v>4</v>
      </c>
      <c r="L5189" s="23" t="s">
        <v>17</v>
      </c>
      <c r="M5189" s="25">
        <v>1.9</v>
      </c>
      <c r="N5189">
        <f t="shared" si="81"/>
        <v>1</v>
      </c>
    </row>
    <row r="5190" spans="1:14" x14ac:dyDescent="0.35">
      <c r="A5190" s="6" t="s">
        <v>5260</v>
      </c>
      <c r="B5190" s="19" t="s">
        <v>41</v>
      </c>
      <c r="C5190" s="19">
        <v>11</v>
      </c>
      <c r="D5190" s="20">
        <v>45976</v>
      </c>
      <c r="E5190" s="19" t="s">
        <v>20</v>
      </c>
      <c r="F5190" s="19" t="s">
        <v>14</v>
      </c>
      <c r="G5190" s="19" t="s">
        <v>31</v>
      </c>
      <c r="H5190" s="19" t="s">
        <v>28</v>
      </c>
      <c r="I5190" s="19">
        <v>24</v>
      </c>
      <c r="J5190" s="19">
        <v>0</v>
      </c>
      <c r="K5190" s="19">
        <v>4</v>
      </c>
      <c r="L5190" s="19" t="s">
        <v>55</v>
      </c>
      <c r="M5190" s="21">
        <v>11.3</v>
      </c>
      <c r="N5190">
        <f t="shared" si="81"/>
        <v>1</v>
      </c>
    </row>
    <row r="5191" spans="1:14" x14ac:dyDescent="0.35">
      <c r="A5191" s="22" t="s">
        <v>5261</v>
      </c>
      <c r="B5191" s="23" t="s">
        <v>47</v>
      </c>
      <c r="C5191" s="23">
        <v>12</v>
      </c>
      <c r="D5191" s="24">
        <v>46016</v>
      </c>
      <c r="E5191" s="23" t="s">
        <v>68</v>
      </c>
      <c r="F5191" s="23" t="s">
        <v>40</v>
      </c>
      <c r="G5191" s="23" t="s">
        <v>8364</v>
      </c>
      <c r="H5191" s="23" t="s">
        <v>32</v>
      </c>
      <c r="I5191" s="23">
        <v>8</v>
      </c>
      <c r="J5191" s="23">
        <v>0</v>
      </c>
      <c r="K5191" s="23">
        <v>3</v>
      </c>
      <c r="L5191" s="23" t="s">
        <v>38</v>
      </c>
      <c r="M5191" s="25">
        <v>5.6</v>
      </c>
      <c r="N5191">
        <f t="shared" si="81"/>
        <v>1</v>
      </c>
    </row>
    <row r="5192" spans="1:14" x14ac:dyDescent="0.35">
      <c r="A5192" s="6" t="s">
        <v>5262</v>
      </c>
      <c r="B5192" s="19" t="s">
        <v>29</v>
      </c>
      <c r="C5192" s="19">
        <v>5</v>
      </c>
      <c r="D5192" s="20">
        <v>45793</v>
      </c>
      <c r="E5192" s="19" t="s">
        <v>8364</v>
      </c>
      <c r="F5192" s="19" t="s">
        <v>14</v>
      </c>
      <c r="G5192" s="19" t="s">
        <v>31</v>
      </c>
      <c r="H5192" s="19" t="s">
        <v>8364</v>
      </c>
      <c r="I5192" s="19">
        <v>24</v>
      </c>
      <c r="J5192" s="19">
        <v>0</v>
      </c>
      <c r="K5192" s="19">
        <v>3</v>
      </c>
      <c r="L5192" s="19" t="s">
        <v>75</v>
      </c>
      <c r="M5192" s="21">
        <v>8.9</v>
      </c>
      <c r="N5192">
        <f t="shared" si="81"/>
        <v>1</v>
      </c>
    </row>
    <row r="5193" spans="1:14" x14ac:dyDescent="0.35">
      <c r="A5193" s="22" t="s">
        <v>5263</v>
      </c>
      <c r="B5193" s="23" t="s">
        <v>97</v>
      </c>
      <c r="C5193" s="23">
        <v>7</v>
      </c>
      <c r="D5193" s="24">
        <v>45859</v>
      </c>
      <c r="E5193" s="23" t="s">
        <v>68</v>
      </c>
      <c r="F5193" s="23" t="s">
        <v>40</v>
      </c>
      <c r="G5193" s="23" t="s">
        <v>31</v>
      </c>
      <c r="H5193" s="23" t="s">
        <v>8364</v>
      </c>
      <c r="I5193" s="23">
        <v>48</v>
      </c>
      <c r="J5193" s="23">
        <v>0</v>
      </c>
      <c r="K5193" s="23">
        <v>4</v>
      </c>
      <c r="L5193" s="23" t="s">
        <v>55</v>
      </c>
      <c r="M5193" s="25">
        <v>7.2</v>
      </c>
      <c r="N5193">
        <f t="shared" si="81"/>
        <v>1</v>
      </c>
    </row>
    <row r="5194" spans="1:14" x14ac:dyDescent="0.35">
      <c r="A5194" s="6" t="s">
        <v>5264</v>
      </c>
      <c r="B5194" s="19" t="s">
        <v>65</v>
      </c>
      <c r="C5194" s="19">
        <v>7</v>
      </c>
      <c r="D5194" s="20">
        <v>45861</v>
      </c>
      <c r="E5194" s="19" t="s">
        <v>20</v>
      </c>
      <c r="F5194" s="19" t="s">
        <v>37</v>
      </c>
      <c r="G5194" s="19" t="s">
        <v>8364</v>
      </c>
      <c r="H5194" s="19" t="s">
        <v>22</v>
      </c>
      <c r="I5194" s="19">
        <v>48</v>
      </c>
      <c r="J5194" s="19">
        <v>0</v>
      </c>
      <c r="K5194" s="19">
        <v>4</v>
      </c>
      <c r="L5194" s="19" t="s">
        <v>33</v>
      </c>
      <c r="M5194" s="21">
        <v>9.1</v>
      </c>
      <c r="N5194">
        <f t="shared" si="81"/>
        <v>1</v>
      </c>
    </row>
    <row r="5195" spans="1:14" x14ac:dyDescent="0.35">
      <c r="A5195" s="22" t="s">
        <v>5265</v>
      </c>
      <c r="B5195" s="23" t="s">
        <v>97</v>
      </c>
      <c r="C5195" s="23">
        <v>11</v>
      </c>
      <c r="D5195" s="24">
        <v>45974</v>
      </c>
      <c r="E5195" s="23" t="s">
        <v>68</v>
      </c>
      <c r="F5195" s="23" t="s">
        <v>40</v>
      </c>
      <c r="G5195" s="23" t="s">
        <v>21</v>
      </c>
      <c r="H5195" s="23" t="s">
        <v>28</v>
      </c>
      <c r="I5195" s="23">
        <v>4</v>
      </c>
      <c r="J5195" s="23">
        <v>2</v>
      </c>
      <c r="K5195" s="23">
        <v>4</v>
      </c>
      <c r="L5195" s="23" t="s">
        <v>8363</v>
      </c>
      <c r="M5195" s="25">
        <v>2.4</v>
      </c>
      <c r="N5195">
        <f t="shared" si="81"/>
        <v>1</v>
      </c>
    </row>
    <row r="5196" spans="1:14" x14ac:dyDescent="0.35">
      <c r="A5196" s="6" t="s">
        <v>5266</v>
      </c>
      <c r="B5196" s="19" t="s">
        <v>69</v>
      </c>
      <c r="C5196" s="19">
        <v>10</v>
      </c>
      <c r="D5196" s="20">
        <v>45954</v>
      </c>
      <c r="E5196" s="19" t="s">
        <v>36</v>
      </c>
      <c r="F5196" s="19" t="s">
        <v>43</v>
      </c>
      <c r="G5196" s="19" t="s">
        <v>27</v>
      </c>
      <c r="H5196" s="19" t="s">
        <v>22</v>
      </c>
      <c r="I5196" s="19">
        <v>72</v>
      </c>
      <c r="J5196" s="19">
        <v>3</v>
      </c>
      <c r="K5196" s="19">
        <v>4</v>
      </c>
      <c r="L5196" s="19" t="s">
        <v>44</v>
      </c>
      <c r="M5196" s="21">
        <v>25.6</v>
      </c>
      <c r="N5196">
        <f t="shared" si="81"/>
        <v>1</v>
      </c>
    </row>
    <row r="5197" spans="1:14" x14ac:dyDescent="0.35">
      <c r="A5197" s="22" t="s">
        <v>5267</v>
      </c>
      <c r="B5197" s="23" t="s">
        <v>89</v>
      </c>
      <c r="C5197" s="23"/>
      <c r="D5197" s="24"/>
      <c r="E5197" s="23" t="s">
        <v>13</v>
      </c>
      <c r="F5197" s="23" t="s">
        <v>14</v>
      </c>
      <c r="G5197" s="23" t="s">
        <v>21</v>
      </c>
      <c r="H5197" s="23" t="s">
        <v>32</v>
      </c>
      <c r="I5197" s="23">
        <v>4</v>
      </c>
      <c r="J5197" s="23">
        <v>0</v>
      </c>
      <c r="K5197" s="23">
        <v>4</v>
      </c>
      <c r="L5197" s="23" t="s">
        <v>44</v>
      </c>
      <c r="M5197" s="25">
        <v>22.8</v>
      </c>
      <c r="N5197">
        <f t="shared" si="81"/>
        <v>0</v>
      </c>
    </row>
    <row r="5198" spans="1:14" x14ac:dyDescent="0.35">
      <c r="A5198" s="6" t="s">
        <v>5268</v>
      </c>
      <c r="B5198" s="19" t="s">
        <v>143</v>
      </c>
      <c r="C5198" s="19">
        <v>6</v>
      </c>
      <c r="D5198" s="20">
        <v>45817</v>
      </c>
      <c r="E5198" s="19" t="s">
        <v>25</v>
      </c>
      <c r="F5198" s="19" t="s">
        <v>26</v>
      </c>
      <c r="G5198" s="19" t="s">
        <v>31</v>
      </c>
      <c r="H5198" s="19" t="s">
        <v>32</v>
      </c>
      <c r="I5198" s="19">
        <v>8</v>
      </c>
      <c r="J5198" s="19">
        <v>0</v>
      </c>
      <c r="K5198" s="19">
        <v>3</v>
      </c>
      <c r="L5198" s="19" t="s">
        <v>38</v>
      </c>
      <c r="M5198" s="21">
        <v>6.1</v>
      </c>
      <c r="N5198">
        <f t="shared" si="81"/>
        <v>1</v>
      </c>
    </row>
    <row r="5199" spans="1:14" x14ac:dyDescent="0.35">
      <c r="A5199" s="22" t="s">
        <v>5269</v>
      </c>
      <c r="B5199" s="23" t="s">
        <v>81</v>
      </c>
      <c r="C5199" s="23">
        <v>9</v>
      </c>
      <c r="D5199" s="24">
        <v>45920</v>
      </c>
      <c r="E5199" s="23" t="s">
        <v>25</v>
      </c>
      <c r="F5199" s="23" t="s">
        <v>14</v>
      </c>
      <c r="G5199" s="23" t="s">
        <v>21</v>
      </c>
      <c r="H5199" s="23" t="s">
        <v>32</v>
      </c>
      <c r="I5199" s="23">
        <v>4</v>
      </c>
      <c r="J5199" s="23">
        <v>2</v>
      </c>
      <c r="K5199" s="23">
        <v>4</v>
      </c>
      <c r="L5199" s="23" t="s">
        <v>44</v>
      </c>
      <c r="M5199" s="25">
        <v>18.2</v>
      </c>
      <c r="N5199">
        <f t="shared" si="81"/>
        <v>0</v>
      </c>
    </row>
    <row r="5200" spans="1:14" x14ac:dyDescent="0.35">
      <c r="A5200" s="6" t="s">
        <v>5270</v>
      </c>
      <c r="B5200" s="19" t="s">
        <v>51</v>
      </c>
      <c r="C5200" s="19">
        <v>11</v>
      </c>
      <c r="D5200" s="20">
        <v>45974</v>
      </c>
      <c r="E5200" s="19" t="s">
        <v>8364</v>
      </c>
      <c r="F5200" s="19" t="s">
        <v>43</v>
      </c>
      <c r="G5200" s="19" t="s">
        <v>21</v>
      </c>
      <c r="H5200" s="19" t="s">
        <v>22</v>
      </c>
      <c r="I5200" s="19">
        <v>8</v>
      </c>
      <c r="J5200" s="19">
        <v>0</v>
      </c>
      <c r="K5200" s="19">
        <v>4</v>
      </c>
      <c r="L5200" s="19" t="s">
        <v>44</v>
      </c>
      <c r="M5200" s="21">
        <v>7.1</v>
      </c>
      <c r="N5200">
        <f t="shared" si="81"/>
        <v>1</v>
      </c>
    </row>
    <row r="5201" spans="1:14" x14ac:dyDescent="0.35">
      <c r="A5201" s="22" t="s">
        <v>5271</v>
      </c>
      <c r="B5201" s="23" t="s">
        <v>87</v>
      </c>
      <c r="C5201" s="23">
        <v>8</v>
      </c>
      <c r="D5201" s="24">
        <v>45871</v>
      </c>
      <c r="E5201" s="23" t="s">
        <v>25</v>
      </c>
      <c r="F5201" s="23" t="s">
        <v>8364</v>
      </c>
      <c r="G5201" s="23" t="s">
        <v>21</v>
      </c>
      <c r="H5201" s="23" t="s">
        <v>8364</v>
      </c>
      <c r="I5201" s="23">
        <v>72</v>
      </c>
      <c r="J5201" s="23">
        <v>0</v>
      </c>
      <c r="K5201" s="23">
        <v>5</v>
      </c>
      <c r="L5201" s="23" t="s">
        <v>8363</v>
      </c>
      <c r="M5201" s="25">
        <v>4.5999999999999996</v>
      </c>
      <c r="N5201">
        <f t="shared" si="81"/>
        <v>1</v>
      </c>
    </row>
    <row r="5202" spans="1:14" x14ac:dyDescent="0.35">
      <c r="A5202" s="6" t="s">
        <v>5272</v>
      </c>
      <c r="B5202" s="19" t="s">
        <v>47</v>
      </c>
      <c r="C5202" s="19">
        <v>10</v>
      </c>
      <c r="D5202" s="20">
        <v>45935</v>
      </c>
      <c r="E5202" s="19" t="s">
        <v>36</v>
      </c>
      <c r="F5202" s="19" t="s">
        <v>59</v>
      </c>
      <c r="G5202" s="19" t="s">
        <v>15</v>
      </c>
      <c r="H5202" s="19" t="s">
        <v>22</v>
      </c>
      <c r="I5202" s="19">
        <v>48</v>
      </c>
      <c r="J5202" s="19">
        <v>0</v>
      </c>
      <c r="K5202" s="19">
        <v>4</v>
      </c>
      <c r="L5202" s="19" t="s">
        <v>55</v>
      </c>
      <c r="M5202" s="21">
        <v>12.4</v>
      </c>
      <c r="N5202">
        <f t="shared" si="81"/>
        <v>1</v>
      </c>
    </row>
    <row r="5203" spans="1:14" x14ac:dyDescent="0.35">
      <c r="A5203" s="22" t="s">
        <v>5273</v>
      </c>
      <c r="B5203" s="23" t="s">
        <v>101</v>
      </c>
      <c r="C5203" s="23">
        <v>7</v>
      </c>
      <c r="D5203" s="24">
        <v>45854</v>
      </c>
      <c r="E5203" s="23" t="s">
        <v>8364</v>
      </c>
      <c r="F5203" s="23" t="s">
        <v>26</v>
      </c>
      <c r="G5203" s="23" t="s">
        <v>31</v>
      </c>
      <c r="H5203" s="23" t="s">
        <v>22</v>
      </c>
      <c r="I5203" s="23">
        <v>4</v>
      </c>
      <c r="J5203" s="23">
        <v>0</v>
      </c>
      <c r="K5203" s="23">
        <v>3</v>
      </c>
      <c r="L5203" s="23" t="s">
        <v>8363</v>
      </c>
      <c r="M5203" s="25">
        <v>17.7</v>
      </c>
      <c r="N5203">
        <f t="shared" si="81"/>
        <v>0</v>
      </c>
    </row>
    <row r="5204" spans="1:14" x14ac:dyDescent="0.35">
      <c r="A5204" s="6" t="s">
        <v>5274</v>
      </c>
      <c r="B5204" s="19" t="s">
        <v>23</v>
      </c>
      <c r="C5204" s="19">
        <v>3</v>
      </c>
      <c r="D5204" s="20">
        <v>45736</v>
      </c>
      <c r="E5204" s="19" t="s">
        <v>68</v>
      </c>
      <c r="F5204" s="19" t="s">
        <v>37</v>
      </c>
      <c r="G5204" s="19" t="s">
        <v>27</v>
      </c>
      <c r="H5204" s="19" t="s">
        <v>8364</v>
      </c>
      <c r="I5204" s="19">
        <v>24</v>
      </c>
      <c r="J5204" s="19">
        <v>0</v>
      </c>
      <c r="K5204" s="19"/>
      <c r="L5204" s="19" t="s">
        <v>55</v>
      </c>
      <c r="M5204" s="21">
        <v>18.3</v>
      </c>
      <c r="N5204">
        <f t="shared" si="81"/>
        <v>1</v>
      </c>
    </row>
    <row r="5205" spans="1:14" x14ac:dyDescent="0.35">
      <c r="A5205" s="22" t="s">
        <v>5275</v>
      </c>
      <c r="B5205" s="23" t="s">
        <v>99</v>
      </c>
      <c r="C5205" s="23">
        <v>1</v>
      </c>
      <c r="D5205" s="24">
        <v>45678</v>
      </c>
      <c r="E5205" s="23" t="s">
        <v>36</v>
      </c>
      <c r="F5205" s="23" t="s">
        <v>40</v>
      </c>
      <c r="G5205" s="23" t="s">
        <v>15</v>
      </c>
      <c r="H5205" s="23" t="s">
        <v>22</v>
      </c>
      <c r="I5205" s="23">
        <v>8</v>
      </c>
      <c r="J5205" s="23">
        <v>0</v>
      </c>
      <c r="K5205" s="23">
        <v>1</v>
      </c>
      <c r="L5205" s="23" t="s">
        <v>17</v>
      </c>
      <c r="M5205" s="25">
        <v>23.7</v>
      </c>
      <c r="N5205">
        <f t="shared" si="81"/>
        <v>0</v>
      </c>
    </row>
    <row r="5206" spans="1:14" x14ac:dyDescent="0.35">
      <c r="A5206" s="6" t="s">
        <v>5276</v>
      </c>
      <c r="B5206" s="19" t="s">
        <v>49</v>
      </c>
      <c r="C5206" s="19">
        <v>9</v>
      </c>
      <c r="D5206" s="20">
        <v>45913</v>
      </c>
      <c r="E5206" s="19" t="s">
        <v>68</v>
      </c>
      <c r="F5206" s="19" t="s">
        <v>59</v>
      </c>
      <c r="G5206" s="19" t="s">
        <v>21</v>
      </c>
      <c r="H5206" s="19" t="s">
        <v>8364</v>
      </c>
      <c r="I5206" s="19">
        <v>8</v>
      </c>
      <c r="J5206" s="19">
        <v>0</v>
      </c>
      <c r="K5206" s="19">
        <v>5</v>
      </c>
      <c r="L5206" s="19" t="s">
        <v>75</v>
      </c>
      <c r="M5206" s="21">
        <v>24.4</v>
      </c>
      <c r="N5206">
        <f t="shared" si="81"/>
        <v>0</v>
      </c>
    </row>
    <row r="5207" spans="1:14" x14ac:dyDescent="0.35">
      <c r="A5207" s="22" t="s">
        <v>5277</v>
      </c>
      <c r="B5207" s="23" t="s">
        <v>104</v>
      </c>
      <c r="C5207" s="23">
        <v>12</v>
      </c>
      <c r="D5207" s="24">
        <v>46020</v>
      </c>
      <c r="E5207" s="23" t="s">
        <v>13</v>
      </c>
      <c r="F5207" s="23" t="s">
        <v>14</v>
      </c>
      <c r="G5207" s="23" t="s">
        <v>31</v>
      </c>
      <c r="H5207" s="23" t="s">
        <v>22</v>
      </c>
      <c r="I5207" s="23">
        <v>72</v>
      </c>
      <c r="J5207" s="23">
        <v>0</v>
      </c>
      <c r="K5207" s="23">
        <v>4</v>
      </c>
      <c r="L5207" s="23" t="s">
        <v>62</v>
      </c>
      <c r="M5207" s="25"/>
      <c r="N5207">
        <f t="shared" si="81"/>
        <v>1</v>
      </c>
    </row>
    <row r="5208" spans="1:14" x14ac:dyDescent="0.35">
      <c r="A5208" s="6" t="s">
        <v>5278</v>
      </c>
      <c r="B5208" s="19" t="s">
        <v>65</v>
      </c>
      <c r="C5208" s="19">
        <v>3</v>
      </c>
      <c r="D5208" s="20">
        <v>45730</v>
      </c>
      <c r="E5208" s="19" t="s">
        <v>13</v>
      </c>
      <c r="F5208" s="19" t="s">
        <v>14</v>
      </c>
      <c r="G5208" s="19" t="s">
        <v>15</v>
      </c>
      <c r="H5208" s="19" t="s">
        <v>8364</v>
      </c>
      <c r="I5208" s="19">
        <v>24</v>
      </c>
      <c r="J5208" s="19">
        <v>0</v>
      </c>
      <c r="K5208" s="19">
        <v>2</v>
      </c>
      <c r="L5208" s="19" t="s">
        <v>8363</v>
      </c>
      <c r="M5208" s="21">
        <v>10.8</v>
      </c>
      <c r="N5208">
        <f t="shared" si="81"/>
        <v>1</v>
      </c>
    </row>
    <row r="5209" spans="1:14" x14ac:dyDescent="0.35">
      <c r="A5209" s="22" t="s">
        <v>5279</v>
      </c>
      <c r="B5209" s="23" t="s">
        <v>49</v>
      </c>
      <c r="C5209" s="23">
        <v>1</v>
      </c>
      <c r="D5209" s="24">
        <v>45661</v>
      </c>
      <c r="E5209" s="23" t="s">
        <v>36</v>
      </c>
      <c r="F5209" s="23" t="s">
        <v>14</v>
      </c>
      <c r="G5209" s="23" t="s">
        <v>31</v>
      </c>
      <c r="H5209" s="23" t="s">
        <v>28</v>
      </c>
      <c r="I5209" s="23">
        <v>48</v>
      </c>
      <c r="J5209" s="23">
        <v>0</v>
      </c>
      <c r="K5209" s="23">
        <v>4</v>
      </c>
      <c r="L5209" s="23" t="s">
        <v>75</v>
      </c>
      <c r="M5209" s="25">
        <v>16</v>
      </c>
      <c r="N5209">
        <f t="shared" si="81"/>
        <v>1</v>
      </c>
    </row>
    <row r="5210" spans="1:14" x14ac:dyDescent="0.35">
      <c r="A5210" s="6" t="s">
        <v>5280</v>
      </c>
      <c r="B5210" s="19" t="s">
        <v>18</v>
      </c>
      <c r="C5210" s="19">
        <v>5</v>
      </c>
      <c r="D5210" s="20">
        <v>45805</v>
      </c>
      <c r="E5210" s="19" t="s">
        <v>25</v>
      </c>
      <c r="F5210" s="19" t="s">
        <v>14</v>
      </c>
      <c r="G5210" s="19" t="s">
        <v>21</v>
      </c>
      <c r="H5210" s="19" t="s">
        <v>32</v>
      </c>
      <c r="I5210" s="19">
        <v>48</v>
      </c>
      <c r="J5210" s="19"/>
      <c r="K5210" s="19">
        <v>4</v>
      </c>
      <c r="L5210" s="19" t="s">
        <v>8363</v>
      </c>
      <c r="M5210" s="21">
        <v>7.9</v>
      </c>
      <c r="N5210">
        <f t="shared" si="81"/>
        <v>1</v>
      </c>
    </row>
    <row r="5211" spans="1:14" x14ac:dyDescent="0.35">
      <c r="A5211" s="22" t="s">
        <v>5281</v>
      </c>
      <c r="B5211" s="23" t="s">
        <v>236</v>
      </c>
      <c r="C5211" s="23">
        <v>7</v>
      </c>
      <c r="D5211" s="24">
        <v>45854</v>
      </c>
      <c r="E5211" s="23" t="s">
        <v>20</v>
      </c>
      <c r="F5211" s="23" t="s">
        <v>43</v>
      </c>
      <c r="G5211" s="23" t="s">
        <v>15</v>
      </c>
      <c r="H5211" s="23" t="s">
        <v>22</v>
      </c>
      <c r="I5211" s="23">
        <v>72</v>
      </c>
      <c r="J5211" s="23">
        <v>0</v>
      </c>
      <c r="K5211" s="23">
        <v>4</v>
      </c>
      <c r="L5211" s="23" t="s">
        <v>33</v>
      </c>
      <c r="M5211" s="25">
        <v>7.3</v>
      </c>
      <c r="N5211">
        <f t="shared" si="81"/>
        <v>1</v>
      </c>
    </row>
    <row r="5212" spans="1:14" x14ac:dyDescent="0.35">
      <c r="A5212" s="6" t="s">
        <v>5282</v>
      </c>
      <c r="B5212" s="19" t="s">
        <v>69</v>
      </c>
      <c r="C5212" s="19">
        <v>10</v>
      </c>
      <c r="D5212" s="20">
        <v>45940</v>
      </c>
      <c r="E5212" s="19" t="s">
        <v>13</v>
      </c>
      <c r="F5212" s="19" t="s">
        <v>8364</v>
      </c>
      <c r="G5212" s="19" t="s">
        <v>31</v>
      </c>
      <c r="H5212" s="19" t="s">
        <v>28</v>
      </c>
      <c r="I5212" s="19">
        <v>24</v>
      </c>
      <c r="J5212" s="19">
        <v>0</v>
      </c>
      <c r="K5212" s="19">
        <v>3</v>
      </c>
      <c r="L5212" s="19" t="s">
        <v>17</v>
      </c>
      <c r="M5212" s="21">
        <v>5.2</v>
      </c>
      <c r="N5212">
        <f t="shared" si="81"/>
        <v>1</v>
      </c>
    </row>
    <row r="5213" spans="1:14" x14ac:dyDescent="0.35">
      <c r="A5213" s="22" t="s">
        <v>5283</v>
      </c>
      <c r="B5213" s="23" t="s">
        <v>57</v>
      </c>
      <c r="C5213" s="23">
        <v>9</v>
      </c>
      <c r="D5213" s="24">
        <v>45918</v>
      </c>
      <c r="E5213" s="23" t="s">
        <v>68</v>
      </c>
      <c r="F5213" s="23" t="s">
        <v>8364</v>
      </c>
      <c r="G5213" s="23" t="s">
        <v>31</v>
      </c>
      <c r="H5213" s="23" t="s">
        <v>32</v>
      </c>
      <c r="I5213" s="23">
        <v>48</v>
      </c>
      <c r="J5213" s="23">
        <v>1</v>
      </c>
      <c r="K5213" s="23">
        <v>2</v>
      </c>
      <c r="L5213" s="23" t="s">
        <v>75</v>
      </c>
      <c r="M5213" s="25">
        <v>26.7</v>
      </c>
      <c r="N5213">
        <f t="shared" si="81"/>
        <v>1</v>
      </c>
    </row>
    <row r="5214" spans="1:14" x14ac:dyDescent="0.35">
      <c r="A5214" s="6" t="s">
        <v>5284</v>
      </c>
      <c r="B5214" s="19" t="s">
        <v>57</v>
      </c>
      <c r="C5214" s="19">
        <v>4</v>
      </c>
      <c r="D5214" s="20">
        <v>45763</v>
      </c>
      <c r="E5214" s="19" t="s">
        <v>25</v>
      </c>
      <c r="F5214" s="19" t="s">
        <v>14</v>
      </c>
      <c r="G5214" s="19" t="s">
        <v>21</v>
      </c>
      <c r="H5214" s="19" t="s">
        <v>22</v>
      </c>
      <c r="I5214" s="19">
        <v>72</v>
      </c>
      <c r="J5214" s="19">
        <v>0</v>
      </c>
      <c r="K5214" s="19"/>
      <c r="L5214" s="19" t="s">
        <v>55</v>
      </c>
      <c r="M5214" s="21">
        <v>21.6</v>
      </c>
      <c r="N5214">
        <f t="shared" si="81"/>
        <v>1</v>
      </c>
    </row>
    <row r="5215" spans="1:14" x14ac:dyDescent="0.35">
      <c r="A5215" s="22" t="s">
        <v>5285</v>
      </c>
      <c r="B5215" s="23" t="s">
        <v>143</v>
      </c>
      <c r="C5215" s="23">
        <v>11</v>
      </c>
      <c r="D5215" s="24">
        <v>45967</v>
      </c>
      <c r="E5215" s="23" t="s">
        <v>25</v>
      </c>
      <c r="F5215" s="23" t="s">
        <v>37</v>
      </c>
      <c r="G5215" s="23" t="s">
        <v>27</v>
      </c>
      <c r="H5215" s="23" t="s">
        <v>32</v>
      </c>
      <c r="I5215" s="23">
        <v>4</v>
      </c>
      <c r="J5215" s="23">
        <v>0</v>
      </c>
      <c r="K5215" s="23">
        <v>5</v>
      </c>
      <c r="L5215" s="23" t="s">
        <v>8363</v>
      </c>
      <c r="M5215" s="25">
        <v>14.3</v>
      </c>
      <c r="N5215">
        <f t="shared" si="81"/>
        <v>0</v>
      </c>
    </row>
    <row r="5216" spans="1:14" x14ac:dyDescent="0.35">
      <c r="A5216" s="6" t="s">
        <v>5286</v>
      </c>
      <c r="B5216" s="19" t="s">
        <v>126</v>
      </c>
      <c r="C5216" s="19">
        <v>5</v>
      </c>
      <c r="D5216" s="20">
        <v>45780</v>
      </c>
      <c r="E5216" s="19" t="s">
        <v>25</v>
      </c>
      <c r="F5216" s="19" t="s">
        <v>43</v>
      </c>
      <c r="G5216" s="19" t="s">
        <v>31</v>
      </c>
      <c r="H5216" s="19" t="s">
        <v>28</v>
      </c>
      <c r="I5216" s="19">
        <v>72</v>
      </c>
      <c r="J5216" s="19">
        <v>0</v>
      </c>
      <c r="K5216" s="19">
        <v>4</v>
      </c>
      <c r="L5216" s="19" t="s">
        <v>62</v>
      </c>
      <c r="M5216" s="21">
        <v>11.7</v>
      </c>
      <c r="N5216">
        <f t="shared" si="81"/>
        <v>1</v>
      </c>
    </row>
    <row r="5217" spans="1:14" x14ac:dyDescent="0.35">
      <c r="A5217" s="22" t="s">
        <v>5287</v>
      </c>
      <c r="B5217" s="23" t="s">
        <v>51</v>
      </c>
      <c r="C5217" s="23">
        <v>4</v>
      </c>
      <c r="D5217" s="24">
        <v>45772</v>
      </c>
      <c r="E5217" s="23" t="s">
        <v>25</v>
      </c>
      <c r="F5217" s="23" t="s">
        <v>43</v>
      </c>
      <c r="G5217" s="23" t="s">
        <v>8364</v>
      </c>
      <c r="H5217" s="23" t="s">
        <v>32</v>
      </c>
      <c r="I5217" s="23">
        <v>4</v>
      </c>
      <c r="J5217" s="23">
        <v>0</v>
      </c>
      <c r="K5217" s="23">
        <v>5</v>
      </c>
      <c r="L5217" s="23" t="s">
        <v>62</v>
      </c>
      <c r="M5217" s="25">
        <v>28.5</v>
      </c>
      <c r="N5217">
        <f t="shared" si="81"/>
        <v>0</v>
      </c>
    </row>
    <row r="5218" spans="1:14" x14ac:dyDescent="0.35">
      <c r="A5218" s="6" t="s">
        <v>5288</v>
      </c>
      <c r="B5218" s="19" t="s">
        <v>18</v>
      </c>
      <c r="C5218" s="19">
        <v>9</v>
      </c>
      <c r="D5218" s="20">
        <v>45921</v>
      </c>
      <c r="E5218" s="19" t="s">
        <v>20</v>
      </c>
      <c r="F5218" s="19" t="s">
        <v>40</v>
      </c>
      <c r="G5218" s="19" t="s">
        <v>31</v>
      </c>
      <c r="H5218" s="19" t="s">
        <v>22</v>
      </c>
      <c r="I5218" s="19">
        <v>24</v>
      </c>
      <c r="J5218" s="19">
        <v>0</v>
      </c>
      <c r="K5218" s="19"/>
      <c r="L5218" s="19" t="s">
        <v>38</v>
      </c>
      <c r="M5218" s="21">
        <v>3.8</v>
      </c>
      <c r="N5218">
        <f t="shared" si="81"/>
        <v>1</v>
      </c>
    </row>
    <row r="5219" spans="1:14" x14ac:dyDescent="0.35">
      <c r="A5219" s="22" t="s">
        <v>5289</v>
      </c>
      <c r="B5219" s="23" t="s">
        <v>18</v>
      </c>
      <c r="C5219" s="23">
        <v>9</v>
      </c>
      <c r="D5219" s="24">
        <v>45906</v>
      </c>
      <c r="E5219" s="23" t="s">
        <v>68</v>
      </c>
      <c r="F5219" s="23" t="s">
        <v>8364</v>
      </c>
      <c r="G5219" s="23" t="s">
        <v>21</v>
      </c>
      <c r="H5219" s="23" t="s">
        <v>16</v>
      </c>
      <c r="I5219" s="23">
        <v>24</v>
      </c>
      <c r="J5219" s="23">
        <v>0</v>
      </c>
      <c r="K5219" s="23">
        <v>4</v>
      </c>
      <c r="L5219" s="23" t="s">
        <v>33</v>
      </c>
      <c r="M5219" s="25"/>
      <c r="N5219">
        <f t="shared" si="81"/>
        <v>1</v>
      </c>
    </row>
    <row r="5220" spans="1:14" x14ac:dyDescent="0.35">
      <c r="A5220" s="6" t="s">
        <v>5290</v>
      </c>
      <c r="B5220" s="19" t="s">
        <v>18</v>
      </c>
      <c r="C5220" s="19">
        <v>10</v>
      </c>
      <c r="D5220" s="20">
        <v>45961</v>
      </c>
      <c r="E5220" s="19" t="s">
        <v>13</v>
      </c>
      <c r="F5220" s="19" t="s">
        <v>59</v>
      </c>
      <c r="G5220" s="19" t="s">
        <v>21</v>
      </c>
      <c r="H5220" s="19" t="s">
        <v>22</v>
      </c>
      <c r="I5220" s="19">
        <v>72</v>
      </c>
      <c r="J5220" s="19">
        <v>2</v>
      </c>
      <c r="K5220" s="19">
        <v>5</v>
      </c>
      <c r="L5220" s="19" t="s">
        <v>8363</v>
      </c>
      <c r="M5220" s="21">
        <v>8.6</v>
      </c>
      <c r="N5220">
        <f t="shared" si="81"/>
        <v>1</v>
      </c>
    </row>
    <row r="5221" spans="1:14" x14ac:dyDescent="0.35">
      <c r="A5221" s="22" t="s">
        <v>5291</v>
      </c>
      <c r="B5221" s="23" t="s">
        <v>89</v>
      </c>
      <c r="C5221" s="23">
        <v>11</v>
      </c>
      <c r="D5221" s="24">
        <v>45968</v>
      </c>
      <c r="E5221" s="23" t="s">
        <v>36</v>
      </c>
      <c r="F5221" s="23" t="s">
        <v>43</v>
      </c>
      <c r="G5221" s="23" t="s">
        <v>31</v>
      </c>
      <c r="H5221" s="23" t="s">
        <v>28</v>
      </c>
      <c r="I5221" s="23">
        <v>72</v>
      </c>
      <c r="J5221" s="23">
        <v>0</v>
      </c>
      <c r="K5221" s="23">
        <v>4</v>
      </c>
      <c r="L5221" s="23" t="s">
        <v>62</v>
      </c>
      <c r="M5221" s="25">
        <v>18.399999999999999</v>
      </c>
      <c r="N5221">
        <f t="shared" si="81"/>
        <v>1</v>
      </c>
    </row>
    <row r="5222" spans="1:14" x14ac:dyDescent="0.35">
      <c r="A5222" s="6" t="s">
        <v>5292</v>
      </c>
      <c r="B5222" s="19" t="s">
        <v>97</v>
      </c>
      <c r="C5222" s="19">
        <v>11</v>
      </c>
      <c r="D5222" s="20">
        <v>45982</v>
      </c>
      <c r="E5222" s="19" t="s">
        <v>8364</v>
      </c>
      <c r="F5222" s="19" t="s">
        <v>14</v>
      </c>
      <c r="G5222" s="19" t="s">
        <v>21</v>
      </c>
      <c r="H5222" s="19" t="s">
        <v>28</v>
      </c>
      <c r="I5222" s="19">
        <v>8</v>
      </c>
      <c r="J5222" s="19">
        <v>0</v>
      </c>
      <c r="K5222" s="19">
        <v>1</v>
      </c>
      <c r="L5222" s="19" t="s">
        <v>62</v>
      </c>
      <c r="M5222" s="21">
        <v>70.599999999999994</v>
      </c>
      <c r="N5222">
        <f t="shared" si="81"/>
        <v>0</v>
      </c>
    </row>
    <row r="5223" spans="1:14" x14ac:dyDescent="0.35">
      <c r="A5223" s="22" t="s">
        <v>5293</v>
      </c>
      <c r="B5223" s="23" t="s">
        <v>65</v>
      </c>
      <c r="C5223" s="23">
        <v>9</v>
      </c>
      <c r="D5223" s="24">
        <v>45928</v>
      </c>
      <c r="E5223" s="23" t="s">
        <v>13</v>
      </c>
      <c r="F5223" s="23" t="s">
        <v>59</v>
      </c>
      <c r="G5223" s="23" t="s">
        <v>31</v>
      </c>
      <c r="H5223" s="23" t="s">
        <v>28</v>
      </c>
      <c r="I5223" s="23">
        <v>24</v>
      </c>
      <c r="J5223" s="23">
        <v>0</v>
      </c>
      <c r="K5223" s="23">
        <v>4</v>
      </c>
      <c r="L5223" s="23" t="s">
        <v>75</v>
      </c>
      <c r="M5223" s="25">
        <v>5.7</v>
      </c>
      <c r="N5223">
        <f t="shared" si="81"/>
        <v>1</v>
      </c>
    </row>
    <row r="5224" spans="1:14" x14ac:dyDescent="0.35">
      <c r="A5224" s="6" t="s">
        <v>5294</v>
      </c>
      <c r="B5224" s="19" t="s">
        <v>89</v>
      </c>
      <c r="C5224" s="19">
        <v>12</v>
      </c>
      <c r="D5224" s="20">
        <v>45998</v>
      </c>
      <c r="E5224" s="19" t="s">
        <v>25</v>
      </c>
      <c r="F5224" s="19" t="s">
        <v>43</v>
      </c>
      <c r="G5224" s="19" t="s">
        <v>15</v>
      </c>
      <c r="H5224" s="19" t="s">
        <v>22</v>
      </c>
      <c r="I5224" s="19">
        <v>4</v>
      </c>
      <c r="J5224" s="19">
        <v>0</v>
      </c>
      <c r="K5224" s="19">
        <v>4</v>
      </c>
      <c r="L5224" s="19" t="s">
        <v>8363</v>
      </c>
      <c r="M5224" s="21"/>
      <c r="N5224">
        <f t="shared" si="81"/>
        <v>1</v>
      </c>
    </row>
    <row r="5225" spans="1:14" x14ac:dyDescent="0.35">
      <c r="A5225" s="22" t="s">
        <v>5295</v>
      </c>
      <c r="B5225" s="23" t="s">
        <v>69</v>
      </c>
      <c r="C5225" s="23">
        <v>3</v>
      </c>
      <c r="D5225" s="24">
        <v>45742</v>
      </c>
      <c r="E5225" s="23" t="s">
        <v>25</v>
      </c>
      <c r="F5225" s="23" t="s">
        <v>43</v>
      </c>
      <c r="G5225" s="23" t="s">
        <v>8364</v>
      </c>
      <c r="H5225" s="23" t="s">
        <v>28</v>
      </c>
      <c r="I5225" s="23">
        <v>8</v>
      </c>
      <c r="J5225" s="23">
        <v>0</v>
      </c>
      <c r="K5225" s="23">
        <v>5</v>
      </c>
      <c r="L5225" s="23" t="s">
        <v>17</v>
      </c>
      <c r="M5225" s="25">
        <v>7.3</v>
      </c>
      <c r="N5225">
        <f t="shared" si="81"/>
        <v>1</v>
      </c>
    </row>
    <row r="5226" spans="1:14" x14ac:dyDescent="0.35">
      <c r="A5226" s="6" t="s">
        <v>5296</v>
      </c>
      <c r="B5226" s="19" t="s">
        <v>72</v>
      </c>
      <c r="C5226" s="19">
        <v>1</v>
      </c>
      <c r="D5226" s="20">
        <v>45682</v>
      </c>
      <c r="E5226" s="19" t="s">
        <v>25</v>
      </c>
      <c r="F5226" s="19" t="s">
        <v>43</v>
      </c>
      <c r="G5226" s="19" t="s">
        <v>21</v>
      </c>
      <c r="H5226" s="19" t="s">
        <v>16</v>
      </c>
      <c r="I5226" s="19">
        <v>72</v>
      </c>
      <c r="J5226" s="19">
        <v>2</v>
      </c>
      <c r="K5226" s="19">
        <v>5</v>
      </c>
      <c r="L5226" s="19" t="s">
        <v>8363</v>
      </c>
      <c r="M5226" s="21">
        <v>22.9</v>
      </c>
      <c r="N5226">
        <f t="shared" si="81"/>
        <v>1</v>
      </c>
    </row>
    <row r="5227" spans="1:14" x14ac:dyDescent="0.35">
      <c r="A5227" s="22" t="s">
        <v>5297</v>
      </c>
      <c r="B5227" s="23" t="s">
        <v>139</v>
      </c>
      <c r="C5227" s="23">
        <v>8</v>
      </c>
      <c r="D5227" s="24">
        <v>45895</v>
      </c>
      <c r="E5227" s="23" t="s">
        <v>13</v>
      </c>
      <c r="F5227" s="23" t="s">
        <v>14</v>
      </c>
      <c r="G5227" s="23" t="s">
        <v>8364</v>
      </c>
      <c r="H5227" s="23" t="s">
        <v>32</v>
      </c>
      <c r="I5227" s="23">
        <v>72</v>
      </c>
      <c r="J5227" s="23">
        <v>2</v>
      </c>
      <c r="K5227" s="23">
        <v>2</v>
      </c>
      <c r="L5227" s="23" t="s">
        <v>33</v>
      </c>
      <c r="M5227" s="25">
        <v>7.3</v>
      </c>
      <c r="N5227">
        <f t="shared" si="81"/>
        <v>1</v>
      </c>
    </row>
    <row r="5228" spans="1:14" x14ac:dyDescent="0.35">
      <c r="A5228" s="6" t="s">
        <v>5298</v>
      </c>
      <c r="B5228" s="19" t="s">
        <v>47</v>
      </c>
      <c r="C5228" s="19">
        <v>5</v>
      </c>
      <c r="D5228" s="20">
        <v>45782</v>
      </c>
      <c r="E5228" s="19" t="s">
        <v>25</v>
      </c>
      <c r="F5228" s="19" t="s">
        <v>14</v>
      </c>
      <c r="G5228" s="19" t="s">
        <v>27</v>
      </c>
      <c r="H5228" s="19" t="s">
        <v>22</v>
      </c>
      <c r="I5228" s="19">
        <v>4</v>
      </c>
      <c r="J5228" s="19">
        <v>0</v>
      </c>
      <c r="K5228" s="19">
        <v>5</v>
      </c>
      <c r="L5228" s="19" t="s">
        <v>8363</v>
      </c>
      <c r="M5228" s="21">
        <v>12.8</v>
      </c>
      <c r="N5228">
        <f t="shared" si="81"/>
        <v>0</v>
      </c>
    </row>
    <row r="5229" spans="1:14" x14ac:dyDescent="0.35">
      <c r="A5229" s="22" t="s">
        <v>5299</v>
      </c>
      <c r="B5229" s="23" t="s">
        <v>34</v>
      </c>
      <c r="C5229" s="23">
        <v>1</v>
      </c>
      <c r="D5229" s="24">
        <v>45679</v>
      </c>
      <c r="E5229" s="23" t="s">
        <v>68</v>
      </c>
      <c r="F5229" s="23" t="s">
        <v>14</v>
      </c>
      <c r="G5229" s="23" t="s">
        <v>27</v>
      </c>
      <c r="H5229" s="23" t="s">
        <v>32</v>
      </c>
      <c r="I5229" s="23">
        <v>8</v>
      </c>
      <c r="J5229" s="23">
        <v>0</v>
      </c>
      <c r="K5229" s="23">
        <v>5</v>
      </c>
      <c r="L5229" s="23" t="s">
        <v>17</v>
      </c>
      <c r="M5229" s="25">
        <v>8.8000000000000007</v>
      </c>
      <c r="N5229">
        <f t="shared" si="81"/>
        <v>0</v>
      </c>
    </row>
    <row r="5230" spans="1:14" x14ac:dyDescent="0.35">
      <c r="A5230" s="6" t="s">
        <v>5300</v>
      </c>
      <c r="B5230" s="19" t="s">
        <v>65</v>
      </c>
      <c r="C5230" s="19">
        <v>1</v>
      </c>
      <c r="D5230" s="20">
        <v>45686</v>
      </c>
      <c r="E5230" s="19" t="s">
        <v>13</v>
      </c>
      <c r="F5230" s="19" t="s">
        <v>59</v>
      </c>
      <c r="G5230" s="19" t="s">
        <v>31</v>
      </c>
      <c r="H5230" s="19" t="s">
        <v>32</v>
      </c>
      <c r="I5230" s="19">
        <v>48</v>
      </c>
      <c r="J5230" s="19">
        <v>0</v>
      </c>
      <c r="K5230" s="19">
        <v>5</v>
      </c>
      <c r="L5230" s="19" t="s">
        <v>8363</v>
      </c>
      <c r="M5230" s="21">
        <v>11.4</v>
      </c>
      <c r="N5230">
        <f t="shared" si="81"/>
        <v>1</v>
      </c>
    </row>
    <row r="5231" spans="1:14" x14ac:dyDescent="0.35">
      <c r="A5231" s="22" t="s">
        <v>5301</v>
      </c>
      <c r="B5231" s="23" t="s">
        <v>146</v>
      </c>
      <c r="C5231" s="23">
        <v>2</v>
      </c>
      <c r="D5231" s="24">
        <v>45711</v>
      </c>
      <c r="E5231" s="23" t="s">
        <v>25</v>
      </c>
      <c r="F5231" s="23" t="s">
        <v>43</v>
      </c>
      <c r="G5231" s="23" t="s">
        <v>21</v>
      </c>
      <c r="H5231" s="23" t="s">
        <v>22</v>
      </c>
      <c r="I5231" s="23">
        <v>4</v>
      </c>
      <c r="J5231" s="23">
        <v>0</v>
      </c>
      <c r="K5231" s="23">
        <v>4</v>
      </c>
      <c r="L5231" s="23" t="s">
        <v>75</v>
      </c>
      <c r="M5231" s="25">
        <v>6</v>
      </c>
      <c r="N5231">
        <f t="shared" si="81"/>
        <v>0</v>
      </c>
    </row>
    <row r="5232" spans="1:14" x14ac:dyDescent="0.35">
      <c r="A5232" s="6" t="s">
        <v>5302</v>
      </c>
      <c r="B5232" s="19" t="s">
        <v>41</v>
      </c>
      <c r="C5232" s="19">
        <v>3</v>
      </c>
      <c r="D5232" s="20">
        <v>45718</v>
      </c>
      <c r="E5232" s="19" t="s">
        <v>25</v>
      </c>
      <c r="F5232" s="19" t="s">
        <v>14</v>
      </c>
      <c r="G5232" s="19" t="s">
        <v>27</v>
      </c>
      <c r="H5232" s="19" t="s">
        <v>22</v>
      </c>
      <c r="I5232" s="19">
        <v>4</v>
      </c>
      <c r="J5232" s="19">
        <v>0</v>
      </c>
      <c r="K5232" s="19">
        <v>3</v>
      </c>
      <c r="L5232" s="19" t="s">
        <v>55</v>
      </c>
      <c r="M5232" s="21">
        <v>2.8</v>
      </c>
      <c r="N5232">
        <f t="shared" si="81"/>
        <v>1</v>
      </c>
    </row>
    <row r="5233" spans="1:14" x14ac:dyDescent="0.35">
      <c r="A5233" s="22" t="s">
        <v>5303</v>
      </c>
      <c r="B5233" s="23" t="s">
        <v>139</v>
      </c>
      <c r="C5233" s="23">
        <v>7</v>
      </c>
      <c r="D5233" s="24">
        <v>45855</v>
      </c>
      <c r="E5233" s="23" t="s">
        <v>20</v>
      </c>
      <c r="F5233" s="23" t="s">
        <v>37</v>
      </c>
      <c r="G5233" s="23" t="s">
        <v>27</v>
      </c>
      <c r="H5233" s="23" t="s">
        <v>22</v>
      </c>
      <c r="I5233" s="23">
        <v>8</v>
      </c>
      <c r="J5233" s="23">
        <v>0</v>
      </c>
      <c r="K5233" s="23">
        <v>3</v>
      </c>
      <c r="L5233" s="23" t="s">
        <v>44</v>
      </c>
      <c r="M5233" s="25">
        <v>7.2</v>
      </c>
      <c r="N5233">
        <f t="shared" si="81"/>
        <v>1</v>
      </c>
    </row>
    <row r="5234" spans="1:14" x14ac:dyDescent="0.35">
      <c r="A5234" s="6" t="s">
        <v>5304</v>
      </c>
      <c r="B5234" s="19" t="s">
        <v>18</v>
      </c>
      <c r="C5234" s="19"/>
      <c r="D5234" s="20"/>
      <c r="E5234" s="19" t="s">
        <v>13</v>
      </c>
      <c r="F5234" s="19" t="s">
        <v>40</v>
      </c>
      <c r="G5234" s="19" t="s">
        <v>31</v>
      </c>
      <c r="H5234" s="19" t="s">
        <v>8364</v>
      </c>
      <c r="I5234" s="19">
        <v>4</v>
      </c>
      <c r="J5234" s="19">
        <v>0</v>
      </c>
      <c r="K5234" s="19">
        <v>5</v>
      </c>
      <c r="L5234" s="19" t="s">
        <v>44</v>
      </c>
      <c r="M5234" s="21">
        <v>10.8</v>
      </c>
      <c r="N5234">
        <f t="shared" si="81"/>
        <v>0</v>
      </c>
    </row>
    <row r="5235" spans="1:14" x14ac:dyDescent="0.35">
      <c r="A5235" s="22" t="s">
        <v>5305</v>
      </c>
      <c r="B5235" s="23" t="s">
        <v>126</v>
      </c>
      <c r="C5235" s="23">
        <v>12</v>
      </c>
      <c r="D5235" s="24">
        <v>46008</v>
      </c>
      <c r="E5235" s="23" t="s">
        <v>13</v>
      </c>
      <c r="F5235" s="23" t="s">
        <v>43</v>
      </c>
      <c r="G5235" s="23" t="s">
        <v>31</v>
      </c>
      <c r="H5235" s="23" t="s">
        <v>32</v>
      </c>
      <c r="I5235" s="23">
        <v>4</v>
      </c>
      <c r="J5235" s="23">
        <v>1</v>
      </c>
      <c r="K5235" s="23">
        <v>3</v>
      </c>
      <c r="L5235" s="23" t="s">
        <v>44</v>
      </c>
      <c r="M5235" s="25"/>
      <c r="N5235">
        <f t="shared" si="81"/>
        <v>1</v>
      </c>
    </row>
    <row r="5236" spans="1:14" x14ac:dyDescent="0.35">
      <c r="A5236" s="6" t="s">
        <v>5306</v>
      </c>
      <c r="B5236" s="19" t="s">
        <v>253</v>
      </c>
      <c r="C5236" s="19">
        <v>9</v>
      </c>
      <c r="D5236" s="20">
        <v>45912</v>
      </c>
      <c r="E5236" s="19" t="s">
        <v>8364</v>
      </c>
      <c r="F5236" s="19" t="s">
        <v>14</v>
      </c>
      <c r="G5236" s="19" t="s">
        <v>15</v>
      </c>
      <c r="H5236" s="19" t="s">
        <v>22</v>
      </c>
      <c r="I5236" s="19">
        <v>4</v>
      </c>
      <c r="J5236" s="19">
        <v>0</v>
      </c>
      <c r="K5236" s="19">
        <v>5</v>
      </c>
      <c r="L5236" s="19" t="s">
        <v>62</v>
      </c>
      <c r="M5236" s="21">
        <v>4.2</v>
      </c>
      <c r="N5236">
        <f t="shared" si="81"/>
        <v>0</v>
      </c>
    </row>
    <row r="5237" spans="1:14" x14ac:dyDescent="0.35">
      <c r="A5237" s="22" t="s">
        <v>5307</v>
      </c>
      <c r="B5237" s="23" t="s">
        <v>85</v>
      </c>
      <c r="C5237" s="23">
        <v>12</v>
      </c>
      <c r="D5237" s="24">
        <v>46003</v>
      </c>
      <c r="E5237" s="23" t="s">
        <v>68</v>
      </c>
      <c r="F5237" s="23" t="s">
        <v>37</v>
      </c>
      <c r="G5237" s="23" t="s">
        <v>27</v>
      </c>
      <c r="H5237" s="23" t="s">
        <v>16</v>
      </c>
      <c r="I5237" s="23">
        <v>24</v>
      </c>
      <c r="J5237" s="23">
        <v>0</v>
      </c>
      <c r="K5237" s="23">
        <v>4</v>
      </c>
      <c r="L5237" s="23" t="s">
        <v>55</v>
      </c>
      <c r="M5237" s="25">
        <v>11.7</v>
      </c>
      <c r="N5237">
        <f t="shared" si="81"/>
        <v>1</v>
      </c>
    </row>
    <row r="5238" spans="1:14" x14ac:dyDescent="0.35">
      <c r="A5238" s="6" t="s">
        <v>5308</v>
      </c>
      <c r="B5238" s="19" t="s">
        <v>23</v>
      </c>
      <c r="C5238" s="19">
        <v>9</v>
      </c>
      <c r="D5238" s="20">
        <v>45904</v>
      </c>
      <c r="E5238" s="19" t="s">
        <v>8364</v>
      </c>
      <c r="F5238" s="19" t="s">
        <v>59</v>
      </c>
      <c r="G5238" s="19" t="s">
        <v>15</v>
      </c>
      <c r="H5238" s="19" t="s">
        <v>28</v>
      </c>
      <c r="I5238" s="19">
        <v>4</v>
      </c>
      <c r="J5238" s="19">
        <v>1</v>
      </c>
      <c r="K5238" s="19">
        <v>3</v>
      </c>
      <c r="L5238" s="19" t="s">
        <v>55</v>
      </c>
      <c r="M5238" s="21">
        <v>29</v>
      </c>
      <c r="N5238">
        <f t="shared" si="81"/>
        <v>0</v>
      </c>
    </row>
    <row r="5239" spans="1:14" x14ac:dyDescent="0.35">
      <c r="A5239" s="22" t="s">
        <v>5309</v>
      </c>
      <c r="B5239" s="23" t="s">
        <v>69</v>
      </c>
      <c r="C5239" s="23"/>
      <c r="D5239" s="24"/>
      <c r="E5239" s="23" t="s">
        <v>36</v>
      </c>
      <c r="F5239" s="23" t="s">
        <v>40</v>
      </c>
      <c r="G5239" s="23" t="s">
        <v>31</v>
      </c>
      <c r="H5239" s="23" t="s">
        <v>28</v>
      </c>
      <c r="I5239" s="23">
        <v>24</v>
      </c>
      <c r="J5239" s="23">
        <v>1</v>
      </c>
      <c r="K5239" s="23">
        <v>3</v>
      </c>
      <c r="L5239" s="23" t="s">
        <v>8363</v>
      </c>
      <c r="M5239" s="25">
        <v>13.9</v>
      </c>
      <c r="N5239">
        <f t="shared" si="81"/>
        <v>1</v>
      </c>
    </row>
    <row r="5240" spans="1:14" x14ac:dyDescent="0.35">
      <c r="A5240" s="6" t="s">
        <v>5310</v>
      </c>
      <c r="B5240" s="19" t="s">
        <v>236</v>
      </c>
      <c r="C5240" s="19"/>
      <c r="D5240" s="20"/>
      <c r="E5240" s="19" t="s">
        <v>25</v>
      </c>
      <c r="F5240" s="19" t="s">
        <v>14</v>
      </c>
      <c r="G5240" s="19" t="s">
        <v>27</v>
      </c>
      <c r="H5240" s="19" t="s">
        <v>28</v>
      </c>
      <c r="I5240" s="19">
        <v>48</v>
      </c>
      <c r="J5240" s="19">
        <v>0</v>
      </c>
      <c r="K5240" s="19">
        <v>4</v>
      </c>
      <c r="L5240" s="19" t="s">
        <v>8363</v>
      </c>
      <c r="M5240" s="21">
        <v>19.399999999999999</v>
      </c>
      <c r="N5240">
        <f t="shared" si="81"/>
        <v>1</v>
      </c>
    </row>
    <row r="5241" spans="1:14" x14ac:dyDescent="0.35">
      <c r="A5241" s="22" t="s">
        <v>5311</v>
      </c>
      <c r="B5241" s="23" t="s">
        <v>49</v>
      </c>
      <c r="C5241" s="23">
        <v>1</v>
      </c>
      <c r="D5241" s="24">
        <v>45687</v>
      </c>
      <c r="E5241" s="23" t="s">
        <v>36</v>
      </c>
      <c r="F5241" s="23" t="s">
        <v>26</v>
      </c>
      <c r="G5241" s="23" t="s">
        <v>27</v>
      </c>
      <c r="H5241" s="23" t="s">
        <v>16</v>
      </c>
      <c r="I5241" s="23">
        <v>8</v>
      </c>
      <c r="J5241" s="23">
        <v>0</v>
      </c>
      <c r="K5241" s="23">
        <v>5</v>
      </c>
      <c r="L5241" s="23" t="s">
        <v>62</v>
      </c>
      <c r="M5241" s="25">
        <v>4.2</v>
      </c>
      <c r="N5241">
        <f t="shared" si="81"/>
        <v>1</v>
      </c>
    </row>
    <row r="5242" spans="1:14" x14ac:dyDescent="0.35">
      <c r="A5242" s="6" t="s">
        <v>5312</v>
      </c>
      <c r="B5242" s="19" t="s">
        <v>51</v>
      </c>
      <c r="C5242" s="19">
        <v>2</v>
      </c>
      <c r="D5242" s="20">
        <v>45698</v>
      </c>
      <c r="E5242" s="19" t="s">
        <v>68</v>
      </c>
      <c r="F5242" s="19" t="s">
        <v>59</v>
      </c>
      <c r="G5242" s="19" t="s">
        <v>21</v>
      </c>
      <c r="H5242" s="19" t="s">
        <v>32</v>
      </c>
      <c r="I5242" s="19">
        <v>8</v>
      </c>
      <c r="J5242" s="19">
        <v>1</v>
      </c>
      <c r="K5242" s="19">
        <v>4</v>
      </c>
      <c r="L5242" s="19" t="s">
        <v>38</v>
      </c>
      <c r="M5242" s="21">
        <v>8.5</v>
      </c>
      <c r="N5242">
        <f t="shared" si="81"/>
        <v>0</v>
      </c>
    </row>
    <row r="5243" spans="1:14" x14ac:dyDescent="0.35">
      <c r="A5243" s="22" t="s">
        <v>5313</v>
      </c>
      <c r="B5243" s="23" t="s">
        <v>97</v>
      </c>
      <c r="C5243" s="23"/>
      <c r="D5243" s="24"/>
      <c r="E5243" s="23" t="s">
        <v>8364</v>
      </c>
      <c r="F5243" s="23" t="s">
        <v>26</v>
      </c>
      <c r="G5243" s="23" t="s">
        <v>27</v>
      </c>
      <c r="H5243" s="23" t="s">
        <v>22</v>
      </c>
      <c r="I5243" s="23">
        <v>24</v>
      </c>
      <c r="J5243" s="23">
        <v>0</v>
      </c>
      <c r="K5243" s="23">
        <v>5</v>
      </c>
      <c r="L5243" s="23" t="s">
        <v>62</v>
      </c>
      <c r="M5243" s="25">
        <v>5.4</v>
      </c>
      <c r="N5243">
        <f t="shared" si="81"/>
        <v>1</v>
      </c>
    </row>
    <row r="5244" spans="1:14" x14ac:dyDescent="0.35">
      <c r="A5244" s="6" t="s">
        <v>5314</v>
      </c>
      <c r="B5244" s="19" t="s">
        <v>108</v>
      </c>
      <c r="C5244" s="19">
        <v>11</v>
      </c>
      <c r="D5244" s="20">
        <v>45972</v>
      </c>
      <c r="E5244" s="19" t="s">
        <v>25</v>
      </c>
      <c r="F5244" s="19" t="s">
        <v>26</v>
      </c>
      <c r="G5244" s="19" t="s">
        <v>27</v>
      </c>
      <c r="H5244" s="19" t="s">
        <v>28</v>
      </c>
      <c r="I5244" s="19">
        <v>8</v>
      </c>
      <c r="J5244" s="19">
        <v>0</v>
      </c>
      <c r="K5244" s="19">
        <v>4</v>
      </c>
      <c r="L5244" s="19" t="s">
        <v>62</v>
      </c>
      <c r="M5244" s="21">
        <v>7.4</v>
      </c>
      <c r="N5244">
        <f t="shared" si="81"/>
        <v>1</v>
      </c>
    </row>
    <row r="5245" spans="1:14" x14ac:dyDescent="0.35">
      <c r="A5245" s="22" t="s">
        <v>5315</v>
      </c>
      <c r="B5245" s="23" t="s">
        <v>104</v>
      </c>
      <c r="C5245" s="23">
        <v>10</v>
      </c>
      <c r="D5245" s="24">
        <v>45938</v>
      </c>
      <c r="E5245" s="23" t="s">
        <v>25</v>
      </c>
      <c r="F5245" s="23" t="s">
        <v>43</v>
      </c>
      <c r="G5245" s="23" t="s">
        <v>27</v>
      </c>
      <c r="H5245" s="23" t="s">
        <v>22</v>
      </c>
      <c r="I5245" s="23">
        <v>4</v>
      </c>
      <c r="J5245" s="23">
        <v>0</v>
      </c>
      <c r="K5245" s="23">
        <v>3</v>
      </c>
      <c r="L5245" s="23" t="s">
        <v>33</v>
      </c>
      <c r="M5245" s="25">
        <v>5.8</v>
      </c>
      <c r="N5245">
        <f t="shared" si="81"/>
        <v>0</v>
      </c>
    </row>
    <row r="5246" spans="1:14" x14ac:dyDescent="0.35">
      <c r="A5246" s="6" t="s">
        <v>5316</v>
      </c>
      <c r="B5246" s="19" t="s">
        <v>65</v>
      </c>
      <c r="C5246" s="19">
        <v>6</v>
      </c>
      <c r="D5246" s="20">
        <v>45817</v>
      </c>
      <c r="E5246" s="19" t="s">
        <v>13</v>
      </c>
      <c r="F5246" s="19" t="s">
        <v>26</v>
      </c>
      <c r="G5246" s="19" t="s">
        <v>15</v>
      </c>
      <c r="H5246" s="19" t="s">
        <v>28</v>
      </c>
      <c r="I5246" s="19">
        <v>8</v>
      </c>
      <c r="J5246" s="19">
        <v>0</v>
      </c>
      <c r="K5246" s="19">
        <v>3</v>
      </c>
      <c r="L5246" s="19" t="s">
        <v>38</v>
      </c>
      <c r="M5246" s="21">
        <v>20.399999999999999</v>
      </c>
      <c r="N5246">
        <f t="shared" si="81"/>
        <v>0</v>
      </c>
    </row>
    <row r="5247" spans="1:14" x14ac:dyDescent="0.35">
      <c r="A5247" s="22" t="s">
        <v>5317</v>
      </c>
      <c r="B5247" s="23" t="s">
        <v>87</v>
      </c>
      <c r="C5247" s="23">
        <v>2</v>
      </c>
      <c r="D5247" s="24">
        <v>45712</v>
      </c>
      <c r="E5247" s="23" t="s">
        <v>8364</v>
      </c>
      <c r="F5247" s="23" t="s">
        <v>14</v>
      </c>
      <c r="G5247" s="23" t="s">
        <v>31</v>
      </c>
      <c r="H5247" s="23" t="s">
        <v>22</v>
      </c>
      <c r="I5247" s="23">
        <v>4</v>
      </c>
      <c r="J5247" s="23">
        <v>0</v>
      </c>
      <c r="K5247" s="23">
        <v>3</v>
      </c>
      <c r="L5247" s="23" t="s">
        <v>8363</v>
      </c>
      <c r="M5247" s="25">
        <v>11.8</v>
      </c>
      <c r="N5247">
        <f t="shared" si="81"/>
        <v>0</v>
      </c>
    </row>
    <row r="5248" spans="1:14" x14ac:dyDescent="0.35">
      <c r="A5248" s="6" t="s">
        <v>5318</v>
      </c>
      <c r="B5248" s="19" t="s">
        <v>108</v>
      </c>
      <c r="C5248" s="19">
        <v>5</v>
      </c>
      <c r="D5248" s="20">
        <v>45784</v>
      </c>
      <c r="E5248" s="19" t="s">
        <v>25</v>
      </c>
      <c r="F5248" s="19" t="s">
        <v>43</v>
      </c>
      <c r="G5248" s="19" t="s">
        <v>15</v>
      </c>
      <c r="H5248" s="19" t="s">
        <v>32</v>
      </c>
      <c r="I5248" s="19">
        <v>72</v>
      </c>
      <c r="J5248" s="19">
        <v>0</v>
      </c>
      <c r="K5248" s="19">
        <v>3</v>
      </c>
      <c r="L5248" s="19" t="s">
        <v>44</v>
      </c>
      <c r="M5248" s="21">
        <v>9.1999999999999993</v>
      </c>
      <c r="N5248">
        <f t="shared" si="81"/>
        <v>1</v>
      </c>
    </row>
    <row r="5249" spans="1:14" x14ac:dyDescent="0.35">
      <c r="A5249" s="22" t="s">
        <v>5319</v>
      </c>
      <c r="B5249" s="23" t="s">
        <v>126</v>
      </c>
      <c r="C5249" s="23">
        <v>2</v>
      </c>
      <c r="D5249" s="24">
        <v>45691</v>
      </c>
      <c r="E5249" s="23" t="s">
        <v>25</v>
      </c>
      <c r="F5249" s="23" t="s">
        <v>59</v>
      </c>
      <c r="G5249" s="23" t="s">
        <v>27</v>
      </c>
      <c r="H5249" s="23" t="s">
        <v>32</v>
      </c>
      <c r="I5249" s="23">
        <v>4</v>
      </c>
      <c r="J5249" s="23">
        <v>1</v>
      </c>
      <c r="K5249" s="23">
        <v>3</v>
      </c>
      <c r="L5249" s="23" t="s">
        <v>62</v>
      </c>
      <c r="M5249" s="25">
        <v>5.6</v>
      </c>
      <c r="N5249">
        <f t="shared" si="81"/>
        <v>0</v>
      </c>
    </row>
    <row r="5250" spans="1:14" x14ac:dyDescent="0.35">
      <c r="A5250" s="6" t="s">
        <v>5320</v>
      </c>
      <c r="B5250" s="19" t="s">
        <v>139</v>
      </c>
      <c r="C5250" s="19">
        <v>10</v>
      </c>
      <c r="D5250" s="20">
        <v>45931</v>
      </c>
      <c r="E5250" s="19" t="s">
        <v>13</v>
      </c>
      <c r="F5250" s="19" t="s">
        <v>43</v>
      </c>
      <c r="G5250" s="19" t="s">
        <v>27</v>
      </c>
      <c r="H5250" s="19" t="s">
        <v>32</v>
      </c>
      <c r="I5250" s="19">
        <v>24</v>
      </c>
      <c r="J5250" s="19">
        <v>3</v>
      </c>
      <c r="K5250" s="19">
        <v>5</v>
      </c>
      <c r="L5250" s="19" t="s">
        <v>55</v>
      </c>
      <c r="M5250" s="21">
        <v>4.3</v>
      </c>
      <c r="N5250">
        <f t="shared" si="81"/>
        <v>1</v>
      </c>
    </row>
    <row r="5251" spans="1:14" x14ac:dyDescent="0.35">
      <c r="A5251" s="22" t="s">
        <v>5321</v>
      </c>
      <c r="B5251" s="23" t="s">
        <v>99</v>
      </c>
      <c r="C5251" s="23">
        <v>10</v>
      </c>
      <c r="D5251" s="24">
        <v>45938</v>
      </c>
      <c r="E5251" s="23" t="s">
        <v>8364</v>
      </c>
      <c r="F5251" s="23" t="s">
        <v>14</v>
      </c>
      <c r="G5251" s="23" t="s">
        <v>27</v>
      </c>
      <c r="H5251" s="23" t="s">
        <v>8364</v>
      </c>
      <c r="I5251" s="23">
        <v>8</v>
      </c>
      <c r="J5251" s="23">
        <v>0</v>
      </c>
      <c r="K5251" s="23">
        <v>4</v>
      </c>
      <c r="L5251" s="23" t="s">
        <v>55</v>
      </c>
      <c r="M5251" s="25">
        <v>4.7</v>
      </c>
      <c r="N5251">
        <f t="shared" ref="N5251:N5314" si="82">IF(M5251 &lt;= I5251, 1, 0)</f>
        <v>1</v>
      </c>
    </row>
    <row r="5252" spans="1:14" x14ac:dyDescent="0.35">
      <c r="A5252" s="6" t="s">
        <v>5322</v>
      </c>
      <c r="B5252" s="19" t="s">
        <v>126</v>
      </c>
      <c r="C5252" s="19">
        <v>2</v>
      </c>
      <c r="D5252" s="20">
        <v>45712</v>
      </c>
      <c r="E5252" s="19" t="s">
        <v>13</v>
      </c>
      <c r="F5252" s="19" t="s">
        <v>43</v>
      </c>
      <c r="G5252" s="19" t="s">
        <v>27</v>
      </c>
      <c r="H5252" s="19" t="s">
        <v>28</v>
      </c>
      <c r="I5252" s="19">
        <v>8</v>
      </c>
      <c r="J5252" s="19">
        <v>0</v>
      </c>
      <c r="K5252" s="19">
        <v>5</v>
      </c>
      <c r="L5252" s="19" t="s">
        <v>17</v>
      </c>
      <c r="M5252" s="21">
        <v>6.4</v>
      </c>
      <c r="N5252">
        <f t="shared" si="82"/>
        <v>1</v>
      </c>
    </row>
    <row r="5253" spans="1:14" x14ac:dyDescent="0.35">
      <c r="A5253" s="22" t="s">
        <v>5323</v>
      </c>
      <c r="B5253" s="23" t="s">
        <v>18</v>
      </c>
      <c r="C5253" s="23">
        <v>2</v>
      </c>
      <c r="D5253" s="24">
        <v>45693</v>
      </c>
      <c r="E5253" s="23" t="s">
        <v>25</v>
      </c>
      <c r="F5253" s="23" t="s">
        <v>14</v>
      </c>
      <c r="G5253" s="23" t="s">
        <v>21</v>
      </c>
      <c r="H5253" s="23" t="s">
        <v>8364</v>
      </c>
      <c r="I5253" s="23">
        <v>4</v>
      </c>
      <c r="J5253" s="23">
        <v>0</v>
      </c>
      <c r="K5253" s="23">
        <v>3</v>
      </c>
      <c r="L5253" s="23" t="s">
        <v>8363</v>
      </c>
      <c r="M5253" s="25">
        <v>22.2</v>
      </c>
      <c r="N5253">
        <f t="shared" si="82"/>
        <v>0</v>
      </c>
    </row>
    <row r="5254" spans="1:14" x14ac:dyDescent="0.35">
      <c r="A5254" s="6" t="s">
        <v>5324</v>
      </c>
      <c r="B5254" s="19" t="s">
        <v>41</v>
      </c>
      <c r="C5254" s="19">
        <v>5</v>
      </c>
      <c r="D5254" s="20">
        <v>45780</v>
      </c>
      <c r="E5254" s="19" t="s">
        <v>25</v>
      </c>
      <c r="F5254" s="19" t="s">
        <v>14</v>
      </c>
      <c r="G5254" s="19" t="s">
        <v>27</v>
      </c>
      <c r="H5254" s="19" t="s">
        <v>8364</v>
      </c>
      <c r="I5254" s="19">
        <v>4</v>
      </c>
      <c r="J5254" s="19">
        <v>3</v>
      </c>
      <c r="K5254" s="19">
        <v>5</v>
      </c>
      <c r="L5254" s="19" t="s">
        <v>17</v>
      </c>
      <c r="M5254" s="21">
        <v>24.2</v>
      </c>
      <c r="N5254">
        <f t="shared" si="82"/>
        <v>0</v>
      </c>
    </row>
    <row r="5255" spans="1:14" x14ac:dyDescent="0.35">
      <c r="A5255" s="22" t="s">
        <v>5325</v>
      </c>
      <c r="B5255" s="23" t="s">
        <v>104</v>
      </c>
      <c r="C5255" s="23">
        <v>9</v>
      </c>
      <c r="D5255" s="24">
        <v>45915</v>
      </c>
      <c r="E5255" s="23" t="s">
        <v>25</v>
      </c>
      <c r="F5255" s="23" t="s">
        <v>26</v>
      </c>
      <c r="G5255" s="23" t="s">
        <v>21</v>
      </c>
      <c r="H5255" s="23" t="s">
        <v>32</v>
      </c>
      <c r="I5255" s="23">
        <v>8</v>
      </c>
      <c r="J5255" s="23">
        <v>0</v>
      </c>
      <c r="K5255" s="23"/>
      <c r="L5255" s="23" t="s">
        <v>62</v>
      </c>
      <c r="M5255" s="25">
        <v>11.5</v>
      </c>
      <c r="N5255">
        <f t="shared" si="82"/>
        <v>0</v>
      </c>
    </row>
    <row r="5256" spans="1:14" x14ac:dyDescent="0.35">
      <c r="A5256" s="6" t="s">
        <v>5326</v>
      </c>
      <c r="B5256" s="19" t="s">
        <v>87</v>
      </c>
      <c r="C5256" s="19">
        <v>10</v>
      </c>
      <c r="D5256" s="20">
        <v>45945</v>
      </c>
      <c r="E5256" s="19" t="s">
        <v>8364</v>
      </c>
      <c r="F5256" s="19" t="s">
        <v>14</v>
      </c>
      <c r="G5256" s="19" t="s">
        <v>21</v>
      </c>
      <c r="H5256" s="19" t="s">
        <v>22</v>
      </c>
      <c r="I5256" s="19">
        <v>8</v>
      </c>
      <c r="J5256" s="19">
        <v>0</v>
      </c>
      <c r="K5256" s="19">
        <v>4</v>
      </c>
      <c r="L5256" s="19" t="s">
        <v>8363</v>
      </c>
      <c r="M5256" s="21">
        <v>20.8</v>
      </c>
      <c r="N5256">
        <f t="shared" si="82"/>
        <v>0</v>
      </c>
    </row>
    <row r="5257" spans="1:14" x14ac:dyDescent="0.35">
      <c r="A5257" s="22" t="s">
        <v>5327</v>
      </c>
      <c r="B5257" s="23" t="s">
        <v>41</v>
      </c>
      <c r="C5257" s="23">
        <v>6</v>
      </c>
      <c r="D5257" s="24">
        <v>45832</v>
      </c>
      <c r="E5257" s="23" t="s">
        <v>20</v>
      </c>
      <c r="F5257" s="23" t="s">
        <v>14</v>
      </c>
      <c r="G5257" s="23" t="s">
        <v>27</v>
      </c>
      <c r="H5257" s="23" t="s">
        <v>22</v>
      </c>
      <c r="I5257" s="23">
        <v>48</v>
      </c>
      <c r="J5257" s="23">
        <v>0</v>
      </c>
      <c r="K5257" s="23">
        <v>5</v>
      </c>
      <c r="L5257" s="23" t="s">
        <v>75</v>
      </c>
      <c r="M5257" s="25">
        <v>4.9000000000000004</v>
      </c>
      <c r="N5257">
        <f t="shared" si="82"/>
        <v>1</v>
      </c>
    </row>
    <row r="5258" spans="1:14" x14ac:dyDescent="0.35">
      <c r="A5258" s="6" t="s">
        <v>5328</v>
      </c>
      <c r="B5258" s="19" t="s">
        <v>81</v>
      </c>
      <c r="C5258" s="19">
        <v>9</v>
      </c>
      <c r="D5258" s="20">
        <v>45901</v>
      </c>
      <c r="E5258" s="19" t="s">
        <v>8364</v>
      </c>
      <c r="F5258" s="19" t="s">
        <v>14</v>
      </c>
      <c r="G5258" s="19" t="s">
        <v>27</v>
      </c>
      <c r="H5258" s="19" t="s">
        <v>16</v>
      </c>
      <c r="I5258" s="19">
        <v>24</v>
      </c>
      <c r="J5258" s="19">
        <v>0</v>
      </c>
      <c r="K5258" s="19">
        <v>4</v>
      </c>
      <c r="L5258" s="19" t="s">
        <v>17</v>
      </c>
      <c r="M5258" s="21">
        <v>8.1</v>
      </c>
      <c r="N5258">
        <f t="shared" si="82"/>
        <v>1</v>
      </c>
    </row>
    <row r="5259" spans="1:14" x14ac:dyDescent="0.35">
      <c r="A5259" s="22" t="s">
        <v>5329</v>
      </c>
      <c r="B5259" s="23" t="s">
        <v>53</v>
      </c>
      <c r="C5259" s="23">
        <v>7</v>
      </c>
      <c r="D5259" s="24">
        <v>45865</v>
      </c>
      <c r="E5259" s="23" t="s">
        <v>20</v>
      </c>
      <c r="F5259" s="23" t="s">
        <v>26</v>
      </c>
      <c r="G5259" s="23" t="s">
        <v>21</v>
      </c>
      <c r="H5259" s="23" t="s">
        <v>8364</v>
      </c>
      <c r="I5259" s="23">
        <v>48</v>
      </c>
      <c r="J5259" s="23">
        <v>0</v>
      </c>
      <c r="K5259" s="23">
        <v>3</v>
      </c>
      <c r="L5259" s="23" t="s">
        <v>38</v>
      </c>
      <c r="M5259" s="25">
        <v>5.8</v>
      </c>
      <c r="N5259">
        <f t="shared" si="82"/>
        <v>1</v>
      </c>
    </row>
    <row r="5260" spans="1:14" x14ac:dyDescent="0.35">
      <c r="A5260" s="6" t="s">
        <v>5330</v>
      </c>
      <c r="B5260" s="19" t="s">
        <v>81</v>
      </c>
      <c r="C5260" s="19">
        <v>4</v>
      </c>
      <c r="D5260" s="20">
        <v>45769</v>
      </c>
      <c r="E5260" s="19" t="s">
        <v>36</v>
      </c>
      <c r="F5260" s="19" t="s">
        <v>43</v>
      </c>
      <c r="G5260" s="19" t="s">
        <v>27</v>
      </c>
      <c r="H5260" s="19" t="s">
        <v>8364</v>
      </c>
      <c r="I5260" s="19">
        <v>24</v>
      </c>
      <c r="J5260" s="19">
        <v>0</v>
      </c>
      <c r="K5260" s="19">
        <v>3</v>
      </c>
      <c r="L5260" s="19" t="s">
        <v>55</v>
      </c>
      <c r="M5260" s="21">
        <v>8</v>
      </c>
      <c r="N5260">
        <f t="shared" si="82"/>
        <v>1</v>
      </c>
    </row>
    <row r="5261" spans="1:14" x14ac:dyDescent="0.35">
      <c r="A5261" s="22" t="s">
        <v>5331</v>
      </c>
      <c r="B5261" s="23" t="s">
        <v>34</v>
      </c>
      <c r="C5261" s="23"/>
      <c r="D5261" s="24"/>
      <c r="E5261" s="23" t="s">
        <v>13</v>
      </c>
      <c r="F5261" s="23" t="s">
        <v>43</v>
      </c>
      <c r="G5261" s="23" t="s">
        <v>15</v>
      </c>
      <c r="H5261" s="23" t="s">
        <v>22</v>
      </c>
      <c r="I5261" s="23">
        <v>4</v>
      </c>
      <c r="J5261" s="23">
        <v>0</v>
      </c>
      <c r="K5261" s="23"/>
      <c r="L5261" s="23" t="s">
        <v>55</v>
      </c>
      <c r="M5261" s="25">
        <v>6.6</v>
      </c>
      <c r="N5261">
        <f t="shared" si="82"/>
        <v>0</v>
      </c>
    </row>
    <row r="5262" spans="1:14" x14ac:dyDescent="0.35">
      <c r="A5262" s="6" t="s">
        <v>5332</v>
      </c>
      <c r="B5262" s="19" t="s">
        <v>41</v>
      </c>
      <c r="C5262" s="19"/>
      <c r="D5262" s="20"/>
      <c r="E5262" s="19" t="s">
        <v>13</v>
      </c>
      <c r="F5262" s="19" t="s">
        <v>59</v>
      </c>
      <c r="G5262" s="19" t="s">
        <v>21</v>
      </c>
      <c r="H5262" s="19" t="s">
        <v>22</v>
      </c>
      <c r="I5262" s="19">
        <v>48</v>
      </c>
      <c r="J5262" s="19">
        <v>0</v>
      </c>
      <c r="K5262" s="19">
        <v>3</v>
      </c>
      <c r="L5262" s="19" t="s">
        <v>62</v>
      </c>
      <c r="M5262" s="21">
        <v>15.1</v>
      </c>
      <c r="N5262">
        <f t="shared" si="82"/>
        <v>1</v>
      </c>
    </row>
    <row r="5263" spans="1:14" x14ac:dyDescent="0.35">
      <c r="A5263" s="22" t="s">
        <v>5333</v>
      </c>
      <c r="B5263" s="23" t="s">
        <v>29</v>
      </c>
      <c r="C5263" s="23">
        <v>5</v>
      </c>
      <c r="D5263" s="24">
        <v>45787</v>
      </c>
      <c r="E5263" s="23" t="s">
        <v>20</v>
      </c>
      <c r="F5263" s="23" t="s">
        <v>43</v>
      </c>
      <c r="G5263" s="23" t="s">
        <v>21</v>
      </c>
      <c r="H5263" s="23" t="s">
        <v>28</v>
      </c>
      <c r="I5263" s="23">
        <v>72</v>
      </c>
      <c r="J5263" s="23">
        <v>0</v>
      </c>
      <c r="K5263" s="23"/>
      <c r="L5263" s="23" t="s">
        <v>62</v>
      </c>
      <c r="M5263" s="25">
        <v>35.200000000000003</v>
      </c>
      <c r="N5263">
        <f t="shared" si="82"/>
        <v>1</v>
      </c>
    </row>
    <row r="5264" spans="1:14" x14ac:dyDescent="0.35">
      <c r="A5264" s="6" t="s">
        <v>5334</v>
      </c>
      <c r="B5264" s="19" t="s">
        <v>34</v>
      </c>
      <c r="C5264" s="19">
        <v>10</v>
      </c>
      <c r="D5264" s="20">
        <v>45944</v>
      </c>
      <c r="E5264" s="19" t="s">
        <v>68</v>
      </c>
      <c r="F5264" s="19" t="s">
        <v>14</v>
      </c>
      <c r="G5264" s="19" t="s">
        <v>8364</v>
      </c>
      <c r="H5264" s="19" t="s">
        <v>22</v>
      </c>
      <c r="I5264" s="19">
        <v>8</v>
      </c>
      <c r="J5264" s="19">
        <v>0</v>
      </c>
      <c r="K5264" s="19">
        <v>4</v>
      </c>
      <c r="L5264" s="19" t="s">
        <v>8363</v>
      </c>
      <c r="M5264" s="21">
        <v>7.5</v>
      </c>
      <c r="N5264">
        <f t="shared" si="82"/>
        <v>1</v>
      </c>
    </row>
    <row r="5265" spans="1:14" x14ac:dyDescent="0.35">
      <c r="A5265" s="22" t="s">
        <v>5335</v>
      </c>
      <c r="B5265" s="23" t="s">
        <v>41</v>
      </c>
      <c r="C5265" s="23">
        <v>11</v>
      </c>
      <c r="D5265" s="24">
        <v>45965</v>
      </c>
      <c r="E5265" s="23" t="s">
        <v>8364</v>
      </c>
      <c r="F5265" s="23" t="s">
        <v>14</v>
      </c>
      <c r="G5265" s="23" t="s">
        <v>31</v>
      </c>
      <c r="H5265" s="23" t="s">
        <v>28</v>
      </c>
      <c r="I5265" s="23">
        <v>4</v>
      </c>
      <c r="J5265" s="23">
        <v>3</v>
      </c>
      <c r="K5265" s="23">
        <v>4</v>
      </c>
      <c r="L5265" s="23" t="s">
        <v>55</v>
      </c>
      <c r="M5265" s="25">
        <v>6.3</v>
      </c>
      <c r="N5265">
        <f t="shared" si="82"/>
        <v>0</v>
      </c>
    </row>
    <row r="5266" spans="1:14" x14ac:dyDescent="0.35">
      <c r="A5266" s="6" t="s">
        <v>5336</v>
      </c>
      <c r="B5266" s="19" t="s">
        <v>108</v>
      </c>
      <c r="C5266" s="19">
        <v>1</v>
      </c>
      <c r="D5266" s="20">
        <v>45667</v>
      </c>
      <c r="E5266" s="19" t="s">
        <v>8364</v>
      </c>
      <c r="F5266" s="19" t="s">
        <v>8364</v>
      </c>
      <c r="G5266" s="19" t="s">
        <v>15</v>
      </c>
      <c r="H5266" s="19" t="s">
        <v>22</v>
      </c>
      <c r="I5266" s="19">
        <v>72</v>
      </c>
      <c r="J5266" s="19">
        <v>3</v>
      </c>
      <c r="K5266" s="19"/>
      <c r="L5266" s="19" t="s">
        <v>38</v>
      </c>
      <c r="M5266" s="21">
        <v>20</v>
      </c>
      <c r="N5266">
        <f t="shared" si="82"/>
        <v>1</v>
      </c>
    </row>
    <row r="5267" spans="1:14" x14ac:dyDescent="0.35">
      <c r="A5267" s="22" t="s">
        <v>5337</v>
      </c>
      <c r="B5267" s="23" t="s">
        <v>158</v>
      </c>
      <c r="C5267" s="23">
        <v>1</v>
      </c>
      <c r="D5267" s="24">
        <v>45685</v>
      </c>
      <c r="E5267" s="23" t="s">
        <v>25</v>
      </c>
      <c r="F5267" s="23" t="s">
        <v>8364</v>
      </c>
      <c r="G5267" s="23" t="s">
        <v>15</v>
      </c>
      <c r="H5267" s="23" t="s">
        <v>32</v>
      </c>
      <c r="I5267" s="23">
        <v>8</v>
      </c>
      <c r="J5267" s="23">
        <v>1</v>
      </c>
      <c r="K5267" s="23">
        <v>4</v>
      </c>
      <c r="L5267" s="23" t="s">
        <v>8363</v>
      </c>
      <c r="M5267" s="25"/>
      <c r="N5267">
        <f t="shared" si="82"/>
        <v>1</v>
      </c>
    </row>
    <row r="5268" spans="1:14" x14ac:dyDescent="0.35">
      <c r="A5268" s="6" t="s">
        <v>5338</v>
      </c>
      <c r="B5268" s="19" t="s">
        <v>101</v>
      </c>
      <c r="C5268" s="19">
        <v>10</v>
      </c>
      <c r="D5268" s="20">
        <v>45941</v>
      </c>
      <c r="E5268" s="19" t="s">
        <v>36</v>
      </c>
      <c r="F5268" s="19" t="s">
        <v>43</v>
      </c>
      <c r="G5268" s="19" t="s">
        <v>15</v>
      </c>
      <c r="H5268" s="19" t="s">
        <v>28</v>
      </c>
      <c r="I5268" s="19">
        <v>8</v>
      </c>
      <c r="J5268" s="19">
        <v>1</v>
      </c>
      <c r="K5268" s="19">
        <v>4</v>
      </c>
      <c r="L5268" s="19" t="s">
        <v>44</v>
      </c>
      <c r="M5268" s="21">
        <v>18</v>
      </c>
      <c r="N5268">
        <f t="shared" si="82"/>
        <v>0</v>
      </c>
    </row>
    <row r="5269" spans="1:14" x14ac:dyDescent="0.35">
      <c r="A5269" s="22" t="s">
        <v>5339</v>
      </c>
      <c r="B5269" s="23" t="s">
        <v>108</v>
      </c>
      <c r="C5269" s="23">
        <v>1</v>
      </c>
      <c r="D5269" s="24">
        <v>45667</v>
      </c>
      <c r="E5269" s="23" t="s">
        <v>20</v>
      </c>
      <c r="F5269" s="23" t="s">
        <v>43</v>
      </c>
      <c r="G5269" s="23" t="s">
        <v>31</v>
      </c>
      <c r="H5269" s="23" t="s">
        <v>28</v>
      </c>
      <c r="I5269" s="23">
        <v>8</v>
      </c>
      <c r="J5269" s="23">
        <v>0</v>
      </c>
      <c r="K5269" s="23">
        <v>2</v>
      </c>
      <c r="L5269" s="23" t="s">
        <v>33</v>
      </c>
      <c r="M5269" s="25">
        <v>9.1</v>
      </c>
      <c r="N5269">
        <f t="shared" si="82"/>
        <v>0</v>
      </c>
    </row>
    <row r="5270" spans="1:14" x14ac:dyDescent="0.35">
      <c r="A5270" s="6" t="s">
        <v>5340</v>
      </c>
      <c r="B5270" s="19" t="s">
        <v>23</v>
      </c>
      <c r="C5270" s="19">
        <v>2</v>
      </c>
      <c r="D5270" s="20">
        <v>45700</v>
      </c>
      <c r="E5270" s="19" t="s">
        <v>8364</v>
      </c>
      <c r="F5270" s="19" t="s">
        <v>43</v>
      </c>
      <c r="G5270" s="19" t="s">
        <v>27</v>
      </c>
      <c r="H5270" s="19" t="s">
        <v>22</v>
      </c>
      <c r="I5270" s="19">
        <v>4</v>
      </c>
      <c r="J5270" s="19">
        <v>1</v>
      </c>
      <c r="K5270" s="19">
        <v>5</v>
      </c>
      <c r="L5270" s="19" t="s">
        <v>44</v>
      </c>
      <c r="M5270" s="21">
        <v>10.199999999999999</v>
      </c>
      <c r="N5270">
        <f t="shared" si="82"/>
        <v>0</v>
      </c>
    </row>
    <row r="5271" spans="1:14" x14ac:dyDescent="0.35">
      <c r="A5271" s="22" t="s">
        <v>5341</v>
      </c>
      <c r="B5271" s="23" t="s">
        <v>41</v>
      </c>
      <c r="C5271" s="23">
        <v>7</v>
      </c>
      <c r="D5271" s="24">
        <v>45859</v>
      </c>
      <c r="E5271" s="23" t="s">
        <v>68</v>
      </c>
      <c r="F5271" s="23" t="s">
        <v>14</v>
      </c>
      <c r="G5271" s="23" t="s">
        <v>21</v>
      </c>
      <c r="H5271" s="23" t="s">
        <v>32</v>
      </c>
      <c r="I5271" s="23">
        <v>4</v>
      </c>
      <c r="J5271" s="23">
        <v>0</v>
      </c>
      <c r="K5271" s="23">
        <v>4</v>
      </c>
      <c r="L5271" s="23" t="s">
        <v>75</v>
      </c>
      <c r="M5271" s="25">
        <v>17.5</v>
      </c>
      <c r="N5271">
        <f t="shared" si="82"/>
        <v>0</v>
      </c>
    </row>
    <row r="5272" spans="1:14" x14ac:dyDescent="0.35">
      <c r="A5272" s="6" t="s">
        <v>5342</v>
      </c>
      <c r="B5272" s="19" t="s">
        <v>89</v>
      </c>
      <c r="C5272" s="19">
        <v>5</v>
      </c>
      <c r="D5272" s="20">
        <v>45785</v>
      </c>
      <c r="E5272" s="19" t="s">
        <v>8364</v>
      </c>
      <c r="F5272" s="19" t="s">
        <v>59</v>
      </c>
      <c r="G5272" s="19" t="s">
        <v>27</v>
      </c>
      <c r="H5272" s="19" t="s">
        <v>22</v>
      </c>
      <c r="I5272" s="19">
        <v>4</v>
      </c>
      <c r="J5272" s="19">
        <v>0</v>
      </c>
      <c r="K5272" s="19">
        <v>5</v>
      </c>
      <c r="L5272" s="19" t="s">
        <v>17</v>
      </c>
      <c r="M5272" s="21">
        <v>8.8000000000000007</v>
      </c>
      <c r="N5272">
        <f t="shared" si="82"/>
        <v>0</v>
      </c>
    </row>
    <row r="5273" spans="1:14" x14ac:dyDescent="0.35">
      <c r="A5273" s="22" t="s">
        <v>5343</v>
      </c>
      <c r="B5273" s="23" t="s">
        <v>23</v>
      </c>
      <c r="C5273" s="23">
        <v>5</v>
      </c>
      <c r="D5273" s="24">
        <v>45795</v>
      </c>
      <c r="E5273" s="23" t="s">
        <v>8364</v>
      </c>
      <c r="F5273" s="23" t="s">
        <v>59</v>
      </c>
      <c r="G5273" s="23" t="s">
        <v>21</v>
      </c>
      <c r="H5273" s="23" t="s">
        <v>8364</v>
      </c>
      <c r="I5273" s="23">
        <v>24</v>
      </c>
      <c r="J5273" s="23">
        <v>0</v>
      </c>
      <c r="K5273" s="23">
        <v>3</v>
      </c>
      <c r="L5273" s="23" t="s">
        <v>17</v>
      </c>
      <c r="M5273" s="25">
        <v>29.7</v>
      </c>
      <c r="N5273">
        <f t="shared" si="82"/>
        <v>0</v>
      </c>
    </row>
    <row r="5274" spans="1:14" x14ac:dyDescent="0.35">
      <c r="A5274" s="6" t="s">
        <v>5344</v>
      </c>
      <c r="B5274" s="19" t="s">
        <v>53</v>
      </c>
      <c r="C5274" s="19">
        <v>2</v>
      </c>
      <c r="D5274" s="20">
        <v>45699</v>
      </c>
      <c r="E5274" s="19" t="s">
        <v>25</v>
      </c>
      <c r="F5274" s="19" t="s">
        <v>8364</v>
      </c>
      <c r="G5274" s="19" t="s">
        <v>31</v>
      </c>
      <c r="H5274" s="19" t="s">
        <v>32</v>
      </c>
      <c r="I5274" s="19">
        <v>48</v>
      </c>
      <c r="J5274" s="19">
        <v>0</v>
      </c>
      <c r="K5274" s="19">
        <v>4</v>
      </c>
      <c r="L5274" s="19" t="s">
        <v>38</v>
      </c>
      <c r="M5274" s="21">
        <v>18.600000000000001</v>
      </c>
      <c r="N5274">
        <f t="shared" si="82"/>
        <v>1</v>
      </c>
    </row>
    <row r="5275" spans="1:14" x14ac:dyDescent="0.35">
      <c r="A5275" s="22" t="s">
        <v>5345</v>
      </c>
      <c r="B5275" s="23" t="s">
        <v>87</v>
      </c>
      <c r="C5275" s="23">
        <v>9</v>
      </c>
      <c r="D5275" s="24">
        <v>45921</v>
      </c>
      <c r="E5275" s="23" t="s">
        <v>8364</v>
      </c>
      <c r="F5275" s="23" t="s">
        <v>8364</v>
      </c>
      <c r="G5275" s="23" t="s">
        <v>27</v>
      </c>
      <c r="H5275" s="23" t="s">
        <v>28</v>
      </c>
      <c r="I5275" s="23">
        <v>8</v>
      </c>
      <c r="J5275" s="23">
        <v>1</v>
      </c>
      <c r="K5275" s="23">
        <v>4</v>
      </c>
      <c r="L5275" s="23" t="s">
        <v>8363</v>
      </c>
      <c r="M5275" s="25">
        <v>23.1</v>
      </c>
      <c r="N5275">
        <f t="shared" si="82"/>
        <v>0</v>
      </c>
    </row>
    <row r="5276" spans="1:14" x14ac:dyDescent="0.35">
      <c r="A5276" s="6" t="s">
        <v>5346</v>
      </c>
      <c r="B5276" s="19" t="s">
        <v>89</v>
      </c>
      <c r="C5276" s="19">
        <v>6</v>
      </c>
      <c r="D5276" s="20">
        <v>45820</v>
      </c>
      <c r="E5276" s="19" t="s">
        <v>13</v>
      </c>
      <c r="F5276" s="19" t="s">
        <v>40</v>
      </c>
      <c r="G5276" s="19" t="s">
        <v>31</v>
      </c>
      <c r="H5276" s="19" t="s">
        <v>22</v>
      </c>
      <c r="I5276" s="19">
        <v>4</v>
      </c>
      <c r="J5276" s="19">
        <v>1</v>
      </c>
      <c r="K5276" s="19">
        <v>5</v>
      </c>
      <c r="L5276" s="19" t="s">
        <v>38</v>
      </c>
      <c r="M5276" s="21"/>
      <c r="N5276">
        <f t="shared" si="82"/>
        <v>1</v>
      </c>
    </row>
    <row r="5277" spans="1:14" x14ac:dyDescent="0.35">
      <c r="A5277" s="22" t="s">
        <v>5347</v>
      </c>
      <c r="B5277" s="23" t="s">
        <v>51</v>
      </c>
      <c r="C5277" s="23"/>
      <c r="D5277" s="24"/>
      <c r="E5277" s="23" t="s">
        <v>25</v>
      </c>
      <c r="F5277" s="23" t="s">
        <v>43</v>
      </c>
      <c r="G5277" s="23" t="s">
        <v>27</v>
      </c>
      <c r="H5277" s="23" t="s">
        <v>22</v>
      </c>
      <c r="I5277" s="23">
        <v>4</v>
      </c>
      <c r="J5277" s="23">
        <v>0</v>
      </c>
      <c r="K5277" s="23">
        <v>4</v>
      </c>
      <c r="L5277" s="23" t="s">
        <v>75</v>
      </c>
      <c r="M5277" s="25">
        <v>5.4</v>
      </c>
      <c r="N5277">
        <f t="shared" si="82"/>
        <v>0</v>
      </c>
    </row>
    <row r="5278" spans="1:14" x14ac:dyDescent="0.35">
      <c r="A5278" s="6" t="s">
        <v>5348</v>
      </c>
      <c r="B5278" s="19" t="s">
        <v>89</v>
      </c>
      <c r="C5278" s="19">
        <v>10</v>
      </c>
      <c r="D5278" s="20">
        <v>45956</v>
      </c>
      <c r="E5278" s="19" t="s">
        <v>13</v>
      </c>
      <c r="F5278" s="19" t="s">
        <v>43</v>
      </c>
      <c r="G5278" s="19" t="s">
        <v>31</v>
      </c>
      <c r="H5278" s="19" t="s">
        <v>22</v>
      </c>
      <c r="I5278" s="19">
        <v>24</v>
      </c>
      <c r="J5278" s="19">
        <v>0</v>
      </c>
      <c r="K5278" s="19">
        <v>4</v>
      </c>
      <c r="L5278" s="19" t="s">
        <v>44</v>
      </c>
      <c r="M5278" s="21">
        <v>5.7</v>
      </c>
      <c r="N5278">
        <f t="shared" si="82"/>
        <v>1</v>
      </c>
    </row>
    <row r="5279" spans="1:14" x14ac:dyDescent="0.35">
      <c r="A5279" s="22" t="s">
        <v>5349</v>
      </c>
      <c r="B5279" s="23" t="s">
        <v>87</v>
      </c>
      <c r="C5279" s="23">
        <v>10</v>
      </c>
      <c r="D5279" s="24">
        <v>45931</v>
      </c>
      <c r="E5279" s="23" t="s">
        <v>36</v>
      </c>
      <c r="F5279" s="23" t="s">
        <v>26</v>
      </c>
      <c r="G5279" s="23" t="s">
        <v>21</v>
      </c>
      <c r="H5279" s="23" t="s">
        <v>8364</v>
      </c>
      <c r="I5279" s="23">
        <v>72</v>
      </c>
      <c r="J5279" s="23">
        <v>0</v>
      </c>
      <c r="K5279" s="23">
        <v>5</v>
      </c>
      <c r="L5279" s="23" t="s">
        <v>75</v>
      </c>
      <c r="M5279" s="25">
        <v>5.3</v>
      </c>
      <c r="N5279">
        <f t="shared" si="82"/>
        <v>1</v>
      </c>
    </row>
    <row r="5280" spans="1:14" x14ac:dyDescent="0.35">
      <c r="A5280" s="6" t="s">
        <v>5350</v>
      </c>
      <c r="B5280" s="19" t="s">
        <v>253</v>
      </c>
      <c r="C5280" s="19"/>
      <c r="D5280" s="20"/>
      <c r="E5280" s="19" t="s">
        <v>13</v>
      </c>
      <c r="F5280" s="19" t="s">
        <v>8364</v>
      </c>
      <c r="G5280" s="19" t="s">
        <v>31</v>
      </c>
      <c r="H5280" s="19" t="s">
        <v>16</v>
      </c>
      <c r="I5280" s="19">
        <v>8</v>
      </c>
      <c r="J5280" s="19">
        <v>0</v>
      </c>
      <c r="K5280" s="19">
        <v>3</v>
      </c>
      <c r="L5280" s="19" t="s">
        <v>33</v>
      </c>
      <c r="M5280" s="21">
        <v>9.5</v>
      </c>
      <c r="N5280">
        <f t="shared" si="82"/>
        <v>0</v>
      </c>
    </row>
    <row r="5281" spans="1:14" x14ac:dyDescent="0.35">
      <c r="A5281" s="22" t="s">
        <v>5351</v>
      </c>
      <c r="B5281" s="23" t="s">
        <v>18</v>
      </c>
      <c r="C5281" s="23">
        <v>10</v>
      </c>
      <c r="D5281" s="24">
        <v>45961</v>
      </c>
      <c r="E5281" s="23" t="s">
        <v>8364</v>
      </c>
      <c r="F5281" s="23" t="s">
        <v>43</v>
      </c>
      <c r="G5281" s="23" t="s">
        <v>15</v>
      </c>
      <c r="H5281" s="23" t="s">
        <v>8364</v>
      </c>
      <c r="I5281" s="23">
        <v>72</v>
      </c>
      <c r="J5281" s="23">
        <v>0</v>
      </c>
      <c r="K5281" s="23">
        <v>4</v>
      </c>
      <c r="L5281" s="23" t="s">
        <v>55</v>
      </c>
      <c r="M5281" s="25">
        <v>20.6</v>
      </c>
      <c r="N5281">
        <f t="shared" si="82"/>
        <v>1</v>
      </c>
    </row>
    <row r="5282" spans="1:14" x14ac:dyDescent="0.35">
      <c r="A5282" s="6" t="s">
        <v>5352</v>
      </c>
      <c r="B5282" s="19" t="s">
        <v>89</v>
      </c>
      <c r="C5282" s="19">
        <v>1</v>
      </c>
      <c r="D5282" s="20">
        <v>45662</v>
      </c>
      <c r="E5282" s="19" t="s">
        <v>13</v>
      </c>
      <c r="F5282" s="19" t="s">
        <v>14</v>
      </c>
      <c r="G5282" s="19" t="s">
        <v>21</v>
      </c>
      <c r="H5282" s="19" t="s">
        <v>22</v>
      </c>
      <c r="I5282" s="19">
        <v>72</v>
      </c>
      <c r="J5282" s="19">
        <v>0</v>
      </c>
      <c r="K5282" s="19">
        <v>3</v>
      </c>
      <c r="L5282" s="19" t="s">
        <v>38</v>
      </c>
      <c r="M5282" s="21">
        <v>35.6</v>
      </c>
      <c r="N5282">
        <f t="shared" si="82"/>
        <v>1</v>
      </c>
    </row>
    <row r="5283" spans="1:14" x14ac:dyDescent="0.35">
      <c r="A5283" s="22" t="s">
        <v>5353</v>
      </c>
      <c r="B5283" s="23" t="s">
        <v>108</v>
      </c>
      <c r="C5283" s="23">
        <v>10</v>
      </c>
      <c r="D5283" s="24">
        <v>45938</v>
      </c>
      <c r="E5283" s="23" t="s">
        <v>20</v>
      </c>
      <c r="F5283" s="23" t="s">
        <v>37</v>
      </c>
      <c r="G5283" s="23" t="s">
        <v>15</v>
      </c>
      <c r="H5283" s="23" t="s">
        <v>22</v>
      </c>
      <c r="I5283" s="23">
        <v>48</v>
      </c>
      <c r="J5283" s="23">
        <v>0</v>
      </c>
      <c r="K5283" s="23">
        <v>1</v>
      </c>
      <c r="L5283" s="23" t="s">
        <v>75</v>
      </c>
      <c r="M5283" s="25">
        <v>12.2</v>
      </c>
      <c r="N5283">
        <f t="shared" si="82"/>
        <v>1</v>
      </c>
    </row>
    <row r="5284" spans="1:14" x14ac:dyDescent="0.35">
      <c r="A5284" s="6" t="s">
        <v>5354</v>
      </c>
      <c r="B5284" s="19" t="s">
        <v>39</v>
      </c>
      <c r="C5284" s="19">
        <v>6</v>
      </c>
      <c r="D5284" s="20">
        <v>45837</v>
      </c>
      <c r="E5284" s="19" t="s">
        <v>20</v>
      </c>
      <c r="F5284" s="19" t="s">
        <v>59</v>
      </c>
      <c r="G5284" s="19" t="s">
        <v>21</v>
      </c>
      <c r="H5284" s="19" t="s">
        <v>22</v>
      </c>
      <c r="I5284" s="19">
        <v>8</v>
      </c>
      <c r="J5284" s="19">
        <v>0</v>
      </c>
      <c r="K5284" s="19"/>
      <c r="L5284" s="19" t="s">
        <v>33</v>
      </c>
      <c r="M5284" s="21">
        <v>13.9</v>
      </c>
      <c r="N5284">
        <f t="shared" si="82"/>
        <v>0</v>
      </c>
    </row>
    <row r="5285" spans="1:14" x14ac:dyDescent="0.35">
      <c r="A5285" s="22" t="s">
        <v>5355</v>
      </c>
      <c r="B5285" s="23" t="s">
        <v>104</v>
      </c>
      <c r="C5285" s="23"/>
      <c r="D5285" s="24"/>
      <c r="E5285" s="23" t="s">
        <v>8364</v>
      </c>
      <c r="F5285" s="23" t="s">
        <v>40</v>
      </c>
      <c r="G5285" s="23" t="s">
        <v>27</v>
      </c>
      <c r="H5285" s="23" t="s">
        <v>22</v>
      </c>
      <c r="I5285" s="23">
        <v>4</v>
      </c>
      <c r="J5285" s="23">
        <v>1</v>
      </c>
      <c r="K5285" s="23">
        <v>1</v>
      </c>
      <c r="L5285" s="23" t="s">
        <v>55</v>
      </c>
      <c r="M5285" s="25">
        <v>4.4000000000000004</v>
      </c>
      <c r="N5285">
        <f t="shared" si="82"/>
        <v>0</v>
      </c>
    </row>
    <row r="5286" spans="1:14" x14ac:dyDescent="0.35">
      <c r="A5286" s="6" t="s">
        <v>5356</v>
      </c>
      <c r="B5286" s="19" t="s">
        <v>130</v>
      </c>
      <c r="C5286" s="19">
        <v>8</v>
      </c>
      <c r="D5286" s="20">
        <v>45896</v>
      </c>
      <c r="E5286" s="19" t="s">
        <v>8364</v>
      </c>
      <c r="F5286" s="19" t="s">
        <v>43</v>
      </c>
      <c r="G5286" s="19" t="s">
        <v>27</v>
      </c>
      <c r="H5286" s="19" t="s">
        <v>28</v>
      </c>
      <c r="I5286" s="19">
        <v>4</v>
      </c>
      <c r="J5286" s="19">
        <v>0</v>
      </c>
      <c r="K5286" s="19">
        <v>4</v>
      </c>
      <c r="L5286" s="19" t="s">
        <v>17</v>
      </c>
      <c r="M5286" s="21">
        <v>7.6</v>
      </c>
      <c r="N5286">
        <f t="shared" si="82"/>
        <v>0</v>
      </c>
    </row>
    <row r="5287" spans="1:14" x14ac:dyDescent="0.35">
      <c r="A5287" s="22" t="s">
        <v>5357</v>
      </c>
      <c r="B5287" s="23" t="s">
        <v>181</v>
      </c>
      <c r="C5287" s="23">
        <v>11</v>
      </c>
      <c r="D5287" s="24">
        <v>45990</v>
      </c>
      <c r="E5287" s="23" t="s">
        <v>25</v>
      </c>
      <c r="F5287" s="23" t="s">
        <v>14</v>
      </c>
      <c r="G5287" s="23" t="s">
        <v>8364</v>
      </c>
      <c r="H5287" s="23" t="s">
        <v>32</v>
      </c>
      <c r="I5287" s="23">
        <v>24</v>
      </c>
      <c r="J5287" s="23">
        <v>0</v>
      </c>
      <c r="K5287" s="23">
        <v>3</v>
      </c>
      <c r="L5287" s="23" t="s">
        <v>17</v>
      </c>
      <c r="M5287" s="25">
        <v>18.2</v>
      </c>
      <c r="N5287">
        <f t="shared" si="82"/>
        <v>1</v>
      </c>
    </row>
    <row r="5288" spans="1:14" x14ac:dyDescent="0.35">
      <c r="A5288" s="6" t="s">
        <v>5358</v>
      </c>
      <c r="B5288" s="19" t="s">
        <v>53</v>
      </c>
      <c r="C5288" s="19">
        <v>2</v>
      </c>
      <c r="D5288" s="20">
        <v>45694</v>
      </c>
      <c r="E5288" s="19" t="s">
        <v>25</v>
      </c>
      <c r="F5288" s="19" t="s">
        <v>40</v>
      </c>
      <c r="G5288" s="19" t="s">
        <v>21</v>
      </c>
      <c r="H5288" s="19" t="s">
        <v>22</v>
      </c>
      <c r="I5288" s="19">
        <v>4</v>
      </c>
      <c r="J5288" s="19">
        <v>0</v>
      </c>
      <c r="K5288" s="19">
        <v>4</v>
      </c>
      <c r="L5288" s="19" t="s">
        <v>33</v>
      </c>
      <c r="M5288" s="21">
        <v>13.9</v>
      </c>
      <c r="N5288">
        <f t="shared" si="82"/>
        <v>0</v>
      </c>
    </row>
    <row r="5289" spans="1:14" x14ac:dyDescent="0.35">
      <c r="A5289" s="22" t="s">
        <v>5359</v>
      </c>
      <c r="B5289" s="23" t="s">
        <v>87</v>
      </c>
      <c r="C5289" s="23">
        <v>6</v>
      </c>
      <c r="D5289" s="24">
        <v>45823</v>
      </c>
      <c r="E5289" s="23" t="s">
        <v>68</v>
      </c>
      <c r="F5289" s="23" t="s">
        <v>8364</v>
      </c>
      <c r="G5289" s="23" t="s">
        <v>21</v>
      </c>
      <c r="H5289" s="23" t="s">
        <v>16</v>
      </c>
      <c r="I5289" s="23">
        <v>72</v>
      </c>
      <c r="J5289" s="23">
        <v>0</v>
      </c>
      <c r="K5289" s="23">
        <v>4</v>
      </c>
      <c r="L5289" s="23" t="s">
        <v>62</v>
      </c>
      <c r="M5289" s="25">
        <v>13.2</v>
      </c>
      <c r="N5289">
        <f t="shared" si="82"/>
        <v>1</v>
      </c>
    </row>
    <row r="5290" spans="1:14" x14ac:dyDescent="0.35">
      <c r="A5290" s="6" t="s">
        <v>5360</v>
      </c>
      <c r="B5290" s="19" t="s">
        <v>39</v>
      </c>
      <c r="C5290" s="19">
        <v>8</v>
      </c>
      <c r="D5290" s="20">
        <v>45877</v>
      </c>
      <c r="E5290" s="19" t="s">
        <v>25</v>
      </c>
      <c r="F5290" s="19" t="s">
        <v>40</v>
      </c>
      <c r="G5290" s="19" t="s">
        <v>21</v>
      </c>
      <c r="H5290" s="19" t="s">
        <v>8364</v>
      </c>
      <c r="I5290" s="19">
        <v>24</v>
      </c>
      <c r="J5290" s="19">
        <v>0</v>
      </c>
      <c r="K5290" s="19"/>
      <c r="L5290" s="19" t="s">
        <v>17</v>
      </c>
      <c r="M5290" s="21">
        <v>8.1</v>
      </c>
      <c r="N5290">
        <f t="shared" si="82"/>
        <v>1</v>
      </c>
    </row>
    <row r="5291" spans="1:14" x14ac:dyDescent="0.35">
      <c r="A5291" s="22" t="s">
        <v>5361</v>
      </c>
      <c r="B5291" s="23" t="s">
        <v>87</v>
      </c>
      <c r="C5291" s="23">
        <v>2</v>
      </c>
      <c r="D5291" s="24">
        <v>45705</v>
      </c>
      <c r="E5291" s="23" t="s">
        <v>68</v>
      </c>
      <c r="F5291" s="23" t="s">
        <v>14</v>
      </c>
      <c r="G5291" s="23" t="s">
        <v>15</v>
      </c>
      <c r="H5291" s="23" t="s">
        <v>22</v>
      </c>
      <c r="I5291" s="23">
        <v>24</v>
      </c>
      <c r="J5291" s="23">
        <v>0</v>
      </c>
      <c r="K5291" s="23">
        <v>3</v>
      </c>
      <c r="L5291" s="23" t="s">
        <v>75</v>
      </c>
      <c r="M5291" s="25"/>
      <c r="N5291">
        <f t="shared" si="82"/>
        <v>1</v>
      </c>
    </row>
    <row r="5292" spans="1:14" x14ac:dyDescent="0.35">
      <c r="A5292" s="6" t="s">
        <v>5362</v>
      </c>
      <c r="B5292" s="19" t="s">
        <v>104</v>
      </c>
      <c r="C5292" s="19"/>
      <c r="D5292" s="20"/>
      <c r="E5292" s="19" t="s">
        <v>25</v>
      </c>
      <c r="F5292" s="19" t="s">
        <v>37</v>
      </c>
      <c r="G5292" s="19" t="s">
        <v>31</v>
      </c>
      <c r="H5292" s="19" t="s">
        <v>32</v>
      </c>
      <c r="I5292" s="19">
        <v>8</v>
      </c>
      <c r="J5292" s="19">
        <v>2</v>
      </c>
      <c r="K5292" s="19"/>
      <c r="L5292" s="19" t="s">
        <v>8363</v>
      </c>
      <c r="M5292" s="21"/>
      <c r="N5292">
        <f t="shared" si="82"/>
        <v>1</v>
      </c>
    </row>
    <row r="5293" spans="1:14" x14ac:dyDescent="0.35">
      <c r="A5293" s="22" t="s">
        <v>5363</v>
      </c>
      <c r="B5293" s="23" t="s">
        <v>65</v>
      </c>
      <c r="C5293" s="23">
        <v>9</v>
      </c>
      <c r="D5293" s="24">
        <v>45905</v>
      </c>
      <c r="E5293" s="23" t="s">
        <v>20</v>
      </c>
      <c r="F5293" s="23" t="s">
        <v>43</v>
      </c>
      <c r="G5293" s="23" t="s">
        <v>27</v>
      </c>
      <c r="H5293" s="23" t="s">
        <v>32</v>
      </c>
      <c r="I5293" s="23">
        <v>48</v>
      </c>
      <c r="J5293" s="23">
        <v>0</v>
      </c>
      <c r="K5293" s="23">
        <v>4</v>
      </c>
      <c r="L5293" s="23" t="s">
        <v>17</v>
      </c>
      <c r="M5293" s="25">
        <v>8.1999999999999993</v>
      </c>
      <c r="N5293">
        <f t="shared" si="82"/>
        <v>1</v>
      </c>
    </row>
    <row r="5294" spans="1:14" x14ac:dyDescent="0.35">
      <c r="A5294" s="6" t="s">
        <v>5364</v>
      </c>
      <c r="B5294" s="19" t="s">
        <v>72</v>
      </c>
      <c r="C5294" s="19"/>
      <c r="D5294" s="20"/>
      <c r="E5294" s="19" t="s">
        <v>25</v>
      </c>
      <c r="F5294" s="19" t="s">
        <v>37</v>
      </c>
      <c r="G5294" s="19" t="s">
        <v>21</v>
      </c>
      <c r="H5294" s="19" t="s">
        <v>28</v>
      </c>
      <c r="I5294" s="19">
        <v>24</v>
      </c>
      <c r="J5294" s="19">
        <v>0</v>
      </c>
      <c r="K5294" s="19">
        <v>3</v>
      </c>
      <c r="L5294" s="19" t="s">
        <v>33</v>
      </c>
      <c r="M5294" s="21">
        <v>3.2</v>
      </c>
      <c r="N5294">
        <f t="shared" si="82"/>
        <v>1</v>
      </c>
    </row>
    <row r="5295" spans="1:14" x14ac:dyDescent="0.35">
      <c r="A5295" s="22" t="s">
        <v>5365</v>
      </c>
      <c r="B5295" s="23" t="s">
        <v>51</v>
      </c>
      <c r="C5295" s="23">
        <v>6</v>
      </c>
      <c r="D5295" s="24">
        <v>45820</v>
      </c>
      <c r="E5295" s="23" t="s">
        <v>13</v>
      </c>
      <c r="F5295" s="23" t="s">
        <v>14</v>
      </c>
      <c r="G5295" s="23" t="s">
        <v>31</v>
      </c>
      <c r="H5295" s="23" t="s">
        <v>28</v>
      </c>
      <c r="I5295" s="23">
        <v>4</v>
      </c>
      <c r="J5295" s="23">
        <v>0</v>
      </c>
      <c r="K5295" s="23">
        <v>4</v>
      </c>
      <c r="L5295" s="23" t="s">
        <v>62</v>
      </c>
      <c r="M5295" s="25">
        <v>27.7</v>
      </c>
      <c r="N5295">
        <f t="shared" si="82"/>
        <v>0</v>
      </c>
    </row>
    <row r="5296" spans="1:14" x14ac:dyDescent="0.35">
      <c r="A5296" s="6" t="s">
        <v>5366</v>
      </c>
      <c r="B5296" s="19" t="s">
        <v>78</v>
      </c>
      <c r="C5296" s="19">
        <v>3</v>
      </c>
      <c r="D5296" s="20">
        <v>45739</v>
      </c>
      <c r="E5296" s="19" t="s">
        <v>20</v>
      </c>
      <c r="F5296" s="19" t="s">
        <v>43</v>
      </c>
      <c r="G5296" s="19" t="s">
        <v>27</v>
      </c>
      <c r="H5296" s="19" t="s">
        <v>28</v>
      </c>
      <c r="I5296" s="19">
        <v>72</v>
      </c>
      <c r="J5296" s="19">
        <v>0</v>
      </c>
      <c r="K5296" s="19">
        <v>5</v>
      </c>
      <c r="L5296" s="19" t="s">
        <v>62</v>
      </c>
      <c r="M5296" s="21"/>
      <c r="N5296">
        <f t="shared" si="82"/>
        <v>1</v>
      </c>
    </row>
    <row r="5297" spans="1:14" x14ac:dyDescent="0.35">
      <c r="A5297" s="22" t="s">
        <v>5367</v>
      </c>
      <c r="B5297" s="23" t="s">
        <v>41</v>
      </c>
      <c r="C5297" s="23">
        <v>2</v>
      </c>
      <c r="D5297" s="24">
        <v>45701</v>
      </c>
      <c r="E5297" s="23" t="s">
        <v>8364</v>
      </c>
      <c r="F5297" s="23" t="s">
        <v>37</v>
      </c>
      <c r="G5297" s="23" t="s">
        <v>31</v>
      </c>
      <c r="H5297" s="23" t="s">
        <v>16</v>
      </c>
      <c r="I5297" s="23">
        <v>48</v>
      </c>
      <c r="J5297" s="23">
        <v>0</v>
      </c>
      <c r="K5297" s="23">
        <v>5</v>
      </c>
      <c r="L5297" s="23" t="s">
        <v>17</v>
      </c>
      <c r="M5297" s="25">
        <v>13</v>
      </c>
      <c r="N5297">
        <f t="shared" si="82"/>
        <v>1</v>
      </c>
    </row>
    <row r="5298" spans="1:14" x14ac:dyDescent="0.35">
      <c r="A5298" s="6" t="s">
        <v>5368</v>
      </c>
      <c r="B5298" s="19" t="s">
        <v>146</v>
      </c>
      <c r="C5298" s="19">
        <v>11</v>
      </c>
      <c r="D5298" s="20">
        <v>45986</v>
      </c>
      <c r="E5298" s="19" t="s">
        <v>20</v>
      </c>
      <c r="F5298" s="19" t="s">
        <v>37</v>
      </c>
      <c r="G5298" s="19" t="s">
        <v>21</v>
      </c>
      <c r="H5298" s="19" t="s">
        <v>22</v>
      </c>
      <c r="I5298" s="19">
        <v>24</v>
      </c>
      <c r="J5298" s="19">
        <v>1</v>
      </c>
      <c r="K5298" s="19">
        <v>4</v>
      </c>
      <c r="L5298" s="19" t="s">
        <v>33</v>
      </c>
      <c r="M5298" s="21">
        <v>13.3</v>
      </c>
      <c r="N5298">
        <f t="shared" si="82"/>
        <v>1</v>
      </c>
    </row>
    <row r="5299" spans="1:14" x14ac:dyDescent="0.35">
      <c r="A5299" s="22" t="s">
        <v>5369</v>
      </c>
      <c r="B5299" s="23" t="s">
        <v>81</v>
      </c>
      <c r="C5299" s="23">
        <v>2</v>
      </c>
      <c r="D5299" s="24">
        <v>45689</v>
      </c>
      <c r="E5299" s="23" t="s">
        <v>20</v>
      </c>
      <c r="F5299" s="23" t="s">
        <v>14</v>
      </c>
      <c r="G5299" s="23" t="s">
        <v>27</v>
      </c>
      <c r="H5299" s="23" t="s">
        <v>22</v>
      </c>
      <c r="I5299" s="23">
        <v>4</v>
      </c>
      <c r="J5299" s="23">
        <v>0</v>
      </c>
      <c r="K5299" s="23">
        <v>2</v>
      </c>
      <c r="L5299" s="23" t="s">
        <v>33</v>
      </c>
      <c r="M5299" s="25">
        <v>2.6</v>
      </c>
      <c r="N5299">
        <f t="shared" si="82"/>
        <v>1</v>
      </c>
    </row>
    <row r="5300" spans="1:14" x14ac:dyDescent="0.35">
      <c r="A5300" s="6" t="s">
        <v>5370</v>
      </c>
      <c r="B5300" s="19" t="s">
        <v>72</v>
      </c>
      <c r="C5300" s="19">
        <v>7</v>
      </c>
      <c r="D5300" s="20">
        <v>45858</v>
      </c>
      <c r="E5300" s="19" t="s">
        <v>25</v>
      </c>
      <c r="F5300" s="19" t="s">
        <v>43</v>
      </c>
      <c r="G5300" s="19" t="s">
        <v>31</v>
      </c>
      <c r="H5300" s="19" t="s">
        <v>28</v>
      </c>
      <c r="I5300" s="19">
        <v>8</v>
      </c>
      <c r="J5300" s="19">
        <v>0</v>
      </c>
      <c r="K5300" s="19">
        <v>1</v>
      </c>
      <c r="L5300" s="19" t="s">
        <v>44</v>
      </c>
      <c r="M5300" s="21">
        <v>13.2</v>
      </c>
      <c r="N5300">
        <f t="shared" si="82"/>
        <v>0</v>
      </c>
    </row>
    <row r="5301" spans="1:14" x14ac:dyDescent="0.35">
      <c r="A5301" s="22" t="s">
        <v>5371</v>
      </c>
      <c r="B5301" s="23" t="s">
        <v>99</v>
      </c>
      <c r="C5301" s="23">
        <v>11</v>
      </c>
      <c r="D5301" s="24">
        <v>45975</v>
      </c>
      <c r="E5301" s="23" t="s">
        <v>68</v>
      </c>
      <c r="F5301" s="23" t="s">
        <v>26</v>
      </c>
      <c r="G5301" s="23" t="s">
        <v>21</v>
      </c>
      <c r="H5301" s="23" t="s">
        <v>32</v>
      </c>
      <c r="I5301" s="23">
        <v>72</v>
      </c>
      <c r="J5301" s="23">
        <v>0</v>
      </c>
      <c r="K5301" s="23">
        <v>5</v>
      </c>
      <c r="L5301" s="23" t="s">
        <v>62</v>
      </c>
      <c r="M5301" s="25">
        <v>8.1999999999999993</v>
      </c>
      <c r="N5301">
        <f t="shared" si="82"/>
        <v>1</v>
      </c>
    </row>
    <row r="5302" spans="1:14" x14ac:dyDescent="0.35">
      <c r="A5302" s="6" t="s">
        <v>5372</v>
      </c>
      <c r="B5302" s="19" t="s">
        <v>53</v>
      </c>
      <c r="C5302" s="19">
        <v>2</v>
      </c>
      <c r="D5302" s="20">
        <v>45704</v>
      </c>
      <c r="E5302" s="19" t="s">
        <v>25</v>
      </c>
      <c r="F5302" s="19" t="s">
        <v>26</v>
      </c>
      <c r="G5302" s="19" t="s">
        <v>31</v>
      </c>
      <c r="H5302" s="19" t="s">
        <v>8364</v>
      </c>
      <c r="I5302" s="19">
        <v>8</v>
      </c>
      <c r="J5302" s="19">
        <v>3</v>
      </c>
      <c r="K5302" s="19">
        <v>3</v>
      </c>
      <c r="L5302" s="19" t="s">
        <v>17</v>
      </c>
      <c r="M5302" s="21">
        <v>12.4</v>
      </c>
      <c r="N5302">
        <f t="shared" si="82"/>
        <v>0</v>
      </c>
    </row>
    <row r="5303" spans="1:14" x14ac:dyDescent="0.35">
      <c r="A5303" s="22" t="s">
        <v>5373</v>
      </c>
      <c r="B5303" s="23" t="s">
        <v>45</v>
      </c>
      <c r="C5303" s="23">
        <v>5</v>
      </c>
      <c r="D5303" s="24">
        <v>45783</v>
      </c>
      <c r="E5303" s="23" t="s">
        <v>20</v>
      </c>
      <c r="F5303" s="23" t="s">
        <v>14</v>
      </c>
      <c r="G5303" s="23" t="s">
        <v>31</v>
      </c>
      <c r="H5303" s="23" t="s">
        <v>22</v>
      </c>
      <c r="I5303" s="23">
        <v>24</v>
      </c>
      <c r="J5303" s="23">
        <v>0</v>
      </c>
      <c r="K5303" s="23">
        <v>4</v>
      </c>
      <c r="L5303" s="23" t="s">
        <v>33</v>
      </c>
      <c r="M5303" s="25">
        <v>8.4</v>
      </c>
      <c r="N5303">
        <f t="shared" si="82"/>
        <v>1</v>
      </c>
    </row>
    <row r="5304" spans="1:14" x14ac:dyDescent="0.35">
      <c r="A5304" s="6" t="s">
        <v>5374</v>
      </c>
      <c r="B5304" s="19" t="s">
        <v>29</v>
      </c>
      <c r="C5304" s="19">
        <v>3</v>
      </c>
      <c r="D5304" s="20">
        <v>45733</v>
      </c>
      <c r="E5304" s="19" t="s">
        <v>36</v>
      </c>
      <c r="F5304" s="19" t="s">
        <v>14</v>
      </c>
      <c r="G5304" s="19" t="s">
        <v>31</v>
      </c>
      <c r="H5304" s="19" t="s">
        <v>32</v>
      </c>
      <c r="I5304" s="19">
        <v>48</v>
      </c>
      <c r="J5304" s="19">
        <v>2</v>
      </c>
      <c r="K5304" s="19">
        <v>5</v>
      </c>
      <c r="L5304" s="19" t="s">
        <v>75</v>
      </c>
      <c r="M5304" s="21">
        <v>16.7</v>
      </c>
      <c r="N5304">
        <f t="shared" si="82"/>
        <v>1</v>
      </c>
    </row>
    <row r="5305" spans="1:14" x14ac:dyDescent="0.35">
      <c r="A5305" s="22" t="s">
        <v>5375</v>
      </c>
      <c r="B5305" s="23" t="s">
        <v>181</v>
      </c>
      <c r="C5305" s="23">
        <v>10</v>
      </c>
      <c r="D5305" s="24">
        <v>45944</v>
      </c>
      <c r="E5305" s="23" t="s">
        <v>20</v>
      </c>
      <c r="F5305" s="23" t="s">
        <v>14</v>
      </c>
      <c r="G5305" s="23" t="s">
        <v>8364</v>
      </c>
      <c r="H5305" s="23" t="s">
        <v>28</v>
      </c>
      <c r="I5305" s="23">
        <v>48</v>
      </c>
      <c r="J5305" s="23">
        <v>1</v>
      </c>
      <c r="K5305" s="23">
        <v>1</v>
      </c>
      <c r="L5305" s="23" t="s">
        <v>33</v>
      </c>
      <c r="M5305" s="25">
        <v>6.4</v>
      </c>
      <c r="N5305">
        <f t="shared" si="82"/>
        <v>1</v>
      </c>
    </row>
    <row r="5306" spans="1:14" x14ac:dyDescent="0.35">
      <c r="A5306" s="6" t="s">
        <v>5376</v>
      </c>
      <c r="B5306" s="19" t="s">
        <v>89</v>
      </c>
      <c r="C5306" s="19">
        <v>8</v>
      </c>
      <c r="D5306" s="20">
        <v>45898</v>
      </c>
      <c r="E5306" s="19" t="s">
        <v>25</v>
      </c>
      <c r="F5306" s="19" t="s">
        <v>59</v>
      </c>
      <c r="G5306" s="19" t="s">
        <v>8364</v>
      </c>
      <c r="H5306" s="19" t="s">
        <v>32</v>
      </c>
      <c r="I5306" s="19">
        <v>48</v>
      </c>
      <c r="J5306" s="19">
        <v>0</v>
      </c>
      <c r="K5306" s="19"/>
      <c r="L5306" s="19" t="s">
        <v>44</v>
      </c>
      <c r="M5306" s="21">
        <v>7.9</v>
      </c>
      <c r="N5306">
        <f t="shared" si="82"/>
        <v>1</v>
      </c>
    </row>
    <row r="5307" spans="1:14" x14ac:dyDescent="0.35">
      <c r="A5307" s="22" t="s">
        <v>5377</v>
      </c>
      <c r="B5307" s="23" t="s">
        <v>143</v>
      </c>
      <c r="C5307" s="23">
        <v>9</v>
      </c>
      <c r="D5307" s="24">
        <v>45917</v>
      </c>
      <c r="E5307" s="23" t="s">
        <v>13</v>
      </c>
      <c r="F5307" s="23" t="s">
        <v>43</v>
      </c>
      <c r="G5307" s="23" t="s">
        <v>21</v>
      </c>
      <c r="H5307" s="23" t="s">
        <v>22</v>
      </c>
      <c r="I5307" s="23">
        <v>48</v>
      </c>
      <c r="J5307" s="23">
        <v>0</v>
      </c>
      <c r="K5307" s="23">
        <v>2</v>
      </c>
      <c r="L5307" s="23" t="s">
        <v>33</v>
      </c>
      <c r="M5307" s="25">
        <v>6.1</v>
      </c>
      <c r="N5307">
        <f t="shared" si="82"/>
        <v>1</v>
      </c>
    </row>
    <row r="5308" spans="1:14" x14ac:dyDescent="0.35">
      <c r="A5308" s="6" t="s">
        <v>5378</v>
      </c>
      <c r="B5308" s="19" t="s">
        <v>89</v>
      </c>
      <c r="C5308" s="19">
        <v>5</v>
      </c>
      <c r="D5308" s="20">
        <v>45784</v>
      </c>
      <c r="E5308" s="19" t="s">
        <v>25</v>
      </c>
      <c r="F5308" s="19" t="s">
        <v>59</v>
      </c>
      <c r="G5308" s="19" t="s">
        <v>15</v>
      </c>
      <c r="H5308" s="19" t="s">
        <v>32</v>
      </c>
      <c r="I5308" s="19">
        <v>8</v>
      </c>
      <c r="J5308" s="19">
        <v>0</v>
      </c>
      <c r="K5308" s="19">
        <v>3</v>
      </c>
      <c r="L5308" s="19" t="s">
        <v>17</v>
      </c>
      <c r="M5308" s="21"/>
      <c r="N5308">
        <f t="shared" si="82"/>
        <v>1</v>
      </c>
    </row>
    <row r="5309" spans="1:14" x14ac:dyDescent="0.35">
      <c r="A5309" s="22" t="s">
        <v>5379</v>
      </c>
      <c r="B5309" s="23" t="s">
        <v>69</v>
      </c>
      <c r="C5309" s="23">
        <v>5</v>
      </c>
      <c r="D5309" s="24">
        <v>45782</v>
      </c>
      <c r="E5309" s="23" t="s">
        <v>8364</v>
      </c>
      <c r="F5309" s="23" t="s">
        <v>37</v>
      </c>
      <c r="G5309" s="23" t="s">
        <v>21</v>
      </c>
      <c r="H5309" s="23" t="s">
        <v>22</v>
      </c>
      <c r="I5309" s="23">
        <v>72</v>
      </c>
      <c r="J5309" s="23">
        <v>0</v>
      </c>
      <c r="K5309" s="23">
        <v>5</v>
      </c>
      <c r="L5309" s="23" t="s">
        <v>8363</v>
      </c>
      <c r="M5309" s="25">
        <v>15.7</v>
      </c>
      <c r="N5309">
        <f t="shared" si="82"/>
        <v>1</v>
      </c>
    </row>
    <row r="5310" spans="1:14" x14ac:dyDescent="0.35">
      <c r="A5310" s="6" t="s">
        <v>5380</v>
      </c>
      <c r="B5310" s="19" t="s">
        <v>65</v>
      </c>
      <c r="C5310" s="19"/>
      <c r="D5310" s="20"/>
      <c r="E5310" s="19" t="s">
        <v>8364</v>
      </c>
      <c r="F5310" s="19" t="s">
        <v>43</v>
      </c>
      <c r="G5310" s="19" t="s">
        <v>15</v>
      </c>
      <c r="H5310" s="19" t="s">
        <v>22</v>
      </c>
      <c r="I5310" s="19">
        <v>8</v>
      </c>
      <c r="J5310" s="19">
        <v>2</v>
      </c>
      <c r="K5310" s="19">
        <v>3</v>
      </c>
      <c r="L5310" s="19" t="s">
        <v>8363</v>
      </c>
      <c r="M5310" s="21">
        <v>5.9</v>
      </c>
      <c r="N5310">
        <f t="shared" si="82"/>
        <v>1</v>
      </c>
    </row>
    <row r="5311" spans="1:14" x14ac:dyDescent="0.35">
      <c r="A5311" s="22" t="s">
        <v>5381</v>
      </c>
      <c r="B5311" s="23" t="s">
        <v>51</v>
      </c>
      <c r="C5311" s="23">
        <v>10</v>
      </c>
      <c r="D5311" s="24">
        <v>45935</v>
      </c>
      <c r="E5311" s="23" t="s">
        <v>25</v>
      </c>
      <c r="F5311" s="23" t="s">
        <v>43</v>
      </c>
      <c r="G5311" s="23" t="s">
        <v>27</v>
      </c>
      <c r="H5311" s="23" t="s">
        <v>22</v>
      </c>
      <c r="I5311" s="23">
        <v>72</v>
      </c>
      <c r="J5311" s="23">
        <v>0</v>
      </c>
      <c r="K5311" s="23">
        <v>4</v>
      </c>
      <c r="L5311" s="23" t="s">
        <v>33</v>
      </c>
      <c r="M5311" s="25">
        <v>27.9</v>
      </c>
      <c r="N5311">
        <f t="shared" si="82"/>
        <v>1</v>
      </c>
    </row>
    <row r="5312" spans="1:14" x14ac:dyDescent="0.35">
      <c r="A5312" s="6" t="s">
        <v>5382</v>
      </c>
      <c r="B5312" s="19" t="s">
        <v>130</v>
      </c>
      <c r="C5312" s="19">
        <v>1</v>
      </c>
      <c r="D5312" s="20">
        <v>45667</v>
      </c>
      <c r="E5312" s="19" t="s">
        <v>25</v>
      </c>
      <c r="F5312" s="19" t="s">
        <v>8364</v>
      </c>
      <c r="G5312" s="19" t="s">
        <v>27</v>
      </c>
      <c r="H5312" s="19" t="s">
        <v>22</v>
      </c>
      <c r="I5312" s="19">
        <v>72</v>
      </c>
      <c r="J5312" s="19">
        <v>0</v>
      </c>
      <c r="K5312" s="19">
        <v>2</v>
      </c>
      <c r="L5312" s="19" t="s">
        <v>33</v>
      </c>
      <c r="M5312" s="21">
        <v>2.9</v>
      </c>
      <c r="N5312">
        <f t="shared" si="82"/>
        <v>1</v>
      </c>
    </row>
    <row r="5313" spans="1:14" x14ac:dyDescent="0.35">
      <c r="A5313" s="22" t="s">
        <v>5383</v>
      </c>
      <c r="B5313" s="23" t="s">
        <v>101</v>
      </c>
      <c r="C5313" s="23">
        <v>5</v>
      </c>
      <c r="D5313" s="24">
        <v>45784</v>
      </c>
      <c r="E5313" s="23" t="s">
        <v>25</v>
      </c>
      <c r="F5313" s="23" t="s">
        <v>26</v>
      </c>
      <c r="G5313" s="23" t="s">
        <v>31</v>
      </c>
      <c r="H5313" s="23" t="s">
        <v>28</v>
      </c>
      <c r="I5313" s="23">
        <v>48</v>
      </c>
      <c r="J5313" s="23">
        <v>0</v>
      </c>
      <c r="K5313" s="23">
        <v>4</v>
      </c>
      <c r="L5313" s="23" t="s">
        <v>17</v>
      </c>
      <c r="M5313" s="25">
        <v>8.1</v>
      </c>
      <c r="N5313">
        <f t="shared" si="82"/>
        <v>1</v>
      </c>
    </row>
    <row r="5314" spans="1:14" x14ac:dyDescent="0.35">
      <c r="A5314" s="6" t="s">
        <v>5384</v>
      </c>
      <c r="B5314" s="19" t="s">
        <v>69</v>
      </c>
      <c r="C5314" s="19">
        <v>4</v>
      </c>
      <c r="D5314" s="20">
        <v>45756</v>
      </c>
      <c r="E5314" s="19" t="s">
        <v>13</v>
      </c>
      <c r="F5314" s="19" t="s">
        <v>43</v>
      </c>
      <c r="G5314" s="19" t="s">
        <v>31</v>
      </c>
      <c r="H5314" s="19" t="s">
        <v>28</v>
      </c>
      <c r="I5314" s="19">
        <v>72</v>
      </c>
      <c r="J5314" s="19">
        <v>0</v>
      </c>
      <c r="K5314" s="19">
        <v>5</v>
      </c>
      <c r="L5314" s="19" t="s">
        <v>17</v>
      </c>
      <c r="M5314" s="21">
        <v>16.899999999999999</v>
      </c>
      <c r="N5314">
        <f t="shared" si="82"/>
        <v>1</v>
      </c>
    </row>
    <row r="5315" spans="1:14" x14ac:dyDescent="0.35">
      <c r="A5315" s="22" t="s">
        <v>5385</v>
      </c>
      <c r="B5315" s="23" t="s">
        <v>39</v>
      </c>
      <c r="C5315" s="23">
        <v>9</v>
      </c>
      <c r="D5315" s="24">
        <v>45930</v>
      </c>
      <c r="E5315" s="23" t="s">
        <v>25</v>
      </c>
      <c r="F5315" s="23" t="s">
        <v>14</v>
      </c>
      <c r="G5315" s="23" t="s">
        <v>31</v>
      </c>
      <c r="H5315" s="23" t="s">
        <v>8364</v>
      </c>
      <c r="I5315" s="23">
        <v>24</v>
      </c>
      <c r="J5315" s="23">
        <v>3</v>
      </c>
      <c r="K5315" s="23">
        <v>5</v>
      </c>
      <c r="L5315" s="23" t="s">
        <v>33</v>
      </c>
      <c r="M5315" s="25">
        <v>17.5</v>
      </c>
      <c r="N5315">
        <f t="shared" ref="N5315:N5378" si="83">IF(M5315 &lt;= I5315, 1, 0)</f>
        <v>1</v>
      </c>
    </row>
    <row r="5316" spans="1:14" x14ac:dyDescent="0.35">
      <c r="A5316" s="6" t="s">
        <v>5386</v>
      </c>
      <c r="B5316" s="19" t="s">
        <v>65</v>
      </c>
      <c r="C5316" s="19">
        <v>7</v>
      </c>
      <c r="D5316" s="20">
        <v>45843</v>
      </c>
      <c r="E5316" s="19" t="s">
        <v>13</v>
      </c>
      <c r="F5316" s="19" t="s">
        <v>26</v>
      </c>
      <c r="G5316" s="19" t="s">
        <v>27</v>
      </c>
      <c r="H5316" s="19" t="s">
        <v>32</v>
      </c>
      <c r="I5316" s="19">
        <v>4</v>
      </c>
      <c r="J5316" s="19">
        <v>0</v>
      </c>
      <c r="K5316" s="19"/>
      <c r="L5316" s="19" t="s">
        <v>62</v>
      </c>
      <c r="M5316" s="21">
        <v>15.8</v>
      </c>
      <c r="N5316">
        <f t="shared" si="83"/>
        <v>0</v>
      </c>
    </row>
    <row r="5317" spans="1:14" x14ac:dyDescent="0.35">
      <c r="A5317" s="22" t="s">
        <v>5387</v>
      </c>
      <c r="B5317" s="23" t="s">
        <v>108</v>
      </c>
      <c r="C5317" s="23">
        <v>5</v>
      </c>
      <c r="D5317" s="24">
        <v>45778</v>
      </c>
      <c r="E5317" s="23" t="s">
        <v>36</v>
      </c>
      <c r="F5317" s="23" t="s">
        <v>14</v>
      </c>
      <c r="G5317" s="23" t="s">
        <v>31</v>
      </c>
      <c r="H5317" s="23" t="s">
        <v>22</v>
      </c>
      <c r="I5317" s="23">
        <v>48</v>
      </c>
      <c r="J5317" s="23">
        <v>0</v>
      </c>
      <c r="K5317" s="23">
        <v>4</v>
      </c>
      <c r="L5317" s="23" t="s">
        <v>62</v>
      </c>
      <c r="M5317" s="25">
        <v>23.2</v>
      </c>
      <c r="N5317">
        <f t="shared" si="83"/>
        <v>1</v>
      </c>
    </row>
    <row r="5318" spans="1:14" x14ac:dyDescent="0.35">
      <c r="A5318" s="6" t="s">
        <v>5388</v>
      </c>
      <c r="B5318" s="19" t="s">
        <v>130</v>
      </c>
      <c r="C5318" s="19">
        <v>1</v>
      </c>
      <c r="D5318" s="20">
        <v>45667</v>
      </c>
      <c r="E5318" s="19" t="s">
        <v>25</v>
      </c>
      <c r="F5318" s="19" t="s">
        <v>59</v>
      </c>
      <c r="G5318" s="19" t="s">
        <v>15</v>
      </c>
      <c r="H5318" s="19" t="s">
        <v>32</v>
      </c>
      <c r="I5318" s="19">
        <v>24</v>
      </c>
      <c r="J5318" s="19">
        <v>0</v>
      </c>
      <c r="K5318" s="19">
        <v>3</v>
      </c>
      <c r="L5318" s="19" t="s">
        <v>38</v>
      </c>
      <c r="M5318" s="21">
        <v>7.9</v>
      </c>
      <c r="N5318">
        <f t="shared" si="83"/>
        <v>1</v>
      </c>
    </row>
    <row r="5319" spans="1:14" x14ac:dyDescent="0.35">
      <c r="A5319" s="22" t="s">
        <v>5389</v>
      </c>
      <c r="B5319" s="23" t="s">
        <v>81</v>
      </c>
      <c r="C5319" s="23">
        <v>3</v>
      </c>
      <c r="D5319" s="24">
        <v>45738</v>
      </c>
      <c r="E5319" s="23" t="s">
        <v>36</v>
      </c>
      <c r="F5319" s="23" t="s">
        <v>40</v>
      </c>
      <c r="G5319" s="23" t="s">
        <v>15</v>
      </c>
      <c r="H5319" s="23" t="s">
        <v>16</v>
      </c>
      <c r="I5319" s="23">
        <v>4</v>
      </c>
      <c r="J5319" s="23">
        <v>0</v>
      </c>
      <c r="K5319" s="23">
        <v>5</v>
      </c>
      <c r="L5319" s="23" t="s">
        <v>38</v>
      </c>
      <c r="M5319" s="25">
        <v>11.4</v>
      </c>
      <c r="N5319">
        <f t="shared" si="83"/>
        <v>0</v>
      </c>
    </row>
    <row r="5320" spans="1:14" x14ac:dyDescent="0.35">
      <c r="A5320" s="6" t="s">
        <v>5390</v>
      </c>
      <c r="B5320" s="19" t="s">
        <v>139</v>
      </c>
      <c r="C5320" s="19">
        <v>8</v>
      </c>
      <c r="D5320" s="20">
        <v>45870</v>
      </c>
      <c r="E5320" s="19" t="s">
        <v>68</v>
      </c>
      <c r="F5320" s="19" t="s">
        <v>14</v>
      </c>
      <c r="G5320" s="19" t="s">
        <v>31</v>
      </c>
      <c r="H5320" s="19" t="s">
        <v>28</v>
      </c>
      <c r="I5320" s="19">
        <v>72</v>
      </c>
      <c r="J5320" s="19">
        <v>0</v>
      </c>
      <c r="K5320" s="19">
        <v>4</v>
      </c>
      <c r="L5320" s="19" t="s">
        <v>44</v>
      </c>
      <c r="M5320" s="21">
        <v>2.4</v>
      </c>
      <c r="N5320">
        <f t="shared" si="83"/>
        <v>1</v>
      </c>
    </row>
    <row r="5321" spans="1:14" x14ac:dyDescent="0.35">
      <c r="A5321" s="22" t="s">
        <v>5391</v>
      </c>
      <c r="B5321" s="23" t="s">
        <v>41</v>
      </c>
      <c r="C5321" s="23">
        <v>3</v>
      </c>
      <c r="D5321" s="24">
        <v>45721</v>
      </c>
      <c r="E5321" s="23" t="s">
        <v>25</v>
      </c>
      <c r="F5321" s="23" t="s">
        <v>26</v>
      </c>
      <c r="G5321" s="23" t="s">
        <v>31</v>
      </c>
      <c r="H5321" s="23" t="s">
        <v>22</v>
      </c>
      <c r="I5321" s="23">
        <v>4</v>
      </c>
      <c r="J5321" s="23">
        <v>0</v>
      </c>
      <c r="K5321" s="23">
        <v>5</v>
      </c>
      <c r="L5321" s="23" t="s">
        <v>55</v>
      </c>
      <c r="M5321" s="25">
        <v>12.7</v>
      </c>
      <c r="N5321">
        <f t="shared" si="83"/>
        <v>0</v>
      </c>
    </row>
    <row r="5322" spans="1:14" x14ac:dyDescent="0.35">
      <c r="A5322" s="6" t="s">
        <v>5392</v>
      </c>
      <c r="B5322" s="19" t="s">
        <v>69</v>
      </c>
      <c r="C5322" s="19">
        <v>1</v>
      </c>
      <c r="D5322" s="20">
        <v>45677</v>
      </c>
      <c r="E5322" s="19" t="s">
        <v>68</v>
      </c>
      <c r="F5322" s="19" t="s">
        <v>26</v>
      </c>
      <c r="G5322" s="19" t="s">
        <v>31</v>
      </c>
      <c r="H5322" s="19" t="s">
        <v>22</v>
      </c>
      <c r="I5322" s="19">
        <v>8</v>
      </c>
      <c r="J5322" s="19">
        <v>0</v>
      </c>
      <c r="K5322" s="19">
        <v>2</v>
      </c>
      <c r="L5322" s="19" t="s">
        <v>44</v>
      </c>
      <c r="M5322" s="21">
        <v>4</v>
      </c>
      <c r="N5322">
        <f t="shared" si="83"/>
        <v>1</v>
      </c>
    </row>
    <row r="5323" spans="1:14" x14ac:dyDescent="0.35">
      <c r="A5323" s="22" t="s">
        <v>5393</v>
      </c>
      <c r="B5323" s="23" t="s">
        <v>236</v>
      </c>
      <c r="C5323" s="23">
        <v>9</v>
      </c>
      <c r="D5323" s="24">
        <v>45915</v>
      </c>
      <c r="E5323" s="23" t="s">
        <v>20</v>
      </c>
      <c r="F5323" s="23" t="s">
        <v>59</v>
      </c>
      <c r="G5323" s="23" t="s">
        <v>27</v>
      </c>
      <c r="H5323" s="23" t="s">
        <v>16</v>
      </c>
      <c r="I5323" s="23">
        <v>8</v>
      </c>
      <c r="J5323" s="23">
        <v>0</v>
      </c>
      <c r="K5323" s="23">
        <v>5</v>
      </c>
      <c r="L5323" s="23" t="s">
        <v>62</v>
      </c>
      <c r="M5323" s="25">
        <v>7.1</v>
      </c>
      <c r="N5323">
        <f t="shared" si="83"/>
        <v>1</v>
      </c>
    </row>
    <row r="5324" spans="1:14" x14ac:dyDescent="0.35">
      <c r="A5324" s="6" t="s">
        <v>5394</v>
      </c>
      <c r="B5324" s="19" t="s">
        <v>65</v>
      </c>
      <c r="C5324" s="19">
        <v>1</v>
      </c>
      <c r="D5324" s="20">
        <v>45672</v>
      </c>
      <c r="E5324" s="19" t="s">
        <v>13</v>
      </c>
      <c r="F5324" s="19" t="s">
        <v>8364</v>
      </c>
      <c r="G5324" s="19" t="s">
        <v>15</v>
      </c>
      <c r="H5324" s="19" t="s">
        <v>16</v>
      </c>
      <c r="I5324" s="19">
        <v>4</v>
      </c>
      <c r="J5324" s="19">
        <v>0</v>
      </c>
      <c r="K5324" s="19">
        <v>4</v>
      </c>
      <c r="L5324" s="19" t="s">
        <v>55</v>
      </c>
      <c r="M5324" s="21">
        <v>3.1</v>
      </c>
      <c r="N5324">
        <f t="shared" si="83"/>
        <v>1</v>
      </c>
    </row>
    <row r="5325" spans="1:14" x14ac:dyDescent="0.35">
      <c r="A5325" s="22" t="s">
        <v>5395</v>
      </c>
      <c r="B5325" s="23" t="s">
        <v>92</v>
      </c>
      <c r="C5325" s="23">
        <v>4</v>
      </c>
      <c r="D5325" s="24">
        <v>45770</v>
      </c>
      <c r="E5325" s="23" t="s">
        <v>8364</v>
      </c>
      <c r="F5325" s="23" t="s">
        <v>14</v>
      </c>
      <c r="G5325" s="23" t="s">
        <v>31</v>
      </c>
      <c r="H5325" s="23" t="s">
        <v>22</v>
      </c>
      <c r="I5325" s="23">
        <v>8</v>
      </c>
      <c r="J5325" s="23">
        <v>0</v>
      </c>
      <c r="K5325" s="23">
        <v>5</v>
      </c>
      <c r="L5325" s="23" t="s">
        <v>62</v>
      </c>
      <c r="M5325" s="25">
        <v>0.7</v>
      </c>
      <c r="N5325">
        <f t="shared" si="83"/>
        <v>1</v>
      </c>
    </row>
    <row r="5326" spans="1:14" x14ac:dyDescent="0.35">
      <c r="A5326" s="6" t="s">
        <v>5396</v>
      </c>
      <c r="B5326" s="19" t="s">
        <v>65</v>
      </c>
      <c r="C5326" s="19">
        <v>11</v>
      </c>
      <c r="D5326" s="20">
        <v>45978</v>
      </c>
      <c r="E5326" s="19" t="s">
        <v>25</v>
      </c>
      <c r="F5326" s="19" t="s">
        <v>26</v>
      </c>
      <c r="G5326" s="19" t="s">
        <v>31</v>
      </c>
      <c r="H5326" s="19" t="s">
        <v>28</v>
      </c>
      <c r="I5326" s="19">
        <v>8</v>
      </c>
      <c r="J5326" s="19">
        <v>0</v>
      </c>
      <c r="K5326" s="19">
        <v>3</v>
      </c>
      <c r="L5326" s="19" t="s">
        <v>44</v>
      </c>
      <c r="M5326" s="21">
        <v>7.5</v>
      </c>
      <c r="N5326">
        <f t="shared" si="83"/>
        <v>1</v>
      </c>
    </row>
    <row r="5327" spans="1:14" x14ac:dyDescent="0.35">
      <c r="A5327" s="22" t="s">
        <v>5397</v>
      </c>
      <c r="B5327" s="23" t="s">
        <v>108</v>
      </c>
      <c r="C5327" s="23">
        <v>6</v>
      </c>
      <c r="D5327" s="24">
        <v>45837</v>
      </c>
      <c r="E5327" s="23" t="s">
        <v>36</v>
      </c>
      <c r="F5327" s="23" t="s">
        <v>40</v>
      </c>
      <c r="G5327" s="23" t="s">
        <v>27</v>
      </c>
      <c r="H5327" s="23" t="s">
        <v>22</v>
      </c>
      <c r="I5327" s="23">
        <v>24</v>
      </c>
      <c r="J5327" s="23"/>
      <c r="K5327" s="23">
        <v>5</v>
      </c>
      <c r="L5327" s="23" t="s">
        <v>55</v>
      </c>
      <c r="M5327" s="25">
        <v>10.199999999999999</v>
      </c>
      <c r="N5327">
        <f t="shared" si="83"/>
        <v>1</v>
      </c>
    </row>
    <row r="5328" spans="1:14" x14ac:dyDescent="0.35">
      <c r="A5328" s="6" t="s">
        <v>5398</v>
      </c>
      <c r="B5328" s="19" t="s">
        <v>130</v>
      </c>
      <c r="C5328" s="19">
        <v>2</v>
      </c>
      <c r="D5328" s="20">
        <v>45714</v>
      </c>
      <c r="E5328" s="19" t="s">
        <v>25</v>
      </c>
      <c r="F5328" s="19" t="s">
        <v>26</v>
      </c>
      <c r="G5328" s="19" t="s">
        <v>21</v>
      </c>
      <c r="H5328" s="19" t="s">
        <v>16</v>
      </c>
      <c r="I5328" s="19">
        <v>4</v>
      </c>
      <c r="J5328" s="19">
        <v>0</v>
      </c>
      <c r="K5328" s="19">
        <v>5</v>
      </c>
      <c r="L5328" s="19" t="s">
        <v>17</v>
      </c>
      <c r="M5328" s="21">
        <v>5.6</v>
      </c>
      <c r="N5328">
        <f t="shared" si="83"/>
        <v>0</v>
      </c>
    </row>
    <row r="5329" spans="1:14" x14ac:dyDescent="0.35">
      <c r="A5329" s="22" t="s">
        <v>5399</v>
      </c>
      <c r="B5329" s="23" t="s">
        <v>34</v>
      </c>
      <c r="C5329" s="23">
        <v>6</v>
      </c>
      <c r="D5329" s="24">
        <v>45830</v>
      </c>
      <c r="E5329" s="23" t="s">
        <v>25</v>
      </c>
      <c r="F5329" s="23" t="s">
        <v>59</v>
      </c>
      <c r="G5329" s="23" t="s">
        <v>21</v>
      </c>
      <c r="H5329" s="23" t="s">
        <v>8364</v>
      </c>
      <c r="I5329" s="23">
        <v>72</v>
      </c>
      <c r="J5329" s="23"/>
      <c r="K5329" s="23">
        <v>4</v>
      </c>
      <c r="L5329" s="23" t="s">
        <v>75</v>
      </c>
      <c r="M5329" s="25">
        <v>2.8</v>
      </c>
      <c r="N5329">
        <f t="shared" si="83"/>
        <v>1</v>
      </c>
    </row>
    <row r="5330" spans="1:14" x14ac:dyDescent="0.35">
      <c r="A5330" s="6" t="s">
        <v>5400</v>
      </c>
      <c r="B5330" s="19" t="s">
        <v>92</v>
      </c>
      <c r="C5330" s="19">
        <v>1</v>
      </c>
      <c r="D5330" s="20">
        <v>45673</v>
      </c>
      <c r="E5330" s="19" t="s">
        <v>20</v>
      </c>
      <c r="F5330" s="19" t="s">
        <v>37</v>
      </c>
      <c r="G5330" s="19" t="s">
        <v>8364</v>
      </c>
      <c r="H5330" s="19" t="s">
        <v>22</v>
      </c>
      <c r="I5330" s="19">
        <v>24</v>
      </c>
      <c r="J5330" s="19">
        <v>2</v>
      </c>
      <c r="K5330" s="19">
        <v>3</v>
      </c>
      <c r="L5330" s="19" t="s">
        <v>17</v>
      </c>
      <c r="M5330" s="21">
        <v>11.4</v>
      </c>
      <c r="N5330">
        <f t="shared" si="83"/>
        <v>1</v>
      </c>
    </row>
    <row r="5331" spans="1:14" x14ac:dyDescent="0.35">
      <c r="A5331" s="22" t="s">
        <v>5401</v>
      </c>
      <c r="B5331" s="23" t="s">
        <v>92</v>
      </c>
      <c r="C5331" s="23">
        <v>3</v>
      </c>
      <c r="D5331" s="24">
        <v>45731</v>
      </c>
      <c r="E5331" s="23" t="s">
        <v>36</v>
      </c>
      <c r="F5331" s="23" t="s">
        <v>14</v>
      </c>
      <c r="G5331" s="23" t="s">
        <v>15</v>
      </c>
      <c r="H5331" s="23" t="s">
        <v>8364</v>
      </c>
      <c r="I5331" s="23">
        <v>48</v>
      </c>
      <c r="J5331" s="23">
        <v>0</v>
      </c>
      <c r="K5331" s="23">
        <v>1</v>
      </c>
      <c r="L5331" s="23" t="s">
        <v>8363</v>
      </c>
      <c r="M5331" s="25">
        <v>6.5</v>
      </c>
      <c r="N5331">
        <f t="shared" si="83"/>
        <v>1</v>
      </c>
    </row>
    <row r="5332" spans="1:14" x14ac:dyDescent="0.35">
      <c r="A5332" s="6" t="s">
        <v>5402</v>
      </c>
      <c r="B5332" s="19" t="s">
        <v>69</v>
      </c>
      <c r="C5332" s="19">
        <v>1</v>
      </c>
      <c r="D5332" s="20">
        <v>45676</v>
      </c>
      <c r="E5332" s="19" t="s">
        <v>25</v>
      </c>
      <c r="F5332" s="19" t="s">
        <v>37</v>
      </c>
      <c r="G5332" s="19" t="s">
        <v>31</v>
      </c>
      <c r="H5332" s="19" t="s">
        <v>8364</v>
      </c>
      <c r="I5332" s="19">
        <v>8</v>
      </c>
      <c r="J5332" s="19">
        <v>1</v>
      </c>
      <c r="K5332" s="19">
        <v>5</v>
      </c>
      <c r="L5332" s="19" t="s">
        <v>75</v>
      </c>
      <c r="M5332" s="21">
        <v>9.4</v>
      </c>
      <c r="N5332">
        <f t="shared" si="83"/>
        <v>0</v>
      </c>
    </row>
    <row r="5333" spans="1:14" x14ac:dyDescent="0.35">
      <c r="A5333" s="22" t="s">
        <v>5403</v>
      </c>
      <c r="B5333" s="23" t="s">
        <v>49</v>
      </c>
      <c r="C5333" s="23">
        <v>9</v>
      </c>
      <c r="D5333" s="24">
        <v>45915</v>
      </c>
      <c r="E5333" s="23" t="s">
        <v>25</v>
      </c>
      <c r="F5333" s="23" t="s">
        <v>43</v>
      </c>
      <c r="G5333" s="23" t="s">
        <v>27</v>
      </c>
      <c r="H5333" s="23" t="s">
        <v>32</v>
      </c>
      <c r="I5333" s="23">
        <v>24</v>
      </c>
      <c r="J5333" s="23">
        <v>0</v>
      </c>
      <c r="K5333" s="23">
        <v>5</v>
      </c>
      <c r="L5333" s="23" t="s">
        <v>38</v>
      </c>
      <c r="M5333" s="25">
        <v>6.8</v>
      </c>
      <c r="N5333">
        <f t="shared" si="83"/>
        <v>1</v>
      </c>
    </row>
    <row r="5334" spans="1:14" x14ac:dyDescent="0.35">
      <c r="A5334" s="6" t="s">
        <v>5404</v>
      </c>
      <c r="B5334" s="19" t="s">
        <v>41</v>
      </c>
      <c r="C5334" s="19">
        <v>5</v>
      </c>
      <c r="D5334" s="20">
        <v>45791</v>
      </c>
      <c r="E5334" s="19" t="s">
        <v>25</v>
      </c>
      <c r="F5334" s="19" t="s">
        <v>40</v>
      </c>
      <c r="G5334" s="19" t="s">
        <v>31</v>
      </c>
      <c r="H5334" s="19" t="s">
        <v>8364</v>
      </c>
      <c r="I5334" s="19">
        <v>24</v>
      </c>
      <c r="J5334" s="19">
        <v>0</v>
      </c>
      <c r="K5334" s="19">
        <v>4</v>
      </c>
      <c r="L5334" s="19" t="s">
        <v>55</v>
      </c>
      <c r="M5334" s="21">
        <v>2.2000000000000002</v>
      </c>
      <c r="N5334">
        <f t="shared" si="83"/>
        <v>1</v>
      </c>
    </row>
    <row r="5335" spans="1:14" x14ac:dyDescent="0.35">
      <c r="A5335" s="22" t="s">
        <v>5405</v>
      </c>
      <c r="B5335" s="23" t="s">
        <v>34</v>
      </c>
      <c r="C5335" s="23">
        <v>12</v>
      </c>
      <c r="D5335" s="24">
        <v>46000</v>
      </c>
      <c r="E5335" s="23" t="s">
        <v>13</v>
      </c>
      <c r="F5335" s="23" t="s">
        <v>40</v>
      </c>
      <c r="G5335" s="23" t="s">
        <v>15</v>
      </c>
      <c r="H5335" s="23" t="s">
        <v>16</v>
      </c>
      <c r="I5335" s="23">
        <v>24</v>
      </c>
      <c r="J5335" s="23">
        <v>0</v>
      </c>
      <c r="K5335" s="23">
        <v>5</v>
      </c>
      <c r="L5335" s="23" t="s">
        <v>38</v>
      </c>
      <c r="M5335" s="25">
        <v>7.9</v>
      </c>
      <c r="N5335">
        <f t="shared" si="83"/>
        <v>1</v>
      </c>
    </row>
    <row r="5336" spans="1:14" x14ac:dyDescent="0.35">
      <c r="A5336" s="6" t="s">
        <v>5406</v>
      </c>
      <c r="B5336" s="19" t="s">
        <v>72</v>
      </c>
      <c r="C5336" s="19">
        <v>7</v>
      </c>
      <c r="D5336" s="20">
        <v>45845</v>
      </c>
      <c r="E5336" s="19" t="s">
        <v>25</v>
      </c>
      <c r="F5336" s="19" t="s">
        <v>26</v>
      </c>
      <c r="G5336" s="19" t="s">
        <v>21</v>
      </c>
      <c r="H5336" s="19" t="s">
        <v>22</v>
      </c>
      <c r="I5336" s="19">
        <v>4</v>
      </c>
      <c r="J5336" s="19">
        <v>0</v>
      </c>
      <c r="K5336" s="19">
        <v>3</v>
      </c>
      <c r="L5336" s="19" t="s">
        <v>38</v>
      </c>
      <c r="M5336" s="21">
        <v>5.6</v>
      </c>
      <c r="N5336">
        <f t="shared" si="83"/>
        <v>0</v>
      </c>
    </row>
    <row r="5337" spans="1:14" x14ac:dyDescent="0.35">
      <c r="A5337" s="22" t="s">
        <v>5407</v>
      </c>
      <c r="B5337" s="23" t="s">
        <v>69</v>
      </c>
      <c r="C5337" s="23">
        <v>7</v>
      </c>
      <c r="D5337" s="24">
        <v>45845</v>
      </c>
      <c r="E5337" s="23" t="s">
        <v>8364</v>
      </c>
      <c r="F5337" s="23" t="s">
        <v>40</v>
      </c>
      <c r="G5337" s="23" t="s">
        <v>15</v>
      </c>
      <c r="H5337" s="23" t="s">
        <v>22</v>
      </c>
      <c r="I5337" s="23">
        <v>24</v>
      </c>
      <c r="J5337" s="23">
        <v>1</v>
      </c>
      <c r="K5337" s="23">
        <v>4</v>
      </c>
      <c r="L5337" s="23" t="s">
        <v>62</v>
      </c>
      <c r="M5337" s="25">
        <v>2.2000000000000002</v>
      </c>
      <c r="N5337">
        <f t="shared" si="83"/>
        <v>1</v>
      </c>
    </row>
    <row r="5338" spans="1:14" x14ac:dyDescent="0.35">
      <c r="A5338" s="6" t="s">
        <v>5408</v>
      </c>
      <c r="B5338" s="19" t="s">
        <v>143</v>
      </c>
      <c r="C5338" s="19">
        <v>3</v>
      </c>
      <c r="D5338" s="20">
        <v>45747</v>
      </c>
      <c r="E5338" s="19" t="s">
        <v>13</v>
      </c>
      <c r="F5338" s="19" t="s">
        <v>59</v>
      </c>
      <c r="G5338" s="19" t="s">
        <v>8364</v>
      </c>
      <c r="H5338" s="19" t="s">
        <v>28</v>
      </c>
      <c r="I5338" s="19">
        <v>8</v>
      </c>
      <c r="J5338" s="19">
        <v>0</v>
      </c>
      <c r="K5338" s="19"/>
      <c r="L5338" s="19" t="s">
        <v>62</v>
      </c>
      <c r="M5338" s="21">
        <v>6.3</v>
      </c>
      <c r="N5338">
        <f t="shared" si="83"/>
        <v>1</v>
      </c>
    </row>
    <row r="5339" spans="1:14" x14ac:dyDescent="0.35">
      <c r="A5339" s="22" t="s">
        <v>5409</v>
      </c>
      <c r="B5339" s="23" t="s">
        <v>53</v>
      </c>
      <c r="C5339" s="23">
        <v>10</v>
      </c>
      <c r="D5339" s="24">
        <v>45936</v>
      </c>
      <c r="E5339" s="23" t="s">
        <v>25</v>
      </c>
      <c r="F5339" s="23" t="s">
        <v>43</v>
      </c>
      <c r="G5339" s="23" t="s">
        <v>8364</v>
      </c>
      <c r="H5339" s="23" t="s">
        <v>8364</v>
      </c>
      <c r="I5339" s="23">
        <v>48</v>
      </c>
      <c r="J5339" s="23">
        <v>0</v>
      </c>
      <c r="K5339" s="23">
        <v>5</v>
      </c>
      <c r="L5339" s="23" t="s">
        <v>44</v>
      </c>
      <c r="M5339" s="25">
        <v>5.4</v>
      </c>
      <c r="N5339">
        <f t="shared" si="83"/>
        <v>1</v>
      </c>
    </row>
    <row r="5340" spans="1:14" x14ac:dyDescent="0.35">
      <c r="A5340" s="6" t="s">
        <v>5410</v>
      </c>
      <c r="B5340" s="19" t="s">
        <v>47</v>
      </c>
      <c r="C5340" s="19">
        <v>2</v>
      </c>
      <c r="D5340" s="20">
        <v>45716</v>
      </c>
      <c r="E5340" s="19" t="s">
        <v>8364</v>
      </c>
      <c r="F5340" s="19" t="s">
        <v>59</v>
      </c>
      <c r="G5340" s="19" t="s">
        <v>31</v>
      </c>
      <c r="H5340" s="19" t="s">
        <v>8364</v>
      </c>
      <c r="I5340" s="19">
        <v>8</v>
      </c>
      <c r="J5340" s="19">
        <v>1</v>
      </c>
      <c r="K5340" s="19">
        <v>1</v>
      </c>
      <c r="L5340" s="19" t="s">
        <v>33</v>
      </c>
      <c r="M5340" s="21">
        <v>17.5</v>
      </c>
      <c r="N5340">
        <f t="shared" si="83"/>
        <v>0</v>
      </c>
    </row>
    <row r="5341" spans="1:14" x14ac:dyDescent="0.35">
      <c r="A5341" s="22" t="s">
        <v>5411</v>
      </c>
      <c r="B5341" s="23" t="s">
        <v>65</v>
      </c>
      <c r="C5341" s="23"/>
      <c r="D5341" s="24"/>
      <c r="E5341" s="23" t="s">
        <v>25</v>
      </c>
      <c r="F5341" s="23" t="s">
        <v>26</v>
      </c>
      <c r="G5341" s="23" t="s">
        <v>15</v>
      </c>
      <c r="H5341" s="23" t="s">
        <v>28</v>
      </c>
      <c r="I5341" s="23">
        <v>24</v>
      </c>
      <c r="J5341" s="23">
        <v>0</v>
      </c>
      <c r="K5341" s="23">
        <v>5</v>
      </c>
      <c r="L5341" s="23" t="s">
        <v>17</v>
      </c>
      <c r="M5341" s="25">
        <v>4.8</v>
      </c>
      <c r="N5341">
        <f t="shared" si="83"/>
        <v>1</v>
      </c>
    </row>
    <row r="5342" spans="1:14" x14ac:dyDescent="0.35">
      <c r="A5342" s="6" t="s">
        <v>5412</v>
      </c>
      <c r="B5342" s="19" t="s">
        <v>78</v>
      </c>
      <c r="C5342" s="19">
        <v>4</v>
      </c>
      <c r="D5342" s="20">
        <v>45766</v>
      </c>
      <c r="E5342" s="19" t="s">
        <v>25</v>
      </c>
      <c r="F5342" s="19" t="s">
        <v>14</v>
      </c>
      <c r="G5342" s="19" t="s">
        <v>31</v>
      </c>
      <c r="H5342" s="19" t="s">
        <v>22</v>
      </c>
      <c r="I5342" s="19">
        <v>24</v>
      </c>
      <c r="J5342" s="19">
        <v>3</v>
      </c>
      <c r="K5342" s="19">
        <v>3</v>
      </c>
      <c r="L5342" s="19" t="s">
        <v>8363</v>
      </c>
      <c r="M5342" s="21">
        <v>14.7</v>
      </c>
      <c r="N5342">
        <f t="shared" si="83"/>
        <v>1</v>
      </c>
    </row>
    <row r="5343" spans="1:14" x14ac:dyDescent="0.35">
      <c r="A5343" s="22" t="s">
        <v>5413</v>
      </c>
      <c r="B5343" s="23" t="s">
        <v>236</v>
      </c>
      <c r="C5343" s="23">
        <v>2</v>
      </c>
      <c r="D5343" s="24">
        <v>45694</v>
      </c>
      <c r="E5343" s="23" t="s">
        <v>68</v>
      </c>
      <c r="F5343" s="23" t="s">
        <v>43</v>
      </c>
      <c r="G5343" s="23" t="s">
        <v>31</v>
      </c>
      <c r="H5343" s="23" t="s">
        <v>22</v>
      </c>
      <c r="I5343" s="23">
        <v>48</v>
      </c>
      <c r="J5343" s="23">
        <v>1</v>
      </c>
      <c r="K5343" s="23">
        <v>5</v>
      </c>
      <c r="L5343" s="23" t="s">
        <v>33</v>
      </c>
      <c r="M5343" s="25">
        <v>6.3</v>
      </c>
      <c r="N5343">
        <f t="shared" si="83"/>
        <v>1</v>
      </c>
    </row>
    <row r="5344" spans="1:14" x14ac:dyDescent="0.35">
      <c r="A5344" s="6" t="s">
        <v>5414</v>
      </c>
      <c r="B5344" s="19" t="s">
        <v>47</v>
      </c>
      <c r="C5344" s="19">
        <v>10</v>
      </c>
      <c r="D5344" s="20">
        <v>45944</v>
      </c>
      <c r="E5344" s="19" t="s">
        <v>36</v>
      </c>
      <c r="F5344" s="19" t="s">
        <v>14</v>
      </c>
      <c r="G5344" s="19" t="s">
        <v>8364</v>
      </c>
      <c r="H5344" s="19" t="s">
        <v>28</v>
      </c>
      <c r="I5344" s="19">
        <v>8</v>
      </c>
      <c r="J5344" s="19">
        <v>0</v>
      </c>
      <c r="K5344" s="19">
        <v>4</v>
      </c>
      <c r="L5344" s="19" t="s">
        <v>75</v>
      </c>
      <c r="M5344" s="21">
        <v>1.9</v>
      </c>
      <c r="N5344">
        <f t="shared" si="83"/>
        <v>1</v>
      </c>
    </row>
    <row r="5345" spans="1:14" x14ac:dyDescent="0.35">
      <c r="A5345" s="22" t="s">
        <v>5415</v>
      </c>
      <c r="B5345" s="23" t="s">
        <v>41</v>
      </c>
      <c r="C5345" s="23">
        <v>11</v>
      </c>
      <c r="D5345" s="24">
        <v>45972</v>
      </c>
      <c r="E5345" s="23" t="s">
        <v>20</v>
      </c>
      <c r="F5345" s="23" t="s">
        <v>40</v>
      </c>
      <c r="G5345" s="23" t="s">
        <v>8364</v>
      </c>
      <c r="H5345" s="23" t="s">
        <v>22</v>
      </c>
      <c r="I5345" s="23">
        <v>24</v>
      </c>
      <c r="J5345" s="23">
        <v>0</v>
      </c>
      <c r="K5345" s="23">
        <v>5</v>
      </c>
      <c r="L5345" s="23" t="s">
        <v>8363</v>
      </c>
      <c r="M5345" s="25">
        <v>13.7</v>
      </c>
      <c r="N5345">
        <f t="shared" si="83"/>
        <v>1</v>
      </c>
    </row>
    <row r="5346" spans="1:14" x14ac:dyDescent="0.35">
      <c r="A5346" s="6" t="s">
        <v>5416</v>
      </c>
      <c r="B5346" s="19" t="s">
        <v>104</v>
      </c>
      <c r="C5346" s="19"/>
      <c r="D5346" s="20"/>
      <c r="E5346" s="19" t="s">
        <v>25</v>
      </c>
      <c r="F5346" s="19" t="s">
        <v>14</v>
      </c>
      <c r="G5346" s="19" t="s">
        <v>21</v>
      </c>
      <c r="H5346" s="19" t="s">
        <v>28</v>
      </c>
      <c r="I5346" s="19">
        <v>72</v>
      </c>
      <c r="J5346" s="19">
        <v>0</v>
      </c>
      <c r="K5346" s="19">
        <v>5</v>
      </c>
      <c r="L5346" s="19" t="s">
        <v>17</v>
      </c>
      <c r="M5346" s="21">
        <v>22.2</v>
      </c>
      <c r="N5346">
        <f t="shared" si="83"/>
        <v>1</v>
      </c>
    </row>
    <row r="5347" spans="1:14" x14ac:dyDescent="0.35">
      <c r="A5347" s="22" t="s">
        <v>5417</v>
      </c>
      <c r="B5347" s="23" t="s">
        <v>65</v>
      </c>
      <c r="C5347" s="23">
        <v>6</v>
      </c>
      <c r="D5347" s="24">
        <v>45837</v>
      </c>
      <c r="E5347" s="23" t="s">
        <v>13</v>
      </c>
      <c r="F5347" s="23" t="s">
        <v>43</v>
      </c>
      <c r="G5347" s="23" t="s">
        <v>15</v>
      </c>
      <c r="H5347" s="23" t="s">
        <v>28</v>
      </c>
      <c r="I5347" s="23">
        <v>4</v>
      </c>
      <c r="J5347" s="23">
        <v>0</v>
      </c>
      <c r="K5347" s="23"/>
      <c r="L5347" s="23" t="s">
        <v>62</v>
      </c>
      <c r="M5347" s="25">
        <v>13.2</v>
      </c>
      <c r="N5347">
        <f t="shared" si="83"/>
        <v>0</v>
      </c>
    </row>
    <row r="5348" spans="1:14" x14ac:dyDescent="0.35">
      <c r="A5348" s="6" t="s">
        <v>5418</v>
      </c>
      <c r="B5348" s="19" t="s">
        <v>34</v>
      </c>
      <c r="C5348" s="19">
        <v>6</v>
      </c>
      <c r="D5348" s="20">
        <v>45838</v>
      </c>
      <c r="E5348" s="19" t="s">
        <v>36</v>
      </c>
      <c r="F5348" s="19" t="s">
        <v>14</v>
      </c>
      <c r="G5348" s="19" t="s">
        <v>31</v>
      </c>
      <c r="H5348" s="19" t="s">
        <v>22</v>
      </c>
      <c r="I5348" s="19">
        <v>4</v>
      </c>
      <c r="J5348" s="19">
        <v>0</v>
      </c>
      <c r="K5348" s="19">
        <v>3</v>
      </c>
      <c r="L5348" s="19" t="s">
        <v>44</v>
      </c>
      <c r="M5348" s="21">
        <v>7</v>
      </c>
      <c r="N5348">
        <f t="shared" si="83"/>
        <v>0</v>
      </c>
    </row>
    <row r="5349" spans="1:14" x14ac:dyDescent="0.35">
      <c r="A5349" s="22" t="s">
        <v>5419</v>
      </c>
      <c r="B5349" s="23" t="s">
        <v>108</v>
      </c>
      <c r="C5349" s="23">
        <v>10</v>
      </c>
      <c r="D5349" s="24">
        <v>45945</v>
      </c>
      <c r="E5349" s="23" t="s">
        <v>36</v>
      </c>
      <c r="F5349" s="23" t="s">
        <v>26</v>
      </c>
      <c r="G5349" s="23" t="s">
        <v>21</v>
      </c>
      <c r="H5349" s="23" t="s">
        <v>22</v>
      </c>
      <c r="I5349" s="23">
        <v>8</v>
      </c>
      <c r="J5349" s="23">
        <v>0</v>
      </c>
      <c r="K5349" s="23">
        <v>4</v>
      </c>
      <c r="L5349" s="23" t="s">
        <v>8363</v>
      </c>
      <c r="M5349" s="25">
        <v>6</v>
      </c>
      <c r="N5349">
        <f t="shared" si="83"/>
        <v>1</v>
      </c>
    </row>
    <row r="5350" spans="1:14" x14ac:dyDescent="0.35">
      <c r="A5350" s="6" t="s">
        <v>5420</v>
      </c>
      <c r="B5350" s="19" t="s">
        <v>146</v>
      </c>
      <c r="C5350" s="19">
        <v>4</v>
      </c>
      <c r="D5350" s="20">
        <v>45759</v>
      </c>
      <c r="E5350" s="19" t="s">
        <v>13</v>
      </c>
      <c r="F5350" s="19" t="s">
        <v>14</v>
      </c>
      <c r="G5350" s="19" t="s">
        <v>21</v>
      </c>
      <c r="H5350" s="19" t="s">
        <v>28</v>
      </c>
      <c r="I5350" s="19">
        <v>4</v>
      </c>
      <c r="J5350" s="19">
        <v>0</v>
      </c>
      <c r="K5350" s="19">
        <v>5</v>
      </c>
      <c r="L5350" s="19" t="s">
        <v>8363</v>
      </c>
      <c r="M5350" s="21">
        <v>17.7</v>
      </c>
      <c r="N5350">
        <f t="shared" si="83"/>
        <v>0</v>
      </c>
    </row>
    <row r="5351" spans="1:14" x14ac:dyDescent="0.35">
      <c r="A5351" s="22" t="s">
        <v>5421</v>
      </c>
      <c r="B5351" s="23" t="s">
        <v>45</v>
      </c>
      <c r="C5351" s="23">
        <v>10</v>
      </c>
      <c r="D5351" s="24">
        <v>45943</v>
      </c>
      <c r="E5351" s="23" t="s">
        <v>25</v>
      </c>
      <c r="F5351" s="23" t="s">
        <v>40</v>
      </c>
      <c r="G5351" s="23" t="s">
        <v>15</v>
      </c>
      <c r="H5351" s="23" t="s">
        <v>22</v>
      </c>
      <c r="I5351" s="23">
        <v>4</v>
      </c>
      <c r="J5351" s="23">
        <v>0</v>
      </c>
      <c r="K5351" s="23">
        <v>5</v>
      </c>
      <c r="L5351" s="23" t="s">
        <v>8363</v>
      </c>
      <c r="M5351" s="25">
        <v>6.7</v>
      </c>
      <c r="N5351">
        <f t="shared" si="83"/>
        <v>0</v>
      </c>
    </row>
    <row r="5352" spans="1:14" x14ac:dyDescent="0.35">
      <c r="A5352" s="6" t="s">
        <v>5422</v>
      </c>
      <c r="B5352" s="19" t="s">
        <v>99</v>
      </c>
      <c r="C5352" s="19"/>
      <c r="D5352" s="20"/>
      <c r="E5352" s="19" t="s">
        <v>13</v>
      </c>
      <c r="F5352" s="19" t="s">
        <v>14</v>
      </c>
      <c r="G5352" s="19" t="s">
        <v>31</v>
      </c>
      <c r="H5352" s="19" t="s">
        <v>22</v>
      </c>
      <c r="I5352" s="19">
        <v>4</v>
      </c>
      <c r="J5352" s="19">
        <v>2</v>
      </c>
      <c r="K5352" s="19">
        <v>4</v>
      </c>
      <c r="L5352" s="19" t="s">
        <v>55</v>
      </c>
      <c r="M5352" s="21">
        <v>8.9</v>
      </c>
      <c r="N5352">
        <f t="shared" si="83"/>
        <v>0</v>
      </c>
    </row>
    <row r="5353" spans="1:14" x14ac:dyDescent="0.35">
      <c r="A5353" s="22" t="s">
        <v>5423</v>
      </c>
      <c r="B5353" s="23" t="s">
        <v>41</v>
      </c>
      <c r="C5353" s="23">
        <v>10</v>
      </c>
      <c r="D5353" s="24">
        <v>45936</v>
      </c>
      <c r="E5353" s="23" t="s">
        <v>25</v>
      </c>
      <c r="F5353" s="23" t="s">
        <v>43</v>
      </c>
      <c r="G5353" s="23" t="s">
        <v>15</v>
      </c>
      <c r="H5353" s="23" t="s">
        <v>16</v>
      </c>
      <c r="I5353" s="23">
        <v>4</v>
      </c>
      <c r="J5353" s="23">
        <v>0</v>
      </c>
      <c r="K5353" s="23">
        <v>4</v>
      </c>
      <c r="L5353" s="23" t="s">
        <v>17</v>
      </c>
      <c r="M5353" s="25">
        <v>16.100000000000001</v>
      </c>
      <c r="N5353">
        <f t="shared" si="83"/>
        <v>0</v>
      </c>
    </row>
    <row r="5354" spans="1:14" x14ac:dyDescent="0.35">
      <c r="A5354" s="6" t="s">
        <v>5424</v>
      </c>
      <c r="B5354" s="19" t="s">
        <v>130</v>
      </c>
      <c r="C5354" s="19">
        <v>11</v>
      </c>
      <c r="D5354" s="20">
        <v>45982</v>
      </c>
      <c r="E5354" s="19" t="s">
        <v>8364</v>
      </c>
      <c r="F5354" s="19" t="s">
        <v>59</v>
      </c>
      <c r="G5354" s="19" t="s">
        <v>8364</v>
      </c>
      <c r="H5354" s="19" t="s">
        <v>32</v>
      </c>
      <c r="I5354" s="19">
        <v>72</v>
      </c>
      <c r="J5354" s="19">
        <v>0</v>
      </c>
      <c r="K5354" s="19">
        <v>4</v>
      </c>
      <c r="L5354" s="19" t="s">
        <v>62</v>
      </c>
      <c r="M5354" s="21">
        <v>14.4</v>
      </c>
      <c r="N5354">
        <f t="shared" si="83"/>
        <v>1</v>
      </c>
    </row>
    <row r="5355" spans="1:14" x14ac:dyDescent="0.35">
      <c r="A5355" s="22" t="s">
        <v>5425</v>
      </c>
      <c r="B5355" s="23" t="s">
        <v>89</v>
      </c>
      <c r="C5355" s="23">
        <v>8</v>
      </c>
      <c r="D5355" s="24">
        <v>45870</v>
      </c>
      <c r="E5355" s="23" t="s">
        <v>13</v>
      </c>
      <c r="F5355" s="23" t="s">
        <v>14</v>
      </c>
      <c r="G5355" s="23" t="s">
        <v>15</v>
      </c>
      <c r="H5355" s="23" t="s">
        <v>8364</v>
      </c>
      <c r="I5355" s="23">
        <v>4</v>
      </c>
      <c r="J5355" s="23">
        <v>0</v>
      </c>
      <c r="K5355" s="23">
        <v>2</v>
      </c>
      <c r="L5355" s="23" t="s">
        <v>75</v>
      </c>
      <c r="M5355" s="25">
        <v>3.7</v>
      </c>
      <c r="N5355">
        <f t="shared" si="83"/>
        <v>1</v>
      </c>
    </row>
    <row r="5356" spans="1:14" x14ac:dyDescent="0.35">
      <c r="A5356" s="6" t="s">
        <v>5426</v>
      </c>
      <c r="B5356" s="19" t="s">
        <v>72</v>
      </c>
      <c r="C5356" s="19">
        <v>8</v>
      </c>
      <c r="D5356" s="20">
        <v>45874</v>
      </c>
      <c r="E5356" s="19" t="s">
        <v>20</v>
      </c>
      <c r="F5356" s="19" t="s">
        <v>8364</v>
      </c>
      <c r="G5356" s="19" t="s">
        <v>15</v>
      </c>
      <c r="H5356" s="19" t="s">
        <v>8364</v>
      </c>
      <c r="I5356" s="19">
        <v>4</v>
      </c>
      <c r="J5356" s="19">
        <v>1</v>
      </c>
      <c r="K5356" s="19">
        <v>3</v>
      </c>
      <c r="L5356" s="19" t="s">
        <v>8363</v>
      </c>
      <c r="M5356" s="21">
        <v>8.6</v>
      </c>
      <c r="N5356">
        <f t="shared" si="83"/>
        <v>0</v>
      </c>
    </row>
    <row r="5357" spans="1:14" x14ac:dyDescent="0.35">
      <c r="A5357" s="22" t="s">
        <v>5427</v>
      </c>
      <c r="B5357" s="23" t="s">
        <v>18</v>
      </c>
      <c r="C5357" s="23">
        <v>11</v>
      </c>
      <c r="D5357" s="24">
        <v>45980</v>
      </c>
      <c r="E5357" s="23" t="s">
        <v>13</v>
      </c>
      <c r="F5357" s="23" t="s">
        <v>43</v>
      </c>
      <c r="G5357" s="23" t="s">
        <v>31</v>
      </c>
      <c r="H5357" s="23" t="s">
        <v>22</v>
      </c>
      <c r="I5357" s="23">
        <v>4</v>
      </c>
      <c r="J5357" s="23">
        <v>0</v>
      </c>
      <c r="K5357" s="23">
        <v>1</v>
      </c>
      <c r="L5357" s="23" t="s">
        <v>75</v>
      </c>
      <c r="M5357" s="25">
        <v>7.4</v>
      </c>
      <c r="N5357">
        <f t="shared" si="83"/>
        <v>0</v>
      </c>
    </row>
    <row r="5358" spans="1:14" x14ac:dyDescent="0.35">
      <c r="A5358" s="6" t="s">
        <v>5428</v>
      </c>
      <c r="B5358" s="19" t="s">
        <v>18</v>
      </c>
      <c r="C5358" s="19"/>
      <c r="D5358" s="20"/>
      <c r="E5358" s="19" t="s">
        <v>36</v>
      </c>
      <c r="F5358" s="19" t="s">
        <v>14</v>
      </c>
      <c r="G5358" s="19" t="s">
        <v>15</v>
      </c>
      <c r="H5358" s="19" t="s">
        <v>28</v>
      </c>
      <c r="I5358" s="19">
        <v>4</v>
      </c>
      <c r="J5358" s="19">
        <v>0</v>
      </c>
      <c r="K5358" s="19">
        <v>4</v>
      </c>
      <c r="L5358" s="19" t="s">
        <v>8363</v>
      </c>
      <c r="M5358" s="21">
        <v>5.8</v>
      </c>
      <c r="N5358">
        <f t="shared" si="83"/>
        <v>0</v>
      </c>
    </row>
    <row r="5359" spans="1:14" x14ac:dyDescent="0.35">
      <c r="A5359" s="22" t="s">
        <v>5429</v>
      </c>
      <c r="B5359" s="23" t="s">
        <v>87</v>
      </c>
      <c r="C5359" s="23">
        <v>9</v>
      </c>
      <c r="D5359" s="24">
        <v>45909</v>
      </c>
      <c r="E5359" s="23" t="s">
        <v>20</v>
      </c>
      <c r="F5359" s="23" t="s">
        <v>14</v>
      </c>
      <c r="G5359" s="23" t="s">
        <v>21</v>
      </c>
      <c r="H5359" s="23" t="s">
        <v>32</v>
      </c>
      <c r="I5359" s="23">
        <v>48</v>
      </c>
      <c r="J5359" s="23">
        <v>3</v>
      </c>
      <c r="K5359" s="23"/>
      <c r="L5359" s="23" t="s">
        <v>62</v>
      </c>
      <c r="M5359" s="25">
        <v>13.6</v>
      </c>
      <c r="N5359">
        <f t="shared" si="83"/>
        <v>1</v>
      </c>
    </row>
    <row r="5360" spans="1:14" x14ac:dyDescent="0.35">
      <c r="A5360" s="6" t="s">
        <v>5430</v>
      </c>
      <c r="B5360" s="19" t="s">
        <v>57</v>
      </c>
      <c r="C5360" s="19"/>
      <c r="D5360" s="20"/>
      <c r="E5360" s="19" t="s">
        <v>25</v>
      </c>
      <c r="F5360" s="19" t="s">
        <v>43</v>
      </c>
      <c r="G5360" s="19" t="s">
        <v>27</v>
      </c>
      <c r="H5360" s="19" t="s">
        <v>22</v>
      </c>
      <c r="I5360" s="19">
        <v>72</v>
      </c>
      <c r="J5360" s="19">
        <v>0</v>
      </c>
      <c r="K5360" s="19">
        <v>2</v>
      </c>
      <c r="L5360" s="19" t="s">
        <v>8363</v>
      </c>
      <c r="M5360" s="21">
        <v>8.5</v>
      </c>
      <c r="N5360">
        <f t="shared" si="83"/>
        <v>1</v>
      </c>
    </row>
    <row r="5361" spans="1:14" x14ac:dyDescent="0.35">
      <c r="A5361" s="22" t="s">
        <v>5431</v>
      </c>
      <c r="B5361" s="23" t="s">
        <v>99</v>
      </c>
      <c r="C5361" s="23">
        <v>6</v>
      </c>
      <c r="D5361" s="24">
        <v>45816</v>
      </c>
      <c r="E5361" s="23" t="s">
        <v>25</v>
      </c>
      <c r="F5361" s="23" t="s">
        <v>43</v>
      </c>
      <c r="G5361" s="23" t="s">
        <v>31</v>
      </c>
      <c r="H5361" s="23" t="s">
        <v>22</v>
      </c>
      <c r="I5361" s="23">
        <v>72</v>
      </c>
      <c r="J5361" s="23">
        <v>0</v>
      </c>
      <c r="K5361" s="23">
        <v>3</v>
      </c>
      <c r="L5361" s="23" t="s">
        <v>55</v>
      </c>
      <c r="M5361" s="25">
        <v>31.8</v>
      </c>
      <c r="N5361">
        <f t="shared" si="83"/>
        <v>1</v>
      </c>
    </row>
    <row r="5362" spans="1:14" x14ac:dyDescent="0.35">
      <c r="A5362" s="6" t="s">
        <v>5432</v>
      </c>
      <c r="B5362" s="19" t="s">
        <v>181</v>
      </c>
      <c r="C5362" s="19">
        <v>2</v>
      </c>
      <c r="D5362" s="20">
        <v>45708</v>
      </c>
      <c r="E5362" s="19" t="s">
        <v>13</v>
      </c>
      <c r="F5362" s="19" t="s">
        <v>43</v>
      </c>
      <c r="G5362" s="19" t="s">
        <v>15</v>
      </c>
      <c r="H5362" s="19" t="s">
        <v>8364</v>
      </c>
      <c r="I5362" s="19">
        <v>48</v>
      </c>
      <c r="J5362" s="19">
        <v>0</v>
      </c>
      <c r="K5362" s="19">
        <v>3</v>
      </c>
      <c r="L5362" s="19" t="s">
        <v>17</v>
      </c>
      <c r="M5362" s="21"/>
      <c r="N5362">
        <f t="shared" si="83"/>
        <v>1</v>
      </c>
    </row>
    <row r="5363" spans="1:14" x14ac:dyDescent="0.35">
      <c r="A5363" s="22" t="s">
        <v>5433</v>
      </c>
      <c r="B5363" s="23" t="s">
        <v>97</v>
      </c>
      <c r="C5363" s="23">
        <v>1</v>
      </c>
      <c r="D5363" s="24">
        <v>45669</v>
      </c>
      <c r="E5363" s="23" t="s">
        <v>13</v>
      </c>
      <c r="F5363" s="23" t="s">
        <v>59</v>
      </c>
      <c r="G5363" s="23" t="s">
        <v>15</v>
      </c>
      <c r="H5363" s="23" t="s">
        <v>22</v>
      </c>
      <c r="I5363" s="23">
        <v>24</v>
      </c>
      <c r="J5363" s="23">
        <v>0</v>
      </c>
      <c r="K5363" s="23">
        <v>4</v>
      </c>
      <c r="L5363" s="23" t="s">
        <v>55</v>
      </c>
      <c r="M5363" s="25">
        <v>14.7</v>
      </c>
      <c r="N5363">
        <f t="shared" si="83"/>
        <v>1</v>
      </c>
    </row>
    <row r="5364" spans="1:14" x14ac:dyDescent="0.35">
      <c r="A5364" s="6" t="s">
        <v>5434</v>
      </c>
      <c r="B5364" s="19" t="s">
        <v>253</v>
      </c>
      <c r="C5364" s="19">
        <v>10</v>
      </c>
      <c r="D5364" s="20">
        <v>45950</v>
      </c>
      <c r="E5364" s="19" t="s">
        <v>25</v>
      </c>
      <c r="F5364" s="19" t="s">
        <v>43</v>
      </c>
      <c r="G5364" s="19" t="s">
        <v>21</v>
      </c>
      <c r="H5364" s="19" t="s">
        <v>8364</v>
      </c>
      <c r="I5364" s="19">
        <v>48</v>
      </c>
      <c r="J5364" s="19">
        <v>0</v>
      </c>
      <c r="K5364" s="19">
        <v>3</v>
      </c>
      <c r="L5364" s="19" t="s">
        <v>8363</v>
      </c>
      <c r="M5364" s="21">
        <v>12</v>
      </c>
      <c r="N5364">
        <f t="shared" si="83"/>
        <v>1</v>
      </c>
    </row>
    <row r="5365" spans="1:14" x14ac:dyDescent="0.35">
      <c r="A5365" s="22" t="s">
        <v>5435</v>
      </c>
      <c r="B5365" s="23" t="s">
        <v>53</v>
      </c>
      <c r="C5365" s="23">
        <v>4</v>
      </c>
      <c r="D5365" s="24">
        <v>45769</v>
      </c>
      <c r="E5365" s="23" t="s">
        <v>13</v>
      </c>
      <c r="F5365" s="23" t="s">
        <v>43</v>
      </c>
      <c r="G5365" s="23" t="s">
        <v>15</v>
      </c>
      <c r="H5365" s="23" t="s">
        <v>22</v>
      </c>
      <c r="I5365" s="23">
        <v>8</v>
      </c>
      <c r="J5365" s="23">
        <v>0</v>
      </c>
      <c r="K5365" s="23">
        <v>4</v>
      </c>
      <c r="L5365" s="23" t="s">
        <v>38</v>
      </c>
      <c r="M5365" s="25">
        <v>10.8</v>
      </c>
      <c r="N5365">
        <f t="shared" si="83"/>
        <v>0</v>
      </c>
    </row>
    <row r="5366" spans="1:14" x14ac:dyDescent="0.35">
      <c r="A5366" s="6" t="s">
        <v>5436</v>
      </c>
      <c r="B5366" s="19" t="s">
        <v>39</v>
      </c>
      <c r="C5366" s="19">
        <v>4</v>
      </c>
      <c r="D5366" s="20">
        <v>45749</v>
      </c>
      <c r="E5366" s="19" t="s">
        <v>25</v>
      </c>
      <c r="F5366" s="19" t="s">
        <v>8364</v>
      </c>
      <c r="G5366" s="19" t="s">
        <v>21</v>
      </c>
      <c r="H5366" s="19" t="s">
        <v>32</v>
      </c>
      <c r="I5366" s="19">
        <v>8</v>
      </c>
      <c r="J5366" s="19">
        <v>0</v>
      </c>
      <c r="K5366" s="19">
        <v>1</v>
      </c>
      <c r="L5366" s="19" t="s">
        <v>75</v>
      </c>
      <c r="M5366" s="21">
        <v>13</v>
      </c>
      <c r="N5366">
        <f t="shared" si="83"/>
        <v>0</v>
      </c>
    </row>
    <row r="5367" spans="1:14" x14ac:dyDescent="0.35">
      <c r="A5367" s="22" t="s">
        <v>5437</v>
      </c>
      <c r="B5367" s="23" t="s">
        <v>81</v>
      </c>
      <c r="C5367" s="23">
        <v>5</v>
      </c>
      <c r="D5367" s="24">
        <v>45785</v>
      </c>
      <c r="E5367" s="23" t="s">
        <v>20</v>
      </c>
      <c r="F5367" s="23" t="s">
        <v>14</v>
      </c>
      <c r="G5367" s="23" t="s">
        <v>27</v>
      </c>
      <c r="H5367" s="23" t="s">
        <v>22</v>
      </c>
      <c r="I5367" s="23">
        <v>24</v>
      </c>
      <c r="J5367" s="23">
        <v>0</v>
      </c>
      <c r="K5367" s="23">
        <v>4</v>
      </c>
      <c r="L5367" s="23" t="s">
        <v>55</v>
      </c>
      <c r="M5367" s="25">
        <v>5.9</v>
      </c>
      <c r="N5367">
        <f t="shared" si="83"/>
        <v>1</v>
      </c>
    </row>
    <row r="5368" spans="1:14" x14ac:dyDescent="0.35">
      <c r="A5368" s="6" t="s">
        <v>5438</v>
      </c>
      <c r="B5368" s="19" t="s">
        <v>253</v>
      </c>
      <c r="C5368" s="19">
        <v>7</v>
      </c>
      <c r="D5368" s="20">
        <v>45858</v>
      </c>
      <c r="E5368" s="19" t="s">
        <v>20</v>
      </c>
      <c r="F5368" s="19" t="s">
        <v>26</v>
      </c>
      <c r="G5368" s="19" t="s">
        <v>27</v>
      </c>
      <c r="H5368" s="19" t="s">
        <v>22</v>
      </c>
      <c r="I5368" s="19">
        <v>4</v>
      </c>
      <c r="J5368" s="19">
        <v>0</v>
      </c>
      <c r="K5368" s="19">
        <v>5</v>
      </c>
      <c r="L5368" s="19" t="s">
        <v>17</v>
      </c>
      <c r="M5368" s="21">
        <v>8.4</v>
      </c>
      <c r="N5368">
        <f t="shared" si="83"/>
        <v>0</v>
      </c>
    </row>
    <row r="5369" spans="1:14" x14ac:dyDescent="0.35">
      <c r="A5369" s="22" t="s">
        <v>5439</v>
      </c>
      <c r="B5369" s="23" t="s">
        <v>47</v>
      </c>
      <c r="C5369" s="23">
        <v>12</v>
      </c>
      <c r="D5369" s="24">
        <v>45998</v>
      </c>
      <c r="E5369" s="23" t="s">
        <v>13</v>
      </c>
      <c r="F5369" s="23" t="s">
        <v>43</v>
      </c>
      <c r="G5369" s="23" t="s">
        <v>15</v>
      </c>
      <c r="H5369" s="23" t="s">
        <v>22</v>
      </c>
      <c r="I5369" s="23">
        <v>24</v>
      </c>
      <c r="J5369" s="23">
        <v>1</v>
      </c>
      <c r="K5369" s="23">
        <v>5</v>
      </c>
      <c r="L5369" s="23" t="s">
        <v>8363</v>
      </c>
      <c r="M5369" s="25">
        <v>17.7</v>
      </c>
      <c r="N5369">
        <f t="shared" si="83"/>
        <v>1</v>
      </c>
    </row>
    <row r="5370" spans="1:14" x14ac:dyDescent="0.35">
      <c r="A5370" s="6" t="s">
        <v>5440</v>
      </c>
      <c r="B5370" s="19" t="s">
        <v>49</v>
      </c>
      <c r="C5370" s="19">
        <v>10</v>
      </c>
      <c r="D5370" s="20">
        <v>45935</v>
      </c>
      <c r="E5370" s="19" t="s">
        <v>8364</v>
      </c>
      <c r="F5370" s="19" t="s">
        <v>40</v>
      </c>
      <c r="G5370" s="19" t="s">
        <v>31</v>
      </c>
      <c r="H5370" s="19" t="s">
        <v>22</v>
      </c>
      <c r="I5370" s="19">
        <v>24</v>
      </c>
      <c r="J5370" s="19">
        <v>0</v>
      </c>
      <c r="K5370" s="19">
        <v>3</v>
      </c>
      <c r="L5370" s="19" t="s">
        <v>44</v>
      </c>
      <c r="M5370" s="21">
        <v>7.3</v>
      </c>
      <c r="N5370">
        <f t="shared" si="83"/>
        <v>1</v>
      </c>
    </row>
    <row r="5371" spans="1:14" x14ac:dyDescent="0.35">
      <c r="A5371" s="22" t="s">
        <v>5441</v>
      </c>
      <c r="B5371" s="23" t="s">
        <v>89</v>
      </c>
      <c r="C5371" s="23">
        <v>2</v>
      </c>
      <c r="D5371" s="24">
        <v>45708</v>
      </c>
      <c r="E5371" s="23" t="s">
        <v>8364</v>
      </c>
      <c r="F5371" s="23" t="s">
        <v>14</v>
      </c>
      <c r="G5371" s="23" t="s">
        <v>31</v>
      </c>
      <c r="H5371" s="23" t="s">
        <v>32</v>
      </c>
      <c r="I5371" s="23">
        <v>72</v>
      </c>
      <c r="J5371" s="23">
        <v>0</v>
      </c>
      <c r="K5371" s="23">
        <v>5</v>
      </c>
      <c r="L5371" s="23" t="s">
        <v>55</v>
      </c>
      <c r="M5371" s="25">
        <v>3.4</v>
      </c>
      <c r="N5371">
        <f t="shared" si="83"/>
        <v>1</v>
      </c>
    </row>
    <row r="5372" spans="1:14" x14ac:dyDescent="0.35">
      <c r="A5372" s="6" t="s">
        <v>5442</v>
      </c>
      <c r="B5372" s="19" t="s">
        <v>139</v>
      </c>
      <c r="C5372" s="19">
        <v>6</v>
      </c>
      <c r="D5372" s="20">
        <v>45817</v>
      </c>
      <c r="E5372" s="19" t="s">
        <v>36</v>
      </c>
      <c r="F5372" s="19" t="s">
        <v>14</v>
      </c>
      <c r="G5372" s="19" t="s">
        <v>27</v>
      </c>
      <c r="H5372" s="19" t="s">
        <v>22</v>
      </c>
      <c r="I5372" s="19">
        <v>8</v>
      </c>
      <c r="J5372" s="19">
        <v>2</v>
      </c>
      <c r="K5372" s="19">
        <v>5</v>
      </c>
      <c r="L5372" s="19" t="s">
        <v>17</v>
      </c>
      <c r="M5372" s="21">
        <v>0.8</v>
      </c>
      <c r="N5372">
        <f t="shared" si="83"/>
        <v>1</v>
      </c>
    </row>
    <row r="5373" spans="1:14" x14ac:dyDescent="0.35">
      <c r="A5373" s="22" t="s">
        <v>5443</v>
      </c>
      <c r="B5373" s="23" t="s">
        <v>85</v>
      </c>
      <c r="C5373" s="23">
        <v>4</v>
      </c>
      <c r="D5373" s="24">
        <v>45768</v>
      </c>
      <c r="E5373" s="23" t="s">
        <v>68</v>
      </c>
      <c r="F5373" s="23" t="s">
        <v>14</v>
      </c>
      <c r="G5373" s="23" t="s">
        <v>15</v>
      </c>
      <c r="H5373" s="23" t="s">
        <v>8364</v>
      </c>
      <c r="I5373" s="23">
        <v>24</v>
      </c>
      <c r="J5373" s="23">
        <v>1</v>
      </c>
      <c r="K5373" s="23">
        <v>5</v>
      </c>
      <c r="L5373" s="23" t="s">
        <v>62</v>
      </c>
      <c r="M5373" s="25">
        <v>6.2</v>
      </c>
      <c r="N5373">
        <f t="shared" si="83"/>
        <v>1</v>
      </c>
    </row>
    <row r="5374" spans="1:14" x14ac:dyDescent="0.35">
      <c r="A5374" s="6" t="s">
        <v>5444</v>
      </c>
      <c r="B5374" s="19" t="s">
        <v>49</v>
      </c>
      <c r="C5374" s="19">
        <v>5</v>
      </c>
      <c r="D5374" s="20">
        <v>45793</v>
      </c>
      <c r="E5374" s="19" t="s">
        <v>68</v>
      </c>
      <c r="F5374" s="19" t="s">
        <v>26</v>
      </c>
      <c r="G5374" s="19" t="s">
        <v>15</v>
      </c>
      <c r="H5374" s="19" t="s">
        <v>8364</v>
      </c>
      <c r="I5374" s="19">
        <v>4</v>
      </c>
      <c r="J5374" s="19">
        <v>0</v>
      </c>
      <c r="K5374" s="19">
        <v>5</v>
      </c>
      <c r="L5374" s="19" t="s">
        <v>62</v>
      </c>
      <c r="M5374" s="21">
        <v>7</v>
      </c>
      <c r="N5374">
        <f t="shared" si="83"/>
        <v>0</v>
      </c>
    </row>
    <row r="5375" spans="1:14" x14ac:dyDescent="0.35">
      <c r="A5375" s="22" t="s">
        <v>5445</v>
      </c>
      <c r="B5375" s="23" t="s">
        <v>51</v>
      </c>
      <c r="C5375" s="23">
        <v>1</v>
      </c>
      <c r="D5375" s="24">
        <v>45676</v>
      </c>
      <c r="E5375" s="23" t="s">
        <v>20</v>
      </c>
      <c r="F5375" s="23" t="s">
        <v>14</v>
      </c>
      <c r="G5375" s="23" t="s">
        <v>27</v>
      </c>
      <c r="H5375" s="23" t="s">
        <v>32</v>
      </c>
      <c r="I5375" s="23">
        <v>24</v>
      </c>
      <c r="J5375" s="23">
        <v>0</v>
      </c>
      <c r="K5375" s="23">
        <v>2</v>
      </c>
      <c r="L5375" s="23" t="s">
        <v>62</v>
      </c>
      <c r="M5375" s="25">
        <v>6.6</v>
      </c>
      <c r="N5375">
        <f t="shared" si="83"/>
        <v>1</v>
      </c>
    </row>
    <row r="5376" spans="1:14" x14ac:dyDescent="0.35">
      <c r="A5376" s="6" t="s">
        <v>5446</v>
      </c>
      <c r="B5376" s="19" t="s">
        <v>81</v>
      </c>
      <c r="C5376" s="19">
        <v>7</v>
      </c>
      <c r="D5376" s="20">
        <v>45853</v>
      </c>
      <c r="E5376" s="19" t="s">
        <v>13</v>
      </c>
      <c r="F5376" s="19" t="s">
        <v>8364</v>
      </c>
      <c r="G5376" s="19" t="s">
        <v>8364</v>
      </c>
      <c r="H5376" s="19" t="s">
        <v>28</v>
      </c>
      <c r="I5376" s="19">
        <v>24</v>
      </c>
      <c r="J5376" s="19">
        <v>0</v>
      </c>
      <c r="K5376" s="19">
        <v>3</v>
      </c>
      <c r="L5376" s="19" t="s">
        <v>33</v>
      </c>
      <c r="M5376" s="21"/>
      <c r="N5376">
        <f t="shared" si="83"/>
        <v>1</v>
      </c>
    </row>
    <row r="5377" spans="1:14" x14ac:dyDescent="0.35">
      <c r="A5377" s="22" t="s">
        <v>5447</v>
      </c>
      <c r="B5377" s="23" t="s">
        <v>92</v>
      </c>
      <c r="C5377" s="23">
        <v>9</v>
      </c>
      <c r="D5377" s="24">
        <v>45906</v>
      </c>
      <c r="E5377" s="23" t="s">
        <v>25</v>
      </c>
      <c r="F5377" s="23" t="s">
        <v>59</v>
      </c>
      <c r="G5377" s="23" t="s">
        <v>31</v>
      </c>
      <c r="H5377" s="23" t="s">
        <v>28</v>
      </c>
      <c r="I5377" s="23">
        <v>8</v>
      </c>
      <c r="J5377" s="23">
        <v>2</v>
      </c>
      <c r="K5377" s="23">
        <v>2</v>
      </c>
      <c r="L5377" s="23" t="s">
        <v>17</v>
      </c>
      <c r="M5377" s="25">
        <v>7.1</v>
      </c>
      <c r="N5377">
        <f t="shared" si="83"/>
        <v>1</v>
      </c>
    </row>
    <row r="5378" spans="1:14" x14ac:dyDescent="0.35">
      <c r="A5378" s="6" t="s">
        <v>5448</v>
      </c>
      <c r="B5378" s="19" t="s">
        <v>146</v>
      </c>
      <c r="C5378" s="19">
        <v>6</v>
      </c>
      <c r="D5378" s="20">
        <v>45835</v>
      </c>
      <c r="E5378" s="19" t="s">
        <v>20</v>
      </c>
      <c r="F5378" s="19" t="s">
        <v>59</v>
      </c>
      <c r="G5378" s="19" t="s">
        <v>31</v>
      </c>
      <c r="H5378" s="19" t="s">
        <v>8364</v>
      </c>
      <c r="I5378" s="19">
        <v>4</v>
      </c>
      <c r="J5378" s="19">
        <v>0</v>
      </c>
      <c r="K5378" s="19">
        <v>4</v>
      </c>
      <c r="L5378" s="19" t="s">
        <v>55</v>
      </c>
      <c r="M5378" s="21">
        <v>7.4</v>
      </c>
      <c r="N5378">
        <f t="shared" si="83"/>
        <v>0</v>
      </c>
    </row>
    <row r="5379" spans="1:14" x14ac:dyDescent="0.35">
      <c r="A5379" s="22" t="s">
        <v>5449</v>
      </c>
      <c r="B5379" s="23" t="s">
        <v>236</v>
      </c>
      <c r="C5379" s="23">
        <v>4</v>
      </c>
      <c r="D5379" s="24">
        <v>45751</v>
      </c>
      <c r="E5379" s="23" t="s">
        <v>25</v>
      </c>
      <c r="F5379" s="23" t="s">
        <v>14</v>
      </c>
      <c r="G5379" s="23" t="s">
        <v>31</v>
      </c>
      <c r="H5379" s="23" t="s">
        <v>22</v>
      </c>
      <c r="I5379" s="23">
        <v>72</v>
      </c>
      <c r="J5379" s="23">
        <v>0</v>
      </c>
      <c r="K5379" s="23"/>
      <c r="L5379" s="23" t="s">
        <v>17</v>
      </c>
      <c r="M5379" s="25">
        <v>12.3</v>
      </c>
      <c r="N5379">
        <f t="shared" ref="N5379:N5442" si="84">IF(M5379 &lt;= I5379, 1, 0)</f>
        <v>1</v>
      </c>
    </row>
    <row r="5380" spans="1:14" x14ac:dyDescent="0.35">
      <c r="A5380" s="6" t="s">
        <v>5450</v>
      </c>
      <c r="B5380" s="19" t="s">
        <v>146</v>
      </c>
      <c r="C5380" s="19">
        <v>6</v>
      </c>
      <c r="D5380" s="20">
        <v>45827</v>
      </c>
      <c r="E5380" s="19" t="s">
        <v>13</v>
      </c>
      <c r="F5380" s="19" t="s">
        <v>14</v>
      </c>
      <c r="G5380" s="19" t="s">
        <v>21</v>
      </c>
      <c r="H5380" s="19" t="s">
        <v>22</v>
      </c>
      <c r="I5380" s="19">
        <v>8</v>
      </c>
      <c r="J5380" s="19">
        <v>0</v>
      </c>
      <c r="K5380" s="19">
        <v>4</v>
      </c>
      <c r="L5380" s="19" t="s">
        <v>17</v>
      </c>
      <c r="M5380" s="21">
        <v>8.6</v>
      </c>
      <c r="N5380">
        <f t="shared" si="84"/>
        <v>0</v>
      </c>
    </row>
    <row r="5381" spans="1:14" x14ac:dyDescent="0.35">
      <c r="A5381" s="22" t="s">
        <v>5451</v>
      </c>
      <c r="B5381" s="23" t="s">
        <v>158</v>
      </c>
      <c r="C5381" s="23">
        <v>10</v>
      </c>
      <c r="D5381" s="24">
        <v>45934</v>
      </c>
      <c r="E5381" s="23" t="s">
        <v>13</v>
      </c>
      <c r="F5381" s="23" t="s">
        <v>59</v>
      </c>
      <c r="G5381" s="23" t="s">
        <v>8364</v>
      </c>
      <c r="H5381" s="23" t="s">
        <v>32</v>
      </c>
      <c r="I5381" s="23">
        <v>72</v>
      </c>
      <c r="J5381" s="23">
        <v>0</v>
      </c>
      <c r="K5381" s="23">
        <v>3</v>
      </c>
      <c r="L5381" s="23" t="s">
        <v>17</v>
      </c>
      <c r="M5381" s="25">
        <v>3</v>
      </c>
      <c r="N5381">
        <f t="shared" si="84"/>
        <v>1</v>
      </c>
    </row>
    <row r="5382" spans="1:14" x14ac:dyDescent="0.35">
      <c r="A5382" s="6" t="s">
        <v>5452</v>
      </c>
      <c r="B5382" s="19" t="s">
        <v>23</v>
      </c>
      <c r="C5382" s="19">
        <v>5</v>
      </c>
      <c r="D5382" s="20">
        <v>45799</v>
      </c>
      <c r="E5382" s="19" t="s">
        <v>68</v>
      </c>
      <c r="F5382" s="19" t="s">
        <v>43</v>
      </c>
      <c r="G5382" s="19" t="s">
        <v>31</v>
      </c>
      <c r="H5382" s="19" t="s">
        <v>22</v>
      </c>
      <c r="I5382" s="19">
        <v>48</v>
      </c>
      <c r="J5382" s="19">
        <v>2</v>
      </c>
      <c r="K5382" s="19">
        <v>4</v>
      </c>
      <c r="L5382" s="19" t="s">
        <v>62</v>
      </c>
      <c r="M5382" s="21">
        <v>18.100000000000001</v>
      </c>
      <c r="N5382">
        <f t="shared" si="84"/>
        <v>1</v>
      </c>
    </row>
    <row r="5383" spans="1:14" x14ac:dyDescent="0.35">
      <c r="A5383" s="22" t="s">
        <v>5453</v>
      </c>
      <c r="B5383" s="23" t="s">
        <v>47</v>
      </c>
      <c r="C5383" s="23"/>
      <c r="D5383" s="24"/>
      <c r="E5383" s="23" t="s">
        <v>68</v>
      </c>
      <c r="F5383" s="23" t="s">
        <v>43</v>
      </c>
      <c r="G5383" s="23" t="s">
        <v>27</v>
      </c>
      <c r="H5383" s="23" t="s">
        <v>16</v>
      </c>
      <c r="I5383" s="23">
        <v>8</v>
      </c>
      <c r="J5383" s="23">
        <v>0</v>
      </c>
      <c r="K5383" s="23">
        <v>4</v>
      </c>
      <c r="L5383" s="23" t="s">
        <v>33</v>
      </c>
      <c r="M5383" s="25">
        <v>13.8</v>
      </c>
      <c r="N5383">
        <f t="shared" si="84"/>
        <v>0</v>
      </c>
    </row>
    <row r="5384" spans="1:14" x14ac:dyDescent="0.35">
      <c r="A5384" s="6" t="s">
        <v>5454</v>
      </c>
      <c r="B5384" s="19" t="s">
        <v>99</v>
      </c>
      <c r="C5384" s="19">
        <v>11</v>
      </c>
      <c r="D5384" s="20">
        <v>45979</v>
      </c>
      <c r="E5384" s="19" t="s">
        <v>36</v>
      </c>
      <c r="F5384" s="19" t="s">
        <v>43</v>
      </c>
      <c r="G5384" s="19" t="s">
        <v>31</v>
      </c>
      <c r="H5384" s="19" t="s">
        <v>32</v>
      </c>
      <c r="I5384" s="19">
        <v>8</v>
      </c>
      <c r="J5384" s="19">
        <v>0</v>
      </c>
      <c r="K5384" s="19"/>
      <c r="L5384" s="19" t="s">
        <v>44</v>
      </c>
      <c r="M5384" s="21">
        <v>10.7</v>
      </c>
      <c r="N5384">
        <f t="shared" si="84"/>
        <v>0</v>
      </c>
    </row>
    <row r="5385" spans="1:14" x14ac:dyDescent="0.35">
      <c r="A5385" s="22" t="s">
        <v>5455</v>
      </c>
      <c r="B5385" s="23" t="s">
        <v>47</v>
      </c>
      <c r="C5385" s="23">
        <v>8</v>
      </c>
      <c r="D5385" s="24">
        <v>45891</v>
      </c>
      <c r="E5385" s="23" t="s">
        <v>25</v>
      </c>
      <c r="F5385" s="23" t="s">
        <v>37</v>
      </c>
      <c r="G5385" s="23" t="s">
        <v>27</v>
      </c>
      <c r="H5385" s="23" t="s">
        <v>32</v>
      </c>
      <c r="I5385" s="23">
        <v>48</v>
      </c>
      <c r="J5385" s="23">
        <v>0</v>
      </c>
      <c r="K5385" s="23">
        <v>4</v>
      </c>
      <c r="L5385" s="23" t="s">
        <v>44</v>
      </c>
      <c r="M5385" s="25">
        <v>13.6</v>
      </c>
      <c r="N5385">
        <f t="shared" si="84"/>
        <v>1</v>
      </c>
    </row>
    <row r="5386" spans="1:14" x14ac:dyDescent="0.35">
      <c r="A5386" s="6" t="s">
        <v>5456</v>
      </c>
      <c r="B5386" s="19" t="s">
        <v>158</v>
      </c>
      <c r="C5386" s="19"/>
      <c r="D5386" s="20"/>
      <c r="E5386" s="19" t="s">
        <v>68</v>
      </c>
      <c r="F5386" s="19" t="s">
        <v>14</v>
      </c>
      <c r="G5386" s="19" t="s">
        <v>15</v>
      </c>
      <c r="H5386" s="19" t="s">
        <v>8364</v>
      </c>
      <c r="I5386" s="19">
        <v>24</v>
      </c>
      <c r="J5386" s="19">
        <v>0</v>
      </c>
      <c r="K5386" s="19">
        <v>4</v>
      </c>
      <c r="L5386" s="19" t="s">
        <v>33</v>
      </c>
      <c r="M5386" s="21">
        <v>12.6</v>
      </c>
      <c r="N5386">
        <f t="shared" si="84"/>
        <v>1</v>
      </c>
    </row>
    <row r="5387" spans="1:14" x14ac:dyDescent="0.35">
      <c r="A5387" s="22" t="s">
        <v>5457</v>
      </c>
      <c r="B5387" s="23" t="s">
        <v>104</v>
      </c>
      <c r="C5387" s="23">
        <v>3</v>
      </c>
      <c r="D5387" s="24">
        <v>45719</v>
      </c>
      <c r="E5387" s="23" t="s">
        <v>36</v>
      </c>
      <c r="F5387" s="23" t="s">
        <v>14</v>
      </c>
      <c r="G5387" s="23" t="s">
        <v>8364</v>
      </c>
      <c r="H5387" s="23" t="s">
        <v>28</v>
      </c>
      <c r="I5387" s="23">
        <v>72</v>
      </c>
      <c r="J5387" s="23">
        <v>0</v>
      </c>
      <c r="K5387" s="23">
        <v>3</v>
      </c>
      <c r="L5387" s="23" t="s">
        <v>44</v>
      </c>
      <c r="M5387" s="25">
        <v>19.100000000000001</v>
      </c>
      <c r="N5387">
        <f t="shared" si="84"/>
        <v>1</v>
      </c>
    </row>
    <row r="5388" spans="1:14" x14ac:dyDescent="0.35">
      <c r="A5388" s="6" t="s">
        <v>5458</v>
      </c>
      <c r="B5388" s="19" t="s">
        <v>108</v>
      </c>
      <c r="C5388" s="19">
        <v>6</v>
      </c>
      <c r="D5388" s="20">
        <v>45813</v>
      </c>
      <c r="E5388" s="19" t="s">
        <v>25</v>
      </c>
      <c r="F5388" s="19" t="s">
        <v>37</v>
      </c>
      <c r="G5388" s="19" t="s">
        <v>27</v>
      </c>
      <c r="H5388" s="19" t="s">
        <v>32</v>
      </c>
      <c r="I5388" s="19">
        <v>8</v>
      </c>
      <c r="J5388" s="19">
        <v>1</v>
      </c>
      <c r="K5388" s="19">
        <v>4</v>
      </c>
      <c r="L5388" s="19" t="s">
        <v>33</v>
      </c>
      <c r="M5388" s="21">
        <v>9.8000000000000007</v>
      </c>
      <c r="N5388">
        <f t="shared" si="84"/>
        <v>0</v>
      </c>
    </row>
    <row r="5389" spans="1:14" x14ac:dyDescent="0.35">
      <c r="A5389" s="22" t="s">
        <v>5459</v>
      </c>
      <c r="B5389" s="23" t="s">
        <v>49</v>
      </c>
      <c r="C5389" s="23">
        <v>6</v>
      </c>
      <c r="D5389" s="24">
        <v>45814</v>
      </c>
      <c r="E5389" s="23" t="s">
        <v>13</v>
      </c>
      <c r="F5389" s="23" t="s">
        <v>43</v>
      </c>
      <c r="G5389" s="23" t="s">
        <v>27</v>
      </c>
      <c r="H5389" s="23" t="s">
        <v>8364</v>
      </c>
      <c r="I5389" s="23">
        <v>4</v>
      </c>
      <c r="J5389" s="23">
        <v>0</v>
      </c>
      <c r="K5389" s="23">
        <v>5</v>
      </c>
      <c r="L5389" s="23" t="s">
        <v>8363</v>
      </c>
      <c r="M5389" s="25">
        <v>3.8</v>
      </c>
      <c r="N5389">
        <f t="shared" si="84"/>
        <v>1</v>
      </c>
    </row>
    <row r="5390" spans="1:14" x14ac:dyDescent="0.35">
      <c r="A5390" s="6" t="s">
        <v>5460</v>
      </c>
      <c r="B5390" s="19" t="s">
        <v>143</v>
      </c>
      <c r="C5390" s="19">
        <v>5</v>
      </c>
      <c r="D5390" s="20">
        <v>45791</v>
      </c>
      <c r="E5390" s="19" t="s">
        <v>68</v>
      </c>
      <c r="F5390" s="19" t="s">
        <v>43</v>
      </c>
      <c r="G5390" s="19" t="s">
        <v>31</v>
      </c>
      <c r="H5390" s="19" t="s">
        <v>32</v>
      </c>
      <c r="I5390" s="19">
        <v>72</v>
      </c>
      <c r="J5390" s="19">
        <v>0</v>
      </c>
      <c r="K5390" s="19">
        <v>5</v>
      </c>
      <c r="L5390" s="19" t="s">
        <v>17</v>
      </c>
      <c r="M5390" s="21">
        <v>14.7</v>
      </c>
      <c r="N5390">
        <f t="shared" si="84"/>
        <v>1</v>
      </c>
    </row>
    <row r="5391" spans="1:14" x14ac:dyDescent="0.35">
      <c r="A5391" s="22" t="s">
        <v>5461</v>
      </c>
      <c r="B5391" s="23" t="s">
        <v>65</v>
      </c>
      <c r="C5391" s="23">
        <v>8</v>
      </c>
      <c r="D5391" s="24">
        <v>45878</v>
      </c>
      <c r="E5391" s="23" t="s">
        <v>68</v>
      </c>
      <c r="F5391" s="23" t="s">
        <v>14</v>
      </c>
      <c r="G5391" s="23" t="s">
        <v>15</v>
      </c>
      <c r="H5391" s="23" t="s">
        <v>32</v>
      </c>
      <c r="I5391" s="23">
        <v>24</v>
      </c>
      <c r="J5391" s="23">
        <v>3</v>
      </c>
      <c r="K5391" s="23"/>
      <c r="L5391" s="23" t="s">
        <v>75</v>
      </c>
      <c r="M5391" s="25">
        <v>8.6999999999999993</v>
      </c>
      <c r="N5391">
        <f t="shared" si="84"/>
        <v>1</v>
      </c>
    </row>
    <row r="5392" spans="1:14" x14ac:dyDescent="0.35">
      <c r="A5392" s="6" t="s">
        <v>5462</v>
      </c>
      <c r="B5392" s="19" t="s">
        <v>47</v>
      </c>
      <c r="C5392" s="19">
        <v>9</v>
      </c>
      <c r="D5392" s="20">
        <v>45905</v>
      </c>
      <c r="E5392" s="19" t="s">
        <v>20</v>
      </c>
      <c r="F5392" s="19" t="s">
        <v>43</v>
      </c>
      <c r="G5392" s="19" t="s">
        <v>21</v>
      </c>
      <c r="H5392" s="19" t="s">
        <v>22</v>
      </c>
      <c r="I5392" s="19">
        <v>4</v>
      </c>
      <c r="J5392" s="19">
        <v>0</v>
      </c>
      <c r="K5392" s="19">
        <v>5</v>
      </c>
      <c r="L5392" s="19" t="s">
        <v>33</v>
      </c>
      <c r="M5392" s="21">
        <v>12.3</v>
      </c>
      <c r="N5392">
        <f t="shared" si="84"/>
        <v>0</v>
      </c>
    </row>
    <row r="5393" spans="1:14" x14ac:dyDescent="0.35">
      <c r="A5393" s="22" t="s">
        <v>5463</v>
      </c>
      <c r="B5393" s="23" t="s">
        <v>253</v>
      </c>
      <c r="C5393" s="23">
        <v>5</v>
      </c>
      <c r="D5393" s="24">
        <v>45794</v>
      </c>
      <c r="E5393" s="23" t="s">
        <v>20</v>
      </c>
      <c r="F5393" s="23" t="s">
        <v>14</v>
      </c>
      <c r="G5393" s="23" t="s">
        <v>31</v>
      </c>
      <c r="H5393" s="23" t="s">
        <v>28</v>
      </c>
      <c r="I5393" s="23">
        <v>4</v>
      </c>
      <c r="J5393" s="23">
        <v>1</v>
      </c>
      <c r="K5393" s="23">
        <v>5</v>
      </c>
      <c r="L5393" s="23" t="s">
        <v>75</v>
      </c>
      <c r="M5393" s="25">
        <v>7.7</v>
      </c>
      <c r="N5393">
        <f t="shared" si="84"/>
        <v>0</v>
      </c>
    </row>
    <row r="5394" spans="1:14" x14ac:dyDescent="0.35">
      <c r="A5394" s="6" t="s">
        <v>5464</v>
      </c>
      <c r="B5394" s="19" t="s">
        <v>34</v>
      </c>
      <c r="C5394" s="19">
        <v>12</v>
      </c>
      <c r="D5394" s="20">
        <v>46010</v>
      </c>
      <c r="E5394" s="19" t="s">
        <v>25</v>
      </c>
      <c r="F5394" s="19" t="s">
        <v>43</v>
      </c>
      <c r="G5394" s="19" t="s">
        <v>15</v>
      </c>
      <c r="H5394" s="19" t="s">
        <v>28</v>
      </c>
      <c r="I5394" s="19">
        <v>24</v>
      </c>
      <c r="J5394" s="19">
        <v>0</v>
      </c>
      <c r="K5394" s="19">
        <v>3</v>
      </c>
      <c r="L5394" s="19" t="s">
        <v>44</v>
      </c>
      <c r="M5394" s="21">
        <v>14.5</v>
      </c>
      <c r="N5394">
        <f t="shared" si="84"/>
        <v>1</v>
      </c>
    </row>
    <row r="5395" spans="1:14" x14ac:dyDescent="0.35">
      <c r="A5395" s="22" t="s">
        <v>5465</v>
      </c>
      <c r="B5395" s="23" t="s">
        <v>47</v>
      </c>
      <c r="C5395" s="23">
        <v>12</v>
      </c>
      <c r="D5395" s="24">
        <v>46022</v>
      </c>
      <c r="E5395" s="23" t="s">
        <v>8364</v>
      </c>
      <c r="F5395" s="23" t="s">
        <v>26</v>
      </c>
      <c r="G5395" s="23" t="s">
        <v>31</v>
      </c>
      <c r="H5395" s="23" t="s">
        <v>8364</v>
      </c>
      <c r="I5395" s="23">
        <v>8</v>
      </c>
      <c r="J5395" s="23">
        <v>0</v>
      </c>
      <c r="K5395" s="23">
        <v>4</v>
      </c>
      <c r="L5395" s="23" t="s">
        <v>44</v>
      </c>
      <c r="M5395" s="25">
        <v>11</v>
      </c>
      <c r="N5395">
        <f t="shared" si="84"/>
        <v>0</v>
      </c>
    </row>
    <row r="5396" spans="1:14" x14ac:dyDescent="0.35">
      <c r="A5396" s="6" t="s">
        <v>5466</v>
      </c>
      <c r="B5396" s="19" t="s">
        <v>69</v>
      </c>
      <c r="C5396" s="19">
        <v>2</v>
      </c>
      <c r="D5396" s="20">
        <v>45701</v>
      </c>
      <c r="E5396" s="19" t="s">
        <v>68</v>
      </c>
      <c r="F5396" s="19" t="s">
        <v>14</v>
      </c>
      <c r="G5396" s="19" t="s">
        <v>27</v>
      </c>
      <c r="H5396" s="19" t="s">
        <v>22</v>
      </c>
      <c r="I5396" s="19">
        <v>72</v>
      </c>
      <c r="J5396" s="19">
        <v>0</v>
      </c>
      <c r="K5396" s="19">
        <v>3</v>
      </c>
      <c r="L5396" s="19" t="s">
        <v>55</v>
      </c>
      <c r="M5396" s="21">
        <v>8.4</v>
      </c>
      <c r="N5396">
        <f t="shared" si="84"/>
        <v>1</v>
      </c>
    </row>
    <row r="5397" spans="1:14" x14ac:dyDescent="0.35">
      <c r="A5397" s="22" t="s">
        <v>5467</v>
      </c>
      <c r="B5397" s="23" t="s">
        <v>57</v>
      </c>
      <c r="C5397" s="23">
        <v>2</v>
      </c>
      <c r="D5397" s="24">
        <v>45697</v>
      </c>
      <c r="E5397" s="23" t="s">
        <v>13</v>
      </c>
      <c r="F5397" s="23" t="s">
        <v>14</v>
      </c>
      <c r="G5397" s="23" t="s">
        <v>27</v>
      </c>
      <c r="H5397" s="23" t="s">
        <v>8364</v>
      </c>
      <c r="I5397" s="23">
        <v>8</v>
      </c>
      <c r="J5397" s="23">
        <v>1</v>
      </c>
      <c r="K5397" s="23">
        <v>4</v>
      </c>
      <c r="L5397" s="23" t="s">
        <v>8363</v>
      </c>
      <c r="M5397" s="25">
        <v>6.8</v>
      </c>
      <c r="N5397">
        <f t="shared" si="84"/>
        <v>1</v>
      </c>
    </row>
    <row r="5398" spans="1:14" x14ac:dyDescent="0.35">
      <c r="A5398" s="6" t="s">
        <v>5468</v>
      </c>
      <c r="B5398" s="19" t="s">
        <v>69</v>
      </c>
      <c r="C5398" s="19">
        <v>6</v>
      </c>
      <c r="D5398" s="20">
        <v>45816</v>
      </c>
      <c r="E5398" s="19" t="s">
        <v>68</v>
      </c>
      <c r="F5398" s="19" t="s">
        <v>43</v>
      </c>
      <c r="G5398" s="19" t="s">
        <v>15</v>
      </c>
      <c r="H5398" s="19" t="s">
        <v>32</v>
      </c>
      <c r="I5398" s="19">
        <v>24</v>
      </c>
      <c r="J5398" s="19">
        <v>0</v>
      </c>
      <c r="K5398" s="19"/>
      <c r="L5398" s="19" t="s">
        <v>55</v>
      </c>
      <c r="M5398" s="21">
        <v>4.5</v>
      </c>
      <c r="N5398">
        <f t="shared" si="84"/>
        <v>1</v>
      </c>
    </row>
    <row r="5399" spans="1:14" x14ac:dyDescent="0.35">
      <c r="A5399" s="22" t="s">
        <v>5469</v>
      </c>
      <c r="B5399" s="23" t="s">
        <v>81</v>
      </c>
      <c r="C5399" s="23">
        <v>3</v>
      </c>
      <c r="D5399" s="24">
        <v>45721</v>
      </c>
      <c r="E5399" s="23" t="s">
        <v>20</v>
      </c>
      <c r="F5399" s="23" t="s">
        <v>59</v>
      </c>
      <c r="G5399" s="23" t="s">
        <v>8364</v>
      </c>
      <c r="H5399" s="23" t="s">
        <v>22</v>
      </c>
      <c r="I5399" s="23">
        <v>72</v>
      </c>
      <c r="J5399" s="23">
        <v>2</v>
      </c>
      <c r="K5399" s="23">
        <v>4</v>
      </c>
      <c r="L5399" s="23" t="s">
        <v>44</v>
      </c>
      <c r="M5399" s="25">
        <v>5.0999999999999996</v>
      </c>
      <c r="N5399">
        <f t="shared" si="84"/>
        <v>1</v>
      </c>
    </row>
    <row r="5400" spans="1:14" x14ac:dyDescent="0.35">
      <c r="A5400" s="6" t="s">
        <v>5470</v>
      </c>
      <c r="B5400" s="19" t="s">
        <v>236</v>
      </c>
      <c r="C5400" s="19">
        <v>10</v>
      </c>
      <c r="D5400" s="20">
        <v>45950</v>
      </c>
      <c r="E5400" s="19" t="s">
        <v>13</v>
      </c>
      <c r="F5400" s="19" t="s">
        <v>26</v>
      </c>
      <c r="G5400" s="19" t="s">
        <v>27</v>
      </c>
      <c r="H5400" s="19" t="s">
        <v>22</v>
      </c>
      <c r="I5400" s="19">
        <v>48</v>
      </c>
      <c r="J5400" s="19">
        <v>1</v>
      </c>
      <c r="K5400" s="19">
        <v>5</v>
      </c>
      <c r="L5400" s="19" t="s">
        <v>55</v>
      </c>
      <c r="M5400" s="21">
        <v>6</v>
      </c>
      <c r="N5400">
        <f t="shared" si="84"/>
        <v>1</v>
      </c>
    </row>
    <row r="5401" spans="1:14" x14ac:dyDescent="0.35">
      <c r="A5401" s="22" t="s">
        <v>5471</v>
      </c>
      <c r="B5401" s="23" t="s">
        <v>34</v>
      </c>
      <c r="C5401" s="23">
        <v>3</v>
      </c>
      <c r="D5401" s="24">
        <v>45746</v>
      </c>
      <c r="E5401" s="23" t="s">
        <v>36</v>
      </c>
      <c r="F5401" s="23" t="s">
        <v>40</v>
      </c>
      <c r="G5401" s="23" t="s">
        <v>31</v>
      </c>
      <c r="H5401" s="23" t="s">
        <v>8364</v>
      </c>
      <c r="I5401" s="23">
        <v>24</v>
      </c>
      <c r="J5401" s="23">
        <v>0</v>
      </c>
      <c r="K5401" s="23">
        <v>4</v>
      </c>
      <c r="L5401" s="23" t="s">
        <v>8363</v>
      </c>
      <c r="M5401" s="25">
        <v>2.1</v>
      </c>
      <c r="N5401">
        <f t="shared" si="84"/>
        <v>1</v>
      </c>
    </row>
    <row r="5402" spans="1:14" x14ac:dyDescent="0.35">
      <c r="A5402" s="6" t="s">
        <v>5472</v>
      </c>
      <c r="B5402" s="19" t="s">
        <v>89</v>
      </c>
      <c r="C5402" s="19">
        <v>7</v>
      </c>
      <c r="D5402" s="20">
        <v>45841</v>
      </c>
      <c r="E5402" s="19" t="s">
        <v>20</v>
      </c>
      <c r="F5402" s="19" t="s">
        <v>37</v>
      </c>
      <c r="G5402" s="19" t="s">
        <v>27</v>
      </c>
      <c r="H5402" s="19" t="s">
        <v>22</v>
      </c>
      <c r="I5402" s="19">
        <v>8</v>
      </c>
      <c r="J5402" s="19">
        <v>0</v>
      </c>
      <c r="K5402" s="19">
        <v>4</v>
      </c>
      <c r="L5402" s="19" t="s">
        <v>38</v>
      </c>
      <c r="M5402" s="21">
        <v>9.3000000000000007</v>
      </c>
      <c r="N5402">
        <f t="shared" si="84"/>
        <v>0</v>
      </c>
    </row>
    <row r="5403" spans="1:14" x14ac:dyDescent="0.35">
      <c r="A5403" s="22" t="s">
        <v>5473</v>
      </c>
      <c r="B5403" s="23" t="s">
        <v>53</v>
      </c>
      <c r="C5403" s="23">
        <v>5</v>
      </c>
      <c r="D5403" s="24">
        <v>45796</v>
      </c>
      <c r="E5403" s="23" t="s">
        <v>25</v>
      </c>
      <c r="F5403" s="23" t="s">
        <v>43</v>
      </c>
      <c r="G5403" s="23" t="s">
        <v>21</v>
      </c>
      <c r="H5403" s="23" t="s">
        <v>8364</v>
      </c>
      <c r="I5403" s="23">
        <v>4</v>
      </c>
      <c r="J5403" s="23">
        <v>2</v>
      </c>
      <c r="K5403" s="23">
        <v>4</v>
      </c>
      <c r="L5403" s="23" t="s">
        <v>38</v>
      </c>
      <c r="M5403" s="25">
        <v>11.8</v>
      </c>
      <c r="N5403">
        <f t="shared" si="84"/>
        <v>0</v>
      </c>
    </row>
    <row r="5404" spans="1:14" x14ac:dyDescent="0.35">
      <c r="A5404" s="6" t="s">
        <v>5474</v>
      </c>
      <c r="B5404" s="19" t="s">
        <v>34</v>
      </c>
      <c r="C5404" s="19"/>
      <c r="D5404" s="20"/>
      <c r="E5404" s="19" t="s">
        <v>8364</v>
      </c>
      <c r="F5404" s="19" t="s">
        <v>40</v>
      </c>
      <c r="G5404" s="19" t="s">
        <v>27</v>
      </c>
      <c r="H5404" s="19" t="s">
        <v>16</v>
      </c>
      <c r="I5404" s="19">
        <v>4</v>
      </c>
      <c r="J5404" s="19">
        <v>0</v>
      </c>
      <c r="K5404" s="19">
        <v>5</v>
      </c>
      <c r="L5404" s="19" t="s">
        <v>38</v>
      </c>
      <c r="M5404" s="21">
        <v>1.5</v>
      </c>
      <c r="N5404">
        <f t="shared" si="84"/>
        <v>1</v>
      </c>
    </row>
    <row r="5405" spans="1:14" x14ac:dyDescent="0.35">
      <c r="A5405" s="22" t="s">
        <v>5475</v>
      </c>
      <c r="B5405" s="23" t="s">
        <v>47</v>
      </c>
      <c r="C5405" s="23">
        <v>7</v>
      </c>
      <c r="D5405" s="24">
        <v>45839</v>
      </c>
      <c r="E5405" s="23" t="s">
        <v>13</v>
      </c>
      <c r="F5405" s="23" t="s">
        <v>59</v>
      </c>
      <c r="G5405" s="23" t="s">
        <v>31</v>
      </c>
      <c r="H5405" s="23" t="s">
        <v>32</v>
      </c>
      <c r="I5405" s="23">
        <v>24</v>
      </c>
      <c r="J5405" s="23">
        <v>0</v>
      </c>
      <c r="K5405" s="23">
        <v>3</v>
      </c>
      <c r="L5405" s="23" t="s">
        <v>38</v>
      </c>
      <c r="M5405" s="25">
        <v>6.2</v>
      </c>
      <c r="N5405">
        <f t="shared" si="84"/>
        <v>1</v>
      </c>
    </row>
    <row r="5406" spans="1:14" x14ac:dyDescent="0.35">
      <c r="A5406" s="6" t="s">
        <v>5476</v>
      </c>
      <c r="B5406" s="19" t="s">
        <v>23</v>
      </c>
      <c r="C5406" s="19">
        <v>3</v>
      </c>
      <c r="D5406" s="20">
        <v>45740</v>
      </c>
      <c r="E5406" s="19" t="s">
        <v>68</v>
      </c>
      <c r="F5406" s="19" t="s">
        <v>37</v>
      </c>
      <c r="G5406" s="19" t="s">
        <v>31</v>
      </c>
      <c r="H5406" s="19" t="s">
        <v>22</v>
      </c>
      <c r="I5406" s="19">
        <v>48</v>
      </c>
      <c r="J5406" s="19">
        <v>0</v>
      </c>
      <c r="K5406" s="19">
        <v>3</v>
      </c>
      <c r="L5406" s="19" t="s">
        <v>38</v>
      </c>
      <c r="M5406" s="21">
        <v>8.1999999999999993</v>
      </c>
      <c r="N5406">
        <f t="shared" si="84"/>
        <v>1</v>
      </c>
    </row>
    <row r="5407" spans="1:14" x14ac:dyDescent="0.35">
      <c r="A5407" s="22" t="s">
        <v>5477</v>
      </c>
      <c r="B5407" s="23" t="s">
        <v>104</v>
      </c>
      <c r="C5407" s="23">
        <v>8</v>
      </c>
      <c r="D5407" s="24">
        <v>45876</v>
      </c>
      <c r="E5407" s="23" t="s">
        <v>13</v>
      </c>
      <c r="F5407" s="23" t="s">
        <v>26</v>
      </c>
      <c r="G5407" s="23" t="s">
        <v>27</v>
      </c>
      <c r="H5407" s="23" t="s">
        <v>28</v>
      </c>
      <c r="I5407" s="23">
        <v>48</v>
      </c>
      <c r="J5407" s="23">
        <v>2</v>
      </c>
      <c r="K5407" s="23">
        <v>3</v>
      </c>
      <c r="L5407" s="23" t="s">
        <v>62</v>
      </c>
      <c r="M5407" s="25"/>
      <c r="N5407">
        <f t="shared" si="84"/>
        <v>1</v>
      </c>
    </row>
    <row r="5408" spans="1:14" x14ac:dyDescent="0.35">
      <c r="A5408" s="6" t="s">
        <v>5478</v>
      </c>
      <c r="B5408" s="19" t="s">
        <v>126</v>
      </c>
      <c r="C5408" s="19">
        <v>4</v>
      </c>
      <c r="D5408" s="20">
        <v>45754</v>
      </c>
      <c r="E5408" s="19" t="s">
        <v>13</v>
      </c>
      <c r="F5408" s="19" t="s">
        <v>14</v>
      </c>
      <c r="G5408" s="19" t="s">
        <v>27</v>
      </c>
      <c r="H5408" s="19" t="s">
        <v>32</v>
      </c>
      <c r="I5408" s="19">
        <v>48</v>
      </c>
      <c r="J5408" s="19">
        <v>0</v>
      </c>
      <c r="K5408" s="19">
        <v>4</v>
      </c>
      <c r="L5408" s="19" t="s">
        <v>75</v>
      </c>
      <c r="M5408" s="21">
        <v>3.6</v>
      </c>
      <c r="N5408">
        <f t="shared" si="84"/>
        <v>1</v>
      </c>
    </row>
    <row r="5409" spans="1:14" x14ac:dyDescent="0.35">
      <c r="A5409" s="22" t="s">
        <v>5479</v>
      </c>
      <c r="B5409" s="23" t="s">
        <v>72</v>
      </c>
      <c r="C5409" s="23">
        <v>6</v>
      </c>
      <c r="D5409" s="24">
        <v>45832</v>
      </c>
      <c r="E5409" s="23" t="s">
        <v>36</v>
      </c>
      <c r="F5409" s="23" t="s">
        <v>8364</v>
      </c>
      <c r="G5409" s="23" t="s">
        <v>31</v>
      </c>
      <c r="H5409" s="23" t="s">
        <v>16</v>
      </c>
      <c r="I5409" s="23">
        <v>4</v>
      </c>
      <c r="J5409" s="23">
        <v>1</v>
      </c>
      <c r="K5409" s="23">
        <v>4</v>
      </c>
      <c r="L5409" s="23" t="s">
        <v>17</v>
      </c>
      <c r="M5409" s="25">
        <v>14.8</v>
      </c>
      <c r="N5409">
        <f t="shared" si="84"/>
        <v>0</v>
      </c>
    </row>
    <row r="5410" spans="1:14" x14ac:dyDescent="0.35">
      <c r="A5410" s="6" t="s">
        <v>5480</v>
      </c>
      <c r="B5410" s="19" t="s">
        <v>146</v>
      </c>
      <c r="C5410" s="19">
        <v>2</v>
      </c>
      <c r="D5410" s="20">
        <v>45715</v>
      </c>
      <c r="E5410" s="19" t="s">
        <v>8364</v>
      </c>
      <c r="F5410" s="19" t="s">
        <v>43</v>
      </c>
      <c r="G5410" s="19" t="s">
        <v>15</v>
      </c>
      <c r="H5410" s="19" t="s">
        <v>28</v>
      </c>
      <c r="I5410" s="19">
        <v>24</v>
      </c>
      <c r="J5410" s="19">
        <v>0</v>
      </c>
      <c r="K5410" s="19">
        <v>5</v>
      </c>
      <c r="L5410" s="19" t="s">
        <v>75</v>
      </c>
      <c r="M5410" s="21">
        <v>15.1</v>
      </c>
      <c r="N5410">
        <f t="shared" si="84"/>
        <v>1</v>
      </c>
    </row>
    <row r="5411" spans="1:14" x14ac:dyDescent="0.35">
      <c r="A5411" s="22" t="s">
        <v>5481</v>
      </c>
      <c r="B5411" s="23" t="s">
        <v>92</v>
      </c>
      <c r="C5411" s="23">
        <v>10</v>
      </c>
      <c r="D5411" s="24">
        <v>45957</v>
      </c>
      <c r="E5411" s="23" t="s">
        <v>20</v>
      </c>
      <c r="F5411" s="23" t="s">
        <v>14</v>
      </c>
      <c r="G5411" s="23" t="s">
        <v>21</v>
      </c>
      <c r="H5411" s="23" t="s">
        <v>22</v>
      </c>
      <c r="I5411" s="23">
        <v>8</v>
      </c>
      <c r="J5411" s="23">
        <v>0</v>
      </c>
      <c r="K5411" s="23">
        <v>4</v>
      </c>
      <c r="L5411" s="23" t="s">
        <v>33</v>
      </c>
      <c r="M5411" s="25">
        <v>3.2</v>
      </c>
      <c r="N5411">
        <f t="shared" si="84"/>
        <v>1</v>
      </c>
    </row>
    <row r="5412" spans="1:14" x14ac:dyDescent="0.35">
      <c r="A5412" s="6" t="s">
        <v>5482</v>
      </c>
      <c r="B5412" s="19" t="s">
        <v>29</v>
      </c>
      <c r="C5412" s="19">
        <v>12</v>
      </c>
      <c r="D5412" s="20">
        <v>46003</v>
      </c>
      <c r="E5412" s="19" t="s">
        <v>36</v>
      </c>
      <c r="F5412" s="19" t="s">
        <v>8364</v>
      </c>
      <c r="G5412" s="19" t="s">
        <v>15</v>
      </c>
      <c r="H5412" s="19" t="s">
        <v>16</v>
      </c>
      <c r="I5412" s="19">
        <v>8</v>
      </c>
      <c r="J5412" s="19">
        <v>1</v>
      </c>
      <c r="K5412" s="19">
        <v>5</v>
      </c>
      <c r="L5412" s="19" t="s">
        <v>33</v>
      </c>
      <c r="M5412" s="21">
        <v>42.4</v>
      </c>
      <c r="N5412">
        <f t="shared" si="84"/>
        <v>0</v>
      </c>
    </row>
    <row r="5413" spans="1:14" x14ac:dyDescent="0.35">
      <c r="A5413" s="22" t="s">
        <v>5483</v>
      </c>
      <c r="B5413" s="23" t="s">
        <v>143</v>
      </c>
      <c r="C5413" s="23">
        <v>8</v>
      </c>
      <c r="D5413" s="24">
        <v>45883</v>
      </c>
      <c r="E5413" s="23" t="s">
        <v>20</v>
      </c>
      <c r="F5413" s="23" t="s">
        <v>43</v>
      </c>
      <c r="G5413" s="23" t="s">
        <v>15</v>
      </c>
      <c r="H5413" s="23" t="s">
        <v>28</v>
      </c>
      <c r="I5413" s="23">
        <v>4</v>
      </c>
      <c r="J5413" s="23">
        <v>0</v>
      </c>
      <c r="K5413" s="23">
        <v>5</v>
      </c>
      <c r="L5413" s="23" t="s">
        <v>8363</v>
      </c>
      <c r="M5413" s="25">
        <v>3.6</v>
      </c>
      <c r="N5413">
        <f t="shared" si="84"/>
        <v>1</v>
      </c>
    </row>
    <row r="5414" spans="1:14" x14ac:dyDescent="0.35">
      <c r="A5414" s="6" t="s">
        <v>5484</v>
      </c>
      <c r="B5414" s="19" t="s">
        <v>130</v>
      </c>
      <c r="C5414" s="19">
        <v>10</v>
      </c>
      <c r="D5414" s="20">
        <v>45935</v>
      </c>
      <c r="E5414" s="19" t="s">
        <v>25</v>
      </c>
      <c r="F5414" s="19" t="s">
        <v>43</v>
      </c>
      <c r="G5414" s="19" t="s">
        <v>27</v>
      </c>
      <c r="H5414" s="19" t="s">
        <v>22</v>
      </c>
      <c r="I5414" s="19">
        <v>72</v>
      </c>
      <c r="J5414" s="19">
        <v>0</v>
      </c>
      <c r="K5414" s="19">
        <v>5</v>
      </c>
      <c r="L5414" s="19" t="s">
        <v>33</v>
      </c>
      <c r="M5414" s="21">
        <v>10.7</v>
      </c>
      <c r="N5414">
        <f t="shared" si="84"/>
        <v>1</v>
      </c>
    </row>
    <row r="5415" spans="1:14" x14ac:dyDescent="0.35">
      <c r="A5415" s="22" t="s">
        <v>5485</v>
      </c>
      <c r="B5415" s="23" t="s">
        <v>53</v>
      </c>
      <c r="C5415" s="23">
        <v>6</v>
      </c>
      <c r="D5415" s="24">
        <v>45810</v>
      </c>
      <c r="E5415" s="23" t="s">
        <v>13</v>
      </c>
      <c r="F5415" s="23" t="s">
        <v>14</v>
      </c>
      <c r="G5415" s="23" t="s">
        <v>15</v>
      </c>
      <c r="H5415" s="23" t="s">
        <v>22</v>
      </c>
      <c r="I5415" s="23">
        <v>24</v>
      </c>
      <c r="J5415" s="23">
        <v>1</v>
      </c>
      <c r="K5415" s="23">
        <v>4</v>
      </c>
      <c r="L5415" s="23" t="s">
        <v>55</v>
      </c>
      <c r="M5415" s="25">
        <v>1.4</v>
      </c>
      <c r="N5415">
        <f t="shared" si="84"/>
        <v>1</v>
      </c>
    </row>
    <row r="5416" spans="1:14" x14ac:dyDescent="0.35">
      <c r="A5416" s="6" t="s">
        <v>5486</v>
      </c>
      <c r="B5416" s="19" t="s">
        <v>89</v>
      </c>
      <c r="C5416" s="19">
        <v>3</v>
      </c>
      <c r="D5416" s="20">
        <v>45720</v>
      </c>
      <c r="E5416" s="19" t="s">
        <v>36</v>
      </c>
      <c r="F5416" s="19" t="s">
        <v>40</v>
      </c>
      <c r="G5416" s="19" t="s">
        <v>31</v>
      </c>
      <c r="H5416" s="19" t="s">
        <v>28</v>
      </c>
      <c r="I5416" s="19">
        <v>24</v>
      </c>
      <c r="J5416" s="19">
        <v>0</v>
      </c>
      <c r="K5416" s="19"/>
      <c r="L5416" s="19" t="s">
        <v>62</v>
      </c>
      <c r="M5416" s="21">
        <v>7.3</v>
      </c>
      <c r="N5416">
        <f t="shared" si="84"/>
        <v>1</v>
      </c>
    </row>
    <row r="5417" spans="1:14" x14ac:dyDescent="0.35">
      <c r="A5417" s="22" t="s">
        <v>5487</v>
      </c>
      <c r="B5417" s="23" t="s">
        <v>72</v>
      </c>
      <c r="C5417" s="23">
        <v>8</v>
      </c>
      <c r="D5417" s="24">
        <v>45900</v>
      </c>
      <c r="E5417" s="23" t="s">
        <v>20</v>
      </c>
      <c r="F5417" s="23" t="s">
        <v>8364</v>
      </c>
      <c r="G5417" s="23" t="s">
        <v>27</v>
      </c>
      <c r="H5417" s="23" t="s">
        <v>8364</v>
      </c>
      <c r="I5417" s="23">
        <v>24</v>
      </c>
      <c r="J5417" s="23">
        <v>0</v>
      </c>
      <c r="K5417" s="23">
        <v>3</v>
      </c>
      <c r="L5417" s="23" t="s">
        <v>17</v>
      </c>
      <c r="M5417" s="25">
        <v>5.2</v>
      </c>
      <c r="N5417">
        <f t="shared" si="84"/>
        <v>1</v>
      </c>
    </row>
    <row r="5418" spans="1:14" x14ac:dyDescent="0.35">
      <c r="A5418" s="6" t="s">
        <v>5488</v>
      </c>
      <c r="B5418" s="19" t="s">
        <v>47</v>
      </c>
      <c r="C5418" s="19">
        <v>4</v>
      </c>
      <c r="D5418" s="20">
        <v>45752</v>
      </c>
      <c r="E5418" s="19" t="s">
        <v>20</v>
      </c>
      <c r="F5418" s="19" t="s">
        <v>43</v>
      </c>
      <c r="G5418" s="19" t="s">
        <v>31</v>
      </c>
      <c r="H5418" s="19" t="s">
        <v>22</v>
      </c>
      <c r="I5418" s="19">
        <v>24</v>
      </c>
      <c r="J5418" s="19">
        <v>2</v>
      </c>
      <c r="K5418" s="19">
        <v>4</v>
      </c>
      <c r="L5418" s="19" t="s">
        <v>62</v>
      </c>
      <c r="M5418" s="21">
        <v>10.8</v>
      </c>
      <c r="N5418">
        <f t="shared" si="84"/>
        <v>1</v>
      </c>
    </row>
    <row r="5419" spans="1:14" x14ac:dyDescent="0.35">
      <c r="A5419" s="22" t="s">
        <v>5489</v>
      </c>
      <c r="B5419" s="23" t="s">
        <v>45</v>
      </c>
      <c r="C5419" s="23">
        <v>9</v>
      </c>
      <c r="D5419" s="24">
        <v>45906</v>
      </c>
      <c r="E5419" s="23" t="s">
        <v>25</v>
      </c>
      <c r="F5419" s="23" t="s">
        <v>43</v>
      </c>
      <c r="G5419" s="23" t="s">
        <v>21</v>
      </c>
      <c r="H5419" s="23" t="s">
        <v>22</v>
      </c>
      <c r="I5419" s="23">
        <v>48</v>
      </c>
      <c r="J5419" s="23">
        <v>1</v>
      </c>
      <c r="K5419" s="23">
        <v>5</v>
      </c>
      <c r="L5419" s="23" t="s">
        <v>8363</v>
      </c>
      <c r="M5419" s="25">
        <v>14.2</v>
      </c>
      <c r="N5419">
        <f t="shared" si="84"/>
        <v>1</v>
      </c>
    </row>
    <row r="5420" spans="1:14" x14ac:dyDescent="0.35">
      <c r="A5420" s="6" t="s">
        <v>5490</v>
      </c>
      <c r="B5420" s="19" t="s">
        <v>101</v>
      </c>
      <c r="C5420" s="19">
        <v>12</v>
      </c>
      <c r="D5420" s="20">
        <v>46011</v>
      </c>
      <c r="E5420" s="19" t="s">
        <v>13</v>
      </c>
      <c r="F5420" s="19" t="s">
        <v>59</v>
      </c>
      <c r="G5420" s="19" t="s">
        <v>8364</v>
      </c>
      <c r="H5420" s="19" t="s">
        <v>32</v>
      </c>
      <c r="I5420" s="19">
        <v>24</v>
      </c>
      <c r="J5420" s="19">
        <v>0</v>
      </c>
      <c r="K5420" s="19">
        <v>5</v>
      </c>
      <c r="L5420" s="19" t="s">
        <v>38</v>
      </c>
      <c r="M5420" s="21">
        <v>19</v>
      </c>
      <c r="N5420">
        <f t="shared" si="84"/>
        <v>1</v>
      </c>
    </row>
    <row r="5421" spans="1:14" x14ac:dyDescent="0.35">
      <c r="A5421" s="22" t="s">
        <v>5491</v>
      </c>
      <c r="B5421" s="23" t="s">
        <v>41</v>
      </c>
      <c r="C5421" s="23">
        <v>4</v>
      </c>
      <c r="D5421" s="24">
        <v>45758</v>
      </c>
      <c r="E5421" s="23" t="s">
        <v>20</v>
      </c>
      <c r="F5421" s="23" t="s">
        <v>26</v>
      </c>
      <c r="G5421" s="23" t="s">
        <v>15</v>
      </c>
      <c r="H5421" s="23" t="s">
        <v>22</v>
      </c>
      <c r="I5421" s="23">
        <v>4</v>
      </c>
      <c r="J5421" s="23">
        <v>0</v>
      </c>
      <c r="K5421" s="23">
        <v>5</v>
      </c>
      <c r="L5421" s="23" t="s">
        <v>17</v>
      </c>
      <c r="M5421" s="25">
        <v>19.899999999999999</v>
      </c>
      <c r="N5421">
        <f t="shared" si="84"/>
        <v>0</v>
      </c>
    </row>
    <row r="5422" spans="1:14" x14ac:dyDescent="0.35">
      <c r="A5422" s="6" t="s">
        <v>5492</v>
      </c>
      <c r="B5422" s="19" t="s">
        <v>47</v>
      </c>
      <c r="C5422" s="19">
        <v>4</v>
      </c>
      <c r="D5422" s="20">
        <v>45762</v>
      </c>
      <c r="E5422" s="19" t="s">
        <v>25</v>
      </c>
      <c r="F5422" s="19" t="s">
        <v>37</v>
      </c>
      <c r="G5422" s="19" t="s">
        <v>21</v>
      </c>
      <c r="H5422" s="19" t="s">
        <v>8364</v>
      </c>
      <c r="I5422" s="19">
        <v>8</v>
      </c>
      <c r="J5422" s="19">
        <v>0</v>
      </c>
      <c r="K5422" s="19">
        <v>4</v>
      </c>
      <c r="L5422" s="19" t="s">
        <v>44</v>
      </c>
      <c r="M5422" s="21">
        <v>12.5</v>
      </c>
      <c r="N5422">
        <f t="shared" si="84"/>
        <v>0</v>
      </c>
    </row>
    <row r="5423" spans="1:14" x14ac:dyDescent="0.35">
      <c r="A5423" s="22" t="s">
        <v>5493</v>
      </c>
      <c r="B5423" s="23" t="s">
        <v>101</v>
      </c>
      <c r="C5423" s="23">
        <v>2</v>
      </c>
      <c r="D5423" s="24">
        <v>45698</v>
      </c>
      <c r="E5423" s="23" t="s">
        <v>8364</v>
      </c>
      <c r="F5423" s="23" t="s">
        <v>43</v>
      </c>
      <c r="G5423" s="23" t="s">
        <v>8364</v>
      </c>
      <c r="H5423" s="23" t="s">
        <v>32</v>
      </c>
      <c r="I5423" s="23">
        <v>24</v>
      </c>
      <c r="J5423" s="23">
        <v>0</v>
      </c>
      <c r="K5423" s="23"/>
      <c r="L5423" s="23" t="s">
        <v>62</v>
      </c>
      <c r="M5423" s="25">
        <v>7.7</v>
      </c>
      <c r="N5423">
        <f t="shared" si="84"/>
        <v>1</v>
      </c>
    </row>
    <row r="5424" spans="1:14" x14ac:dyDescent="0.35">
      <c r="A5424" s="6" t="s">
        <v>5494</v>
      </c>
      <c r="B5424" s="19" t="s">
        <v>47</v>
      </c>
      <c r="C5424" s="19">
        <v>11</v>
      </c>
      <c r="D5424" s="20">
        <v>45970</v>
      </c>
      <c r="E5424" s="19" t="s">
        <v>68</v>
      </c>
      <c r="F5424" s="19" t="s">
        <v>14</v>
      </c>
      <c r="G5424" s="19" t="s">
        <v>15</v>
      </c>
      <c r="H5424" s="19" t="s">
        <v>32</v>
      </c>
      <c r="I5424" s="19">
        <v>72</v>
      </c>
      <c r="J5424" s="19">
        <v>1</v>
      </c>
      <c r="K5424" s="19">
        <v>5</v>
      </c>
      <c r="L5424" s="19" t="s">
        <v>17</v>
      </c>
      <c r="M5424" s="21">
        <v>21</v>
      </c>
      <c r="N5424">
        <f t="shared" si="84"/>
        <v>1</v>
      </c>
    </row>
    <row r="5425" spans="1:14" x14ac:dyDescent="0.35">
      <c r="A5425" s="22" t="s">
        <v>5495</v>
      </c>
      <c r="B5425" s="23" t="s">
        <v>47</v>
      </c>
      <c r="C5425" s="23">
        <v>11</v>
      </c>
      <c r="D5425" s="24">
        <v>45987</v>
      </c>
      <c r="E5425" s="23" t="s">
        <v>8364</v>
      </c>
      <c r="F5425" s="23" t="s">
        <v>8364</v>
      </c>
      <c r="G5425" s="23" t="s">
        <v>21</v>
      </c>
      <c r="H5425" s="23" t="s">
        <v>28</v>
      </c>
      <c r="I5425" s="23">
        <v>4</v>
      </c>
      <c r="J5425" s="23">
        <v>0</v>
      </c>
      <c r="K5425" s="23">
        <v>4</v>
      </c>
      <c r="L5425" s="23" t="s">
        <v>55</v>
      </c>
      <c r="M5425" s="25">
        <v>23</v>
      </c>
      <c r="N5425">
        <f t="shared" si="84"/>
        <v>0</v>
      </c>
    </row>
    <row r="5426" spans="1:14" x14ac:dyDescent="0.35">
      <c r="A5426" s="6" t="s">
        <v>5496</v>
      </c>
      <c r="B5426" s="19" t="s">
        <v>104</v>
      </c>
      <c r="C5426" s="19">
        <v>7</v>
      </c>
      <c r="D5426" s="20">
        <v>45843</v>
      </c>
      <c r="E5426" s="19" t="s">
        <v>13</v>
      </c>
      <c r="F5426" s="19" t="s">
        <v>40</v>
      </c>
      <c r="G5426" s="19" t="s">
        <v>27</v>
      </c>
      <c r="H5426" s="19" t="s">
        <v>22</v>
      </c>
      <c r="I5426" s="19">
        <v>4</v>
      </c>
      <c r="J5426" s="19">
        <v>0</v>
      </c>
      <c r="K5426" s="19">
        <v>4</v>
      </c>
      <c r="L5426" s="19" t="s">
        <v>55</v>
      </c>
      <c r="M5426" s="21">
        <v>5.7</v>
      </c>
      <c r="N5426">
        <f t="shared" si="84"/>
        <v>0</v>
      </c>
    </row>
    <row r="5427" spans="1:14" x14ac:dyDescent="0.35">
      <c r="A5427" s="22" t="s">
        <v>5497</v>
      </c>
      <c r="B5427" s="23" t="s">
        <v>236</v>
      </c>
      <c r="C5427" s="23">
        <v>5</v>
      </c>
      <c r="D5427" s="24">
        <v>45789</v>
      </c>
      <c r="E5427" s="23" t="s">
        <v>68</v>
      </c>
      <c r="F5427" s="23" t="s">
        <v>14</v>
      </c>
      <c r="G5427" s="23" t="s">
        <v>27</v>
      </c>
      <c r="H5427" s="23" t="s">
        <v>22</v>
      </c>
      <c r="I5427" s="23">
        <v>24</v>
      </c>
      <c r="J5427" s="23">
        <v>0</v>
      </c>
      <c r="K5427" s="23">
        <v>5</v>
      </c>
      <c r="L5427" s="23" t="s">
        <v>8363</v>
      </c>
      <c r="M5427" s="25">
        <v>14.8</v>
      </c>
      <c r="N5427">
        <f t="shared" si="84"/>
        <v>1</v>
      </c>
    </row>
    <row r="5428" spans="1:14" x14ac:dyDescent="0.35">
      <c r="A5428" s="6" t="s">
        <v>5498</v>
      </c>
      <c r="B5428" s="19" t="s">
        <v>65</v>
      </c>
      <c r="C5428" s="19"/>
      <c r="D5428" s="20"/>
      <c r="E5428" s="19" t="s">
        <v>8364</v>
      </c>
      <c r="F5428" s="19" t="s">
        <v>8364</v>
      </c>
      <c r="G5428" s="19" t="s">
        <v>31</v>
      </c>
      <c r="H5428" s="19" t="s">
        <v>8364</v>
      </c>
      <c r="I5428" s="19">
        <v>48</v>
      </c>
      <c r="J5428" s="19">
        <v>0</v>
      </c>
      <c r="K5428" s="19">
        <v>4</v>
      </c>
      <c r="L5428" s="19" t="s">
        <v>8363</v>
      </c>
      <c r="M5428" s="21">
        <v>4.0999999999999996</v>
      </c>
      <c r="N5428">
        <f t="shared" si="84"/>
        <v>1</v>
      </c>
    </row>
    <row r="5429" spans="1:14" x14ac:dyDescent="0.35">
      <c r="A5429" s="22" t="s">
        <v>5499</v>
      </c>
      <c r="B5429" s="23" t="s">
        <v>18</v>
      </c>
      <c r="C5429" s="23">
        <v>9</v>
      </c>
      <c r="D5429" s="24">
        <v>45926</v>
      </c>
      <c r="E5429" s="23" t="s">
        <v>25</v>
      </c>
      <c r="F5429" s="23" t="s">
        <v>26</v>
      </c>
      <c r="G5429" s="23" t="s">
        <v>21</v>
      </c>
      <c r="H5429" s="23" t="s">
        <v>28</v>
      </c>
      <c r="I5429" s="23">
        <v>4</v>
      </c>
      <c r="J5429" s="23">
        <v>2</v>
      </c>
      <c r="K5429" s="23">
        <v>5</v>
      </c>
      <c r="L5429" s="23" t="s">
        <v>8363</v>
      </c>
      <c r="M5429" s="25">
        <v>12.3</v>
      </c>
      <c r="N5429">
        <f t="shared" si="84"/>
        <v>0</v>
      </c>
    </row>
    <row r="5430" spans="1:14" x14ac:dyDescent="0.35">
      <c r="A5430" s="6" t="s">
        <v>5500</v>
      </c>
      <c r="B5430" s="19" t="s">
        <v>47</v>
      </c>
      <c r="C5430" s="19">
        <v>3</v>
      </c>
      <c r="D5430" s="20">
        <v>45725</v>
      </c>
      <c r="E5430" s="19" t="s">
        <v>8364</v>
      </c>
      <c r="F5430" s="19" t="s">
        <v>59</v>
      </c>
      <c r="G5430" s="19" t="s">
        <v>31</v>
      </c>
      <c r="H5430" s="19" t="s">
        <v>22</v>
      </c>
      <c r="I5430" s="19">
        <v>8</v>
      </c>
      <c r="J5430" s="19">
        <v>0</v>
      </c>
      <c r="K5430" s="19">
        <v>4</v>
      </c>
      <c r="L5430" s="19" t="s">
        <v>38</v>
      </c>
      <c r="M5430" s="21">
        <v>37.9</v>
      </c>
      <c r="N5430">
        <f t="shared" si="84"/>
        <v>0</v>
      </c>
    </row>
    <row r="5431" spans="1:14" x14ac:dyDescent="0.35">
      <c r="A5431" s="22" t="s">
        <v>5501</v>
      </c>
      <c r="B5431" s="23" t="s">
        <v>89</v>
      </c>
      <c r="C5431" s="23">
        <v>2</v>
      </c>
      <c r="D5431" s="24">
        <v>45705</v>
      </c>
      <c r="E5431" s="23" t="s">
        <v>13</v>
      </c>
      <c r="F5431" s="23" t="s">
        <v>37</v>
      </c>
      <c r="G5431" s="23" t="s">
        <v>27</v>
      </c>
      <c r="H5431" s="23" t="s">
        <v>22</v>
      </c>
      <c r="I5431" s="23">
        <v>72</v>
      </c>
      <c r="J5431" s="23">
        <v>2</v>
      </c>
      <c r="K5431" s="23">
        <v>2</v>
      </c>
      <c r="L5431" s="23" t="s">
        <v>33</v>
      </c>
      <c r="M5431" s="25">
        <v>1.8</v>
      </c>
      <c r="N5431">
        <f t="shared" si="84"/>
        <v>1</v>
      </c>
    </row>
    <row r="5432" spans="1:14" x14ac:dyDescent="0.35">
      <c r="A5432" s="6" t="s">
        <v>5502</v>
      </c>
      <c r="B5432" s="19" t="s">
        <v>69</v>
      </c>
      <c r="C5432" s="19">
        <v>4</v>
      </c>
      <c r="D5432" s="20">
        <v>45755</v>
      </c>
      <c r="E5432" s="19" t="s">
        <v>8364</v>
      </c>
      <c r="F5432" s="19" t="s">
        <v>14</v>
      </c>
      <c r="G5432" s="19" t="s">
        <v>31</v>
      </c>
      <c r="H5432" s="19" t="s">
        <v>22</v>
      </c>
      <c r="I5432" s="19">
        <v>4</v>
      </c>
      <c r="J5432" s="19">
        <v>0</v>
      </c>
      <c r="K5432" s="19">
        <v>5</v>
      </c>
      <c r="L5432" s="19" t="s">
        <v>75</v>
      </c>
      <c r="M5432" s="21">
        <v>3.2</v>
      </c>
      <c r="N5432">
        <f t="shared" si="84"/>
        <v>1</v>
      </c>
    </row>
    <row r="5433" spans="1:14" x14ac:dyDescent="0.35">
      <c r="A5433" s="22" t="s">
        <v>5503</v>
      </c>
      <c r="B5433" s="23" t="s">
        <v>53</v>
      </c>
      <c r="C5433" s="23">
        <v>6</v>
      </c>
      <c r="D5433" s="24">
        <v>45834</v>
      </c>
      <c r="E5433" s="23" t="s">
        <v>13</v>
      </c>
      <c r="F5433" s="23" t="s">
        <v>59</v>
      </c>
      <c r="G5433" s="23" t="s">
        <v>15</v>
      </c>
      <c r="H5433" s="23" t="s">
        <v>22</v>
      </c>
      <c r="I5433" s="23">
        <v>8</v>
      </c>
      <c r="J5433" s="23">
        <v>1</v>
      </c>
      <c r="K5433" s="23">
        <v>3</v>
      </c>
      <c r="L5433" s="23" t="s">
        <v>8363</v>
      </c>
      <c r="M5433" s="25">
        <v>16.600000000000001</v>
      </c>
      <c r="N5433">
        <f t="shared" si="84"/>
        <v>0</v>
      </c>
    </row>
    <row r="5434" spans="1:14" x14ac:dyDescent="0.35">
      <c r="A5434" s="6" t="s">
        <v>5504</v>
      </c>
      <c r="B5434" s="19" t="s">
        <v>85</v>
      </c>
      <c r="C5434" s="19">
        <v>7</v>
      </c>
      <c r="D5434" s="20">
        <v>45862</v>
      </c>
      <c r="E5434" s="19" t="s">
        <v>13</v>
      </c>
      <c r="F5434" s="19" t="s">
        <v>40</v>
      </c>
      <c r="G5434" s="19" t="s">
        <v>8364</v>
      </c>
      <c r="H5434" s="19" t="s">
        <v>8364</v>
      </c>
      <c r="I5434" s="19">
        <v>48</v>
      </c>
      <c r="J5434" s="19">
        <v>3</v>
      </c>
      <c r="K5434" s="19">
        <v>3</v>
      </c>
      <c r="L5434" s="19" t="s">
        <v>8363</v>
      </c>
      <c r="M5434" s="21">
        <v>4.8</v>
      </c>
      <c r="N5434">
        <f t="shared" si="84"/>
        <v>1</v>
      </c>
    </row>
    <row r="5435" spans="1:14" x14ac:dyDescent="0.35">
      <c r="A5435" s="22" t="s">
        <v>5505</v>
      </c>
      <c r="B5435" s="23" t="s">
        <v>69</v>
      </c>
      <c r="C5435" s="23"/>
      <c r="D5435" s="24"/>
      <c r="E5435" s="23" t="s">
        <v>20</v>
      </c>
      <c r="F5435" s="23" t="s">
        <v>37</v>
      </c>
      <c r="G5435" s="23" t="s">
        <v>31</v>
      </c>
      <c r="H5435" s="23" t="s">
        <v>32</v>
      </c>
      <c r="I5435" s="23">
        <v>4</v>
      </c>
      <c r="J5435" s="23">
        <v>0</v>
      </c>
      <c r="K5435" s="23">
        <v>1</v>
      </c>
      <c r="L5435" s="23" t="s">
        <v>17</v>
      </c>
      <c r="M5435" s="25">
        <v>4.2</v>
      </c>
      <c r="N5435">
        <f t="shared" si="84"/>
        <v>0</v>
      </c>
    </row>
    <row r="5436" spans="1:14" x14ac:dyDescent="0.35">
      <c r="A5436" s="6" t="s">
        <v>5506</v>
      </c>
      <c r="B5436" s="19" t="s">
        <v>18</v>
      </c>
      <c r="C5436" s="19">
        <v>5</v>
      </c>
      <c r="D5436" s="20">
        <v>45796</v>
      </c>
      <c r="E5436" s="19" t="s">
        <v>36</v>
      </c>
      <c r="F5436" s="19" t="s">
        <v>37</v>
      </c>
      <c r="G5436" s="19" t="s">
        <v>8364</v>
      </c>
      <c r="H5436" s="19" t="s">
        <v>8364</v>
      </c>
      <c r="I5436" s="19">
        <v>48</v>
      </c>
      <c r="J5436" s="19">
        <v>0</v>
      </c>
      <c r="K5436" s="19">
        <v>2</v>
      </c>
      <c r="L5436" s="19" t="s">
        <v>44</v>
      </c>
      <c r="M5436" s="21">
        <v>11.6</v>
      </c>
      <c r="N5436">
        <f t="shared" si="84"/>
        <v>1</v>
      </c>
    </row>
    <row r="5437" spans="1:14" x14ac:dyDescent="0.35">
      <c r="A5437" s="22" t="s">
        <v>5507</v>
      </c>
      <c r="B5437" s="23" t="s">
        <v>65</v>
      </c>
      <c r="C5437" s="23">
        <v>3</v>
      </c>
      <c r="D5437" s="24">
        <v>45745</v>
      </c>
      <c r="E5437" s="23" t="s">
        <v>68</v>
      </c>
      <c r="F5437" s="23" t="s">
        <v>8364</v>
      </c>
      <c r="G5437" s="23" t="s">
        <v>21</v>
      </c>
      <c r="H5437" s="23" t="s">
        <v>28</v>
      </c>
      <c r="I5437" s="23">
        <v>48</v>
      </c>
      <c r="J5437" s="23">
        <v>0</v>
      </c>
      <c r="K5437" s="23">
        <v>4</v>
      </c>
      <c r="L5437" s="23" t="s">
        <v>17</v>
      </c>
      <c r="M5437" s="25">
        <v>11.5</v>
      </c>
      <c r="N5437">
        <f t="shared" si="84"/>
        <v>1</v>
      </c>
    </row>
    <row r="5438" spans="1:14" x14ac:dyDescent="0.35">
      <c r="A5438" s="6" t="s">
        <v>5508</v>
      </c>
      <c r="B5438" s="19" t="s">
        <v>41</v>
      </c>
      <c r="C5438" s="19">
        <v>6</v>
      </c>
      <c r="D5438" s="20">
        <v>45827</v>
      </c>
      <c r="E5438" s="19" t="s">
        <v>13</v>
      </c>
      <c r="F5438" s="19" t="s">
        <v>26</v>
      </c>
      <c r="G5438" s="19" t="s">
        <v>31</v>
      </c>
      <c r="H5438" s="19" t="s">
        <v>28</v>
      </c>
      <c r="I5438" s="19">
        <v>8</v>
      </c>
      <c r="J5438" s="19">
        <v>0</v>
      </c>
      <c r="K5438" s="19"/>
      <c r="L5438" s="19" t="s">
        <v>8363</v>
      </c>
      <c r="M5438" s="21">
        <v>21.9</v>
      </c>
      <c r="N5438">
        <f t="shared" si="84"/>
        <v>0</v>
      </c>
    </row>
    <row r="5439" spans="1:14" x14ac:dyDescent="0.35">
      <c r="A5439" s="22" t="s">
        <v>5509</v>
      </c>
      <c r="B5439" s="23" t="s">
        <v>34</v>
      </c>
      <c r="C5439" s="23">
        <v>9</v>
      </c>
      <c r="D5439" s="24">
        <v>45907</v>
      </c>
      <c r="E5439" s="23" t="s">
        <v>8364</v>
      </c>
      <c r="F5439" s="23" t="s">
        <v>43</v>
      </c>
      <c r="G5439" s="23" t="s">
        <v>27</v>
      </c>
      <c r="H5439" s="23" t="s">
        <v>22</v>
      </c>
      <c r="I5439" s="23">
        <v>8</v>
      </c>
      <c r="J5439" s="23">
        <v>1</v>
      </c>
      <c r="K5439" s="23">
        <v>5</v>
      </c>
      <c r="L5439" s="23" t="s">
        <v>8363</v>
      </c>
      <c r="M5439" s="25">
        <v>11.3</v>
      </c>
      <c r="N5439">
        <f t="shared" si="84"/>
        <v>0</v>
      </c>
    </row>
    <row r="5440" spans="1:14" x14ac:dyDescent="0.35">
      <c r="A5440" s="6" t="s">
        <v>5510</v>
      </c>
      <c r="B5440" s="19" t="s">
        <v>146</v>
      </c>
      <c r="C5440" s="19">
        <v>5</v>
      </c>
      <c r="D5440" s="20">
        <v>45800</v>
      </c>
      <c r="E5440" s="19" t="s">
        <v>25</v>
      </c>
      <c r="F5440" s="19" t="s">
        <v>14</v>
      </c>
      <c r="G5440" s="19" t="s">
        <v>15</v>
      </c>
      <c r="H5440" s="19" t="s">
        <v>22</v>
      </c>
      <c r="I5440" s="19">
        <v>48</v>
      </c>
      <c r="J5440" s="19">
        <v>0</v>
      </c>
      <c r="K5440" s="19">
        <v>1</v>
      </c>
      <c r="L5440" s="19" t="s">
        <v>33</v>
      </c>
      <c r="M5440" s="21">
        <v>6.7</v>
      </c>
      <c r="N5440">
        <f t="shared" si="84"/>
        <v>1</v>
      </c>
    </row>
    <row r="5441" spans="1:14" x14ac:dyDescent="0.35">
      <c r="A5441" s="22" t="s">
        <v>5511</v>
      </c>
      <c r="B5441" s="23" t="s">
        <v>108</v>
      </c>
      <c r="C5441" s="23">
        <v>7</v>
      </c>
      <c r="D5441" s="24">
        <v>45860</v>
      </c>
      <c r="E5441" s="23" t="s">
        <v>13</v>
      </c>
      <c r="F5441" s="23" t="s">
        <v>8364</v>
      </c>
      <c r="G5441" s="23" t="s">
        <v>31</v>
      </c>
      <c r="H5441" s="23" t="s">
        <v>22</v>
      </c>
      <c r="I5441" s="23">
        <v>4</v>
      </c>
      <c r="J5441" s="23">
        <v>0</v>
      </c>
      <c r="K5441" s="23">
        <v>3</v>
      </c>
      <c r="L5441" s="23" t="s">
        <v>8363</v>
      </c>
      <c r="M5441" s="25">
        <v>5.2</v>
      </c>
      <c r="N5441">
        <f t="shared" si="84"/>
        <v>0</v>
      </c>
    </row>
    <row r="5442" spans="1:14" x14ac:dyDescent="0.35">
      <c r="A5442" s="6" t="s">
        <v>5512</v>
      </c>
      <c r="B5442" s="19" t="s">
        <v>139</v>
      </c>
      <c r="C5442" s="19">
        <v>11</v>
      </c>
      <c r="D5442" s="20">
        <v>45966</v>
      </c>
      <c r="E5442" s="19" t="s">
        <v>25</v>
      </c>
      <c r="F5442" s="19" t="s">
        <v>43</v>
      </c>
      <c r="G5442" s="19" t="s">
        <v>21</v>
      </c>
      <c r="H5442" s="19" t="s">
        <v>8364</v>
      </c>
      <c r="I5442" s="19">
        <v>24</v>
      </c>
      <c r="J5442" s="19">
        <v>2</v>
      </c>
      <c r="K5442" s="19">
        <v>3</v>
      </c>
      <c r="L5442" s="19" t="s">
        <v>17</v>
      </c>
      <c r="M5442" s="21">
        <v>18</v>
      </c>
      <c r="N5442">
        <f t="shared" si="84"/>
        <v>1</v>
      </c>
    </row>
    <row r="5443" spans="1:14" x14ac:dyDescent="0.35">
      <c r="A5443" s="22" t="s">
        <v>5513</v>
      </c>
      <c r="B5443" s="23" t="s">
        <v>126</v>
      </c>
      <c r="C5443" s="23">
        <v>6</v>
      </c>
      <c r="D5443" s="24">
        <v>45816</v>
      </c>
      <c r="E5443" s="23" t="s">
        <v>13</v>
      </c>
      <c r="F5443" s="23" t="s">
        <v>14</v>
      </c>
      <c r="G5443" s="23" t="s">
        <v>31</v>
      </c>
      <c r="H5443" s="23" t="s">
        <v>22</v>
      </c>
      <c r="I5443" s="23">
        <v>4</v>
      </c>
      <c r="J5443" s="23">
        <v>0</v>
      </c>
      <c r="K5443" s="23">
        <v>4</v>
      </c>
      <c r="L5443" s="23" t="s">
        <v>75</v>
      </c>
      <c r="M5443" s="25">
        <v>3.4</v>
      </c>
      <c r="N5443">
        <f t="shared" ref="N5443:N5506" si="85">IF(M5443 &lt;= I5443, 1, 0)</f>
        <v>1</v>
      </c>
    </row>
    <row r="5444" spans="1:14" x14ac:dyDescent="0.35">
      <c r="A5444" s="6" t="s">
        <v>5514</v>
      </c>
      <c r="B5444" s="19" t="s">
        <v>181</v>
      </c>
      <c r="C5444" s="19">
        <v>6</v>
      </c>
      <c r="D5444" s="20">
        <v>45833</v>
      </c>
      <c r="E5444" s="19" t="s">
        <v>13</v>
      </c>
      <c r="F5444" s="19" t="s">
        <v>14</v>
      </c>
      <c r="G5444" s="19" t="s">
        <v>21</v>
      </c>
      <c r="H5444" s="19" t="s">
        <v>32</v>
      </c>
      <c r="I5444" s="19">
        <v>8</v>
      </c>
      <c r="J5444" s="19">
        <v>0</v>
      </c>
      <c r="K5444" s="19">
        <v>1</v>
      </c>
      <c r="L5444" s="19" t="s">
        <v>8363</v>
      </c>
      <c r="M5444" s="21">
        <v>8.6</v>
      </c>
      <c r="N5444">
        <f t="shared" si="85"/>
        <v>0</v>
      </c>
    </row>
    <row r="5445" spans="1:14" x14ac:dyDescent="0.35">
      <c r="A5445" s="22" t="s">
        <v>5515</v>
      </c>
      <c r="B5445" s="23" t="s">
        <v>236</v>
      </c>
      <c r="C5445" s="23"/>
      <c r="D5445" s="24"/>
      <c r="E5445" s="23" t="s">
        <v>25</v>
      </c>
      <c r="F5445" s="23" t="s">
        <v>26</v>
      </c>
      <c r="G5445" s="23" t="s">
        <v>21</v>
      </c>
      <c r="H5445" s="23" t="s">
        <v>32</v>
      </c>
      <c r="I5445" s="23">
        <v>8</v>
      </c>
      <c r="J5445" s="23">
        <v>0</v>
      </c>
      <c r="K5445" s="23">
        <v>5</v>
      </c>
      <c r="L5445" s="23" t="s">
        <v>33</v>
      </c>
      <c r="M5445" s="25">
        <v>8.1999999999999993</v>
      </c>
      <c r="N5445">
        <f t="shared" si="85"/>
        <v>0</v>
      </c>
    </row>
    <row r="5446" spans="1:14" x14ac:dyDescent="0.35">
      <c r="A5446" s="6" t="s">
        <v>5516</v>
      </c>
      <c r="B5446" s="19" t="s">
        <v>47</v>
      </c>
      <c r="C5446" s="19">
        <v>5</v>
      </c>
      <c r="D5446" s="20">
        <v>45782</v>
      </c>
      <c r="E5446" s="19" t="s">
        <v>13</v>
      </c>
      <c r="F5446" s="19" t="s">
        <v>14</v>
      </c>
      <c r="G5446" s="19" t="s">
        <v>15</v>
      </c>
      <c r="H5446" s="19" t="s">
        <v>28</v>
      </c>
      <c r="I5446" s="19">
        <v>8</v>
      </c>
      <c r="J5446" s="19">
        <v>0</v>
      </c>
      <c r="K5446" s="19">
        <v>2</v>
      </c>
      <c r="L5446" s="19" t="s">
        <v>17</v>
      </c>
      <c r="M5446" s="21">
        <v>22.3</v>
      </c>
      <c r="N5446">
        <f t="shared" si="85"/>
        <v>0</v>
      </c>
    </row>
    <row r="5447" spans="1:14" x14ac:dyDescent="0.35">
      <c r="A5447" s="22" t="s">
        <v>5517</v>
      </c>
      <c r="B5447" s="23" t="s">
        <v>97</v>
      </c>
      <c r="C5447" s="23"/>
      <c r="D5447" s="24"/>
      <c r="E5447" s="23" t="s">
        <v>8364</v>
      </c>
      <c r="F5447" s="23" t="s">
        <v>26</v>
      </c>
      <c r="G5447" s="23" t="s">
        <v>21</v>
      </c>
      <c r="H5447" s="23" t="s">
        <v>22</v>
      </c>
      <c r="I5447" s="23">
        <v>24</v>
      </c>
      <c r="J5447" s="23">
        <v>0</v>
      </c>
      <c r="K5447" s="23">
        <v>3</v>
      </c>
      <c r="L5447" s="23" t="s">
        <v>8363</v>
      </c>
      <c r="M5447" s="25">
        <v>32</v>
      </c>
      <c r="N5447">
        <f t="shared" si="85"/>
        <v>0</v>
      </c>
    </row>
    <row r="5448" spans="1:14" x14ac:dyDescent="0.35">
      <c r="A5448" s="6" t="s">
        <v>5518</v>
      </c>
      <c r="B5448" s="19" t="s">
        <v>53</v>
      </c>
      <c r="C5448" s="19">
        <v>8</v>
      </c>
      <c r="D5448" s="20">
        <v>45898</v>
      </c>
      <c r="E5448" s="19" t="s">
        <v>36</v>
      </c>
      <c r="F5448" s="19" t="s">
        <v>14</v>
      </c>
      <c r="G5448" s="19" t="s">
        <v>15</v>
      </c>
      <c r="H5448" s="19" t="s">
        <v>8364</v>
      </c>
      <c r="I5448" s="19">
        <v>48</v>
      </c>
      <c r="J5448" s="19">
        <v>0</v>
      </c>
      <c r="K5448" s="19">
        <v>4</v>
      </c>
      <c r="L5448" s="19" t="s">
        <v>75</v>
      </c>
      <c r="M5448" s="21">
        <v>3.5</v>
      </c>
      <c r="N5448">
        <f t="shared" si="85"/>
        <v>1</v>
      </c>
    </row>
    <row r="5449" spans="1:14" x14ac:dyDescent="0.35">
      <c r="A5449" s="22" t="s">
        <v>5519</v>
      </c>
      <c r="B5449" s="23" t="s">
        <v>65</v>
      </c>
      <c r="C5449" s="23">
        <v>2</v>
      </c>
      <c r="D5449" s="24">
        <v>45708</v>
      </c>
      <c r="E5449" s="23" t="s">
        <v>13</v>
      </c>
      <c r="F5449" s="23" t="s">
        <v>26</v>
      </c>
      <c r="G5449" s="23" t="s">
        <v>31</v>
      </c>
      <c r="H5449" s="23" t="s">
        <v>32</v>
      </c>
      <c r="I5449" s="23">
        <v>72</v>
      </c>
      <c r="J5449" s="23">
        <v>0</v>
      </c>
      <c r="K5449" s="23">
        <v>4</v>
      </c>
      <c r="L5449" s="23" t="s">
        <v>17</v>
      </c>
      <c r="M5449" s="25">
        <v>8</v>
      </c>
      <c r="N5449">
        <f t="shared" si="85"/>
        <v>1</v>
      </c>
    </row>
    <row r="5450" spans="1:14" x14ac:dyDescent="0.35">
      <c r="A5450" s="6" t="s">
        <v>5520</v>
      </c>
      <c r="B5450" s="19" t="s">
        <v>130</v>
      </c>
      <c r="C5450" s="19">
        <v>7</v>
      </c>
      <c r="D5450" s="20">
        <v>45860</v>
      </c>
      <c r="E5450" s="19" t="s">
        <v>25</v>
      </c>
      <c r="F5450" s="19" t="s">
        <v>40</v>
      </c>
      <c r="G5450" s="19" t="s">
        <v>31</v>
      </c>
      <c r="H5450" s="19" t="s">
        <v>22</v>
      </c>
      <c r="I5450" s="19">
        <v>24</v>
      </c>
      <c r="J5450" s="19">
        <v>1</v>
      </c>
      <c r="K5450" s="19">
        <v>4</v>
      </c>
      <c r="L5450" s="19" t="s">
        <v>55</v>
      </c>
      <c r="M5450" s="21">
        <v>9</v>
      </c>
      <c r="N5450">
        <f t="shared" si="85"/>
        <v>1</v>
      </c>
    </row>
    <row r="5451" spans="1:14" x14ac:dyDescent="0.35">
      <c r="A5451" s="22" t="s">
        <v>5521</v>
      </c>
      <c r="B5451" s="23" t="s">
        <v>87</v>
      </c>
      <c r="C5451" s="23">
        <v>3</v>
      </c>
      <c r="D5451" s="24">
        <v>45732</v>
      </c>
      <c r="E5451" s="23" t="s">
        <v>13</v>
      </c>
      <c r="F5451" s="23" t="s">
        <v>14</v>
      </c>
      <c r="G5451" s="23" t="s">
        <v>27</v>
      </c>
      <c r="H5451" s="23" t="s">
        <v>28</v>
      </c>
      <c r="I5451" s="23">
        <v>4</v>
      </c>
      <c r="J5451" s="23">
        <v>1</v>
      </c>
      <c r="K5451" s="23">
        <v>4</v>
      </c>
      <c r="L5451" s="23" t="s">
        <v>62</v>
      </c>
      <c r="M5451" s="25">
        <v>18.7</v>
      </c>
      <c r="N5451">
        <f t="shared" si="85"/>
        <v>0</v>
      </c>
    </row>
    <row r="5452" spans="1:14" x14ac:dyDescent="0.35">
      <c r="A5452" s="6" t="s">
        <v>5522</v>
      </c>
      <c r="B5452" s="19" t="s">
        <v>89</v>
      </c>
      <c r="C5452" s="19"/>
      <c r="D5452" s="20"/>
      <c r="E5452" s="19" t="s">
        <v>20</v>
      </c>
      <c r="F5452" s="19" t="s">
        <v>26</v>
      </c>
      <c r="G5452" s="19" t="s">
        <v>27</v>
      </c>
      <c r="H5452" s="19" t="s">
        <v>8364</v>
      </c>
      <c r="I5452" s="19">
        <v>8</v>
      </c>
      <c r="J5452" s="19">
        <v>0</v>
      </c>
      <c r="K5452" s="19">
        <v>5</v>
      </c>
      <c r="L5452" s="19" t="s">
        <v>38</v>
      </c>
      <c r="M5452" s="21">
        <v>1.2</v>
      </c>
      <c r="N5452">
        <f t="shared" si="85"/>
        <v>1</v>
      </c>
    </row>
    <row r="5453" spans="1:14" x14ac:dyDescent="0.35">
      <c r="A5453" s="22" t="s">
        <v>5523</v>
      </c>
      <c r="B5453" s="23" t="s">
        <v>51</v>
      </c>
      <c r="C5453" s="23">
        <v>8</v>
      </c>
      <c r="D5453" s="24">
        <v>45899</v>
      </c>
      <c r="E5453" s="23" t="s">
        <v>36</v>
      </c>
      <c r="F5453" s="23" t="s">
        <v>37</v>
      </c>
      <c r="G5453" s="23" t="s">
        <v>21</v>
      </c>
      <c r="H5453" s="23" t="s">
        <v>22</v>
      </c>
      <c r="I5453" s="23">
        <v>24</v>
      </c>
      <c r="J5453" s="23"/>
      <c r="K5453" s="23">
        <v>5</v>
      </c>
      <c r="L5453" s="23" t="s">
        <v>8363</v>
      </c>
      <c r="M5453" s="25">
        <v>31.8</v>
      </c>
      <c r="N5453">
        <f t="shared" si="85"/>
        <v>0</v>
      </c>
    </row>
    <row r="5454" spans="1:14" x14ac:dyDescent="0.35">
      <c r="A5454" s="6" t="s">
        <v>5524</v>
      </c>
      <c r="B5454" s="19" t="s">
        <v>69</v>
      </c>
      <c r="C5454" s="19">
        <v>12</v>
      </c>
      <c r="D5454" s="20">
        <v>45994</v>
      </c>
      <c r="E5454" s="19" t="s">
        <v>13</v>
      </c>
      <c r="F5454" s="19" t="s">
        <v>14</v>
      </c>
      <c r="G5454" s="19" t="s">
        <v>21</v>
      </c>
      <c r="H5454" s="19" t="s">
        <v>28</v>
      </c>
      <c r="I5454" s="19">
        <v>4</v>
      </c>
      <c r="J5454" s="19">
        <v>0</v>
      </c>
      <c r="K5454" s="19">
        <v>5</v>
      </c>
      <c r="L5454" s="19" t="s">
        <v>33</v>
      </c>
      <c r="M5454" s="21">
        <v>13.1</v>
      </c>
      <c r="N5454">
        <f t="shared" si="85"/>
        <v>0</v>
      </c>
    </row>
    <row r="5455" spans="1:14" x14ac:dyDescent="0.35">
      <c r="A5455" s="22" t="s">
        <v>5525</v>
      </c>
      <c r="B5455" s="23" t="s">
        <v>143</v>
      </c>
      <c r="C5455" s="23">
        <v>10</v>
      </c>
      <c r="D5455" s="24">
        <v>45947</v>
      </c>
      <c r="E5455" s="23" t="s">
        <v>20</v>
      </c>
      <c r="F5455" s="23" t="s">
        <v>8364</v>
      </c>
      <c r="G5455" s="23" t="s">
        <v>21</v>
      </c>
      <c r="H5455" s="23" t="s">
        <v>32</v>
      </c>
      <c r="I5455" s="23">
        <v>8</v>
      </c>
      <c r="J5455" s="23">
        <v>0</v>
      </c>
      <c r="K5455" s="23">
        <v>5</v>
      </c>
      <c r="L5455" s="23" t="s">
        <v>62</v>
      </c>
      <c r="M5455" s="25">
        <v>15.6</v>
      </c>
      <c r="N5455">
        <f t="shared" si="85"/>
        <v>0</v>
      </c>
    </row>
    <row r="5456" spans="1:14" x14ac:dyDescent="0.35">
      <c r="A5456" s="6" t="s">
        <v>5526</v>
      </c>
      <c r="B5456" s="19" t="s">
        <v>104</v>
      </c>
      <c r="C5456" s="19">
        <v>11</v>
      </c>
      <c r="D5456" s="20">
        <v>45988</v>
      </c>
      <c r="E5456" s="19" t="s">
        <v>20</v>
      </c>
      <c r="F5456" s="19" t="s">
        <v>8364</v>
      </c>
      <c r="G5456" s="19" t="s">
        <v>8364</v>
      </c>
      <c r="H5456" s="19" t="s">
        <v>32</v>
      </c>
      <c r="I5456" s="19">
        <v>48</v>
      </c>
      <c r="J5456" s="19">
        <v>0</v>
      </c>
      <c r="K5456" s="19">
        <v>5</v>
      </c>
      <c r="L5456" s="19" t="s">
        <v>17</v>
      </c>
      <c r="M5456" s="21">
        <v>8.6</v>
      </c>
      <c r="N5456">
        <f t="shared" si="85"/>
        <v>1</v>
      </c>
    </row>
    <row r="5457" spans="1:14" x14ac:dyDescent="0.35">
      <c r="A5457" s="22" t="s">
        <v>5527</v>
      </c>
      <c r="B5457" s="23" t="s">
        <v>65</v>
      </c>
      <c r="C5457" s="23"/>
      <c r="D5457" s="24"/>
      <c r="E5457" s="23" t="s">
        <v>8364</v>
      </c>
      <c r="F5457" s="23" t="s">
        <v>26</v>
      </c>
      <c r="G5457" s="23" t="s">
        <v>31</v>
      </c>
      <c r="H5457" s="23" t="s">
        <v>8364</v>
      </c>
      <c r="I5457" s="23">
        <v>24</v>
      </c>
      <c r="J5457" s="23">
        <v>1</v>
      </c>
      <c r="K5457" s="23">
        <v>3</v>
      </c>
      <c r="L5457" s="23" t="s">
        <v>17</v>
      </c>
      <c r="M5457" s="25">
        <v>2.2999999999999998</v>
      </c>
      <c r="N5457">
        <f t="shared" si="85"/>
        <v>1</v>
      </c>
    </row>
    <row r="5458" spans="1:14" x14ac:dyDescent="0.35">
      <c r="A5458" s="6" t="s">
        <v>5528</v>
      </c>
      <c r="B5458" s="19" t="s">
        <v>69</v>
      </c>
      <c r="C5458" s="19">
        <v>11</v>
      </c>
      <c r="D5458" s="20">
        <v>45972</v>
      </c>
      <c r="E5458" s="19" t="s">
        <v>36</v>
      </c>
      <c r="F5458" s="19" t="s">
        <v>59</v>
      </c>
      <c r="G5458" s="19" t="s">
        <v>21</v>
      </c>
      <c r="H5458" s="19" t="s">
        <v>16</v>
      </c>
      <c r="I5458" s="19">
        <v>8</v>
      </c>
      <c r="J5458" s="19">
        <v>0</v>
      </c>
      <c r="K5458" s="19">
        <v>4</v>
      </c>
      <c r="L5458" s="19" t="s">
        <v>8363</v>
      </c>
      <c r="M5458" s="21">
        <v>11.4</v>
      </c>
      <c r="N5458">
        <f t="shared" si="85"/>
        <v>0</v>
      </c>
    </row>
    <row r="5459" spans="1:14" x14ac:dyDescent="0.35">
      <c r="A5459" s="22" t="s">
        <v>5529</v>
      </c>
      <c r="B5459" s="23" t="s">
        <v>89</v>
      </c>
      <c r="C5459" s="23">
        <v>3</v>
      </c>
      <c r="D5459" s="24">
        <v>45735</v>
      </c>
      <c r="E5459" s="23" t="s">
        <v>13</v>
      </c>
      <c r="F5459" s="23" t="s">
        <v>37</v>
      </c>
      <c r="G5459" s="23" t="s">
        <v>27</v>
      </c>
      <c r="H5459" s="23" t="s">
        <v>22</v>
      </c>
      <c r="I5459" s="23">
        <v>8</v>
      </c>
      <c r="J5459" s="23">
        <v>0</v>
      </c>
      <c r="K5459" s="23">
        <v>1</v>
      </c>
      <c r="L5459" s="23" t="s">
        <v>38</v>
      </c>
      <c r="M5459" s="25">
        <v>5</v>
      </c>
      <c r="N5459">
        <f t="shared" si="85"/>
        <v>1</v>
      </c>
    </row>
    <row r="5460" spans="1:14" x14ac:dyDescent="0.35">
      <c r="A5460" s="6" t="s">
        <v>5530</v>
      </c>
      <c r="B5460" s="19" t="s">
        <v>78</v>
      </c>
      <c r="C5460" s="19"/>
      <c r="D5460" s="20"/>
      <c r="E5460" s="19" t="s">
        <v>25</v>
      </c>
      <c r="F5460" s="19" t="s">
        <v>40</v>
      </c>
      <c r="G5460" s="19" t="s">
        <v>21</v>
      </c>
      <c r="H5460" s="19" t="s">
        <v>8364</v>
      </c>
      <c r="I5460" s="19">
        <v>48</v>
      </c>
      <c r="J5460" s="19">
        <v>2</v>
      </c>
      <c r="K5460" s="19">
        <v>5</v>
      </c>
      <c r="L5460" s="19" t="s">
        <v>8363</v>
      </c>
      <c r="M5460" s="21">
        <v>2.1</v>
      </c>
      <c r="N5460">
        <f t="shared" si="85"/>
        <v>1</v>
      </c>
    </row>
    <row r="5461" spans="1:14" x14ac:dyDescent="0.35">
      <c r="A5461" s="22" t="s">
        <v>5531</v>
      </c>
      <c r="B5461" s="23" t="s">
        <v>47</v>
      </c>
      <c r="C5461" s="23">
        <v>9</v>
      </c>
      <c r="D5461" s="24">
        <v>45924</v>
      </c>
      <c r="E5461" s="23" t="s">
        <v>13</v>
      </c>
      <c r="F5461" s="23" t="s">
        <v>26</v>
      </c>
      <c r="G5461" s="23" t="s">
        <v>15</v>
      </c>
      <c r="H5461" s="23" t="s">
        <v>8364</v>
      </c>
      <c r="I5461" s="23">
        <v>24</v>
      </c>
      <c r="J5461" s="23">
        <v>0</v>
      </c>
      <c r="K5461" s="23">
        <v>2</v>
      </c>
      <c r="L5461" s="23" t="s">
        <v>8363</v>
      </c>
      <c r="M5461" s="25">
        <v>11.2</v>
      </c>
      <c r="N5461">
        <f t="shared" si="85"/>
        <v>1</v>
      </c>
    </row>
    <row r="5462" spans="1:14" x14ac:dyDescent="0.35">
      <c r="A5462" s="6" t="s">
        <v>5532</v>
      </c>
      <c r="B5462" s="19" t="s">
        <v>99</v>
      </c>
      <c r="C5462" s="19">
        <v>8</v>
      </c>
      <c r="D5462" s="20">
        <v>45881</v>
      </c>
      <c r="E5462" s="19" t="s">
        <v>68</v>
      </c>
      <c r="F5462" s="19" t="s">
        <v>26</v>
      </c>
      <c r="G5462" s="19" t="s">
        <v>21</v>
      </c>
      <c r="H5462" s="19" t="s">
        <v>8364</v>
      </c>
      <c r="I5462" s="19">
        <v>8</v>
      </c>
      <c r="J5462" s="19">
        <v>0</v>
      </c>
      <c r="K5462" s="19">
        <v>3</v>
      </c>
      <c r="L5462" s="19" t="s">
        <v>33</v>
      </c>
      <c r="M5462" s="21">
        <v>27.8</v>
      </c>
      <c r="N5462">
        <f t="shared" si="85"/>
        <v>0</v>
      </c>
    </row>
    <row r="5463" spans="1:14" x14ac:dyDescent="0.35">
      <c r="A5463" s="22" t="s">
        <v>5533</v>
      </c>
      <c r="B5463" s="23" t="s">
        <v>18</v>
      </c>
      <c r="C5463" s="23">
        <v>7</v>
      </c>
      <c r="D5463" s="24">
        <v>45869</v>
      </c>
      <c r="E5463" s="23" t="s">
        <v>25</v>
      </c>
      <c r="F5463" s="23" t="s">
        <v>14</v>
      </c>
      <c r="G5463" s="23" t="s">
        <v>31</v>
      </c>
      <c r="H5463" s="23" t="s">
        <v>28</v>
      </c>
      <c r="I5463" s="23">
        <v>8</v>
      </c>
      <c r="J5463" s="23">
        <v>2</v>
      </c>
      <c r="K5463" s="23">
        <v>5</v>
      </c>
      <c r="L5463" s="23" t="s">
        <v>17</v>
      </c>
      <c r="M5463" s="25">
        <v>4</v>
      </c>
      <c r="N5463">
        <f t="shared" si="85"/>
        <v>1</v>
      </c>
    </row>
    <row r="5464" spans="1:14" x14ac:dyDescent="0.35">
      <c r="A5464" s="6" t="s">
        <v>5534</v>
      </c>
      <c r="B5464" s="19" t="s">
        <v>78</v>
      </c>
      <c r="C5464" s="19">
        <v>5</v>
      </c>
      <c r="D5464" s="20">
        <v>45795</v>
      </c>
      <c r="E5464" s="19" t="s">
        <v>8364</v>
      </c>
      <c r="F5464" s="19" t="s">
        <v>59</v>
      </c>
      <c r="G5464" s="19" t="s">
        <v>31</v>
      </c>
      <c r="H5464" s="19" t="s">
        <v>28</v>
      </c>
      <c r="I5464" s="19">
        <v>8</v>
      </c>
      <c r="J5464" s="19">
        <v>0</v>
      </c>
      <c r="K5464" s="19">
        <v>2</v>
      </c>
      <c r="L5464" s="19" t="s">
        <v>33</v>
      </c>
      <c r="M5464" s="21">
        <v>12.4</v>
      </c>
      <c r="N5464">
        <f t="shared" si="85"/>
        <v>0</v>
      </c>
    </row>
    <row r="5465" spans="1:14" x14ac:dyDescent="0.35">
      <c r="A5465" s="22" t="s">
        <v>5535</v>
      </c>
      <c r="B5465" s="23" t="s">
        <v>130</v>
      </c>
      <c r="C5465" s="23">
        <v>3</v>
      </c>
      <c r="D5465" s="24">
        <v>45739</v>
      </c>
      <c r="E5465" s="23" t="s">
        <v>20</v>
      </c>
      <c r="F5465" s="23" t="s">
        <v>43</v>
      </c>
      <c r="G5465" s="23" t="s">
        <v>8364</v>
      </c>
      <c r="H5465" s="23" t="s">
        <v>28</v>
      </c>
      <c r="I5465" s="23">
        <v>8</v>
      </c>
      <c r="J5465" s="23">
        <v>1</v>
      </c>
      <c r="K5465" s="23">
        <v>3</v>
      </c>
      <c r="L5465" s="23" t="s">
        <v>55</v>
      </c>
      <c r="M5465" s="25">
        <v>2.2000000000000002</v>
      </c>
      <c r="N5465">
        <f t="shared" si="85"/>
        <v>1</v>
      </c>
    </row>
    <row r="5466" spans="1:14" x14ac:dyDescent="0.35">
      <c r="A5466" s="6" t="s">
        <v>5536</v>
      </c>
      <c r="B5466" s="19" t="s">
        <v>23</v>
      </c>
      <c r="C5466" s="19">
        <v>8</v>
      </c>
      <c r="D5466" s="20">
        <v>45892</v>
      </c>
      <c r="E5466" s="19" t="s">
        <v>36</v>
      </c>
      <c r="F5466" s="19" t="s">
        <v>59</v>
      </c>
      <c r="G5466" s="19" t="s">
        <v>8364</v>
      </c>
      <c r="H5466" s="19" t="s">
        <v>28</v>
      </c>
      <c r="I5466" s="19">
        <v>24</v>
      </c>
      <c r="J5466" s="19">
        <v>0</v>
      </c>
      <c r="K5466" s="19">
        <v>3</v>
      </c>
      <c r="L5466" s="19" t="s">
        <v>33</v>
      </c>
      <c r="M5466" s="21">
        <v>17.5</v>
      </c>
      <c r="N5466">
        <f t="shared" si="85"/>
        <v>1</v>
      </c>
    </row>
    <row r="5467" spans="1:14" x14ac:dyDescent="0.35">
      <c r="A5467" s="22" t="s">
        <v>5537</v>
      </c>
      <c r="B5467" s="23" t="s">
        <v>29</v>
      </c>
      <c r="C5467" s="23">
        <v>8</v>
      </c>
      <c r="D5467" s="24">
        <v>45883</v>
      </c>
      <c r="E5467" s="23" t="s">
        <v>13</v>
      </c>
      <c r="F5467" s="23" t="s">
        <v>26</v>
      </c>
      <c r="G5467" s="23" t="s">
        <v>31</v>
      </c>
      <c r="H5467" s="23" t="s">
        <v>28</v>
      </c>
      <c r="I5467" s="23">
        <v>8</v>
      </c>
      <c r="J5467" s="23">
        <v>0</v>
      </c>
      <c r="K5467" s="23"/>
      <c r="L5467" s="23" t="s">
        <v>38</v>
      </c>
      <c r="M5467" s="25">
        <v>2.9</v>
      </c>
      <c r="N5467">
        <f t="shared" si="85"/>
        <v>1</v>
      </c>
    </row>
    <row r="5468" spans="1:14" x14ac:dyDescent="0.35">
      <c r="A5468" s="6" t="s">
        <v>5538</v>
      </c>
      <c r="B5468" s="19" t="s">
        <v>39</v>
      </c>
      <c r="C5468" s="19">
        <v>9</v>
      </c>
      <c r="D5468" s="20">
        <v>45922</v>
      </c>
      <c r="E5468" s="19" t="s">
        <v>36</v>
      </c>
      <c r="F5468" s="19" t="s">
        <v>43</v>
      </c>
      <c r="G5468" s="19" t="s">
        <v>27</v>
      </c>
      <c r="H5468" s="19" t="s">
        <v>32</v>
      </c>
      <c r="I5468" s="19">
        <v>72</v>
      </c>
      <c r="J5468" s="19">
        <v>0</v>
      </c>
      <c r="K5468" s="19">
        <v>5</v>
      </c>
      <c r="L5468" s="19" t="s">
        <v>44</v>
      </c>
      <c r="M5468" s="21">
        <v>14</v>
      </c>
      <c r="N5468">
        <f t="shared" si="85"/>
        <v>1</v>
      </c>
    </row>
    <row r="5469" spans="1:14" x14ac:dyDescent="0.35">
      <c r="A5469" s="22" t="s">
        <v>5539</v>
      </c>
      <c r="B5469" s="23" t="s">
        <v>101</v>
      </c>
      <c r="C5469" s="23">
        <v>7</v>
      </c>
      <c r="D5469" s="24">
        <v>45855</v>
      </c>
      <c r="E5469" s="23" t="s">
        <v>68</v>
      </c>
      <c r="F5469" s="23" t="s">
        <v>43</v>
      </c>
      <c r="G5469" s="23" t="s">
        <v>21</v>
      </c>
      <c r="H5469" s="23" t="s">
        <v>8364</v>
      </c>
      <c r="I5469" s="23">
        <v>72</v>
      </c>
      <c r="J5469" s="23">
        <v>3</v>
      </c>
      <c r="K5469" s="23">
        <v>5</v>
      </c>
      <c r="L5469" s="23" t="s">
        <v>33</v>
      </c>
      <c r="M5469" s="25">
        <v>7.4</v>
      </c>
      <c r="N5469">
        <f t="shared" si="85"/>
        <v>1</v>
      </c>
    </row>
    <row r="5470" spans="1:14" x14ac:dyDescent="0.35">
      <c r="A5470" s="6" t="s">
        <v>5540</v>
      </c>
      <c r="B5470" s="19" t="s">
        <v>39</v>
      </c>
      <c r="C5470" s="19">
        <v>2</v>
      </c>
      <c r="D5470" s="20">
        <v>45715</v>
      </c>
      <c r="E5470" s="19" t="s">
        <v>25</v>
      </c>
      <c r="F5470" s="19" t="s">
        <v>43</v>
      </c>
      <c r="G5470" s="19" t="s">
        <v>21</v>
      </c>
      <c r="H5470" s="19" t="s">
        <v>8364</v>
      </c>
      <c r="I5470" s="19">
        <v>8</v>
      </c>
      <c r="J5470" s="19">
        <v>0</v>
      </c>
      <c r="K5470" s="19">
        <v>4</v>
      </c>
      <c r="L5470" s="19" t="s">
        <v>62</v>
      </c>
      <c r="M5470" s="21">
        <v>21</v>
      </c>
      <c r="N5470">
        <f t="shared" si="85"/>
        <v>0</v>
      </c>
    </row>
    <row r="5471" spans="1:14" x14ac:dyDescent="0.35">
      <c r="A5471" s="22" t="s">
        <v>5541</v>
      </c>
      <c r="B5471" s="23" t="s">
        <v>57</v>
      </c>
      <c r="C5471" s="23">
        <v>10</v>
      </c>
      <c r="D5471" s="24">
        <v>45960</v>
      </c>
      <c r="E5471" s="23" t="s">
        <v>13</v>
      </c>
      <c r="F5471" s="23" t="s">
        <v>37</v>
      </c>
      <c r="G5471" s="23" t="s">
        <v>21</v>
      </c>
      <c r="H5471" s="23" t="s">
        <v>22</v>
      </c>
      <c r="I5471" s="23">
        <v>8</v>
      </c>
      <c r="J5471" s="23">
        <v>0</v>
      </c>
      <c r="K5471" s="23">
        <v>5</v>
      </c>
      <c r="L5471" s="23" t="s">
        <v>17</v>
      </c>
      <c r="M5471" s="25">
        <v>4.2</v>
      </c>
      <c r="N5471">
        <f t="shared" si="85"/>
        <v>1</v>
      </c>
    </row>
    <row r="5472" spans="1:14" x14ac:dyDescent="0.35">
      <c r="A5472" s="6" t="s">
        <v>5542</v>
      </c>
      <c r="B5472" s="19" t="s">
        <v>126</v>
      </c>
      <c r="C5472" s="19">
        <v>4</v>
      </c>
      <c r="D5472" s="20">
        <v>45748</v>
      </c>
      <c r="E5472" s="19" t="s">
        <v>36</v>
      </c>
      <c r="F5472" s="19" t="s">
        <v>43</v>
      </c>
      <c r="G5472" s="19" t="s">
        <v>21</v>
      </c>
      <c r="H5472" s="19" t="s">
        <v>32</v>
      </c>
      <c r="I5472" s="19">
        <v>24</v>
      </c>
      <c r="J5472" s="19">
        <v>0</v>
      </c>
      <c r="K5472" s="19">
        <v>4</v>
      </c>
      <c r="L5472" s="19" t="s">
        <v>55</v>
      </c>
      <c r="M5472" s="21">
        <v>8.3000000000000007</v>
      </c>
      <c r="N5472">
        <f t="shared" si="85"/>
        <v>1</v>
      </c>
    </row>
    <row r="5473" spans="1:14" x14ac:dyDescent="0.35">
      <c r="A5473" s="22" t="s">
        <v>5543</v>
      </c>
      <c r="B5473" s="23" t="s">
        <v>139</v>
      </c>
      <c r="C5473" s="23">
        <v>3</v>
      </c>
      <c r="D5473" s="24">
        <v>45727</v>
      </c>
      <c r="E5473" s="23" t="s">
        <v>68</v>
      </c>
      <c r="F5473" s="23" t="s">
        <v>37</v>
      </c>
      <c r="G5473" s="23" t="s">
        <v>15</v>
      </c>
      <c r="H5473" s="23" t="s">
        <v>22</v>
      </c>
      <c r="I5473" s="23">
        <v>72</v>
      </c>
      <c r="J5473" s="23">
        <v>1</v>
      </c>
      <c r="K5473" s="23"/>
      <c r="L5473" s="23" t="s">
        <v>17</v>
      </c>
      <c r="M5473" s="25">
        <v>6.2</v>
      </c>
      <c r="N5473">
        <f t="shared" si="85"/>
        <v>1</v>
      </c>
    </row>
    <row r="5474" spans="1:14" x14ac:dyDescent="0.35">
      <c r="A5474" s="6" t="s">
        <v>5544</v>
      </c>
      <c r="B5474" s="19" t="s">
        <v>126</v>
      </c>
      <c r="C5474" s="19">
        <v>7</v>
      </c>
      <c r="D5474" s="20">
        <v>45841</v>
      </c>
      <c r="E5474" s="19" t="s">
        <v>13</v>
      </c>
      <c r="F5474" s="19" t="s">
        <v>8364</v>
      </c>
      <c r="G5474" s="19" t="s">
        <v>21</v>
      </c>
      <c r="H5474" s="19" t="s">
        <v>16</v>
      </c>
      <c r="I5474" s="19">
        <v>72</v>
      </c>
      <c r="J5474" s="19">
        <v>1</v>
      </c>
      <c r="K5474" s="19">
        <v>4</v>
      </c>
      <c r="L5474" s="19" t="s">
        <v>75</v>
      </c>
      <c r="M5474" s="21"/>
      <c r="N5474">
        <f t="shared" si="85"/>
        <v>1</v>
      </c>
    </row>
    <row r="5475" spans="1:14" x14ac:dyDescent="0.35">
      <c r="A5475" s="22" t="s">
        <v>5545</v>
      </c>
      <c r="B5475" s="23" t="s">
        <v>47</v>
      </c>
      <c r="C5475" s="23">
        <v>11</v>
      </c>
      <c r="D5475" s="24">
        <v>45962</v>
      </c>
      <c r="E5475" s="23" t="s">
        <v>13</v>
      </c>
      <c r="F5475" s="23" t="s">
        <v>40</v>
      </c>
      <c r="G5475" s="23" t="s">
        <v>21</v>
      </c>
      <c r="H5475" s="23" t="s">
        <v>8364</v>
      </c>
      <c r="I5475" s="23">
        <v>72</v>
      </c>
      <c r="J5475" s="23">
        <v>0</v>
      </c>
      <c r="K5475" s="23">
        <v>5</v>
      </c>
      <c r="L5475" s="23" t="s">
        <v>17</v>
      </c>
      <c r="M5475" s="25">
        <v>12.8</v>
      </c>
      <c r="N5475">
        <f t="shared" si="85"/>
        <v>1</v>
      </c>
    </row>
    <row r="5476" spans="1:14" x14ac:dyDescent="0.35">
      <c r="A5476" s="6" t="s">
        <v>5546</v>
      </c>
      <c r="B5476" s="19" t="s">
        <v>65</v>
      </c>
      <c r="C5476" s="19">
        <v>3</v>
      </c>
      <c r="D5476" s="20">
        <v>45728</v>
      </c>
      <c r="E5476" s="19" t="s">
        <v>25</v>
      </c>
      <c r="F5476" s="19" t="s">
        <v>26</v>
      </c>
      <c r="G5476" s="19" t="s">
        <v>27</v>
      </c>
      <c r="H5476" s="19" t="s">
        <v>8364</v>
      </c>
      <c r="I5476" s="19">
        <v>48</v>
      </c>
      <c r="J5476" s="19">
        <v>0</v>
      </c>
      <c r="K5476" s="19">
        <v>5</v>
      </c>
      <c r="L5476" s="19" t="s">
        <v>8363</v>
      </c>
      <c r="M5476" s="21">
        <v>12.5</v>
      </c>
      <c r="N5476">
        <f t="shared" si="85"/>
        <v>1</v>
      </c>
    </row>
    <row r="5477" spans="1:14" x14ac:dyDescent="0.35">
      <c r="A5477" s="22" t="s">
        <v>5547</v>
      </c>
      <c r="B5477" s="23" t="s">
        <v>108</v>
      </c>
      <c r="C5477" s="23">
        <v>12</v>
      </c>
      <c r="D5477" s="24">
        <v>46022</v>
      </c>
      <c r="E5477" s="23" t="s">
        <v>36</v>
      </c>
      <c r="F5477" s="23" t="s">
        <v>43</v>
      </c>
      <c r="G5477" s="23" t="s">
        <v>15</v>
      </c>
      <c r="H5477" s="23" t="s">
        <v>22</v>
      </c>
      <c r="I5477" s="23">
        <v>48</v>
      </c>
      <c r="J5477" s="23">
        <v>0</v>
      </c>
      <c r="K5477" s="23">
        <v>5</v>
      </c>
      <c r="L5477" s="23" t="s">
        <v>8363</v>
      </c>
      <c r="M5477" s="25">
        <v>3.5</v>
      </c>
      <c r="N5477">
        <f t="shared" si="85"/>
        <v>1</v>
      </c>
    </row>
    <row r="5478" spans="1:14" x14ac:dyDescent="0.35">
      <c r="A5478" s="6" t="s">
        <v>5548</v>
      </c>
      <c r="B5478" s="19" t="s">
        <v>65</v>
      </c>
      <c r="C5478" s="19">
        <v>6</v>
      </c>
      <c r="D5478" s="20">
        <v>45829</v>
      </c>
      <c r="E5478" s="19" t="s">
        <v>20</v>
      </c>
      <c r="F5478" s="19" t="s">
        <v>37</v>
      </c>
      <c r="G5478" s="19" t="s">
        <v>8364</v>
      </c>
      <c r="H5478" s="19" t="s">
        <v>28</v>
      </c>
      <c r="I5478" s="19">
        <v>48</v>
      </c>
      <c r="J5478" s="19">
        <v>0</v>
      </c>
      <c r="K5478" s="19">
        <v>4</v>
      </c>
      <c r="L5478" s="19" t="s">
        <v>38</v>
      </c>
      <c r="M5478" s="21">
        <v>3</v>
      </c>
      <c r="N5478">
        <f t="shared" si="85"/>
        <v>1</v>
      </c>
    </row>
    <row r="5479" spans="1:14" x14ac:dyDescent="0.35">
      <c r="A5479" s="22" t="s">
        <v>5549</v>
      </c>
      <c r="B5479" s="23" t="s">
        <v>87</v>
      </c>
      <c r="C5479" s="23">
        <v>8</v>
      </c>
      <c r="D5479" s="24">
        <v>45872</v>
      </c>
      <c r="E5479" s="23" t="s">
        <v>20</v>
      </c>
      <c r="F5479" s="23" t="s">
        <v>26</v>
      </c>
      <c r="G5479" s="23" t="s">
        <v>31</v>
      </c>
      <c r="H5479" s="23" t="s">
        <v>28</v>
      </c>
      <c r="I5479" s="23">
        <v>4</v>
      </c>
      <c r="J5479" s="23">
        <v>1</v>
      </c>
      <c r="K5479" s="23">
        <v>1</v>
      </c>
      <c r="L5479" s="23" t="s">
        <v>33</v>
      </c>
      <c r="M5479" s="25">
        <v>16.899999999999999</v>
      </c>
      <c r="N5479">
        <f t="shared" si="85"/>
        <v>0</v>
      </c>
    </row>
    <row r="5480" spans="1:14" x14ac:dyDescent="0.35">
      <c r="A5480" s="6" t="s">
        <v>5550</v>
      </c>
      <c r="B5480" s="19" t="s">
        <v>57</v>
      </c>
      <c r="C5480" s="19">
        <v>4</v>
      </c>
      <c r="D5480" s="20">
        <v>45754</v>
      </c>
      <c r="E5480" s="19" t="s">
        <v>13</v>
      </c>
      <c r="F5480" s="19" t="s">
        <v>26</v>
      </c>
      <c r="G5480" s="19" t="s">
        <v>31</v>
      </c>
      <c r="H5480" s="19" t="s">
        <v>8364</v>
      </c>
      <c r="I5480" s="19">
        <v>8</v>
      </c>
      <c r="J5480" s="19">
        <v>0</v>
      </c>
      <c r="K5480" s="19">
        <v>2</v>
      </c>
      <c r="L5480" s="19" t="s">
        <v>8363</v>
      </c>
      <c r="M5480" s="21">
        <v>17.399999999999999</v>
      </c>
      <c r="N5480">
        <f t="shared" si="85"/>
        <v>0</v>
      </c>
    </row>
    <row r="5481" spans="1:14" x14ac:dyDescent="0.35">
      <c r="A5481" s="22" t="s">
        <v>5551</v>
      </c>
      <c r="B5481" s="23" t="s">
        <v>101</v>
      </c>
      <c r="C5481" s="23">
        <v>12</v>
      </c>
      <c r="D5481" s="24">
        <v>46001</v>
      </c>
      <c r="E5481" s="23" t="s">
        <v>20</v>
      </c>
      <c r="F5481" s="23" t="s">
        <v>40</v>
      </c>
      <c r="G5481" s="23" t="s">
        <v>27</v>
      </c>
      <c r="H5481" s="23" t="s">
        <v>16</v>
      </c>
      <c r="I5481" s="23">
        <v>72</v>
      </c>
      <c r="J5481" s="23">
        <v>0</v>
      </c>
      <c r="K5481" s="23">
        <v>5</v>
      </c>
      <c r="L5481" s="23" t="s">
        <v>62</v>
      </c>
      <c r="M5481" s="25">
        <v>8.1999999999999993</v>
      </c>
      <c r="N5481">
        <f t="shared" si="85"/>
        <v>1</v>
      </c>
    </row>
    <row r="5482" spans="1:14" x14ac:dyDescent="0.35">
      <c r="A5482" s="6" t="s">
        <v>5552</v>
      </c>
      <c r="B5482" s="19" t="s">
        <v>158</v>
      </c>
      <c r="C5482" s="19">
        <v>5</v>
      </c>
      <c r="D5482" s="20">
        <v>45783</v>
      </c>
      <c r="E5482" s="19" t="s">
        <v>25</v>
      </c>
      <c r="F5482" s="19" t="s">
        <v>43</v>
      </c>
      <c r="G5482" s="19" t="s">
        <v>21</v>
      </c>
      <c r="H5482" s="19" t="s">
        <v>22</v>
      </c>
      <c r="I5482" s="19">
        <v>24</v>
      </c>
      <c r="J5482" s="19">
        <v>0</v>
      </c>
      <c r="K5482" s="19">
        <v>4</v>
      </c>
      <c r="L5482" s="19" t="s">
        <v>38</v>
      </c>
      <c r="M5482" s="21">
        <v>9.6999999999999993</v>
      </c>
      <c r="N5482">
        <f t="shared" si="85"/>
        <v>1</v>
      </c>
    </row>
    <row r="5483" spans="1:14" x14ac:dyDescent="0.35">
      <c r="A5483" s="22" t="s">
        <v>5553</v>
      </c>
      <c r="B5483" s="23" t="s">
        <v>143</v>
      </c>
      <c r="C5483" s="23">
        <v>11</v>
      </c>
      <c r="D5483" s="24">
        <v>45984</v>
      </c>
      <c r="E5483" s="23" t="s">
        <v>25</v>
      </c>
      <c r="F5483" s="23" t="s">
        <v>40</v>
      </c>
      <c r="G5483" s="23" t="s">
        <v>31</v>
      </c>
      <c r="H5483" s="23" t="s">
        <v>32</v>
      </c>
      <c r="I5483" s="23">
        <v>4</v>
      </c>
      <c r="J5483" s="23">
        <v>0</v>
      </c>
      <c r="K5483" s="23">
        <v>4</v>
      </c>
      <c r="L5483" s="23" t="s">
        <v>8363</v>
      </c>
      <c r="M5483" s="25">
        <v>14.1</v>
      </c>
      <c r="N5483">
        <f t="shared" si="85"/>
        <v>0</v>
      </c>
    </row>
    <row r="5484" spans="1:14" x14ac:dyDescent="0.35">
      <c r="A5484" s="6" t="s">
        <v>5554</v>
      </c>
      <c r="B5484" s="19" t="s">
        <v>45</v>
      </c>
      <c r="C5484" s="19">
        <v>8</v>
      </c>
      <c r="D5484" s="20">
        <v>45893</v>
      </c>
      <c r="E5484" s="19" t="s">
        <v>20</v>
      </c>
      <c r="F5484" s="19" t="s">
        <v>43</v>
      </c>
      <c r="G5484" s="19" t="s">
        <v>27</v>
      </c>
      <c r="H5484" s="19" t="s">
        <v>22</v>
      </c>
      <c r="I5484" s="19">
        <v>72</v>
      </c>
      <c r="J5484" s="19">
        <v>0</v>
      </c>
      <c r="K5484" s="19"/>
      <c r="L5484" s="19" t="s">
        <v>38</v>
      </c>
      <c r="M5484" s="21">
        <v>9</v>
      </c>
      <c r="N5484">
        <f t="shared" si="85"/>
        <v>1</v>
      </c>
    </row>
    <row r="5485" spans="1:14" x14ac:dyDescent="0.35">
      <c r="A5485" s="22" t="s">
        <v>5555</v>
      </c>
      <c r="B5485" s="23" t="s">
        <v>72</v>
      </c>
      <c r="C5485" s="23">
        <v>9</v>
      </c>
      <c r="D5485" s="24">
        <v>45905</v>
      </c>
      <c r="E5485" s="23" t="s">
        <v>25</v>
      </c>
      <c r="F5485" s="23" t="s">
        <v>40</v>
      </c>
      <c r="G5485" s="23" t="s">
        <v>21</v>
      </c>
      <c r="H5485" s="23" t="s">
        <v>16</v>
      </c>
      <c r="I5485" s="23">
        <v>4</v>
      </c>
      <c r="J5485" s="23">
        <v>0</v>
      </c>
      <c r="K5485" s="23">
        <v>3</v>
      </c>
      <c r="L5485" s="23" t="s">
        <v>62</v>
      </c>
      <c r="M5485" s="25">
        <v>19.100000000000001</v>
      </c>
      <c r="N5485">
        <f t="shared" si="85"/>
        <v>0</v>
      </c>
    </row>
    <row r="5486" spans="1:14" x14ac:dyDescent="0.35">
      <c r="A5486" s="6" t="s">
        <v>5556</v>
      </c>
      <c r="B5486" s="19" t="s">
        <v>45</v>
      </c>
      <c r="C5486" s="19">
        <v>9</v>
      </c>
      <c r="D5486" s="20">
        <v>45930</v>
      </c>
      <c r="E5486" s="19" t="s">
        <v>25</v>
      </c>
      <c r="F5486" s="19" t="s">
        <v>59</v>
      </c>
      <c r="G5486" s="19" t="s">
        <v>27</v>
      </c>
      <c r="H5486" s="19" t="s">
        <v>8364</v>
      </c>
      <c r="I5486" s="19">
        <v>48</v>
      </c>
      <c r="J5486" s="19"/>
      <c r="K5486" s="19">
        <v>1</v>
      </c>
      <c r="L5486" s="19" t="s">
        <v>75</v>
      </c>
      <c r="M5486" s="21">
        <v>3</v>
      </c>
      <c r="N5486">
        <f t="shared" si="85"/>
        <v>1</v>
      </c>
    </row>
    <row r="5487" spans="1:14" x14ac:dyDescent="0.35">
      <c r="A5487" s="22" t="s">
        <v>5557</v>
      </c>
      <c r="B5487" s="23" t="s">
        <v>49</v>
      </c>
      <c r="C5487" s="23">
        <v>6</v>
      </c>
      <c r="D5487" s="24">
        <v>45821</v>
      </c>
      <c r="E5487" s="23" t="s">
        <v>36</v>
      </c>
      <c r="F5487" s="23" t="s">
        <v>14</v>
      </c>
      <c r="G5487" s="23" t="s">
        <v>31</v>
      </c>
      <c r="H5487" s="23" t="s">
        <v>22</v>
      </c>
      <c r="I5487" s="23">
        <v>48</v>
      </c>
      <c r="J5487" s="23">
        <v>0</v>
      </c>
      <c r="K5487" s="23">
        <v>4</v>
      </c>
      <c r="L5487" s="23" t="s">
        <v>44</v>
      </c>
      <c r="M5487" s="25">
        <v>3.2</v>
      </c>
      <c r="N5487">
        <f t="shared" si="85"/>
        <v>1</v>
      </c>
    </row>
    <row r="5488" spans="1:14" x14ac:dyDescent="0.35">
      <c r="A5488" s="6" t="s">
        <v>5558</v>
      </c>
      <c r="B5488" s="19" t="s">
        <v>69</v>
      </c>
      <c r="C5488" s="19">
        <v>10</v>
      </c>
      <c r="D5488" s="20">
        <v>45934</v>
      </c>
      <c r="E5488" s="19" t="s">
        <v>20</v>
      </c>
      <c r="F5488" s="19" t="s">
        <v>59</v>
      </c>
      <c r="G5488" s="19" t="s">
        <v>31</v>
      </c>
      <c r="H5488" s="19" t="s">
        <v>28</v>
      </c>
      <c r="I5488" s="19">
        <v>24</v>
      </c>
      <c r="J5488" s="19">
        <v>0</v>
      </c>
      <c r="K5488" s="19"/>
      <c r="L5488" s="19" t="s">
        <v>8363</v>
      </c>
      <c r="M5488" s="21">
        <v>8.6999999999999993</v>
      </c>
      <c r="N5488">
        <f t="shared" si="85"/>
        <v>1</v>
      </c>
    </row>
    <row r="5489" spans="1:14" x14ac:dyDescent="0.35">
      <c r="A5489" s="22" t="s">
        <v>5559</v>
      </c>
      <c r="B5489" s="23" t="s">
        <v>65</v>
      </c>
      <c r="C5489" s="23">
        <v>7</v>
      </c>
      <c r="D5489" s="24">
        <v>45844</v>
      </c>
      <c r="E5489" s="23" t="s">
        <v>25</v>
      </c>
      <c r="F5489" s="23" t="s">
        <v>43</v>
      </c>
      <c r="G5489" s="23" t="s">
        <v>27</v>
      </c>
      <c r="H5489" s="23" t="s">
        <v>22</v>
      </c>
      <c r="I5489" s="23">
        <v>8</v>
      </c>
      <c r="J5489" s="23">
        <v>2</v>
      </c>
      <c r="K5489" s="23">
        <v>4</v>
      </c>
      <c r="L5489" s="23" t="s">
        <v>44</v>
      </c>
      <c r="M5489" s="25">
        <v>28.9</v>
      </c>
      <c r="N5489">
        <f t="shared" si="85"/>
        <v>0</v>
      </c>
    </row>
    <row r="5490" spans="1:14" x14ac:dyDescent="0.35">
      <c r="A5490" s="6" t="s">
        <v>5560</v>
      </c>
      <c r="B5490" s="19" t="s">
        <v>69</v>
      </c>
      <c r="C5490" s="19">
        <v>12</v>
      </c>
      <c r="D5490" s="20">
        <v>46006</v>
      </c>
      <c r="E5490" s="19" t="s">
        <v>36</v>
      </c>
      <c r="F5490" s="19" t="s">
        <v>43</v>
      </c>
      <c r="G5490" s="19" t="s">
        <v>15</v>
      </c>
      <c r="H5490" s="19" t="s">
        <v>8364</v>
      </c>
      <c r="I5490" s="19">
        <v>4</v>
      </c>
      <c r="J5490" s="19">
        <v>0</v>
      </c>
      <c r="K5490" s="19">
        <v>5</v>
      </c>
      <c r="L5490" s="19" t="s">
        <v>17</v>
      </c>
      <c r="M5490" s="21">
        <v>15</v>
      </c>
      <c r="N5490">
        <f t="shared" si="85"/>
        <v>0</v>
      </c>
    </row>
    <row r="5491" spans="1:14" x14ac:dyDescent="0.35">
      <c r="A5491" s="22" t="s">
        <v>5561</v>
      </c>
      <c r="B5491" s="23" t="s">
        <v>34</v>
      </c>
      <c r="C5491" s="23">
        <v>2</v>
      </c>
      <c r="D5491" s="24">
        <v>45690</v>
      </c>
      <c r="E5491" s="23" t="s">
        <v>20</v>
      </c>
      <c r="F5491" s="23" t="s">
        <v>14</v>
      </c>
      <c r="G5491" s="23" t="s">
        <v>15</v>
      </c>
      <c r="H5491" s="23" t="s">
        <v>28</v>
      </c>
      <c r="I5491" s="23">
        <v>4</v>
      </c>
      <c r="J5491" s="23">
        <v>2</v>
      </c>
      <c r="K5491" s="23">
        <v>3</v>
      </c>
      <c r="L5491" s="23" t="s">
        <v>33</v>
      </c>
      <c r="M5491" s="25">
        <v>15</v>
      </c>
      <c r="N5491">
        <f t="shared" si="85"/>
        <v>0</v>
      </c>
    </row>
    <row r="5492" spans="1:14" x14ac:dyDescent="0.35">
      <c r="A5492" s="6" t="s">
        <v>5562</v>
      </c>
      <c r="B5492" s="19" t="s">
        <v>236</v>
      </c>
      <c r="C5492" s="19">
        <v>4</v>
      </c>
      <c r="D5492" s="20">
        <v>45765</v>
      </c>
      <c r="E5492" s="19" t="s">
        <v>25</v>
      </c>
      <c r="F5492" s="19" t="s">
        <v>14</v>
      </c>
      <c r="G5492" s="19" t="s">
        <v>8364</v>
      </c>
      <c r="H5492" s="19" t="s">
        <v>28</v>
      </c>
      <c r="I5492" s="19">
        <v>48</v>
      </c>
      <c r="J5492" s="19">
        <v>0</v>
      </c>
      <c r="K5492" s="19">
        <v>4</v>
      </c>
      <c r="L5492" s="19" t="s">
        <v>55</v>
      </c>
      <c r="M5492" s="21">
        <v>7.2</v>
      </c>
      <c r="N5492">
        <f t="shared" si="85"/>
        <v>1</v>
      </c>
    </row>
    <row r="5493" spans="1:14" x14ac:dyDescent="0.35">
      <c r="A5493" s="22" t="s">
        <v>5563</v>
      </c>
      <c r="B5493" s="23" t="s">
        <v>53</v>
      </c>
      <c r="C5493" s="23">
        <v>2</v>
      </c>
      <c r="D5493" s="24">
        <v>45698</v>
      </c>
      <c r="E5493" s="23" t="s">
        <v>36</v>
      </c>
      <c r="F5493" s="23" t="s">
        <v>26</v>
      </c>
      <c r="G5493" s="23" t="s">
        <v>27</v>
      </c>
      <c r="H5493" s="23" t="s">
        <v>22</v>
      </c>
      <c r="I5493" s="23">
        <v>72</v>
      </c>
      <c r="J5493" s="23">
        <v>0</v>
      </c>
      <c r="K5493" s="23">
        <v>5</v>
      </c>
      <c r="L5493" s="23" t="s">
        <v>33</v>
      </c>
      <c r="M5493" s="25">
        <v>8.6999999999999993</v>
      </c>
      <c r="N5493">
        <f t="shared" si="85"/>
        <v>1</v>
      </c>
    </row>
    <row r="5494" spans="1:14" x14ac:dyDescent="0.35">
      <c r="A5494" s="6" t="s">
        <v>5564</v>
      </c>
      <c r="B5494" s="19" t="s">
        <v>143</v>
      </c>
      <c r="C5494" s="19">
        <v>3</v>
      </c>
      <c r="D5494" s="20">
        <v>45724</v>
      </c>
      <c r="E5494" s="19" t="s">
        <v>8364</v>
      </c>
      <c r="F5494" s="19" t="s">
        <v>26</v>
      </c>
      <c r="G5494" s="19" t="s">
        <v>27</v>
      </c>
      <c r="H5494" s="19" t="s">
        <v>28</v>
      </c>
      <c r="I5494" s="19">
        <v>4</v>
      </c>
      <c r="J5494" s="19">
        <v>0</v>
      </c>
      <c r="K5494" s="19">
        <v>2</v>
      </c>
      <c r="L5494" s="19" t="s">
        <v>8363</v>
      </c>
      <c r="M5494" s="21">
        <v>13.2</v>
      </c>
      <c r="N5494">
        <f t="shared" si="85"/>
        <v>0</v>
      </c>
    </row>
    <row r="5495" spans="1:14" x14ac:dyDescent="0.35">
      <c r="A5495" s="22" t="s">
        <v>5565</v>
      </c>
      <c r="B5495" s="23" t="s">
        <v>41</v>
      </c>
      <c r="C5495" s="23">
        <v>5</v>
      </c>
      <c r="D5495" s="24">
        <v>45789</v>
      </c>
      <c r="E5495" s="23" t="s">
        <v>68</v>
      </c>
      <c r="F5495" s="23" t="s">
        <v>43</v>
      </c>
      <c r="G5495" s="23" t="s">
        <v>27</v>
      </c>
      <c r="H5495" s="23" t="s">
        <v>16</v>
      </c>
      <c r="I5495" s="23">
        <v>4</v>
      </c>
      <c r="J5495" s="23">
        <v>0</v>
      </c>
      <c r="K5495" s="23">
        <v>4</v>
      </c>
      <c r="L5495" s="23" t="s">
        <v>33</v>
      </c>
      <c r="M5495" s="25">
        <v>9.6999999999999993</v>
      </c>
      <c r="N5495">
        <f t="shared" si="85"/>
        <v>0</v>
      </c>
    </row>
    <row r="5496" spans="1:14" x14ac:dyDescent="0.35">
      <c r="A5496" s="6" t="s">
        <v>5566</v>
      </c>
      <c r="B5496" s="19" t="s">
        <v>143</v>
      </c>
      <c r="C5496" s="19">
        <v>11</v>
      </c>
      <c r="D5496" s="20">
        <v>45976</v>
      </c>
      <c r="E5496" s="19" t="s">
        <v>13</v>
      </c>
      <c r="F5496" s="19" t="s">
        <v>26</v>
      </c>
      <c r="G5496" s="19" t="s">
        <v>31</v>
      </c>
      <c r="H5496" s="19" t="s">
        <v>16</v>
      </c>
      <c r="I5496" s="19">
        <v>24</v>
      </c>
      <c r="J5496" s="19">
        <v>0</v>
      </c>
      <c r="K5496" s="19">
        <v>5</v>
      </c>
      <c r="L5496" s="19" t="s">
        <v>75</v>
      </c>
      <c r="M5496" s="21"/>
      <c r="N5496">
        <f t="shared" si="85"/>
        <v>1</v>
      </c>
    </row>
    <row r="5497" spans="1:14" x14ac:dyDescent="0.35">
      <c r="A5497" s="22" t="s">
        <v>5567</v>
      </c>
      <c r="B5497" s="23" t="s">
        <v>89</v>
      </c>
      <c r="C5497" s="23">
        <v>6</v>
      </c>
      <c r="D5497" s="24">
        <v>45812</v>
      </c>
      <c r="E5497" s="23" t="s">
        <v>13</v>
      </c>
      <c r="F5497" s="23" t="s">
        <v>43</v>
      </c>
      <c r="G5497" s="23" t="s">
        <v>31</v>
      </c>
      <c r="H5497" s="23" t="s">
        <v>22</v>
      </c>
      <c r="I5497" s="23">
        <v>4</v>
      </c>
      <c r="J5497" s="23">
        <v>0</v>
      </c>
      <c r="K5497" s="23">
        <v>2</v>
      </c>
      <c r="L5497" s="23" t="s">
        <v>44</v>
      </c>
      <c r="M5497" s="25">
        <v>4.8</v>
      </c>
      <c r="N5497">
        <f t="shared" si="85"/>
        <v>0</v>
      </c>
    </row>
    <row r="5498" spans="1:14" x14ac:dyDescent="0.35">
      <c r="A5498" s="6" t="s">
        <v>5568</v>
      </c>
      <c r="B5498" s="19" t="s">
        <v>89</v>
      </c>
      <c r="C5498" s="19">
        <v>1</v>
      </c>
      <c r="D5498" s="20">
        <v>45677</v>
      </c>
      <c r="E5498" s="19" t="s">
        <v>13</v>
      </c>
      <c r="F5498" s="19" t="s">
        <v>14</v>
      </c>
      <c r="G5498" s="19" t="s">
        <v>27</v>
      </c>
      <c r="H5498" s="19" t="s">
        <v>8364</v>
      </c>
      <c r="I5498" s="19">
        <v>8</v>
      </c>
      <c r="J5498" s="19">
        <v>0</v>
      </c>
      <c r="K5498" s="19">
        <v>4</v>
      </c>
      <c r="L5498" s="19" t="s">
        <v>8363</v>
      </c>
      <c r="M5498" s="21">
        <v>27</v>
      </c>
      <c r="N5498">
        <f t="shared" si="85"/>
        <v>0</v>
      </c>
    </row>
    <row r="5499" spans="1:14" x14ac:dyDescent="0.35">
      <c r="A5499" s="22" t="s">
        <v>5569</v>
      </c>
      <c r="B5499" s="23" t="s">
        <v>39</v>
      </c>
      <c r="C5499" s="23">
        <v>6</v>
      </c>
      <c r="D5499" s="24">
        <v>45818</v>
      </c>
      <c r="E5499" s="23" t="s">
        <v>25</v>
      </c>
      <c r="F5499" s="23" t="s">
        <v>43</v>
      </c>
      <c r="G5499" s="23" t="s">
        <v>27</v>
      </c>
      <c r="H5499" s="23" t="s">
        <v>8364</v>
      </c>
      <c r="I5499" s="23">
        <v>48</v>
      </c>
      <c r="J5499" s="23">
        <v>1</v>
      </c>
      <c r="K5499" s="23">
        <v>4</v>
      </c>
      <c r="L5499" s="23" t="s">
        <v>33</v>
      </c>
      <c r="M5499" s="25">
        <v>16.399999999999999</v>
      </c>
      <c r="N5499">
        <f t="shared" si="85"/>
        <v>1</v>
      </c>
    </row>
    <row r="5500" spans="1:14" x14ac:dyDescent="0.35">
      <c r="A5500" s="6" t="s">
        <v>5570</v>
      </c>
      <c r="B5500" s="19" t="s">
        <v>143</v>
      </c>
      <c r="C5500" s="19">
        <v>4</v>
      </c>
      <c r="D5500" s="20">
        <v>45768</v>
      </c>
      <c r="E5500" s="19" t="s">
        <v>25</v>
      </c>
      <c r="F5500" s="19" t="s">
        <v>14</v>
      </c>
      <c r="G5500" s="19" t="s">
        <v>27</v>
      </c>
      <c r="H5500" s="19" t="s">
        <v>22</v>
      </c>
      <c r="I5500" s="19">
        <v>72</v>
      </c>
      <c r="J5500" s="19">
        <v>0</v>
      </c>
      <c r="K5500" s="19">
        <v>5</v>
      </c>
      <c r="L5500" s="19" t="s">
        <v>38</v>
      </c>
      <c r="M5500" s="21">
        <v>6.5</v>
      </c>
      <c r="N5500">
        <f t="shared" si="85"/>
        <v>1</v>
      </c>
    </row>
    <row r="5501" spans="1:14" x14ac:dyDescent="0.35">
      <c r="A5501" s="22" t="s">
        <v>5571</v>
      </c>
      <c r="B5501" s="23" t="s">
        <v>143</v>
      </c>
      <c r="C5501" s="23">
        <v>3</v>
      </c>
      <c r="D5501" s="24">
        <v>45721</v>
      </c>
      <c r="E5501" s="23" t="s">
        <v>25</v>
      </c>
      <c r="F5501" s="23" t="s">
        <v>43</v>
      </c>
      <c r="G5501" s="23" t="s">
        <v>15</v>
      </c>
      <c r="H5501" s="23" t="s">
        <v>22</v>
      </c>
      <c r="I5501" s="23">
        <v>48</v>
      </c>
      <c r="J5501" s="23">
        <v>0</v>
      </c>
      <c r="K5501" s="23">
        <v>3</v>
      </c>
      <c r="L5501" s="23" t="s">
        <v>8363</v>
      </c>
      <c r="M5501" s="25">
        <v>18.399999999999999</v>
      </c>
      <c r="N5501">
        <f t="shared" si="85"/>
        <v>1</v>
      </c>
    </row>
    <row r="5502" spans="1:14" x14ac:dyDescent="0.35">
      <c r="A5502" s="6" t="s">
        <v>5572</v>
      </c>
      <c r="B5502" s="19" t="s">
        <v>99</v>
      </c>
      <c r="C5502" s="19">
        <v>3</v>
      </c>
      <c r="D5502" s="20">
        <v>45747</v>
      </c>
      <c r="E5502" s="19" t="s">
        <v>13</v>
      </c>
      <c r="F5502" s="19" t="s">
        <v>37</v>
      </c>
      <c r="G5502" s="19" t="s">
        <v>27</v>
      </c>
      <c r="H5502" s="19" t="s">
        <v>8364</v>
      </c>
      <c r="I5502" s="19">
        <v>72</v>
      </c>
      <c r="J5502" s="19">
        <v>0</v>
      </c>
      <c r="K5502" s="19">
        <v>4</v>
      </c>
      <c r="L5502" s="19" t="s">
        <v>55</v>
      </c>
      <c r="M5502" s="21">
        <v>12.3</v>
      </c>
      <c r="N5502">
        <f t="shared" si="85"/>
        <v>1</v>
      </c>
    </row>
    <row r="5503" spans="1:14" x14ac:dyDescent="0.35">
      <c r="A5503" s="22" t="s">
        <v>5573</v>
      </c>
      <c r="B5503" s="23" t="s">
        <v>85</v>
      </c>
      <c r="C5503" s="23">
        <v>5</v>
      </c>
      <c r="D5503" s="24">
        <v>45795</v>
      </c>
      <c r="E5503" s="23" t="s">
        <v>13</v>
      </c>
      <c r="F5503" s="23" t="s">
        <v>14</v>
      </c>
      <c r="G5503" s="23" t="s">
        <v>31</v>
      </c>
      <c r="H5503" s="23" t="s">
        <v>22</v>
      </c>
      <c r="I5503" s="23">
        <v>72</v>
      </c>
      <c r="J5503" s="23">
        <v>0</v>
      </c>
      <c r="K5503" s="23">
        <v>4</v>
      </c>
      <c r="L5503" s="23" t="s">
        <v>44</v>
      </c>
      <c r="M5503" s="25"/>
      <c r="N5503">
        <f t="shared" si="85"/>
        <v>1</v>
      </c>
    </row>
    <row r="5504" spans="1:14" x14ac:dyDescent="0.35">
      <c r="A5504" s="6" t="s">
        <v>5574</v>
      </c>
      <c r="B5504" s="19" t="s">
        <v>236</v>
      </c>
      <c r="C5504" s="19">
        <v>7</v>
      </c>
      <c r="D5504" s="20">
        <v>45864</v>
      </c>
      <c r="E5504" s="19" t="s">
        <v>25</v>
      </c>
      <c r="F5504" s="19" t="s">
        <v>37</v>
      </c>
      <c r="G5504" s="19" t="s">
        <v>27</v>
      </c>
      <c r="H5504" s="19" t="s">
        <v>22</v>
      </c>
      <c r="I5504" s="19">
        <v>72</v>
      </c>
      <c r="J5504" s="19">
        <v>0</v>
      </c>
      <c r="K5504" s="19">
        <v>4</v>
      </c>
      <c r="L5504" s="19" t="s">
        <v>44</v>
      </c>
      <c r="M5504" s="21">
        <v>9.9</v>
      </c>
      <c r="N5504">
        <f t="shared" si="85"/>
        <v>1</v>
      </c>
    </row>
    <row r="5505" spans="1:14" x14ac:dyDescent="0.35">
      <c r="A5505" s="22" t="s">
        <v>5575</v>
      </c>
      <c r="B5505" s="23" t="s">
        <v>253</v>
      </c>
      <c r="C5505" s="23">
        <v>11</v>
      </c>
      <c r="D5505" s="24">
        <v>45981</v>
      </c>
      <c r="E5505" s="23" t="s">
        <v>13</v>
      </c>
      <c r="F5505" s="23" t="s">
        <v>40</v>
      </c>
      <c r="G5505" s="23" t="s">
        <v>27</v>
      </c>
      <c r="H5505" s="23" t="s">
        <v>28</v>
      </c>
      <c r="I5505" s="23">
        <v>8</v>
      </c>
      <c r="J5505" s="23">
        <v>0</v>
      </c>
      <c r="K5505" s="23">
        <v>2</v>
      </c>
      <c r="L5505" s="23" t="s">
        <v>62</v>
      </c>
      <c r="M5505" s="25">
        <v>6.7</v>
      </c>
      <c r="N5505">
        <f t="shared" si="85"/>
        <v>1</v>
      </c>
    </row>
    <row r="5506" spans="1:14" x14ac:dyDescent="0.35">
      <c r="A5506" s="6" t="s">
        <v>5576</v>
      </c>
      <c r="B5506" s="19" t="s">
        <v>65</v>
      </c>
      <c r="C5506" s="19">
        <v>12</v>
      </c>
      <c r="D5506" s="20">
        <v>46014</v>
      </c>
      <c r="E5506" s="19" t="s">
        <v>36</v>
      </c>
      <c r="F5506" s="19" t="s">
        <v>40</v>
      </c>
      <c r="G5506" s="19" t="s">
        <v>27</v>
      </c>
      <c r="H5506" s="19" t="s">
        <v>22</v>
      </c>
      <c r="I5506" s="19">
        <v>72</v>
      </c>
      <c r="J5506" s="19">
        <v>1</v>
      </c>
      <c r="K5506" s="19">
        <v>1</v>
      </c>
      <c r="L5506" s="19" t="s">
        <v>62</v>
      </c>
      <c r="M5506" s="21">
        <v>26.5</v>
      </c>
      <c r="N5506">
        <f t="shared" si="85"/>
        <v>1</v>
      </c>
    </row>
    <row r="5507" spans="1:14" x14ac:dyDescent="0.35">
      <c r="A5507" s="22" t="s">
        <v>5577</v>
      </c>
      <c r="B5507" s="23" t="s">
        <v>47</v>
      </c>
      <c r="C5507" s="23">
        <v>6</v>
      </c>
      <c r="D5507" s="24">
        <v>45834</v>
      </c>
      <c r="E5507" s="23" t="s">
        <v>8364</v>
      </c>
      <c r="F5507" s="23" t="s">
        <v>43</v>
      </c>
      <c r="G5507" s="23" t="s">
        <v>21</v>
      </c>
      <c r="H5507" s="23" t="s">
        <v>22</v>
      </c>
      <c r="I5507" s="23">
        <v>8</v>
      </c>
      <c r="J5507" s="23">
        <v>0</v>
      </c>
      <c r="K5507" s="23">
        <v>1</v>
      </c>
      <c r="L5507" s="23" t="s">
        <v>55</v>
      </c>
      <c r="M5507" s="25">
        <v>12.5</v>
      </c>
      <c r="N5507">
        <f t="shared" ref="N5507:N5570" si="86">IF(M5507 &lt;= I5507, 1, 0)</f>
        <v>0</v>
      </c>
    </row>
    <row r="5508" spans="1:14" x14ac:dyDescent="0.35">
      <c r="A5508" s="6" t="s">
        <v>5578</v>
      </c>
      <c r="B5508" s="19" t="s">
        <v>97</v>
      </c>
      <c r="C5508" s="19">
        <v>10</v>
      </c>
      <c r="D5508" s="20">
        <v>45950</v>
      </c>
      <c r="E5508" s="19" t="s">
        <v>25</v>
      </c>
      <c r="F5508" s="19" t="s">
        <v>37</v>
      </c>
      <c r="G5508" s="19" t="s">
        <v>15</v>
      </c>
      <c r="H5508" s="19" t="s">
        <v>8364</v>
      </c>
      <c r="I5508" s="19">
        <v>24</v>
      </c>
      <c r="J5508" s="19">
        <v>0</v>
      </c>
      <c r="K5508" s="19">
        <v>4</v>
      </c>
      <c r="L5508" s="19" t="s">
        <v>55</v>
      </c>
      <c r="M5508" s="21">
        <v>5.0999999999999996</v>
      </c>
      <c r="N5508">
        <f t="shared" si="86"/>
        <v>1</v>
      </c>
    </row>
    <row r="5509" spans="1:14" x14ac:dyDescent="0.35">
      <c r="A5509" s="22" t="s">
        <v>5579</v>
      </c>
      <c r="B5509" s="23" t="s">
        <v>87</v>
      </c>
      <c r="C5509" s="23">
        <v>7</v>
      </c>
      <c r="D5509" s="24">
        <v>45853</v>
      </c>
      <c r="E5509" s="23" t="s">
        <v>68</v>
      </c>
      <c r="F5509" s="23" t="s">
        <v>43</v>
      </c>
      <c r="G5509" s="23" t="s">
        <v>31</v>
      </c>
      <c r="H5509" s="23" t="s">
        <v>22</v>
      </c>
      <c r="I5509" s="23">
        <v>8</v>
      </c>
      <c r="J5509" s="23">
        <v>0</v>
      </c>
      <c r="K5509" s="23"/>
      <c r="L5509" s="23" t="s">
        <v>44</v>
      </c>
      <c r="M5509" s="25">
        <v>15.1</v>
      </c>
      <c r="N5509">
        <f t="shared" si="86"/>
        <v>0</v>
      </c>
    </row>
    <row r="5510" spans="1:14" x14ac:dyDescent="0.35">
      <c r="A5510" s="6" t="s">
        <v>5580</v>
      </c>
      <c r="B5510" s="19" t="s">
        <v>69</v>
      </c>
      <c r="C5510" s="19">
        <v>4</v>
      </c>
      <c r="D5510" s="20">
        <v>45749</v>
      </c>
      <c r="E5510" s="19" t="s">
        <v>68</v>
      </c>
      <c r="F5510" s="19" t="s">
        <v>59</v>
      </c>
      <c r="G5510" s="19" t="s">
        <v>15</v>
      </c>
      <c r="H5510" s="19" t="s">
        <v>28</v>
      </c>
      <c r="I5510" s="19">
        <v>48</v>
      </c>
      <c r="J5510" s="19">
        <v>0</v>
      </c>
      <c r="K5510" s="19">
        <v>5</v>
      </c>
      <c r="L5510" s="19" t="s">
        <v>62</v>
      </c>
      <c r="M5510" s="21">
        <v>29</v>
      </c>
      <c r="N5510">
        <f t="shared" si="86"/>
        <v>1</v>
      </c>
    </row>
    <row r="5511" spans="1:14" x14ac:dyDescent="0.35">
      <c r="A5511" s="22" t="s">
        <v>5581</v>
      </c>
      <c r="B5511" s="23" t="s">
        <v>158</v>
      </c>
      <c r="C5511" s="23">
        <v>5</v>
      </c>
      <c r="D5511" s="24">
        <v>45796</v>
      </c>
      <c r="E5511" s="23" t="s">
        <v>13</v>
      </c>
      <c r="F5511" s="23" t="s">
        <v>43</v>
      </c>
      <c r="G5511" s="23" t="s">
        <v>27</v>
      </c>
      <c r="H5511" s="23" t="s">
        <v>32</v>
      </c>
      <c r="I5511" s="23">
        <v>72</v>
      </c>
      <c r="J5511" s="23">
        <v>0</v>
      </c>
      <c r="K5511" s="23">
        <v>5</v>
      </c>
      <c r="L5511" s="23" t="s">
        <v>62</v>
      </c>
      <c r="M5511" s="25">
        <v>16.2</v>
      </c>
      <c r="N5511">
        <f t="shared" si="86"/>
        <v>1</v>
      </c>
    </row>
    <row r="5512" spans="1:14" x14ac:dyDescent="0.35">
      <c r="A5512" s="6" t="s">
        <v>5582</v>
      </c>
      <c r="B5512" s="19" t="s">
        <v>139</v>
      </c>
      <c r="C5512" s="19"/>
      <c r="D5512" s="20"/>
      <c r="E5512" s="19" t="s">
        <v>20</v>
      </c>
      <c r="F5512" s="19" t="s">
        <v>8364</v>
      </c>
      <c r="G5512" s="19" t="s">
        <v>21</v>
      </c>
      <c r="H5512" s="19" t="s">
        <v>28</v>
      </c>
      <c r="I5512" s="19">
        <v>4</v>
      </c>
      <c r="J5512" s="19">
        <v>0</v>
      </c>
      <c r="K5512" s="19">
        <v>3</v>
      </c>
      <c r="L5512" s="19" t="s">
        <v>44</v>
      </c>
      <c r="M5512" s="21">
        <v>8</v>
      </c>
      <c r="N5512">
        <f t="shared" si="86"/>
        <v>0</v>
      </c>
    </row>
    <row r="5513" spans="1:14" x14ac:dyDescent="0.35">
      <c r="A5513" s="22" t="s">
        <v>5583</v>
      </c>
      <c r="B5513" s="23" t="s">
        <v>18</v>
      </c>
      <c r="C5513" s="23">
        <v>5</v>
      </c>
      <c r="D5513" s="24">
        <v>45793</v>
      </c>
      <c r="E5513" s="23" t="s">
        <v>36</v>
      </c>
      <c r="F5513" s="23" t="s">
        <v>40</v>
      </c>
      <c r="G5513" s="23" t="s">
        <v>8364</v>
      </c>
      <c r="H5513" s="23" t="s">
        <v>8364</v>
      </c>
      <c r="I5513" s="23">
        <v>72</v>
      </c>
      <c r="J5513" s="23">
        <v>0</v>
      </c>
      <c r="K5513" s="23">
        <v>4</v>
      </c>
      <c r="L5513" s="23" t="s">
        <v>44</v>
      </c>
      <c r="M5513" s="25"/>
      <c r="N5513">
        <f t="shared" si="86"/>
        <v>1</v>
      </c>
    </row>
    <row r="5514" spans="1:14" x14ac:dyDescent="0.35">
      <c r="A5514" s="6" t="s">
        <v>5584</v>
      </c>
      <c r="B5514" s="19" t="s">
        <v>126</v>
      </c>
      <c r="C5514" s="19"/>
      <c r="D5514" s="20"/>
      <c r="E5514" s="19" t="s">
        <v>20</v>
      </c>
      <c r="F5514" s="19" t="s">
        <v>43</v>
      </c>
      <c r="G5514" s="19" t="s">
        <v>31</v>
      </c>
      <c r="H5514" s="19" t="s">
        <v>16</v>
      </c>
      <c r="I5514" s="19">
        <v>4</v>
      </c>
      <c r="J5514" s="19">
        <v>0</v>
      </c>
      <c r="K5514" s="19">
        <v>2</v>
      </c>
      <c r="L5514" s="19" t="s">
        <v>17</v>
      </c>
      <c r="M5514" s="21"/>
      <c r="N5514">
        <f t="shared" si="86"/>
        <v>1</v>
      </c>
    </row>
    <row r="5515" spans="1:14" x14ac:dyDescent="0.35">
      <c r="A5515" s="22" t="s">
        <v>5585</v>
      </c>
      <c r="B5515" s="23" t="s">
        <v>126</v>
      </c>
      <c r="C5515" s="23">
        <v>7</v>
      </c>
      <c r="D5515" s="24">
        <v>45856</v>
      </c>
      <c r="E5515" s="23" t="s">
        <v>13</v>
      </c>
      <c r="F5515" s="23" t="s">
        <v>40</v>
      </c>
      <c r="G5515" s="23" t="s">
        <v>31</v>
      </c>
      <c r="H5515" s="23" t="s">
        <v>22</v>
      </c>
      <c r="I5515" s="23">
        <v>48</v>
      </c>
      <c r="J5515" s="23">
        <v>1</v>
      </c>
      <c r="K5515" s="23">
        <v>3</v>
      </c>
      <c r="L5515" s="23" t="s">
        <v>75</v>
      </c>
      <c r="M5515" s="25">
        <v>6.5</v>
      </c>
      <c r="N5515">
        <f t="shared" si="86"/>
        <v>1</v>
      </c>
    </row>
    <row r="5516" spans="1:14" x14ac:dyDescent="0.35">
      <c r="A5516" s="6" t="s">
        <v>5586</v>
      </c>
      <c r="B5516" s="19" t="s">
        <v>87</v>
      </c>
      <c r="C5516" s="19">
        <v>10</v>
      </c>
      <c r="D5516" s="20">
        <v>45941</v>
      </c>
      <c r="E5516" s="19" t="s">
        <v>36</v>
      </c>
      <c r="F5516" s="19" t="s">
        <v>43</v>
      </c>
      <c r="G5516" s="19" t="s">
        <v>31</v>
      </c>
      <c r="H5516" s="19" t="s">
        <v>8364</v>
      </c>
      <c r="I5516" s="19">
        <v>48</v>
      </c>
      <c r="J5516" s="19">
        <v>0</v>
      </c>
      <c r="K5516" s="19">
        <v>3</v>
      </c>
      <c r="L5516" s="19" t="s">
        <v>55</v>
      </c>
      <c r="M5516" s="21">
        <v>9.3000000000000007</v>
      </c>
      <c r="N5516">
        <f t="shared" si="86"/>
        <v>1</v>
      </c>
    </row>
    <row r="5517" spans="1:14" x14ac:dyDescent="0.35">
      <c r="A5517" s="22" t="s">
        <v>5587</v>
      </c>
      <c r="B5517" s="23" t="s">
        <v>143</v>
      </c>
      <c r="C5517" s="23">
        <v>1</v>
      </c>
      <c r="D5517" s="24">
        <v>45671</v>
      </c>
      <c r="E5517" s="23" t="s">
        <v>68</v>
      </c>
      <c r="F5517" s="23" t="s">
        <v>40</v>
      </c>
      <c r="G5517" s="23" t="s">
        <v>27</v>
      </c>
      <c r="H5517" s="23" t="s">
        <v>32</v>
      </c>
      <c r="I5517" s="23">
        <v>8</v>
      </c>
      <c r="J5517" s="23"/>
      <c r="K5517" s="23">
        <v>2</v>
      </c>
      <c r="L5517" s="23" t="s">
        <v>17</v>
      </c>
      <c r="M5517" s="25">
        <v>22</v>
      </c>
      <c r="N5517">
        <f t="shared" si="86"/>
        <v>0</v>
      </c>
    </row>
    <row r="5518" spans="1:14" x14ac:dyDescent="0.35">
      <c r="A5518" s="6" t="s">
        <v>5588</v>
      </c>
      <c r="B5518" s="19" t="s">
        <v>29</v>
      </c>
      <c r="C5518" s="19">
        <v>11</v>
      </c>
      <c r="D5518" s="20">
        <v>45969</v>
      </c>
      <c r="E5518" s="19" t="s">
        <v>20</v>
      </c>
      <c r="F5518" s="19" t="s">
        <v>14</v>
      </c>
      <c r="G5518" s="19" t="s">
        <v>31</v>
      </c>
      <c r="H5518" s="19" t="s">
        <v>22</v>
      </c>
      <c r="I5518" s="19">
        <v>72</v>
      </c>
      <c r="J5518" s="19">
        <v>0</v>
      </c>
      <c r="K5518" s="19">
        <v>4</v>
      </c>
      <c r="L5518" s="19" t="s">
        <v>44</v>
      </c>
      <c r="M5518" s="21">
        <v>2.8</v>
      </c>
      <c r="N5518">
        <f t="shared" si="86"/>
        <v>1</v>
      </c>
    </row>
    <row r="5519" spans="1:14" x14ac:dyDescent="0.35">
      <c r="A5519" s="22" t="s">
        <v>5589</v>
      </c>
      <c r="B5519" s="23" t="s">
        <v>104</v>
      </c>
      <c r="C5519" s="23">
        <v>6</v>
      </c>
      <c r="D5519" s="24">
        <v>45813</v>
      </c>
      <c r="E5519" s="23" t="s">
        <v>68</v>
      </c>
      <c r="F5519" s="23" t="s">
        <v>43</v>
      </c>
      <c r="G5519" s="23" t="s">
        <v>15</v>
      </c>
      <c r="H5519" s="23" t="s">
        <v>28</v>
      </c>
      <c r="I5519" s="23">
        <v>24</v>
      </c>
      <c r="J5519" s="23">
        <v>0</v>
      </c>
      <c r="K5519" s="23">
        <v>5</v>
      </c>
      <c r="L5519" s="23" t="s">
        <v>62</v>
      </c>
      <c r="M5519" s="25">
        <v>14</v>
      </c>
      <c r="N5519">
        <f t="shared" si="86"/>
        <v>1</v>
      </c>
    </row>
    <row r="5520" spans="1:14" x14ac:dyDescent="0.35">
      <c r="A5520" s="6" t="s">
        <v>5590</v>
      </c>
      <c r="B5520" s="19" t="s">
        <v>69</v>
      </c>
      <c r="C5520" s="19">
        <v>7</v>
      </c>
      <c r="D5520" s="20">
        <v>45845</v>
      </c>
      <c r="E5520" s="19" t="s">
        <v>25</v>
      </c>
      <c r="F5520" s="19" t="s">
        <v>8364</v>
      </c>
      <c r="G5520" s="19" t="s">
        <v>15</v>
      </c>
      <c r="H5520" s="19" t="s">
        <v>22</v>
      </c>
      <c r="I5520" s="19">
        <v>48</v>
      </c>
      <c r="J5520" s="19">
        <v>0</v>
      </c>
      <c r="K5520" s="19">
        <v>5</v>
      </c>
      <c r="L5520" s="19" t="s">
        <v>8363</v>
      </c>
      <c r="M5520" s="21">
        <v>6.1</v>
      </c>
      <c r="N5520">
        <f t="shared" si="86"/>
        <v>1</v>
      </c>
    </row>
    <row r="5521" spans="1:14" x14ac:dyDescent="0.35">
      <c r="A5521" s="22" t="s">
        <v>5591</v>
      </c>
      <c r="B5521" s="23" t="s">
        <v>69</v>
      </c>
      <c r="C5521" s="23">
        <v>12</v>
      </c>
      <c r="D5521" s="24">
        <v>46001</v>
      </c>
      <c r="E5521" s="23" t="s">
        <v>36</v>
      </c>
      <c r="F5521" s="23" t="s">
        <v>59</v>
      </c>
      <c r="G5521" s="23" t="s">
        <v>31</v>
      </c>
      <c r="H5521" s="23" t="s">
        <v>28</v>
      </c>
      <c r="I5521" s="23">
        <v>8</v>
      </c>
      <c r="J5521" s="23">
        <v>0</v>
      </c>
      <c r="K5521" s="23">
        <v>2</v>
      </c>
      <c r="L5521" s="23" t="s">
        <v>33</v>
      </c>
      <c r="M5521" s="25">
        <v>3.7</v>
      </c>
      <c r="N5521">
        <f t="shared" si="86"/>
        <v>1</v>
      </c>
    </row>
    <row r="5522" spans="1:14" x14ac:dyDescent="0.35">
      <c r="A5522" s="6" t="s">
        <v>5592</v>
      </c>
      <c r="B5522" s="19" t="s">
        <v>139</v>
      </c>
      <c r="C5522" s="19">
        <v>7</v>
      </c>
      <c r="D5522" s="20">
        <v>45864</v>
      </c>
      <c r="E5522" s="19" t="s">
        <v>8364</v>
      </c>
      <c r="F5522" s="19" t="s">
        <v>14</v>
      </c>
      <c r="G5522" s="19" t="s">
        <v>31</v>
      </c>
      <c r="H5522" s="19" t="s">
        <v>22</v>
      </c>
      <c r="I5522" s="19">
        <v>8</v>
      </c>
      <c r="J5522" s="19">
        <v>0</v>
      </c>
      <c r="K5522" s="19">
        <v>2</v>
      </c>
      <c r="L5522" s="19" t="s">
        <v>17</v>
      </c>
      <c r="M5522" s="21">
        <v>26.7</v>
      </c>
      <c r="N5522">
        <f t="shared" si="86"/>
        <v>0</v>
      </c>
    </row>
    <row r="5523" spans="1:14" x14ac:dyDescent="0.35">
      <c r="A5523" s="22" t="s">
        <v>5593</v>
      </c>
      <c r="B5523" s="23" t="s">
        <v>39</v>
      </c>
      <c r="C5523" s="23">
        <v>5</v>
      </c>
      <c r="D5523" s="24">
        <v>45791</v>
      </c>
      <c r="E5523" s="23" t="s">
        <v>13</v>
      </c>
      <c r="F5523" s="23" t="s">
        <v>59</v>
      </c>
      <c r="G5523" s="23" t="s">
        <v>21</v>
      </c>
      <c r="H5523" s="23" t="s">
        <v>32</v>
      </c>
      <c r="I5523" s="23">
        <v>8</v>
      </c>
      <c r="J5523" s="23">
        <v>0</v>
      </c>
      <c r="K5523" s="23">
        <v>3</v>
      </c>
      <c r="L5523" s="23" t="s">
        <v>55</v>
      </c>
      <c r="M5523" s="25">
        <v>4.2</v>
      </c>
      <c r="N5523">
        <f t="shared" si="86"/>
        <v>1</v>
      </c>
    </row>
    <row r="5524" spans="1:14" x14ac:dyDescent="0.35">
      <c r="A5524" s="6" t="s">
        <v>5594</v>
      </c>
      <c r="B5524" s="19" t="s">
        <v>89</v>
      </c>
      <c r="C5524" s="19"/>
      <c r="D5524" s="20"/>
      <c r="E5524" s="19" t="s">
        <v>20</v>
      </c>
      <c r="F5524" s="19" t="s">
        <v>40</v>
      </c>
      <c r="G5524" s="19" t="s">
        <v>8364</v>
      </c>
      <c r="H5524" s="19" t="s">
        <v>28</v>
      </c>
      <c r="I5524" s="19">
        <v>72</v>
      </c>
      <c r="J5524" s="19">
        <v>0</v>
      </c>
      <c r="K5524" s="19">
        <v>5</v>
      </c>
      <c r="L5524" s="19" t="s">
        <v>75</v>
      </c>
      <c r="M5524" s="21">
        <v>5.7</v>
      </c>
      <c r="N5524">
        <f t="shared" si="86"/>
        <v>1</v>
      </c>
    </row>
    <row r="5525" spans="1:14" x14ac:dyDescent="0.35">
      <c r="A5525" s="22" t="s">
        <v>5595</v>
      </c>
      <c r="B5525" s="23" t="s">
        <v>139</v>
      </c>
      <c r="C5525" s="23">
        <v>12</v>
      </c>
      <c r="D5525" s="24">
        <v>46000</v>
      </c>
      <c r="E5525" s="23" t="s">
        <v>20</v>
      </c>
      <c r="F5525" s="23" t="s">
        <v>26</v>
      </c>
      <c r="G5525" s="23" t="s">
        <v>31</v>
      </c>
      <c r="H5525" s="23" t="s">
        <v>28</v>
      </c>
      <c r="I5525" s="23">
        <v>24</v>
      </c>
      <c r="J5525" s="23">
        <v>0</v>
      </c>
      <c r="K5525" s="23">
        <v>4</v>
      </c>
      <c r="L5525" s="23" t="s">
        <v>8363</v>
      </c>
      <c r="M5525" s="25">
        <v>8.3000000000000007</v>
      </c>
      <c r="N5525">
        <f t="shared" si="86"/>
        <v>1</v>
      </c>
    </row>
    <row r="5526" spans="1:14" x14ac:dyDescent="0.35">
      <c r="A5526" s="6" t="s">
        <v>5596</v>
      </c>
      <c r="B5526" s="19" t="s">
        <v>49</v>
      </c>
      <c r="C5526" s="19">
        <v>5</v>
      </c>
      <c r="D5526" s="20">
        <v>45807</v>
      </c>
      <c r="E5526" s="19" t="s">
        <v>13</v>
      </c>
      <c r="F5526" s="19" t="s">
        <v>26</v>
      </c>
      <c r="G5526" s="19" t="s">
        <v>27</v>
      </c>
      <c r="H5526" s="19" t="s">
        <v>22</v>
      </c>
      <c r="I5526" s="19">
        <v>24</v>
      </c>
      <c r="J5526" s="19">
        <v>0</v>
      </c>
      <c r="K5526" s="19">
        <v>3</v>
      </c>
      <c r="L5526" s="19" t="s">
        <v>8363</v>
      </c>
      <c r="M5526" s="21">
        <v>7.6</v>
      </c>
      <c r="N5526">
        <f t="shared" si="86"/>
        <v>1</v>
      </c>
    </row>
    <row r="5527" spans="1:14" x14ac:dyDescent="0.35">
      <c r="A5527" s="22" t="s">
        <v>5597</v>
      </c>
      <c r="B5527" s="23" t="s">
        <v>57</v>
      </c>
      <c r="C5527" s="23"/>
      <c r="D5527" s="24"/>
      <c r="E5527" s="23" t="s">
        <v>68</v>
      </c>
      <c r="F5527" s="23" t="s">
        <v>37</v>
      </c>
      <c r="G5527" s="23" t="s">
        <v>15</v>
      </c>
      <c r="H5527" s="23" t="s">
        <v>22</v>
      </c>
      <c r="I5527" s="23">
        <v>24</v>
      </c>
      <c r="J5527" s="23">
        <v>0</v>
      </c>
      <c r="K5527" s="23">
        <v>1</v>
      </c>
      <c r="L5527" s="23" t="s">
        <v>33</v>
      </c>
      <c r="M5527" s="25">
        <v>17.7</v>
      </c>
      <c r="N5527">
        <f t="shared" si="86"/>
        <v>1</v>
      </c>
    </row>
    <row r="5528" spans="1:14" x14ac:dyDescent="0.35">
      <c r="A5528" s="6" t="s">
        <v>5598</v>
      </c>
      <c r="B5528" s="19" t="s">
        <v>49</v>
      </c>
      <c r="C5528" s="19">
        <v>8</v>
      </c>
      <c r="D5528" s="20">
        <v>45882</v>
      </c>
      <c r="E5528" s="19" t="s">
        <v>36</v>
      </c>
      <c r="F5528" s="19" t="s">
        <v>37</v>
      </c>
      <c r="G5528" s="19" t="s">
        <v>31</v>
      </c>
      <c r="H5528" s="19" t="s">
        <v>32</v>
      </c>
      <c r="I5528" s="19">
        <v>4</v>
      </c>
      <c r="J5528" s="19">
        <v>0</v>
      </c>
      <c r="K5528" s="19">
        <v>3</v>
      </c>
      <c r="L5528" s="19" t="s">
        <v>38</v>
      </c>
      <c r="M5528" s="21">
        <v>4.7</v>
      </c>
      <c r="N5528">
        <f t="shared" si="86"/>
        <v>0</v>
      </c>
    </row>
    <row r="5529" spans="1:14" x14ac:dyDescent="0.35">
      <c r="A5529" s="22" t="s">
        <v>5599</v>
      </c>
      <c r="B5529" s="23" t="s">
        <v>53</v>
      </c>
      <c r="C5529" s="23"/>
      <c r="D5529" s="24"/>
      <c r="E5529" s="23" t="s">
        <v>20</v>
      </c>
      <c r="F5529" s="23" t="s">
        <v>8364</v>
      </c>
      <c r="G5529" s="23" t="s">
        <v>21</v>
      </c>
      <c r="H5529" s="23" t="s">
        <v>22</v>
      </c>
      <c r="I5529" s="23">
        <v>72</v>
      </c>
      <c r="J5529" s="23">
        <v>0</v>
      </c>
      <c r="K5529" s="23">
        <v>3</v>
      </c>
      <c r="L5529" s="23" t="s">
        <v>38</v>
      </c>
      <c r="M5529" s="25">
        <v>22.3</v>
      </c>
      <c r="N5529">
        <f t="shared" si="86"/>
        <v>1</v>
      </c>
    </row>
    <row r="5530" spans="1:14" x14ac:dyDescent="0.35">
      <c r="A5530" s="6" t="s">
        <v>5600</v>
      </c>
      <c r="B5530" s="19" t="s">
        <v>72</v>
      </c>
      <c r="C5530" s="19">
        <v>9</v>
      </c>
      <c r="D5530" s="20">
        <v>45928</v>
      </c>
      <c r="E5530" s="19" t="s">
        <v>13</v>
      </c>
      <c r="F5530" s="19" t="s">
        <v>40</v>
      </c>
      <c r="G5530" s="19" t="s">
        <v>21</v>
      </c>
      <c r="H5530" s="19" t="s">
        <v>32</v>
      </c>
      <c r="I5530" s="19">
        <v>24</v>
      </c>
      <c r="J5530" s="19">
        <v>0</v>
      </c>
      <c r="K5530" s="19">
        <v>1</v>
      </c>
      <c r="L5530" s="19" t="s">
        <v>38</v>
      </c>
      <c r="M5530" s="21">
        <v>15.7</v>
      </c>
      <c r="N5530">
        <f t="shared" si="86"/>
        <v>1</v>
      </c>
    </row>
    <row r="5531" spans="1:14" x14ac:dyDescent="0.35">
      <c r="A5531" s="22" t="s">
        <v>5601</v>
      </c>
      <c r="B5531" s="23" t="s">
        <v>236</v>
      </c>
      <c r="C5531" s="23"/>
      <c r="D5531" s="24"/>
      <c r="E5531" s="23" t="s">
        <v>13</v>
      </c>
      <c r="F5531" s="23" t="s">
        <v>14</v>
      </c>
      <c r="G5531" s="23" t="s">
        <v>31</v>
      </c>
      <c r="H5531" s="23" t="s">
        <v>22</v>
      </c>
      <c r="I5531" s="23">
        <v>8</v>
      </c>
      <c r="J5531" s="23">
        <v>0</v>
      </c>
      <c r="K5531" s="23">
        <v>5</v>
      </c>
      <c r="L5531" s="23" t="s">
        <v>75</v>
      </c>
      <c r="M5531" s="25"/>
      <c r="N5531">
        <f t="shared" si="86"/>
        <v>1</v>
      </c>
    </row>
    <row r="5532" spans="1:14" x14ac:dyDescent="0.35">
      <c r="A5532" s="6" t="s">
        <v>5602</v>
      </c>
      <c r="B5532" s="19" t="s">
        <v>143</v>
      </c>
      <c r="C5532" s="19"/>
      <c r="D5532" s="20"/>
      <c r="E5532" s="19" t="s">
        <v>36</v>
      </c>
      <c r="F5532" s="19" t="s">
        <v>14</v>
      </c>
      <c r="G5532" s="19" t="s">
        <v>27</v>
      </c>
      <c r="H5532" s="19" t="s">
        <v>22</v>
      </c>
      <c r="I5532" s="19">
        <v>4</v>
      </c>
      <c r="J5532" s="19">
        <v>3</v>
      </c>
      <c r="K5532" s="19">
        <v>5</v>
      </c>
      <c r="L5532" s="19" t="s">
        <v>75</v>
      </c>
      <c r="M5532" s="21">
        <v>13.7</v>
      </c>
      <c r="N5532">
        <f t="shared" si="86"/>
        <v>0</v>
      </c>
    </row>
    <row r="5533" spans="1:14" x14ac:dyDescent="0.35">
      <c r="A5533" s="22" t="s">
        <v>5603</v>
      </c>
      <c r="B5533" s="23" t="s">
        <v>81</v>
      </c>
      <c r="C5533" s="23">
        <v>4</v>
      </c>
      <c r="D5533" s="24">
        <v>45753</v>
      </c>
      <c r="E5533" s="23" t="s">
        <v>25</v>
      </c>
      <c r="F5533" s="23" t="s">
        <v>37</v>
      </c>
      <c r="G5533" s="23" t="s">
        <v>27</v>
      </c>
      <c r="H5533" s="23" t="s">
        <v>22</v>
      </c>
      <c r="I5533" s="23">
        <v>24</v>
      </c>
      <c r="J5533" s="23">
        <v>0</v>
      </c>
      <c r="K5533" s="23"/>
      <c r="L5533" s="23" t="s">
        <v>17</v>
      </c>
      <c r="M5533" s="25">
        <v>14.8</v>
      </c>
      <c r="N5533">
        <f t="shared" si="86"/>
        <v>1</v>
      </c>
    </row>
    <row r="5534" spans="1:14" x14ac:dyDescent="0.35">
      <c r="A5534" s="6" t="s">
        <v>5604</v>
      </c>
      <c r="B5534" s="19" t="s">
        <v>47</v>
      </c>
      <c r="C5534" s="19">
        <v>11</v>
      </c>
      <c r="D5534" s="20">
        <v>45970</v>
      </c>
      <c r="E5534" s="19" t="s">
        <v>25</v>
      </c>
      <c r="F5534" s="19" t="s">
        <v>40</v>
      </c>
      <c r="G5534" s="19" t="s">
        <v>8364</v>
      </c>
      <c r="H5534" s="19" t="s">
        <v>22</v>
      </c>
      <c r="I5534" s="19">
        <v>8</v>
      </c>
      <c r="J5534" s="19">
        <v>1</v>
      </c>
      <c r="K5534" s="19">
        <v>5</v>
      </c>
      <c r="L5534" s="19" t="s">
        <v>8363</v>
      </c>
      <c r="M5534" s="21">
        <v>18</v>
      </c>
      <c r="N5534">
        <f t="shared" si="86"/>
        <v>0</v>
      </c>
    </row>
    <row r="5535" spans="1:14" x14ac:dyDescent="0.35">
      <c r="A5535" s="22" t="s">
        <v>5605</v>
      </c>
      <c r="B5535" s="23" t="s">
        <v>72</v>
      </c>
      <c r="C5535" s="23">
        <v>8</v>
      </c>
      <c r="D5535" s="24">
        <v>45878</v>
      </c>
      <c r="E5535" s="23" t="s">
        <v>68</v>
      </c>
      <c r="F5535" s="23" t="s">
        <v>43</v>
      </c>
      <c r="G5535" s="23" t="s">
        <v>31</v>
      </c>
      <c r="H5535" s="23" t="s">
        <v>28</v>
      </c>
      <c r="I5535" s="23">
        <v>4</v>
      </c>
      <c r="J5535" s="23">
        <v>0</v>
      </c>
      <c r="K5535" s="23">
        <v>3</v>
      </c>
      <c r="L5535" s="23" t="s">
        <v>8363</v>
      </c>
      <c r="M5535" s="25">
        <v>3.9</v>
      </c>
      <c r="N5535">
        <f t="shared" si="86"/>
        <v>1</v>
      </c>
    </row>
    <row r="5536" spans="1:14" x14ac:dyDescent="0.35">
      <c r="A5536" s="6" t="s">
        <v>5606</v>
      </c>
      <c r="B5536" s="19" t="s">
        <v>34</v>
      </c>
      <c r="C5536" s="19">
        <v>8</v>
      </c>
      <c r="D5536" s="20">
        <v>45876</v>
      </c>
      <c r="E5536" s="19" t="s">
        <v>68</v>
      </c>
      <c r="F5536" s="19" t="s">
        <v>14</v>
      </c>
      <c r="G5536" s="19" t="s">
        <v>31</v>
      </c>
      <c r="H5536" s="19" t="s">
        <v>22</v>
      </c>
      <c r="I5536" s="19">
        <v>4</v>
      </c>
      <c r="J5536" s="19">
        <v>1</v>
      </c>
      <c r="K5536" s="19">
        <v>4</v>
      </c>
      <c r="L5536" s="19" t="s">
        <v>8363</v>
      </c>
      <c r="M5536" s="21">
        <v>16.100000000000001</v>
      </c>
      <c r="N5536">
        <f t="shared" si="86"/>
        <v>0</v>
      </c>
    </row>
    <row r="5537" spans="1:14" x14ac:dyDescent="0.35">
      <c r="A5537" s="22" t="s">
        <v>5607</v>
      </c>
      <c r="B5537" s="23" t="s">
        <v>139</v>
      </c>
      <c r="C5537" s="23"/>
      <c r="D5537" s="24"/>
      <c r="E5537" s="23" t="s">
        <v>25</v>
      </c>
      <c r="F5537" s="23" t="s">
        <v>14</v>
      </c>
      <c r="G5537" s="23" t="s">
        <v>31</v>
      </c>
      <c r="H5537" s="23" t="s">
        <v>22</v>
      </c>
      <c r="I5537" s="23">
        <v>72</v>
      </c>
      <c r="J5537" s="23">
        <v>0</v>
      </c>
      <c r="K5537" s="23">
        <v>4</v>
      </c>
      <c r="L5537" s="23" t="s">
        <v>55</v>
      </c>
      <c r="M5537" s="25">
        <v>5.2</v>
      </c>
      <c r="N5537">
        <f t="shared" si="86"/>
        <v>1</v>
      </c>
    </row>
    <row r="5538" spans="1:14" x14ac:dyDescent="0.35">
      <c r="A5538" s="6" t="s">
        <v>5608</v>
      </c>
      <c r="B5538" s="19" t="s">
        <v>69</v>
      </c>
      <c r="C5538" s="19">
        <v>3</v>
      </c>
      <c r="D5538" s="20">
        <v>45735</v>
      </c>
      <c r="E5538" s="19" t="s">
        <v>8364</v>
      </c>
      <c r="F5538" s="19" t="s">
        <v>26</v>
      </c>
      <c r="G5538" s="19" t="s">
        <v>21</v>
      </c>
      <c r="H5538" s="19" t="s">
        <v>32</v>
      </c>
      <c r="I5538" s="19">
        <v>72</v>
      </c>
      <c r="J5538" s="19">
        <v>1</v>
      </c>
      <c r="K5538" s="19">
        <v>5</v>
      </c>
      <c r="L5538" s="19" t="s">
        <v>75</v>
      </c>
      <c r="M5538" s="21">
        <v>9.6999999999999993</v>
      </c>
      <c r="N5538">
        <f t="shared" si="86"/>
        <v>1</v>
      </c>
    </row>
    <row r="5539" spans="1:14" x14ac:dyDescent="0.35">
      <c r="A5539" s="22" t="s">
        <v>5609</v>
      </c>
      <c r="B5539" s="23" t="s">
        <v>18</v>
      </c>
      <c r="C5539" s="23">
        <v>2</v>
      </c>
      <c r="D5539" s="24">
        <v>45701</v>
      </c>
      <c r="E5539" s="23" t="s">
        <v>20</v>
      </c>
      <c r="F5539" s="23" t="s">
        <v>26</v>
      </c>
      <c r="G5539" s="23" t="s">
        <v>21</v>
      </c>
      <c r="H5539" s="23" t="s">
        <v>28</v>
      </c>
      <c r="I5539" s="23">
        <v>4</v>
      </c>
      <c r="J5539" s="23">
        <v>0</v>
      </c>
      <c r="K5539" s="23">
        <v>5</v>
      </c>
      <c r="L5539" s="23" t="s">
        <v>75</v>
      </c>
      <c r="M5539" s="25">
        <v>50.4</v>
      </c>
      <c r="N5539">
        <f t="shared" si="86"/>
        <v>0</v>
      </c>
    </row>
    <row r="5540" spans="1:14" x14ac:dyDescent="0.35">
      <c r="A5540" s="6" t="s">
        <v>5610</v>
      </c>
      <c r="B5540" s="19" t="s">
        <v>253</v>
      </c>
      <c r="C5540" s="19">
        <v>6</v>
      </c>
      <c r="D5540" s="20">
        <v>45821</v>
      </c>
      <c r="E5540" s="19" t="s">
        <v>36</v>
      </c>
      <c r="F5540" s="19" t="s">
        <v>40</v>
      </c>
      <c r="G5540" s="19" t="s">
        <v>27</v>
      </c>
      <c r="H5540" s="19" t="s">
        <v>28</v>
      </c>
      <c r="I5540" s="19">
        <v>8</v>
      </c>
      <c r="J5540" s="19">
        <v>0</v>
      </c>
      <c r="K5540" s="19">
        <v>3</v>
      </c>
      <c r="L5540" s="19" t="s">
        <v>33</v>
      </c>
      <c r="M5540" s="21">
        <v>38.700000000000003</v>
      </c>
      <c r="N5540">
        <f t="shared" si="86"/>
        <v>0</v>
      </c>
    </row>
    <row r="5541" spans="1:14" x14ac:dyDescent="0.35">
      <c r="A5541" s="22" t="s">
        <v>5611</v>
      </c>
      <c r="B5541" s="23" t="s">
        <v>108</v>
      </c>
      <c r="C5541" s="23">
        <v>8</v>
      </c>
      <c r="D5541" s="24">
        <v>45876</v>
      </c>
      <c r="E5541" s="23" t="s">
        <v>20</v>
      </c>
      <c r="F5541" s="23" t="s">
        <v>14</v>
      </c>
      <c r="G5541" s="23" t="s">
        <v>31</v>
      </c>
      <c r="H5541" s="23" t="s">
        <v>32</v>
      </c>
      <c r="I5541" s="23">
        <v>4</v>
      </c>
      <c r="J5541" s="23">
        <v>1</v>
      </c>
      <c r="K5541" s="23">
        <v>4</v>
      </c>
      <c r="L5541" s="23" t="s">
        <v>8363</v>
      </c>
      <c r="M5541" s="25">
        <v>10.8</v>
      </c>
      <c r="N5541">
        <f t="shared" si="86"/>
        <v>0</v>
      </c>
    </row>
    <row r="5542" spans="1:14" x14ac:dyDescent="0.35">
      <c r="A5542" s="6" t="s">
        <v>5612</v>
      </c>
      <c r="B5542" s="19" t="s">
        <v>47</v>
      </c>
      <c r="C5542" s="19">
        <v>10</v>
      </c>
      <c r="D5542" s="20">
        <v>45959</v>
      </c>
      <c r="E5542" s="19" t="s">
        <v>68</v>
      </c>
      <c r="F5542" s="19" t="s">
        <v>8364</v>
      </c>
      <c r="G5542" s="19" t="s">
        <v>31</v>
      </c>
      <c r="H5542" s="19" t="s">
        <v>22</v>
      </c>
      <c r="I5542" s="19">
        <v>4</v>
      </c>
      <c r="J5542" s="19">
        <v>0</v>
      </c>
      <c r="K5542" s="19"/>
      <c r="L5542" s="19" t="s">
        <v>55</v>
      </c>
      <c r="M5542" s="21">
        <v>23.3</v>
      </c>
      <c r="N5542">
        <f t="shared" si="86"/>
        <v>0</v>
      </c>
    </row>
    <row r="5543" spans="1:14" x14ac:dyDescent="0.35">
      <c r="A5543" s="22" t="s">
        <v>5613</v>
      </c>
      <c r="B5543" s="23" t="s">
        <v>92</v>
      </c>
      <c r="C5543" s="23">
        <v>1</v>
      </c>
      <c r="D5543" s="24">
        <v>45677</v>
      </c>
      <c r="E5543" s="23" t="s">
        <v>68</v>
      </c>
      <c r="F5543" s="23" t="s">
        <v>14</v>
      </c>
      <c r="G5543" s="23" t="s">
        <v>8364</v>
      </c>
      <c r="H5543" s="23" t="s">
        <v>8364</v>
      </c>
      <c r="I5543" s="23">
        <v>48</v>
      </c>
      <c r="J5543" s="23">
        <v>0</v>
      </c>
      <c r="K5543" s="23">
        <v>4</v>
      </c>
      <c r="L5543" s="23" t="s">
        <v>38</v>
      </c>
      <c r="M5543" s="25">
        <v>18.3</v>
      </c>
      <c r="N5543">
        <f t="shared" si="86"/>
        <v>1</v>
      </c>
    </row>
    <row r="5544" spans="1:14" x14ac:dyDescent="0.35">
      <c r="A5544" s="6" t="s">
        <v>5614</v>
      </c>
      <c r="B5544" s="19" t="s">
        <v>29</v>
      </c>
      <c r="C5544" s="19">
        <v>1</v>
      </c>
      <c r="D5544" s="20">
        <v>45684</v>
      </c>
      <c r="E5544" s="19" t="s">
        <v>13</v>
      </c>
      <c r="F5544" s="19" t="s">
        <v>26</v>
      </c>
      <c r="G5544" s="19" t="s">
        <v>31</v>
      </c>
      <c r="H5544" s="19" t="s">
        <v>28</v>
      </c>
      <c r="I5544" s="19">
        <v>4</v>
      </c>
      <c r="J5544" s="19">
        <v>0</v>
      </c>
      <c r="K5544" s="19">
        <v>4</v>
      </c>
      <c r="L5544" s="19" t="s">
        <v>55</v>
      </c>
      <c r="M5544" s="21">
        <v>15.7</v>
      </c>
      <c r="N5544">
        <f t="shared" si="86"/>
        <v>0</v>
      </c>
    </row>
    <row r="5545" spans="1:14" x14ac:dyDescent="0.35">
      <c r="A5545" s="22" t="s">
        <v>5615</v>
      </c>
      <c r="B5545" s="23" t="s">
        <v>51</v>
      </c>
      <c r="C5545" s="23">
        <v>2</v>
      </c>
      <c r="D5545" s="24">
        <v>45697</v>
      </c>
      <c r="E5545" s="23" t="s">
        <v>20</v>
      </c>
      <c r="F5545" s="23" t="s">
        <v>43</v>
      </c>
      <c r="G5545" s="23" t="s">
        <v>8364</v>
      </c>
      <c r="H5545" s="23" t="s">
        <v>22</v>
      </c>
      <c r="I5545" s="23">
        <v>4</v>
      </c>
      <c r="J5545" s="23">
        <v>0</v>
      </c>
      <c r="K5545" s="23">
        <v>4</v>
      </c>
      <c r="L5545" s="23" t="s">
        <v>8363</v>
      </c>
      <c r="M5545" s="25">
        <v>17.399999999999999</v>
      </c>
      <c r="N5545">
        <f t="shared" si="86"/>
        <v>0</v>
      </c>
    </row>
    <row r="5546" spans="1:14" x14ac:dyDescent="0.35">
      <c r="A5546" s="6" t="s">
        <v>5616</v>
      </c>
      <c r="B5546" s="19" t="s">
        <v>101</v>
      </c>
      <c r="C5546" s="19">
        <v>1</v>
      </c>
      <c r="D5546" s="20">
        <v>45675</v>
      </c>
      <c r="E5546" s="19" t="s">
        <v>13</v>
      </c>
      <c r="F5546" s="19" t="s">
        <v>37</v>
      </c>
      <c r="G5546" s="19" t="s">
        <v>31</v>
      </c>
      <c r="H5546" s="19" t="s">
        <v>28</v>
      </c>
      <c r="I5546" s="19">
        <v>72</v>
      </c>
      <c r="J5546" s="19">
        <v>0</v>
      </c>
      <c r="K5546" s="19">
        <v>4</v>
      </c>
      <c r="L5546" s="19" t="s">
        <v>8363</v>
      </c>
      <c r="M5546" s="21">
        <v>33.200000000000003</v>
      </c>
      <c r="N5546">
        <f t="shared" si="86"/>
        <v>1</v>
      </c>
    </row>
    <row r="5547" spans="1:14" x14ac:dyDescent="0.35">
      <c r="A5547" s="22" t="s">
        <v>5617</v>
      </c>
      <c r="B5547" s="23" t="s">
        <v>45</v>
      </c>
      <c r="C5547" s="23">
        <v>11</v>
      </c>
      <c r="D5547" s="24">
        <v>45965</v>
      </c>
      <c r="E5547" s="23" t="s">
        <v>13</v>
      </c>
      <c r="F5547" s="23" t="s">
        <v>14</v>
      </c>
      <c r="G5547" s="23" t="s">
        <v>8364</v>
      </c>
      <c r="H5547" s="23" t="s">
        <v>16</v>
      </c>
      <c r="I5547" s="23">
        <v>8</v>
      </c>
      <c r="J5547" s="23">
        <v>0</v>
      </c>
      <c r="K5547" s="23">
        <v>4</v>
      </c>
      <c r="L5547" s="23" t="s">
        <v>55</v>
      </c>
      <c r="M5547" s="25">
        <v>6.3</v>
      </c>
      <c r="N5547">
        <f t="shared" si="86"/>
        <v>1</v>
      </c>
    </row>
    <row r="5548" spans="1:14" x14ac:dyDescent="0.35">
      <c r="A5548" s="6" t="s">
        <v>5618</v>
      </c>
      <c r="B5548" s="19" t="s">
        <v>101</v>
      </c>
      <c r="C5548" s="19"/>
      <c r="D5548" s="20"/>
      <c r="E5548" s="19" t="s">
        <v>13</v>
      </c>
      <c r="F5548" s="19" t="s">
        <v>37</v>
      </c>
      <c r="G5548" s="19" t="s">
        <v>21</v>
      </c>
      <c r="H5548" s="19" t="s">
        <v>8364</v>
      </c>
      <c r="I5548" s="19">
        <v>8</v>
      </c>
      <c r="J5548" s="19">
        <v>0</v>
      </c>
      <c r="K5548" s="19"/>
      <c r="L5548" s="19" t="s">
        <v>8363</v>
      </c>
      <c r="M5548" s="21">
        <v>3.1</v>
      </c>
      <c r="N5548">
        <f t="shared" si="86"/>
        <v>1</v>
      </c>
    </row>
    <row r="5549" spans="1:14" x14ac:dyDescent="0.35">
      <c r="A5549" s="22" t="s">
        <v>5619</v>
      </c>
      <c r="B5549" s="23" t="s">
        <v>69</v>
      </c>
      <c r="C5549" s="23">
        <v>3</v>
      </c>
      <c r="D5549" s="24">
        <v>45745</v>
      </c>
      <c r="E5549" s="23" t="s">
        <v>68</v>
      </c>
      <c r="F5549" s="23" t="s">
        <v>37</v>
      </c>
      <c r="G5549" s="23" t="s">
        <v>8364</v>
      </c>
      <c r="H5549" s="23" t="s">
        <v>22</v>
      </c>
      <c r="I5549" s="23">
        <v>72</v>
      </c>
      <c r="J5549" s="23">
        <v>1</v>
      </c>
      <c r="K5549" s="23"/>
      <c r="L5549" s="23" t="s">
        <v>8363</v>
      </c>
      <c r="M5549" s="25">
        <v>3.7</v>
      </c>
      <c r="N5549">
        <f t="shared" si="86"/>
        <v>1</v>
      </c>
    </row>
    <row r="5550" spans="1:14" x14ac:dyDescent="0.35">
      <c r="A5550" s="6" t="s">
        <v>5620</v>
      </c>
      <c r="B5550" s="19" t="s">
        <v>126</v>
      </c>
      <c r="C5550" s="19">
        <v>7</v>
      </c>
      <c r="D5550" s="20">
        <v>45842</v>
      </c>
      <c r="E5550" s="19" t="s">
        <v>25</v>
      </c>
      <c r="F5550" s="19" t="s">
        <v>43</v>
      </c>
      <c r="G5550" s="19" t="s">
        <v>15</v>
      </c>
      <c r="H5550" s="19" t="s">
        <v>22</v>
      </c>
      <c r="I5550" s="19">
        <v>8</v>
      </c>
      <c r="J5550" s="19">
        <v>3</v>
      </c>
      <c r="K5550" s="19">
        <v>2</v>
      </c>
      <c r="L5550" s="19" t="s">
        <v>17</v>
      </c>
      <c r="M5550" s="21">
        <v>2.7</v>
      </c>
      <c r="N5550">
        <f t="shared" si="86"/>
        <v>1</v>
      </c>
    </row>
    <row r="5551" spans="1:14" x14ac:dyDescent="0.35">
      <c r="A5551" s="22" t="s">
        <v>5621</v>
      </c>
      <c r="B5551" s="23" t="s">
        <v>53</v>
      </c>
      <c r="C5551" s="23">
        <v>3</v>
      </c>
      <c r="D5551" s="24">
        <v>45723</v>
      </c>
      <c r="E5551" s="23" t="s">
        <v>36</v>
      </c>
      <c r="F5551" s="23" t="s">
        <v>59</v>
      </c>
      <c r="G5551" s="23" t="s">
        <v>31</v>
      </c>
      <c r="H5551" s="23" t="s">
        <v>22</v>
      </c>
      <c r="I5551" s="23">
        <v>4</v>
      </c>
      <c r="J5551" s="23">
        <v>0</v>
      </c>
      <c r="K5551" s="23">
        <v>5</v>
      </c>
      <c r="L5551" s="23" t="s">
        <v>75</v>
      </c>
      <c r="M5551" s="25">
        <v>8.1999999999999993</v>
      </c>
      <c r="N5551">
        <f t="shared" si="86"/>
        <v>0</v>
      </c>
    </row>
    <row r="5552" spans="1:14" x14ac:dyDescent="0.35">
      <c r="A5552" s="6" t="s">
        <v>5622</v>
      </c>
      <c r="B5552" s="19" t="s">
        <v>39</v>
      </c>
      <c r="C5552" s="19">
        <v>4</v>
      </c>
      <c r="D5552" s="20">
        <v>45752</v>
      </c>
      <c r="E5552" s="19" t="s">
        <v>8364</v>
      </c>
      <c r="F5552" s="19" t="s">
        <v>14</v>
      </c>
      <c r="G5552" s="19" t="s">
        <v>15</v>
      </c>
      <c r="H5552" s="19" t="s">
        <v>28</v>
      </c>
      <c r="I5552" s="19">
        <v>72</v>
      </c>
      <c r="J5552" s="19">
        <v>2</v>
      </c>
      <c r="K5552" s="19">
        <v>4</v>
      </c>
      <c r="L5552" s="19" t="s">
        <v>17</v>
      </c>
      <c r="M5552" s="21">
        <v>22.6</v>
      </c>
      <c r="N5552">
        <f t="shared" si="86"/>
        <v>1</v>
      </c>
    </row>
    <row r="5553" spans="1:14" x14ac:dyDescent="0.35">
      <c r="A5553" s="22" t="s">
        <v>5623</v>
      </c>
      <c r="B5553" s="23" t="s">
        <v>18</v>
      </c>
      <c r="C5553" s="23">
        <v>2</v>
      </c>
      <c r="D5553" s="24">
        <v>45696</v>
      </c>
      <c r="E5553" s="23" t="s">
        <v>68</v>
      </c>
      <c r="F5553" s="23" t="s">
        <v>40</v>
      </c>
      <c r="G5553" s="23" t="s">
        <v>21</v>
      </c>
      <c r="H5553" s="23" t="s">
        <v>16</v>
      </c>
      <c r="I5553" s="23">
        <v>8</v>
      </c>
      <c r="J5553" s="23">
        <v>2</v>
      </c>
      <c r="K5553" s="23">
        <v>4</v>
      </c>
      <c r="L5553" s="23" t="s">
        <v>17</v>
      </c>
      <c r="M5553" s="25">
        <v>4.7</v>
      </c>
      <c r="N5553">
        <f t="shared" si="86"/>
        <v>1</v>
      </c>
    </row>
    <row r="5554" spans="1:14" x14ac:dyDescent="0.35">
      <c r="A5554" s="6" t="s">
        <v>5624</v>
      </c>
      <c r="B5554" s="19" t="s">
        <v>29</v>
      </c>
      <c r="C5554" s="19">
        <v>10</v>
      </c>
      <c r="D5554" s="20">
        <v>45954</v>
      </c>
      <c r="E5554" s="19" t="s">
        <v>68</v>
      </c>
      <c r="F5554" s="19" t="s">
        <v>14</v>
      </c>
      <c r="G5554" s="19" t="s">
        <v>31</v>
      </c>
      <c r="H5554" s="19" t="s">
        <v>16</v>
      </c>
      <c r="I5554" s="19">
        <v>72</v>
      </c>
      <c r="J5554" s="19">
        <v>0</v>
      </c>
      <c r="K5554" s="19">
        <v>3</v>
      </c>
      <c r="L5554" s="19" t="s">
        <v>55</v>
      </c>
      <c r="M5554" s="21">
        <v>10.3</v>
      </c>
      <c r="N5554">
        <f t="shared" si="86"/>
        <v>1</v>
      </c>
    </row>
    <row r="5555" spans="1:14" x14ac:dyDescent="0.35">
      <c r="A5555" s="22" t="s">
        <v>5625</v>
      </c>
      <c r="B5555" s="23" t="s">
        <v>92</v>
      </c>
      <c r="C5555" s="23">
        <v>7</v>
      </c>
      <c r="D5555" s="24">
        <v>45863</v>
      </c>
      <c r="E5555" s="23" t="s">
        <v>13</v>
      </c>
      <c r="F5555" s="23" t="s">
        <v>59</v>
      </c>
      <c r="G5555" s="23" t="s">
        <v>27</v>
      </c>
      <c r="H5555" s="23" t="s">
        <v>8364</v>
      </c>
      <c r="I5555" s="23">
        <v>24</v>
      </c>
      <c r="J5555" s="23">
        <v>2</v>
      </c>
      <c r="K5555" s="23">
        <v>4</v>
      </c>
      <c r="L5555" s="23" t="s">
        <v>62</v>
      </c>
      <c r="M5555" s="25">
        <v>11.6</v>
      </c>
      <c r="N5555">
        <f t="shared" si="86"/>
        <v>1</v>
      </c>
    </row>
    <row r="5556" spans="1:14" x14ac:dyDescent="0.35">
      <c r="A5556" s="6" t="s">
        <v>5626</v>
      </c>
      <c r="B5556" s="19" t="s">
        <v>29</v>
      </c>
      <c r="C5556" s="19">
        <v>2</v>
      </c>
      <c r="D5556" s="20">
        <v>45716</v>
      </c>
      <c r="E5556" s="19" t="s">
        <v>20</v>
      </c>
      <c r="F5556" s="19" t="s">
        <v>14</v>
      </c>
      <c r="G5556" s="19" t="s">
        <v>31</v>
      </c>
      <c r="H5556" s="19" t="s">
        <v>28</v>
      </c>
      <c r="I5556" s="19">
        <v>72</v>
      </c>
      <c r="J5556" s="19">
        <v>0</v>
      </c>
      <c r="K5556" s="19">
        <v>5</v>
      </c>
      <c r="L5556" s="19" t="s">
        <v>17</v>
      </c>
      <c r="M5556" s="21">
        <v>1.1000000000000001</v>
      </c>
      <c r="N5556">
        <f t="shared" si="86"/>
        <v>1</v>
      </c>
    </row>
    <row r="5557" spans="1:14" x14ac:dyDescent="0.35">
      <c r="A5557" s="22" t="s">
        <v>5627</v>
      </c>
      <c r="B5557" s="23" t="s">
        <v>126</v>
      </c>
      <c r="C5557" s="23">
        <v>2</v>
      </c>
      <c r="D5557" s="24">
        <v>45711</v>
      </c>
      <c r="E5557" s="23" t="s">
        <v>8364</v>
      </c>
      <c r="F5557" s="23" t="s">
        <v>37</v>
      </c>
      <c r="G5557" s="23" t="s">
        <v>21</v>
      </c>
      <c r="H5557" s="23" t="s">
        <v>28</v>
      </c>
      <c r="I5557" s="23">
        <v>4</v>
      </c>
      <c r="J5557" s="23">
        <v>0</v>
      </c>
      <c r="K5557" s="23">
        <v>5</v>
      </c>
      <c r="L5557" s="23" t="s">
        <v>17</v>
      </c>
      <c r="M5557" s="25">
        <v>4.5</v>
      </c>
      <c r="N5557">
        <f t="shared" si="86"/>
        <v>0</v>
      </c>
    </row>
    <row r="5558" spans="1:14" x14ac:dyDescent="0.35">
      <c r="A5558" s="6" t="s">
        <v>5628</v>
      </c>
      <c r="B5558" s="19" t="s">
        <v>89</v>
      </c>
      <c r="C5558" s="19">
        <v>1</v>
      </c>
      <c r="D5558" s="20">
        <v>45675</v>
      </c>
      <c r="E5558" s="19" t="s">
        <v>13</v>
      </c>
      <c r="F5558" s="19" t="s">
        <v>43</v>
      </c>
      <c r="G5558" s="19" t="s">
        <v>15</v>
      </c>
      <c r="H5558" s="19" t="s">
        <v>22</v>
      </c>
      <c r="I5558" s="19">
        <v>4</v>
      </c>
      <c r="J5558" s="19">
        <v>1</v>
      </c>
      <c r="K5558" s="19">
        <v>4</v>
      </c>
      <c r="L5558" s="19" t="s">
        <v>17</v>
      </c>
      <c r="M5558" s="21">
        <v>4.4000000000000004</v>
      </c>
      <c r="N5558">
        <f t="shared" si="86"/>
        <v>0</v>
      </c>
    </row>
    <row r="5559" spans="1:14" x14ac:dyDescent="0.35">
      <c r="A5559" s="22" t="s">
        <v>5629</v>
      </c>
      <c r="B5559" s="23" t="s">
        <v>236</v>
      </c>
      <c r="C5559" s="23">
        <v>3</v>
      </c>
      <c r="D5559" s="24">
        <v>45721</v>
      </c>
      <c r="E5559" s="23" t="s">
        <v>8364</v>
      </c>
      <c r="F5559" s="23" t="s">
        <v>14</v>
      </c>
      <c r="G5559" s="23" t="s">
        <v>27</v>
      </c>
      <c r="H5559" s="23" t="s">
        <v>22</v>
      </c>
      <c r="I5559" s="23">
        <v>48</v>
      </c>
      <c r="J5559" s="23">
        <v>1</v>
      </c>
      <c r="K5559" s="23">
        <v>4</v>
      </c>
      <c r="L5559" s="23" t="s">
        <v>33</v>
      </c>
      <c r="M5559" s="25">
        <v>14.6</v>
      </c>
      <c r="N5559">
        <f t="shared" si="86"/>
        <v>1</v>
      </c>
    </row>
    <row r="5560" spans="1:14" x14ac:dyDescent="0.35">
      <c r="A5560" s="6" t="s">
        <v>5630</v>
      </c>
      <c r="B5560" s="19" t="s">
        <v>41</v>
      </c>
      <c r="C5560" s="19">
        <v>2</v>
      </c>
      <c r="D5560" s="20">
        <v>45695</v>
      </c>
      <c r="E5560" s="19" t="s">
        <v>20</v>
      </c>
      <c r="F5560" s="19" t="s">
        <v>14</v>
      </c>
      <c r="G5560" s="19" t="s">
        <v>31</v>
      </c>
      <c r="H5560" s="19" t="s">
        <v>22</v>
      </c>
      <c r="I5560" s="19">
        <v>4</v>
      </c>
      <c r="J5560" s="19">
        <v>0</v>
      </c>
      <c r="K5560" s="19">
        <v>3</v>
      </c>
      <c r="L5560" s="19" t="s">
        <v>8363</v>
      </c>
      <c r="M5560" s="21">
        <v>10</v>
      </c>
      <c r="N5560">
        <f t="shared" si="86"/>
        <v>0</v>
      </c>
    </row>
    <row r="5561" spans="1:14" x14ac:dyDescent="0.35">
      <c r="A5561" s="22" t="s">
        <v>5631</v>
      </c>
      <c r="B5561" s="23" t="s">
        <v>72</v>
      </c>
      <c r="C5561" s="23">
        <v>8</v>
      </c>
      <c r="D5561" s="24">
        <v>45881</v>
      </c>
      <c r="E5561" s="23" t="s">
        <v>13</v>
      </c>
      <c r="F5561" s="23" t="s">
        <v>14</v>
      </c>
      <c r="G5561" s="23" t="s">
        <v>21</v>
      </c>
      <c r="H5561" s="23" t="s">
        <v>32</v>
      </c>
      <c r="I5561" s="23">
        <v>4</v>
      </c>
      <c r="J5561" s="23">
        <v>0</v>
      </c>
      <c r="K5561" s="23">
        <v>5</v>
      </c>
      <c r="L5561" s="23" t="s">
        <v>55</v>
      </c>
      <c r="M5561" s="25">
        <v>11.2</v>
      </c>
      <c r="N5561">
        <f t="shared" si="86"/>
        <v>0</v>
      </c>
    </row>
    <row r="5562" spans="1:14" x14ac:dyDescent="0.35">
      <c r="A5562" s="6" t="s">
        <v>5632</v>
      </c>
      <c r="B5562" s="19" t="s">
        <v>236</v>
      </c>
      <c r="C5562" s="19">
        <v>11</v>
      </c>
      <c r="D5562" s="20">
        <v>45969</v>
      </c>
      <c r="E5562" s="19" t="s">
        <v>25</v>
      </c>
      <c r="F5562" s="19" t="s">
        <v>8364</v>
      </c>
      <c r="G5562" s="19" t="s">
        <v>31</v>
      </c>
      <c r="H5562" s="19" t="s">
        <v>32</v>
      </c>
      <c r="I5562" s="19">
        <v>4</v>
      </c>
      <c r="J5562" s="19">
        <v>1</v>
      </c>
      <c r="K5562" s="19">
        <v>4</v>
      </c>
      <c r="L5562" s="19" t="s">
        <v>38</v>
      </c>
      <c r="M5562" s="21"/>
      <c r="N5562">
        <f t="shared" si="86"/>
        <v>1</v>
      </c>
    </row>
    <row r="5563" spans="1:14" x14ac:dyDescent="0.35">
      <c r="A5563" s="22" t="s">
        <v>5633</v>
      </c>
      <c r="B5563" s="23" t="s">
        <v>41</v>
      </c>
      <c r="C5563" s="23">
        <v>2</v>
      </c>
      <c r="D5563" s="24">
        <v>45706</v>
      </c>
      <c r="E5563" s="23" t="s">
        <v>68</v>
      </c>
      <c r="F5563" s="23" t="s">
        <v>14</v>
      </c>
      <c r="G5563" s="23" t="s">
        <v>31</v>
      </c>
      <c r="H5563" s="23" t="s">
        <v>8364</v>
      </c>
      <c r="I5563" s="23">
        <v>4</v>
      </c>
      <c r="J5563" s="23">
        <v>0</v>
      </c>
      <c r="K5563" s="23">
        <v>4</v>
      </c>
      <c r="L5563" s="23" t="s">
        <v>33</v>
      </c>
      <c r="M5563" s="25">
        <v>12.7</v>
      </c>
      <c r="N5563">
        <f t="shared" si="86"/>
        <v>0</v>
      </c>
    </row>
    <row r="5564" spans="1:14" x14ac:dyDescent="0.35">
      <c r="A5564" s="6" t="s">
        <v>5634</v>
      </c>
      <c r="B5564" s="19" t="s">
        <v>92</v>
      </c>
      <c r="C5564" s="19">
        <v>2</v>
      </c>
      <c r="D5564" s="20">
        <v>45690</v>
      </c>
      <c r="E5564" s="19" t="s">
        <v>20</v>
      </c>
      <c r="F5564" s="19" t="s">
        <v>43</v>
      </c>
      <c r="G5564" s="19" t="s">
        <v>15</v>
      </c>
      <c r="H5564" s="19" t="s">
        <v>22</v>
      </c>
      <c r="I5564" s="19">
        <v>4</v>
      </c>
      <c r="J5564" s="19">
        <v>1</v>
      </c>
      <c r="K5564" s="19">
        <v>4</v>
      </c>
      <c r="L5564" s="19" t="s">
        <v>55</v>
      </c>
      <c r="M5564" s="21">
        <v>13.8</v>
      </c>
      <c r="N5564">
        <f t="shared" si="86"/>
        <v>0</v>
      </c>
    </row>
    <row r="5565" spans="1:14" x14ac:dyDescent="0.35">
      <c r="A5565" s="22" t="s">
        <v>5635</v>
      </c>
      <c r="B5565" s="23" t="s">
        <v>45</v>
      </c>
      <c r="C5565" s="23">
        <v>8</v>
      </c>
      <c r="D5565" s="24">
        <v>45886</v>
      </c>
      <c r="E5565" s="23" t="s">
        <v>68</v>
      </c>
      <c r="F5565" s="23" t="s">
        <v>8364</v>
      </c>
      <c r="G5565" s="23" t="s">
        <v>27</v>
      </c>
      <c r="H5565" s="23" t="s">
        <v>16</v>
      </c>
      <c r="I5565" s="23">
        <v>24</v>
      </c>
      <c r="J5565" s="23">
        <v>0</v>
      </c>
      <c r="K5565" s="23"/>
      <c r="L5565" s="23" t="s">
        <v>55</v>
      </c>
      <c r="M5565" s="25">
        <v>10.8</v>
      </c>
      <c r="N5565">
        <f t="shared" si="86"/>
        <v>1</v>
      </c>
    </row>
    <row r="5566" spans="1:14" x14ac:dyDescent="0.35">
      <c r="A5566" s="6" t="s">
        <v>5636</v>
      </c>
      <c r="B5566" s="19" t="s">
        <v>72</v>
      </c>
      <c r="C5566" s="19"/>
      <c r="D5566" s="20"/>
      <c r="E5566" s="19" t="s">
        <v>36</v>
      </c>
      <c r="F5566" s="19" t="s">
        <v>59</v>
      </c>
      <c r="G5566" s="19" t="s">
        <v>21</v>
      </c>
      <c r="H5566" s="19" t="s">
        <v>32</v>
      </c>
      <c r="I5566" s="19">
        <v>72</v>
      </c>
      <c r="J5566" s="19">
        <v>0</v>
      </c>
      <c r="K5566" s="19">
        <v>5</v>
      </c>
      <c r="L5566" s="19" t="s">
        <v>8363</v>
      </c>
      <c r="M5566" s="21"/>
      <c r="N5566">
        <f t="shared" si="86"/>
        <v>1</v>
      </c>
    </row>
    <row r="5567" spans="1:14" x14ac:dyDescent="0.35">
      <c r="A5567" s="22" t="s">
        <v>5637</v>
      </c>
      <c r="B5567" s="23" t="s">
        <v>158</v>
      </c>
      <c r="C5567" s="23">
        <v>2</v>
      </c>
      <c r="D5567" s="24">
        <v>45691</v>
      </c>
      <c r="E5567" s="23" t="s">
        <v>20</v>
      </c>
      <c r="F5567" s="23" t="s">
        <v>43</v>
      </c>
      <c r="G5567" s="23" t="s">
        <v>15</v>
      </c>
      <c r="H5567" s="23" t="s">
        <v>8364</v>
      </c>
      <c r="I5567" s="23">
        <v>8</v>
      </c>
      <c r="J5567" s="23">
        <v>0</v>
      </c>
      <c r="K5567" s="23">
        <v>3</v>
      </c>
      <c r="L5567" s="23" t="s">
        <v>33</v>
      </c>
      <c r="M5567" s="25">
        <v>22.3</v>
      </c>
      <c r="N5567">
        <f t="shared" si="86"/>
        <v>0</v>
      </c>
    </row>
    <row r="5568" spans="1:14" x14ac:dyDescent="0.35">
      <c r="A5568" s="6" t="s">
        <v>5638</v>
      </c>
      <c r="B5568" s="19" t="s">
        <v>65</v>
      </c>
      <c r="C5568" s="19">
        <v>12</v>
      </c>
      <c r="D5568" s="20">
        <v>46015</v>
      </c>
      <c r="E5568" s="19" t="s">
        <v>13</v>
      </c>
      <c r="F5568" s="19" t="s">
        <v>59</v>
      </c>
      <c r="G5568" s="19" t="s">
        <v>31</v>
      </c>
      <c r="H5568" s="19" t="s">
        <v>16</v>
      </c>
      <c r="I5568" s="19">
        <v>8</v>
      </c>
      <c r="J5568" s="19">
        <v>0</v>
      </c>
      <c r="K5568" s="19">
        <v>5</v>
      </c>
      <c r="L5568" s="19" t="s">
        <v>38</v>
      </c>
      <c r="M5568" s="21">
        <v>6.1</v>
      </c>
      <c r="N5568">
        <f t="shared" si="86"/>
        <v>1</v>
      </c>
    </row>
    <row r="5569" spans="1:14" x14ac:dyDescent="0.35">
      <c r="A5569" s="22" t="s">
        <v>5639</v>
      </c>
      <c r="B5569" s="23" t="s">
        <v>57</v>
      </c>
      <c r="C5569" s="23">
        <v>8</v>
      </c>
      <c r="D5569" s="24">
        <v>45877</v>
      </c>
      <c r="E5569" s="23" t="s">
        <v>36</v>
      </c>
      <c r="F5569" s="23" t="s">
        <v>43</v>
      </c>
      <c r="G5569" s="23" t="s">
        <v>21</v>
      </c>
      <c r="H5569" s="23" t="s">
        <v>22</v>
      </c>
      <c r="I5569" s="23">
        <v>8</v>
      </c>
      <c r="J5569" s="23">
        <v>0</v>
      </c>
      <c r="K5569" s="23">
        <v>5</v>
      </c>
      <c r="L5569" s="23" t="s">
        <v>17</v>
      </c>
      <c r="M5569" s="25">
        <v>23.7</v>
      </c>
      <c r="N5569">
        <f t="shared" si="86"/>
        <v>0</v>
      </c>
    </row>
    <row r="5570" spans="1:14" x14ac:dyDescent="0.35">
      <c r="A5570" s="6" t="s">
        <v>5640</v>
      </c>
      <c r="B5570" s="19" t="s">
        <v>87</v>
      </c>
      <c r="C5570" s="19">
        <v>8</v>
      </c>
      <c r="D5570" s="20">
        <v>45882</v>
      </c>
      <c r="E5570" s="19" t="s">
        <v>13</v>
      </c>
      <c r="F5570" s="19" t="s">
        <v>14</v>
      </c>
      <c r="G5570" s="19" t="s">
        <v>8364</v>
      </c>
      <c r="H5570" s="19" t="s">
        <v>22</v>
      </c>
      <c r="I5570" s="19">
        <v>8</v>
      </c>
      <c r="J5570" s="19">
        <v>3</v>
      </c>
      <c r="K5570" s="19">
        <v>1</v>
      </c>
      <c r="L5570" s="19" t="s">
        <v>17</v>
      </c>
      <c r="M5570" s="21">
        <v>14.6</v>
      </c>
      <c r="N5570">
        <f t="shared" si="86"/>
        <v>0</v>
      </c>
    </row>
    <row r="5571" spans="1:14" x14ac:dyDescent="0.35">
      <c r="A5571" s="22" t="s">
        <v>5641</v>
      </c>
      <c r="B5571" s="23" t="s">
        <v>126</v>
      </c>
      <c r="C5571" s="23"/>
      <c r="D5571" s="24"/>
      <c r="E5571" s="23" t="s">
        <v>68</v>
      </c>
      <c r="F5571" s="23" t="s">
        <v>14</v>
      </c>
      <c r="G5571" s="23" t="s">
        <v>27</v>
      </c>
      <c r="H5571" s="23" t="s">
        <v>28</v>
      </c>
      <c r="I5571" s="23">
        <v>8</v>
      </c>
      <c r="J5571" s="23">
        <v>0</v>
      </c>
      <c r="K5571" s="23">
        <v>1</v>
      </c>
      <c r="L5571" s="23" t="s">
        <v>62</v>
      </c>
      <c r="M5571" s="25">
        <v>17.3</v>
      </c>
      <c r="N5571">
        <f t="shared" ref="N5571:N5634" si="87">IF(M5571 &lt;= I5571, 1, 0)</f>
        <v>0</v>
      </c>
    </row>
    <row r="5572" spans="1:14" x14ac:dyDescent="0.35">
      <c r="A5572" s="6" t="s">
        <v>5642</v>
      </c>
      <c r="B5572" s="19" t="s">
        <v>47</v>
      </c>
      <c r="C5572" s="19">
        <v>1</v>
      </c>
      <c r="D5572" s="20">
        <v>45661</v>
      </c>
      <c r="E5572" s="19" t="s">
        <v>25</v>
      </c>
      <c r="F5572" s="19" t="s">
        <v>37</v>
      </c>
      <c r="G5572" s="19" t="s">
        <v>31</v>
      </c>
      <c r="H5572" s="19" t="s">
        <v>8364</v>
      </c>
      <c r="I5572" s="19">
        <v>4</v>
      </c>
      <c r="J5572" s="19">
        <v>0</v>
      </c>
      <c r="K5572" s="19">
        <v>4</v>
      </c>
      <c r="L5572" s="19" t="s">
        <v>62</v>
      </c>
      <c r="M5572" s="21">
        <v>1.7</v>
      </c>
      <c r="N5572">
        <f t="shared" si="87"/>
        <v>1</v>
      </c>
    </row>
    <row r="5573" spans="1:14" x14ac:dyDescent="0.35">
      <c r="A5573" s="22" t="s">
        <v>5643</v>
      </c>
      <c r="B5573" s="23" t="s">
        <v>23</v>
      </c>
      <c r="C5573" s="23">
        <v>6</v>
      </c>
      <c r="D5573" s="24">
        <v>45833</v>
      </c>
      <c r="E5573" s="23" t="s">
        <v>8364</v>
      </c>
      <c r="F5573" s="23" t="s">
        <v>43</v>
      </c>
      <c r="G5573" s="23" t="s">
        <v>8364</v>
      </c>
      <c r="H5573" s="23" t="s">
        <v>16</v>
      </c>
      <c r="I5573" s="23">
        <v>4</v>
      </c>
      <c r="J5573" s="23">
        <v>0</v>
      </c>
      <c r="K5573" s="23">
        <v>4</v>
      </c>
      <c r="L5573" s="23" t="s">
        <v>17</v>
      </c>
      <c r="M5573" s="25">
        <v>9</v>
      </c>
      <c r="N5573">
        <f t="shared" si="87"/>
        <v>0</v>
      </c>
    </row>
    <row r="5574" spans="1:14" x14ac:dyDescent="0.35">
      <c r="A5574" s="6" t="s">
        <v>5644</v>
      </c>
      <c r="B5574" s="19" t="s">
        <v>97</v>
      </c>
      <c r="C5574" s="19">
        <v>6</v>
      </c>
      <c r="D5574" s="20">
        <v>45828</v>
      </c>
      <c r="E5574" s="19" t="s">
        <v>20</v>
      </c>
      <c r="F5574" s="19" t="s">
        <v>8364</v>
      </c>
      <c r="G5574" s="19" t="s">
        <v>31</v>
      </c>
      <c r="H5574" s="19" t="s">
        <v>32</v>
      </c>
      <c r="I5574" s="19">
        <v>8</v>
      </c>
      <c r="J5574" s="19">
        <v>2</v>
      </c>
      <c r="K5574" s="19">
        <v>3</v>
      </c>
      <c r="L5574" s="19" t="s">
        <v>55</v>
      </c>
      <c r="M5574" s="21">
        <v>7.3</v>
      </c>
      <c r="N5574">
        <f t="shared" si="87"/>
        <v>1</v>
      </c>
    </row>
    <row r="5575" spans="1:14" x14ac:dyDescent="0.35">
      <c r="A5575" s="22" t="s">
        <v>5645</v>
      </c>
      <c r="B5575" s="23" t="s">
        <v>47</v>
      </c>
      <c r="C5575" s="23">
        <v>9</v>
      </c>
      <c r="D5575" s="24">
        <v>45916</v>
      </c>
      <c r="E5575" s="23" t="s">
        <v>36</v>
      </c>
      <c r="F5575" s="23" t="s">
        <v>40</v>
      </c>
      <c r="G5575" s="23" t="s">
        <v>8364</v>
      </c>
      <c r="H5575" s="23" t="s">
        <v>16</v>
      </c>
      <c r="I5575" s="23">
        <v>24</v>
      </c>
      <c r="J5575" s="23">
        <v>0</v>
      </c>
      <c r="K5575" s="23">
        <v>5</v>
      </c>
      <c r="L5575" s="23" t="s">
        <v>8363</v>
      </c>
      <c r="M5575" s="25">
        <v>11.6</v>
      </c>
      <c r="N5575">
        <f t="shared" si="87"/>
        <v>1</v>
      </c>
    </row>
    <row r="5576" spans="1:14" x14ac:dyDescent="0.35">
      <c r="A5576" s="6" t="s">
        <v>5646</v>
      </c>
      <c r="B5576" s="19" t="s">
        <v>89</v>
      </c>
      <c r="C5576" s="19">
        <v>4</v>
      </c>
      <c r="D5576" s="20">
        <v>45770</v>
      </c>
      <c r="E5576" s="19" t="s">
        <v>13</v>
      </c>
      <c r="F5576" s="19" t="s">
        <v>14</v>
      </c>
      <c r="G5576" s="19" t="s">
        <v>27</v>
      </c>
      <c r="H5576" s="19" t="s">
        <v>8364</v>
      </c>
      <c r="I5576" s="19">
        <v>4</v>
      </c>
      <c r="J5576" s="19">
        <v>3</v>
      </c>
      <c r="K5576" s="19">
        <v>4</v>
      </c>
      <c r="L5576" s="19" t="s">
        <v>33</v>
      </c>
      <c r="M5576" s="21">
        <v>18.399999999999999</v>
      </c>
      <c r="N5576">
        <f t="shared" si="87"/>
        <v>0</v>
      </c>
    </row>
    <row r="5577" spans="1:14" x14ac:dyDescent="0.35">
      <c r="A5577" s="22" t="s">
        <v>5647</v>
      </c>
      <c r="B5577" s="23" t="s">
        <v>34</v>
      </c>
      <c r="C5577" s="23">
        <v>12</v>
      </c>
      <c r="D5577" s="24">
        <v>46002</v>
      </c>
      <c r="E5577" s="23" t="s">
        <v>13</v>
      </c>
      <c r="F5577" s="23" t="s">
        <v>14</v>
      </c>
      <c r="G5577" s="23" t="s">
        <v>27</v>
      </c>
      <c r="H5577" s="23" t="s">
        <v>32</v>
      </c>
      <c r="I5577" s="23">
        <v>48</v>
      </c>
      <c r="J5577" s="23">
        <v>1</v>
      </c>
      <c r="K5577" s="23">
        <v>4</v>
      </c>
      <c r="L5577" s="23" t="s">
        <v>38</v>
      </c>
      <c r="M5577" s="25">
        <v>13.6</v>
      </c>
      <c r="N5577">
        <f t="shared" si="87"/>
        <v>1</v>
      </c>
    </row>
    <row r="5578" spans="1:14" x14ac:dyDescent="0.35">
      <c r="A5578" s="6" t="s">
        <v>5648</v>
      </c>
      <c r="B5578" s="19" t="s">
        <v>53</v>
      </c>
      <c r="C5578" s="19">
        <v>8</v>
      </c>
      <c r="D5578" s="20">
        <v>45880</v>
      </c>
      <c r="E5578" s="19" t="s">
        <v>13</v>
      </c>
      <c r="F5578" s="19" t="s">
        <v>14</v>
      </c>
      <c r="G5578" s="19" t="s">
        <v>27</v>
      </c>
      <c r="H5578" s="19" t="s">
        <v>8364</v>
      </c>
      <c r="I5578" s="19">
        <v>4</v>
      </c>
      <c r="J5578" s="19">
        <v>3</v>
      </c>
      <c r="K5578" s="19">
        <v>4</v>
      </c>
      <c r="L5578" s="19" t="s">
        <v>44</v>
      </c>
      <c r="M5578" s="21">
        <v>3.4</v>
      </c>
      <c r="N5578">
        <f t="shared" si="87"/>
        <v>1</v>
      </c>
    </row>
    <row r="5579" spans="1:14" x14ac:dyDescent="0.35">
      <c r="A5579" s="22" t="s">
        <v>5649</v>
      </c>
      <c r="B5579" s="23" t="s">
        <v>85</v>
      </c>
      <c r="C5579" s="23">
        <v>11</v>
      </c>
      <c r="D5579" s="24">
        <v>45976</v>
      </c>
      <c r="E5579" s="23" t="s">
        <v>68</v>
      </c>
      <c r="F5579" s="23" t="s">
        <v>8364</v>
      </c>
      <c r="G5579" s="23" t="s">
        <v>21</v>
      </c>
      <c r="H5579" s="23" t="s">
        <v>22</v>
      </c>
      <c r="I5579" s="23">
        <v>4</v>
      </c>
      <c r="J5579" s="23">
        <v>3</v>
      </c>
      <c r="K5579" s="23">
        <v>5</v>
      </c>
      <c r="L5579" s="23" t="s">
        <v>8363</v>
      </c>
      <c r="M5579" s="25">
        <v>12.9</v>
      </c>
      <c r="N5579">
        <f t="shared" si="87"/>
        <v>0</v>
      </c>
    </row>
    <row r="5580" spans="1:14" x14ac:dyDescent="0.35">
      <c r="A5580" s="6" t="s">
        <v>5650</v>
      </c>
      <c r="B5580" s="19" t="s">
        <v>34</v>
      </c>
      <c r="C5580" s="19">
        <v>3</v>
      </c>
      <c r="D5580" s="20">
        <v>45742</v>
      </c>
      <c r="E5580" s="19" t="s">
        <v>13</v>
      </c>
      <c r="F5580" s="19" t="s">
        <v>43</v>
      </c>
      <c r="G5580" s="19" t="s">
        <v>31</v>
      </c>
      <c r="H5580" s="19" t="s">
        <v>8364</v>
      </c>
      <c r="I5580" s="19">
        <v>8</v>
      </c>
      <c r="J5580" s="19">
        <v>0</v>
      </c>
      <c r="K5580" s="19">
        <v>5</v>
      </c>
      <c r="L5580" s="19" t="s">
        <v>8363</v>
      </c>
      <c r="M5580" s="21">
        <v>8.1999999999999993</v>
      </c>
      <c r="N5580">
        <f t="shared" si="87"/>
        <v>0</v>
      </c>
    </row>
    <row r="5581" spans="1:14" x14ac:dyDescent="0.35">
      <c r="A5581" s="22" t="s">
        <v>5651</v>
      </c>
      <c r="B5581" s="23" t="s">
        <v>104</v>
      </c>
      <c r="C5581" s="23"/>
      <c r="D5581" s="24"/>
      <c r="E5581" s="23" t="s">
        <v>13</v>
      </c>
      <c r="F5581" s="23" t="s">
        <v>40</v>
      </c>
      <c r="G5581" s="23" t="s">
        <v>27</v>
      </c>
      <c r="H5581" s="23" t="s">
        <v>32</v>
      </c>
      <c r="I5581" s="23">
        <v>8</v>
      </c>
      <c r="J5581" s="23">
        <v>0</v>
      </c>
      <c r="K5581" s="23">
        <v>5</v>
      </c>
      <c r="L5581" s="23" t="s">
        <v>8363</v>
      </c>
      <c r="M5581" s="25">
        <v>5.6</v>
      </c>
      <c r="N5581">
        <f t="shared" si="87"/>
        <v>1</v>
      </c>
    </row>
    <row r="5582" spans="1:14" x14ac:dyDescent="0.35">
      <c r="A5582" s="6" t="s">
        <v>5652</v>
      </c>
      <c r="B5582" s="19" t="s">
        <v>97</v>
      </c>
      <c r="C5582" s="19">
        <v>9</v>
      </c>
      <c r="D5582" s="20">
        <v>45922</v>
      </c>
      <c r="E5582" s="19" t="s">
        <v>8364</v>
      </c>
      <c r="F5582" s="19" t="s">
        <v>59</v>
      </c>
      <c r="G5582" s="19" t="s">
        <v>31</v>
      </c>
      <c r="H5582" s="19" t="s">
        <v>22</v>
      </c>
      <c r="I5582" s="19">
        <v>24</v>
      </c>
      <c r="J5582" s="19">
        <v>0</v>
      </c>
      <c r="K5582" s="19">
        <v>1</v>
      </c>
      <c r="L5582" s="19" t="s">
        <v>38</v>
      </c>
      <c r="M5582" s="21">
        <v>14.5</v>
      </c>
      <c r="N5582">
        <f t="shared" si="87"/>
        <v>1</v>
      </c>
    </row>
    <row r="5583" spans="1:14" x14ac:dyDescent="0.35">
      <c r="A5583" s="22" t="s">
        <v>5653</v>
      </c>
      <c r="B5583" s="23" t="s">
        <v>89</v>
      </c>
      <c r="C5583" s="23">
        <v>8</v>
      </c>
      <c r="D5583" s="24">
        <v>45876</v>
      </c>
      <c r="E5583" s="23" t="s">
        <v>25</v>
      </c>
      <c r="F5583" s="23" t="s">
        <v>14</v>
      </c>
      <c r="G5583" s="23" t="s">
        <v>27</v>
      </c>
      <c r="H5583" s="23" t="s">
        <v>16</v>
      </c>
      <c r="I5583" s="23">
        <v>48</v>
      </c>
      <c r="J5583" s="23">
        <v>1</v>
      </c>
      <c r="K5583" s="23">
        <v>4</v>
      </c>
      <c r="L5583" s="23" t="s">
        <v>33</v>
      </c>
      <c r="M5583" s="25">
        <v>13.3</v>
      </c>
      <c r="N5583">
        <f t="shared" si="87"/>
        <v>1</v>
      </c>
    </row>
    <row r="5584" spans="1:14" x14ac:dyDescent="0.35">
      <c r="A5584" s="6" t="s">
        <v>5654</v>
      </c>
      <c r="B5584" s="19" t="s">
        <v>49</v>
      </c>
      <c r="C5584" s="19"/>
      <c r="D5584" s="20"/>
      <c r="E5584" s="19" t="s">
        <v>13</v>
      </c>
      <c r="F5584" s="19" t="s">
        <v>14</v>
      </c>
      <c r="G5584" s="19" t="s">
        <v>31</v>
      </c>
      <c r="H5584" s="19" t="s">
        <v>22</v>
      </c>
      <c r="I5584" s="19">
        <v>4</v>
      </c>
      <c r="J5584" s="19">
        <v>0</v>
      </c>
      <c r="K5584" s="19">
        <v>5</v>
      </c>
      <c r="L5584" s="19" t="s">
        <v>75</v>
      </c>
      <c r="M5584" s="21">
        <v>1.8</v>
      </c>
      <c r="N5584">
        <f t="shared" si="87"/>
        <v>1</v>
      </c>
    </row>
    <row r="5585" spans="1:14" x14ac:dyDescent="0.35">
      <c r="A5585" s="22" t="s">
        <v>5655</v>
      </c>
      <c r="B5585" s="23" t="s">
        <v>253</v>
      </c>
      <c r="C5585" s="23">
        <v>1</v>
      </c>
      <c r="D5585" s="24">
        <v>45682</v>
      </c>
      <c r="E5585" s="23" t="s">
        <v>68</v>
      </c>
      <c r="F5585" s="23" t="s">
        <v>43</v>
      </c>
      <c r="G5585" s="23" t="s">
        <v>15</v>
      </c>
      <c r="H5585" s="23" t="s">
        <v>28</v>
      </c>
      <c r="I5585" s="23">
        <v>24</v>
      </c>
      <c r="J5585" s="23">
        <v>1</v>
      </c>
      <c r="K5585" s="23">
        <v>5</v>
      </c>
      <c r="L5585" s="23" t="s">
        <v>17</v>
      </c>
      <c r="M5585" s="25">
        <v>16.7</v>
      </c>
      <c r="N5585">
        <f t="shared" si="87"/>
        <v>1</v>
      </c>
    </row>
    <row r="5586" spans="1:14" x14ac:dyDescent="0.35">
      <c r="A5586" s="6" t="s">
        <v>5656</v>
      </c>
      <c r="B5586" s="19" t="s">
        <v>89</v>
      </c>
      <c r="C5586" s="19">
        <v>7</v>
      </c>
      <c r="D5586" s="20">
        <v>45865</v>
      </c>
      <c r="E5586" s="19" t="s">
        <v>13</v>
      </c>
      <c r="F5586" s="19" t="s">
        <v>40</v>
      </c>
      <c r="G5586" s="19" t="s">
        <v>31</v>
      </c>
      <c r="H5586" s="19" t="s">
        <v>22</v>
      </c>
      <c r="I5586" s="19">
        <v>72</v>
      </c>
      <c r="J5586" s="19">
        <v>0</v>
      </c>
      <c r="K5586" s="19">
        <v>5</v>
      </c>
      <c r="L5586" s="19" t="s">
        <v>75</v>
      </c>
      <c r="M5586" s="21">
        <v>3.5</v>
      </c>
      <c r="N5586">
        <f t="shared" si="87"/>
        <v>1</v>
      </c>
    </row>
    <row r="5587" spans="1:14" x14ac:dyDescent="0.35">
      <c r="A5587" s="22" t="s">
        <v>5657</v>
      </c>
      <c r="B5587" s="23" t="s">
        <v>47</v>
      </c>
      <c r="C5587" s="23">
        <v>5</v>
      </c>
      <c r="D5587" s="24">
        <v>45790</v>
      </c>
      <c r="E5587" s="23" t="s">
        <v>13</v>
      </c>
      <c r="F5587" s="23" t="s">
        <v>40</v>
      </c>
      <c r="G5587" s="23" t="s">
        <v>15</v>
      </c>
      <c r="H5587" s="23" t="s">
        <v>28</v>
      </c>
      <c r="I5587" s="23">
        <v>24</v>
      </c>
      <c r="J5587" s="23">
        <v>0</v>
      </c>
      <c r="K5587" s="23">
        <v>4</v>
      </c>
      <c r="L5587" s="23" t="s">
        <v>75</v>
      </c>
      <c r="M5587" s="25">
        <v>30.9</v>
      </c>
      <c r="N5587">
        <f t="shared" si="87"/>
        <v>0</v>
      </c>
    </row>
    <row r="5588" spans="1:14" x14ac:dyDescent="0.35">
      <c r="A5588" s="6" t="s">
        <v>5658</v>
      </c>
      <c r="B5588" s="19" t="s">
        <v>81</v>
      </c>
      <c r="C5588" s="19">
        <v>11</v>
      </c>
      <c r="D5588" s="20">
        <v>45968</v>
      </c>
      <c r="E5588" s="19" t="s">
        <v>68</v>
      </c>
      <c r="F5588" s="19" t="s">
        <v>14</v>
      </c>
      <c r="G5588" s="19" t="s">
        <v>27</v>
      </c>
      <c r="H5588" s="19" t="s">
        <v>8364</v>
      </c>
      <c r="I5588" s="19">
        <v>24</v>
      </c>
      <c r="J5588" s="19">
        <v>0</v>
      </c>
      <c r="K5588" s="19">
        <v>5</v>
      </c>
      <c r="L5588" s="19" t="s">
        <v>8363</v>
      </c>
      <c r="M5588" s="21">
        <v>6.8</v>
      </c>
      <c r="N5588">
        <f t="shared" si="87"/>
        <v>1</v>
      </c>
    </row>
    <row r="5589" spans="1:14" x14ac:dyDescent="0.35">
      <c r="A5589" s="22" t="s">
        <v>5659</v>
      </c>
      <c r="B5589" s="23" t="s">
        <v>34</v>
      </c>
      <c r="C5589" s="23"/>
      <c r="D5589" s="24"/>
      <c r="E5589" s="23" t="s">
        <v>25</v>
      </c>
      <c r="F5589" s="23" t="s">
        <v>14</v>
      </c>
      <c r="G5589" s="23" t="s">
        <v>31</v>
      </c>
      <c r="H5589" s="23" t="s">
        <v>8364</v>
      </c>
      <c r="I5589" s="23">
        <v>4</v>
      </c>
      <c r="J5589" s="23">
        <v>1</v>
      </c>
      <c r="K5589" s="23">
        <v>5</v>
      </c>
      <c r="L5589" s="23" t="s">
        <v>38</v>
      </c>
      <c r="M5589" s="25">
        <v>12.5</v>
      </c>
      <c r="N5589">
        <f t="shared" si="87"/>
        <v>0</v>
      </c>
    </row>
    <row r="5590" spans="1:14" x14ac:dyDescent="0.35">
      <c r="A5590" s="6" t="s">
        <v>5660</v>
      </c>
      <c r="B5590" s="19" t="s">
        <v>78</v>
      </c>
      <c r="C5590" s="19">
        <v>1</v>
      </c>
      <c r="D5590" s="20">
        <v>45678</v>
      </c>
      <c r="E5590" s="19" t="s">
        <v>20</v>
      </c>
      <c r="F5590" s="19" t="s">
        <v>43</v>
      </c>
      <c r="G5590" s="19" t="s">
        <v>31</v>
      </c>
      <c r="H5590" s="19" t="s">
        <v>32</v>
      </c>
      <c r="I5590" s="19">
        <v>72</v>
      </c>
      <c r="J5590" s="19">
        <v>0</v>
      </c>
      <c r="K5590" s="19">
        <v>5</v>
      </c>
      <c r="L5590" s="19" t="s">
        <v>8363</v>
      </c>
      <c r="M5590" s="21">
        <v>10.3</v>
      </c>
      <c r="N5590">
        <f t="shared" si="87"/>
        <v>1</v>
      </c>
    </row>
    <row r="5591" spans="1:14" x14ac:dyDescent="0.35">
      <c r="A5591" s="22" t="s">
        <v>5661</v>
      </c>
      <c r="B5591" s="23" t="s">
        <v>87</v>
      </c>
      <c r="C5591" s="23">
        <v>10</v>
      </c>
      <c r="D5591" s="24">
        <v>45943</v>
      </c>
      <c r="E5591" s="23" t="s">
        <v>20</v>
      </c>
      <c r="F5591" s="23" t="s">
        <v>43</v>
      </c>
      <c r="G5591" s="23" t="s">
        <v>31</v>
      </c>
      <c r="H5591" s="23" t="s">
        <v>28</v>
      </c>
      <c r="I5591" s="23">
        <v>8</v>
      </c>
      <c r="J5591" s="23">
        <v>0</v>
      </c>
      <c r="K5591" s="23">
        <v>3</v>
      </c>
      <c r="L5591" s="23" t="s">
        <v>55</v>
      </c>
      <c r="M5591" s="25">
        <v>7.5</v>
      </c>
      <c r="N5591">
        <f t="shared" si="87"/>
        <v>1</v>
      </c>
    </row>
    <row r="5592" spans="1:14" x14ac:dyDescent="0.35">
      <c r="A5592" s="6" t="s">
        <v>5662</v>
      </c>
      <c r="B5592" s="19" t="s">
        <v>65</v>
      </c>
      <c r="C5592" s="19">
        <v>11</v>
      </c>
      <c r="D5592" s="20">
        <v>45975</v>
      </c>
      <c r="E5592" s="19" t="s">
        <v>13</v>
      </c>
      <c r="F5592" s="19" t="s">
        <v>8364</v>
      </c>
      <c r="G5592" s="19" t="s">
        <v>15</v>
      </c>
      <c r="H5592" s="19" t="s">
        <v>22</v>
      </c>
      <c r="I5592" s="19">
        <v>8</v>
      </c>
      <c r="J5592" s="19">
        <v>0</v>
      </c>
      <c r="K5592" s="19"/>
      <c r="L5592" s="19" t="s">
        <v>8363</v>
      </c>
      <c r="M5592" s="21">
        <v>19.8</v>
      </c>
      <c r="N5592">
        <f t="shared" si="87"/>
        <v>0</v>
      </c>
    </row>
    <row r="5593" spans="1:14" x14ac:dyDescent="0.35">
      <c r="A5593" s="22" t="s">
        <v>5663</v>
      </c>
      <c r="B5593" s="23" t="s">
        <v>108</v>
      </c>
      <c r="C5593" s="23">
        <v>11</v>
      </c>
      <c r="D5593" s="24">
        <v>45965</v>
      </c>
      <c r="E5593" s="23" t="s">
        <v>36</v>
      </c>
      <c r="F5593" s="23" t="s">
        <v>14</v>
      </c>
      <c r="G5593" s="23" t="s">
        <v>31</v>
      </c>
      <c r="H5593" s="23" t="s">
        <v>28</v>
      </c>
      <c r="I5593" s="23">
        <v>48</v>
      </c>
      <c r="J5593" s="23">
        <v>0</v>
      </c>
      <c r="K5593" s="23">
        <v>3</v>
      </c>
      <c r="L5593" s="23" t="s">
        <v>38</v>
      </c>
      <c r="M5593" s="25">
        <v>9.3000000000000007</v>
      </c>
      <c r="N5593">
        <f t="shared" si="87"/>
        <v>1</v>
      </c>
    </row>
    <row r="5594" spans="1:14" x14ac:dyDescent="0.35">
      <c r="A5594" s="6" t="s">
        <v>5664</v>
      </c>
      <c r="B5594" s="19" t="s">
        <v>108</v>
      </c>
      <c r="C5594" s="19"/>
      <c r="D5594" s="20"/>
      <c r="E5594" s="19" t="s">
        <v>13</v>
      </c>
      <c r="F5594" s="19" t="s">
        <v>26</v>
      </c>
      <c r="G5594" s="19" t="s">
        <v>15</v>
      </c>
      <c r="H5594" s="19" t="s">
        <v>22</v>
      </c>
      <c r="I5594" s="19">
        <v>24</v>
      </c>
      <c r="J5594" s="19">
        <v>0</v>
      </c>
      <c r="K5594" s="19">
        <v>4</v>
      </c>
      <c r="L5594" s="19" t="s">
        <v>44</v>
      </c>
      <c r="M5594" s="21">
        <v>14.9</v>
      </c>
      <c r="N5594">
        <f t="shared" si="87"/>
        <v>1</v>
      </c>
    </row>
    <row r="5595" spans="1:14" x14ac:dyDescent="0.35">
      <c r="A5595" s="22" t="s">
        <v>5665</v>
      </c>
      <c r="B5595" s="23" t="s">
        <v>57</v>
      </c>
      <c r="C5595" s="23">
        <v>2</v>
      </c>
      <c r="D5595" s="24">
        <v>45700</v>
      </c>
      <c r="E5595" s="23" t="s">
        <v>13</v>
      </c>
      <c r="F5595" s="23" t="s">
        <v>8364</v>
      </c>
      <c r="G5595" s="23" t="s">
        <v>8364</v>
      </c>
      <c r="H5595" s="23" t="s">
        <v>22</v>
      </c>
      <c r="I5595" s="23">
        <v>48</v>
      </c>
      <c r="J5595" s="23">
        <v>0</v>
      </c>
      <c r="K5595" s="23">
        <v>5</v>
      </c>
      <c r="L5595" s="23" t="s">
        <v>75</v>
      </c>
      <c r="M5595" s="25">
        <v>19.600000000000001</v>
      </c>
      <c r="N5595">
        <f t="shared" si="87"/>
        <v>1</v>
      </c>
    </row>
    <row r="5596" spans="1:14" x14ac:dyDescent="0.35">
      <c r="A5596" s="6" t="s">
        <v>5666</v>
      </c>
      <c r="B5596" s="19" t="s">
        <v>51</v>
      </c>
      <c r="C5596" s="19">
        <v>7</v>
      </c>
      <c r="D5596" s="20">
        <v>45862</v>
      </c>
      <c r="E5596" s="19" t="s">
        <v>25</v>
      </c>
      <c r="F5596" s="19" t="s">
        <v>40</v>
      </c>
      <c r="G5596" s="19" t="s">
        <v>21</v>
      </c>
      <c r="H5596" s="19" t="s">
        <v>16</v>
      </c>
      <c r="I5596" s="19">
        <v>4</v>
      </c>
      <c r="J5596" s="19">
        <v>0</v>
      </c>
      <c r="K5596" s="19">
        <v>5</v>
      </c>
      <c r="L5596" s="19" t="s">
        <v>8363</v>
      </c>
      <c r="M5596" s="21">
        <v>14.3</v>
      </c>
      <c r="N5596">
        <f t="shared" si="87"/>
        <v>0</v>
      </c>
    </row>
    <row r="5597" spans="1:14" x14ac:dyDescent="0.35">
      <c r="A5597" s="22" t="s">
        <v>5667</v>
      </c>
      <c r="B5597" s="23" t="s">
        <v>53</v>
      </c>
      <c r="C5597" s="23">
        <v>9</v>
      </c>
      <c r="D5597" s="24">
        <v>45906</v>
      </c>
      <c r="E5597" s="23" t="s">
        <v>36</v>
      </c>
      <c r="F5597" s="23" t="s">
        <v>37</v>
      </c>
      <c r="G5597" s="23" t="s">
        <v>27</v>
      </c>
      <c r="H5597" s="23" t="s">
        <v>8364</v>
      </c>
      <c r="I5597" s="23">
        <v>72</v>
      </c>
      <c r="J5597" s="23">
        <v>0</v>
      </c>
      <c r="K5597" s="23">
        <v>4</v>
      </c>
      <c r="L5597" s="23" t="s">
        <v>55</v>
      </c>
      <c r="M5597" s="25"/>
      <c r="N5597">
        <f t="shared" si="87"/>
        <v>1</v>
      </c>
    </row>
    <row r="5598" spans="1:14" x14ac:dyDescent="0.35">
      <c r="A5598" s="6" t="s">
        <v>5668</v>
      </c>
      <c r="B5598" s="19" t="s">
        <v>47</v>
      </c>
      <c r="C5598" s="19">
        <v>10</v>
      </c>
      <c r="D5598" s="20">
        <v>45932</v>
      </c>
      <c r="E5598" s="19" t="s">
        <v>8364</v>
      </c>
      <c r="F5598" s="19" t="s">
        <v>59</v>
      </c>
      <c r="G5598" s="19" t="s">
        <v>21</v>
      </c>
      <c r="H5598" s="19" t="s">
        <v>22</v>
      </c>
      <c r="I5598" s="19">
        <v>8</v>
      </c>
      <c r="J5598" s="19">
        <v>0</v>
      </c>
      <c r="K5598" s="19">
        <v>3</v>
      </c>
      <c r="L5598" s="19" t="s">
        <v>38</v>
      </c>
      <c r="M5598" s="21">
        <v>9.5</v>
      </c>
      <c r="N5598">
        <f t="shared" si="87"/>
        <v>0</v>
      </c>
    </row>
    <row r="5599" spans="1:14" x14ac:dyDescent="0.35">
      <c r="A5599" s="22" t="s">
        <v>5669</v>
      </c>
      <c r="B5599" s="23" t="s">
        <v>81</v>
      </c>
      <c r="C5599" s="23">
        <v>12</v>
      </c>
      <c r="D5599" s="24">
        <v>46022</v>
      </c>
      <c r="E5599" s="23" t="s">
        <v>13</v>
      </c>
      <c r="F5599" s="23" t="s">
        <v>59</v>
      </c>
      <c r="G5599" s="23" t="s">
        <v>15</v>
      </c>
      <c r="H5599" s="23" t="s">
        <v>8364</v>
      </c>
      <c r="I5599" s="23">
        <v>48</v>
      </c>
      <c r="J5599" s="23">
        <v>0</v>
      </c>
      <c r="K5599" s="23">
        <v>2</v>
      </c>
      <c r="L5599" s="23" t="s">
        <v>55</v>
      </c>
      <c r="M5599" s="25">
        <v>23.9</v>
      </c>
      <c r="N5599">
        <f t="shared" si="87"/>
        <v>1</v>
      </c>
    </row>
    <row r="5600" spans="1:14" x14ac:dyDescent="0.35">
      <c r="A5600" s="6" t="s">
        <v>5670</v>
      </c>
      <c r="B5600" s="19" t="s">
        <v>236</v>
      </c>
      <c r="C5600" s="19">
        <v>2</v>
      </c>
      <c r="D5600" s="20">
        <v>45704</v>
      </c>
      <c r="E5600" s="19" t="s">
        <v>13</v>
      </c>
      <c r="F5600" s="19" t="s">
        <v>59</v>
      </c>
      <c r="G5600" s="19" t="s">
        <v>15</v>
      </c>
      <c r="H5600" s="19" t="s">
        <v>22</v>
      </c>
      <c r="I5600" s="19">
        <v>8</v>
      </c>
      <c r="J5600" s="19">
        <v>1</v>
      </c>
      <c r="K5600" s="19">
        <v>5</v>
      </c>
      <c r="L5600" s="19" t="s">
        <v>17</v>
      </c>
      <c r="M5600" s="21">
        <v>9.3000000000000007</v>
      </c>
      <c r="N5600">
        <f t="shared" si="87"/>
        <v>0</v>
      </c>
    </row>
    <row r="5601" spans="1:14" x14ac:dyDescent="0.35">
      <c r="A5601" s="22" t="s">
        <v>5671</v>
      </c>
      <c r="B5601" s="23" t="s">
        <v>81</v>
      </c>
      <c r="C5601" s="23"/>
      <c r="D5601" s="24"/>
      <c r="E5601" s="23" t="s">
        <v>36</v>
      </c>
      <c r="F5601" s="23" t="s">
        <v>14</v>
      </c>
      <c r="G5601" s="23" t="s">
        <v>31</v>
      </c>
      <c r="H5601" s="23" t="s">
        <v>16</v>
      </c>
      <c r="I5601" s="23">
        <v>8</v>
      </c>
      <c r="J5601" s="23">
        <v>3</v>
      </c>
      <c r="K5601" s="23">
        <v>4</v>
      </c>
      <c r="L5601" s="23" t="s">
        <v>33</v>
      </c>
      <c r="M5601" s="25">
        <v>8.1999999999999993</v>
      </c>
      <c r="N5601">
        <f t="shared" si="87"/>
        <v>0</v>
      </c>
    </row>
    <row r="5602" spans="1:14" x14ac:dyDescent="0.35">
      <c r="A5602" s="6" t="s">
        <v>5672</v>
      </c>
      <c r="B5602" s="19" t="s">
        <v>108</v>
      </c>
      <c r="C5602" s="19">
        <v>12</v>
      </c>
      <c r="D5602" s="20">
        <v>45997</v>
      </c>
      <c r="E5602" s="19" t="s">
        <v>8364</v>
      </c>
      <c r="F5602" s="19" t="s">
        <v>37</v>
      </c>
      <c r="G5602" s="19" t="s">
        <v>15</v>
      </c>
      <c r="H5602" s="19" t="s">
        <v>16</v>
      </c>
      <c r="I5602" s="19">
        <v>72</v>
      </c>
      <c r="J5602" s="19">
        <v>1</v>
      </c>
      <c r="K5602" s="19">
        <v>4</v>
      </c>
      <c r="L5602" s="19" t="s">
        <v>75</v>
      </c>
      <c r="M5602" s="21">
        <v>7.8</v>
      </c>
      <c r="N5602">
        <f t="shared" si="87"/>
        <v>1</v>
      </c>
    </row>
    <row r="5603" spans="1:14" x14ac:dyDescent="0.35">
      <c r="A5603" s="22" t="s">
        <v>5673</v>
      </c>
      <c r="B5603" s="23" t="s">
        <v>81</v>
      </c>
      <c r="C5603" s="23">
        <v>10</v>
      </c>
      <c r="D5603" s="24">
        <v>45954</v>
      </c>
      <c r="E5603" s="23" t="s">
        <v>20</v>
      </c>
      <c r="F5603" s="23" t="s">
        <v>14</v>
      </c>
      <c r="G5603" s="23" t="s">
        <v>27</v>
      </c>
      <c r="H5603" s="23" t="s">
        <v>28</v>
      </c>
      <c r="I5603" s="23">
        <v>24</v>
      </c>
      <c r="J5603" s="23">
        <v>0</v>
      </c>
      <c r="K5603" s="23">
        <v>2</v>
      </c>
      <c r="L5603" s="23" t="s">
        <v>17</v>
      </c>
      <c r="M5603" s="25">
        <v>2.7</v>
      </c>
      <c r="N5603">
        <f t="shared" si="87"/>
        <v>1</v>
      </c>
    </row>
    <row r="5604" spans="1:14" x14ac:dyDescent="0.35">
      <c r="A5604" s="6" t="s">
        <v>5674</v>
      </c>
      <c r="B5604" s="19" t="s">
        <v>181</v>
      </c>
      <c r="C5604" s="19"/>
      <c r="D5604" s="20"/>
      <c r="E5604" s="19" t="s">
        <v>8364</v>
      </c>
      <c r="F5604" s="19" t="s">
        <v>14</v>
      </c>
      <c r="G5604" s="19" t="s">
        <v>27</v>
      </c>
      <c r="H5604" s="19" t="s">
        <v>8364</v>
      </c>
      <c r="I5604" s="19">
        <v>4</v>
      </c>
      <c r="J5604" s="19">
        <v>0</v>
      </c>
      <c r="K5604" s="19">
        <v>2</v>
      </c>
      <c r="L5604" s="19" t="s">
        <v>38</v>
      </c>
      <c r="M5604" s="21"/>
      <c r="N5604">
        <f t="shared" si="87"/>
        <v>1</v>
      </c>
    </row>
    <row r="5605" spans="1:14" x14ac:dyDescent="0.35">
      <c r="A5605" s="22" t="s">
        <v>5675</v>
      </c>
      <c r="B5605" s="23" t="s">
        <v>143</v>
      </c>
      <c r="C5605" s="23">
        <v>6</v>
      </c>
      <c r="D5605" s="24">
        <v>45810</v>
      </c>
      <c r="E5605" s="23" t="s">
        <v>25</v>
      </c>
      <c r="F5605" s="23" t="s">
        <v>37</v>
      </c>
      <c r="G5605" s="23" t="s">
        <v>27</v>
      </c>
      <c r="H5605" s="23" t="s">
        <v>8364</v>
      </c>
      <c r="I5605" s="23">
        <v>24</v>
      </c>
      <c r="J5605" s="23">
        <v>0</v>
      </c>
      <c r="K5605" s="23">
        <v>5</v>
      </c>
      <c r="L5605" s="23" t="s">
        <v>38</v>
      </c>
      <c r="M5605" s="25"/>
      <c r="N5605">
        <f t="shared" si="87"/>
        <v>1</v>
      </c>
    </row>
    <row r="5606" spans="1:14" x14ac:dyDescent="0.35">
      <c r="A5606" s="6" t="s">
        <v>5676</v>
      </c>
      <c r="B5606" s="19" t="s">
        <v>139</v>
      </c>
      <c r="C5606" s="19">
        <v>6</v>
      </c>
      <c r="D5606" s="20">
        <v>45818</v>
      </c>
      <c r="E5606" s="19" t="s">
        <v>8364</v>
      </c>
      <c r="F5606" s="19" t="s">
        <v>43</v>
      </c>
      <c r="G5606" s="19" t="s">
        <v>21</v>
      </c>
      <c r="H5606" s="19" t="s">
        <v>22</v>
      </c>
      <c r="I5606" s="19">
        <v>4</v>
      </c>
      <c r="J5606" s="19">
        <v>0</v>
      </c>
      <c r="K5606" s="19">
        <v>3</v>
      </c>
      <c r="L5606" s="19" t="s">
        <v>38</v>
      </c>
      <c r="M5606" s="21">
        <v>5.8</v>
      </c>
      <c r="N5606">
        <f t="shared" si="87"/>
        <v>0</v>
      </c>
    </row>
    <row r="5607" spans="1:14" x14ac:dyDescent="0.35">
      <c r="A5607" s="22" t="s">
        <v>5677</v>
      </c>
      <c r="B5607" s="23" t="s">
        <v>51</v>
      </c>
      <c r="C5607" s="23">
        <v>10</v>
      </c>
      <c r="D5607" s="24">
        <v>45948</v>
      </c>
      <c r="E5607" s="23" t="s">
        <v>8364</v>
      </c>
      <c r="F5607" s="23" t="s">
        <v>59</v>
      </c>
      <c r="G5607" s="23" t="s">
        <v>31</v>
      </c>
      <c r="H5607" s="23" t="s">
        <v>32</v>
      </c>
      <c r="I5607" s="23">
        <v>4</v>
      </c>
      <c r="J5607" s="23">
        <v>0</v>
      </c>
      <c r="K5607" s="23">
        <v>4</v>
      </c>
      <c r="L5607" s="23" t="s">
        <v>8363</v>
      </c>
      <c r="M5607" s="25">
        <v>12.3</v>
      </c>
      <c r="N5607">
        <f t="shared" si="87"/>
        <v>0</v>
      </c>
    </row>
    <row r="5608" spans="1:14" x14ac:dyDescent="0.35">
      <c r="A5608" s="6" t="s">
        <v>5678</v>
      </c>
      <c r="B5608" s="19" t="s">
        <v>57</v>
      </c>
      <c r="C5608" s="19">
        <v>1</v>
      </c>
      <c r="D5608" s="20">
        <v>45681</v>
      </c>
      <c r="E5608" s="19" t="s">
        <v>36</v>
      </c>
      <c r="F5608" s="19" t="s">
        <v>43</v>
      </c>
      <c r="G5608" s="19" t="s">
        <v>31</v>
      </c>
      <c r="H5608" s="19" t="s">
        <v>22</v>
      </c>
      <c r="I5608" s="19">
        <v>48</v>
      </c>
      <c r="J5608" s="19">
        <v>0</v>
      </c>
      <c r="K5608" s="19">
        <v>4</v>
      </c>
      <c r="L5608" s="19" t="s">
        <v>17</v>
      </c>
      <c r="M5608" s="21">
        <v>5.8</v>
      </c>
      <c r="N5608">
        <f t="shared" si="87"/>
        <v>1</v>
      </c>
    </row>
    <row r="5609" spans="1:14" x14ac:dyDescent="0.35">
      <c r="A5609" s="22" t="s">
        <v>5679</v>
      </c>
      <c r="B5609" s="23" t="s">
        <v>69</v>
      </c>
      <c r="C5609" s="23">
        <v>10</v>
      </c>
      <c r="D5609" s="24">
        <v>45943</v>
      </c>
      <c r="E5609" s="23" t="s">
        <v>8364</v>
      </c>
      <c r="F5609" s="23" t="s">
        <v>14</v>
      </c>
      <c r="G5609" s="23" t="s">
        <v>21</v>
      </c>
      <c r="H5609" s="23" t="s">
        <v>8364</v>
      </c>
      <c r="I5609" s="23">
        <v>4</v>
      </c>
      <c r="J5609" s="23">
        <v>0</v>
      </c>
      <c r="K5609" s="23"/>
      <c r="L5609" s="23" t="s">
        <v>62</v>
      </c>
      <c r="M5609" s="25"/>
      <c r="N5609">
        <f t="shared" si="87"/>
        <v>1</v>
      </c>
    </row>
    <row r="5610" spans="1:14" x14ac:dyDescent="0.35">
      <c r="A5610" s="6" t="s">
        <v>5680</v>
      </c>
      <c r="B5610" s="19" t="s">
        <v>23</v>
      </c>
      <c r="C5610" s="19">
        <v>12</v>
      </c>
      <c r="D5610" s="20">
        <v>46001</v>
      </c>
      <c r="E5610" s="19" t="s">
        <v>36</v>
      </c>
      <c r="F5610" s="19" t="s">
        <v>59</v>
      </c>
      <c r="G5610" s="19" t="s">
        <v>21</v>
      </c>
      <c r="H5610" s="19" t="s">
        <v>32</v>
      </c>
      <c r="I5610" s="19">
        <v>72</v>
      </c>
      <c r="J5610" s="19">
        <v>1</v>
      </c>
      <c r="K5610" s="19">
        <v>3</v>
      </c>
      <c r="L5610" s="19" t="s">
        <v>8363</v>
      </c>
      <c r="M5610" s="21">
        <v>3.2</v>
      </c>
      <c r="N5610">
        <f t="shared" si="87"/>
        <v>1</v>
      </c>
    </row>
    <row r="5611" spans="1:14" x14ac:dyDescent="0.35">
      <c r="A5611" s="22" t="s">
        <v>5681</v>
      </c>
      <c r="B5611" s="23" t="s">
        <v>104</v>
      </c>
      <c r="C5611" s="23">
        <v>9</v>
      </c>
      <c r="D5611" s="24">
        <v>45906</v>
      </c>
      <c r="E5611" s="23" t="s">
        <v>8364</v>
      </c>
      <c r="F5611" s="23" t="s">
        <v>37</v>
      </c>
      <c r="G5611" s="23" t="s">
        <v>31</v>
      </c>
      <c r="H5611" s="23" t="s">
        <v>28</v>
      </c>
      <c r="I5611" s="23">
        <v>72</v>
      </c>
      <c r="J5611" s="23">
        <v>0</v>
      </c>
      <c r="K5611" s="23">
        <v>3</v>
      </c>
      <c r="L5611" s="23" t="s">
        <v>75</v>
      </c>
      <c r="M5611" s="25">
        <v>10.3</v>
      </c>
      <c r="N5611">
        <f t="shared" si="87"/>
        <v>1</v>
      </c>
    </row>
    <row r="5612" spans="1:14" x14ac:dyDescent="0.35">
      <c r="A5612" s="6" t="s">
        <v>5682</v>
      </c>
      <c r="B5612" s="19" t="s">
        <v>39</v>
      </c>
      <c r="C5612" s="19">
        <v>7</v>
      </c>
      <c r="D5612" s="20">
        <v>45856</v>
      </c>
      <c r="E5612" s="19" t="s">
        <v>36</v>
      </c>
      <c r="F5612" s="19" t="s">
        <v>40</v>
      </c>
      <c r="G5612" s="19" t="s">
        <v>31</v>
      </c>
      <c r="H5612" s="19" t="s">
        <v>28</v>
      </c>
      <c r="I5612" s="19">
        <v>4</v>
      </c>
      <c r="J5612" s="19">
        <v>1</v>
      </c>
      <c r="K5612" s="19">
        <v>3</v>
      </c>
      <c r="L5612" s="19" t="s">
        <v>17</v>
      </c>
      <c r="M5612" s="21">
        <v>20.5</v>
      </c>
      <c r="N5612">
        <f t="shared" si="87"/>
        <v>0</v>
      </c>
    </row>
    <row r="5613" spans="1:14" x14ac:dyDescent="0.35">
      <c r="A5613" s="22" t="s">
        <v>5683</v>
      </c>
      <c r="B5613" s="23" t="s">
        <v>97</v>
      </c>
      <c r="C5613" s="23">
        <v>2</v>
      </c>
      <c r="D5613" s="24">
        <v>45704</v>
      </c>
      <c r="E5613" s="23" t="s">
        <v>13</v>
      </c>
      <c r="F5613" s="23" t="s">
        <v>14</v>
      </c>
      <c r="G5613" s="23" t="s">
        <v>27</v>
      </c>
      <c r="H5613" s="23" t="s">
        <v>32</v>
      </c>
      <c r="I5613" s="23">
        <v>72</v>
      </c>
      <c r="J5613" s="23"/>
      <c r="K5613" s="23">
        <v>4</v>
      </c>
      <c r="L5613" s="23" t="s">
        <v>38</v>
      </c>
      <c r="M5613" s="25">
        <v>0.8</v>
      </c>
      <c r="N5613">
        <f t="shared" si="87"/>
        <v>1</v>
      </c>
    </row>
    <row r="5614" spans="1:14" x14ac:dyDescent="0.35">
      <c r="A5614" s="6" t="s">
        <v>5684</v>
      </c>
      <c r="B5614" s="19" t="s">
        <v>101</v>
      </c>
      <c r="C5614" s="19">
        <v>4</v>
      </c>
      <c r="D5614" s="20">
        <v>45748</v>
      </c>
      <c r="E5614" s="19" t="s">
        <v>20</v>
      </c>
      <c r="F5614" s="19" t="s">
        <v>26</v>
      </c>
      <c r="G5614" s="19" t="s">
        <v>31</v>
      </c>
      <c r="H5614" s="19" t="s">
        <v>28</v>
      </c>
      <c r="I5614" s="19">
        <v>72</v>
      </c>
      <c r="J5614" s="19">
        <v>0</v>
      </c>
      <c r="K5614" s="19">
        <v>4</v>
      </c>
      <c r="L5614" s="19" t="s">
        <v>38</v>
      </c>
      <c r="M5614" s="21">
        <v>9</v>
      </c>
      <c r="N5614">
        <f t="shared" si="87"/>
        <v>1</v>
      </c>
    </row>
    <row r="5615" spans="1:14" x14ac:dyDescent="0.35">
      <c r="A5615" s="22" t="s">
        <v>5685</v>
      </c>
      <c r="B5615" s="23" t="s">
        <v>81</v>
      </c>
      <c r="C5615" s="23">
        <v>2</v>
      </c>
      <c r="D5615" s="24">
        <v>45700</v>
      </c>
      <c r="E5615" s="23" t="s">
        <v>13</v>
      </c>
      <c r="F5615" s="23" t="s">
        <v>14</v>
      </c>
      <c r="G5615" s="23" t="s">
        <v>15</v>
      </c>
      <c r="H5615" s="23" t="s">
        <v>16</v>
      </c>
      <c r="I5615" s="23">
        <v>8</v>
      </c>
      <c r="J5615" s="23"/>
      <c r="K5615" s="23">
        <v>5</v>
      </c>
      <c r="L5615" s="23" t="s">
        <v>75</v>
      </c>
      <c r="M5615" s="25">
        <v>14.9</v>
      </c>
      <c r="N5615">
        <f t="shared" si="87"/>
        <v>0</v>
      </c>
    </row>
    <row r="5616" spans="1:14" x14ac:dyDescent="0.35">
      <c r="A5616" s="6" t="s">
        <v>5686</v>
      </c>
      <c r="B5616" s="19" t="s">
        <v>45</v>
      </c>
      <c r="C5616" s="19">
        <v>2</v>
      </c>
      <c r="D5616" s="20">
        <v>45715</v>
      </c>
      <c r="E5616" s="19" t="s">
        <v>68</v>
      </c>
      <c r="F5616" s="19" t="s">
        <v>8364</v>
      </c>
      <c r="G5616" s="19" t="s">
        <v>27</v>
      </c>
      <c r="H5616" s="19" t="s">
        <v>28</v>
      </c>
      <c r="I5616" s="19">
        <v>8</v>
      </c>
      <c r="J5616" s="19">
        <v>2</v>
      </c>
      <c r="K5616" s="19"/>
      <c r="L5616" s="19" t="s">
        <v>8363</v>
      </c>
      <c r="M5616" s="21">
        <v>7.4</v>
      </c>
      <c r="N5616">
        <f t="shared" si="87"/>
        <v>1</v>
      </c>
    </row>
    <row r="5617" spans="1:14" x14ac:dyDescent="0.35">
      <c r="A5617" s="22" t="s">
        <v>5687</v>
      </c>
      <c r="B5617" s="23" t="s">
        <v>69</v>
      </c>
      <c r="C5617" s="23"/>
      <c r="D5617" s="24"/>
      <c r="E5617" s="23" t="s">
        <v>68</v>
      </c>
      <c r="F5617" s="23" t="s">
        <v>26</v>
      </c>
      <c r="G5617" s="23" t="s">
        <v>27</v>
      </c>
      <c r="H5617" s="23" t="s">
        <v>22</v>
      </c>
      <c r="I5617" s="23">
        <v>72</v>
      </c>
      <c r="J5617" s="23">
        <v>0</v>
      </c>
      <c r="K5617" s="23">
        <v>2</v>
      </c>
      <c r="L5617" s="23" t="s">
        <v>17</v>
      </c>
      <c r="M5617" s="25">
        <v>13</v>
      </c>
      <c r="N5617">
        <f t="shared" si="87"/>
        <v>1</v>
      </c>
    </row>
    <row r="5618" spans="1:14" x14ac:dyDescent="0.35">
      <c r="A5618" s="6" t="s">
        <v>5688</v>
      </c>
      <c r="B5618" s="19" t="s">
        <v>146</v>
      </c>
      <c r="C5618" s="19">
        <v>9</v>
      </c>
      <c r="D5618" s="20">
        <v>45911</v>
      </c>
      <c r="E5618" s="19" t="s">
        <v>13</v>
      </c>
      <c r="F5618" s="19" t="s">
        <v>8364</v>
      </c>
      <c r="G5618" s="19" t="s">
        <v>31</v>
      </c>
      <c r="H5618" s="19" t="s">
        <v>8364</v>
      </c>
      <c r="I5618" s="19">
        <v>24</v>
      </c>
      <c r="J5618" s="19">
        <v>0</v>
      </c>
      <c r="K5618" s="19">
        <v>3</v>
      </c>
      <c r="L5618" s="19" t="s">
        <v>38</v>
      </c>
      <c r="M5618" s="21">
        <v>7.4</v>
      </c>
      <c r="N5618">
        <f t="shared" si="87"/>
        <v>1</v>
      </c>
    </row>
    <row r="5619" spans="1:14" x14ac:dyDescent="0.35">
      <c r="A5619" s="22" t="s">
        <v>5689</v>
      </c>
      <c r="B5619" s="23" t="s">
        <v>29</v>
      </c>
      <c r="C5619" s="23">
        <v>11</v>
      </c>
      <c r="D5619" s="24">
        <v>45973</v>
      </c>
      <c r="E5619" s="23" t="s">
        <v>13</v>
      </c>
      <c r="F5619" s="23" t="s">
        <v>59</v>
      </c>
      <c r="G5619" s="23" t="s">
        <v>31</v>
      </c>
      <c r="H5619" s="23" t="s">
        <v>22</v>
      </c>
      <c r="I5619" s="23">
        <v>4</v>
      </c>
      <c r="J5619" s="23">
        <v>0</v>
      </c>
      <c r="K5619" s="23">
        <v>4</v>
      </c>
      <c r="L5619" s="23" t="s">
        <v>55</v>
      </c>
      <c r="M5619" s="25"/>
      <c r="N5619">
        <f t="shared" si="87"/>
        <v>1</v>
      </c>
    </row>
    <row r="5620" spans="1:14" x14ac:dyDescent="0.35">
      <c r="A5620" s="6" t="s">
        <v>5690</v>
      </c>
      <c r="B5620" s="19" t="s">
        <v>139</v>
      </c>
      <c r="C5620" s="19">
        <v>11</v>
      </c>
      <c r="D5620" s="20">
        <v>45991</v>
      </c>
      <c r="E5620" s="19" t="s">
        <v>13</v>
      </c>
      <c r="F5620" s="19" t="s">
        <v>37</v>
      </c>
      <c r="G5620" s="19" t="s">
        <v>27</v>
      </c>
      <c r="H5620" s="19" t="s">
        <v>32</v>
      </c>
      <c r="I5620" s="19">
        <v>8</v>
      </c>
      <c r="J5620" s="19">
        <v>1</v>
      </c>
      <c r="K5620" s="19">
        <v>5</v>
      </c>
      <c r="L5620" s="19" t="s">
        <v>8363</v>
      </c>
      <c r="M5620" s="21">
        <v>27.7</v>
      </c>
      <c r="N5620">
        <f t="shared" si="87"/>
        <v>0</v>
      </c>
    </row>
    <row r="5621" spans="1:14" x14ac:dyDescent="0.35">
      <c r="A5621" s="22" t="s">
        <v>5691</v>
      </c>
      <c r="B5621" s="23" t="s">
        <v>45</v>
      </c>
      <c r="C5621" s="23">
        <v>4</v>
      </c>
      <c r="D5621" s="24">
        <v>45762</v>
      </c>
      <c r="E5621" s="23" t="s">
        <v>25</v>
      </c>
      <c r="F5621" s="23" t="s">
        <v>43</v>
      </c>
      <c r="G5621" s="23" t="s">
        <v>21</v>
      </c>
      <c r="H5621" s="23" t="s">
        <v>22</v>
      </c>
      <c r="I5621" s="23">
        <v>24</v>
      </c>
      <c r="J5621" s="23">
        <v>2</v>
      </c>
      <c r="K5621" s="23">
        <v>5</v>
      </c>
      <c r="L5621" s="23" t="s">
        <v>8363</v>
      </c>
      <c r="M5621" s="25">
        <v>4.2</v>
      </c>
      <c r="N5621">
        <f t="shared" si="87"/>
        <v>1</v>
      </c>
    </row>
    <row r="5622" spans="1:14" x14ac:dyDescent="0.35">
      <c r="A5622" s="6" t="s">
        <v>5692</v>
      </c>
      <c r="B5622" s="19" t="s">
        <v>89</v>
      </c>
      <c r="C5622" s="19">
        <v>3</v>
      </c>
      <c r="D5622" s="20">
        <v>45723</v>
      </c>
      <c r="E5622" s="19" t="s">
        <v>68</v>
      </c>
      <c r="F5622" s="19" t="s">
        <v>43</v>
      </c>
      <c r="G5622" s="19" t="s">
        <v>31</v>
      </c>
      <c r="H5622" s="19" t="s">
        <v>28</v>
      </c>
      <c r="I5622" s="19">
        <v>48</v>
      </c>
      <c r="J5622" s="19">
        <v>0</v>
      </c>
      <c r="K5622" s="19">
        <v>5</v>
      </c>
      <c r="L5622" s="19" t="s">
        <v>33</v>
      </c>
      <c r="M5622" s="21">
        <v>8.1</v>
      </c>
      <c r="N5622">
        <f t="shared" si="87"/>
        <v>1</v>
      </c>
    </row>
    <row r="5623" spans="1:14" x14ac:dyDescent="0.35">
      <c r="A5623" s="22" t="s">
        <v>5693</v>
      </c>
      <c r="B5623" s="23" t="s">
        <v>236</v>
      </c>
      <c r="C5623" s="23">
        <v>4</v>
      </c>
      <c r="D5623" s="24">
        <v>45761</v>
      </c>
      <c r="E5623" s="23" t="s">
        <v>36</v>
      </c>
      <c r="F5623" s="23" t="s">
        <v>8364</v>
      </c>
      <c r="G5623" s="23" t="s">
        <v>27</v>
      </c>
      <c r="H5623" s="23" t="s">
        <v>22</v>
      </c>
      <c r="I5623" s="23">
        <v>72</v>
      </c>
      <c r="J5623" s="23">
        <v>0</v>
      </c>
      <c r="K5623" s="23">
        <v>4</v>
      </c>
      <c r="L5623" s="23" t="s">
        <v>38</v>
      </c>
      <c r="M5623" s="25">
        <v>10.9</v>
      </c>
      <c r="N5623">
        <f t="shared" si="87"/>
        <v>1</v>
      </c>
    </row>
    <row r="5624" spans="1:14" x14ac:dyDescent="0.35">
      <c r="A5624" s="6" t="s">
        <v>5694</v>
      </c>
      <c r="B5624" s="19" t="s">
        <v>87</v>
      </c>
      <c r="C5624" s="19">
        <v>6</v>
      </c>
      <c r="D5624" s="20">
        <v>45815</v>
      </c>
      <c r="E5624" s="19" t="s">
        <v>25</v>
      </c>
      <c r="F5624" s="19" t="s">
        <v>40</v>
      </c>
      <c r="G5624" s="19" t="s">
        <v>8364</v>
      </c>
      <c r="H5624" s="19" t="s">
        <v>22</v>
      </c>
      <c r="I5624" s="19">
        <v>24</v>
      </c>
      <c r="J5624" s="19">
        <v>0</v>
      </c>
      <c r="K5624" s="19"/>
      <c r="L5624" s="19" t="s">
        <v>75</v>
      </c>
      <c r="M5624" s="21">
        <v>11.8</v>
      </c>
      <c r="N5624">
        <f t="shared" si="87"/>
        <v>1</v>
      </c>
    </row>
    <row r="5625" spans="1:14" x14ac:dyDescent="0.35">
      <c r="A5625" s="22" t="s">
        <v>5695</v>
      </c>
      <c r="B5625" s="23" t="s">
        <v>89</v>
      </c>
      <c r="C5625" s="23">
        <v>7</v>
      </c>
      <c r="D5625" s="24">
        <v>45846</v>
      </c>
      <c r="E5625" s="23" t="s">
        <v>36</v>
      </c>
      <c r="F5625" s="23" t="s">
        <v>43</v>
      </c>
      <c r="G5625" s="23" t="s">
        <v>21</v>
      </c>
      <c r="H5625" s="23" t="s">
        <v>22</v>
      </c>
      <c r="I5625" s="23">
        <v>48</v>
      </c>
      <c r="J5625" s="23">
        <v>0</v>
      </c>
      <c r="K5625" s="23">
        <v>4</v>
      </c>
      <c r="L5625" s="23" t="s">
        <v>55</v>
      </c>
      <c r="M5625" s="25">
        <v>4.2</v>
      </c>
      <c r="N5625">
        <f t="shared" si="87"/>
        <v>1</v>
      </c>
    </row>
    <row r="5626" spans="1:14" x14ac:dyDescent="0.35">
      <c r="A5626" s="6" t="s">
        <v>5696</v>
      </c>
      <c r="B5626" s="19" t="s">
        <v>23</v>
      </c>
      <c r="C5626" s="19">
        <v>9</v>
      </c>
      <c r="D5626" s="20">
        <v>45922</v>
      </c>
      <c r="E5626" s="19" t="s">
        <v>8364</v>
      </c>
      <c r="F5626" s="19" t="s">
        <v>8364</v>
      </c>
      <c r="G5626" s="19" t="s">
        <v>21</v>
      </c>
      <c r="H5626" s="19" t="s">
        <v>8364</v>
      </c>
      <c r="I5626" s="19">
        <v>4</v>
      </c>
      <c r="J5626" s="19">
        <v>0</v>
      </c>
      <c r="K5626" s="19">
        <v>4</v>
      </c>
      <c r="L5626" s="19" t="s">
        <v>38</v>
      </c>
      <c r="M5626" s="21">
        <v>30</v>
      </c>
      <c r="N5626">
        <f t="shared" si="87"/>
        <v>0</v>
      </c>
    </row>
    <row r="5627" spans="1:14" x14ac:dyDescent="0.35">
      <c r="A5627" s="22" t="s">
        <v>5697</v>
      </c>
      <c r="B5627" s="23" t="s">
        <v>39</v>
      </c>
      <c r="C5627" s="23">
        <v>3</v>
      </c>
      <c r="D5627" s="24">
        <v>45736</v>
      </c>
      <c r="E5627" s="23" t="s">
        <v>13</v>
      </c>
      <c r="F5627" s="23" t="s">
        <v>37</v>
      </c>
      <c r="G5627" s="23" t="s">
        <v>27</v>
      </c>
      <c r="H5627" s="23" t="s">
        <v>16</v>
      </c>
      <c r="I5627" s="23">
        <v>4</v>
      </c>
      <c r="J5627" s="23">
        <v>0</v>
      </c>
      <c r="K5627" s="23">
        <v>5</v>
      </c>
      <c r="L5627" s="23" t="s">
        <v>75</v>
      </c>
      <c r="M5627" s="25">
        <v>3.5</v>
      </c>
      <c r="N5627">
        <f t="shared" si="87"/>
        <v>1</v>
      </c>
    </row>
    <row r="5628" spans="1:14" x14ac:dyDescent="0.35">
      <c r="A5628" s="6" t="s">
        <v>5698</v>
      </c>
      <c r="B5628" s="19" t="s">
        <v>41</v>
      </c>
      <c r="C5628" s="19">
        <v>9</v>
      </c>
      <c r="D5628" s="20">
        <v>45917</v>
      </c>
      <c r="E5628" s="19" t="s">
        <v>68</v>
      </c>
      <c r="F5628" s="19" t="s">
        <v>43</v>
      </c>
      <c r="G5628" s="19" t="s">
        <v>15</v>
      </c>
      <c r="H5628" s="19" t="s">
        <v>22</v>
      </c>
      <c r="I5628" s="19">
        <v>72</v>
      </c>
      <c r="J5628" s="19">
        <v>0</v>
      </c>
      <c r="K5628" s="19">
        <v>5</v>
      </c>
      <c r="L5628" s="19" t="s">
        <v>8363</v>
      </c>
      <c r="M5628" s="21">
        <v>15.7</v>
      </c>
      <c r="N5628">
        <f t="shared" si="87"/>
        <v>1</v>
      </c>
    </row>
    <row r="5629" spans="1:14" x14ac:dyDescent="0.35">
      <c r="A5629" s="22" t="s">
        <v>5699</v>
      </c>
      <c r="B5629" s="23" t="s">
        <v>92</v>
      </c>
      <c r="C5629" s="23"/>
      <c r="D5629" s="24"/>
      <c r="E5629" s="23" t="s">
        <v>36</v>
      </c>
      <c r="F5629" s="23" t="s">
        <v>59</v>
      </c>
      <c r="G5629" s="23" t="s">
        <v>15</v>
      </c>
      <c r="H5629" s="23" t="s">
        <v>22</v>
      </c>
      <c r="I5629" s="23">
        <v>72</v>
      </c>
      <c r="J5629" s="23">
        <v>0</v>
      </c>
      <c r="K5629" s="23">
        <v>4</v>
      </c>
      <c r="L5629" s="23" t="s">
        <v>75</v>
      </c>
      <c r="M5629" s="25">
        <v>5.6</v>
      </c>
      <c r="N5629">
        <f t="shared" si="87"/>
        <v>1</v>
      </c>
    </row>
    <row r="5630" spans="1:14" x14ac:dyDescent="0.35">
      <c r="A5630" s="6" t="s">
        <v>5700</v>
      </c>
      <c r="B5630" s="19" t="s">
        <v>45</v>
      </c>
      <c r="C5630" s="19">
        <v>9</v>
      </c>
      <c r="D5630" s="20">
        <v>45924</v>
      </c>
      <c r="E5630" s="19" t="s">
        <v>25</v>
      </c>
      <c r="F5630" s="19" t="s">
        <v>40</v>
      </c>
      <c r="G5630" s="19" t="s">
        <v>27</v>
      </c>
      <c r="H5630" s="19" t="s">
        <v>28</v>
      </c>
      <c r="I5630" s="19">
        <v>8</v>
      </c>
      <c r="J5630" s="19">
        <v>2</v>
      </c>
      <c r="K5630" s="19">
        <v>5</v>
      </c>
      <c r="L5630" s="19" t="s">
        <v>8363</v>
      </c>
      <c r="M5630" s="21">
        <v>21.7</v>
      </c>
      <c r="N5630">
        <f t="shared" si="87"/>
        <v>0</v>
      </c>
    </row>
    <row r="5631" spans="1:14" x14ac:dyDescent="0.35">
      <c r="A5631" s="22" t="s">
        <v>5701</v>
      </c>
      <c r="B5631" s="23" t="s">
        <v>104</v>
      </c>
      <c r="C5631" s="23">
        <v>4</v>
      </c>
      <c r="D5631" s="24">
        <v>45774</v>
      </c>
      <c r="E5631" s="23" t="s">
        <v>68</v>
      </c>
      <c r="F5631" s="23" t="s">
        <v>14</v>
      </c>
      <c r="G5631" s="23" t="s">
        <v>31</v>
      </c>
      <c r="H5631" s="23" t="s">
        <v>28</v>
      </c>
      <c r="I5631" s="23">
        <v>24</v>
      </c>
      <c r="J5631" s="23"/>
      <c r="K5631" s="23">
        <v>5</v>
      </c>
      <c r="L5631" s="23" t="s">
        <v>62</v>
      </c>
      <c r="M5631" s="25">
        <v>5.9</v>
      </c>
      <c r="N5631">
        <f t="shared" si="87"/>
        <v>1</v>
      </c>
    </row>
    <row r="5632" spans="1:14" x14ac:dyDescent="0.35">
      <c r="A5632" s="6" t="s">
        <v>5702</v>
      </c>
      <c r="B5632" s="19" t="s">
        <v>85</v>
      </c>
      <c r="C5632" s="19">
        <v>8</v>
      </c>
      <c r="D5632" s="20">
        <v>45884</v>
      </c>
      <c r="E5632" s="19" t="s">
        <v>13</v>
      </c>
      <c r="F5632" s="19" t="s">
        <v>14</v>
      </c>
      <c r="G5632" s="19" t="s">
        <v>21</v>
      </c>
      <c r="H5632" s="19" t="s">
        <v>22</v>
      </c>
      <c r="I5632" s="19">
        <v>8</v>
      </c>
      <c r="J5632" s="19">
        <v>0</v>
      </c>
      <c r="K5632" s="19">
        <v>5</v>
      </c>
      <c r="L5632" s="19" t="s">
        <v>8363</v>
      </c>
      <c r="M5632" s="21">
        <v>9.4</v>
      </c>
      <c r="N5632">
        <f t="shared" si="87"/>
        <v>0</v>
      </c>
    </row>
    <row r="5633" spans="1:14" x14ac:dyDescent="0.35">
      <c r="A5633" s="22" t="s">
        <v>5703</v>
      </c>
      <c r="B5633" s="23" t="s">
        <v>236</v>
      </c>
      <c r="C5633" s="23">
        <v>2</v>
      </c>
      <c r="D5633" s="24">
        <v>45692</v>
      </c>
      <c r="E5633" s="23" t="s">
        <v>25</v>
      </c>
      <c r="F5633" s="23" t="s">
        <v>14</v>
      </c>
      <c r="G5633" s="23" t="s">
        <v>15</v>
      </c>
      <c r="H5633" s="23" t="s">
        <v>32</v>
      </c>
      <c r="I5633" s="23">
        <v>8</v>
      </c>
      <c r="J5633" s="23">
        <v>0</v>
      </c>
      <c r="K5633" s="23">
        <v>5</v>
      </c>
      <c r="L5633" s="23" t="s">
        <v>8363</v>
      </c>
      <c r="M5633" s="25">
        <v>13.3</v>
      </c>
      <c r="N5633">
        <f t="shared" si="87"/>
        <v>0</v>
      </c>
    </row>
    <row r="5634" spans="1:14" x14ac:dyDescent="0.35">
      <c r="A5634" s="6" t="s">
        <v>5704</v>
      </c>
      <c r="B5634" s="19" t="s">
        <v>47</v>
      </c>
      <c r="C5634" s="19">
        <v>8</v>
      </c>
      <c r="D5634" s="20">
        <v>45888</v>
      </c>
      <c r="E5634" s="19" t="s">
        <v>20</v>
      </c>
      <c r="F5634" s="19" t="s">
        <v>37</v>
      </c>
      <c r="G5634" s="19" t="s">
        <v>31</v>
      </c>
      <c r="H5634" s="19" t="s">
        <v>22</v>
      </c>
      <c r="I5634" s="19">
        <v>48</v>
      </c>
      <c r="J5634" s="19">
        <v>0</v>
      </c>
      <c r="K5634" s="19">
        <v>5</v>
      </c>
      <c r="L5634" s="19" t="s">
        <v>8363</v>
      </c>
      <c r="M5634" s="21">
        <v>10.6</v>
      </c>
      <c r="N5634">
        <f t="shared" si="87"/>
        <v>1</v>
      </c>
    </row>
    <row r="5635" spans="1:14" x14ac:dyDescent="0.35">
      <c r="A5635" s="22" t="s">
        <v>5705</v>
      </c>
      <c r="B5635" s="23" t="s">
        <v>53</v>
      </c>
      <c r="C5635" s="23"/>
      <c r="D5635" s="24"/>
      <c r="E5635" s="23" t="s">
        <v>36</v>
      </c>
      <c r="F5635" s="23" t="s">
        <v>14</v>
      </c>
      <c r="G5635" s="23" t="s">
        <v>21</v>
      </c>
      <c r="H5635" s="23" t="s">
        <v>28</v>
      </c>
      <c r="I5635" s="23">
        <v>8</v>
      </c>
      <c r="J5635" s="23">
        <v>0</v>
      </c>
      <c r="K5635" s="23">
        <v>1</v>
      </c>
      <c r="L5635" s="23" t="s">
        <v>8363</v>
      </c>
      <c r="M5635" s="25">
        <v>25.3</v>
      </c>
      <c r="N5635">
        <f t="shared" ref="N5635:N5698" si="88">IF(M5635 &lt;= I5635, 1, 0)</f>
        <v>0</v>
      </c>
    </row>
    <row r="5636" spans="1:14" x14ac:dyDescent="0.35">
      <c r="A5636" s="6" t="s">
        <v>5706</v>
      </c>
      <c r="B5636" s="19" t="s">
        <v>92</v>
      </c>
      <c r="C5636" s="19">
        <v>4</v>
      </c>
      <c r="D5636" s="20">
        <v>45775</v>
      </c>
      <c r="E5636" s="19" t="s">
        <v>8364</v>
      </c>
      <c r="F5636" s="19" t="s">
        <v>14</v>
      </c>
      <c r="G5636" s="19" t="s">
        <v>31</v>
      </c>
      <c r="H5636" s="19" t="s">
        <v>22</v>
      </c>
      <c r="I5636" s="19">
        <v>48</v>
      </c>
      <c r="J5636" s="19">
        <v>1</v>
      </c>
      <c r="K5636" s="19">
        <v>5</v>
      </c>
      <c r="L5636" s="19" t="s">
        <v>8363</v>
      </c>
      <c r="M5636" s="21">
        <v>1.8</v>
      </c>
      <c r="N5636">
        <f t="shared" si="88"/>
        <v>1</v>
      </c>
    </row>
    <row r="5637" spans="1:14" x14ac:dyDescent="0.35">
      <c r="A5637" s="22" t="s">
        <v>5707</v>
      </c>
      <c r="B5637" s="23" t="s">
        <v>108</v>
      </c>
      <c r="C5637" s="23">
        <v>10</v>
      </c>
      <c r="D5637" s="24">
        <v>45933</v>
      </c>
      <c r="E5637" s="23" t="s">
        <v>8364</v>
      </c>
      <c r="F5637" s="23" t="s">
        <v>8364</v>
      </c>
      <c r="G5637" s="23" t="s">
        <v>15</v>
      </c>
      <c r="H5637" s="23" t="s">
        <v>22</v>
      </c>
      <c r="I5637" s="23">
        <v>48</v>
      </c>
      <c r="J5637" s="23">
        <v>0</v>
      </c>
      <c r="K5637" s="23">
        <v>5</v>
      </c>
      <c r="L5637" s="23" t="s">
        <v>55</v>
      </c>
      <c r="M5637" s="25">
        <v>8.6</v>
      </c>
      <c r="N5637">
        <f t="shared" si="88"/>
        <v>1</v>
      </c>
    </row>
    <row r="5638" spans="1:14" x14ac:dyDescent="0.35">
      <c r="A5638" s="6" t="s">
        <v>5708</v>
      </c>
      <c r="B5638" s="19" t="s">
        <v>78</v>
      </c>
      <c r="C5638" s="19">
        <v>12</v>
      </c>
      <c r="D5638" s="20">
        <v>46022</v>
      </c>
      <c r="E5638" s="19" t="s">
        <v>36</v>
      </c>
      <c r="F5638" s="19" t="s">
        <v>26</v>
      </c>
      <c r="G5638" s="19" t="s">
        <v>31</v>
      </c>
      <c r="H5638" s="19" t="s">
        <v>22</v>
      </c>
      <c r="I5638" s="19">
        <v>72</v>
      </c>
      <c r="J5638" s="19">
        <v>1</v>
      </c>
      <c r="K5638" s="19">
        <v>4</v>
      </c>
      <c r="L5638" s="19" t="s">
        <v>33</v>
      </c>
      <c r="M5638" s="21">
        <v>9.6999999999999993</v>
      </c>
      <c r="N5638">
        <f t="shared" si="88"/>
        <v>1</v>
      </c>
    </row>
    <row r="5639" spans="1:14" x14ac:dyDescent="0.35">
      <c r="A5639" s="22" t="s">
        <v>5709</v>
      </c>
      <c r="B5639" s="23" t="s">
        <v>47</v>
      </c>
      <c r="C5639" s="23">
        <v>9</v>
      </c>
      <c r="D5639" s="24">
        <v>45910</v>
      </c>
      <c r="E5639" s="23" t="s">
        <v>68</v>
      </c>
      <c r="F5639" s="23" t="s">
        <v>43</v>
      </c>
      <c r="G5639" s="23" t="s">
        <v>27</v>
      </c>
      <c r="H5639" s="23" t="s">
        <v>32</v>
      </c>
      <c r="I5639" s="23">
        <v>24</v>
      </c>
      <c r="J5639" s="23">
        <v>0</v>
      </c>
      <c r="K5639" s="23">
        <v>3</v>
      </c>
      <c r="L5639" s="23" t="s">
        <v>33</v>
      </c>
      <c r="M5639" s="25">
        <v>10</v>
      </c>
      <c r="N5639">
        <f t="shared" si="88"/>
        <v>1</v>
      </c>
    </row>
    <row r="5640" spans="1:14" x14ac:dyDescent="0.35">
      <c r="A5640" s="6" t="s">
        <v>5710</v>
      </c>
      <c r="B5640" s="19" t="s">
        <v>69</v>
      </c>
      <c r="C5640" s="19"/>
      <c r="D5640" s="20"/>
      <c r="E5640" s="19" t="s">
        <v>25</v>
      </c>
      <c r="F5640" s="19" t="s">
        <v>8364</v>
      </c>
      <c r="G5640" s="19" t="s">
        <v>15</v>
      </c>
      <c r="H5640" s="19" t="s">
        <v>22</v>
      </c>
      <c r="I5640" s="19">
        <v>24</v>
      </c>
      <c r="J5640" s="19">
        <v>0</v>
      </c>
      <c r="K5640" s="19">
        <v>5</v>
      </c>
      <c r="L5640" s="19" t="s">
        <v>38</v>
      </c>
      <c r="M5640" s="21">
        <v>1</v>
      </c>
      <c r="N5640">
        <f t="shared" si="88"/>
        <v>1</v>
      </c>
    </row>
    <row r="5641" spans="1:14" x14ac:dyDescent="0.35">
      <c r="A5641" s="22" t="s">
        <v>5711</v>
      </c>
      <c r="B5641" s="23" t="s">
        <v>143</v>
      </c>
      <c r="C5641" s="23">
        <v>8</v>
      </c>
      <c r="D5641" s="24">
        <v>45881</v>
      </c>
      <c r="E5641" s="23" t="s">
        <v>68</v>
      </c>
      <c r="F5641" s="23" t="s">
        <v>26</v>
      </c>
      <c r="G5641" s="23" t="s">
        <v>21</v>
      </c>
      <c r="H5641" s="23" t="s">
        <v>22</v>
      </c>
      <c r="I5641" s="23">
        <v>8</v>
      </c>
      <c r="J5641" s="23">
        <v>0</v>
      </c>
      <c r="K5641" s="23">
        <v>3</v>
      </c>
      <c r="L5641" s="23" t="s">
        <v>75</v>
      </c>
      <c r="M5641" s="25">
        <v>14.2</v>
      </c>
      <c r="N5641">
        <f t="shared" si="88"/>
        <v>0</v>
      </c>
    </row>
    <row r="5642" spans="1:14" x14ac:dyDescent="0.35">
      <c r="A5642" s="6" t="s">
        <v>5712</v>
      </c>
      <c r="B5642" s="19" t="s">
        <v>65</v>
      </c>
      <c r="C5642" s="19">
        <v>9</v>
      </c>
      <c r="D5642" s="20">
        <v>45924</v>
      </c>
      <c r="E5642" s="19" t="s">
        <v>8364</v>
      </c>
      <c r="F5642" s="19" t="s">
        <v>14</v>
      </c>
      <c r="G5642" s="19" t="s">
        <v>27</v>
      </c>
      <c r="H5642" s="19" t="s">
        <v>28</v>
      </c>
      <c r="I5642" s="19">
        <v>8</v>
      </c>
      <c r="J5642" s="19">
        <v>0</v>
      </c>
      <c r="K5642" s="19">
        <v>1</v>
      </c>
      <c r="L5642" s="19" t="s">
        <v>17</v>
      </c>
      <c r="M5642" s="21">
        <v>19.600000000000001</v>
      </c>
      <c r="N5642">
        <f t="shared" si="88"/>
        <v>0</v>
      </c>
    </row>
    <row r="5643" spans="1:14" x14ac:dyDescent="0.35">
      <c r="A5643" s="22" t="s">
        <v>5713</v>
      </c>
      <c r="B5643" s="23" t="s">
        <v>34</v>
      </c>
      <c r="C5643" s="23"/>
      <c r="D5643" s="24"/>
      <c r="E5643" s="23" t="s">
        <v>13</v>
      </c>
      <c r="F5643" s="23" t="s">
        <v>59</v>
      </c>
      <c r="G5643" s="23" t="s">
        <v>21</v>
      </c>
      <c r="H5643" s="23" t="s">
        <v>28</v>
      </c>
      <c r="I5643" s="23">
        <v>72</v>
      </c>
      <c r="J5643" s="23">
        <v>0</v>
      </c>
      <c r="K5643" s="23">
        <v>2</v>
      </c>
      <c r="L5643" s="23" t="s">
        <v>75</v>
      </c>
      <c r="M5643" s="25">
        <v>27.3</v>
      </c>
      <c r="N5643">
        <f t="shared" si="88"/>
        <v>1</v>
      </c>
    </row>
    <row r="5644" spans="1:14" x14ac:dyDescent="0.35">
      <c r="A5644" s="6" t="s">
        <v>5714</v>
      </c>
      <c r="B5644" s="19" t="s">
        <v>101</v>
      </c>
      <c r="C5644" s="19">
        <v>10</v>
      </c>
      <c r="D5644" s="20">
        <v>45944</v>
      </c>
      <c r="E5644" s="19" t="s">
        <v>13</v>
      </c>
      <c r="F5644" s="19" t="s">
        <v>14</v>
      </c>
      <c r="G5644" s="19" t="s">
        <v>31</v>
      </c>
      <c r="H5644" s="19" t="s">
        <v>32</v>
      </c>
      <c r="I5644" s="19">
        <v>72</v>
      </c>
      <c r="J5644" s="19">
        <v>1</v>
      </c>
      <c r="K5644" s="19">
        <v>5</v>
      </c>
      <c r="L5644" s="19" t="s">
        <v>33</v>
      </c>
      <c r="M5644" s="21">
        <v>14.6</v>
      </c>
      <c r="N5644">
        <f t="shared" si="88"/>
        <v>1</v>
      </c>
    </row>
    <row r="5645" spans="1:14" x14ac:dyDescent="0.35">
      <c r="A5645" s="22" t="s">
        <v>5715</v>
      </c>
      <c r="B5645" s="23" t="s">
        <v>101</v>
      </c>
      <c r="C5645" s="23">
        <v>9</v>
      </c>
      <c r="D5645" s="24">
        <v>45915</v>
      </c>
      <c r="E5645" s="23" t="s">
        <v>25</v>
      </c>
      <c r="F5645" s="23" t="s">
        <v>43</v>
      </c>
      <c r="G5645" s="23" t="s">
        <v>15</v>
      </c>
      <c r="H5645" s="23" t="s">
        <v>16</v>
      </c>
      <c r="I5645" s="23">
        <v>8</v>
      </c>
      <c r="J5645" s="23">
        <v>0</v>
      </c>
      <c r="K5645" s="23">
        <v>5</v>
      </c>
      <c r="L5645" s="23" t="s">
        <v>55</v>
      </c>
      <c r="M5645" s="25">
        <v>19.899999999999999</v>
      </c>
      <c r="N5645">
        <f t="shared" si="88"/>
        <v>0</v>
      </c>
    </row>
    <row r="5646" spans="1:14" x14ac:dyDescent="0.35">
      <c r="A5646" s="6" t="s">
        <v>5716</v>
      </c>
      <c r="B5646" s="19" t="s">
        <v>51</v>
      </c>
      <c r="C5646" s="19">
        <v>3</v>
      </c>
      <c r="D5646" s="20">
        <v>45741</v>
      </c>
      <c r="E5646" s="19" t="s">
        <v>8364</v>
      </c>
      <c r="F5646" s="19" t="s">
        <v>37</v>
      </c>
      <c r="G5646" s="19" t="s">
        <v>15</v>
      </c>
      <c r="H5646" s="19" t="s">
        <v>8364</v>
      </c>
      <c r="I5646" s="19">
        <v>48</v>
      </c>
      <c r="J5646" s="19">
        <v>0</v>
      </c>
      <c r="K5646" s="19">
        <v>2</v>
      </c>
      <c r="L5646" s="19" t="s">
        <v>55</v>
      </c>
      <c r="M5646" s="21">
        <v>3.8</v>
      </c>
      <c r="N5646">
        <f t="shared" si="88"/>
        <v>1</v>
      </c>
    </row>
    <row r="5647" spans="1:14" x14ac:dyDescent="0.35">
      <c r="A5647" s="22" t="s">
        <v>5717</v>
      </c>
      <c r="B5647" s="23" t="s">
        <v>57</v>
      </c>
      <c r="C5647" s="23"/>
      <c r="D5647" s="24"/>
      <c r="E5647" s="23" t="s">
        <v>13</v>
      </c>
      <c r="F5647" s="23" t="s">
        <v>40</v>
      </c>
      <c r="G5647" s="23" t="s">
        <v>15</v>
      </c>
      <c r="H5647" s="23" t="s">
        <v>22</v>
      </c>
      <c r="I5647" s="23">
        <v>24</v>
      </c>
      <c r="J5647" s="23">
        <v>0</v>
      </c>
      <c r="K5647" s="23">
        <v>4</v>
      </c>
      <c r="L5647" s="23" t="s">
        <v>8363</v>
      </c>
      <c r="M5647" s="25">
        <v>11.9</v>
      </c>
      <c r="N5647">
        <f t="shared" si="88"/>
        <v>1</v>
      </c>
    </row>
    <row r="5648" spans="1:14" x14ac:dyDescent="0.35">
      <c r="A5648" s="6" t="s">
        <v>5718</v>
      </c>
      <c r="B5648" s="19" t="s">
        <v>53</v>
      </c>
      <c r="C5648" s="19">
        <v>12</v>
      </c>
      <c r="D5648" s="20">
        <v>45993</v>
      </c>
      <c r="E5648" s="19" t="s">
        <v>13</v>
      </c>
      <c r="F5648" s="19" t="s">
        <v>26</v>
      </c>
      <c r="G5648" s="19" t="s">
        <v>31</v>
      </c>
      <c r="H5648" s="19" t="s">
        <v>32</v>
      </c>
      <c r="I5648" s="19">
        <v>8</v>
      </c>
      <c r="J5648" s="19">
        <v>0</v>
      </c>
      <c r="K5648" s="19">
        <v>5</v>
      </c>
      <c r="L5648" s="19" t="s">
        <v>33</v>
      </c>
      <c r="M5648" s="21">
        <v>11.5</v>
      </c>
      <c r="N5648">
        <f t="shared" si="88"/>
        <v>0</v>
      </c>
    </row>
    <row r="5649" spans="1:14" x14ac:dyDescent="0.35">
      <c r="A5649" s="22" t="s">
        <v>5719</v>
      </c>
      <c r="B5649" s="23" t="s">
        <v>18</v>
      </c>
      <c r="C5649" s="23">
        <v>3</v>
      </c>
      <c r="D5649" s="24">
        <v>45735</v>
      </c>
      <c r="E5649" s="23" t="s">
        <v>13</v>
      </c>
      <c r="F5649" s="23" t="s">
        <v>37</v>
      </c>
      <c r="G5649" s="23" t="s">
        <v>27</v>
      </c>
      <c r="H5649" s="23" t="s">
        <v>22</v>
      </c>
      <c r="I5649" s="23">
        <v>72</v>
      </c>
      <c r="J5649" s="23">
        <v>0</v>
      </c>
      <c r="K5649" s="23">
        <v>5</v>
      </c>
      <c r="L5649" s="23" t="s">
        <v>38</v>
      </c>
      <c r="M5649" s="25">
        <v>15</v>
      </c>
      <c r="N5649">
        <f t="shared" si="88"/>
        <v>1</v>
      </c>
    </row>
    <row r="5650" spans="1:14" x14ac:dyDescent="0.35">
      <c r="A5650" s="6" t="s">
        <v>5720</v>
      </c>
      <c r="B5650" s="19" t="s">
        <v>69</v>
      </c>
      <c r="C5650" s="19">
        <v>4</v>
      </c>
      <c r="D5650" s="20">
        <v>45755</v>
      </c>
      <c r="E5650" s="19" t="s">
        <v>20</v>
      </c>
      <c r="F5650" s="19" t="s">
        <v>43</v>
      </c>
      <c r="G5650" s="19" t="s">
        <v>27</v>
      </c>
      <c r="H5650" s="19" t="s">
        <v>8364</v>
      </c>
      <c r="I5650" s="19">
        <v>72</v>
      </c>
      <c r="J5650" s="19">
        <v>2</v>
      </c>
      <c r="K5650" s="19">
        <v>2</v>
      </c>
      <c r="L5650" s="19" t="s">
        <v>55</v>
      </c>
      <c r="M5650" s="21">
        <v>18.7</v>
      </c>
      <c r="N5650">
        <f t="shared" si="88"/>
        <v>1</v>
      </c>
    </row>
    <row r="5651" spans="1:14" x14ac:dyDescent="0.35">
      <c r="A5651" s="22" t="s">
        <v>5721</v>
      </c>
      <c r="B5651" s="23" t="s">
        <v>69</v>
      </c>
      <c r="C5651" s="23">
        <v>4</v>
      </c>
      <c r="D5651" s="24">
        <v>45776</v>
      </c>
      <c r="E5651" s="23" t="s">
        <v>68</v>
      </c>
      <c r="F5651" s="23" t="s">
        <v>14</v>
      </c>
      <c r="G5651" s="23" t="s">
        <v>27</v>
      </c>
      <c r="H5651" s="23" t="s">
        <v>8364</v>
      </c>
      <c r="I5651" s="23">
        <v>72</v>
      </c>
      <c r="J5651" s="23">
        <v>0</v>
      </c>
      <c r="K5651" s="23">
        <v>4</v>
      </c>
      <c r="L5651" s="23" t="s">
        <v>55</v>
      </c>
      <c r="M5651" s="25">
        <v>3.3</v>
      </c>
      <c r="N5651">
        <f t="shared" si="88"/>
        <v>1</v>
      </c>
    </row>
    <row r="5652" spans="1:14" x14ac:dyDescent="0.35">
      <c r="A5652" s="6" t="s">
        <v>5722</v>
      </c>
      <c r="B5652" s="19" t="s">
        <v>69</v>
      </c>
      <c r="C5652" s="19">
        <v>5</v>
      </c>
      <c r="D5652" s="20">
        <v>45806</v>
      </c>
      <c r="E5652" s="19" t="s">
        <v>13</v>
      </c>
      <c r="F5652" s="19" t="s">
        <v>40</v>
      </c>
      <c r="G5652" s="19" t="s">
        <v>15</v>
      </c>
      <c r="H5652" s="19" t="s">
        <v>22</v>
      </c>
      <c r="I5652" s="19">
        <v>48</v>
      </c>
      <c r="J5652" s="19">
        <v>1</v>
      </c>
      <c r="K5652" s="19"/>
      <c r="L5652" s="19" t="s">
        <v>33</v>
      </c>
      <c r="M5652" s="21">
        <v>8.4</v>
      </c>
      <c r="N5652">
        <f t="shared" si="88"/>
        <v>1</v>
      </c>
    </row>
    <row r="5653" spans="1:14" x14ac:dyDescent="0.35">
      <c r="A5653" s="22" t="s">
        <v>5723</v>
      </c>
      <c r="B5653" s="23" t="s">
        <v>97</v>
      </c>
      <c r="C5653" s="23">
        <v>5</v>
      </c>
      <c r="D5653" s="24">
        <v>45778</v>
      </c>
      <c r="E5653" s="23" t="s">
        <v>13</v>
      </c>
      <c r="F5653" s="23" t="s">
        <v>37</v>
      </c>
      <c r="G5653" s="23" t="s">
        <v>27</v>
      </c>
      <c r="H5653" s="23" t="s">
        <v>32</v>
      </c>
      <c r="I5653" s="23">
        <v>4</v>
      </c>
      <c r="J5653" s="23">
        <v>0</v>
      </c>
      <c r="K5653" s="23">
        <v>5</v>
      </c>
      <c r="L5653" s="23" t="s">
        <v>33</v>
      </c>
      <c r="M5653" s="25">
        <v>7.4</v>
      </c>
      <c r="N5653">
        <f t="shared" si="88"/>
        <v>0</v>
      </c>
    </row>
    <row r="5654" spans="1:14" x14ac:dyDescent="0.35">
      <c r="A5654" s="6" t="s">
        <v>5724</v>
      </c>
      <c r="B5654" s="19" t="s">
        <v>39</v>
      </c>
      <c r="C5654" s="19">
        <v>4</v>
      </c>
      <c r="D5654" s="20">
        <v>45755</v>
      </c>
      <c r="E5654" s="19" t="s">
        <v>13</v>
      </c>
      <c r="F5654" s="19" t="s">
        <v>14</v>
      </c>
      <c r="G5654" s="19" t="s">
        <v>31</v>
      </c>
      <c r="H5654" s="19" t="s">
        <v>8364</v>
      </c>
      <c r="I5654" s="19">
        <v>48</v>
      </c>
      <c r="J5654" s="19">
        <v>0</v>
      </c>
      <c r="K5654" s="19">
        <v>5</v>
      </c>
      <c r="L5654" s="19" t="s">
        <v>8363</v>
      </c>
      <c r="M5654" s="21">
        <v>4.7</v>
      </c>
      <c r="N5654">
        <f t="shared" si="88"/>
        <v>1</v>
      </c>
    </row>
    <row r="5655" spans="1:14" x14ac:dyDescent="0.35">
      <c r="A5655" s="22" t="s">
        <v>5725</v>
      </c>
      <c r="B5655" s="23" t="s">
        <v>53</v>
      </c>
      <c r="C5655" s="23">
        <v>6</v>
      </c>
      <c r="D5655" s="24">
        <v>45836</v>
      </c>
      <c r="E5655" s="23" t="s">
        <v>25</v>
      </c>
      <c r="F5655" s="23" t="s">
        <v>43</v>
      </c>
      <c r="G5655" s="23" t="s">
        <v>8364</v>
      </c>
      <c r="H5655" s="23" t="s">
        <v>32</v>
      </c>
      <c r="I5655" s="23">
        <v>48</v>
      </c>
      <c r="J5655" s="23">
        <v>3</v>
      </c>
      <c r="K5655" s="23">
        <v>3</v>
      </c>
      <c r="L5655" s="23" t="s">
        <v>8363</v>
      </c>
      <c r="M5655" s="25">
        <v>1.7</v>
      </c>
      <c r="N5655">
        <f t="shared" si="88"/>
        <v>1</v>
      </c>
    </row>
    <row r="5656" spans="1:14" x14ac:dyDescent="0.35">
      <c r="A5656" s="6" t="s">
        <v>5726</v>
      </c>
      <c r="B5656" s="19" t="s">
        <v>101</v>
      </c>
      <c r="C5656" s="19">
        <v>7</v>
      </c>
      <c r="D5656" s="20">
        <v>45857</v>
      </c>
      <c r="E5656" s="19" t="s">
        <v>68</v>
      </c>
      <c r="F5656" s="19" t="s">
        <v>37</v>
      </c>
      <c r="G5656" s="19" t="s">
        <v>21</v>
      </c>
      <c r="H5656" s="19" t="s">
        <v>28</v>
      </c>
      <c r="I5656" s="19">
        <v>72</v>
      </c>
      <c r="J5656" s="19">
        <v>0</v>
      </c>
      <c r="K5656" s="19">
        <v>5</v>
      </c>
      <c r="L5656" s="19" t="s">
        <v>8363</v>
      </c>
      <c r="M5656" s="21">
        <v>27.4</v>
      </c>
      <c r="N5656">
        <f t="shared" si="88"/>
        <v>1</v>
      </c>
    </row>
    <row r="5657" spans="1:14" x14ac:dyDescent="0.35">
      <c r="A5657" s="22" t="s">
        <v>5727</v>
      </c>
      <c r="B5657" s="23" t="s">
        <v>45</v>
      </c>
      <c r="C5657" s="23">
        <v>4</v>
      </c>
      <c r="D5657" s="24">
        <v>45756</v>
      </c>
      <c r="E5657" s="23" t="s">
        <v>13</v>
      </c>
      <c r="F5657" s="23" t="s">
        <v>37</v>
      </c>
      <c r="G5657" s="23" t="s">
        <v>31</v>
      </c>
      <c r="H5657" s="23" t="s">
        <v>22</v>
      </c>
      <c r="I5657" s="23">
        <v>24</v>
      </c>
      <c r="J5657" s="23">
        <v>0</v>
      </c>
      <c r="K5657" s="23">
        <v>5</v>
      </c>
      <c r="L5657" s="23" t="s">
        <v>33</v>
      </c>
      <c r="M5657" s="25">
        <v>2.6</v>
      </c>
      <c r="N5657">
        <f t="shared" si="88"/>
        <v>1</v>
      </c>
    </row>
    <row r="5658" spans="1:14" x14ac:dyDescent="0.35">
      <c r="A5658" s="6" t="s">
        <v>5728</v>
      </c>
      <c r="B5658" s="19" t="s">
        <v>146</v>
      </c>
      <c r="C5658" s="19">
        <v>9</v>
      </c>
      <c r="D5658" s="20">
        <v>45922</v>
      </c>
      <c r="E5658" s="19" t="s">
        <v>25</v>
      </c>
      <c r="F5658" s="19" t="s">
        <v>14</v>
      </c>
      <c r="G5658" s="19" t="s">
        <v>27</v>
      </c>
      <c r="H5658" s="19" t="s">
        <v>22</v>
      </c>
      <c r="I5658" s="19">
        <v>48</v>
      </c>
      <c r="J5658" s="19">
        <v>0</v>
      </c>
      <c r="K5658" s="19">
        <v>5</v>
      </c>
      <c r="L5658" s="19" t="s">
        <v>55</v>
      </c>
      <c r="M5658" s="21">
        <v>27</v>
      </c>
      <c r="N5658">
        <f t="shared" si="88"/>
        <v>1</v>
      </c>
    </row>
    <row r="5659" spans="1:14" x14ac:dyDescent="0.35">
      <c r="A5659" s="22" t="s">
        <v>5729</v>
      </c>
      <c r="B5659" s="23" t="s">
        <v>65</v>
      </c>
      <c r="C5659" s="23">
        <v>3</v>
      </c>
      <c r="D5659" s="24">
        <v>45719</v>
      </c>
      <c r="E5659" s="23" t="s">
        <v>20</v>
      </c>
      <c r="F5659" s="23" t="s">
        <v>8364</v>
      </c>
      <c r="G5659" s="23" t="s">
        <v>31</v>
      </c>
      <c r="H5659" s="23" t="s">
        <v>32</v>
      </c>
      <c r="I5659" s="23">
        <v>72</v>
      </c>
      <c r="J5659" s="23">
        <v>0</v>
      </c>
      <c r="K5659" s="23">
        <v>3</v>
      </c>
      <c r="L5659" s="23" t="s">
        <v>17</v>
      </c>
      <c r="M5659" s="25">
        <v>7.5</v>
      </c>
      <c r="N5659">
        <f t="shared" si="88"/>
        <v>1</v>
      </c>
    </row>
    <row r="5660" spans="1:14" x14ac:dyDescent="0.35">
      <c r="A5660" s="6" t="s">
        <v>5730</v>
      </c>
      <c r="B5660" s="19" t="s">
        <v>29</v>
      </c>
      <c r="C5660" s="19">
        <v>7</v>
      </c>
      <c r="D5660" s="20">
        <v>45857</v>
      </c>
      <c r="E5660" s="19" t="s">
        <v>36</v>
      </c>
      <c r="F5660" s="19" t="s">
        <v>14</v>
      </c>
      <c r="G5660" s="19" t="s">
        <v>31</v>
      </c>
      <c r="H5660" s="19" t="s">
        <v>8364</v>
      </c>
      <c r="I5660" s="19">
        <v>24</v>
      </c>
      <c r="J5660" s="19">
        <v>0</v>
      </c>
      <c r="K5660" s="19">
        <v>5</v>
      </c>
      <c r="L5660" s="19" t="s">
        <v>75</v>
      </c>
      <c r="M5660" s="21">
        <v>2.7</v>
      </c>
      <c r="N5660">
        <f t="shared" si="88"/>
        <v>1</v>
      </c>
    </row>
    <row r="5661" spans="1:14" x14ac:dyDescent="0.35">
      <c r="A5661" s="22" t="s">
        <v>5731</v>
      </c>
      <c r="B5661" s="23" t="s">
        <v>57</v>
      </c>
      <c r="C5661" s="23">
        <v>11</v>
      </c>
      <c r="D5661" s="24">
        <v>45974</v>
      </c>
      <c r="E5661" s="23" t="s">
        <v>20</v>
      </c>
      <c r="F5661" s="23" t="s">
        <v>26</v>
      </c>
      <c r="G5661" s="23" t="s">
        <v>27</v>
      </c>
      <c r="H5661" s="23" t="s">
        <v>28</v>
      </c>
      <c r="I5661" s="23">
        <v>24</v>
      </c>
      <c r="J5661" s="23">
        <v>0</v>
      </c>
      <c r="K5661" s="23">
        <v>4</v>
      </c>
      <c r="L5661" s="23" t="s">
        <v>62</v>
      </c>
      <c r="M5661" s="25">
        <v>5.3</v>
      </c>
      <c r="N5661">
        <f t="shared" si="88"/>
        <v>1</v>
      </c>
    </row>
    <row r="5662" spans="1:14" x14ac:dyDescent="0.35">
      <c r="A5662" s="6" t="s">
        <v>5732</v>
      </c>
      <c r="B5662" s="19" t="s">
        <v>69</v>
      </c>
      <c r="C5662" s="19">
        <v>4</v>
      </c>
      <c r="D5662" s="20">
        <v>45755</v>
      </c>
      <c r="E5662" s="19" t="s">
        <v>13</v>
      </c>
      <c r="F5662" s="19" t="s">
        <v>43</v>
      </c>
      <c r="G5662" s="19" t="s">
        <v>15</v>
      </c>
      <c r="H5662" s="19" t="s">
        <v>28</v>
      </c>
      <c r="I5662" s="19">
        <v>4</v>
      </c>
      <c r="J5662" s="19">
        <v>0</v>
      </c>
      <c r="K5662" s="19">
        <v>4</v>
      </c>
      <c r="L5662" s="19" t="s">
        <v>55</v>
      </c>
      <c r="M5662" s="21">
        <v>9</v>
      </c>
      <c r="N5662">
        <f t="shared" si="88"/>
        <v>0</v>
      </c>
    </row>
    <row r="5663" spans="1:14" x14ac:dyDescent="0.35">
      <c r="A5663" s="22" t="s">
        <v>5733</v>
      </c>
      <c r="B5663" s="23" t="s">
        <v>126</v>
      </c>
      <c r="C5663" s="23">
        <v>2</v>
      </c>
      <c r="D5663" s="24">
        <v>45691</v>
      </c>
      <c r="E5663" s="23" t="s">
        <v>13</v>
      </c>
      <c r="F5663" s="23" t="s">
        <v>43</v>
      </c>
      <c r="G5663" s="23" t="s">
        <v>15</v>
      </c>
      <c r="H5663" s="23" t="s">
        <v>32</v>
      </c>
      <c r="I5663" s="23">
        <v>72</v>
      </c>
      <c r="J5663" s="23">
        <v>1</v>
      </c>
      <c r="K5663" s="23">
        <v>5</v>
      </c>
      <c r="L5663" s="23" t="s">
        <v>8363</v>
      </c>
      <c r="M5663" s="25"/>
      <c r="N5663">
        <f t="shared" si="88"/>
        <v>1</v>
      </c>
    </row>
    <row r="5664" spans="1:14" x14ac:dyDescent="0.35">
      <c r="A5664" s="6" t="s">
        <v>5734</v>
      </c>
      <c r="B5664" s="19" t="s">
        <v>23</v>
      </c>
      <c r="C5664" s="19">
        <v>7</v>
      </c>
      <c r="D5664" s="20">
        <v>45869</v>
      </c>
      <c r="E5664" s="19" t="s">
        <v>68</v>
      </c>
      <c r="F5664" s="19" t="s">
        <v>14</v>
      </c>
      <c r="G5664" s="19" t="s">
        <v>8364</v>
      </c>
      <c r="H5664" s="19" t="s">
        <v>22</v>
      </c>
      <c r="I5664" s="19">
        <v>48</v>
      </c>
      <c r="J5664" s="19">
        <v>0</v>
      </c>
      <c r="K5664" s="19">
        <v>4</v>
      </c>
      <c r="L5664" s="19" t="s">
        <v>44</v>
      </c>
      <c r="M5664" s="21">
        <v>11.8</v>
      </c>
      <c r="N5664">
        <f t="shared" si="88"/>
        <v>1</v>
      </c>
    </row>
    <row r="5665" spans="1:14" x14ac:dyDescent="0.35">
      <c r="A5665" s="22" t="s">
        <v>5735</v>
      </c>
      <c r="B5665" s="23" t="s">
        <v>45</v>
      </c>
      <c r="C5665" s="23">
        <v>1</v>
      </c>
      <c r="D5665" s="24">
        <v>45679</v>
      </c>
      <c r="E5665" s="23" t="s">
        <v>13</v>
      </c>
      <c r="F5665" s="23" t="s">
        <v>8364</v>
      </c>
      <c r="G5665" s="23" t="s">
        <v>31</v>
      </c>
      <c r="H5665" s="23" t="s">
        <v>22</v>
      </c>
      <c r="I5665" s="23">
        <v>48</v>
      </c>
      <c r="J5665" s="23">
        <v>0</v>
      </c>
      <c r="K5665" s="23">
        <v>4</v>
      </c>
      <c r="L5665" s="23" t="s">
        <v>8363</v>
      </c>
      <c r="M5665" s="25">
        <v>13.6</v>
      </c>
      <c r="N5665">
        <f t="shared" si="88"/>
        <v>1</v>
      </c>
    </row>
    <row r="5666" spans="1:14" x14ac:dyDescent="0.35">
      <c r="A5666" s="6" t="s">
        <v>5736</v>
      </c>
      <c r="B5666" s="19" t="s">
        <v>87</v>
      </c>
      <c r="C5666" s="19">
        <v>10</v>
      </c>
      <c r="D5666" s="20">
        <v>45954</v>
      </c>
      <c r="E5666" s="19" t="s">
        <v>20</v>
      </c>
      <c r="F5666" s="19" t="s">
        <v>14</v>
      </c>
      <c r="G5666" s="19" t="s">
        <v>31</v>
      </c>
      <c r="H5666" s="19" t="s">
        <v>22</v>
      </c>
      <c r="I5666" s="19">
        <v>8</v>
      </c>
      <c r="J5666" s="19">
        <v>0</v>
      </c>
      <c r="K5666" s="19">
        <v>3</v>
      </c>
      <c r="L5666" s="19" t="s">
        <v>33</v>
      </c>
      <c r="M5666" s="21">
        <v>43.1</v>
      </c>
      <c r="N5666">
        <f t="shared" si="88"/>
        <v>0</v>
      </c>
    </row>
    <row r="5667" spans="1:14" x14ac:dyDescent="0.35">
      <c r="A5667" s="22" t="s">
        <v>5737</v>
      </c>
      <c r="B5667" s="23" t="s">
        <v>45</v>
      </c>
      <c r="C5667" s="23"/>
      <c r="D5667" s="24"/>
      <c r="E5667" s="23" t="s">
        <v>25</v>
      </c>
      <c r="F5667" s="23" t="s">
        <v>59</v>
      </c>
      <c r="G5667" s="23" t="s">
        <v>15</v>
      </c>
      <c r="H5667" s="23" t="s">
        <v>28</v>
      </c>
      <c r="I5667" s="23">
        <v>48</v>
      </c>
      <c r="J5667" s="23">
        <v>0</v>
      </c>
      <c r="K5667" s="23">
        <v>3</v>
      </c>
      <c r="L5667" s="23" t="s">
        <v>38</v>
      </c>
      <c r="M5667" s="25">
        <v>42.7</v>
      </c>
      <c r="N5667">
        <f t="shared" si="88"/>
        <v>1</v>
      </c>
    </row>
    <row r="5668" spans="1:14" x14ac:dyDescent="0.35">
      <c r="A5668" s="6" t="s">
        <v>5738</v>
      </c>
      <c r="B5668" s="19" t="s">
        <v>47</v>
      </c>
      <c r="C5668" s="19">
        <v>6</v>
      </c>
      <c r="D5668" s="20">
        <v>45822</v>
      </c>
      <c r="E5668" s="19" t="s">
        <v>36</v>
      </c>
      <c r="F5668" s="19" t="s">
        <v>37</v>
      </c>
      <c r="G5668" s="19" t="s">
        <v>21</v>
      </c>
      <c r="H5668" s="19" t="s">
        <v>28</v>
      </c>
      <c r="I5668" s="19">
        <v>48</v>
      </c>
      <c r="J5668" s="19">
        <v>0</v>
      </c>
      <c r="K5668" s="19">
        <v>4</v>
      </c>
      <c r="L5668" s="19" t="s">
        <v>17</v>
      </c>
      <c r="M5668" s="21">
        <v>4.9000000000000004</v>
      </c>
      <c r="N5668">
        <f t="shared" si="88"/>
        <v>1</v>
      </c>
    </row>
    <row r="5669" spans="1:14" x14ac:dyDescent="0.35">
      <c r="A5669" s="22" t="s">
        <v>5739</v>
      </c>
      <c r="B5669" s="23" t="s">
        <v>99</v>
      </c>
      <c r="C5669" s="23">
        <v>2</v>
      </c>
      <c r="D5669" s="24">
        <v>45694</v>
      </c>
      <c r="E5669" s="23" t="s">
        <v>36</v>
      </c>
      <c r="F5669" s="23" t="s">
        <v>40</v>
      </c>
      <c r="G5669" s="23" t="s">
        <v>31</v>
      </c>
      <c r="H5669" s="23" t="s">
        <v>22</v>
      </c>
      <c r="I5669" s="23">
        <v>8</v>
      </c>
      <c r="J5669" s="23">
        <v>0</v>
      </c>
      <c r="K5669" s="23">
        <v>2</v>
      </c>
      <c r="L5669" s="23" t="s">
        <v>17</v>
      </c>
      <c r="M5669" s="25">
        <v>13.7</v>
      </c>
      <c r="N5669">
        <f t="shared" si="88"/>
        <v>0</v>
      </c>
    </row>
    <row r="5670" spans="1:14" x14ac:dyDescent="0.35">
      <c r="A5670" s="6" t="s">
        <v>5740</v>
      </c>
      <c r="B5670" s="19" t="s">
        <v>104</v>
      </c>
      <c r="C5670" s="19">
        <v>12</v>
      </c>
      <c r="D5670" s="20">
        <v>46011</v>
      </c>
      <c r="E5670" s="19" t="s">
        <v>25</v>
      </c>
      <c r="F5670" s="19" t="s">
        <v>26</v>
      </c>
      <c r="G5670" s="19" t="s">
        <v>31</v>
      </c>
      <c r="H5670" s="19" t="s">
        <v>22</v>
      </c>
      <c r="I5670" s="19">
        <v>8</v>
      </c>
      <c r="J5670" s="19">
        <v>0</v>
      </c>
      <c r="K5670" s="19">
        <v>4</v>
      </c>
      <c r="L5670" s="19" t="s">
        <v>62</v>
      </c>
      <c r="M5670" s="21">
        <v>10.1</v>
      </c>
      <c r="N5670">
        <f t="shared" si="88"/>
        <v>0</v>
      </c>
    </row>
    <row r="5671" spans="1:14" x14ac:dyDescent="0.35">
      <c r="A5671" s="22" t="s">
        <v>5741</v>
      </c>
      <c r="B5671" s="23" t="s">
        <v>41</v>
      </c>
      <c r="C5671" s="23">
        <v>3</v>
      </c>
      <c r="D5671" s="24">
        <v>45736</v>
      </c>
      <c r="E5671" s="23" t="s">
        <v>20</v>
      </c>
      <c r="F5671" s="23" t="s">
        <v>43</v>
      </c>
      <c r="G5671" s="23" t="s">
        <v>27</v>
      </c>
      <c r="H5671" s="23" t="s">
        <v>22</v>
      </c>
      <c r="I5671" s="23">
        <v>48</v>
      </c>
      <c r="J5671" s="23">
        <v>1</v>
      </c>
      <c r="K5671" s="23">
        <v>5</v>
      </c>
      <c r="L5671" s="23" t="s">
        <v>38</v>
      </c>
      <c r="M5671" s="25">
        <v>17.600000000000001</v>
      </c>
      <c r="N5671">
        <f t="shared" si="88"/>
        <v>1</v>
      </c>
    </row>
    <row r="5672" spans="1:14" x14ac:dyDescent="0.35">
      <c r="A5672" s="6" t="s">
        <v>5742</v>
      </c>
      <c r="B5672" s="19" t="s">
        <v>87</v>
      </c>
      <c r="C5672" s="19">
        <v>7</v>
      </c>
      <c r="D5672" s="20">
        <v>45859</v>
      </c>
      <c r="E5672" s="19" t="s">
        <v>68</v>
      </c>
      <c r="F5672" s="19" t="s">
        <v>26</v>
      </c>
      <c r="G5672" s="19" t="s">
        <v>27</v>
      </c>
      <c r="H5672" s="19" t="s">
        <v>8364</v>
      </c>
      <c r="I5672" s="19">
        <v>8</v>
      </c>
      <c r="J5672" s="19">
        <v>0</v>
      </c>
      <c r="K5672" s="19">
        <v>2</v>
      </c>
      <c r="L5672" s="19" t="s">
        <v>33</v>
      </c>
      <c r="M5672" s="21">
        <v>1.3</v>
      </c>
      <c r="N5672">
        <f t="shared" si="88"/>
        <v>1</v>
      </c>
    </row>
    <row r="5673" spans="1:14" x14ac:dyDescent="0.35">
      <c r="A5673" s="22" t="s">
        <v>5743</v>
      </c>
      <c r="B5673" s="23" t="s">
        <v>34</v>
      </c>
      <c r="C5673" s="23">
        <v>10</v>
      </c>
      <c r="D5673" s="24">
        <v>45940</v>
      </c>
      <c r="E5673" s="23" t="s">
        <v>25</v>
      </c>
      <c r="F5673" s="23" t="s">
        <v>37</v>
      </c>
      <c r="G5673" s="23" t="s">
        <v>31</v>
      </c>
      <c r="H5673" s="23" t="s">
        <v>8364</v>
      </c>
      <c r="I5673" s="23">
        <v>48</v>
      </c>
      <c r="J5673" s="23">
        <v>0</v>
      </c>
      <c r="K5673" s="23">
        <v>3</v>
      </c>
      <c r="L5673" s="23" t="s">
        <v>8363</v>
      </c>
      <c r="M5673" s="25">
        <v>5.5</v>
      </c>
      <c r="N5673">
        <f t="shared" si="88"/>
        <v>1</v>
      </c>
    </row>
    <row r="5674" spans="1:14" x14ac:dyDescent="0.35">
      <c r="A5674" s="6" t="s">
        <v>5744</v>
      </c>
      <c r="B5674" s="19" t="s">
        <v>69</v>
      </c>
      <c r="C5674" s="19">
        <v>1</v>
      </c>
      <c r="D5674" s="20">
        <v>45659</v>
      </c>
      <c r="E5674" s="19" t="s">
        <v>13</v>
      </c>
      <c r="F5674" s="19" t="s">
        <v>26</v>
      </c>
      <c r="G5674" s="19" t="s">
        <v>8364</v>
      </c>
      <c r="H5674" s="19" t="s">
        <v>16</v>
      </c>
      <c r="I5674" s="19">
        <v>8</v>
      </c>
      <c r="J5674" s="19">
        <v>0</v>
      </c>
      <c r="K5674" s="19">
        <v>4</v>
      </c>
      <c r="L5674" s="19" t="s">
        <v>44</v>
      </c>
      <c r="M5674" s="21">
        <v>14.4</v>
      </c>
      <c r="N5674">
        <f t="shared" si="88"/>
        <v>0</v>
      </c>
    </row>
    <row r="5675" spans="1:14" x14ac:dyDescent="0.35">
      <c r="A5675" s="22" t="s">
        <v>5745</v>
      </c>
      <c r="B5675" s="23" t="s">
        <v>29</v>
      </c>
      <c r="C5675" s="23">
        <v>2</v>
      </c>
      <c r="D5675" s="24">
        <v>45715</v>
      </c>
      <c r="E5675" s="23" t="s">
        <v>8364</v>
      </c>
      <c r="F5675" s="23" t="s">
        <v>40</v>
      </c>
      <c r="G5675" s="23" t="s">
        <v>15</v>
      </c>
      <c r="H5675" s="23" t="s">
        <v>28</v>
      </c>
      <c r="I5675" s="23">
        <v>4</v>
      </c>
      <c r="J5675" s="23">
        <v>0</v>
      </c>
      <c r="K5675" s="23">
        <v>4</v>
      </c>
      <c r="L5675" s="23" t="s">
        <v>8363</v>
      </c>
      <c r="M5675" s="25">
        <v>6.1</v>
      </c>
      <c r="N5675">
        <f t="shared" si="88"/>
        <v>0</v>
      </c>
    </row>
    <row r="5676" spans="1:14" x14ac:dyDescent="0.35">
      <c r="A5676" s="6" t="s">
        <v>5746</v>
      </c>
      <c r="B5676" s="19" t="s">
        <v>39</v>
      </c>
      <c r="C5676" s="19">
        <v>9</v>
      </c>
      <c r="D5676" s="20">
        <v>45905</v>
      </c>
      <c r="E5676" s="19" t="s">
        <v>8364</v>
      </c>
      <c r="F5676" s="19" t="s">
        <v>40</v>
      </c>
      <c r="G5676" s="19" t="s">
        <v>31</v>
      </c>
      <c r="H5676" s="19" t="s">
        <v>22</v>
      </c>
      <c r="I5676" s="19">
        <v>4</v>
      </c>
      <c r="J5676" s="19">
        <v>0</v>
      </c>
      <c r="K5676" s="19">
        <v>4</v>
      </c>
      <c r="L5676" s="19" t="s">
        <v>55</v>
      </c>
      <c r="M5676" s="21">
        <v>7.9</v>
      </c>
      <c r="N5676">
        <f t="shared" si="88"/>
        <v>0</v>
      </c>
    </row>
    <row r="5677" spans="1:14" x14ac:dyDescent="0.35">
      <c r="A5677" s="22" t="s">
        <v>5747</v>
      </c>
      <c r="B5677" s="23" t="s">
        <v>34</v>
      </c>
      <c r="C5677" s="23">
        <v>8</v>
      </c>
      <c r="D5677" s="24">
        <v>45883</v>
      </c>
      <c r="E5677" s="23" t="s">
        <v>13</v>
      </c>
      <c r="F5677" s="23" t="s">
        <v>14</v>
      </c>
      <c r="G5677" s="23" t="s">
        <v>27</v>
      </c>
      <c r="H5677" s="23" t="s">
        <v>32</v>
      </c>
      <c r="I5677" s="23">
        <v>72</v>
      </c>
      <c r="J5677" s="23">
        <v>0</v>
      </c>
      <c r="K5677" s="23">
        <v>5</v>
      </c>
      <c r="L5677" s="23" t="s">
        <v>44</v>
      </c>
      <c r="M5677" s="25">
        <v>11.7</v>
      </c>
      <c r="N5677">
        <f t="shared" si="88"/>
        <v>1</v>
      </c>
    </row>
    <row r="5678" spans="1:14" x14ac:dyDescent="0.35">
      <c r="A5678" s="6" t="s">
        <v>5748</v>
      </c>
      <c r="B5678" s="19" t="s">
        <v>78</v>
      </c>
      <c r="C5678" s="19"/>
      <c r="D5678" s="20"/>
      <c r="E5678" s="19" t="s">
        <v>36</v>
      </c>
      <c r="F5678" s="19" t="s">
        <v>8364</v>
      </c>
      <c r="G5678" s="19" t="s">
        <v>27</v>
      </c>
      <c r="H5678" s="19" t="s">
        <v>22</v>
      </c>
      <c r="I5678" s="19">
        <v>4</v>
      </c>
      <c r="J5678" s="19">
        <v>0</v>
      </c>
      <c r="K5678" s="19"/>
      <c r="L5678" s="19" t="s">
        <v>8363</v>
      </c>
      <c r="M5678" s="21">
        <v>11.1</v>
      </c>
      <c r="N5678">
        <f t="shared" si="88"/>
        <v>0</v>
      </c>
    </row>
    <row r="5679" spans="1:14" x14ac:dyDescent="0.35">
      <c r="A5679" s="22" t="s">
        <v>5749</v>
      </c>
      <c r="B5679" s="23" t="s">
        <v>101</v>
      </c>
      <c r="C5679" s="23">
        <v>11</v>
      </c>
      <c r="D5679" s="24">
        <v>45967</v>
      </c>
      <c r="E5679" s="23" t="s">
        <v>13</v>
      </c>
      <c r="F5679" s="23" t="s">
        <v>43</v>
      </c>
      <c r="G5679" s="23" t="s">
        <v>31</v>
      </c>
      <c r="H5679" s="23" t="s">
        <v>32</v>
      </c>
      <c r="I5679" s="23">
        <v>8</v>
      </c>
      <c r="J5679" s="23">
        <v>0</v>
      </c>
      <c r="K5679" s="23">
        <v>5</v>
      </c>
      <c r="L5679" s="23" t="s">
        <v>8363</v>
      </c>
      <c r="M5679" s="25">
        <v>3.9</v>
      </c>
      <c r="N5679">
        <f t="shared" si="88"/>
        <v>1</v>
      </c>
    </row>
    <row r="5680" spans="1:14" x14ac:dyDescent="0.35">
      <c r="A5680" s="6" t="s">
        <v>5750</v>
      </c>
      <c r="B5680" s="19" t="s">
        <v>65</v>
      </c>
      <c r="C5680" s="19">
        <v>9</v>
      </c>
      <c r="D5680" s="20">
        <v>45904</v>
      </c>
      <c r="E5680" s="19" t="s">
        <v>68</v>
      </c>
      <c r="F5680" s="19" t="s">
        <v>59</v>
      </c>
      <c r="G5680" s="19" t="s">
        <v>31</v>
      </c>
      <c r="H5680" s="19" t="s">
        <v>22</v>
      </c>
      <c r="I5680" s="19">
        <v>48</v>
      </c>
      <c r="J5680" s="19">
        <v>0</v>
      </c>
      <c r="K5680" s="19">
        <v>2</v>
      </c>
      <c r="L5680" s="19" t="s">
        <v>38</v>
      </c>
      <c r="M5680" s="21">
        <v>13.8</v>
      </c>
      <c r="N5680">
        <f t="shared" si="88"/>
        <v>1</v>
      </c>
    </row>
    <row r="5681" spans="1:14" x14ac:dyDescent="0.35">
      <c r="A5681" s="22" t="s">
        <v>5751</v>
      </c>
      <c r="B5681" s="23" t="s">
        <v>139</v>
      </c>
      <c r="C5681" s="23">
        <v>12</v>
      </c>
      <c r="D5681" s="24">
        <v>45996</v>
      </c>
      <c r="E5681" s="23" t="s">
        <v>20</v>
      </c>
      <c r="F5681" s="23" t="s">
        <v>59</v>
      </c>
      <c r="G5681" s="23" t="s">
        <v>27</v>
      </c>
      <c r="H5681" s="23" t="s">
        <v>32</v>
      </c>
      <c r="I5681" s="23">
        <v>72</v>
      </c>
      <c r="J5681" s="23">
        <v>1</v>
      </c>
      <c r="K5681" s="23">
        <v>5</v>
      </c>
      <c r="L5681" s="23" t="s">
        <v>8363</v>
      </c>
      <c r="M5681" s="25">
        <v>2</v>
      </c>
      <c r="N5681">
        <f t="shared" si="88"/>
        <v>1</v>
      </c>
    </row>
    <row r="5682" spans="1:14" x14ac:dyDescent="0.35">
      <c r="A5682" s="6" t="s">
        <v>5752</v>
      </c>
      <c r="B5682" s="19" t="s">
        <v>29</v>
      </c>
      <c r="C5682" s="19">
        <v>2</v>
      </c>
      <c r="D5682" s="20">
        <v>45712</v>
      </c>
      <c r="E5682" s="19" t="s">
        <v>13</v>
      </c>
      <c r="F5682" s="19" t="s">
        <v>43</v>
      </c>
      <c r="G5682" s="19" t="s">
        <v>27</v>
      </c>
      <c r="H5682" s="19" t="s">
        <v>22</v>
      </c>
      <c r="I5682" s="19">
        <v>72</v>
      </c>
      <c r="J5682" s="19">
        <v>0</v>
      </c>
      <c r="K5682" s="19">
        <v>3</v>
      </c>
      <c r="L5682" s="19" t="s">
        <v>17</v>
      </c>
      <c r="M5682" s="21">
        <v>10.5</v>
      </c>
      <c r="N5682">
        <f t="shared" si="88"/>
        <v>1</v>
      </c>
    </row>
    <row r="5683" spans="1:14" x14ac:dyDescent="0.35">
      <c r="A5683" s="22" t="s">
        <v>5753</v>
      </c>
      <c r="B5683" s="23" t="s">
        <v>99</v>
      </c>
      <c r="C5683" s="23">
        <v>5</v>
      </c>
      <c r="D5683" s="24">
        <v>45780</v>
      </c>
      <c r="E5683" s="23" t="s">
        <v>36</v>
      </c>
      <c r="F5683" s="23" t="s">
        <v>43</v>
      </c>
      <c r="G5683" s="23" t="s">
        <v>31</v>
      </c>
      <c r="H5683" s="23" t="s">
        <v>32</v>
      </c>
      <c r="I5683" s="23">
        <v>8</v>
      </c>
      <c r="J5683" s="23">
        <v>1</v>
      </c>
      <c r="K5683" s="23">
        <v>3</v>
      </c>
      <c r="L5683" s="23" t="s">
        <v>38</v>
      </c>
      <c r="M5683" s="25">
        <v>8.5</v>
      </c>
      <c r="N5683">
        <f t="shared" si="88"/>
        <v>0</v>
      </c>
    </row>
    <row r="5684" spans="1:14" x14ac:dyDescent="0.35">
      <c r="A5684" s="6" t="s">
        <v>5754</v>
      </c>
      <c r="B5684" s="19" t="s">
        <v>51</v>
      </c>
      <c r="C5684" s="19">
        <v>12</v>
      </c>
      <c r="D5684" s="20">
        <v>46001</v>
      </c>
      <c r="E5684" s="19" t="s">
        <v>36</v>
      </c>
      <c r="F5684" s="19" t="s">
        <v>8364</v>
      </c>
      <c r="G5684" s="19" t="s">
        <v>15</v>
      </c>
      <c r="H5684" s="19" t="s">
        <v>16</v>
      </c>
      <c r="I5684" s="19">
        <v>24</v>
      </c>
      <c r="J5684" s="19">
        <v>0</v>
      </c>
      <c r="K5684" s="19">
        <v>4</v>
      </c>
      <c r="L5684" s="19" t="s">
        <v>44</v>
      </c>
      <c r="M5684" s="21"/>
      <c r="N5684">
        <f t="shared" si="88"/>
        <v>1</v>
      </c>
    </row>
    <row r="5685" spans="1:14" x14ac:dyDescent="0.35">
      <c r="A5685" s="22" t="s">
        <v>5755</v>
      </c>
      <c r="B5685" s="23" t="s">
        <v>139</v>
      </c>
      <c r="C5685" s="23">
        <v>11</v>
      </c>
      <c r="D5685" s="24">
        <v>45983</v>
      </c>
      <c r="E5685" s="23" t="s">
        <v>20</v>
      </c>
      <c r="F5685" s="23" t="s">
        <v>59</v>
      </c>
      <c r="G5685" s="23" t="s">
        <v>8364</v>
      </c>
      <c r="H5685" s="23" t="s">
        <v>22</v>
      </c>
      <c r="I5685" s="23">
        <v>72</v>
      </c>
      <c r="J5685" s="23">
        <v>0</v>
      </c>
      <c r="K5685" s="23">
        <v>3</v>
      </c>
      <c r="L5685" s="23" t="s">
        <v>38</v>
      </c>
      <c r="M5685" s="25">
        <v>9.4</v>
      </c>
      <c r="N5685">
        <f t="shared" si="88"/>
        <v>1</v>
      </c>
    </row>
    <row r="5686" spans="1:14" x14ac:dyDescent="0.35">
      <c r="A5686" s="6" t="s">
        <v>5756</v>
      </c>
      <c r="B5686" s="19" t="s">
        <v>41</v>
      </c>
      <c r="C5686" s="19">
        <v>3</v>
      </c>
      <c r="D5686" s="20">
        <v>45741</v>
      </c>
      <c r="E5686" s="19" t="s">
        <v>13</v>
      </c>
      <c r="F5686" s="19" t="s">
        <v>14</v>
      </c>
      <c r="G5686" s="19" t="s">
        <v>27</v>
      </c>
      <c r="H5686" s="19" t="s">
        <v>28</v>
      </c>
      <c r="I5686" s="19">
        <v>72</v>
      </c>
      <c r="J5686" s="19">
        <v>0</v>
      </c>
      <c r="K5686" s="19">
        <v>5</v>
      </c>
      <c r="L5686" s="19" t="s">
        <v>17</v>
      </c>
      <c r="M5686" s="21">
        <v>4.8</v>
      </c>
      <c r="N5686">
        <f t="shared" si="88"/>
        <v>1</v>
      </c>
    </row>
    <row r="5687" spans="1:14" x14ac:dyDescent="0.35">
      <c r="A5687" s="22" t="s">
        <v>5757</v>
      </c>
      <c r="B5687" s="23" t="s">
        <v>65</v>
      </c>
      <c r="C5687" s="23">
        <v>7</v>
      </c>
      <c r="D5687" s="24">
        <v>45866</v>
      </c>
      <c r="E5687" s="23" t="s">
        <v>8364</v>
      </c>
      <c r="F5687" s="23" t="s">
        <v>8364</v>
      </c>
      <c r="G5687" s="23" t="s">
        <v>8364</v>
      </c>
      <c r="H5687" s="23" t="s">
        <v>32</v>
      </c>
      <c r="I5687" s="23">
        <v>72</v>
      </c>
      <c r="J5687" s="23">
        <v>1</v>
      </c>
      <c r="K5687" s="23">
        <v>5</v>
      </c>
      <c r="L5687" s="23" t="s">
        <v>8363</v>
      </c>
      <c r="M5687" s="25">
        <v>9.1</v>
      </c>
      <c r="N5687">
        <f t="shared" si="88"/>
        <v>1</v>
      </c>
    </row>
    <row r="5688" spans="1:14" x14ac:dyDescent="0.35">
      <c r="A5688" s="6" t="s">
        <v>5758</v>
      </c>
      <c r="B5688" s="19" t="s">
        <v>126</v>
      </c>
      <c r="C5688" s="19">
        <v>11</v>
      </c>
      <c r="D5688" s="20">
        <v>45974</v>
      </c>
      <c r="E5688" s="19" t="s">
        <v>8364</v>
      </c>
      <c r="F5688" s="19" t="s">
        <v>8364</v>
      </c>
      <c r="G5688" s="19" t="s">
        <v>15</v>
      </c>
      <c r="H5688" s="19" t="s">
        <v>32</v>
      </c>
      <c r="I5688" s="19">
        <v>48</v>
      </c>
      <c r="J5688" s="19">
        <v>0</v>
      </c>
      <c r="K5688" s="19">
        <v>3</v>
      </c>
      <c r="L5688" s="19" t="s">
        <v>38</v>
      </c>
      <c r="M5688" s="21">
        <v>1.4</v>
      </c>
      <c r="N5688">
        <f t="shared" si="88"/>
        <v>1</v>
      </c>
    </row>
    <row r="5689" spans="1:14" x14ac:dyDescent="0.35">
      <c r="A5689" s="22" t="s">
        <v>5759</v>
      </c>
      <c r="B5689" s="23" t="s">
        <v>69</v>
      </c>
      <c r="C5689" s="23">
        <v>2</v>
      </c>
      <c r="D5689" s="24">
        <v>45700</v>
      </c>
      <c r="E5689" s="23" t="s">
        <v>36</v>
      </c>
      <c r="F5689" s="23" t="s">
        <v>14</v>
      </c>
      <c r="G5689" s="23" t="s">
        <v>21</v>
      </c>
      <c r="H5689" s="23" t="s">
        <v>22</v>
      </c>
      <c r="I5689" s="23">
        <v>8</v>
      </c>
      <c r="J5689" s="23">
        <v>2</v>
      </c>
      <c r="K5689" s="23">
        <v>4</v>
      </c>
      <c r="L5689" s="23" t="s">
        <v>33</v>
      </c>
      <c r="M5689" s="25">
        <v>8.1999999999999993</v>
      </c>
      <c r="N5689">
        <f t="shared" si="88"/>
        <v>0</v>
      </c>
    </row>
    <row r="5690" spans="1:14" x14ac:dyDescent="0.35">
      <c r="A5690" s="6" t="s">
        <v>5760</v>
      </c>
      <c r="B5690" s="19" t="s">
        <v>51</v>
      </c>
      <c r="C5690" s="19">
        <v>11</v>
      </c>
      <c r="D5690" s="20">
        <v>45983</v>
      </c>
      <c r="E5690" s="19" t="s">
        <v>8364</v>
      </c>
      <c r="F5690" s="19" t="s">
        <v>8364</v>
      </c>
      <c r="G5690" s="19" t="s">
        <v>15</v>
      </c>
      <c r="H5690" s="19" t="s">
        <v>28</v>
      </c>
      <c r="I5690" s="19">
        <v>72</v>
      </c>
      <c r="J5690" s="19">
        <v>0</v>
      </c>
      <c r="K5690" s="19"/>
      <c r="L5690" s="19" t="s">
        <v>62</v>
      </c>
      <c r="M5690" s="21">
        <v>11.2</v>
      </c>
      <c r="N5690">
        <f t="shared" si="88"/>
        <v>1</v>
      </c>
    </row>
    <row r="5691" spans="1:14" x14ac:dyDescent="0.35">
      <c r="A5691" s="22" t="s">
        <v>5761</v>
      </c>
      <c r="B5691" s="23" t="s">
        <v>72</v>
      </c>
      <c r="C5691" s="23">
        <v>11</v>
      </c>
      <c r="D5691" s="24">
        <v>45963</v>
      </c>
      <c r="E5691" s="23" t="s">
        <v>36</v>
      </c>
      <c r="F5691" s="23" t="s">
        <v>37</v>
      </c>
      <c r="G5691" s="23" t="s">
        <v>27</v>
      </c>
      <c r="H5691" s="23" t="s">
        <v>22</v>
      </c>
      <c r="I5691" s="23">
        <v>24</v>
      </c>
      <c r="J5691" s="23">
        <v>2</v>
      </c>
      <c r="K5691" s="23">
        <v>4</v>
      </c>
      <c r="L5691" s="23" t="s">
        <v>33</v>
      </c>
      <c r="M5691" s="25">
        <v>8</v>
      </c>
      <c r="N5691">
        <f t="shared" si="88"/>
        <v>1</v>
      </c>
    </row>
    <row r="5692" spans="1:14" x14ac:dyDescent="0.35">
      <c r="A5692" s="6" t="s">
        <v>5762</v>
      </c>
      <c r="B5692" s="19" t="s">
        <v>158</v>
      </c>
      <c r="C5692" s="19">
        <v>2</v>
      </c>
      <c r="D5692" s="20">
        <v>45695</v>
      </c>
      <c r="E5692" s="19" t="s">
        <v>13</v>
      </c>
      <c r="F5692" s="19" t="s">
        <v>59</v>
      </c>
      <c r="G5692" s="19" t="s">
        <v>8364</v>
      </c>
      <c r="H5692" s="19" t="s">
        <v>8364</v>
      </c>
      <c r="I5692" s="19">
        <v>48</v>
      </c>
      <c r="J5692" s="19">
        <v>0</v>
      </c>
      <c r="K5692" s="19">
        <v>4</v>
      </c>
      <c r="L5692" s="19" t="s">
        <v>38</v>
      </c>
      <c r="M5692" s="21">
        <v>6.9</v>
      </c>
      <c r="N5692">
        <f t="shared" si="88"/>
        <v>1</v>
      </c>
    </row>
    <row r="5693" spans="1:14" x14ac:dyDescent="0.35">
      <c r="A5693" s="22" t="s">
        <v>5763</v>
      </c>
      <c r="B5693" s="23" t="s">
        <v>34</v>
      </c>
      <c r="C5693" s="23">
        <v>7</v>
      </c>
      <c r="D5693" s="24">
        <v>45854</v>
      </c>
      <c r="E5693" s="23" t="s">
        <v>20</v>
      </c>
      <c r="F5693" s="23" t="s">
        <v>8364</v>
      </c>
      <c r="G5693" s="23" t="s">
        <v>15</v>
      </c>
      <c r="H5693" s="23" t="s">
        <v>22</v>
      </c>
      <c r="I5693" s="23">
        <v>4</v>
      </c>
      <c r="J5693" s="23">
        <v>0</v>
      </c>
      <c r="K5693" s="23">
        <v>5</v>
      </c>
      <c r="L5693" s="23" t="s">
        <v>44</v>
      </c>
      <c r="M5693" s="25">
        <v>9.6</v>
      </c>
      <c r="N5693">
        <f t="shared" si="88"/>
        <v>0</v>
      </c>
    </row>
    <row r="5694" spans="1:14" x14ac:dyDescent="0.35">
      <c r="A5694" s="6" t="s">
        <v>5764</v>
      </c>
      <c r="B5694" s="19" t="s">
        <v>65</v>
      </c>
      <c r="C5694" s="19">
        <v>10</v>
      </c>
      <c r="D5694" s="20">
        <v>45954</v>
      </c>
      <c r="E5694" s="19" t="s">
        <v>20</v>
      </c>
      <c r="F5694" s="19" t="s">
        <v>59</v>
      </c>
      <c r="G5694" s="19" t="s">
        <v>8364</v>
      </c>
      <c r="H5694" s="19" t="s">
        <v>8364</v>
      </c>
      <c r="I5694" s="19">
        <v>48</v>
      </c>
      <c r="J5694" s="19">
        <v>0</v>
      </c>
      <c r="K5694" s="19">
        <v>5</v>
      </c>
      <c r="L5694" s="19" t="s">
        <v>55</v>
      </c>
      <c r="M5694" s="21">
        <v>11.5</v>
      </c>
      <c r="N5694">
        <f t="shared" si="88"/>
        <v>1</v>
      </c>
    </row>
    <row r="5695" spans="1:14" x14ac:dyDescent="0.35">
      <c r="A5695" s="22" t="s">
        <v>5765</v>
      </c>
      <c r="B5695" s="23" t="s">
        <v>47</v>
      </c>
      <c r="C5695" s="23">
        <v>4</v>
      </c>
      <c r="D5695" s="24">
        <v>45768</v>
      </c>
      <c r="E5695" s="23" t="s">
        <v>13</v>
      </c>
      <c r="F5695" s="23" t="s">
        <v>43</v>
      </c>
      <c r="G5695" s="23" t="s">
        <v>15</v>
      </c>
      <c r="H5695" s="23" t="s">
        <v>22</v>
      </c>
      <c r="I5695" s="23">
        <v>4</v>
      </c>
      <c r="J5695" s="23">
        <v>0</v>
      </c>
      <c r="K5695" s="23">
        <v>5</v>
      </c>
      <c r="L5695" s="23" t="s">
        <v>55</v>
      </c>
      <c r="M5695" s="25"/>
      <c r="N5695">
        <f t="shared" si="88"/>
        <v>1</v>
      </c>
    </row>
    <row r="5696" spans="1:14" x14ac:dyDescent="0.35">
      <c r="A5696" s="6" t="s">
        <v>5766</v>
      </c>
      <c r="B5696" s="19" t="s">
        <v>65</v>
      </c>
      <c r="C5696" s="19">
        <v>5</v>
      </c>
      <c r="D5696" s="20">
        <v>45804</v>
      </c>
      <c r="E5696" s="19" t="s">
        <v>13</v>
      </c>
      <c r="F5696" s="19" t="s">
        <v>59</v>
      </c>
      <c r="G5696" s="19" t="s">
        <v>27</v>
      </c>
      <c r="H5696" s="19" t="s">
        <v>22</v>
      </c>
      <c r="I5696" s="19">
        <v>48</v>
      </c>
      <c r="J5696" s="19">
        <v>0</v>
      </c>
      <c r="K5696" s="19">
        <v>5</v>
      </c>
      <c r="L5696" s="19" t="s">
        <v>62</v>
      </c>
      <c r="M5696" s="21">
        <v>24.7</v>
      </c>
      <c r="N5696">
        <f t="shared" si="88"/>
        <v>1</v>
      </c>
    </row>
    <row r="5697" spans="1:14" x14ac:dyDescent="0.35">
      <c r="A5697" s="22" t="s">
        <v>5767</v>
      </c>
      <c r="B5697" s="23" t="s">
        <v>236</v>
      </c>
      <c r="C5697" s="23">
        <v>10</v>
      </c>
      <c r="D5697" s="24">
        <v>45941</v>
      </c>
      <c r="E5697" s="23" t="s">
        <v>25</v>
      </c>
      <c r="F5697" s="23" t="s">
        <v>43</v>
      </c>
      <c r="G5697" s="23" t="s">
        <v>15</v>
      </c>
      <c r="H5697" s="23" t="s">
        <v>32</v>
      </c>
      <c r="I5697" s="23">
        <v>24</v>
      </c>
      <c r="J5697" s="23">
        <v>0</v>
      </c>
      <c r="K5697" s="23">
        <v>5</v>
      </c>
      <c r="L5697" s="23" t="s">
        <v>38</v>
      </c>
      <c r="M5697" s="25">
        <v>10.1</v>
      </c>
      <c r="N5697">
        <f t="shared" si="88"/>
        <v>1</v>
      </c>
    </row>
    <row r="5698" spans="1:14" x14ac:dyDescent="0.35">
      <c r="A5698" s="6" t="s">
        <v>5768</v>
      </c>
      <c r="B5698" s="19" t="s">
        <v>45</v>
      </c>
      <c r="C5698" s="19">
        <v>5</v>
      </c>
      <c r="D5698" s="20">
        <v>45796</v>
      </c>
      <c r="E5698" s="19" t="s">
        <v>36</v>
      </c>
      <c r="F5698" s="19" t="s">
        <v>14</v>
      </c>
      <c r="G5698" s="19" t="s">
        <v>27</v>
      </c>
      <c r="H5698" s="19" t="s">
        <v>28</v>
      </c>
      <c r="I5698" s="19">
        <v>72</v>
      </c>
      <c r="J5698" s="19">
        <v>0</v>
      </c>
      <c r="K5698" s="19">
        <v>1</v>
      </c>
      <c r="L5698" s="19" t="s">
        <v>62</v>
      </c>
      <c r="M5698" s="21">
        <v>3.3</v>
      </c>
      <c r="N5698">
        <f t="shared" si="88"/>
        <v>1</v>
      </c>
    </row>
    <row r="5699" spans="1:14" x14ac:dyDescent="0.35">
      <c r="A5699" s="22" t="s">
        <v>5769</v>
      </c>
      <c r="B5699" s="23" t="s">
        <v>65</v>
      </c>
      <c r="C5699" s="23">
        <v>7</v>
      </c>
      <c r="D5699" s="24">
        <v>45848</v>
      </c>
      <c r="E5699" s="23" t="s">
        <v>8364</v>
      </c>
      <c r="F5699" s="23" t="s">
        <v>14</v>
      </c>
      <c r="G5699" s="23" t="s">
        <v>21</v>
      </c>
      <c r="H5699" s="23" t="s">
        <v>22</v>
      </c>
      <c r="I5699" s="23">
        <v>72</v>
      </c>
      <c r="J5699" s="23">
        <v>0</v>
      </c>
      <c r="K5699" s="23">
        <v>3</v>
      </c>
      <c r="L5699" s="23" t="s">
        <v>38</v>
      </c>
      <c r="M5699" s="25">
        <v>10.8</v>
      </c>
      <c r="N5699">
        <f t="shared" ref="N5699:N5762" si="89">IF(M5699 &lt;= I5699, 1, 0)</f>
        <v>1</v>
      </c>
    </row>
    <row r="5700" spans="1:14" x14ac:dyDescent="0.35">
      <c r="A5700" s="6" t="s">
        <v>5770</v>
      </c>
      <c r="B5700" s="19" t="s">
        <v>87</v>
      </c>
      <c r="C5700" s="19">
        <v>3</v>
      </c>
      <c r="D5700" s="20">
        <v>45735</v>
      </c>
      <c r="E5700" s="19" t="s">
        <v>25</v>
      </c>
      <c r="F5700" s="19" t="s">
        <v>14</v>
      </c>
      <c r="G5700" s="19" t="s">
        <v>27</v>
      </c>
      <c r="H5700" s="19" t="s">
        <v>22</v>
      </c>
      <c r="I5700" s="19">
        <v>72</v>
      </c>
      <c r="J5700" s="19">
        <v>0</v>
      </c>
      <c r="K5700" s="19">
        <v>5</v>
      </c>
      <c r="L5700" s="19" t="s">
        <v>17</v>
      </c>
      <c r="M5700" s="21">
        <v>4.4000000000000004</v>
      </c>
      <c r="N5700">
        <f t="shared" si="89"/>
        <v>1</v>
      </c>
    </row>
    <row r="5701" spans="1:14" x14ac:dyDescent="0.35">
      <c r="A5701" s="22" t="s">
        <v>5771</v>
      </c>
      <c r="B5701" s="23" t="s">
        <v>18</v>
      </c>
      <c r="C5701" s="23">
        <v>1</v>
      </c>
      <c r="D5701" s="24">
        <v>45676</v>
      </c>
      <c r="E5701" s="23" t="s">
        <v>8364</v>
      </c>
      <c r="F5701" s="23" t="s">
        <v>43</v>
      </c>
      <c r="G5701" s="23" t="s">
        <v>27</v>
      </c>
      <c r="H5701" s="23" t="s">
        <v>22</v>
      </c>
      <c r="I5701" s="23">
        <v>72</v>
      </c>
      <c r="J5701" s="23">
        <v>2</v>
      </c>
      <c r="K5701" s="23">
        <v>2</v>
      </c>
      <c r="L5701" s="23" t="s">
        <v>55</v>
      </c>
      <c r="M5701" s="25">
        <v>20.3</v>
      </c>
      <c r="N5701">
        <f t="shared" si="89"/>
        <v>1</v>
      </c>
    </row>
    <row r="5702" spans="1:14" x14ac:dyDescent="0.35">
      <c r="A5702" s="6" t="s">
        <v>5772</v>
      </c>
      <c r="B5702" s="19" t="s">
        <v>92</v>
      </c>
      <c r="C5702" s="19">
        <v>1</v>
      </c>
      <c r="D5702" s="20">
        <v>45670</v>
      </c>
      <c r="E5702" s="19" t="s">
        <v>13</v>
      </c>
      <c r="F5702" s="19" t="s">
        <v>43</v>
      </c>
      <c r="G5702" s="19" t="s">
        <v>21</v>
      </c>
      <c r="H5702" s="19" t="s">
        <v>8364</v>
      </c>
      <c r="I5702" s="19">
        <v>4</v>
      </c>
      <c r="J5702" s="19">
        <v>0</v>
      </c>
      <c r="K5702" s="19"/>
      <c r="L5702" s="19" t="s">
        <v>33</v>
      </c>
      <c r="M5702" s="21">
        <v>16.8</v>
      </c>
      <c r="N5702">
        <f t="shared" si="89"/>
        <v>0</v>
      </c>
    </row>
    <row r="5703" spans="1:14" x14ac:dyDescent="0.35">
      <c r="A5703" s="22" t="s">
        <v>5773</v>
      </c>
      <c r="B5703" s="23" t="s">
        <v>236</v>
      </c>
      <c r="C5703" s="23">
        <v>12</v>
      </c>
      <c r="D5703" s="24">
        <v>46010</v>
      </c>
      <c r="E5703" s="23" t="s">
        <v>36</v>
      </c>
      <c r="F5703" s="23" t="s">
        <v>8364</v>
      </c>
      <c r="G5703" s="23" t="s">
        <v>31</v>
      </c>
      <c r="H5703" s="23" t="s">
        <v>16</v>
      </c>
      <c r="I5703" s="23">
        <v>4</v>
      </c>
      <c r="J5703" s="23">
        <v>0</v>
      </c>
      <c r="K5703" s="23">
        <v>4</v>
      </c>
      <c r="L5703" s="23" t="s">
        <v>17</v>
      </c>
      <c r="M5703" s="25">
        <v>1.7</v>
      </c>
      <c r="N5703">
        <f t="shared" si="89"/>
        <v>1</v>
      </c>
    </row>
    <row r="5704" spans="1:14" x14ac:dyDescent="0.35">
      <c r="A5704" s="6" t="s">
        <v>5774</v>
      </c>
      <c r="B5704" s="19" t="s">
        <v>39</v>
      </c>
      <c r="C5704" s="19">
        <v>11</v>
      </c>
      <c r="D5704" s="20">
        <v>45971</v>
      </c>
      <c r="E5704" s="19" t="s">
        <v>36</v>
      </c>
      <c r="F5704" s="19" t="s">
        <v>8364</v>
      </c>
      <c r="G5704" s="19" t="s">
        <v>8364</v>
      </c>
      <c r="H5704" s="19" t="s">
        <v>16</v>
      </c>
      <c r="I5704" s="19">
        <v>72</v>
      </c>
      <c r="J5704" s="19">
        <v>0</v>
      </c>
      <c r="K5704" s="19">
        <v>5</v>
      </c>
      <c r="L5704" s="19" t="s">
        <v>33</v>
      </c>
      <c r="M5704" s="21">
        <v>8.3000000000000007</v>
      </c>
      <c r="N5704">
        <f t="shared" si="89"/>
        <v>1</v>
      </c>
    </row>
    <row r="5705" spans="1:14" x14ac:dyDescent="0.35">
      <c r="A5705" s="22" t="s">
        <v>5775</v>
      </c>
      <c r="B5705" s="23" t="s">
        <v>29</v>
      </c>
      <c r="C5705" s="23">
        <v>2</v>
      </c>
      <c r="D5705" s="24">
        <v>45714</v>
      </c>
      <c r="E5705" s="23" t="s">
        <v>25</v>
      </c>
      <c r="F5705" s="23" t="s">
        <v>14</v>
      </c>
      <c r="G5705" s="23" t="s">
        <v>8364</v>
      </c>
      <c r="H5705" s="23" t="s">
        <v>28</v>
      </c>
      <c r="I5705" s="23">
        <v>24</v>
      </c>
      <c r="J5705" s="23">
        <v>0</v>
      </c>
      <c r="K5705" s="23"/>
      <c r="L5705" s="23" t="s">
        <v>17</v>
      </c>
      <c r="M5705" s="25">
        <v>13.8</v>
      </c>
      <c r="N5705">
        <f t="shared" si="89"/>
        <v>1</v>
      </c>
    </row>
    <row r="5706" spans="1:14" x14ac:dyDescent="0.35">
      <c r="A5706" s="6" t="s">
        <v>5776</v>
      </c>
      <c r="B5706" s="19" t="s">
        <v>104</v>
      </c>
      <c r="C5706" s="19">
        <v>5</v>
      </c>
      <c r="D5706" s="20">
        <v>45791</v>
      </c>
      <c r="E5706" s="19" t="s">
        <v>13</v>
      </c>
      <c r="F5706" s="19" t="s">
        <v>37</v>
      </c>
      <c r="G5706" s="19" t="s">
        <v>21</v>
      </c>
      <c r="H5706" s="19" t="s">
        <v>28</v>
      </c>
      <c r="I5706" s="19">
        <v>4</v>
      </c>
      <c r="J5706" s="19">
        <v>0</v>
      </c>
      <c r="K5706" s="19">
        <v>5</v>
      </c>
      <c r="L5706" s="19" t="s">
        <v>62</v>
      </c>
      <c r="M5706" s="21">
        <v>7.7</v>
      </c>
      <c r="N5706">
        <f t="shared" si="89"/>
        <v>0</v>
      </c>
    </row>
    <row r="5707" spans="1:14" x14ac:dyDescent="0.35">
      <c r="A5707" s="22" t="s">
        <v>5777</v>
      </c>
      <c r="B5707" s="23" t="s">
        <v>72</v>
      </c>
      <c r="C5707" s="23">
        <v>3</v>
      </c>
      <c r="D5707" s="24">
        <v>45727</v>
      </c>
      <c r="E5707" s="23" t="s">
        <v>68</v>
      </c>
      <c r="F5707" s="23" t="s">
        <v>59</v>
      </c>
      <c r="G5707" s="23" t="s">
        <v>31</v>
      </c>
      <c r="H5707" s="23" t="s">
        <v>28</v>
      </c>
      <c r="I5707" s="23">
        <v>8</v>
      </c>
      <c r="J5707" s="23">
        <v>1</v>
      </c>
      <c r="K5707" s="23">
        <v>5</v>
      </c>
      <c r="L5707" s="23" t="s">
        <v>8363</v>
      </c>
      <c r="M5707" s="25">
        <v>6.5</v>
      </c>
      <c r="N5707">
        <f t="shared" si="89"/>
        <v>1</v>
      </c>
    </row>
    <row r="5708" spans="1:14" x14ac:dyDescent="0.35">
      <c r="A5708" s="6" t="s">
        <v>5778</v>
      </c>
      <c r="B5708" s="19" t="s">
        <v>53</v>
      </c>
      <c r="C5708" s="19"/>
      <c r="D5708" s="20"/>
      <c r="E5708" s="19" t="s">
        <v>13</v>
      </c>
      <c r="F5708" s="19" t="s">
        <v>40</v>
      </c>
      <c r="G5708" s="19" t="s">
        <v>27</v>
      </c>
      <c r="H5708" s="19" t="s">
        <v>8364</v>
      </c>
      <c r="I5708" s="19">
        <v>4</v>
      </c>
      <c r="J5708" s="19">
        <v>2</v>
      </c>
      <c r="K5708" s="19">
        <v>5</v>
      </c>
      <c r="L5708" s="19" t="s">
        <v>33</v>
      </c>
      <c r="M5708" s="21">
        <v>1.2</v>
      </c>
      <c r="N5708">
        <f t="shared" si="89"/>
        <v>1</v>
      </c>
    </row>
    <row r="5709" spans="1:14" x14ac:dyDescent="0.35">
      <c r="A5709" s="22" t="s">
        <v>5779</v>
      </c>
      <c r="B5709" s="23" t="s">
        <v>65</v>
      </c>
      <c r="C5709" s="23">
        <v>5</v>
      </c>
      <c r="D5709" s="24">
        <v>45804</v>
      </c>
      <c r="E5709" s="23" t="s">
        <v>25</v>
      </c>
      <c r="F5709" s="23" t="s">
        <v>8364</v>
      </c>
      <c r="G5709" s="23" t="s">
        <v>15</v>
      </c>
      <c r="H5709" s="23" t="s">
        <v>22</v>
      </c>
      <c r="I5709" s="23">
        <v>4</v>
      </c>
      <c r="J5709" s="23">
        <v>0</v>
      </c>
      <c r="K5709" s="23">
        <v>5</v>
      </c>
      <c r="L5709" s="23" t="s">
        <v>33</v>
      </c>
      <c r="M5709" s="25">
        <v>23.8</v>
      </c>
      <c r="N5709">
        <f t="shared" si="89"/>
        <v>0</v>
      </c>
    </row>
    <row r="5710" spans="1:14" x14ac:dyDescent="0.35">
      <c r="A5710" s="6" t="s">
        <v>5780</v>
      </c>
      <c r="B5710" s="19" t="s">
        <v>108</v>
      </c>
      <c r="C5710" s="19">
        <v>3</v>
      </c>
      <c r="D5710" s="20">
        <v>45739</v>
      </c>
      <c r="E5710" s="19" t="s">
        <v>25</v>
      </c>
      <c r="F5710" s="19" t="s">
        <v>43</v>
      </c>
      <c r="G5710" s="19" t="s">
        <v>8364</v>
      </c>
      <c r="H5710" s="19" t="s">
        <v>16</v>
      </c>
      <c r="I5710" s="19">
        <v>4</v>
      </c>
      <c r="J5710" s="19">
        <v>0</v>
      </c>
      <c r="K5710" s="19">
        <v>4</v>
      </c>
      <c r="L5710" s="19" t="s">
        <v>33</v>
      </c>
      <c r="M5710" s="21">
        <v>11.7</v>
      </c>
      <c r="N5710">
        <f t="shared" si="89"/>
        <v>0</v>
      </c>
    </row>
    <row r="5711" spans="1:14" x14ac:dyDescent="0.35">
      <c r="A5711" s="22" t="s">
        <v>5781</v>
      </c>
      <c r="B5711" s="23" t="s">
        <v>130</v>
      </c>
      <c r="C5711" s="23">
        <v>7</v>
      </c>
      <c r="D5711" s="24">
        <v>45848</v>
      </c>
      <c r="E5711" s="23" t="s">
        <v>13</v>
      </c>
      <c r="F5711" s="23" t="s">
        <v>8364</v>
      </c>
      <c r="G5711" s="23" t="s">
        <v>15</v>
      </c>
      <c r="H5711" s="23" t="s">
        <v>22</v>
      </c>
      <c r="I5711" s="23">
        <v>72</v>
      </c>
      <c r="J5711" s="23">
        <v>0</v>
      </c>
      <c r="K5711" s="23">
        <v>3</v>
      </c>
      <c r="L5711" s="23" t="s">
        <v>55</v>
      </c>
      <c r="M5711" s="25">
        <v>2.2999999999999998</v>
      </c>
      <c r="N5711">
        <f t="shared" si="89"/>
        <v>1</v>
      </c>
    </row>
    <row r="5712" spans="1:14" x14ac:dyDescent="0.35">
      <c r="A5712" s="6" t="s">
        <v>5782</v>
      </c>
      <c r="B5712" s="19" t="s">
        <v>69</v>
      </c>
      <c r="C5712" s="19">
        <v>9</v>
      </c>
      <c r="D5712" s="20">
        <v>45930</v>
      </c>
      <c r="E5712" s="19" t="s">
        <v>20</v>
      </c>
      <c r="F5712" s="19" t="s">
        <v>14</v>
      </c>
      <c r="G5712" s="19" t="s">
        <v>21</v>
      </c>
      <c r="H5712" s="19" t="s">
        <v>32</v>
      </c>
      <c r="I5712" s="19">
        <v>24</v>
      </c>
      <c r="J5712" s="19">
        <v>0</v>
      </c>
      <c r="K5712" s="19">
        <v>4</v>
      </c>
      <c r="L5712" s="19" t="s">
        <v>33</v>
      </c>
      <c r="M5712" s="21"/>
      <c r="N5712">
        <f t="shared" si="89"/>
        <v>1</v>
      </c>
    </row>
    <row r="5713" spans="1:14" x14ac:dyDescent="0.35">
      <c r="A5713" s="22" t="s">
        <v>5783</v>
      </c>
      <c r="B5713" s="23" t="s">
        <v>139</v>
      </c>
      <c r="C5713" s="23">
        <v>8</v>
      </c>
      <c r="D5713" s="24">
        <v>45899</v>
      </c>
      <c r="E5713" s="23" t="s">
        <v>68</v>
      </c>
      <c r="F5713" s="23" t="s">
        <v>43</v>
      </c>
      <c r="G5713" s="23" t="s">
        <v>27</v>
      </c>
      <c r="H5713" s="23" t="s">
        <v>16</v>
      </c>
      <c r="I5713" s="23">
        <v>72</v>
      </c>
      <c r="J5713" s="23">
        <v>0</v>
      </c>
      <c r="K5713" s="23">
        <v>4</v>
      </c>
      <c r="L5713" s="23" t="s">
        <v>33</v>
      </c>
      <c r="M5713" s="25">
        <v>7.9</v>
      </c>
      <c r="N5713">
        <f t="shared" si="89"/>
        <v>1</v>
      </c>
    </row>
    <row r="5714" spans="1:14" x14ac:dyDescent="0.35">
      <c r="A5714" s="6" t="s">
        <v>5784</v>
      </c>
      <c r="B5714" s="19" t="s">
        <v>92</v>
      </c>
      <c r="C5714" s="19"/>
      <c r="D5714" s="20"/>
      <c r="E5714" s="19" t="s">
        <v>8364</v>
      </c>
      <c r="F5714" s="19" t="s">
        <v>8364</v>
      </c>
      <c r="G5714" s="19" t="s">
        <v>27</v>
      </c>
      <c r="H5714" s="19" t="s">
        <v>32</v>
      </c>
      <c r="I5714" s="19">
        <v>8</v>
      </c>
      <c r="J5714" s="19">
        <v>0</v>
      </c>
      <c r="K5714" s="19">
        <v>4</v>
      </c>
      <c r="L5714" s="19" t="s">
        <v>17</v>
      </c>
      <c r="M5714" s="21">
        <v>4</v>
      </c>
      <c r="N5714">
        <f t="shared" si="89"/>
        <v>1</v>
      </c>
    </row>
    <row r="5715" spans="1:14" x14ac:dyDescent="0.35">
      <c r="A5715" s="22" t="s">
        <v>5785</v>
      </c>
      <c r="B5715" s="23" t="s">
        <v>92</v>
      </c>
      <c r="C5715" s="23">
        <v>4</v>
      </c>
      <c r="D5715" s="24">
        <v>45751</v>
      </c>
      <c r="E5715" s="23" t="s">
        <v>68</v>
      </c>
      <c r="F5715" s="23" t="s">
        <v>26</v>
      </c>
      <c r="G5715" s="23" t="s">
        <v>31</v>
      </c>
      <c r="H5715" s="23" t="s">
        <v>32</v>
      </c>
      <c r="I5715" s="23">
        <v>8</v>
      </c>
      <c r="J5715" s="23">
        <v>3</v>
      </c>
      <c r="K5715" s="23"/>
      <c r="L5715" s="23" t="s">
        <v>55</v>
      </c>
      <c r="M5715" s="25">
        <v>20.8</v>
      </c>
      <c r="N5715">
        <f t="shared" si="89"/>
        <v>0</v>
      </c>
    </row>
    <row r="5716" spans="1:14" x14ac:dyDescent="0.35">
      <c r="A5716" s="6" t="s">
        <v>5786</v>
      </c>
      <c r="B5716" s="19" t="s">
        <v>49</v>
      </c>
      <c r="C5716" s="19">
        <v>11</v>
      </c>
      <c r="D5716" s="20">
        <v>45972</v>
      </c>
      <c r="E5716" s="19" t="s">
        <v>20</v>
      </c>
      <c r="F5716" s="19" t="s">
        <v>14</v>
      </c>
      <c r="G5716" s="19" t="s">
        <v>15</v>
      </c>
      <c r="H5716" s="19" t="s">
        <v>32</v>
      </c>
      <c r="I5716" s="19">
        <v>48</v>
      </c>
      <c r="J5716" s="19">
        <v>1</v>
      </c>
      <c r="K5716" s="19">
        <v>3</v>
      </c>
      <c r="L5716" s="19" t="s">
        <v>62</v>
      </c>
      <c r="M5716" s="21">
        <v>15.1</v>
      </c>
      <c r="N5716">
        <f t="shared" si="89"/>
        <v>1</v>
      </c>
    </row>
    <row r="5717" spans="1:14" x14ac:dyDescent="0.35">
      <c r="A5717" s="22" t="s">
        <v>5787</v>
      </c>
      <c r="B5717" s="23" t="s">
        <v>87</v>
      </c>
      <c r="C5717" s="23">
        <v>1</v>
      </c>
      <c r="D5717" s="24">
        <v>45677</v>
      </c>
      <c r="E5717" s="23" t="s">
        <v>25</v>
      </c>
      <c r="F5717" s="23" t="s">
        <v>14</v>
      </c>
      <c r="G5717" s="23" t="s">
        <v>21</v>
      </c>
      <c r="H5717" s="23" t="s">
        <v>28</v>
      </c>
      <c r="I5717" s="23">
        <v>8</v>
      </c>
      <c r="J5717" s="23">
        <v>0</v>
      </c>
      <c r="K5717" s="23">
        <v>3</v>
      </c>
      <c r="L5717" s="23" t="s">
        <v>75</v>
      </c>
      <c r="M5717" s="25">
        <v>17.600000000000001</v>
      </c>
      <c r="N5717">
        <f t="shared" si="89"/>
        <v>0</v>
      </c>
    </row>
    <row r="5718" spans="1:14" x14ac:dyDescent="0.35">
      <c r="A5718" s="6" t="s">
        <v>5788</v>
      </c>
      <c r="B5718" s="19" t="s">
        <v>158</v>
      </c>
      <c r="C5718" s="19">
        <v>12</v>
      </c>
      <c r="D5718" s="20">
        <v>46006</v>
      </c>
      <c r="E5718" s="19" t="s">
        <v>68</v>
      </c>
      <c r="F5718" s="19" t="s">
        <v>40</v>
      </c>
      <c r="G5718" s="19" t="s">
        <v>31</v>
      </c>
      <c r="H5718" s="19" t="s">
        <v>16</v>
      </c>
      <c r="I5718" s="19">
        <v>24</v>
      </c>
      <c r="J5718" s="19">
        <v>0</v>
      </c>
      <c r="K5718" s="19">
        <v>2</v>
      </c>
      <c r="L5718" s="19" t="s">
        <v>44</v>
      </c>
      <c r="M5718" s="21">
        <v>24.4</v>
      </c>
      <c r="N5718">
        <f t="shared" si="89"/>
        <v>0</v>
      </c>
    </row>
    <row r="5719" spans="1:14" x14ac:dyDescent="0.35">
      <c r="A5719" s="22" t="s">
        <v>5789</v>
      </c>
      <c r="B5719" s="23" t="s">
        <v>108</v>
      </c>
      <c r="C5719" s="23">
        <v>9</v>
      </c>
      <c r="D5719" s="24">
        <v>45929</v>
      </c>
      <c r="E5719" s="23" t="s">
        <v>13</v>
      </c>
      <c r="F5719" s="23" t="s">
        <v>26</v>
      </c>
      <c r="G5719" s="23" t="s">
        <v>27</v>
      </c>
      <c r="H5719" s="23" t="s">
        <v>28</v>
      </c>
      <c r="I5719" s="23">
        <v>8</v>
      </c>
      <c r="J5719" s="23">
        <v>0</v>
      </c>
      <c r="K5719" s="23">
        <v>1</v>
      </c>
      <c r="L5719" s="23" t="s">
        <v>55</v>
      </c>
      <c r="M5719" s="25">
        <v>3.4</v>
      </c>
      <c r="N5719">
        <f t="shared" si="89"/>
        <v>1</v>
      </c>
    </row>
    <row r="5720" spans="1:14" x14ac:dyDescent="0.35">
      <c r="A5720" s="6" t="s">
        <v>5790</v>
      </c>
      <c r="B5720" s="19" t="s">
        <v>41</v>
      </c>
      <c r="C5720" s="19">
        <v>6</v>
      </c>
      <c r="D5720" s="20">
        <v>45828</v>
      </c>
      <c r="E5720" s="19" t="s">
        <v>13</v>
      </c>
      <c r="F5720" s="19" t="s">
        <v>8364</v>
      </c>
      <c r="G5720" s="19" t="s">
        <v>15</v>
      </c>
      <c r="H5720" s="19" t="s">
        <v>16</v>
      </c>
      <c r="I5720" s="19">
        <v>72</v>
      </c>
      <c r="J5720" s="19">
        <v>0</v>
      </c>
      <c r="K5720" s="19">
        <v>4</v>
      </c>
      <c r="L5720" s="19" t="s">
        <v>8363</v>
      </c>
      <c r="M5720" s="21">
        <v>4.8</v>
      </c>
      <c r="N5720">
        <f t="shared" si="89"/>
        <v>1</v>
      </c>
    </row>
    <row r="5721" spans="1:14" x14ac:dyDescent="0.35">
      <c r="A5721" s="22" t="s">
        <v>5791</v>
      </c>
      <c r="B5721" s="23" t="s">
        <v>34</v>
      </c>
      <c r="C5721" s="23">
        <v>12</v>
      </c>
      <c r="D5721" s="24">
        <v>46012</v>
      </c>
      <c r="E5721" s="23" t="s">
        <v>13</v>
      </c>
      <c r="F5721" s="23" t="s">
        <v>43</v>
      </c>
      <c r="G5721" s="23" t="s">
        <v>21</v>
      </c>
      <c r="H5721" s="23" t="s">
        <v>32</v>
      </c>
      <c r="I5721" s="23">
        <v>8</v>
      </c>
      <c r="J5721" s="23">
        <v>3</v>
      </c>
      <c r="K5721" s="23">
        <v>4</v>
      </c>
      <c r="L5721" s="23" t="s">
        <v>8363</v>
      </c>
      <c r="M5721" s="25">
        <v>2.8</v>
      </c>
      <c r="N5721">
        <f t="shared" si="89"/>
        <v>1</v>
      </c>
    </row>
    <row r="5722" spans="1:14" x14ac:dyDescent="0.35">
      <c r="A5722" s="6" t="s">
        <v>5792</v>
      </c>
      <c r="B5722" s="19" t="s">
        <v>146</v>
      </c>
      <c r="C5722" s="19">
        <v>10</v>
      </c>
      <c r="D5722" s="20">
        <v>45960</v>
      </c>
      <c r="E5722" s="19" t="s">
        <v>20</v>
      </c>
      <c r="F5722" s="19" t="s">
        <v>8364</v>
      </c>
      <c r="G5722" s="19" t="s">
        <v>31</v>
      </c>
      <c r="H5722" s="19" t="s">
        <v>22</v>
      </c>
      <c r="I5722" s="19">
        <v>8</v>
      </c>
      <c r="J5722" s="19">
        <v>0</v>
      </c>
      <c r="K5722" s="19">
        <v>2</v>
      </c>
      <c r="L5722" s="19" t="s">
        <v>17</v>
      </c>
      <c r="M5722" s="21">
        <v>15.5</v>
      </c>
      <c r="N5722">
        <f t="shared" si="89"/>
        <v>0</v>
      </c>
    </row>
    <row r="5723" spans="1:14" x14ac:dyDescent="0.35">
      <c r="A5723" s="22" t="s">
        <v>5793</v>
      </c>
      <c r="B5723" s="23" t="s">
        <v>69</v>
      </c>
      <c r="C5723" s="23">
        <v>3</v>
      </c>
      <c r="D5723" s="24">
        <v>45730</v>
      </c>
      <c r="E5723" s="23" t="s">
        <v>68</v>
      </c>
      <c r="F5723" s="23" t="s">
        <v>26</v>
      </c>
      <c r="G5723" s="23" t="s">
        <v>31</v>
      </c>
      <c r="H5723" s="23" t="s">
        <v>8364</v>
      </c>
      <c r="I5723" s="23">
        <v>48</v>
      </c>
      <c r="J5723" s="23">
        <v>0</v>
      </c>
      <c r="K5723" s="23">
        <v>4</v>
      </c>
      <c r="L5723" s="23" t="s">
        <v>62</v>
      </c>
      <c r="M5723" s="25">
        <v>7.9</v>
      </c>
      <c r="N5723">
        <f t="shared" si="89"/>
        <v>1</v>
      </c>
    </row>
    <row r="5724" spans="1:14" x14ac:dyDescent="0.35">
      <c r="A5724" s="6" t="s">
        <v>5794</v>
      </c>
      <c r="B5724" s="19" t="s">
        <v>78</v>
      </c>
      <c r="C5724" s="19">
        <v>9</v>
      </c>
      <c r="D5724" s="20">
        <v>45918</v>
      </c>
      <c r="E5724" s="19" t="s">
        <v>36</v>
      </c>
      <c r="F5724" s="19" t="s">
        <v>43</v>
      </c>
      <c r="G5724" s="19" t="s">
        <v>15</v>
      </c>
      <c r="H5724" s="19" t="s">
        <v>22</v>
      </c>
      <c r="I5724" s="19">
        <v>24</v>
      </c>
      <c r="J5724" s="19">
        <v>0</v>
      </c>
      <c r="K5724" s="19">
        <v>3</v>
      </c>
      <c r="L5724" s="19" t="s">
        <v>8363</v>
      </c>
      <c r="M5724" s="21">
        <v>26.6</v>
      </c>
      <c r="N5724">
        <f t="shared" si="89"/>
        <v>0</v>
      </c>
    </row>
    <row r="5725" spans="1:14" x14ac:dyDescent="0.35">
      <c r="A5725" s="22" t="s">
        <v>5795</v>
      </c>
      <c r="B5725" s="23" t="s">
        <v>47</v>
      </c>
      <c r="C5725" s="23">
        <v>10</v>
      </c>
      <c r="D5725" s="24">
        <v>45950</v>
      </c>
      <c r="E5725" s="23" t="s">
        <v>8364</v>
      </c>
      <c r="F5725" s="23" t="s">
        <v>14</v>
      </c>
      <c r="G5725" s="23" t="s">
        <v>8364</v>
      </c>
      <c r="H5725" s="23" t="s">
        <v>32</v>
      </c>
      <c r="I5725" s="23">
        <v>8</v>
      </c>
      <c r="J5725" s="23">
        <v>0</v>
      </c>
      <c r="K5725" s="23">
        <v>4</v>
      </c>
      <c r="L5725" s="23" t="s">
        <v>75</v>
      </c>
      <c r="M5725" s="25">
        <v>1.6</v>
      </c>
      <c r="N5725">
        <f t="shared" si="89"/>
        <v>1</v>
      </c>
    </row>
    <row r="5726" spans="1:14" x14ac:dyDescent="0.35">
      <c r="A5726" s="6" t="s">
        <v>5796</v>
      </c>
      <c r="B5726" s="19" t="s">
        <v>34</v>
      </c>
      <c r="C5726" s="19">
        <v>9</v>
      </c>
      <c r="D5726" s="20">
        <v>45922</v>
      </c>
      <c r="E5726" s="19" t="s">
        <v>25</v>
      </c>
      <c r="F5726" s="19" t="s">
        <v>14</v>
      </c>
      <c r="G5726" s="19" t="s">
        <v>31</v>
      </c>
      <c r="H5726" s="19" t="s">
        <v>28</v>
      </c>
      <c r="I5726" s="19">
        <v>72</v>
      </c>
      <c r="J5726" s="19">
        <v>0</v>
      </c>
      <c r="K5726" s="19"/>
      <c r="L5726" s="19" t="s">
        <v>75</v>
      </c>
      <c r="M5726" s="21">
        <v>13.2</v>
      </c>
      <c r="N5726">
        <f t="shared" si="89"/>
        <v>1</v>
      </c>
    </row>
    <row r="5727" spans="1:14" x14ac:dyDescent="0.35">
      <c r="A5727" s="22" t="s">
        <v>5797</v>
      </c>
      <c r="B5727" s="23" t="s">
        <v>146</v>
      </c>
      <c r="C5727" s="23">
        <v>7</v>
      </c>
      <c r="D5727" s="24">
        <v>45847</v>
      </c>
      <c r="E5727" s="23" t="s">
        <v>36</v>
      </c>
      <c r="F5727" s="23" t="s">
        <v>26</v>
      </c>
      <c r="G5727" s="23" t="s">
        <v>31</v>
      </c>
      <c r="H5727" s="23" t="s">
        <v>22</v>
      </c>
      <c r="I5727" s="23">
        <v>8</v>
      </c>
      <c r="J5727" s="23">
        <v>2</v>
      </c>
      <c r="K5727" s="23">
        <v>3</v>
      </c>
      <c r="L5727" s="23" t="s">
        <v>8363</v>
      </c>
      <c r="M5727" s="25">
        <v>26.6</v>
      </c>
      <c r="N5727">
        <f t="shared" si="89"/>
        <v>0</v>
      </c>
    </row>
    <row r="5728" spans="1:14" x14ac:dyDescent="0.35">
      <c r="A5728" s="6" t="s">
        <v>5798</v>
      </c>
      <c r="B5728" s="19" t="s">
        <v>87</v>
      </c>
      <c r="C5728" s="19">
        <v>4</v>
      </c>
      <c r="D5728" s="20">
        <v>45776</v>
      </c>
      <c r="E5728" s="19" t="s">
        <v>20</v>
      </c>
      <c r="F5728" s="19" t="s">
        <v>43</v>
      </c>
      <c r="G5728" s="19" t="s">
        <v>31</v>
      </c>
      <c r="H5728" s="19" t="s">
        <v>28</v>
      </c>
      <c r="I5728" s="19">
        <v>4</v>
      </c>
      <c r="J5728" s="19">
        <v>1</v>
      </c>
      <c r="K5728" s="19">
        <v>5</v>
      </c>
      <c r="L5728" s="19" t="s">
        <v>62</v>
      </c>
      <c r="M5728" s="21">
        <v>6.6</v>
      </c>
      <c r="N5728">
        <f t="shared" si="89"/>
        <v>0</v>
      </c>
    </row>
    <row r="5729" spans="1:14" x14ac:dyDescent="0.35">
      <c r="A5729" s="22" t="s">
        <v>5799</v>
      </c>
      <c r="B5729" s="23" t="s">
        <v>41</v>
      </c>
      <c r="C5729" s="23">
        <v>4</v>
      </c>
      <c r="D5729" s="24">
        <v>45777</v>
      </c>
      <c r="E5729" s="23" t="s">
        <v>25</v>
      </c>
      <c r="F5729" s="23" t="s">
        <v>26</v>
      </c>
      <c r="G5729" s="23" t="s">
        <v>15</v>
      </c>
      <c r="H5729" s="23" t="s">
        <v>8364</v>
      </c>
      <c r="I5729" s="23">
        <v>72</v>
      </c>
      <c r="J5729" s="23">
        <v>0</v>
      </c>
      <c r="K5729" s="23">
        <v>3</v>
      </c>
      <c r="L5729" s="23" t="s">
        <v>38</v>
      </c>
      <c r="M5729" s="25">
        <v>3.1</v>
      </c>
      <c r="N5729">
        <f t="shared" si="89"/>
        <v>1</v>
      </c>
    </row>
    <row r="5730" spans="1:14" x14ac:dyDescent="0.35">
      <c r="A5730" s="6" t="s">
        <v>5800</v>
      </c>
      <c r="B5730" s="19" t="s">
        <v>53</v>
      </c>
      <c r="C5730" s="19">
        <v>10</v>
      </c>
      <c r="D5730" s="20">
        <v>45941</v>
      </c>
      <c r="E5730" s="19" t="s">
        <v>25</v>
      </c>
      <c r="F5730" s="19" t="s">
        <v>43</v>
      </c>
      <c r="G5730" s="19" t="s">
        <v>8364</v>
      </c>
      <c r="H5730" s="19" t="s">
        <v>22</v>
      </c>
      <c r="I5730" s="19">
        <v>4</v>
      </c>
      <c r="J5730" s="19">
        <v>2</v>
      </c>
      <c r="K5730" s="19">
        <v>5</v>
      </c>
      <c r="L5730" s="19" t="s">
        <v>17</v>
      </c>
      <c r="M5730" s="21">
        <v>18.3</v>
      </c>
      <c r="N5730">
        <f t="shared" si="89"/>
        <v>0</v>
      </c>
    </row>
    <row r="5731" spans="1:14" x14ac:dyDescent="0.35">
      <c r="A5731" s="22" t="s">
        <v>5801</v>
      </c>
      <c r="B5731" s="23" t="s">
        <v>34</v>
      </c>
      <c r="C5731" s="23">
        <v>5</v>
      </c>
      <c r="D5731" s="24">
        <v>45794</v>
      </c>
      <c r="E5731" s="23" t="s">
        <v>25</v>
      </c>
      <c r="F5731" s="23" t="s">
        <v>40</v>
      </c>
      <c r="G5731" s="23" t="s">
        <v>21</v>
      </c>
      <c r="H5731" s="23" t="s">
        <v>22</v>
      </c>
      <c r="I5731" s="23">
        <v>8</v>
      </c>
      <c r="J5731" s="23">
        <v>0</v>
      </c>
      <c r="K5731" s="23">
        <v>4</v>
      </c>
      <c r="L5731" s="23" t="s">
        <v>55</v>
      </c>
      <c r="M5731" s="25">
        <v>11.1</v>
      </c>
      <c r="N5731">
        <f t="shared" si="89"/>
        <v>0</v>
      </c>
    </row>
    <row r="5732" spans="1:14" x14ac:dyDescent="0.35">
      <c r="A5732" s="6" t="s">
        <v>5802</v>
      </c>
      <c r="B5732" s="19" t="s">
        <v>92</v>
      </c>
      <c r="C5732" s="19"/>
      <c r="D5732" s="20"/>
      <c r="E5732" s="19" t="s">
        <v>20</v>
      </c>
      <c r="F5732" s="19" t="s">
        <v>14</v>
      </c>
      <c r="G5732" s="19" t="s">
        <v>21</v>
      </c>
      <c r="H5732" s="19" t="s">
        <v>8364</v>
      </c>
      <c r="I5732" s="19">
        <v>24</v>
      </c>
      <c r="J5732" s="19">
        <v>0</v>
      </c>
      <c r="K5732" s="19">
        <v>4</v>
      </c>
      <c r="L5732" s="19" t="s">
        <v>38</v>
      </c>
      <c r="M5732" s="21">
        <v>4.2</v>
      </c>
      <c r="N5732">
        <f t="shared" si="89"/>
        <v>1</v>
      </c>
    </row>
    <row r="5733" spans="1:14" x14ac:dyDescent="0.35">
      <c r="A5733" s="22" t="s">
        <v>5803</v>
      </c>
      <c r="B5733" s="23" t="s">
        <v>18</v>
      </c>
      <c r="C5733" s="23">
        <v>8</v>
      </c>
      <c r="D5733" s="24">
        <v>45899</v>
      </c>
      <c r="E5733" s="23" t="s">
        <v>25</v>
      </c>
      <c r="F5733" s="23" t="s">
        <v>26</v>
      </c>
      <c r="G5733" s="23" t="s">
        <v>8364</v>
      </c>
      <c r="H5733" s="23" t="s">
        <v>8364</v>
      </c>
      <c r="I5733" s="23">
        <v>48</v>
      </c>
      <c r="J5733" s="23">
        <v>0</v>
      </c>
      <c r="K5733" s="23">
        <v>2</v>
      </c>
      <c r="L5733" s="23" t="s">
        <v>8363</v>
      </c>
      <c r="M5733" s="25">
        <v>27.1</v>
      </c>
      <c r="N5733">
        <f t="shared" si="89"/>
        <v>1</v>
      </c>
    </row>
    <row r="5734" spans="1:14" x14ac:dyDescent="0.35">
      <c r="A5734" s="6" t="s">
        <v>5804</v>
      </c>
      <c r="B5734" s="19" t="s">
        <v>143</v>
      </c>
      <c r="C5734" s="19">
        <v>12</v>
      </c>
      <c r="D5734" s="20">
        <v>46010</v>
      </c>
      <c r="E5734" s="19" t="s">
        <v>13</v>
      </c>
      <c r="F5734" s="19" t="s">
        <v>40</v>
      </c>
      <c r="G5734" s="19" t="s">
        <v>15</v>
      </c>
      <c r="H5734" s="19" t="s">
        <v>16</v>
      </c>
      <c r="I5734" s="19">
        <v>4</v>
      </c>
      <c r="J5734" s="19">
        <v>1</v>
      </c>
      <c r="K5734" s="19">
        <v>4</v>
      </c>
      <c r="L5734" s="19" t="s">
        <v>8363</v>
      </c>
      <c r="M5734" s="21">
        <v>4.7</v>
      </c>
      <c r="N5734">
        <f t="shared" si="89"/>
        <v>0</v>
      </c>
    </row>
    <row r="5735" spans="1:14" x14ac:dyDescent="0.35">
      <c r="A5735" s="22" t="s">
        <v>5805</v>
      </c>
      <c r="B5735" s="23" t="s">
        <v>23</v>
      </c>
      <c r="C5735" s="23"/>
      <c r="D5735" s="24"/>
      <c r="E5735" s="23" t="s">
        <v>36</v>
      </c>
      <c r="F5735" s="23" t="s">
        <v>59</v>
      </c>
      <c r="G5735" s="23" t="s">
        <v>31</v>
      </c>
      <c r="H5735" s="23" t="s">
        <v>8364</v>
      </c>
      <c r="I5735" s="23">
        <v>4</v>
      </c>
      <c r="J5735" s="23">
        <v>0</v>
      </c>
      <c r="K5735" s="23"/>
      <c r="L5735" s="23" t="s">
        <v>17</v>
      </c>
      <c r="M5735" s="25">
        <v>5.7</v>
      </c>
      <c r="N5735">
        <f t="shared" si="89"/>
        <v>0</v>
      </c>
    </row>
    <row r="5736" spans="1:14" x14ac:dyDescent="0.35">
      <c r="A5736" s="6" t="s">
        <v>5806</v>
      </c>
      <c r="B5736" s="19" t="s">
        <v>29</v>
      </c>
      <c r="C5736" s="19">
        <v>11</v>
      </c>
      <c r="D5736" s="20">
        <v>45991</v>
      </c>
      <c r="E5736" s="19" t="s">
        <v>25</v>
      </c>
      <c r="F5736" s="19" t="s">
        <v>26</v>
      </c>
      <c r="G5736" s="19" t="s">
        <v>31</v>
      </c>
      <c r="H5736" s="19" t="s">
        <v>22</v>
      </c>
      <c r="I5736" s="19">
        <v>72</v>
      </c>
      <c r="J5736" s="19">
        <v>1</v>
      </c>
      <c r="K5736" s="19">
        <v>1</v>
      </c>
      <c r="L5736" s="19" t="s">
        <v>33</v>
      </c>
      <c r="M5736" s="21">
        <v>10.9</v>
      </c>
      <c r="N5736">
        <f t="shared" si="89"/>
        <v>1</v>
      </c>
    </row>
    <row r="5737" spans="1:14" x14ac:dyDescent="0.35">
      <c r="A5737" s="22" t="s">
        <v>5807</v>
      </c>
      <c r="B5737" s="23" t="s">
        <v>18</v>
      </c>
      <c r="C5737" s="23">
        <v>6</v>
      </c>
      <c r="D5737" s="24">
        <v>45809</v>
      </c>
      <c r="E5737" s="23" t="s">
        <v>13</v>
      </c>
      <c r="F5737" s="23" t="s">
        <v>43</v>
      </c>
      <c r="G5737" s="23" t="s">
        <v>31</v>
      </c>
      <c r="H5737" s="23" t="s">
        <v>28</v>
      </c>
      <c r="I5737" s="23">
        <v>24</v>
      </c>
      <c r="J5737" s="23">
        <v>0</v>
      </c>
      <c r="K5737" s="23">
        <v>3</v>
      </c>
      <c r="L5737" s="23" t="s">
        <v>8363</v>
      </c>
      <c r="M5737" s="25">
        <v>1.9</v>
      </c>
      <c r="N5737">
        <f t="shared" si="89"/>
        <v>1</v>
      </c>
    </row>
    <row r="5738" spans="1:14" x14ac:dyDescent="0.35">
      <c r="A5738" s="6" t="s">
        <v>5808</v>
      </c>
      <c r="B5738" s="19" t="s">
        <v>47</v>
      </c>
      <c r="C5738" s="19">
        <v>6</v>
      </c>
      <c r="D5738" s="20">
        <v>45811</v>
      </c>
      <c r="E5738" s="19" t="s">
        <v>20</v>
      </c>
      <c r="F5738" s="19" t="s">
        <v>14</v>
      </c>
      <c r="G5738" s="19" t="s">
        <v>31</v>
      </c>
      <c r="H5738" s="19" t="s">
        <v>28</v>
      </c>
      <c r="I5738" s="19">
        <v>72</v>
      </c>
      <c r="J5738" s="19">
        <v>0</v>
      </c>
      <c r="K5738" s="19">
        <v>5</v>
      </c>
      <c r="L5738" s="19" t="s">
        <v>38</v>
      </c>
      <c r="M5738" s="21">
        <v>18</v>
      </c>
      <c r="N5738">
        <f t="shared" si="89"/>
        <v>1</v>
      </c>
    </row>
    <row r="5739" spans="1:14" x14ac:dyDescent="0.35">
      <c r="A5739" s="22" t="s">
        <v>5809</v>
      </c>
      <c r="B5739" s="23" t="s">
        <v>72</v>
      </c>
      <c r="C5739" s="23">
        <v>5</v>
      </c>
      <c r="D5739" s="24">
        <v>45778</v>
      </c>
      <c r="E5739" s="23" t="s">
        <v>20</v>
      </c>
      <c r="F5739" s="23" t="s">
        <v>43</v>
      </c>
      <c r="G5739" s="23" t="s">
        <v>21</v>
      </c>
      <c r="H5739" s="23" t="s">
        <v>22</v>
      </c>
      <c r="I5739" s="23">
        <v>24</v>
      </c>
      <c r="J5739" s="23">
        <v>0</v>
      </c>
      <c r="K5739" s="23"/>
      <c r="L5739" s="23" t="s">
        <v>8363</v>
      </c>
      <c r="M5739" s="25">
        <v>14.7</v>
      </c>
      <c r="N5739">
        <f t="shared" si="89"/>
        <v>1</v>
      </c>
    </row>
    <row r="5740" spans="1:14" x14ac:dyDescent="0.35">
      <c r="A5740" s="6" t="s">
        <v>5810</v>
      </c>
      <c r="B5740" s="19" t="s">
        <v>69</v>
      </c>
      <c r="C5740" s="19">
        <v>10</v>
      </c>
      <c r="D5740" s="20">
        <v>45961</v>
      </c>
      <c r="E5740" s="19" t="s">
        <v>13</v>
      </c>
      <c r="F5740" s="19" t="s">
        <v>43</v>
      </c>
      <c r="G5740" s="19" t="s">
        <v>31</v>
      </c>
      <c r="H5740" s="19" t="s">
        <v>22</v>
      </c>
      <c r="I5740" s="19">
        <v>4</v>
      </c>
      <c r="J5740" s="19">
        <v>0</v>
      </c>
      <c r="K5740" s="19">
        <v>4</v>
      </c>
      <c r="L5740" s="19" t="s">
        <v>8363</v>
      </c>
      <c r="M5740" s="21">
        <v>7.2</v>
      </c>
      <c r="N5740">
        <f t="shared" si="89"/>
        <v>0</v>
      </c>
    </row>
    <row r="5741" spans="1:14" x14ac:dyDescent="0.35">
      <c r="A5741" s="22" t="s">
        <v>5811</v>
      </c>
      <c r="B5741" s="23" t="s">
        <v>99</v>
      </c>
      <c r="C5741" s="23">
        <v>1</v>
      </c>
      <c r="D5741" s="24">
        <v>45666</v>
      </c>
      <c r="E5741" s="23" t="s">
        <v>25</v>
      </c>
      <c r="F5741" s="23" t="s">
        <v>26</v>
      </c>
      <c r="G5741" s="23" t="s">
        <v>27</v>
      </c>
      <c r="H5741" s="23" t="s">
        <v>22</v>
      </c>
      <c r="I5741" s="23">
        <v>72</v>
      </c>
      <c r="J5741" s="23">
        <v>0</v>
      </c>
      <c r="K5741" s="23">
        <v>5</v>
      </c>
      <c r="L5741" s="23" t="s">
        <v>8363</v>
      </c>
      <c r="M5741" s="25">
        <v>4.0999999999999996</v>
      </c>
      <c r="N5741">
        <f t="shared" si="89"/>
        <v>1</v>
      </c>
    </row>
    <row r="5742" spans="1:14" x14ac:dyDescent="0.35">
      <c r="A5742" s="6" t="s">
        <v>5812</v>
      </c>
      <c r="B5742" s="19" t="s">
        <v>146</v>
      </c>
      <c r="C5742" s="19"/>
      <c r="D5742" s="20"/>
      <c r="E5742" s="19" t="s">
        <v>13</v>
      </c>
      <c r="F5742" s="19" t="s">
        <v>14</v>
      </c>
      <c r="G5742" s="19" t="s">
        <v>21</v>
      </c>
      <c r="H5742" s="19" t="s">
        <v>28</v>
      </c>
      <c r="I5742" s="19">
        <v>24</v>
      </c>
      <c r="J5742" s="19">
        <v>0</v>
      </c>
      <c r="K5742" s="19">
        <v>1</v>
      </c>
      <c r="L5742" s="19" t="s">
        <v>62</v>
      </c>
      <c r="M5742" s="21">
        <v>14.7</v>
      </c>
      <c r="N5742">
        <f t="shared" si="89"/>
        <v>1</v>
      </c>
    </row>
    <row r="5743" spans="1:14" x14ac:dyDescent="0.35">
      <c r="A5743" s="22" t="s">
        <v>5813</v>
      </c>
      <c r="B5743" s="23" t="s">
        <v>34</v>
      </c>
      <c r="C5743" s="23">
        <v>7</v>
      </c>
      <c r="D5743" s="24">
        <v>45854</v>
      </c>
      <c r="E5743" s="23" t="s">
        <v>68</v>
      </c>
      <c r="F5743" s="23" t="s">
        <v>26</v>
      </c>
      <c r="G5743" s="23" t="s">
        <v>31</v>
      </c>
      <c r="H5743" s="23" t="s">
        <v>8364</v>
      </c>
      <c r="I5743" s="23">
        <v>24</v>
      </c>
      <c r="J5743" s="23">
        <v>0</v>
      </c>
      <c r="K5743" s="23">
        <v>4</v>
      </c>
      <c r="L5743" s="23" t="s">
        <v>44</v>
      </c>
      <c r="M5743" s="25">
        <v>15.5</v>
      </c>
      <c r="N5743">
        <f t="shared" si="89"/>
        <v>1</v>
      </c>
    </row>
    <row r="5744" spans="1:14" x14ac:dyDescent="0.35">
      <c r="A5744" s="6" t="s">
        <v>5814</v>
      </c>
      <c r="B5744" s="19" t="s">
        <v>53</v>
      </c>
      <c r="C5744" s="19">
        <v>9</v>
      </c>
      <c r="D5744" s="20">
        <v>45907</v>
      </c>
      <c r="E5744" s="19" t="s">
        <v>13</v>
      </c>
      <c r="F5744" s="19" t="s">
        <v>26</v>
      </c>
      <c r="G5744" s="19" t="s">
        <v>27</v>
      </c>
      <c r="H5744" s="19" t="s">
        <v>32</v>
      </c>
      <c r="I5744" s="19">
        <v>72</v>
      </c>
      <c r="J5744" s="19">
        <v>0</v>
      </c>
      <c r="K5744" s="19">
        <v>3</v>
      </c>
      <c r="L5744" s="19" t="s">
        <v>62</v>
      </c>
      <c r="M5744" s="21">
        <v>21</v>
      </c>
      <c r="N5744">
        <f t="shared" si="89"/>
        <v>1</v>
      </c>
    </row>
    <row r="5745" spans="1:14" x14ac:dyDescent="0.35">
      <c r="A5745" s="22" t="s">
        <v>5815</v>
      </c>
      <c r="B5745" s="23" t="s">
        <v>18</v>
      </c>
      <c r="C5745" s="23">
        <v>8</v>
      </c>
      <c r="D5745" s="24">
        <v>45886</v>
      </c>
      <c r="E5745" s="23" t="s">
        <v>13</v>
      </c>
      <c r="F5745" s="23" t="s">
        <v>43</v>
      </c>
      <c r="G5745" s="23" t="s">
        <v>21</v>
      </c>
      <c r="H5745" s="23" t="s">
        <v>22</v>
      </c>
      <c r="I5745" s="23">
        <v>8</v>
      </c>
      <c r="J5745" s="23">
        <v>0</v>
      </c>
      <c r="K5745" s="23">
        <v>1</v>
      </c>
      <c r="L5745" s="23" t="s">
        <v>62</v>
      </c>
      <c r="M5745" s="25">
        <v>16.899999999999999</v>
      </c>
      <c r="N5745">
        <f t="shared" si="89"/>
        <v>0</v>
      </c>
    </row>
    <row r="5746" spans="1:14" x14ac:dyDescent="0.35">
      <c r="A5746" s="6" t="s">
        <v>5816</v>
      </c>
      <c r="B5746" s="19" t="s">
        <v>47</v>
      </c>
      <c r="C5746" s="19">
        <v>3</v>
      </c>
      <c r="D5746" s="20">
        <v>45723</v>
      </c>
      <c r="E5746" s="19" t="s">
        <v>25</v>
      </c>
      <c r="F5746" s="19" t="s">
        <v>14</v>
      </c>
      <c r="G5746" s="19" t="s">
        <v>15</v>
      </c>
      <c r="H5746" s="19" t="s">
        <v>16</v>
      </c>
      <c r="I5746" s="19">
        <v>24</v>
      </c>
      <c r="J5746" s="19">
        <v>3</v>
      </c>
      <c r="K5746" s="19">
        <v>1</v>
      </c>
      <c r="L5746" s="19" t="s">
        <v>75</v>
      </c>
      <c r="M5746" s="21">
        <v>28.3</v>
      </c>
      <c r="N5746">
        <f t="shared" si="89"/>
        <v>0</v>
      </c>
    </row>
    <row r="5747" spans="1:14" x14ac:dyDescent="0.35">
      <c r="A5747" s="22" t="s">
        <v>5817</v>
      </c>
      <c r="B5747" s="23" t="s">
        <v>104</v>
      </c>
      <c r="C5747" s="23">
        <v>12</v>
      </c>
      <c r="D5747" s="24">
        <v>45994</v>
      </c>
      <c r="E5747" s="23" t="s">
        <v>13</v>
      </c>
      <c r="F5747" s="23" t="s">
        <v>8364</v>
      </c>
      <c r="G5747" s="23" t="s">
        <v>21</v>
      </c>
      <c r="H5747" s="23" t="s">
        <v>28</v>
      </c>
      <c r="I5747" s="23">
        <v>4</v>
      </c>
      <c r="J5747" s="23">
        <v>0</v>
      </c>
      <c r="K5747" s="23">
        <v>4</v>
      </c>
      <c r="L5747" s="23" t="s">
        <v>75</v>
      </c>
      <c r="M5747" s="25">
        <v>6.9</v>
      </c>
      <c r="N5747">
        <f t="shared" si="89"/>
        <v>0</v>
      </c>
    </row>
    <row r="5748" spans="1:14" x14ac:dyDescent="0.35">
      <c r="A5748" s="6" t="s">
        <v>5818</v>
      </c>
      <c r="B5748" s="19" t="s">
        <v>29</v>
      </c>
      <c r="C5748" s="19">
        <v>1</v>
      </c>
      <c r="D5748" s="20">
        <v>45680</v>
      </c>
      <c r="E5748" s="19" t="s">
        <v>25</v>
      </c>
      <c r="F5748" s="19" t="s">
        <v>43</v>
      </c>
      <c r="G5748" s="19" t="s">
        <v>15</v>
      </c>
      <c r="H5748" s="19" t="s">
        <v>22</v>
      </c>
      <c r="I5748" s="19">
        <v>4</v>
      </c>
      <c r="J5748" s="19">
        <v>0</v>
      </c>
      <c r="K5748" s="19">
        <v>5</v>
      </c>
      <c r="L5748" s="19" t="s">
        <v>8363</v>
      </c>
      <c r="M5748" s="21">
        <v>7.4</v>
      </c>
      <c r="N5748">
        <f t="shared" si="89"/>
        <v>0</v>
      </c>
    </row>
    <row r="5749" spans="1:14" x14ac:dyDescent="0.35">
      <c r="A5749" s="22" t="s">
        <v>5819</v>
      </c>
      <c r="B5749" s="23" t="s">
        <v>181</v>
      </c>
      <c r="C5749" s="23">
        <v>7</v>
      </c>
      <c r="D5749" s="24">
        <v>45856</v>
      </c>
      <c r="E5749" s="23" t="s">
        <v>20</v>
      </c>
      <c r="F5749" s="23" t="s">
        <v>8364</v>
      </c>
      <c r="G5749" s="23" t="s">
        <v>31</v>
      </c>
      <c r="H5749" s="23" t="s">
        <v>16</v>
      </c>
      <c r="I5749" s="23">
        <v>72</v>
      </c>
      <c r="J5749" s="23">
        <v>0</v>
      </c>
      <c r="K5749" s="23">
        <v>5</v>
      </c>
      <c r="L5749" s="23" t="s">
        <v>75</v>
      </c>
      <c r="M5749" s="25">
        <v>16.399999999999999</v>
      </c>
      <c r="N5749">
        <f t="shared" si="89"/>
        <v>1</v>
      </c>
    </row>
    <row r="5750" spans="1:14" x14ac:dyDescent="0.35">
      <c r="A5750" s="6" t="s">
        <v>5820</v>
      </c>
      <c r="B5750" s="19" t="s">
        <v>34</v>
      </c>
      <c r="C5750" s="19">
        <v>11</v>
      </c>
      <c r="D5750" s="20">
        <v>45965</v>
      </c>
      <c r="E5750" s="19" t="s">
        <v>68</v>
      </c>
      <c r="F5750" s="19" t="s">
        <v>14</v>
      </c>
      <c r="G5750" s="19" t="s">
        <v>21</v>
      </c>
      <c r="H5750" s="19" t="s">
        <v>28</v>
      </c>
      <c r="I5750" s="19">
        <v>72</v>
      </c>
      <c r="J5750" s="19">
        <v>1</v>
      </c>
      <c r="K5750" s="19">
        <v>5</v>
      </c>
      <c r="L5750" s="19" t="s">
        <v>75</v>
      </c>
      <c r="M5750" s="21">
        <v>2.9</v>
      </c>
      <c r="N5750">
        <f t="shared" si="89"/>
        <v>1</v>
      </c>
    </row>
    <row r="5751" spans="1:14" x14ac:dyDescent="0.35">
      <c r="A5751" s="22" t="s">
        <v>5821</v>
      </c>
      <c r="B5751" s="23" t="s">
        <v>236</v>
      </c>
      <c r="C5751" s="23">
        <v>5</v>
      </c>
      <c r="D5751" s="24">
        <v>45806</v>
      </c>
      <c r="E5751" s="23" t="s">
        <v>20</v>
      </c>
      <c r="F5751" s="23" t="s">
        <v>14</v>
      </c>
      <c r="G5751" s="23" t="s">
        <v>27</v>
      </c>
      <c r="H5751" s="23" t="s">
        <v>32</v>
      </c>
      <c r="I5751" s="23">
        <v>48</v>
      </c>
      <c r="J5751" s="23">
        <v>0</v>
      </c>
      <c r="K5751" s="23">
        <v>4</v>
      </c>
      <c r="L5751" s="23" t="s">
        <v>33</v>
      </c>
      <c r="M5751" s="25">
        <v>9.5</v>
      </c>
      <c r="N5751">
        <f t="shared" si="89"/>
        <v>1</v>
      </c>
    </row>
    <row r="5752" spans="1:14" x14ac:dyDescent="0.35">
      <c r="A5752" s="6" t="s">
        <v>5822</v>
      </c>
      <c r="B5752" s="19" t="s">
        <v>47</v>
      </c>
      <c r="C5752" s="19">
        <v>1</v>
      </c>
      <c r="D5752" s="20">
        <v>45675</v>
      </c>
      <c r="E5752" s="19" t="s">
        <v>13</v>
      </c>
      <c r="F5752" s="19" t="s">
        <v>43</v>
      </c>
      <c r="G5752" s="19" t="s">
        <v>27</v>
      </c>
      <c r="H5752" s="19" t="s">
        <v>28</v>
      </c>
      <c r="I5752" s="19">
        <v>4</v>
      </c>
      <c r="J5752" s="19">
        <v>1</v>
      </c>
      <c r="K5752" s="19">
        <v>3</v>
      </c>
      <c r="L5752" s="19" t="s">
        <v>44</v>
      </c>
      <c r="M5752" s="21">
        <v>2.1</v>
      </c>
      <c r="N5752">
        <f t="shared" si="89"/>
        <v>1</v>
      </c>
    </row>
    <row r="5753" spans="1:14" x14ac:dyDescent="0.35">
      <c r="A5753" s="22" t="s">
        <v>5823</v>
      </c>
      <c r="B5753" s="23" t="s">
        <v>41</v>
      </c>
      <c r="C5753" s="23"/>
      <c r="D5753" s="24"/>
      <c r="E5753" s="23" t="s">
        <v>13</v>
      </c>
      <c r="F5753" s="23" t="s">
        <v>14</v>
      </c>
      <c r="G5753" s="23" t="s">
        <v>31</v>
      </c>
      <c r="H5753" s="23" t="s">
        <v>28</v>
      </c>
      <c r="I5753" s="23">
        <v>48</v>
      </c>
      <c r="J5753" s="23">
        <v>0</v>
      </c>
      <c r="K5753" s="23">
        <v>4</v>
      </c>
      <c r="L5753" s="23" t="s">
        <v>38</v>
      </c>
      <c r="M5753" s="25">
        <v>15.2</v>
      </c>
      <c r="N5753">
        <f t="shared" si="89"/>
        <v>1</v>
      </c>
    </row>
    <row r="5754" spans="1:14" x14ac:dyDescent="0.35">
      <c r="A5754" s="6" t="s">
        <v>5824</v>
      </c>
      <c r="B5754" s="19" t="s">
        <v>47</v>
      </c>
      <c r="C5754" s="19">
        <v>11</v>
      </c>
      <c r="D5754" s="20">
        <v>45972</v>
      </c>
      <c r="E5754" s="19" t="s">
        <v>8364</v>
      </c>
      <c r="F5754" s="19" t="s">
        <v>43</v>
      </c>
      <c r="G5754" s="19" t="s">
        <v>27</v>
      </c>
      <c r="H5754" s="19" t="s">
        <v>22</v>
      </c>
      <c r="I5754" s="19">
        <v>8</v>
      </c>
      <c r="J5754" s="19">
        <v>0</v>
      </c>
      <c r="K5754" s="19">
        <v>4</v>
      </c>
      <c r="L5754" s="19" t="s">
        <v>38</v>
      </c>
      <c r="M5754" s="21">
        <v>9.6</v>
      </c>
      <c r="N5754">
        <f t="shared" si="89"/>
        <v>0</v>
      </c>
    </row>
    <row r="5755" spans="1:14" x14ac:dyDescent="0.35">
      <c r="A5755" s="22" t="s">
        <v>5825</v>
      </c>
      <c r="B5755" s="23" t="s">
        <v>69</v>
      </c>
      <c r="C5755" s="23">
        <v>9</v>
      </c>
      <c r="D5755" s="24">
        <v>45918</v>
      </c>
      <c r="E5755" s="23" t="s">
        <v>13</v>
      </c>
      <c r="F5755" s="23" t="s">
        <v>8364</v>
      </c>
      <c r="G5755" s="23" t="s">
        <v>27</v>
      </c>
      <c r="H5755" s="23" t="s">
        <v>22</v>
      </c>
      <c r="I5755" s="23">
        <v>24</v>
      </c>
      <c r="J5755" s="23">
        <v>0</v>
      </c>
      <c r="K5755" s="23">
        <v>5</v>
      </c>
      <c r="L5755" s="23" t="s">
        <v>8363</v>
      </c>
      <c r="M5755" s="25">
        <v>11.5</v>
      </c>
      <c r="N5755">
        <f t="shared" si="89"/>
        <v>1</v>
      </c>
    </row>
    <row r="5756" spans="1:14" x14ac:dyDescent="0.35">
      <c r="A5756" s="6" t="s">
        <v>5826</v>
      </c>
      <c r="B5756" s="19" t="s">
        <v>146</v>
      </c>
      <c r="C5756" s="19">
        <v>11</v>
      </c>
      <c r="D5756" s="20">
        <v>45986</v>
      </c>
      <c r="E5756" s="19" t="s">
        <v>20</v>
      </c>
      <c r="F5756" s="19" t="s">
        <v>8364</v>
      </c>
      <c r="G5756" s="19" t="s">
        <v>15</v>
      </c>
      <c r="H5756" s="19" t="s">
        <v>16</v>
      </c>
      <c r="I5756" s="19">
        <v>4</v>
      </c>
      <c r="J5756" s="19">
        <v>2</v>
      </c>
      <c r="K5756" s="19">
        <v>3</v>
      </c>
      <c r="L5756" s="19" t="s">
        <v>38</v>
      </c>
      <c r="M5756" s="21">
        <v>8</v>
      </c>
      <c r="N5756">
        <f t="shared" si="89"/>
        <v>0</v>
      </c>
    </row>
    <row r="5757" spans="1:14" x14ac:dyDescent="0.35">
      <c r="A5757" s="22" t="s">
        <v>5827</v>
      </c>
      <c r="B5757" s="23" t="s">
        <v>130</v>
      </c>
      <c r="C5757" s="23">
        <v>12</v>
      </c>
      <c r="D5757" s="24">
        <v>46001</v>
      </c>
      <c r="E5757" s="23" t="s">
        <v>25</v>
      </c>
      <c r="F5757" s="23" t="s">
        <v>43</v>
      </c>
      <c r="G5757" s="23" t="s">
        <v>8364</v>
      </c>
      <c r="H5757" s="23" t="s">
        <v>22</v>
      </c>
      <c r="I5757" s="23">
        <v>8</v>
      </c>
      <c r="J5757" s="23">
        <v>1</v>
      </c>
      <c r="K5757" s="23">
        <v>2</v>
      </c>
      <c r="L5757" s="23" t="s">
        <v>38</v>
      </c>
      <c r="M5757" s="25">
        <v>7</v>
      </c>
      <c r="N5757">
        <f t="shared" si="89"/>
        <v>1</v>
      </c>
    </row>
    <row r="5758" spans="1:14" x14ac:dyDescent="0.35">
      <c r="A5758" s="6" t="s">
        <v>5828</v>
      </c>
      <c r="B5758" s="19" t="s">
        <v>23</v>
      </c>
      <c r="C5758" s="19">
        <v>9</v>
      </c>
      <c r="D5758" s="20">
        <v>45902</v>
      </c>
      <c r="E5758" s="19" t="s">
        <v>36</v>
      </c>
      <c r="F5758" s="19" t="s">
        <v>37</v>
      </c>
      <c r="G5758" s="19" t="s">
        <v>27</v>
      </c>
      <c r="H5758" s="19" t="s">
        <v>28</v>
      </c>
      <c r="I5758" s="19">
        <v>8</v>
      </c>
      <c r="J5758" s="19">
        <v>1</v>
      </c>
      <c r="K5758" s="19">
        <v>2</v>
      </c>
      <c r="L5758" s="19" t="s">
        <v>75</v>
      </c>
      <c r="M5758" s="21">
        <v>33.200000000000003</v>
      </c>
      <c r="N5758">
        <f t="shared" si="89"/>
        <v>0</v>
      </c>
    </row>
    <row r="5759" spans="1:14" x14ac:dyDescent="0.35">
      <c r="A5759" s="22" t="s">
        <v>5829</v>
      </c>
      <c r="B5759" s="23" t="s">
        <v>89</v>
      </c>
      <c r="C5759" s="23"/>
      <c r="D5759" s="24"/>
      <c r="E5759" s="23" t="s">
        <v>36</v>
      </c>
      <c r="F5759" s="23" t="s">
        <v>43</v>
      </c>
      <c r="G5759" s="23" t="s">
        <v>27</v>
      </c>
      <c r="H5759" s="23" t="s">
        <v>8364</v>
      </c>
      <c r="I5759" s="23">
        <v>72</v>
      </c>
      <c r="J5759" s="23">
        <v>1</v>
      </c>
      <c r="K5759" s="23">
        <v>5</v>
      </c>
      <c r="L5759" s="23" t="s">
        <v>55</v>
      </c>
      <c r="M5759" s="25">
        <v>11.2</v>
      </c>
      <c r="N5759">
        <f t="shared" si="89"/>
        <v>1</v>
      </c>
    </row>
    <row r="5760" spans="1:14" x14ac:dyDescent="0.35">
      <c r="A5760" s="6" t="s">
        <v>5830</v>
      </c>
      <c r="B5760" s="19" t="s">
        <v>23</v>
      </c>
      <c r="C5760" s="19">
        <v>10</v>
      </c>
      <c r="D5760" s="20">
        <v>45932</v>
      </c>
      <c r="E5760" s="19" t="s">
        <v>8364</v>
      </c>
      <c r="F5760" s="19" t="s">
        <v>59</v>
      </c>
      <c r="G5760" s="19" t="s">
        <v>27</v>
      </c>
      <c r="H5760" s="19" t="s">
        <v>8364</v>
      </c>
      <c r="I5760" s="19">
        <v>8</v>
      </c>
      <c r="J5760" s="19">
        <v>0</v>
      </c>
      <c r="K5760" s="19">
        <v>5</v>
      </c>
      <c r="L5760" s="19" t="s">
        <v>17</v>
      </c>
      <c r="M5760" s="21">
        <v>8.9</v>
      </c>
      <c r="N5760">
        <f t="shared" si="89"/>
        <v>0</v>
      </c>
    </row>
    <row r="5761" spans="1:14" x14ac:dyDescent="0.35">
      <c r="A5761" s="22" t="s">
        <v>5831</v>
      </c>
      <c r="B5761" s="23" t="s">
        <v>47</v>
      </c>
      <c r="C5761" s="23">
        <v>9</v>
      </c>
      <c r="D5761" s="24">
        <v>45910</v>
      </c>
      <c r="E5761" s="23" t="s">
        <v>68</v>
      </c>
      <c r="F5761" s="23" t="s">
        <v>37</v>
      </c>
      <c r="G5761" s="23" t="s">
        <v>21</v>
      </c>
      <c r="H5761" s="23" t="s">
        <v>28</v>
      </c>
      <c r="I5761" s="23">
        <v>48</v>
      </c>
      <c r="J5761" s="23">
        <v>0</v>
      </c>
      <c r="K5761" s="23">
        <v>3</v>
      </c>
      <c r="L5761" s="23" t="s">
        <v>75</v>
      </c>
      <c r="M5761" s="25">
        <v>7.2</v>
      </c>
      <c r="N5761">
        <f t="shared" si="89"/>
        <v>1</v>
      </c>
    </row>
    <row r="5762" spans="1:14" x14ac:dyDescent="0.35">
      <c r="A5762" s="6" t="s">
        <v>5832</v>
      </c>
      <c r="B5762" s="19" t="s">
        <v>146</v>
      </c>
      <c r="C5762" s="19">
        <v>12</v>
      </c>
      <c r="D5762" s="20">
        <v>46003</v>
      </c>
      <c r="E5762" s="19" t="s">
        <v>25</v>
      </c>
      <c r="F5762" s="19" t="s">
        <v>14</v>
      </c>
      <c r="G5762" s="19" t="s">
        <v>27</v>
      </c>
      <c r="H5762" s="19" t="s">
        <v>32</v>
      </c>
      <c r="I5762" s="19">
        <v>24</v>
      </c>
      <c r="J5762" s="19">
        <v>0</v>
      </c>
      <c r="K5762" s="19">
        <v>5</v>
      </c>
      <c r="L5762" s="19" t="s">
        <v>62</v>
      </c>
      <c r="M5762" s="21">
        <v>34.200000000000003</v>
      </c>
      <c r="N5762">
        <f t="shared" si="89"/>
        <v>0</v>
      </c>
    </row>
    <row r="5763" spans="1:14" x14ac:dyDescent="0.35">
      <c r="A5763" s="22" t="s">
        <v>5833</v>
      </c>
      <c r="B5763" s="23" t="s">
        <v>53</v>
      </c>
      <c r="C5763" s="23">
        <v>7</v>
      </c>
      <c r="D5763" s="24">
        <v>45861</v>
      </c>
      <c r="E5763" s="23" t="s">
        <v>13</v>
      </c>
      <c r="F5763" s="23" t="s">
        <v>37</v>
      </c>
      <c r="G5763" s="23" t="s">
        <v>21</v>
      </c>
      <c r="H5763" s="23" t="s">
        <v>22</v>
      </c>
      <c r="I5763" s="23">
        <v>24</v>
      </c>
      <c r="J5763" s="23">
        <v>3</v>
      </c>
      <c r="K5763" s="23">
        <v>2</v>
      </c>
      <c r="L5763" s="23" t="s">
        <v>8363</v>
      </c>
      <c r="M5763" s="25">
        <v>2.6</v>
      </c>
      <c r="N5763">
        <f t="shared" ref="N5763:N5826" si="90">IF(M5763 &lt;= I5763, 1, 0)</f>
        <v>1</v>
      </c>
    </row>
    <row r="5764" spans="1:14" x14ac:dyDescent="0.35">
      <c r="A5764" s="6" t="s">
        <v>5834</v>
      </c>
      <c r="B5764" s="19" t="s">
        <v>89</v>
      </c>
      <c r="C5764" s="19">
        <v>3</v>
      </c>
      <c r="D5764" s="20">
        <v>45744</v>
      </c>
      <c r="E5764" s="19" t="s">
        <v>68</v>
      </c>
      <c r="F5764" s="19" t="s">
        <v>8364</v>
      </c>
      <c r="G5764" s="19" t="s">
        <v>31</v>
      </c>
      <c r="H5764" s="19" t="s">
        <v>32</v>
      </c>
      <c r="I5764" s="19">
        <v>8</v>
      </c>
      <c r="J5764" s="19">
        <v>0</v>
      </c>
      <c r="K5764" s="19">
        <v>5</v>
      </c>
      <c r="L5764" s="19" t="s">
        <v>75</v>
      </c>
      <c r="M5764" s="21">
        <v>22.4</v>
      </c>
      <c r="N5764">
        <f t="shared" si="90"/>
        <v>0</v>
      </c>
    </row>
    <row r="5765" spans="1:14" x14ac:dyDescent="0.35">
      <c r="A5765" s="22" t="s">
        <v>5835</v>
      </c>
      <c r="B5765" s="23" t="s">
        <v>57</v>
      </c>
      <c r="C5765" s="23">
        <v>12</v>
      </c>
      <c r="D5765" s="24">
        <v>46011</v>
      </c>
      <c r="E5765" s="23" t="s">
        <v>68</v>
      </c>
      <c r="F5765" s="23" t="s">
        <v>43</v>
      </c>
      <c r="G5765" s="23" t="s">
        <v>21</v>
      </c>
      <c r="H5765" s="23" t="s">
        <v>32</v>
      </c>
      <c r="I5765" s="23">
        <v>72</v>
      </c>
      <c r="J5765" s="23">
        <v>0</v>
      </c>
      <c r="K5765" s="23">
        <v>4</v>
      </c>
      <c r="L5765" s="23" t="s">
        <v>17</v>
      </c>
      <c r="M5765" s="25">
        <v>5.9</v>
      </c>
      <c r="N5765">
        <f t="shared" si="90"/>
        <v>1</v>
      </c>
    </row>
    <row r="5766" spans="1:14" x14ac:dyDescent="0.35">
      <c r="A5766" s="6" t="s">
        <v>5836</v>
      </c>
      <c r="B5766" s="19" t="s">
        <v>85</v>
      </c>
      <c r="C5766" s="19">
        <v>3</v>
      </c>
      <c r="D5766" s="20">
        <v>45743</v>
      </c>
      <c r="E5766" s="19" t="s">
        <v>8364</v>
      </c>
      <c r="F5766" s="19" t="s">
        <v>14</v>
      </c>
      <c r="G5766" s="19" t="s">
        <v>21</v>
      </c>
      <c r="H5766" s="19" t="s">
        <v>22</v>
      </c>
      <c r="I5766" s="19">
        <v>72</v>
      </c>
      <c r="J5766" s="19">
        <v>1</v>
      </c>
      <c r="K5766" s="19">
        <v>1</v>
      </c>
      <c r="L5766" s="19" t="s">
        <v>38</v>
      </c>
      <c r="M5766" s="21">
        <v>7.9</v>
      </c>
      <c r="N5766">
        <f t="shared" si="90"/>
        <v>1</v>
      </c>
    </row>
    <row r="5767" spans="1:14" x14ac:dyDescent="0.35">
      <c r="A5767" s="22" t="s">
        <v>5837</v>
      </c>
      <c r="B5767" s="23" t="s">
        <v>41</v>
      </c>
      <c r="C5767" s="23">
        <v>10</v>
      </c>
      <c r="D5767" s="24">
        <v>45947</v>
      </c>
      <c r="E5767" s="23" t="s">
        <v>13</v>
      </c>
      <c r="F5767" s="23" t="s">
        <v>14</v>
      </c>
      <c r="G5767" s="23" t="s">
        <v>27</v>
      </c>
      <c r="H5767" s="23" t="s">
        <v>28</v>
      </c>
      <c r="I5767" s="23">
        <v>4</v>
      </c>
      <c r="J5767" s="23">
        <v>0</v>
      </c>
      <c r="K5767" s="23">
        <v>5</v>
      </c>
      <c r="L5767" s="23" t="s">
        <v>33</v>
      </c>
      <c r="M5767" s="25">
        <v>7.5</v>
      </c>
      <c r="N5767">
        <f t="shared" si="90"/>
        <v>0</v>
      </c>
    </row>
    <row r="5768" spans="1:14" x14ac:dyDescent="0.35">
      <c r="A5768" s="6" t="s">
        <v>5838</v>
      </c>
      <c r="B5768" s="19" t="s">
        <v>89</v>
      </c>
      <c r="C5768" s="19">
        <v>10</v>
      </c>
      <c r="D5768" s="20">
        <v>45937</v>
      </c>
      <c r="E5768" s="19" t="s">
        <v>13</v>
      </c>
      <c r="F5768" s="19" t="s">
        <v>40</v>
      </c>
      <c r="G5768" s="19" t="s">
        <v>21</v>
      </c>
      <c r="H5768" s="19" t="s">
        <v>22</v>
      </c>
      <c r="I5768" s="19">
        <v>4</v>
      </c>
      <c r="J5768" s="19">
        <v>1</v>
      </c>
      <c r="K5768" s="19">
        <v>3</v>
      </c>
      <c r="L5768" s="19" t="s">
        <v>8363</v>
      </c>
      <c r="M5768" s="21">
        <v>7.7</v>
      </c>
      <c r="N5768">
        <f t="shared" si="90"/>
        <v>0</v>
      </c>
    </row>
    <row r="5769" spans="1:14" x14ac:dyDescent="0.35">
      <c r="A5769" s="22" t="s">
        <v>5839</v>
      </c>
      <c r="B5769" s="23" t="s">
        <v>92</v>
      </c>
      <c r="C5769" s="23">
        <v>7</v>
      </c>
      <c r="D5769" s="24">
        <v>45861</v>
      </c>
      <c r="E5769" s="23" t="s">
        <v>13</v>
      </c>
      <c r="F5769" s="23" t="s">
        <v>59</v>
      </c>
      <c r="G5769" s="23" t="s">
        <v>31</v>
      </c>
      <c r="H5769" s="23" t="s">
        <v>28</v>
      </c>
      <c r="I5769" s="23">
        <v>4</v>
      </c>
      <c r="J5769" s="23">
        <v>1</v>
      </c>
      <c r="K5769" s="23">
        <v>3</v>
      </c>
      <c r="L5769" s="23" t="s">
        <v>75</v>
      </c>
      <c r="M5769" s="25">
        <v>8.6999999999999993</v>
      </c>
      <c r="N5769">
        <f t="shared" si="90"/>
        <v>0</v>
      </c>
    </row>
    <row r="5770" spans="1:14" x14ac:dyDescent="0.35">
      <c r="A5770" s="6" t="s">
        <v>5840</v>
      </c>
      <c r="B5770" s="19" t="s">
        <v>104</v>
      </c>
      <c r="C5770" s="19">
        <v>3</v>
      </c>
      <c r="D5770" s="20">
        <v>45742</v>
      </c>
      <c r="E5770" s="19" t="s">
        <v>20</v>
      </c>
      <c r="F5770" s="19" t="s">
        <v>8364</v>
      </c>
      <c r="G5770" s="19" t="s">
        <v>8364</v>
      </c>
      <c r="H5770" s="19" t="s">
        <v>32</v>
      </c>
      <c r="I5770" s="19">
        <v>8</v>
      </c>
      <c r="J5770" s="19">
        <v>0</v>
      </c>
      <c r="K5770" s="19">
        <v>5</v>
      </c>
      <c r="L5770" s="19" t="s">
        <v>55</v>
      </c>
      <c r="M5770" s="21">
        <v>10</v>
      </c>
      <c r="N5770">
        <f t="shared" si="90"/>
        <v>0</v>
      </c>
    </row>
    <row r="5771" spans="1:14" x14ac:dyDescent="0.35">
      <c r="A5771" s="22" t="s">
        <v>5841</v>
      </c>
      <c r="B5771" s="23" t="s">
        <v>92</v>
      </c>
      <c r="C5771" s="23">
        <v>3</v>
      </c>
      <c r="D5771" s="24">
        <v>45717</v>
      </c>
      <c r="E5771" s="23" t="s">
        <v>68</v>
      </c>
      <c r="F5771" s="23" t="s">
        <v>14</v>
      </c>
      <c r="G5771" s="23" t="s">
        <v>15</v>
      </c>
      <c r="H5771" s="23" t="s">
        <v>8364</v>
      </c>
      <c r="I5771" s="23">
        <v>24</v>
      </c>
      <c r="J5771" s="23">
        <v>0</v>
      </c>
      <c r="K5771" s="23">
        <v>3</v>
      </c>
      <c r="L5771" s="23" t="s">
        <v>62</v>
      </c>
      <c r="M5771" s="25">
        <v>7</v>
      </c>
      <c r="N5771">
        <f t="shared" si="90"/>
        <v>1</v>
      </c>
    </row>
    <row r="5772" spans="1:14" x14ac:dyDescent="0.35">
      <c r="A5772" s="6" t="s">
        <v>5842</v>
      </c>
      <c r="B5772" s="19" t="s">
        <v>143</v>
      </c>
      <c r="C5772" s="19">
        <v>5</v>
      </c>
      <c r="D5772" s="20">
        <v>45784</v>
      </c>
      <c r="E5772" s="19" t="s">
        <v>13</v>
      </c>
      <c r="F5772" s="19" t="s">
        <v>40</v>
      </c>
      <c r="G5772" s="19" t="s">
        <v>21</v>
      </c>
      <c r="H5772" s="19" t="s">
        <v>28</v>
      </c>
      <c r="I5772" s="19">
        <v>24</v>
      </c>
      <c r="J5772" s="19">
        <v>1</v>
      </c>
      <c r="K5772" s="19">
        <v>4</v>
      </c>
      <c r="L5772" s="19" t="s">
        <v>55</v>
      </c>
      <c r="M5772" s="21">
        <v>20.100000000000001</v>
      </c>
      <c r="N5772">
        <f t="shared" si="90"/>
        <v>1</v>
      </c>
    </row>
    <row r="5773" spans="1:14" x14ac:dyDescent="0.35">
      <c r="A5773" s="22" t="s">
        <v>5843</v>
      </c>
      <c r="B5773" s="23" t="s">
        <v>158</v>
      </c>
      <c r="C5773" s="23">
        <v>2</v>
      </c>
      <c r="D5773" s="24">
        <v>45697</v>
      </c>
      <c r="E5773" s="23" t="s">
        <v>13</v>
      </c>
      <c r="F5773" s="23" t="s">
        <v>43</v>
      </c>
      <c r="G5773" s="23" t="s">
        <v>27</v>
      </c>
      <c r="H5773" s="23" t="s">
        <v>32</v>
      </c>
      <c r="I5773" s="23">
        <v>72</v>
      </c>
      <c r="J5773" s="23">
        <v>1</v>
      </c>
      <c r="K5773" s="23">
        <v>5</v>
      </c>
      <c r="L5773" s="23" t="s">
        <v>8363</v>
      </c>
      <c r="M5773" s="25">
        <v>12</v>
      </c>
      <c r="N5773">
        <f t="shared" si="90"/>
        <v>1</v>
      </c>
    </row>
    <row r="5774" spans="1:14" x14ac:dyDescent="0.35">
      <c r="A5774" s="6" t="s">
        <v>5844</v>
      </c>
      <c r="B5774" s="19" t="s">
        <v>34</v>
      </c>
      <c r="C5774" s="19">
        <v>9</v>
      </c>
      <c r="D5774" s="20">
        <v>45905</v>
      </c>
      <c r="E5774" s="19" t="s">
        <v>8364</v>
      </c>
      <c r="F5774" s="19" t="s">
        <v>43</v>
      </c>
      <c r="G5774" s="19" t="s">
        <v>27</v>
      </c>
      <c r="H5774" s="19" t="s">
        <v>28</v>
      </c>
      <c r="I5774" s="19">
        <v>4</v>
      </c>
      <c r="J5774" s="19">
        <v>1</v>
      </c>
      <c r="K5774" s="19">
        <v>5</v>
      </c>
      <c r="L5774" s="19" t="s">
        <v>17</v>
      </c>
      <c r="M5774" s="21">
        <v>12.8</v>
      </c>
      <c r="N5774">
        <f t="shared" si="90"/>
        <v>0</v>
      </c>
    </row>
    <row r="5775" spans="1:14" x14ac:dyDescent="0.35">
      <c r="A5775" s="22" t="s">
        <v>5845</v>
      </c>
      <c r="B5775" s="23" t="s">
        <v>104</v>
      </c>
      <c r="C5775" s="23">
        <v>6</v>
      </c>
      <c r="D5775" s="24">
        <v>45829</v>
      </c>
      <c r="E5775" s="23" t="s">
        <v>25</v>
      </c>
      <c r="F5775" s="23" t="s">
        <v>43</v>
      </c>
      <c r="G5775" s="23" t="s">
        <v>31</v>
      </c>
      <c r="H5775" s="23" t="s">
        <v>22</v>
      </c>
      <c r="I5775" s="23">
        <v>8</v>
      </c>
      <c r="J5775" s="23">
        <v>0</v>
      </c>
      <c r="K5775" s="23">
        <v>5</v>
      </c>
      <c r="L5775" s="23" t="s">
        <v>33</v>
      </c>
      <c r="M5775" s="25">
        <v>3.1</v>
      </c>
      <c r="N5775">
        <f t="shared" si="90"/>
        <v>1</v>
      </c>
    </row>
    <row r="5776" spans="1:14" x14ac:dyDescent="0.35">
      <c r="A5776" s="6" t="s">
        <v>5846</v>
      </c>
      <c r="B5776" s="19" t="s">
        <v>89</v>
      </c>
      <c r="C5776" s="19">
        <v>4</v>
      </c>
      <c r="D5776" s="20">
        <v>45762</v>
      </c>
      <c r="E5776" s="19" t="s">
        <v>68</v>
      </c>
      <c r="F5776" s="19" t="s">
        <v>43</v>
      </c>
      <c r="G5776" s="19" t="s">
        <v>15</v>
      </c>
      <c r="H5776" s="19" t="s">
        <v>32</v>
      </c>
      <c r="I5776" s="19">
        <v>4</v>
      </c>
      <c r="J5776" s="19">
        <v>0</v>
      </c>
      <c r="K5776" s="19">
        <v>5</v>
      </c>
      <c r="L5776" s="19" t="s">
        <v>44</v>
      </c>
      <c r="M5776" s="21">
        <v>18.7</v>
      </c>
      <c r="N5776">
        <f t="shared" si="90"/>
        <v>0</v>
      </c>
    </row>
    <row r="5777" spans="1:14" x14ac:dyDescent="0.35">
      <c r="A5777" s="22" t="s">
        <v>5847</v>
      </c>
      <c r="B5777" s="23" t="s">
        <v>69</v>
      </c>
      <c r="C5777" s="23">
        <v>10</v>
      </c>
      <c r="D5777" s="24">
        <v>45954</v>
      </c>
      <c r="E5777" s="23" t="s">
        <v>36</v>
      </c>
      <c r="F5777" s="23" t="s">
        <v>59</v>
      </c>
      <c r="G5777" s="23" t="s">
        <v>21</v>
      </c>
      <c r="H5777" s="23" t="s">
        <v>22</v>
      </c>
      <c r="I5777" s="23">
        <v>48</v>
      </c>
      <c r="J5777" s="23">
        <v>0</v>
      </c>
      <c r="K5777" s="23"/>
      <c r="L5777" s="23" t="s">
        <v>8363</v>
      </c>
      <c r="M5777" s="25">
        <v>7.1</v>
      </c>
      <c r="N5777">
        <f t="shared" si="90"/>
        <v>1</v>
      </c>
    </row>
    <row r="5778" spans="1:14" x14ac:dyDescent="0.35">
      <c r="A5778" s="6" t="s">
        <v>5848</v>
      </c>
      <c r="B5778" s="19" t="s">
        <v>39</v>
      </c>
      <c r="C5778" s="19"/>
      <c r="D5778" s="20"/>
      <c r="E5778" s="19" t="s">
        <v>36</v>
      </c>
      <c r="F5778" s="19" t="s">
        <v>14</v>
      </c>
      <c r="G5778" s="19" t="s">
        <v>21</v>
      </c>
      <c r="H5778" s="19" t="s">
        <v>22</v>
      </c>
      <c r="I5778" s="19">
        <v>4</v>
      </c>
      <c r="J5778" s="19">
        <v>0</v>
      </c>
      <c r="K5778" s="19">
        <v>4</v>
      </c>
      <c r="L5778" s="19" t="s">
        <v>8363</v>
      </c>
      <c r="M5778" s="21">
        <v>8.5</v>
      </c>
      <c r="N5778">
        <f t="shared" si="90"/>
        <v>0</v>
      </c>
    </row>
    <row r="5779" spans="1:14" x14ac:dyDescent="0.35">
      <c r="A5779" s="22" t="s">
        <v>5849</v>
      </c>
      <c r="B5779" s="23" t="s">
        <v>85</v>
      </c>
      <c r="C5779" s="23">
        <v>10</v>
      </c>
      <c r="D5779" s="24">
        <v>45943</v>
      </c>
      <c r="E5779" s="23" t="s">
        <v>25</v>
      </c>
      <c r="F5779" s="23" t="s">
        <v>14</v>
      </c>
      <c r="G5779" s="23" t="s">
        <v>21</v>
      </c>
      <c r="H5779" s="23" t="s">
        <v>28</v>
      </c>
      <c r="I5779" s="23">
        <v>8</v>
      </c>
      <c r="J5779" s="23">
        <v>0</v>
      </c>
      <c r="K5779" s="23">
        <v>5</v>
      </c>
      <c r="L5779" s="23" t="s">
        <v>8363</v>
      </c>
      <c r="M5779" s="25">
        <v>8.4</v>
      </c>
      <c r="N5779">
        <f t="shared" si="90"/>
        <v>0</v>
      </c>
    </row>
    <row r="5780" spans="1:14" x14ac:dyDescent="0.35">
      <c r="A5780" s="6" t="s">
        <v>5850</v>
      </c>
      <c r="B5780" s="19" t="s">
        <v>87</v>
      </c>
      <c r="C5780" s="19">
        <v>4</v>
      </c>
      <c r="D5780" s="20">
        <v>45759</v>
      </c>
      <c r="E5780" s="19" t="s">
        <v>8364</v>
      </c>
      <c r="F5780" s="19" t="s">
        <v>14</v>
      </c>
      <c r="G5780" s="19" t="s">
        <v>27</v>
      </c>
      <c r="H5780" s="19" t="s">
        <v>8364</v>
      </c>
      <c r="I5780" s="19">
        <v>72</v>
      </c>
      <c r="J5780" s="19">
        <v>1</v>
      </c>
      <c r="K5780" s="19"/>
      <c r="L5780" s="19" t="s">
        <v>38</v>
      </c>
      <c r="M5780" s="21">
        <v>17.5</v>
      </c>
      <c r="N5780">
        <f t="shared" si="90"/>
        <v>1</v>
      </c>
    </row>
    <row r="5781" spans="1:14" x14ac:dyDescent="0.35">
      <c r="A5781" s="22" t="s">
        <v>5851</v>
      </c>
      <c r="B5781" s="23" t="s">
        <v>69</v>
      </c>
      <c r="C5781" s="23"/>
      <c r="D5781" s="24"/>
      <c r="E5781" s="23" t="s">
        <v>20</v>
      </c>
      <c r="F5781" s="23" t="s">
        <v>37</v>
      </c>
      <c r="G5781" s="23" t="s">
        <v>21</v>
      </c>
      <c r="H5781" s="23" t="s">
        <v>32</v>
      </c>
      <c r="I5781" s="23">
        <v>72</v>
      </c>
      <c r="J5781" s="23">
        <v>1</v>
      </c>
      <c r="K5781" s="23">
        <v>1</v>
      </c>
      <c r="L5781" s="23" t="s">
        <v>17</v>
      </c>
      <c r="M5781" s="25">
        <v>9.1999999999999993</v>
      </c>
      <c r="N5781">
        <f t="shared" si="90"/>
        <v>1</v>
      </c>
    </row>
    <row r="5782" spans="1:14" x14ac:dyDescent="0.35">
      <c r="A5782" s="6" t="s">
        <v>5852</v>
      </c>
      <c r="B5782" s="19" t="s">
        <v>18</v>
      </c>
      <c r="C5782" s="19">
        <v>8</v>
      </c>
      <c r="D5782" s="20">
        <v>45876</v>
      </c>
      <c r="E5782" s="19" t="s">
        <v>13</v>
      </c>
      <c r="F5782" s="19" t="s">
        <v>37</v>
      </c>
      <c r="G5782" s="19" t="s">
        <v>31</v>
      </c>
      <c r="H5782" s="19" t="s">
        <v>8364</v>
      </c>
      <c r="I5782" s="19">
        <v>48</v>
      </c>
      <c r="J5782" s="19">
        <v>0</v>
      </c>
      <c r="K5782" s="19">
        <v>1</v>
      </c>
      <c r="L5782" s="19" t="s">
        <v>55</v>
      </c>
      <c r="M5782" s="21">
        <v>2.2999999999999998</v>
      </c>
      <c r="N5782">
        <f t="shared" si="90"/>
        <v>1</v>
      </c>
    </row>
    <row r="5783" spans="1:14" x14ac:dyDescent="0.35">
      <c r="A5783" s="22" t="s">
        <v>5853</v>
      </c>
      <c r="B5783" s="23" t="s">
        <v>53</v>
      </c>
      <c r="C5783" s="23">
        <v>4</v>
      </c>
      <c r="D5783" s="24">
        <v>45756</v>
      </c>
      <c r="E5783" s="23" t="s">
        <v>25</v>
      </c>
      <c r="F5783" s="23" t="s">
        <v>37</v>
      </c>
      <c r="G5783" s="23" t="s">
        <v>15</v>
      </c>
      <c r="H5783" s="23" t="s">
        <v>8364</v>
      </c>
      <c r="I5783" s="23">
        <v>8</v>
      </c>
      <c r="J5783" s="23">
        <v>0</v>
      </c>
      <c r="K5783" s="23">
        <v>3</v>
      </c>
      <c r="L5783" s="23" t="s">
        <v>17</v>
      </c>
      <c r="M5783" s="25">
        <v>2.7</v>
      </c>
      <c r="N5783">
        <f t="shared" si="90"/>
        <v>1</v>
      </c>
    </row>
    <row r="5784" spans="1:14" x14ac:dyDescent="0.35">
      <c r="A5784" s="6" t="s">
        <v>5854</v>
      </c>
      <c r="B5784" s="19" t="s">
        <v>101</v>
      </c>
      <c r="C5784" s="19">
        <v>7</v>
      </c>
      <c r="D5784" s="20">
        <v>45849</v>
      </c>
      <c r="E5784" s="19" t="s">
        <v>25</v>
      </c>
      <c r="F5784" s="19" t="s">
        <v>26</v>
      </c>
      <c r="G5784" s="19" t="s">
        <v>31</v>
      </c>
      <c r="H5784" s="19" t="s">
        <v>8364</v>
      </c>
      <c r="I5784" s="19">
        <v>8</v>
      </c>
      <c r="J5784" s="19">
        <v>0</v>
      </c>
      <c r="K5784" s="19">
        <v>4</v>
      </c>
      <c r="L5784" s="19" t="s">
        <v>62</v>
      </c>
      <c r="M5784" s="21">
        <v>1.5</v>
      </c>
      <c r="N5784">
        <f t="shared" si="90"/>
        <v>1</v>
      </c>
    </row>
    <row r="5785" spans="1:14" x14ac:dyDescent="0.35">
      <c r="A5785" s="22" t="s">
        <v>5855</v>
      </c>
      <c r="B5785" s="23" t="s">
        <v>139</v>
      </c>
      <c r="C5785" s="23">
        <v>9</v>
      </c>
      <c r="D5785" s="24">
        <v>45928</v>
      </c>
      <c r="E5785" s="23" t="s">
        <v>68</v>
      </c>
      <c r="F5785" s="23" t="s">
        <v>37</v>
      </c>
      <c r="G5785" s="23" t="s">
        <v>31</v>
      </c>
      <c r="H5785" s="23" t="s">
        <v>32</v>
      </c>
      <c r="I5785" s="23">
        <v>24</v>
      </c>
      <c r="J5785" s="23">
        <v>3</v>
      </c>
      <c r="K5785" s="23">
        <v>3</v>
      </c>
      <c r="L5785" s="23" t="s">
        <v>33</v>
      </c>
      <c r="M5785" s="25">
        <v>19.3</v>
      </c>
      <c r="N5785">
        <f t="shared" si="90"/>
        <v>1</v>
      </c>
    </row>
    <row r="5786" spans="1:14" x14ac:dyDescent="0.35">
      <c r="A5786" s="6" t="s">
        <v>5856</v>
      </c>
      <c r="B5786" s="19" t="s">
        <v>89</v>
      </c>
      <c r="C5786" s="19">
        <v>9</v>
      </c>
      <c r="D5786" s="20">
        <v>45912</v>
      </c>
      <c r="E5786" s="19" t="s">
        <v>13</v>
      </c>
      <c r="F5786" s="19" t="s">
        <v>37</v>
      </c>
      <c r="G5786" s="19" t="s">
        <v>31</v>
      </c>
      <c r="H5786" s="19" t="s">
        <v>28</v>
      </c>
      <c r="I5786" s="19">
        <v>24</v>
      </c>
      <c r="J5786" s="19">
        <v>1</v>
      </c>
      <c r="K5786" s="19">
        <v>3</v>
      </c>
      <c r="L5786" s="19" t="s">
        <v>55</v>
      </c>
      <c r="M5786" s="21">
        <v>10.7</v>
      </c>
      <c r="N5786">
        <f t="shared" si="90"/>
        <v>1</v>
      </c>
    </row>
    <row r="5787" spans="1:14" x14ac:dyDescent="0.35">
      <c r="A5787" s="22" t="s">
        <v>5857</v>
      </c>
      <c r="B5787" s="23" t="s">
        <v>51</v>
      </c>
      <c r="C5787" s="23">
        <v>5</v>
      </c>
      <c r="D5787" s="24">
        <v>45784</v>
      </c>
      <c r="E5787" s="23" t="s">
        <v>13</v>
      </c>
      <c r="F5787" s="23" t="s">
        <v>59</v>
      </c>
      <c r="G5787" s="23" t="s">
        <v>27</v>
      </c>
      <c r="H5787" s="23" t="s">
        <v>28</v>
      </c>
      <c r="I5787" s="23">
        <v>72</v>
      </c>
      <c r="J5787" s="23">
        <v>3</v>
      </c>
      <c r="K5787" s="23">
        <v>5</v>
      </c>
      <c r="L5787" s="23" t="s">
        <v>38</v>
      </c>
      <c r="M5787" s="25">
        <v>6</v>
      </c>
      <c r="N5787">
        <f t="shared" si="90"/>
        <v>1</v>
      </c>
    </row>
    <row r="5788" spans="1:14" x14ac:dyDescent="0.35">
      <c r="A5788" s="6" t="s">
        <v>5858</v>
      </c>
      <c r="B5788" s="19" t="s">
        <v>97</v>
      </c>
      <c r="C5788" s="19">
        <v>8</v>
      </c>
      <c r="D5788" s="20">
        <v>45874</v>
      </c>
      <c r="E5788" s="19" t="s">
        <v>13</v>
      </c>
      <c r="F5788" s="19" t="s">
        <v>8364</v>
      </c>
      <c r="G5788" s="19" t="s">
        <v>15</v>
      </c>
      <c r="H5788" s="19" t="s">
        <v>22</v>
      </c>
      <c r="I5788" s="19">
        <v>72</v>
      </c>
      <c r="J5788" s="19">
        <v>2</v>
      </c>
      <c r="K5788" s="19">
        <v>4</v>
      </c>
      <c r="L5788" s="19" t="s">
        <v>38</v>
      </c>
      <c r="M5788" s="21">
        <v>2.2999999999999998</v>
      </c>
      <c r="N5788">
        <f t="shared" si="90"/>
        <v>1</v>
      </c>
    </row>
    <row r="5789" spans="1:14" x14ac:dyDescent="0.35">
      <c r="A5789" s="22" t="s">
        <v>5859</v>
      </c>
      <c r="B5789" s="23" t="s">
        <v>146</v>
      </c>
      <c r="C5789" s="23">
        <v>6</v>
      </c>
      <c r="D5789" s="24">
        <v>45812</v>
      </c>
      <c r="E5789" s="23" t="s">
        <v>13</v>
      </c>
      <c r="F5789" s="23" t="s">
        <v>14</v>
      </c>
      <c r="G5789" s="23" t="s">
        <v>27</v>
      </c>
      <c r="H5789" s="23" t="s">
        <v>32</v>
      </c>
      <c r="I5789" s="23">
        <v>4</v>
      </c>
      <c r="J5789" s="23">
        <v>0</v>
      </c>
      <c r="K5789" s="23">
        <v>5</v>
      </c>
      <c r="L5789" s="23" t="s">
        <v>75</v>
      </c>
      <c r="M5789" s="25">
        <v>13.9</v>
      </c>
      <c r="N5789">
        <f t="shared" si="90"/>
        <v>0</v>
      </c>
    </row>
    <row r="5790" spans="1:14" x14ac:dyDescent="0.35">
      <c r="A5790" s="6" t="s">
        <v>5860</v>
      </c>
      <c r="B5790" s="19" t="s">
        <v>253</v>
      </c>
      <c r="C5790" s="19">
        <v>7</v>
      </c>
      <c r="D5790" s="20">
        <v>45857</v>
      </c>
      <c r="E5790" s="19" t="s">
        <v>36</v>
      </c>
      <c r="F5790" s="19" t="s">
        <v>43</v>
      </c>
      <c r="G5790" s="19" t="s">
        <v>27</v>
      </c>
      <c r="H5790" s="19" t="s">
        <v>32</v>
      </c>
      <c r="I5790" s="19">
        <v>4</v>
      </c>
      <c r="J5790" s="19">
        <v>0</v>
      </c>
      <c r="K5790" s="19">
        <v>4</v>
      </c>
      <c r="L5790" s="19" t="s">
        <v>75</v>
      </c>
      <c r="M5790" s="21">
        <v>18.5</v>
      </c>
      <c r="N5790">
        <f t="shared" si="90"/>
        <v>0</v>
      </c>
    </row>
    <row r="5791" spans="1:14" x14ac:dyDescent="0.35">
      <c r="A5791" s="22" t="s">
        <v>5861</v>
      </c>
      <c r="B5791" s="23" t="s">
        <v>81</v>
      </c>
      <c r="C5791" s="23">
        <v>3</v>
      </c>
      <c r="D5791" s="24">
        <v>45737</v>
      </c>
      <c r="E5791" s="23" t="s">
        <v>68</v>
      </c>
      <c r="F5791" s="23" t="s">
        <v>37</v>
      </c>
      <c r="G5791" s="23" t="s">
        <v>27</v>
      </c>
      <c r="H5791" s="23" t="s">
        <v>22</v>
      </c>
      <c r="I5791" s="23">
        <v>4</v>
      </c>
      <c r="J5791" s="23">
        <v>0</v>
      </c>
      <c r="K5791" s="23"/>
      <c r="L5791" s="23" t="s">
        <v>44</v>
      </c>
      <c r="M5791" s="25">
        <v>7.1</v>
      </c>
      <c r="N5791">
        <f t="shared" si="90"/>
        <v>0</v>
      </c>
    </row>
    <row r="5792" spans="1:14" x14ac:dyDescent="0.35">
      <c r="A5792" s="6" t="s">
        <v>5862</v>
      </c>
      <c r="B5792" s="19" t="s">
        <v>139</v>
      </c>
      <c r="C5792" s="19">
        <v>2</v>
      </c>
      <c r="D5792" s="20">
        <v>45704</v>
      </c>
      <c r="E5792" s="19" t="s">
        <v>68</v>
      </c>
      <c r="F5792" s="19" t="s">
        <v>43</v>
      </c>
      <c r="G5792" s="19" t="s">
        <v>27</v>
      </c>
      <c r="H5792" s="19" t="s">
        <v>16</v>
      </c>
      <c r="I5792" s="19">
        <v>8</v>
      </c>
      <c r="J5792" s="19">
        <v>1</v>
      </c>
      <c r="K5792" s="19">
        <v>4</v>
      </c>
      <c r="L5792" s="19" t="s">
        <v>17</v>
      </c>
      <c r="M5792" s="21">
        <v>12.2</v>
      </c>
      <c r="N5792">
        <f t="shared" si="90"/>
        <v>0</v>
      </c>
    </row>
    <row r="5793" spans="1:14" x14ac:dyDescent="0.35">
      <c r="A5793" s="22" t="s">
        <v>5863</v>
      </c>
      <c r="B5793" s="23" t="s">
        <v>34</v>
      </c>
      <c r="C5793" s="23">
        <v>5</v>
      </c>
      <c r="D5793" s="24">
        <v>45780</v>
      </c>
      <c r="E5793" s="23" t="s">
        <v>36</v>
      </c>
      <c r="F5793" s="23" t="s">
        <v>14</v>
      </c>
      <c r="G5793" s="23" t="s">
        <v>21</v>
      </c>
      <c r="H5793" s="23" t="s">
        <v>32</v>
      </c>
      <c r="I5793" s="23">
        <v>8</v>
      </c>
      <c r="J5793" s="23">
        <v>0</v>
      </c>
      <c r="K5793" s="23">
        <v>4</v>
      </c>
      <c r="L5793" s="23" t="s">
        <v>62</v>
      </c>
      <c r="M5793" s="25">
        <v>11.1</v>
      </c>
      <c r="N5793">
        <f t="shared" si="90"/>
        <v>0</v>
      </c>
    </row>
    <row r="5794" spans="1:14" x14ac:dyDescent="0.35">
      <c r="A5794" s="6" t="s">
        <v>5864</v>
      </c>
      <c r="B5794" s="19" t="s">
        <v>158</v>
      </c>
      <c r="C5794" s="19">
        <v>11</v>
      </c>
      <c r="D5794" s="20">
        <v>45967</v>
      </c>
      <c r="E5794" s="19" t="s">
        <v>13</v>
      </c>
      <c r="F5794" s="19" t="s">
        <v>14</v>
      </c>
      <c r="G5794" s="19" t="s">
        <v>27</v>
      </c>
      <c r="H5794" s="19" t="s">
        <v>8364</v>
      </c>
      <c r="I5794" s="19">
        <v>8</v>
      </c>
      <c r="J5794" s="19">
        <v>2</v>
      </c>
      <c r="K5794" s="19">
        <v>5</v>
      </c>
      <c r="L5794" s="19" t="s">
        <v>8363</v>
      </c>
      <c r="M5794" s="21">
        <v>10.8</v>
      </c>
      <c r="N5794">
        <f t="shared" si="90"/>
        <v>0</v>
      </c>
    </row>
    <row r="5795" spans="1:14" x14ac:dyDescent="0.35">
      <c r="A5795" s="22" t="s">
        <v>5865</v>
      </c>
      <c r="B5795" s="23" t="s">
        <v>18</v>
      </c>
      <c r="C5795" s="23">
        <v>8</v>
      </c>
      <c r="D5795" s="24">
        <v>45886</v>
      </c>
      <c r="E5795" s="23" t="s">
        <v>36</v>
      </c>
      <c r="F5795" s="23" t="s">
        <v>43</v>
      </c>
      <c r="G5795" s="23" t="s">
        <v>21</v>
      </c>
      <c r="H5795" s="23" t="s">
        <v>22</v>
      </c>
      <c r="I5795" s="23">
        <v>4</v>
      </c>
      <c r="J5795" s="23">
        <v>0</v>
      </c>
      <c r="K5795" s="23">
        <v>5</v>
      </c>
      <c r="L5795" s="23" t="s">
        <v>8363</v>
      </c>
      <c r="M5795" s="25">
        <v>7.3</v>
      </c>
      <c r="N5795">
        <f t="shared" si="90"/>
        <v>0</v>
      </c>
    </row>
    <row r="5796" spans="1:14" x14ac:dyDescent="0.35">
      <c r="A5796" s="6" t="s">
        <v>5866</v>
      </c>
      <c r="B5796" s="19" t="s">
        <v>143</v>
      </c>
      <c r="C5796" s="19">
        <v>10</v>
      </c>
      <c r="D5796" s="20">
        <v>45931</v>
      </c>
      <c r="E5796" s="19" t="s">
        <v>13</v>
      </c>
      <c r="F5796" s="19" t="s">
        <v>14</v>
      </c>
      <c r="G5796" s="19" t="s">
        <v>15</v>
      </c>
      <c r="H5796" s="19" t="s">
        <v>28</v>
      </c>
      <c r="I5796" s="19">
        <v>4</v>
      </c>
      <c r="J5796" s="19">
        <v>0</v>
      </c>
      <c r="K5796" s="19">
        <v>4</v>
      </c>
      <c r="L5796" s="19" t="s">
        <v>38</v>
      </c>
      <c r="M5796" s="21">
        <v>8.3000000000000007</v>
      </c>
      <c r="N5796">
        <f t="shared" si="90"/>
        <v>0</v>
      </c>
    </row>
    <row r="5797" spans="1:14" x14ac:dyDescent="0.35">
      <c r="A5797" s="22" t="s">
        <v>5867</v>
      </c>
      <c r="B5797" s="23" t="s">
        <v>101</v>
      </c>
      <c r="C5797" s="23">
        <v>11</v>
      </c>
      <c r="D5797" s="24">
        <v>45967</v>
      </c>
      <c r="E5797" s="23" t="s">
        <v>68</v>
      </c>
      <c r="F5797" s="23" t="s">
        <v>8364</v>
      </c>
      <c r="G5797" s="23" t="s">
        <v>27</v>
      </c>
      <c r="H5797" s="23" t="s">
        <v>22</v>
      </c>
      <c r="I5797" s="23">
        <v>48</v>
      </c>
      <c r="J5797" s="23">
        <v>2</v>
      </c>
      <c r="K5797" s="23">
        <v>5</v>
      </c>
      <c r="L5797" s="23" t="s">
        <v>8363</v>
      </c>
      <c r="M5797" s="25">
        <v>6.8</v>
      </c>
      <c r="N5797">
        <f t="shared" si="90"/>
        <v>1</v>
      </c>
    </row>
    <row r="5798" spans="1:14" x14ac:dyDescent="0.35">
      <c r="A5798" s="6" t="s">
        <v>5868</v>
      </c>
      <c r="B5798" s="19" t="s">
        <v>69</v>
      </c>
      <c r="C5798" s="19">
        <v>8</v>
      </c>
      <c r="D5798" s="20">
        <v>45896</v>
      </c>
      <c r="E5798" s="19" t="s">
        <v>25</v>
      </c>
      <c r="F5798" s="19" t="s">
        <v>14</v>
      </c>
      <c r="G5798" s="19" t="s">
        <v>15</v>
      </c>
      <c r="H5798" s="19" t="s">
        <v>8364</v>
      </c>
      <c r="I5798" s="19">
        <v>72</v>
      </c>
      <c r="J5798" s="19">
        <v>0</v>
      </c>
      <c r="K5798" s="19">
        <v>4</v>
      </c>
      <c r="L5798" s="19" t="s">
        <v>38</v>
      </c>
      <c r="M5798" s="21">
        <v>3.1</v>
      </c>
      <c r="N5798">
        <f t="shared" si="90"/>
        <v>1</v>
      </c>
    </row>
    <row r="5799" spans="1:14" x14ac:dyDescent="0.35">
      <c r="A5799" s="22" t="s">
        <v>5869</v>
      </c>
      <c r="B5799" s="23" t="s">
        <v>41</v>
      </c>
      <c r="C5799" s="23">
        <v>2</v>
      </c>
      <c r="D5799" s="24">
        <v>45702</v>
      </c>
      <c r="E5799" s="23" t="s">
        <v>8364</v>
      </c>
      <c r="F5799" s="23" t="s">
        <v>40</v>
      </c>
      <c r="G5799" s="23" t="s">
        <v>8364</v>
      </c>
      <c r="H5799" s="23" t="s">
        <v>28</v>
      </c>
      <c r="I5799" s="23">
        <v>4</v>
      </c>
      <c r="J5799" s="23">
        <v>0</v>
      </c>
      <c r="K5799" s="23">
        <v>5</v>
      </c>
      <c r="L5799" s="23" t="s">
        <v>44</v>
      </c>
      <c r="M5799" s="25">
        <v>29.9</v>
      </c>
      <c r="N5799">
        <f t="shared" si="90"/>
        <v>0</v>
      </c>
    </row>
    <row r="5800" spans="1:14" x14ac:dyDescent="0.35">
      <c r="A5800" s="6" t="s">
        <v>5870</v>
      </c>
      <c r="B5800" s="19" t="s">
        <v>87</v>
      </c>
      <c r="C5800" s="19">
        <v>8</v>
      </c>
      <c r="D5800" s="20">
        <v>45891</v>
      </c>
      <c r="E5800" s="19" t="s">
        <v>13</v>
      </c>
      <c r="F5800" s="19" t="s">
        <v>37</v>
      </c>
      <c r="G5800" s="19" t="s">
        <v>15</v>
      </c>
      <c r="H5800" s="19" t="s">
        <v>8364</v>
      </c>
      <c r="I5800" s="19">
        <v>72</v>
      </c>
      <c r="J5800" s="19">
        <v>0</v>
      </c>
      <c r="K5800" s="19">
        <v>4</v>
      </c>
      <c r="L5800" s="19" t="s">
        <v>17</v>
      </c>
      <c r="M5800" s="21">
        <v>9.1</v>
      </c>
      <c r="N5800">
        <f t="shared" si="90"/>
        <v>1</v>
      </c>
    </row>
    <row r="5801" spans="1:14" x14ac:dyDescent="0.35">
      <c r="A5801" s="22" t="s">
        <v>5871</v>
      </c>
      <c r="B5801" s="23" t="s">
        <v>130</v>
      </c>
      <c r="C5801" s="23">
        <v>6</v>
      </c>
      <c r="D5801" s="24">
        <v>45837</v>
      </c>
      <c r="E5801" s="23" t="s">
        <v>36</v>
      </c>
      <c r="F5801" s="23" t="s">
        <v>14</v>
      </c>
      <c r="G5801" s="23" t="s">
        <v>8364</v>
      </c>
      <c r="H5801" s="23" t="s">
        <v>22</v>
      </c>
      <c r="I5801" s="23">
        <v>72</v>
      </c>
      <c r="J5801" s="23">
        <v>3</v>
      </c>
      <c r="K5801" s="23">
        <v>4</v>
      </c>
      <c r="L5801" s="23" t="s">
        <v>75</v>
      </c>
      <c r="M5801" s="25">
        <v>13.5</v>
      </c>
      <c r="N5801">
        <f t="shared" si="90"/>
        <v>1</v>
      </c>
    </row>
    <row r="5802" spans="1:14" x14ac:dyDescent="0.35">
      <c r="A5802" s="6" t="s">
        <v>5872</v>
      </c>
      <c r="B5802" s="19" t="s">
        <v>49</v>
      </c>
      <c r="C5802" s="19">
        <v>2</v>
      </c>
      <c r="D5802" s="20">
        <v>45705</v>
      </c>
      <c r="E5802" s="19" t="s">
        <v>68</v>
      </c>
      <c r="F5802" s="19" t="s">
        <v>59</v>
      </c>
      <c r="G5802" s="19" t="s">
        <v>31</v>
      </c>
      <c r="H5802" s="19" t="s">
        <v>28</v>
      </c>
      <c r="I5802" s="19">
        <v>8</v>
      </c>
      <c r="J5802" s="19">
        <v>0</v>
      </c>
      <c r="K5802" s="19">
        <v>2</v>
      </c>
      <c r="L5802" s="19" t="s">
        <v>44</v>
      </c>
      <c r="M5802" s="21">
        <v>6.3</v>
      </c>
      <c r="N5802">
        <f t="shared" si="90"/>
        <v>1</v>
      </c>
    </row>
    <row r="5803" spans="1:14" x14ac:dyDescent="0.35">
      <c r="A5803" s="22" t="s">
        <v>5873</v>
      </c>
      <c r="B5803" s="23" t="s">
        <v>72</v>
      </c>
      <c r="C5803" s="23">
        <v>9</v>
      </c>
      <c r="D5803" s="24">
        <v>45929</v>
      </c>
      <c r="E5803" s="23" t="s">
        <v>13</v>
      </c>
      <c r="F5803" s="23" t="s">
        <v>37</v>
      </c>
      <c r="G5803" s="23" t="s">
        <v>8364</v>
      </c>
      <c r="H5803" s="23" t="s">
        <v>8364</v>
      </c>
      <c r="I5803" s="23">
        <v>8</v>
      </c>
      <c r="J5803" s="23">
        <v>0</v>
      </c>
      <c r="K5803" s="23">
        <v>4</v>
      </c>
      <c r="L5803" s="23" t="s">
        <v>75</v>
      </c>
      <c r="M5803" s="25">
        <v>4.8</v>
      </c>
      <c r="N5803">
        <f t="shared" si="90"/>
        <v>1</v>
      </c>
    </row>
    <row r="5804" spans="1:14" x14ac:dyDescent="0.35">
      <c r="A5804" s="6" t="s">
        <v>5874</v>
      </c>
      <c r="B5804" s="19" t="s">
        <v>29</v>
      </c>
      <c r="C5804" s="19">
        <v>10</v>
      </c>
      <c r="D5804" s="20">
        <v>45952</v>
      </c>
      <c r="E5804" s="19" t="s">
        <v>25</v>
      </c>
      <c r="F5804" s="19" t="s">
        <v>14</v>
      </c>
      <c r="G5804" s="19" t="s">
        <v>15</v>
      </c>
      <c r="H5804" s="19" t="s">
        <v>28</v>
      </c>
      <c r="I5804" s="19">
        <v>8</v>
      </c>
      <c r="J5804" s="19">
        <v>0</v>
      </c>
      <c r="K5804" s="19">
        <v>4</v>
      </c>
      <c r="L5804" s="19" t="s">
        <v>62</v>
      </c>
      <c r="M5804" s="21">
        <v>8.6999999999999993</v>
      </c>
      <c r="N5804">
        <f t="shared" si="90"/>
        <v>0</v>
      </c>
    </row>
    <row r="5805" spans="1:14" x14ac:dyDescent="0.35">
      <c r="A5805" s="22" t="s">
        <v>5875</v>
      </c>
      <c r="B5805" s="23" t="s">
        <v>78</v>
      </c>
      <c r="C5805" s="23">
        <v>9</v>
      </c>
      <c r="D5805" s="24">
        <v>45930</v>
      </c>
      <c r="E5805" s="23" t="s">
        <v>13</v>
      </c>
      <c r="F5805" s="23" t="s">
        <v>14</v>
      </c>
      <c r="G5805" s="23" t="s">
        <v>21</v>
      </c>
      <c r="H5805" s="23" t="s">
        <v>32</v>
      </c>
      <c r="I5805" s="23">
        <v>4</v>
      </c>
      <c r="J5805" s="23">
        <v>1</v>
      </c>
      <c r="K5805" s="23">
        <v>5</v>
      </c>
      <c r="L5805" s="23" t="s">
        <v>55</v>
      </c>
      <c r="M5805" s="25"/>
      <c r="N5805">
        <f t="shared" si="90"/>
        <v>1</v>
      </c>
    </row>
    <row r="5806" spans="1:14" x14ac:dyDescent="0.35">
      <c r="A5806" s="6" t="s">
        <v>5876</v>
      </c>
      <c r="B5806" s="19" t="s">
        <v>49</v>
      </c>
      <c r="C5806" s="19">
        <v>10</v>
      </c>
      <c r="D5806" s="20">
        <v>45949</v>
      </c>
      <c r="E5806" s="19" t="s">
        <v>25</v>
      </c>
      <c r="F5806" s="19" t="s">
        <v>14</v>
      </c>
      <c r="G5806" s="19" t="s">
        <v>31</v>
      </c>
      <c r="H5806" s="19" t="s">
        <v>32</v>
      </c>
      <c r="I5806" s="19">
        <v>24</v>
      </c>
      <c r="J5806" s="19">
        <v>0</v>
      </c>
      <c r="K5806" s="19">
        <v>4</v>
      </c>
      <c r="L5806" s="19" t="s">
        <v>33</v>
      </c>
      <c r="M5806" s="21">
        <v>12.2</v>
      </c>
      <c r="N5806">
        <f t="shared" si="90"/>
        <v>1</v>
      </c>
    </row>
    <row r="5807" spans="1:14" x14ac:dyDescent="0.35">
      <c r="A5807" s="22" t="s">
        <v>5877</v>
      </c>
      <c r="B5807" s="23" t="s">
        <v>89</v>
      </c>
      <c r="C5807" s="23">
        <v>9</v>
      </c>
      <c r="D5807" s="24">
        <v>45905</v>
      </c>
      <c r="E5807" s="23" t="s">
        <v>25</v>
      </c>
      <c r="F5807" s="23" t="s">
        <v>14</v>
      </c>
      <c r="G5807" s="23" t="s">
        <v>31</v>
      </c>
      <c r="H5807" s="23" t="s">
        <v>28</v>
      </c>
      <c r="I5807" s="23">
        <v>24</v>
      </c>
      <c r="J5807" s="23">
        <v>0</v>
      </c>
      <c r="K5807" s="23">
        <v>5</v>
      </c>
      <c r="L5807" s="23" t="s">
        <v>33</v>
      </c>
      <c r="M5807" s="25">
        <v>22.2</v>
      </c>
      <c r="N5807">
        <f t="shared" si="90"/>
        <v>1</v>
      </c>
    </row>
    <row r="5808" spans="1:14" x14ac:dyDescent="0.35">
      <c r="A5808" s="6" t="s">
        <v>5878</v>
      </c>
      <c r="B5808" s="19" t="s">
        <v>41</v>
      </c>
      <c r="C5808" s="19">
        <v>5</v>
      </c>
      <c r="D5808" s="20">
        <v>45801</v>
      </c>
      <c r="E5808" s="19" t="s">
        <v>68</v>
      </c>
      <c r="F5808" s="19" t="s">
        <v>14</v>
      </c>
      <c r="G5808" s="19" t="s">
        <v>15</v>
      </c>
      <c r="H5808" s="19" t="s">
        <v>22</v>
      </c>
      <c r="I5808" s="19">
        <v>72</v>
      </c>
      <c r="J5808" s="19">
        <v>0</v>
      </c>
      <c r="K5808" s="19">
        <v>5</v>
      </c>
      <c r="L5808" s="19" t="s">
        <v>33</v>
      </c>
      <c r="M5808" s="21">
        <v>4.9000000000000004</v>
      </c>
      <c r="N5808">
        <f t="shared" si="90"/>
        <v>1</v>
      </c>
    </row>
    <row r="5809" spans="1:14" x14ac:dyDescent="0.35">
      <c r="A5809" s="22" t="s">
        <v>5879</v>
      </c>
      <c r="B5809" s="23" t="s">
        <v>23</v>
      </c>
      <c r="C5809" s="23">
        <v>11</v>
      </c>
      <c r="D5809" s="24">
        <v>45984</v>
      </c>
      <c r="E5809" s="23" t="s">
        <v>25</v>
      </c>
      <c r="F5809" s="23" t="s">
        <v>37</v>
      </c>
      <c r="G5809" s="23" t="s">
        <v>15</v>
      </c>
      <c r="H5809" s="23" t="s">
        <v>22</v>
      </c>
      <c r="I5809" s="23">
        <v>48</v>
      </c>
      <c r="J5809" s="23">
        <v>1</v>
      </c>
      <c r="K5809" s="23">
        <v>4</v>
      </c>
      <c r="L5809" s="23" t="s">
        <v>38</v>
      </c>
      <c r="M5809" s="25">
        <v>5.7</v>
      </c>
      <c r="N5809">
        <f t="shared" si="90"/>
        <v>1</v>
      </c>
    </row>
    <row r="5810" spans="1:14" x14ac:dyDescent="0.35">
      <c r="A5810" s="6" t="s">
        <v>5880</v>
      </c>
      <c r="B5810" s="19" t="s">
        <v>130</v>
      </c>
      <c r="C5810" s="19"/>
      <c r="D5810" s="20"/>
      <c r="E5810" s="19" t="s">
        <v>68</v>
      </c>
      <c r="F5810" s="19" t="s">
        <v>40</v>
      </c>
      <c r="G5810" s="19" t="s">
        <v>27</v>
      </c>
      <c r="H5810" s="19" t="s">
        <v>28</v>
      </c>
      <c r="I5810" s="19">
        <v>48</v>
      </c>
      <c r="J5810" s="19">
        <v>1</v>
      </c>
      <c r="K5810" s="19">
        <v>4</v>
      </c>
      <c r="L5810" s="19" t="s">
        <v>38</v>
      </c>
      <c r="M5810" s="21">
        <v>5.4</v>
      </c>
      <c r="N5810">
        <f t="shared" si="90"/>
        <v>1</v>
      </c>
    </row>
    <row r="5811" spans="1:14" x14ac:dyDescent="0.35">
      <c r="A5811" s="22" t="s">
        <v>5881</v>
      </c>
      <c r="B5811" s="23" t="s">
        <v>57</v>
      </c>
      <c r="C5811" s="23">
        <v>8</v>
      </c>
      <c r="D5811" s="24">
        <v>45881</v>
      </c>
      <c r="E5811" s="23" t="s">
        <v>8364</v>
      </c>
      <c r="F5811" s="23" t="s">
        <v>59</v>
      </c>
      <c r="G5811" s="23" t="s">
        <v>27</v>
      </c>
      <c r="H5811" s="23" t="s">
        <v>16</v>
      </c>
      <c r="I5811" s="23">
        <v>48</v>
      </c>
      <c r="J5811" s="23">
        <v>0</v>
      </c>
      <c r="K5811" s="23">
        <v>1</v>
      </c>
      <c r="L5811" s="23" t="s">
        <v>55</v>
      </c>
      <c r="M5811" s="25">
        <v>9.6</v>
      </c>
      <c r="N5811">
        <f t="shared" si="90"/>
        <v>1</v>
      </c>
    </row>
    <row r="5812" spans="1:14" x14ac:dyDescent="0.35">
      <c r="A5812" s="6" t="s">
        <v>5882</v>
      </c>
      <c r="B5812" s="19" t="s">
        <v>29</v>
      </c>
      <c r="C5812" s="19">
        <v>1</v>
      </c>
      <c r="D5812" s="20">
        <v>45677</v>
      </c>
      <c r="E5812" s="19" t="s">
        <v>25</v>
      </c>
      <c r="F5812" s="19" t="s">
        <v>43</v>
      </c>
      <c r="G5812" s="19" t="s">
        <v>31</v>
      </c>
      <c r="H5812" s="19" t="s">
        <v>32</v>
      </c>
      <c r="I5812" s="19">
        <v>24</v>
      </c>
      <c r="J5812" s="19">
        <v>0</v>
      </c>
      <c r="K5812" s="19"/>
      <c r="L5812" s="19" t="s">
        <v>8363</v>
      </c>
      <c r="M5812" s="21">
        <v>18</v>
      </c>
      <c r="N5812">
        <f t="shared" si="90"/>
        <v>1</v>
      </c>
    </row>
    <row r="5813" spans="1:14" x14ac:dyDescent="0.35">
      <c r="A5813" s="22" t="s">
        <v>5883</v>
      </c>
      <c r="B5813" s="23" t="s">
        <v>65</v>
      </c>
      <c r="C5813" s="23">
        <v>10</v>
      </c>
      <c r="D5813" s="24">
        <v>45954</v>
      </c>
      <c r="E5813" s="23" t="s">
        <v>36</v>
      </c>
      <c r="F5813" s="23" t="s">
        <v>8364</v>
      </c>
      <c r="G5813" s="23" t="s">
        <v>27</v>
      </c>
      <c r="H5813" s="23" t="s">
        <v>32</v>
      </c>
      <c r="I5813" s="23">
        <v>8</v>
      </c>
      <c r="J5813" s="23">
        <v>0</v>
      </c>
      <c r="K5813" s="23">
        <v>4</v>
      </c>
      <c r="L5813" s="23" t="s">
        <v>33</v>
      </c>
      <c r="M5813" s="25">
        <v>22.5</v>
      </c>
      <c r="N5813">
        <f t="shared" si="90"/>
        <v>0</v>
      </c>
    </row>
    <row r="5814" spans="1:14" x14ac:dyDescent="0.35">
      <c r="A5814" s="6" t="s">
        <v>5884</v>
      </c>
      <c r="B5814" s="19" t="s">
        <v>41</v>
      </c>
      <c r="C5814" s="19">
        <v>6</v>
      </c>
      <c r="D5814" s="20">
        <v>45820</v>
      </c>
      <c r="E5814" s="19" t="s">
        <v>13</v>
      </c>
      <c r="F5814" s="19" t="s">
        <v>14</v>
      </c>
      <c r="G5814" s="19" t="s">
        <v>21</v>
      </c>
      <c r="H5814" s="19" t="s">
        <v>32</v>
      </c>
      <c r="I5814" s="19">
        <v>24</v>
      </c>
      <c r="J5814" s="19">
        <v>0</v>
      </c>
      <c r="K5814" s="19">
        <v>5</v>
      </c>
      <c r="L5814" s="19" t="s">
        <v>75</v>
      </c>
      <c r="M5814" s="21">
        <v>46.3</v>
      </c>
      <c r="N5814">
        <f t="shared" si="90"/>
        <v>0</v>
      </c>
    </row>
    <row r="5815" spans="1:14" x14ac:dyDescent="0.35">
      <c r="A5815" s="22" t="s">
        <v>5885</v>
      </c>
      <c r="B5815" s="23" t="s">
        <v>89</v>
      </c>
      <c r="C5815" s="23"/>
      <c r="D5815" s="24"/>
      <c r="E5815" s="23" t="s">
        <v>13</v>
      </c>
      <c r="F5815" s="23" t="s">
        <v>14</v>
      </c>
      <c r="G5815" s="23" t="s">
        <v>31</v>
      </c>
      <c r="H5815" s="23" t="s">
        <v>32</v>
      </c>
      <c r="I5815" s="23">
        <v>24</v>
      </c>
      <c r="J5815" s="23">
        <v>1</v>
      </c>
      <c r="K5815" s="23">
        <v>5</v>
      </c>
      <c r="L5815" s="23" t="s">
        <v>44</v>
      </c>
      <c r="M5815" s="25">
        <v>8.5</v>
      </c>
      <c r="N5815">
        <f t="shared" si="90"/>
        <v>1</v>
      </c>
    </row>
    <row r="5816" spans="1:14" x14ac:dyDescent="0.35">
      <c r="A5816" s="6" t="s">
        <v>5886</v>
      </c>
      <c r="B5816" s="19" t="s">
        <v>89</v>
      </c>
      <c r="C5816" s="19">
        <v>2</v>
      </c>
      <c r="D5816" s="20">
        <v>45690</v>
      </c>
      <c r="E5816" s="19" t="s">
        <v>25</v>
      </c>
      <c r="F5816" s="19" t="s">
        <v>43</v>
      </c>
      <c r="G5816" s="19" t="s">
        <v>15</v>
      </c>
      <c r="H5816" s="19" t="s">
        <v>8364</v>
      </c>
      <c r="I5816" s="19">
        <v>4</v>
      </c>
      <c r="J5816" s="19">
        <v>0</v>
      </c>
      <c r="K5816" s="19">
        <v>1</v>
      </c>
      <c r="L5816" s="19" t="s">
        <v>33</v>
      </c>
      <c r="M5816" s="21">
        <v>39.299999999999997</v>
      </c>
      <c r="N5816">
        <f t="shared" si="90"/>
        <v>0</v>
      </c>
    </row>
    <row r="5817" spans="1:14" x14ac:dyDescent="0.35">
      <c r="A5817" s="22" t="s">
        <v>5887</v>
      </c>
      <c r="B5817" s="23" t="s">
        <v>85</v>
      </c>
      <c r="C5817" s="23">
        <v>12</v>
      </c>
      <c r="D5817" s="24">
        <v>45995</v>
      </c>
      <c r="E5817" s="23" t="s">
        <v>13</v>
      </c>
      <c r="F5817" s="23" t="s">
        <v>43</v>
      </c>
      <c r="G5817" s="23" t="s">
        <v>21</v>
      </c>
      <c r="H5817" s="23" t="s">
        <v>22</v>
      </c>
      <c r="I5817" s="23">
        <v>24</v>
      </c>
      <c r="J5817" s="23">
        <v>0</v>
      </c>
      <c r="K5817" s="23">
        <v>3</v>
      </c>
      <c r="L5817" s="23" t="s">
        <v>8363</v>
      </c>
      <c r="M5817" s="25">
        <v>17.399999999999999</v>
      </c>
      <c r="N5817">
        <f t="shared" si="90"/>
        <v>1</v>
      </c>
    </row>
    <row r="5818" spans="1:14" x14ac:dyDescent="0.35">
      <c r="A5818" s="6" t="s">
        <v>5888</v>
      </c>
      <c r="B5818" s="19" t="s">
        <v>65</v>
      </c>
      <c r="C5818" s="19">
        <v>5</v>
      </c>
      <c r="D5818" s="20">
        <v>45795</v>
      </c>
      <c r="E5818" s="19" t="s">
        <v>8364</v>
      </c>
      <c r="F5818" s="19" t="s">
        <v>14</v>
      </c>
      <c r="G5818" s="19" t="s">
        <v>31</v>
      </c>
      <c r="H5818" s="19" t="s">
        <v>32</v>
      </c>
      <c r="I5818" s="19">
        <v>72</v>
      </c>
      <c r="J5818" s="19">
        <v>0</v>
      </c>
      <c r="K5818" s="19">
        <v>5</v>
      </c>
      <c r="L5818" s="19" t="s">
        <v>62</v>
      </c>
      <c r="M5818" s="21">
        <v>2.6</v>
      </c>
      <c r="N5818">
        <f t="shared" si="90"/>
        <v>1</v>
      </c>
    </row>
    <row r="5819" spans="1:14" x14ac:dyDescent="0.35">
      <c r="A5819" s="22" t="s">
        <v>5889</v>
      </c>
      <c r="B5819" s="23" t="s">
        <v>65</v>
      </c>
      <c r="C5819" s="23">
        <v>3</v>
      </c>
      <c r="D5819" s="24">
        <v>45721</v>
      </c>
      <c r="E5819" s="23" t="s">
        <v>68</v>
      </c>
      <c r="F5819" s="23" t="s">
        <v>40</v>
      </c>
      <c r="G5819" s="23" t="s">
        <v>31</v>
      </c>
      <c r="H5819" s="23" t="s">
        <v>32</v>
      </c>
      <c r="I5819" s="23">
        <v>8</v>
      </c>
      <c r="J5819" s="23">
        <v>0</v>
      </c>
      <c r="K5819" s="23"/>
      <c r="L5819" s="23" t="s">
        <v>62</v>
      </c>
      <c r="M5819" s="25"/>
      <c r="N5819">
        <f t="shared" si="90"/>
        <v>1</v>
      </c>
    </row>
    <row r="5820" spans="1:14" x14ac:dyDescent="0.35">
      <c r="A5820" s="6" t="s">
        <v>5890</v>
      </c>
      <c r="B5820" s="19" t="s">
        <v>72</v>
      </c>
      <c r="C5820" s="19">
        <v>10</v>
      </c>
      <c r="D5820" s="20">
        <v>45954</v>
      </c>
      <c r="E5820" s="19" t="s">
        <v>25</v>
      </c>
      <c r="F5820" s="19" t="s">
        <v>43</v>
      </c>
      <c r="G5820" s="19" t="s">
        <v>31</v>
      </c>
      <c r="H5820" s="19" t="s">
        <v>32</v>
      </c>
      <c r="I5820" s="19">
        <v>48</v>
      </c>
      <c r="J5820" s="19">
        <v>2</v>
      </c>
      <c r="K5820" s="19">
        <v>5</v>
      </c>
      <c r="L5820" s="19" t="s">
        <v>55</v>
      </c>
      <c r="M5820" s="21">
        <v>2.4</v>
      </c>
      <c r="N5820">
        <f t="shared" si="90"/>
        <v>1</v>
      </c>
    </row>
    <row r="5821" spans="1:14" x14ac:dyDescent="0.35">
      <c r="A5821" s="22" t="s">
        <v>5891</v>
      </c>
      <c r="B5821" s="23" t="s">
        <v>104</v>
      </c>
      <c r="C5821" s="23">
        <v>11</v>
      </c>
      <c r="D5821" s="24">
        <v>45971</v>
      </c>
      <c r="E5821" s="23" t="s">
        <v>25</v>
      </c>
      <c r="F5821" s="23" t="s">
        <v>59</v>
      </c>
      <c r="G5821" s="23" t="s">
        <v>8364</v>
      </c>
      <c r="H5821" s="23" t="s">
        <v>32</v>
      </c>
      <c r="I5821" s="23">
        <v>4</v>
      </c>
      <c r="J5821" s="23">
        <v>1</v>
      </c>
      <c r="K5821" s="23">
        <v>3</v>
      </c>
      <c r="L5821" s="23" t="s">
        <v>33</v>
      </c>
      <c r="M5821" s="25">
        <v>13.4</v>
      </c>
      <c r="N5821">
        <f t="shared" si="90"/>
        <v>0</v>
      </c>
    </row>
    <row r="5822" spans="1:14" x14ac:dyDescent="0.35">
      <c r="A5822" s="6" t="s">
        <v>5892</v>
      </c>
      <c r="B5822" s="19" t="s">
        <v>85</v>
      </c>
      <c r="C5822" s="19">
        <v>12</v>
      </c>
      <c r="D5822" s="20">
        <v>46010</v>
      </c>
      <c r="E5822" s="19" t="s">
        <v>25</v>
      </c>
      <c r="F5822" s="19" t="s">
        <v>43</v>
      </c>
      <c r="G5822" s="19" t="s">
        <v>8364</v>
      </c>
      <c r="H5822" s="19" t="s">
        <v>22</v>
      </c>
      <c r="I5822" s="19">
        <v>48</v>
      </c>
      <c r="J5822" s="19">
        <v>0</v>
      </c>
      <c r="K5822" s="19">
        <v>5</v>
      </c>
      <c r="L5822" s="19" t="s">
        <v>8363</v>
      </c>
      <c r="M5822" s="21">
        <v>16.2</v>
      </c>
      <c r="N5822">
        <f t="shared" si="90"/>
        <v>1</v>
      </c>
    </row>
    <row r="5823" spans="1:14" x14ac:dyDescent="0.35">
      <c r="A5823" s="22" t="s">
        <v>5893</v>
      </c>
      <c r="B5823" s="23" t="s">
        <v>51</v>
      </c>
      <c r="C5823" s="23">
        <v>9</v>
      </c>
      <c r="D5823" s="24">
        <v>45919</v>
      </c>
      <c r="E5823" s="23" t="s">
        <v>25</v>
      </c>
      <c r="F5823" s="23" t="s">
        <v>37</v>
      </c>
      <c r="G5823" s="23" t="s">
        <v>21</v>
      </c>
      <c r="H5823" s="23" t="s">
        <v>16</v>
      </c>
      <c r="I5823" s="23">
        <v>4</v>
      </c>
      <c r="J5823" s="23">
        <v>1</v>
      </c>
      <c r="K5823" s="23">
        <v>5</v>
      </c>
      <c r="L5823" s="23" t="s">
        <v>44</v>
      </c>
      <c r="M5823" s="25">
        <v>12.1</v>
      </c>
      <c r="N5823">
        <f t="shared" si="90"/>
        <v>0</v>
      </c>
    </row>
    <row r="5824" spans="1:14" x14ac:dyDescent="0.35">
      <c r="A5824" s="6" t="s">
        <v>5894</v>
      </c>
      <c r="B5824" s="19" t="s">
        <v>99</v>
      </c>
      <c r="C5824" s="19">
        <v>10</v>
      </c>
      <c r="D5824" s="20">
        <v>45944</v>
      </c>
      <c r="E5824" s="19" t="s">
        <v>25</v>
      </c>
      <c r="F5824" s="19" t="s">
        <v>14</v>
      </c>
      <c r="G5824" s="19" t="s">
        <v>21</v>
      </c>
      <c r="H5824" s="19" t="s">
        <v>32</v>
      </c>
      <c r="I5824" s="19">
        <v>48</v>
      </c>
      <c r="J5824" s="19">
        <v>0</v>
      </c>
      <c r="K5824" s="19">
        <v>1</v>
      </c>
      <c r="L5824" s="19" t="s">
        <v>17</v>
      </c>
      <c r="M5824" s="21">
        <v>7.7</v>
      </c>
      <c r="N5824">
        <f t="shared" si="90"/>
        <v>1</v>
      </c>
    </row>
    <row r="5825" spans="1:14" x14ac:dyDescent="0.35">
      <c r="A5825" s="22" t="s">
        <v>5895</v>
      </c>
      <c r="B5825" s="23" t="s">
        <v>81</v>
      </c>
      <c r="C5825" s="23">
        <v>12</v>
      </c>
      <c r="D5825" s="24">
        <v>46016</v>
      </c>
      <c r="E5825" s="23" t="s">
        <v>8364</v>
      </c>
      <c r="F5825" s="23" t="s">
        <v>43</v>
      </c>
      <c r="G5825" s="23" t="s">
        <v>8364</v>
      </c>
      <c r="H5825" s="23" t="s">
        <v>8364</v>
      </c>
      <c r="I5825" s="23">
        <v>24</v>
      </c>
      <c r="J5825" s="23">
        <v>1</v>
      </c>
      <c r="K5825" s="23">
        <v>5</v>
      </c>
      <c r="L5825" s="23" t="s">
        <v>55</v>
      </c>
      <c r="M5825" s="25">
        <v>4.2</v>
      </c>
      <c r="N5825">
        <f t="shared" si="90"/>
        <v>1</v>
      </c>
    </row>
    <row r="5826" spans="1:14" x14ac:dyDescent="0.35">
      <c r="A5826" s="6" t="s">
        <v>5896</v>
      </c>
      <c r="B5826" s="19" t="s">
        <v>85</v>
      </c>
      <c r="C5826" s="19">
        <v>10</v>
      </c>
      <c r="D5826" s="20">
        <v>45950</v>
      </c>
      <c r="E5826" s="19" t="s">
        <v>36</v>
      </c>
      <c r="F5826" s="19" t="s">
        <v>26</v>
      </c>
      <c r="G5826" s="19" t="s">
        <v>31</v>
      </c>
      <c r="H5826" s="19" t="s">
        <v>28</v>
      </c>
      <c r="I5826" s="19">
        <v>48</v>
      </c>
      <c r="J5826" s="19">
        <v>2</v>
      </c>
      <c r="K5826" s="19">
        <v>4</v>
      </c>
      <c r="L5826" s="19" t="s">
        <v>75</v>
      </c>
      <c r="M5826" s="21">
        <v>5.6</v>
      </c>
      <c r="N5826">
        <f t="shared" si="90"/>
        <v>1</v>
      </c>
    </row>
    <row r="5827" spans="1:14" x14ac:dyDescent="0.35">
      <c r="A5827" s="22" t="s">
        <v>5897</v>
      </c>
      <c r="B5827" s="23" t="s">
        <v>65</v>
      </c>
      <c r="C5827" s="23">
        <v>6</v>
      </c>
      <c r="D5827" s="24">
        <v>45836</v>
      </c>
      <c r="E5827" s="23" t="s">
        <v>13</v>
      </c>
      <c r="F5827" s="23" t="s">
        <v>59</v>
      </c>
      <c r="G5827" s="23" t="s">
        <v>31</v>
      </c>
      <c r="H5827" s="23" t="s">
        <v>22</v>
      </c>
      <c r="I5827" s="23">
        <v>24</v>
      </c>
      <c r="J5827" s="23">
        <v>0</v>
      </c>
      <c r="K5827" s="23">
        <v>2</v>
      </c>
      <c r="L5827" s="23" t="s">
        <v>8363</v>
      </c>
      <c r="M5827" s="25"/>
      <c r="N5827">
        <f t="shared" ref="N5827:N5890" si="91">IF(M5827 &lt;= I5827, 1, 0)</f>
        <v>1</v>
      </c>
    </row>
    <row r="5828" spans="1:14" x14ac:dyDescent="0.35">
      <c r="A5828" s="6" t="s">
        <v>5898</v>
      </c>
      <c r="B5828" s="19" t="s">
        <v>89</v>
      </c>
      <c r="C5828" s="19">
        <v>5</v>
      </c>
      <c r="D5828" s="20">
        <v>45807</v>
      </c>
      <c r="E5828" s="19" t="s">
        <v>8364</v>
      </c>
      <c r="F5828" s="19" t="s">
        <v>14</v>
      </c>
      <c r="G5828" s="19" t="s">
        <v>21</v>
      </c>
      <c r="H5828" s="19" t="s">
        <v>8364</v>
      </c>
      <c r="I5828" s="19">
        <v>8</v>
      </c>
      <c r="J5828" s="19">
        <v>0</v>
      </c>
      <c r="K5828" s="19">
        <v>5</v>
      </c>
      <c r="L5828" s="19" t="s">
        <v>75</v>
      </c>
      <c r="M5828" s="21">
        <v>10</v>
      </c>
      <c r="N5828">
        <f t="shared" si="91"/>
        <v>0</v>
      </c>
    </row>
    <row r="5829" spans="1:14" x14ac:dyDescent="0.35">
      <c r="A5829" s="22" t="s">
        <v>5899</v>
      </c>
      <c r="B5829" s="23" t="s">
        <v>39</v>
      </c>
      <c r="C5829" s="23">
        <v>3</v>
      </c>
      <c r="D5829" s="24">
        <v>45722</v>
      </c>
      <c r="E5829" s="23" t="s">
        <v>25</v>
      </c>
      <c r="F5829" s="23" t="s">
        <v>43</v>
      </c>
      <c r="G5829" s="23" t="s">
        <v>27</v>
      </c>
      <c r="H5829" s="23" t="s">
        <v>28</v>
      </c>
      <c r="I5829" s="23">
        <v>48</v>
      </c>
      <c r="J5829" s="23">
        <v>0</v>
      </c>
      <c r="K5829" s="23">
        <v>4</v>
      </c>
      <c r="L5829" s="23" t="s">
        <v>8363</v>
      </c>
      <c r="M5829" s="25">
        <v>19.5</v>
      </c>
      <c r="N5829">
        <f t="shared" si="91"/>
        <v>1</v>
      </c>
    </row>
    <row r="5830" spans="1:14" x14ac:dyDescent="0.35">
      <c r="A5830" s="6" t="s">
        <v>5900</v>
      </c>
      <c r="B5830" s="19" t="s">
        <v>34</v>
      </c>
      <c r="C5830" s="19">
        <v>2</v>
      </c>
      <c r="D5830" s="20">
        <v>45709</v>
      </c>
      <c r="E5830" s="19" t="s">
        <v>25</v>
      </c>
      <c r="F5830" s="19" t="s">
        <v>14</v>
      </c>
      <c r="G5830" s="19" t="s">
        <v>27</v>
      </c>
      <c r="H5830" s="19" t="s">
        <v>22</v>
      </c>
      <c r="I5830" s="19">
        <v>24</v>
      </c>
      <c r="J5830" s="19">
        <v>0</v>
      </c>
      <c r="K5830" s="19">
        <v>4</v>
      </c>
      <c r="L5830" s="19" t="s">
        <v>17</v>
      </c>
      <c r="M5830" s="21">
        <v>1.2</v>
      </c>
      <c r="N5830">
        <f t="shared" si="91"/>
        <v>1</v>
      </c>
    </row>
    <row r="5831" spans="1:14" x14ac:dyDescent="0.35">
      <c r="A5831" s="22" t="s">
        <v>5901</v>
      </c>
      <c r="B5831" s="23" t="s">
        <v>143</v>
      </c>
      <c r="C5831" s="23">
        <v>3</v>
      </c>
      <c r="D5831" s="24">
        <v>45734</v>
      </c>
      <c r="E5831" s="23" t="s">
        <v>25</v>
      </c>
      <c r="F5831" s="23" t="s">
        <v>26</v>
      </c>
      <c r="G5831" s="23" t="s">
        <v>31</v>
      </c>
      <c r="H5831" s="23" t="s">
        <v>22</v>
      </c>
      <c r="I5831" s="23">
        <v>24</v>
      </c>
      <c r="J5831" s="23">
        <v>1</v>
      </c>
      <c r="K5831" s="23">
        <v>4</v>
      </c>
      <c r="L5831" s="23" t="s">
        <v>62</v>
      </c>
      <c r="M5831" s="25">
        <v>15.2</v>
      </c>
      <c r="N5831">
        <f t="shared" si="91"/>
        <v>1</v>
      </c>
    </row>
    <row r="5832" spans="1:14" x14ac:dyDescent="0.35">
      <c r="A5832" s="6" t="s">
        <v>5902</v>
      </c>
      <c r="B5832" s="19" t="s">
        <v>51</v>
      </c>
      <c r="C5832" s="19">
        <v>3</v>
      </c>
      <c r="D5832" s="20">
        <v>45717</v>
      </c>
      <c r="E5832" s="19" t="s">
        <v>68</v>
      </c>
      <c r="F5832" s="19" t="s">
        <v>14</v>
      </c>
      <c r="G5832" s="19" t="s">
        <v>27</v>
      </c>
      <c r="H5832" s="19" t="s">
        <v>22</v>
      </c>
      <c r="I5832" s="19">
        <v>4</v>
      </c>
      <c r="J5832" s="19">
        <v>0</v>
      </c>
      <c r="K5832" s="19">
        <v>5</v>
      </c>
      <c r="L5832" s="19" t="s">
        <v>62</v>
      </c>
      <c r="M5832" s="21">
        <v>15.2</v>
      </c>
      <c r="N5832">
        <f t="shared" si="91"/>
        <v>0</v>
      </c>
    </row>
    <row r="5833" spans="1:14" x14ac:dyDescent="0.35">
      <c r="A5833" s="22" t="s">
        <v>5903</v>
      </c>
      <c r="B5833" s="23" t="s">
        <v>53</v>
      </c>
      <c r="C5833" s="23">
        <v>3</v>
      </c>
      <c r="D5833" s="24">
        <v>45747</v>
      </c>
      <c r="E5833" s="23" t="s">
        <v>68</v>
      </c>
      <c r="F5833" s="23" t="s">
        <v>37</v>
      </c>
      <c r="G5833" s="23" t="s">
        <v>31</v>
      </c>
      <c r="H5833" s="23" t="s">
        <v>22</v>
      </c>
      <c r="I5833" s="23">
        <v>4</v>
      </c>
      <c r="J5833" s="23">
        <v>0</v>
      </c>
      <c r="K5833" s="23">
        <v>3</v>
      </c>
      <c r="L5833" s="23" t="s">
        <v>62</v>
      </c>
      <c r="M5833" s="25">
        <v>8.1</v>
      </c>
      <c r="N5833">
        <f t="shared" si="91"/>
        <v>0</v>
      </c>
    </row>
    <row r="5834" spans="1:14" x14ac:dyDescent="0.35">
      <c r="A5834" s="6" t="s">
        <v>5904</v>
      </c>
      <c r="B5834" s="19" t="s">
        <v>34</v>
      </c>
      <c r="C5834" s="19">
        <v>3</v>
      </c>
      <c r="D5834" s="20">
        <v>45725</v>
      </c>
      <c r="E5834" s="19" t="s">
        <v>25</v>
      </c>
      <c r="F5834" s="19" t="s">
        <v>43</v>
      </c>
      <c r="G5834" s="19" t="s">
        <v>21</v>
      </c>
      <c r="H5834" s="19" t="s">
        <v>16</v>
      </c>
      <c r="I5834" s="19">
        <v>24</v>
      </c>
      <c r="J5834" s="19">
        <v>0</v>
      </c>
      <c r="K5834" s="19">
        <v>4</v>
      </c>
      <c r="L5834" s="19" t="s">
        <v>8363</v>
      </c>
      <c r="M5834" s="21">
        <v>20.5</v>
      </c>
      <c r="N5834">
        <f t="shared" si="91"/>
        <v>1</v>
      </c>
    </row>
    <row r="5835" spans="1:14" x14ac:dyDescent="0.35">
      <c r="A5835" s="22" t="s">
        <v>5905</v>
      </c>
      <c r="B5835" s="23" t="s">
        <v>89</v>
      </c>
      <c r="C5835" s="23">
        <v>4</v>
      </c>
      <c r="D5835" s="24">
        <v>45758</v>
      </c>
      <c r="E5835" s="23" t="s">
        <v>20</v>
      </c>
      <c r="F5835" s="23" t="s">
        <v>59</v>
      </c>
      <c r="G5835" s="23" t="s">
        <v>31</v>
      </c>
      <c r="H5835" s="23" t="s">
        <v>28</v>
      </c>
      <c r="I5835" s="23">
        <v>4</v>
      </c>
      <c r="J5835" s="23">
        <v>0</v>
      </c>
      <c r="K5835" s="23">
        <v>4</v>
      </c>
      <c r="L5835" s="23" t="s">
        <v>33</v>
      </c>
      <c r="M5835" s="25">
        <v>24.4</v>
      </c>
      <c r="N5835">
        <f t="shared" si="91"/>
        <v>0</v>
      </c>
    </row>
    <row r="5836" spans="1:14" x14ac:dyDescent="0.35">
      <c r="A5836" s="6" t="s">
        <v>5906</v>
      </c>
      <c r="B5836" s="19" t="s">
        <v>34</v>
      </c>
      <c r="C5836" s="19">
        <v>6</v>
      </c>
      <c r="D5836" s="20">
        <v>45832</v>
      </c>
      <c r="E5836" s="19" t="s">
        <v>25</v>
      </c>
      <c r="F5836" s="19" t="s">
        <v>59</v>
      </c>
      <c r="G5836" s="19" t="s">
        <v>31</v>
      </c>
      <c r="H5836" s="19" t="s">
        <v>28</v>
      </c>
      <c r="I5836" s="19">
        <v>72</v>
      </c>
      <c r="J5836" s="19">
        <v>2</v>
      </c>
      <c r="K5836" s="19">
        <v>4</v>
      </c>
      <c r="L5836" s="19" t="s">
        <v>38</v>
      </c>
      <c r="M5836" s="21">
        <v>7.2</v>
      </c>
      <c r="N5836">
        <f t="shared" si="91"/>
        <v>1</v>
      </c>
    </row>
    <row r="5837" spans="1:14" x14ac:dyDescent="0.35">
      <c r="A5837" s="22" t="s">
        <v>5907</v>
      </c>
      <c r="B5837" s="23" t="s">
        <v>87</v>
      </c>
      <c r="C5837" s="23">
        <v>7</v>
      </c>
      <c r="D5837" s="24">
        <v>45844</v>
      </c>
      <c r="E5837" s="23" t="s">
        <v>13</v>
      </c>
      <c r="F5837" s="23" t="s">
        <v>59</v>
      </c>
      <c r="G5837" s="23" t="s">
        <v>21</v>
      </c>
      <c r="H5837" s="23" t="s">
        <v>28</v>
      </c>
      <c r="I5837" s="23">
        <v>24</v>
      </c>
      <c r="J5837" s="23">
        <v>1</v>
      </c>
      <c r="K5837" s="23">
        <v>3</v>
      </c>
      <c r="L5837" s="23" t="s">
        <v>33</v>
      </c>
      <c r="M5837" s="25"/>
      <c r="N5837">
        <f t="shared" si="91"/>
        <v>1</v>
      </c>
    </row>
    <row r="5838" spans="1:14" x14ac:dyDescent="0.35">
      <c r="A5838" s="6" t="s">
        <v>5908</v>
      </c>
      <c r="B5838" s="19" t="s">
        <v>143</v>
      </c>
      <c r="C5838" s="19">
        <v>7</v>
      </c>
      <c r="D5838" s="20">
        <v>45860</v>
      </c>
      <c r="E5838" s="19" t="s">
        <v>25</v>
      </c>
      <c r="F5838" s="19" t="s">
        <v>14</v>
      </c>
      <c r="G5838" s="19" t="s">
        <v>15</v>
      </c>
      <c r="H5838" s="19" t="s">
        <v>22</v>
      </c>
      <c r="I5838" s="19">
        <v>48</v>
      </c>
      <c r="J5838" s="19">
        <v>0</v>
      </c>
      <c r="K5838" s="19">
        <v>5</v>
      </c>
      <c r="L5838" s="19" t="s">
        <v>38</v>
      </c>
      <c r="M5838" s="21">
        <v>7.1</v>
      </c>
      <c r="N5838">
        <f t="shared" si="91"/>
        <v>1</v>
      </c>
    </row>
    <row r="5839" spans="1:14" x14ac:dyDescent="0.35">
      <c r="A5839" s="22" t="s">
        <v>5909</v>
      </c>
      <c r="B5839" s="23" t="s">
        <v>101</v>
      </c>
      <c r="C5839" s="23">
        <v>8</v>
      </c>
      <c r="D5839" s="24">
        <v>45884</v>
      </c>
      <c r="E5839" s="23" t="s">
        <v>13</v>
      </c>
      <c r="F5839" s="23" t="s">
        <v>59</v>
      </c>
      <c r="G5839" s="23" t="s">
        <v>31</v>
      </c>
      <c r="H5839" s="23" t="s">
        <v>16</v>
      </c>
      <c r="I5839" s="23">
        <v>24</v>
      </c>
      <c r="J5839" s="23">
        <v>0</v>
      </c>
      <c r="K5839" s="23"/>
      <c r="L5839" s="23" t="s">
        <v>44</v>
      </c>
      <c r="M5839" s="25">
        <v>4.7</v>
      </c>
      <c r="N5839">
        <f t="shared" si="91"/>
        <v>1</v>
      </c>
    </row>
    <row r="5840" spans="1:14" x14ac:dyDescent="0.35">
      <c r="A5840" s="6" t="s">
        <v>5910</v>
      </c>
      <c r="B5840" s="19" t="s">
        <v>236</v>
      </c>
      <c r="C5840" s="19">
        <v>5</v>
      </c>
      <c r="D5840" s="20">
        <v>45778</v>
      </c>
      <c r="E5840" s="19" t="s">
        <v>13</v>
      </c>
      <c r="F5840" s="19" t="s">
        <v>26</v>
      </c>
      <c r="G5840" s="19" t="s">
        <v>27</v>
      </c>
      <c r="H5840" s="19" t="s">
        <v>32</v>
      </c>
      <c r="I5840" s="19">
        <v>8</v>
      </c>
      <c r="J5840" s="19">
        <v>0</v>
      </c>
      <c r="K5840" s="19">
        <v>5</v>
      </c>
      <c r="L5840" s="19" t="s">
        <v>17</v>
      </c>
      <c r="M5840" s="21"/>
      <c r="N5840">
        <f t="shared" si="91"/>
        <v>1</v>
      </c>
    </row>
    <row r="5841" spans="1:14" x14ac:dyDescent="0.35">
      <c r="A5841" s="22" t="s">
        <v>5911</v>
      </c>
      <c r="B5841" s="23" t="s">
        <v>130</v>
      </c>
      <c r="C5841" s="23">
        <v>3</v>
      </c>
      <c r="D5841" s="24">
        <v>45725</v>
      </c>
      <c r="E5841" s="23" t="s">
        <v>36</v>
      </c>
      <c r="F5841" s="23" t="s">
        <v>59</v>
      </c>
      <c r="G5841" s="23" t="s">
        <v>15</v>
      </c>
      <c r="H5841" s="23" t="s">
        <v>32</v>
      </c>
      <c r="I5841" s="23">
        <v>72</v>
      </c>
      <c r="J5841" s="23">
        <v>1</v>
      </c>
      <c r="K5841" s="23">
        <v>5</v>
      </c>
      <c r="L5841" s="23" t="s">
        <v>17</v>
      </c>
      <c r="M5841" s="25">
        <v>9.3000000000000007</v>
      </c>
      <c r="N5841">
        <f t="shared" si="91"/>
        <v>1</v>
      </c>
    </row>
    <row r="5842" spans="1:14" x14ac:dyDescent="0.35">
      <c r="A5842" s="6" t="s">
        <v>5912</v>
      </c>
      <c r="B5842" s="19" t="s">
        <v>39</v>
      </c>
      <c r="C5842" s="19">
        <v>5</v>
      </c>
      <c r="D5842" s="20">
        <v>45779</v>
      </c>
      <c r="E5842" s="19" t="s">
        <v>25</v>
      </c>
      <c r="F5842" s="19" t="s">
        <v>14</v>
      </c>
      <c r="G5842" s="19" t="s">
        <v>31</v>
      </c>
      <c r="H5842" s="19" t="s">
        <v>32</v>
      </c>
      <c r="I5842" s="19">
        <v>4</v>
      </c>
      <c r="J5842" s="19">
        <v>0</v>
      </c>
      <c r="K5842" s="19"/>
      <c r="L5842" s="19" t="s">
        <v>17</v>
      </c>
      <c r="M5842" s="21">
        <v>12</v>
      </c>
      <c r="N5842">
        <f t="shared" si="91"/>
        <v>0</v>
      </c>
    </row>
    <row r="5843" spans="1:14" x14ac:dyDescent="0.35">
      <c r="A5843" s="22" t="s">
        <v>5913</v>
      </c>
      <c r="B5843" s="23" t="s">
        <v>51</v>
      </c>
      <c r="C5843" s="23">
        <v>7</v>
      </c>
      <c r="D5843" s="24">
        <v>45867</v>
      </c>
      <c r="E5843" s="23" t="s">
        <v>68</v>
      </c>
      <c r="F5843" s="23" t="s">
        <v>43</v>
      </c>
      <c r="G5843" s="23" t="s">
        <v>31</v>
      </c>
      <c r="H5843" s="23" t="s">
        <v>28</v>
      </c>
      <c r="I5843" s="23">
        <v>8</v>
      </c>
      <c r="J5843" s="23">
        <v>0</v>
      </c>
      <c r="K5843" s="23"/>
      <c r="L5843" s="23" t="s">
        <v>33</v>
      </c>
      <c r="M5843" s="25">
        <v>8.1</v>
      </c>
      <c r="N5843">
        <f t="shared" si="91"/>
        <v>0</v>
      </c>
    </row>
    <row r="5844" spans="1:14" x14ac:dyDescent="0.35">
      <c r="A5844" s="6" t="s">
        <v>5914</v>
      </c>
      <c r="B5844" s="19" t="s">
        <v>41</v>
      </c>
      <c r="C5844" s="19">
        <v>8</v>
      </c>
      <c r="D5844" s="20">
        <v>45898</v>
      </c>
      <c r="E5844" s="19" t="s">
        <v>8364</v>
      </c>
      <c r="F5844" s="19" t="s">
        <v>14</v>
      </c>
      <c r="G5844" s="19" t="s">
        <v>31</v>
      </c>
      <c r="H5844" s="19" t="s">
        <v>8364</v>
      </c>
      <c r="I5844" s="19">
        <v>24</v>
      </c>
      <c r="J5844" s="19">
        <v>0</v>
      </c>
      <c r="K5844" s="19">
        <v>1</v>
      </c>
      <c r="L5844" s="19" t="s">
        <v>8363</v>
      </c>
      <c r="M5844" s="21">
        <v>18.899999999999999</v>
      </c>
      <c r="N5844">
        <f t="shared" si="91"/>
        <v>1</v>
      </c>
    </row>
    <row r="5845" spans="1:14" x14ac:dyDescent="0.35">
      <c r="A5845" s="22" t="s">
        <v>5915</v>
      </c>
      <c r="B5845" s="23" t="s">
        <v>181</v>
      </c>
      <c r="C5845" s="23">
        <v>12</v>
      </c>
      <c r="D5845" s="24">
        <v>46008</v>
      </c>
      <c r="E5845" s="23" t="s">
        <v>13</v>
      </c>
      <c r="F5845" s="23" t="s">
        <v>43</v>
      </c>
      <c r="G5845" s="23" t="s">
        <v>8364</v>
      </c>
      <c r="H5845" s="23" t="s">
        <v>22</v>
      </c>
      <c r="I5845" s="23">
        <v>4</v>
      </c>
      <c r="J5845" s="23">
        <v>0</v>
      </c>
      <c r="K5845" s="23">
        <v>4</v>
      </c>
      <c r="L5845" s="23" t="s">
        <v>38</v>
      </c>
      <c r="M5845" s="25">
        <v>9.8000000000000007</v>
      </c>
      <c r="N5845">
        <f t="shared" si="91"/>
        <v>0</v>
      </c>
    </row>
    <row r="5846" spans="1:14" x14ac:dyDescent="0.35">
      <c r="A5846" s="6" t="s">
        <v>5916</v>
      </c>
      <c r="B5846" s="19" t="s">
        <v>69</v>
      </c>
      <c r="C5846" s="19">
        <v>2</v>
      </c>
      <c r="D5846" s="20">
        <v>45715</v>
      </c>
      <c r="E5846" s="19" t="s">
        <v>25</v>
      </c>
      <c r="F5846" s="19" t="s">
        <v>14</v>
      </c>
      <c r="G5846" s="19" t="s">
        <v>27</v>
      </c>
      <c r="H5846" s="19" t="s">
        <v>22</v>
      </c>
      <c r="I5846" s="19">
        <v>72</v>
      </c>
      <c r="J5846" s="19">
        <v>0</v>
      </c>
      <c r="K5846" s="19">
        <v>5</v>
      </c>
      <c r="L5846" s="19" t="s">
        <v>55</v>
      </c>
      <c r="M5846" s="21">
        <v>16.2</v>
      </c>
      <c r="N5846">
        <f t="shared" si="91"/>
        <v>1</v>
      </c>
    </row>
    <row r="5847" spans="1:14" x14ac:dyDescent="0.35">
      <c r="A5847" s="22" t="s">
        <v>5917</v>
      </c>
      <c r="B5847" s="23" t="s">
        <v>39</v>
      </c>
      <c r="C5847" s="23">
        <v>2</v>
      </c>
      <c r="D5847" s="24">
        <v>45692</v>
      </c>
      <c r="E5847" s="23" t="s">
        <v>68</v>
      </c>
      <c r="F5847" s="23" t="s">
        <v>14</v>
      </c>
      <c r="G5847" s="23" t="s">
        <v>8364</v>
      </c>
      <c r="H5847" s="23" t="s">
        <v>8364</v>
      </c>
      <c r="I5847" s="23">
        <v>48</v>
      </c>
      <c r="J5847" s="23">
        <v>0</v>
      </c>
      <c r="K5847" s="23">
        <v>2</v>
      </c>
      <c r="L5847" s="23" t="s">
        <v>75</v>
      </c>
      <c r="M5847" s="25">
        <v>1.3</v>
      </c>
      <c r="N5847">
        <f t="shared" si="91"/>
        <v>1</v>
      </c>
    </row>
    <row r="5848" spans="1:14" x14ac:dyDescent="0.35">
      <c r="A5848" s="6" t="s">
        <v>5918</v>
      </c>
      <c r="B5848" s="19" t="s">
        <v>81</v>
      </c>
      <c r="C5848" s="19">
        <v>9</v>
      </c>
      <c r="D5848" s="20">
        <v>45908</v>
      </c>
      <c r="E5848" s="19" t="s">
        <v>25</v>
      </c>
      <c r="F5848" s="19" t="s">
        <v>40</v>
      </c>
      <c r="G5848" s="19" t="s">
        <v>31</v>
      </c>
      <c r="H5848" s="19" t="s">
        <v>22</v>
      </c>
      <c r="I5848" s="19">
        <v>48</v>
      </c>
      <c r="J5848" s="19">
        <v>0</v>
      </c>
      <c r="K5848" s="19">
        <v>4</v>
      </c>
      <c r="L5848" s="19" t="s">
        <v>55</v>
      </c>
      <c r="M5848" s="21">
        <v>3.9</v>
      </c>
      <c r="N5848">
        <f t="shared" si="91"/>
        <v>1</v>
      </c>
    </row>
    <row r="5849" spans="1:14" x14ac:dyDescent="0.35">
      <c r="A5849" s="22" t="s">
        <v>5919</v>
      </c>
      <c r="B5849" s="23" t="s">
        <v>101</v>
      </c>
      <c r="C5849" s="23">
        <v>7</v>
      </c>
      <c r="D5849" s="24">
        <v>45863</v>
      </c>
      <c r="E5849" s="23" t="s">
        <v>25</v>
      </c>
      <c r="F5849" s="23" t="s">
        <v>37</v>
      </c>
      <c r="G5849" s="23" t="s">
        <v>21</v>
      </c>
      <c r="H5849" s="23" t="s">
        <v>8364</v>
      </c>
      <c r="I5849" s="23">
        <v>72</v>
      </c>
      <c r="J5849" s="23">
        <v>2</v>
      </c>
      <c r="K5849" s="23">
        <v>3</v>
      </c>
      <c r="L5849" s="23" t="s">
        <v>55</v>
      </c>
      <c r="M5849" s="25">
        <v>7</v>
      </c>
      <c r="N5849">
        <f t="shared" si="91"/>
        <v>1</v>
      </c>
    </row>
    <row r="5850" spans="1:14" x14ac:dyDescent="0.35">
      <c r="A5850" s="6" t="s">
        <v>5920</v>
      </c>
      <c r="B5850" s="19" t="s">
        <v>49</v>
      </c>
      <c r="C5850" s="19">
        <v>12</v>
      </c>
      <c r="D5850" s="20">
        <v>45994</v>
      </c>
      <c r="E5850" s="19" t="s">
        <v>20</v>
      </c>
      <c r="F5850" s="19" t="s">
        <v>8364</v>
      </c>
      <c r="G5850" s="19" t="s">
        <v>31</v>
      </c>
      <c r="H5850" s="19" t="s">
        <v>28</v>
      </c>
      <c r="I5850" s="19">
        <v>4</v>
      </c>
      <c r="J5850" s="19">
        <v>2</v>
      </c>
      <c r="K5850" s="19">
        <v>2</v>
      </c>
      <c r="L5850" s="19" t="s">
        <v>38</v>
      </c>
      <c r="M5850" s="21">
        <v>12.5</v>
      </c>
      <c r="N5850">
        <f t="shared" si="91"/>
        <v>0</v>
      </c>
    </row>
    <row r="5851" spans="1:14" x14ac:dyDescent="0.35">
      <c r="A5851" s="22" t="s">
        <v>5921</v>
      </c>
      <c r="B5851" s="23" t="s">
        <v>236</v>
      </c>
      <c r="C5851" s="23">
        <v>6</v>
      </c>
      <c r="D5851" s="24">
        <v>45835</v>
      </c>
      <c r="E5851" s="23" t="s">
        <v>20</v>
      </c>
      <c r="F5851" s="23" t="s">
        <v>14</v>
      </c>
      <c r="G5851" s="23" t="s">
        <v>15</v>
      </c>
      <c r="H5851" s="23" t="s">
        <v>22</v>
      </c>
      <c r="I5851" s="23">
        <v>24</v>
      </c>
      <c r="J5851" s="23">
        <v>0</v>
      </c>
      <c r="K5851" s="23">
        <v>3</v>
      </c>
      <c r="L5851" s="23" t="s">
        <v>62</v>
      </c>
      <c r="M5851" s="25">
        <v>2.1</v>
      </c>
      <c r="N5851">
        <f t="shared" si="91"/>
        <v>1</v>
      </c>
    </row>
    <row r="5852" spans="1:14" x14ac:dyDescent="0.35">
      <c r="A5852" s="6" t="s">
        <v>5922</v>
      </c>
      <c r="B5852" s="19" t="s">
        <v>181</v>
      </c>
      <c r="C5852" s="19">
        <v>8</v>
      </c>
      <c r="D5852" s="20">
        <v>45888</v>
      </c>
      <c r="E5852" s="19" t="s">
        <v>36</v>
      </c>
      <c r="F5852" s="19" t="s">
        <v>43</v>
      </c>
      <c r="G5852" s="19" t="s">
        <v>8364</v>
      </c>
      <c r="H5852" s="19" t="s">
        <v>22</v>
      </c>
      <c r="I5852" s="19">
        <v>72</v>
      </c>
      <c r="J5852" s="19">
        <v>2</v>
      </c>
      <c r="K5852" s="19">
        <v>5</v>
      </c>
      <c r="L5852" s="19" t="s">
        <v>17</v>
      </c>
      <c r="M5852" s="21">
        <v>31.8</v>
      </c>
      <c r="N5852">
        <f t="shared" si="91"/>
        <v>1</v>
      </c>
    </row>
    <row r="5853" spans="1:14" x14ac:dyDescent="0.35">
      <c r="A5853" s="22" t="s">
        <v>5923</v>
      </c>
      <c r="B5853" s="23" t="s">
        <v>23</v>
      </c>
      <c r="C5853" s="23">
        <v>8</v>
      </c>
      <c r="D5853" s="24">
        <v>45881</v>
      </c>
      <c r="E5853" s="23" t="s">
        <v>25</v>
      </c>
      <c r="F5853" s="23" t="s">
        <v>43</v>
      </c>
      <c r="G5853" s="23" t="s">
        <v>8364</v>
      </c>
      <c r="H5853" s="23" t="s">
        <v>28</v>
      </c>
      <c r="I5853" s="23">
        <v>4</v>
      </c>
      <c r="J5853" s="23">
        <v>3</v>
      </c>
      <c r="K5853" s="23">
        <v>4</v>
      </c>
      <c r="L5853" s="23" t="s">
        <v>62</v>
      </c>
      <c r="M5853" s="25">
        <v>4</v>
      </c>
      <c r="N5853">
        <f t="shared" si="91"/>
        <v>1</v>
      </c>
    </row>
    <row r="5854" spans="1:14" x14ac:dyDescent="0.35">
      <c r="A5854" s="6" t="s">
        <v>5924</v>
      </c>
      <c r="B5854" s="19" t="s">
        <v>51</v>
      </c>
      <c r="C5854" s="19">
        <v>7</v>
      </c>
      <c r="D5854" s="20">
        <v>45843</v>
      </c>
      <c r="E5854" s="19" t="s">
        <v>13</v>
      </c>
      <c r="F5854" s="19" t="s">
        <v>14</v>
      </c>
      <c r="G5854" s="19" t="s">
        <v>31</v>
      </c>
      <c r="H5854" s="19" t="s">
        <v>22</v>
      </c>
      <c r="I5854" s="19">
        <v>4</v>
      </c>
      <c r="J5854" s="19">
        <v>0</v>
      </c>
      <c r="K5854" s="19">
        <v>3</v>
      </c>
      <c r="L5854" s="19" t="s">
        <v>17</v>
      </c>
      <c r="M5854" s="21">
        <v>20.6</v>
      </c>
      <c r="N5854">
        <f t="shared" si="91"/>
        <v>0</v>
      </c>
    </row>
    <row r="5855" spans="1:14" x14ac:dyDescent="0.35">
      <c r="A5855" s="22" t="s">
        <v>5925</v>
      </c>
      <c r="B5855" s="23" t="s">
        <v>39</v>
      </c>
      <c r="C5855" s="23"/>
      <c r="D5855" s="24"/>
      <c r="E5855" s="23" t="s">
        <v>36</v>
      </c>
      <c r="F5855" s="23" t="s">
        <v>59</v>
      </c>
      <c r="G5855" s="23" t="s">
        <v>8364</v>
      </c>
      <c r="H5855" s="23" t="s">
        <v>8364</v>
      </c>
      <c r="I5855" s="23">
        <v>8</v>
      </c>
      <c r="J5855" s="23">
        <v>0</v>
      </c>
      <c r="K5855" s="23">
        <v>2</v>
      </c>
      <c r="L5855" s="23" t="s">
        <v>55</v>
      </c>
      <c r="M5855" s="25">
        <v>13.8</v>
      </c>
      <c r="N5855">
        <f t="shared" si="91"/>
        <v>0</v>
      </c>
    </row>
    <row r="5856" spans="1:14" x14ac:dyDescent="0.35">
      <c r="A5856" s="6" t="s">
        <v>5926</v>
      </c>
      <c r="B5856" s="19" t="s">
        <v>23</v>
      </c>
      <c r="C5856" s="19">
        <v>12</v>
      </c>
      <c r="D5856" s="20">
        <v>46001</v>
      </c>
      <c r="E5856" s="19" t="s">
        <v>13</v>
      </c>
      <c r="F5856" s="19" t="s">
        <v>26</v>
      </c>
      <c r="G5856" s="19" t="s">
        <v>8364</v>
      </c>
      <c r="H5856" s="19" t="s">
        <v>22</v>
      </c>
      <c r="I5856" s="19">
        <v>4</v>
      </c>
      <c r="J5856" s="19">
        <v>1</v>
      </c>
      <c r="K5856" s="19">
        <v>4</v>
      </c>
      <c r="L5856" s="19" t="s">
        <v>33</v>
      </c>
      <c r="M5856" s="21">
        <v>3.4</v>
      </c>
      <c r="N5856">
        <f t="shared" si="91"/>
        <v>1</v>
      </c>
    </row>
    <row r="5857" spans="1:14" x14ac:dyDescent="0.35">
      <c r="A5857" s="22" t="s">
        <v>5927</v>
      </c>
      <c r="B5857" s="23" t="s">
        <v>108</v>
      </c>
      <c r="C5857" s="23">
        <v>3</v>
      </c>
      <c r="D5857" s="24">
        <v>45723</v>
      </c>
      <c r="E5857" s="23" t="s">
        <v>25</v>
      </c>
      <c r="F5857" s="23" t="s">
        <v>8364</v>
      </c>
      <c r="G5857" s="23" t="s">
        <v>15</v>
      </c>
      <c r="H5857" s="23" t="s">
        <v>22</v>
      </c>
      <c r="I5857" s="23">
        <v>24</v>
      </c>
      <c r="J5857" s="23">
        <v>0</v>
      </c>
      <c r="K5857" s="23">
        <v>5</v>
      </c>
      <c r="L5857" s="23" t="s">
        <v>55</v>
      </c>
      <c r="M5857" s="25">
        <v>5.7</v>
      </c>
      <c r="N5857">
        <f t="shared" si="91"/>
        <v>1</v>
      </c>
    </row>
    <row r="5858" spans="1:14" x14ac:dyDescent="0.35">
      <c r="A5858" s="6" t="s">
        <v>5928</v>
      </c>
      <c r="B5858" s="19" t="s">
        <v>236</v>
      </c>
      <c r="C5858" s="19">
        <v>5</v>
      </c>
      <c r="D5858" s="20">
        <v>45785</v>
      </c>
      <c r="E5858" s="19" t="s">
        <v>8364</v>
      </c>
      <c r="F5858" s="19" t="s">
        <v>8364</v>
      </c>
      <c r="G5858" s="19" t="s">
        <v>8364</v>
      </c>
      <c r="H5858" s="19" t="s">
        <v>32</v>
      </c>
      <c r="I5858" s="19">
        <v>48</v>
      </c>
      <c r="J5858" s="19"/>
      <c r="K5858" s="19">
        <v>5</v>
      </c>
      <c r="L5858" s="19" t="s">
        <v>33</v>
      </c>
      <c r="M5858" s="21">
        <v>11.4</v>
      </c>
      <c r="N5858">
        <f t="shared" si="91"/>
        <v>1</v>
      </c>
    </row>
    <row r="5859" spans="1:14" x14ac:dyDescent="0.35">
      <c r="A5859" s="22" t="s">
        <v>5929</v>
      </c>
      <c r="B5859" s="23" t="s">
        <v>89</v>
      </c>
      <c r="C5859" s="23">
        <v>6</v>
      </c>
      <c r="D5859" s="24">
        <v>45818</v>
      </c>
      <c r="E5859" s="23" t="s">
        <v>68</v>
      </c>
      <c r="F5859" s="23" t="s">
        <v>14</v>
      </c>
      <c r="G5859" s="23" t="s">
        <v>27</v>
      </c>
      <c r="H5859" s="23" t="s">
        <v>8364</v>
      </c>
      <c r="I5859" s="23">
        <v>24</v>
      </c>
      <c r="J5859" s="23">
        <v>0</v>
      </c>
      <c r="K5859" s="23"/>
      <c r="L5859" s="23" t="s">
        <v>75</v>
      </c>
      <c r="M5859" s="25">
        <v>14.3</v>
      </c>
      <c r="N5859">
        <f t="shared" si="91"/>
        <v>1</v>
      </c>
    </row>
    <row r="5860" spans="1:14" x14ac:dyDescent="0.35">
      <c r="A5860" s="6" t="s">
        <v>5930</v>
      </c>
      <c r="B5860" s="19" t="s">
        <v>53</v>
      </c>
      <c r="C5860" s="19">
        <v>8</v>
      </c>
      <c r="D5860" s="20">
        <v>45890</v>
      </c>
      <c r="E5860" s="19" t="s">
        <v>36</v>
      </c>
      <c r="F5860" s="19" t="s">
        <v>40</v>
      </c>
      <c r="G5860" s="19" t="s">
        <v>31</v>
      </c>
      <c r="H5860" s="19" t="s">
        <v>32</v>
      </c>
      <c r="I5860" s="19">
        <v>8</v>
      </c>
      <c r="J5860" s="19">
        <v>1</v>
      </c>
      <c r="K5860" s="19">
        <v>2</v>
      </c>
      <c r="L5860" s="19" t="s">
        <v>8363</v>
      </c>
      <c r="M5860" s="21">
        <v>9.6999999999999993</v>
      </c>
      <c r="N5860">
        <f t="shared" si="91"/>
        <v>0</v>
      </c>
    </row>
    <row r="5861" spans="1:14" x14ac:dyDescent="0.35">
      <c r="A5861" s="22" t="s">
        <v>5931</v>
      </c>
      <c r="B5861" s="23" t="s">
        <v>51</v>
      </c>
      <c r="C5861" s="23">
        <v>9</v>
      </c>
      <c r="D5861" s="24">
        <v>45928</v>
      </c>
      <c r="E5861" s="23" t="s">
        <v>13</v>
      </c>
      <c r="F5861" s="23" t="s">
        <v>14</v>
      </c>
      <c r="G5861" s="23" t="s">
        <v>27</v>
      </c>
      <c r="H5861" s="23" t="s">
        <v>22</v>
      </c>
      <c r="I5861" s="23">
        <v>4</v>
      </c>
      <c r="J5861" s="23">
        <v>0</v>
      </c>
      <c r="K5861" s="23">
        <v>5</v>
      </c>
      <c r="L5861" s="23" t="s">
        <v>8363</v>
      </c>
      <c r="M5861" s="25">
        <v>17.100000000000001</v>
      </c>
      <c r="N5861">
        <f t="shared" si="91"/>
        <v>0</v>
      </c>
    </row>
    <row r="5862" spans="1:14" x14ac:dyDescent="0.35">
      <c r="A5862" s="6" t="s">
        <v>5932</v>
      </c>
      <c r="B5862" s="19" t="s">
        <v>87</v>
      </c>
      <c r="C5862" s="19">
        <v>6</v>
      </c>
      <c r="D5862" s="20">
        <v>45831</v>
      </c>
      <c r="E5862" s="19" t="s">
        <v>13</v>
      </c>
      <c r="F5862" s="19" t="s">
        <v>14</v>
      </c>
      <c r="G5862" s="19" t="s">
        <v>27</v>
      </c>
      <c r="H5862" s="19" t="s">
        <v>28</v>
      </c>
      <c r="I5862" s="19">
        <v>48</v>
      </c>
      <c r="J5862" s="19">
        <v>0</v>
      </c>
      <c r="K5862" s="19">
        <v>3</v>
      </c>
      <c r="L5862" s="19" t="s">
        <v>8363</v>
      </c>
      <c r="M5862" s="21">
        <v>11.2</v>
      </c>
      <c r="N5862">
        <f t="shared" si="91"/>
        <v>1</v>
      </c>
    </row>
    <row r="5863" spans="1:14" x14ac:dyDescent="0.35">
      <c r="A5863" s="22" t="s">
        <v>5933</v>
      </c>
      <c r="B5863" s="23" t="s">
        <v>34</v>
      </c>
      <c r="C5863" s="23">
        <v>10</v>
      </c>
      <c r="D5863" s="24">
        <v>45947</v>
      </c>
      <c r="E5863" s="23" t="s">
        <v>25</v>
      </c>
      <c r="F5863" s="23" t="s">
        <v>43</v>
      </c>
      <c r="G5863" s="23" t="s">
        <v>15</v>
      </c>
      <c r="H5863" s="23" t="s">
        <v>22</v>
      </c>
      <c r="I5863" s="23">
        <v>4</v>
      </c>
      <c r="J5863" s="23">
        <v>0</v>
      </c>
      <c r="K5863" s="23">
        <v>5</v>
      </c>
      <c r="L5863" s="23" t="s">
        <v>17</v>
      </c>
      <c r="M5863" s="25">
        <v>29.1</v>
      </c>
      <c r="N5863">
        <f t="shared" si="91"/>
        <v>0</v>
      </c>
    </row>
    <row r="5864" spans="1:14" x14ac:dyDescent="0.35">
      <c r="A5864" s="6" t="s">
        <v>5934</v>
      </c>
      <c r="B5864" s="19" t="s">
        <v>65</v>
      </c>
      <c r="C5864" s="19">
        <v>4</v>
      </c>
      <c r="D5864" s="20">
        <v>45756</v>
      </c>
      <c r="E5864" s="19" t="s">
        <v>8364</v>
      </c>
      <c r="F5864" s="19" t="s">
        <v>43</v>
      </c>
      <c r="G5864" s="19" t="s">
        <v>31</v>
      </c>
      <c r="H5864" s="19" t="s">
        <v>22</v>
      </c>
      <c r="I5864" s="19">
        <v>24</v>
      </c>
      <c r="J5864" s="19">
        <v>0</v>
      </c>
      <c r="K5864" s="19">
        <v>5</v>
      </c>
      <c r="L5864" s="19" t="s">
        <v>8363</v>
      </c>
      <c r="M5864" s="21">
        <v>10.9</v>
      </c>
      <c r="N5864">
        <f t="shared" si="91"/>
        <v>1</v>
      </c>
    </row>
    <row r="5865" spans="1:14" x14ac:dyDescent="0.35">
      <c r="A5865" s="22" t="s">
        <v>5935</v>
      </c>
      <c r="B5865" s="23" t="s">
        <v>53</v>
      </c>
      <c r="C5865" s="23">
        <v>8</v>
      </c>
      <c r="D5865" s="24">
        <v>45900</v>
      </c>
      <c r="E5865" s="23" t="s">
        <v>25</v>
      </c>
      <c r="F5865" s="23" t="s">
        <v>40</v>
      </c>
      <c r="G5865" s="23" t="s">
        <v>31</v>
      </c>
      <c r="H5865" s="23" t="s">
        <v>32</v>
      </c>
      <c r="I5865" s="23">
        <v>72</v>
      </c>
      <c r="J5865" s="23">
        <v>0</v>
      </c>
      <c r="K5865" s="23">
        <v>4</v>
      </c>
      <c r="L5865" s="23" t="s">
        <v>38</v>
      </c>
      <c r="M5865" s="25">
        <v>7.4</v>
      </c>
      <c r="N5865">
        <f t="shared" si="91"/>
        <v>1</v>
      </c>
    </row>
    <row r="5866" spans="1:14" x14ac:dyDescent="0.35">
      <c r="A5866" s="6" t="s">
        <v>5936</v>
      </c>
      <c r="B5866" s="19" t="s">
        <v>104</v>
      </c>
      <c r="C5866" s="19">
        <v>11</v>
      </c>
      <c r="D5866" s="20">
        <v>45962</v>
      </c>
      <c r="E5866" s="19" t="s">
        <v>68</v>
      </c>
      <c r="F5866" s="19" t="s">
        <v>43</v>
      </c>
      <c r="G5866" s="19" t="s">
        <v>27</v>
      </c>
      <c r="H5866" s="19" t="s">
        <v>32</v>
      </c>
      <c r="I5866" s="19">
        <v>48</v>
      </c>
      <c r="J5866" s="19">
        <v>1</v>
      </c>
      <c r="K5866" s="19">
        <v>4</v>
      </c>
      <c r="L5866" s="19" t="s">
        <v>55</v>
      </c>
      <c r="M5866" s="21">
        <v>3.9</v>
      </c>
      <c r="N5866">
        <f t="shared" si="91"/>
        <v>1</v>
      </c>
    </row>
    <row r="5867" spans="1:14" x14ac:dyDescent="0.35">
      <c r="A5867" s="22" t="s">
        <v>5937</v>
      </c>
      <c r="B5867" s="23" t="s">
        <v>99</v>
      </c>
      <c r="C5867" s="23">
        <v>8</v>
      </c>
      <c r="D5867" s="24">
        <v>45886</v>
      </c>
      <c r="E5867" s="23" t="s">
        <v>36</v>
      </c>
      <c r="F5867" s="23" t="s">
        <v>40</v>
      </c>
      <c r="G5867" s="23" t="s">
        <v>21</v>
      </c>
      <c r="H5867" s="23" t="s">
        <v>22</v>
      </c>
      <c r="I5867" s="23">
        <v>8</v>
      </c>
      <c r="J5867" s="23">
        <v>0</v>
      </c>
      <c r="K5867" s="23">
        <v>4</v>
      </c>
      <c r="L5867" s="23" t="s">
        <v>62</v>
      </c>
      <c r="M5867" s="25">
        <v>12.4</v>
      </c>
      <c r="N5867">
        <f t="shared" si="91"/>
        <v>0</v>
      </c>
    </row>
    <row r="5868" spans="1:14" x14ac:dyDescent="0.35">
      <c r="A5868" s="6" t="s">
        <v>5938</v>
      </c>
      <c r="B5868" s="19" t="s">
        <v>69</v>
      </c>
      <c r="C5868" s="19">
        <v>11</v>
      </c>
      <c r="D5868" s="20">
        <v>45967</v>
      </c>
      <c r="E5868" s="19" t="s">
        <v>20</v>
      </c>
      <c r="F5868" s="19" t="s">
        <v>26</v>
      </c>
      <c r="G5868" s="19" t="s">
        <v>21</v>
      </c>
      <c r="H5868" s="19" t="s">
        <v>22</v>
      </c>
      <c r="I5868" s="19">
        <v>72</v>
      </c>
      <c r="J5868" s="19">
        <v>1</v>
      </c>
      <c r="K5868" s="19">
        <v>3</v>
      </c>
      <c r="L5868" s="19" t="s">
        <v>55</v>
      </c>
      <c r="M5868" s="21">
        <v>19.3</v>
      </c>
      <c r="N5868">
        <f t="shared" si="91"/>
        <v>1</v>
      </c>
    </row>
    <row r="5869" spans="1:14" x14ac:dyDescent="0.35">
      <c r="A5869" s="22" t="s">
        <v>5939</v>
      </c>
      <c r="B5869" s="23" t="s">
        <v>89</v>
      </c>
      <c r="C5869" s="23">
        <v>6</v>
      </c>
      <c r="D5869" s="24">
        <v>45831</v>
      </c>
      <c r="E5869" s="23" t="s">
        <v>13</v>
      </c>
      <c r="F5869" s="23" t="s">
        <v>40</v>
      </c>
      <c r="G5869" s="23" t="s">
        <v>15</v>
      </c>
      <c r="H5869" s="23" t="s">
        <v>32</v>
      </c>
      <c r="I5869" s="23">
        <v>24</v>
      </c>
      <c r="J5869" s="23">
        <v>0</v>
      </c>
      <c r="K5869" s="23">
        <v>5</v>
      </c>
      <c r="L5869" s="23" t="s">
        <v>38</v>
      </c>
      <c r="M5869" s="25">
        <v>15.4</v>
      </c>
      <c r="N5869">
        <f t="shared" si="91"/>
        <v>1</v>
      </c>
    </row>
    <row r="5870" spans="1:14" x14ac:dyDescent="0.35">
      <c r="A5870" s="6" t="s">
        <v>5940</v>
      </c>
      <c r="B5870" s="19" t="s">
        <v>53</v>
      </c>
      <c r="C5870" s="19">
        <v>1</v>
      </c>
      <c r="D5870" s="20">
        <v>45673</v>
      </c>
      <c r="E5870" s="19" t="s">
        <v>25</v>
      </c>
      <c r="F5870" s="19" t="s">
        <v>14</v>
      </c>
      <c r="G5870" s="19" t="s">
        <v>27</v>
      </c>
      <c r="H5870" s="19" t="s">
        <v>16</v>
      </c>
      <c r="I5870" s="19">
        <v>24</v>
      </c>
      <c r="J5870" s="19">
        <v>0</v>
      </c>
      <c r="K5870" s="19">
        <v>2</v>
      </c>
      <c r="L5870" s="19" t="s">
        <v>8363</v>
      </c>
      <c r="M5870" s="21">
        <v>4.5999999999999996</v>
      </c>
      <c r="N5870">
        <f t="shared" si="91"/>
        <v>1</v>
      </c>
    </row>
    <row r="5871" spans="1:14" x14ac:dyDescent="0.35">
      <c r="A5871" s="22" t="s">
        <v>5941</v>
      </c>
      <c r="B5871" s="23" t="s">
        <v>29</v>
      </c>
      <c r="C5871" s="23">
        <v>5</v>
      </c>
      <c r="D5871" s="24">
        <v>45806</v>
      </c>
      <c r="E5871" s="23" t="s">
        <v>68</v>
      </c>
      <c r="F5871" s="23" t="s">
        <v>43</v>
      </c>
      <c r="G5871" s="23" t="s">
        <v>31</v>
      </c>
      <c r="H5871" s="23" t="s">
        <v>28</v>
      </c>
      <c r="I5871" s="23">
        <v>48</v>
      </c>
      <c r="J5871" s="23">
        <v>0</v>
      </c>
      <c r="K5871" s="23">
        <v>4</v>
      </c>
      <c r="L5871" s="23" t="s">
        <v>8363</v>
      </c>
      <c r="M5871" s="25">
        <v>5.5</v>
      </c>
      <c r="N5871">
        <f t="shared" si="91"/>
        <v>1</v>
      </c>
    </row>
    <row r="5872" spans="1:14" x14ac:dyDescent="0.35">
      <c r="A5872" s="6" t="s">
        <v>5942</v>
      </c>
      <c r="B5872" s="19" t="s">
        <v>101</v>
      </c>
      <c r="C5872" s="19">
        <v>11</v>
      </c>
      <c r="D5872" s="20">
        <v>45983</v>
      </c>
      <c r="E5872" s="19" t="s">
        <v>8364</v>
      </c>
      <c r="F5872" s="19" t="s">
        <v>43</v>
      </c>
      <c r="G5872" s="19" t="s">
        <v>27</v>
      </c>
      <c r="H5872" s="19" t="s">
        <v>22</v>
      </c>
      <c r="I5872" s="19">
        <v>4</v>
      </c>
      <c r="J5872" s="19">
        <v>1</v>
      </c>
      <c r="K5872" s="19">
        <v>4</v>
      </c>
      <c r="L5872" s="19" t="s">
        <v>75</v>
      </c>
      <c r="M5872" s="21">
        <v>11.9</v>
      </c>
      <c r="N5872">
        <f t="shared" si="91"/>
        <v>0</v>
      </c>
    </row>
    <row r="5873" spans="1:14" x14ac:dyDescent="0.35">
      <c r="A5873" s="22" t="s">
        <v>5943</v>
      </c>
      <c r="B5873" s="23" t="s">
        <v>158</v>
      </c>
      <c r="C5873" s="23">
        <v>2</v>
      </c>
      <c r="D5873" s="24">
        <v>45692</v>
      </c>
      <c r="E5873" s="23" t="s">
        <v>8364</v>
      </c>
      <c r="F5873" s="23" t="s">
        <v>14</v>
      </c>
      <c r="G5873" s="23" t="s">
        <v>21</v>
      </c>
      <c r="H5873" s="23" t="s">
        <v>8364</v>
      </c>
      <c r="I5873" s="23">
        <v>72</v>
      </c>
      <c r="J5873" s="23">
        <v>2</v>
      </c>
      <c r="K5873" s="23"/>
      <c r="L5873" s="23" t="s">
        <v>38</v>
      </c>
      <c r="M5873" s="25">
        <v>6.7</v>
      </c>
      <c r="N5873">
        <f t="shared" si="91"/>
        <v>1</v>
      </c>
    </row>
    <row r="5874" spans="1:14" x14ac:dyDescent="0.35">
      <c r="A5874" s="6" t="s">
        <v>5944</v>
      </c>
      <c r="B5874" s="19" t="s">
        <v>47</v>
      </c>
      <c r="C5874" s="19">
        <v>2</v>
      </c>
      <c r="D5874" s="20">
        <v>45703</v>
      </c>
      <c r="E5874" s="19" t="s">
        <v>13</v>
      </c>
      <c r="F5874" s="19" t="s">
        <v>43</v>
      </c>
      <c r="G5874" s="19" t="s">
        <v>27</v>
      </c>
      <c r="H5874" s="19" t="s">
        <v>22</v>
      </c>
      <c r="I5874" s="19">
        <v>4</v>
      </c>
      <c r="J5874" s="19">
        <v>0</v>
      </c>
      <c r="K5874" s="19">
        <v>4</v>
      </c>
      <c r="L5874" s="19" t="s">
        <v>38</v>
      </c>
      <c r="M5874" s="21">
        <v>7.5</v>
      </c>
      <c r="N5874">
        <f t="shared" si="91"/>
        <v>0</v>
      </c>
    </row>
    <row r="5875" spans="1:14" x14ac:dyDescent="0.35">
      <c r="A5875" s="22" t="s">
        <v>5945</v>
      </c>
      <c r="B5875" s="23" t="s">
        <v>47</v>
      </c>
      <c r="C5875" s="23">
        <v>7</v>
      </c>
      <c r="D5875" s="24">
        <v>45854</v>
      </c>
      <c r="E5875" s="23" t="s">
        <v>8364</v>
      </c>
      <c r="F5875" s="23" t="s">
        <v>26</v>
      </c>
      <c r="G5875" s="23" t="s">
        <v>31</v>
      </c>
      <c r="H5875" s="23" t="s">
        <v>8364</v>
      </c>
      <c r="I5875" s="23">
        <v>72</v>
      </c>
      <c r="J5875" s="23">
        <v>0</v>
      </c>
      <c r="K5875" s="23">
        <v>5</v>
      </c>
      <c r="L5875" s="23" t="s">
        <v>33</v>
      </c>
      <c r="M5875" s="25">
        <v>4.5</v>
      </c>
      <c r="N5875">
        <f t="shared" si="91"/>
        <v>1</v>
      </c>
    </row>
    <row r="5876" spans="1:14" x14ac:dyDescent="0.35">
      <c r="A5876" s="6" t="s">
        <v>5946</v>
      </c>
      <c r="B5876" s="19" t="s">
        <v>47</v>
      </c>
      <c r="C5876" s="19">
        <v>7</v>
      </c>
      <c r="D5876" s="20">
        <v>45841</v>
      </c>
      <c r="E5876" s="19" t="s">
        <v>25</v>
      </c>
      <c r="F5876" s="19" t="s">
        <v>40</v>
      </c>
      <c r="G5876" s="19" t="s">
        <v>27</v>
      </c>
      <c r="H5876" s="19" t="s">
        <v>8364</v>
      </c>
      <c r="I5876" s="19">
        <v>48</v>
      </c>
      <c r="J5876" s="19">
        <v>0</v>
      </c>
      <c r="K5876" s="19">
        <v>3</v>
      </c>
      <c r="L5876" s="19" t="s">
        <v>75</v>
      </c>
      <c r="M5876" s="21">
        <v>8.6</v>
      </c>
      <c r="N5876">
        <f t="shared" si="91"/>
        <v>1</v>
      </c>
    </row>
    <row r="5877" spans="1:14" x14ac:dyDescent="0.35">
      <c r="A5877" s="22" t="s">
        <v>5947</v>
      </c>
      <c r="B5877" s="23" t="s">
        <v>139</v>
      </c>
      <c r="C5877" s="23">
        <v>3</v>
      </c>
      <c r="D5877" s="24">
        <v>45732</v>
      </c>
      <c r="E5877" s="23" t="s">
        <v>36</v>
      </c>
      <c r="F5877" s="23" t="s">
        <v>26</v>
      </c>
      <c r="G5877" s="23" t="s">
        <v>27</v>
      </c>
      <c r="H5877" s="23" t="s">
        <v>22</v>
      </c>
      <c r="I5877" s="23">
        <v>4</v>
      </c>
      <c r="J5877" s="23">
        <v>0</v>
      </c>
      <c r="K5877" s="23">
        <v>4</v>
      </c>
      <c r="L5877" s="23" t="s">
        <v>38</v>
      </c>
      <c r="M5877" s="25">
        <v>8.1</v>
      </c>
      <c r="N5877">
        <f t="shared" si="91"/>
        <v>0</v>
      </c>
    </row>
    <row r="5878" spans="1:14" x14ac:dyDescent="0.35">
      <c r="A5878" s="6" t="s">
        <v>5948</v>
      </c>
      <c r="B5878" s="19" t="s">
        <v>53</v>
      </c>
      <c r="C5878" s="19">
        <v>8</v>
      </c>
      <c r="D5878" s="20">
        <v>45897</v>
      </c>
      <c r="E5878" s="19" t="s">
        <v>36</v>
      </c>
      <c r="F5878" s="19" t="s">
        <v>59</v>
      </c>
      <c r="G5878" s="19" t="s">
        <v>15</v>
      </c>
      <c r="H5878" s="19" t="s">
        <v>16</v>
      </c>
      <c r="I5878" s="19">
        <v>48</v>
      </c>
      <c r="J5878" s="19">
        <v>0</v>
      </c>
      <c r="K5878" s="19">
        <v>4</v>
      </c>
      <c r="L5878" s="19" t="s">
        <v>33</v>
      </c>
      <c r="M5878" s="21">
        <v>7.1</v>
      </c>
      <c r="N5878">
        <f t="shared" si="91"/>
        <v>1</v>
      </c>
    </row>
    <row r="5879" spans="1:14" x14ac:dyDescent="0.35">
      <c r="A5879" s="22" t="s">
        <v>5949</v>
      </c>
      <c r="B5879" s="23" t="s">
        <v>65</v>
      </c>
      <c r="C5879" s="23"/>
      <c r="D5879" s="24"/>
      <c r="E5879" s="23" t="s">
        <v>8364</v>
      </c>
      <c r="F5879" s="23" t="s">
        <v>14</v>
      </c>
      <c r="G5879" s="23" t="s">
        <v>8364</v>
      </c>
      <c r="H5879" s="23" t="s">
        <v>22</v>
      </c>
      <c r="I5879" s="23">
        <v>4</v>
      </c>
      <c r="J5879" s="23">
        <v>1</v>
      </c>
      <c r="K5879" s="23">
        <v>4</v>
      </c>
      <c r="L5879" s="23" t="s">
        <v>8363</v>
      </c>
      <c r="M5879" s="25">
        <v>11</v>
      </c>
      <c r="N5879">
        <f t="shared" si="91"/>
        <v>0</v>
      </c>
    </row>
    <row r="5880" spans="1:14" x14ac:dyDescent="0.35">
      <c r="A5880" s="6" t="s">
        <v>5950</v>
      </c>
      <c r="B5880" s="19" t="s">
        <v>146</v>
      </c>
      <c r="C5880" s="19">
        <v>3</v>
      </c>
      <c r="D5880" s="20">
        <v>45746</v>
      </c>
      <c r="E5880" s="19" t="s">
        <v>20</v>
      </c>
      <c r="F5880" s="19" t="s">
        <v>43</v>
      </c>
      <c r="G5880" s="19" t="s">
        <v>31</v>
      </c>
      <c r="H5880" s="19" t="s">
        <v>8364</v>
      </c>
      <c r="I5880" s="19">
        <v>4</v>
      </c>
      <c r="J5880" s="19">
        <v>0</v>
      </c>
      <c r="K5880" s="19">
        <v>4</v>
      </c>
      <c r="L5880" s="19" t="s">
        <v>75</v>
      </c>
      <c r="M5880" s="21">
        <v>21.1</v>
      </c>
      <c r="N5880">
        <f t="shared" si="91"/>
        <v>0</v>
      </c>
    </row>
    <row r="5881" spans="1:14" x14ac:dyDescent="0.35">
      <c r="A5881" s="22" t="s">
        <v>5951</v>
      </c>
      <c r="B5881" s="23" t="s">
        <v>47</v>
      </c>
      <c r="C5881" s="23">
        <v>8</v>
      </c>
      <c r="D5881" s="24">
        <v>45890</v>
      </c>
      <c r="E5881" s="23" t="s">
        <v>36</v>
      </c>
      <c r="F5881" s="23" t="s">
        <v>14</v>
      </c>
      <c r="G5881" s="23" t="s">
        <v>31</v>
      </c>
      <c r="H5881" s="23" t="s">
        <v>22</v>
      </c>
      <c r="I5881" s="23">
        <v>72</v>
      </c>
      <c r="J5881" s="23">
        <v>1</v>
      </c>
      <c r="K5881" s="23">
        <v>5</v>
      </c>
      <c r="L5881" s="23" t="s">
        <v>38</v>
      </c>
      <c r="M5881" s="25">
        <v>33.799999999999997</v>
      </c>
      <c r="N5881">
        <f t="shared" si="91"/>
        <v>1</v>
      </c>
    </row>
    <row r="5882" spans="1:14" x14ac:dyDescent="0.35">
      <c r="A5882" s="6" t="s">
        <v>5952</v>
      </c>
      <c r="B5882" s="19" t="s">
        <v>89</v>
      </c>
      <c r="C5882" s="19">
        <v>8</v>
      </c>
      <c r="D5882" s="20">
        <v>45899</v>
      </c>
      <c r="E5882" s="19" t="s">
        <v>25</v>
      </c>
      <c r="F5882" s="19" t="s">
        <v>8364</v>
      </c>
      <c r="G5882" s="19" t="s">
        <v>31</v>
      </c>
      <c r="H5882" s="19" t="s">
        <v>8364</v>
      </c>
      <c r="I5882" s="19">
        <v>24</v>
      </c>
      <c r="J5882" s="19">
        <v>1</v>
      </c>
      <c r="K5882" s="19">
        <v>5</v>
      </c>
      <c r="L5882" s="19" t="s">
        <v>62</v>
      </c>
      <c r="M5882" s="21">
        <v>20.3</v>
      </c>
      <c r="N5882">
        <f t="shared" si="91"/>
        <v>1</v>
      </c>
    </row>
    <row r="5883" spans="1:14" x14ac:dyDescent="0.35">
      <c r="A5883" s="22" t="s">
        <v>5953</v>
      </c>
      <c r="B5883" s="23" t="s">
        <v>130</v>
      </c>
      <c r="C5883" s="23">
        <v>11</v>
      </c>
      <c r="D5883" s="24">
        <v>45991</v>
      </c>
      <c r="E5883" s="23" t="s">
        <v>25</v>
      </c>
      <c r="F5883" s="23" t="s">
        <v>59</v>
      </c>
      <c r="G5883" s="23" t="s">
        <v>31</v>
      </c>
      <c r="H5883" s="23" t="s">
        <v>28</v>
      </c>
      <c r="I5883" s="23">
        <v>4</v>
      </c>
      <c r="J5883" s="23">
        <v>1</v>
      </c>
      <c r="K5883" s="23">
        <v>3</v>
      </c>
      <c r="L5883" s="23" t="s">
        <v>33</v>
      </c>
      <c r="M5883" s="25">
        <v>11</v>
      </c>
      <c r="N5883">
        <f t="shared" si="91"/>
        <v>0</v>
      </c>
    </row>
    <row r="5884" spans="1:14" x14ac:dyDescent="0.35">
      <c r="A5884" s="6" t="s">
        <v>5954</v>
      </c>
      <c r="B5884" s="19" t="s">
        <v>49</v>
      </c>
      <c r="C5884" s="19">
        <v>11</v>
      </c>
      <c r="D5884" s="20">
        <v>45975</v>
      </c>
      <c r="E5884" s="19" t="s">
        <v>25</v>
      </c>
      <c r="F5884" s="19" t="s">
        <v>8364</v>
      </c>
      <c r="G5884" s="19" t="s">
        <v>15</v>
      </c>
      <c r="H5884" s="19" t="s">
        <v>22</v>
      </c>
      <c r="I5884" s="19">
        <v>72</v>
      </c>
      <c r="J5884" s="19">
        <v>0</v>
      </c>
      <c r="K5884" s="19">
        <v>5</v>
      </c>
      <c r="L5884" s="19" t="s">
        <v>55</v>
      </c>
      <c r="M5884" s="21">
        <v>15.9</v>
      </c>
      <c r="N5884">
        <f t="shared" si="91"/>
        <v>1</v>
      </c>
    </row>
    <row r="5885" spans="1:14" x14ac:dyDescent="0.35">
      <c r="A5885" s="22" t="s">
        <v>5955</v>
      </c>
      <c r="B5885" s="23" t="s">
        <v>29</v>
      </c>
      <c r="C5885" s="23">
        <v>8</v>
      </c>
      <c r="D5885" s="24">
        <v>45870</v>
      </c>
      <c r="E5885" s="23" t="s">
        <v>36</v>
      </c>
      <c r="F5885" s="23" t="s">
        <v>43</v>
      </c>
      <c r="G5885" s="23" t="s">
        <v>27</v>
      </c>
      <c r="H5885" s="23" t="s">
        <v>8364</v>
      </c>
      <c r="I5885" s="23">
        <v>4</v>
      </c>
      <c r="J5885" s="23">
        <v>0</v>
      </c>
      <c r="K5885" s="23">
        <v>5</v>
      </c>
      <c r="L5885" s="23" t="s">
        <v>33</v>
      </c>
      <c r="M5885" s="25">
        <v>6.3</v>
      </c>
      <c r="N5885">
        <f t="shared" si="91"/>
        <v>0</v>
      </c>
    </row>
    <row r="5886" spans="1:14" x14ac:dyDescent="0.35">
      <c r="A5886" s="6" t="s">
        <v>5956</v>
      </c>
      <c r="B5886" s="19" t="s">
        <v>139</v>
      </c>
      <c r="C5886" s="19">
        <v>6</v>
      </c>
      <c r="D5886" s="20">
        <v>45819</v>
      </c>
      <c r="E5886" s="19" t="s">
        <v>8364</v>
      </c>
      <c r="F5886" s="19" t="s">
        <v>43</v>
      </c>
      <c r="G5886" s="19" t="s">
        <v>27</v>
      </c>
      <c r="H5886" s="19" t="s">
        <v>22</v>
      </c>
      <c r="I5886" s="19">
        <v>24</v>
      </c>
      <c r="J5886" s="19">
        <v>0</v>
      </c>
      <c r="K5886" s="19">
        <v>5</v>
      </c>
      <c r="L5886" s="19" t="s">
        <v>44</v>
      </c>
      <c r="M5886" s="21">
        <v>8.1</v>
      </c>
      <c r="N5886">
        <f t="shared" si="91"/>
        <v>1</v>
      </c>
    </row>
    <row r="5887" spans="1:14" x14ac:dyDescent="0.35">
      <c r="A5887" s="22" t="s">
        <v>5957</v>
      </c>
      <c r="B5887" s="23" t="s">
        <v>49</v>
      </c>
      <c r="C5887" s="23">
        <v>10</v>
      </c>
      <c r="D5887" s="24">
        <v>45959</v>
      </c>
      <c r="E5887" s="23" t="s">
        <v>36</v>
      </c>
      <c r="F5887" s="23" t="s">
        <v>26</v>
      </c>
      <c r="G5887" s="23" t="s">
        <v>31</v>
      </c>
      <c r="H5887" s="23" t="s">
        <v>22</v>
      </c>
      <c r="I5887" s="23">
        <v>24</v>
      </c>
      <c r="J5887" s="23">
        <v>0</v>
      </c>
      <c r="K5887" s="23">
        <v>5</v>
      </c>
      <c r="L5887" s="23" t="s">
        <v>33</v>
      </c>
      <c r="M5887" s="25">
        <v>12.5</v>
      </c>
      <c r="N5887">
        <f t="shared" si="91"/>
        <v>1</v>
      </c>
    </row>
    <row r="5888" spans="1:14" x14ac:dyDescent="0.35">
      <c r="A5888" s="6" t="s">
        <v>5958</v>
      </c>
      <c r="B5888" s="19" t="s">
        <v>29</v>
      </c>
      <c r="C5888" s="19">
        <v>1</v>
      </c>
      <c r="D5888" s="20">
        <v>45658</v>
      </c>
      <c r="E5888" s="19" t="s">
        <v>13</v>
      </c>
      <c r="F5888" s="19" t="s">
        <v>8364</v>
      </c>
      <c r="G5888" s="19" t="s">
        <v>27</v>
      </c>
      <c r="H5888" s="19" t="s">
        <v>8364</v>
      </c>
      <c r="I5888" s="19">
        <v>24</v>
      </c>
      <c r="J5888" s="19">
        <v>0</v>
      </c>
      <c r="K5888" s="19">
        <v>1</v>
      </c>
      <c r="L5888" s="19" t="s">
        <v>75</v>
      </c>
      <c r="M5888" s="21">
        <v>26.2</v>
      </c>
      <c r="N5888">
        <f t="shared" si="91"/>
        <v>0</v>
      </c>
    </row>
    <row r="5889" spans="1:14" x14ac:dyDescent="0.35">
      <c r="A5889" s="22" t="s">
        <v>5959</v>
      </c>
      <c r="B5889" s="23" t="s">
        <v>139</v>
      </c>
      <c r="C5889" s="23">
        <v>2</v>
      </c>
      <c r="D5889" s="24">
        <v>45689</v>
      </c>
      <c r="E5889" s="23" t="s">
        <v>13</v>
      </c>
      <c r="F5889" s="23" t="s">
        <v>43</v>
      </c>
      <c r="G5889" s="23" t="s">
        <v>27</v>
      </c>
      <c r="H5889" s="23" t="s">
        <v>22</v>
      </c>
      <c r="I5889" s="23">
        <v>4</v>
      </c>
      <c r="J5889" s="23">
        <v>0</v>
      </c>
      <c r="K5889" s="23">
        <v>4</v>
      </c>
      <c r="L5889" s="23" t="s">
        <v>8363</v>
      </c>
      <c r="M5889" s="25">
        <v>1.7</v>
      </c>
      <c r="N5889">
        <f t="shared" si="91"/>
        <v>1</v>
      </c>
    </row>
    <row r="5890" spans="1:14" x14ac:dyDescent="0.35">
      <c r="A5890" s="6" t="s">
        <v>5960</v>
      </c>
      <c r="B5890" s="19" t="s">
        <v>146</v>
      </c>
      <c r="C5890" s="19">
        <v>5</v>
      </c>
      <c r="D5890" s="20">
        <v>45790</v>
      </c>
      <c r="E5890" s="19" t="s">
        <v>13</v>
      </c>
      <c r="F5890" s="19" t="s">
        <v>59</v>
      </c>
      <c r="G5890" s="19" t="s">
        <v>27</v>
      </c>
      <c r="H5890" s="19" t="s">
        <v>28</v>
      </c>
      <c r="I5890" s="19">
        <v>4</v>
      </c>
      <c r="J5890" s="19">
        <v>1</v>
      </c>
      <c r="K5890" s="19">
        <v>3</v>
      </c>
      <c r="L5890" s="19" t="s">
        <v>55</v>
      </c>
      <c r="M5890" s="21">
        <v>8</v>
      </c>
      <c r="N5890">
        <f t="shared" si="91"/>
        <v>0</v>
      </c>
    </row>
    <row r="5891" spans="1:14" x14ac:dyDescent="0.35">
      <c r="A5891" s="22" t="s">
        <v>5961</v>
      </c>
      <c r="B5891" s="23" t="s">
        <v>39</v>
      </c>
      <c r="C5891" s="23">
        <v>12</v>
      </c>
      <c r="D5891" s="24">
        <v>46005</v>
      </c>
      <c r="E5891" s="23" t="s">
        <v>13</v>
      </c>
      <c r="F5891" s="23" t="s">
        <v>43</v>
      </c>
      <c r="G5891" s="23" t="s">
        <v>8364</v>
      </c>
      <c r="H5891" s="23" t="s">
        <v>8364</v>
      </c>
      <c r="I5891" s="23">
        <v>24</v>
      </c>
      <c r="J5891" s="23">
        <v>0</v>
      </c>
      <c r="K5891" s="23">
        <v>4</v>
      </c>
      <c r="L5891" s="23" t="s">
        <v>55</v>
      </c>
      <c r="M5891" s="25">
        <v>2.7</v>
      </c>
      <c r="N5891">
        <f t="shared" ref="N5891:N5954" si="92">IF(M5891 &lt;= I5891, 1, 0)</f>
        <v>1</v>
      </c>
    </row>
    <row r="5892" spans="1:14" x14ac:dyDescent="0.35">
      <c r="A5892" s="6" t="s">
        <v>5962</v>
      </c>
      <c r="B5892" s="19" t="s">
        <v>51</v>
      </c>
      <c r="C5892" s="19">
        <v>8</v>
      </c>
      <c r="D5892" s="20">
        <v>45886</v>
      </c>
      <c r="E5892" s="19" t="s">
        <v>25</v>
      </c>
      <c r="F5892" s="19" t="s">
        <v>43</v>
      </c>
      <c r="G5892" s="19" t="s">
        <v>27</v>
      </c>
      <c r="H5892" s="19" t="s">
        <v>22</v>
      </c>
      <c r="I5892" s="19">
        <v>72</v>
      </c>
      <c r="J5892" s="19">
        <v>0</v>
      </c>
      <c r="K5892" s="19">
        <v>5</v>
      </c>
      <c r="L5892" s="19" t="s">
        <v>44</v>
      </c>
      <c r="M5892" s="21">
        <v>12.8</v>
      </c>
      <c r="N5892">
        <f t="shared" si="92"/>
        <v>1</v>
      </c>
    </row>
    <row r="5893" spans="1:14" x14ac:dyDescent="0.35">
      <c r="A5893" s="22" t="s">
        <v>5963</v>
      </c>
      <c r="B5893" s="23" t="s">
        <v>69</v>
      </c>
      <c r="C5893" s="23">
        <v>2</v>
      </c>
      <c r="D5893" s="24">
        <v>45694</v>
      </c>
      <c r="E5893" s="23" t="s">
        <v>25</v>
      </c>
      <c r="F5893" s="23" t="s">
        <v>43</v>
      </c>
      <c r="G5893" s="23" t="s">
        <v>27</v>
      </c>
      <c r="H5893" s="23" t="s">
        <v>22</v>
      </c>
      <c r="I5893" s="23">
        <v>4</v>
      </c>
      <c r="J5893" s="23">
        <v>0</v>
      </c>
      <c r="K5893" s="23">
        <v>1</v>
      </c>
      <c r="L5893" s="23" t="s">
        <v>55</v>
      </c>
      <c r="M5893" s="25">
        <v>14.2</v>
      </c>
      <c r="N5893">
        <f t="shared" si="92"/>
        <v>0</v>
      </c>
    </row>
    <row r="5894" spans="1:14" x14ac:dyDescent="0.35">
      <c r="A5894" s="6" t="s">
        <v>5964</v>
      </c>
      <c r="B5894" s="19" t="s">
        <v>51</v>
      </c>
      <c r="C5894" s="19">
        <v>2</v>
      </c>
      <c r="D5894" s="20">
        <v>45698</v>
      </c>
      <c r="E5894" s="19" t="s">
        <v>68</v>
      </c>
      <c r="F5894" s="19" t="s">
        <v>14</v>
      </c>
      <c r="G5894" s="19" t="s">
        <v>27</v>
      </c>
      <c r="H5894" s="19" t="s">
        <v>28</v>
      </c>
      <c r="I5894" s="19">
        <v>72</v>
      </c>
      <c r="J5894" s="19">
        <v>0</v>
      </c>
      <c r="K5894" s="19">
        <v>4</v>
      </c>
      <c r="L5894" s="19" t="s">
        <v>44</v>
      </c>
      <c r="M5894" s="21">
        <v>24.2</v>
      </c>
      <c r="N5894">
        <f t="shared" si="92"/>
        <v>1</v>
      </c>
    </row>
    <row r="5895" spans="1:14" x14ac:dyDescent="0.35">
      <c r="A5895" s="22" t="s">
        <v>5965</v>
      </c>
      <c r="B5895" s="23" t="s">
        <v>51</v>
      </c>
      <c r="C5895" s="23"/>
      <c r="D5895" s="24"/>
      <c r="E5895" s="23" t="s">
        <v>36</v>
      </c>
      <c r="F5895" s="23" t="s">
        <v>14</v>
      </c>
      <c r="G5895" s="23" t="s">
        <v>15</v>
      </c>
      <c r="H5895" s="23" t="s">
        <v>8364</v>
      </c>
      <c r="I5895" s="23">
        <v>8</v>
      </c>
      <c r="J5895" s="23">
        <v>0</v>
      </c>
      <c r="K5895" s="23">
        <v>3</v>
      </c>
      <c r="L5895" s="23" t="s">
        <v>55</v>
      </c>
      <c r="M5895" s="25">
        <v>8</v>
      </c>
      <c r="N5895">
        <f t="shared" si="92"/>
        <v>1</v>
      </c>
    </row>
    <row r="5896" spans="1:14" x14ac:dyDescent="0.35">
      <c r="A5896" s="6" t="s">
        <v>5966</v>
      </c>
      <c r="B5896" s="19" t="s">
        <v>41</v>
      </c>
      <c r="C5896" s="19">
        <v>11</v>
      </c>
      <c r="D5896" s="20">
        <v>45978</v>
      </c>
      <c r="E5896" s="19" t="s">
        <v>25</v>
      </c>
      <c r="F5896" s="19" t="s">
        <v>14</v>
      </c>
      <c r="G5896" s="19" t="s">
        <v>27</v>
      </c>
      <c r="H5896" s="19" t="s">
        <v>28</v>
      </c>
      <c r="I5896" s="19">
        <v>24</v>
      </c>
      <c r="J5896" s="19">
        <v>0</v>
      </c>
      <c r="K5896" s="19">
        <v>2</v>
      </c>
      <c r="L5896" s="19" t="s">
        <v>8363</v>
      </c>
      <c r="M5896" s="21">
        <v>2.2000000000000002</v>
      </c>
      <c r="N5896">
        <f t="shared" si="92"/>
        <v>1</v>
      </c>
    </row>
    <row r="5897" spans="1:14" x14ac:dyDescent="0.35">
      <c r="A5897" s="22" t="s">
        <v>5967</v>
      </c>
      <c r="B5897" s="23" t="s">
        <v>51</v>
      </c>
      <c r="C5897" s="23">
        <v>9</v>
      </c>
      <c r="D5897" s="24">
        <v>45926</v>
      </c>
      <c r="E5897" s="23" t="s">
        <v>25</v>
      </c>
      <c r="F5897" s="23" t="s">
        <v>43</v>
      </c>
      <c r="G5897" s="23" t="s">
        <v>31</v>
      </c>
      <c r="H5897" s="23" t="s">
        <v>22</v>
      </c>
      <c r="I5897" s="23">
        <v>72</v>
      </c>
      <c r="J5897" s="23">
        <v>3</v>
      </c>
      <c r="K5897" s="23">
        <v>5</v>
      </c>
      <c r="L5897" s="23" t="s">
        <v>33</v>
      </c>
      <c r="M5897" s="25">
        <v>11.1</v>
      </c>
      <c r="N5897">
        <f t="shared" si="92"/>
        <v>1</v>
      </c>
    </row>
    <row r="5898" spans="1:14" x14ac:dyDescent="0.35">
      <c r="A5898" s="6" t="s">
        <v>5968</v>
      </c>
      <c r="B5898" s="19" t="s">
        <v>53</v>
      </c>
      <c r="C5898" s="19">
        <v>6</v>
      </c>
      <c r="D5898" s="20">
        <v>45814</v>
      </c>
      <c r="E5898" s="19" t="s">
        <v>25</v>
      </c>
      <c r="F5898" s="19" t="s">
        <v>26</v>
      </c>
      <c r="G5898" s="19" t="s">
        <v>31</v>
      </c>
      <c r="H5898" s="19" t="s">
        <v>32</v>
      </c>
      <c r="I5898" s="19">
        <v>4</v>
      </c>
      <c r="J5898" s="19">
        <v>0</v>
      </c>
      <c r="K5898" s="19">
        <v>4</v>
      </c>
      <c r="L5898" s="19" t="s">
        <v>33</v>
      </c>
      <c r="M5898" s="21">
        <v>11.2</v>
      </c>
      <c r="N5898">
        <f t="shared" si="92"/>
        <v>0</v>
      </c>
    </row>
    <row r="5899" spans="1:14" x14ac:dyDescent="0.35">
      <c r="A5899" s="22" t="s">
        <v>5969</v>
      </c>
      <c r="B5899" s="23" t="s">
        <v>72</v>
      </c>
      <c r="C5899" s="23">
        <v>3</v>
      </c>
      <c r="D5899" s="24">
        <v>45723</v>
      </c>
      <c r="E5899" s="23" t="s">
        <v>25</v>
      </c>
      <c r="F5899" s="23" t="s">
        <v>8364</v>
      </c>
      <c r="G5899" s="23" t="s">
        <v>31</v>
      </c>
      <c r="H5899" s="23" t="s">
        <v>16</v>
      </c>
      <c r="I5899" s="23">
        <v>72</v>
      </c>
      <c r="J5899" s="23">
        <v>0</v>
      </c>
      <c r="K5899" s="23">
        <v>5</v>
      </c>
      <c r="L5899" s="23" t="s">
        <v>75</v>
      </c>
      <c r="M5899" s="25">
        <v>7.2</v>
      </c>
      <c r="N5899">
        <f t="shared" si="92"/>
        <v>1</v>
      </c>
    </row>
    <row r="5900" spans="1:14" x14ac:dyDescent="0.35">
      <c r="A5900" s="6" t="s">
        <v>5970</v>
      </c>
      <c r="B5900" s="19" t="s">
        <v>47</v>
      </c>
      <c r="C5900" s="19">
        <v>9</v>
      </c>
      <c r="D5900" s="20">
        <v>45911</v>
      </c>
      <c r="E5900" s="19" t="s">
        <v>20</v>
      </c>
      <c r="F5900" s="19" t="s">
        <v>14</v>
      </c>
      <c r="G5900" s="19" t="s">
        <v>21</v>
      </c>
      <c r="H5900" s="19" t="s">
        <v>16</v>
      </c>
      <c r="I5900" s="19">
        <v>8</v>
      </c>
      <c r="J5900" s="19">
        <v>0</v>
      </c>
      <c r="K5900" s="19">
        <v>5</v>
      </c>
      <c r="L5900" s="19" t="s">
        <v>44</v>
      </c>
      <c r="M5900" s="21">
        <v>4.5999999999999996</v>
      </c>
      <c r="N5900">
        <f t="shared" si="92"/>
        <v>1</v>
      </c>
    </row>
    <row r="5901" spans="1:14" x14ac:dyDescent="0.35">
      <c r="A5901" s="22" t="s">
        <v>5971</v>
      </c>
      <c r="B5901" s="23" t="s">
        <v>89</v>
      </c>
      <c r="C5901" s="23">
        <v>3</v>
      </c>
      <c r="D5901" s="24">
        <v>45725</v>
      </c>
      <c r="E5901" s="23" t="s">
        <v>68</v>
      </c>
      <c r="F5901" s="23" t="s">
        <v>43</v>
      </c>
      <c r="G5901" s="23" t="s">
        <v>27</v>
      </c>
      <c r="H5901" s="23" t="s">
        <v>22</v>
      </c>
      <c r="I5901" s="23">
        <v>48</v>
      </c>
      <c r="J5901" s="23">
        <v>0</v>
      </c>
      <c r="K5901" s="23">
        <v>5</v>
      </c>
      <c r="L5901" s="23" t="s">
        <v>55</v>
      </c>
      <c r="M5901" s="25">
        <v>2.8</v>
      </c>
      <c r="N5901">
        <f t="shared" si="92"/>
        <v>1</v>
      </c>
    </row>
    <row r="5902" spans="1:14" x14ac:dyDescent="0.35">
      <c r="A5902" s="6" t="s">
        <v>5972</v>
      </c>
      <c r="B5902" s="19" t="s">
        <v>29</v>
      </c>
      <c r="C5902" s="19"/>
      <c r="D5902" s="20"/>
      <c r="E5902" s="19" t="s">
        <v>20</v>
      </c>
      <c r="F5902" s="19" t="s">
        <v>43</v>
      </c>
      <c r="G5902" s="19" t="s">
        <v>21</v>
      </c>
      <c r="H5902" s="19" t="s">
        <v>16</v>
      </c>
      <c r="I5902" s="19">
        <v>48</v>
      </c>
      <c r="J5902" s="19">
        <v>0</v>
      </c>
      <c r="K5902" s="19">
        <v>5</v>
      </c>
      <c r="L5902" s="19" t="s">
        <v>55</v>
      </c>
      <c r="M5902" s="21">
        <v>9.5</v>
      </c>
      <c r="N5902">
        <f t="shared" si="92"/>
        <v>1</v>
      </c>
    </row>
    <row r="5903" spans="1:14" x14ac:dyDescent="0.35">
      <c r="A5903" s="22" t="s">
        <v>5973</v>
      </c>
      <c r="B5903" s="23" t="s">
        <v>23</v>
      </c>
      <c r="C5903" s="23">
        <v>12</v>
      </c>
      <c r="D5903" s="24">
        <v>45998</v>
      </c>
      <c r="E5903" s="23" t="s">
        <v>13</v>
      </c>
      <c r="F5903" s="23" t="s">
        <v>40</v>
      </c>
      <c r="G5903" s="23" t="s">
        <v>27</v>
      </c>
      <c r="H5903" s="23" t="s">
        <v>32</v>
      </c>
      <c r="I5903" s="23">
        <v>24</v>
      </c>
      <c r="J5903" s="23">
        <v>0</v>
      </c>
      <c r="K5903" s="23">
        <v>5</v>
      </c>
      <c r="L5903" s="23" t="s">
        <v>8363</v>
      </c>
      <c r="M5903" s="25">
        <v>7.5</v>
      </c>
      <c r="N5903">
        <f t="shared" si="92"/>
        <v>1</v>
      </c>
    </row>
    <row r="5904" spans="1:14" x14ac:dyDescent="0.35">
      <c r="A5904" s="6" t="s">
        <v>5974</v>
      </c>
      <c r="B5904" s="19" t="s">
        <v>47</v>
      </c>
      <c r="C5904" s="19">
        <v>1</v>
      </c>
      <c r="D5904" s="20">
        <v>45676</v>
      </c>
      <c r="E5904" s="19" t="s">
        <v>36</v>
      </c>
      <c r="F5904" s="19" t="s">
        <v>37</v>
      </c>
      <c r="G5904" s="19" t="s">
        <v>21</v>
      </c>
      <c r="H5904" s="19" t="s">
        <v>22</v>
      </c>
      <c r="I5904" s="19">
        <v>48</v>
      </c>
      <c r="J5904" s="19">
        <v>0</v>
      </c>
      <c r="K5904" s="19">
        <v>4</v>
      </c>
      <c r="L5904" s="19" t="s">
        <v>17</v>
      </c>
      <c r="M5904" s="21">
        <v>10.4</v>
      </c>
      <c r="N5904">
        <f t="shared" si="92"/>
        <v>1</v>
      </c>
    </row>
    <row r="5905" spans="1:14" x14ac:dyDescent="0.35">
      <c r="A5905" s="22" t="s">
        <v>5975</v>
      </c>
      <c r="B5905" s="23" t="s">
        <v>39</v>
      </c>
      <c r="C5905" s="23"/>
      <c r="D5905" s="24"/>
      <c r="E5905" s="23" t="s">
        <v>8364</v>
      </c>
      <c r="F5905" s="23" t="s">
        <v>40</v>
      </c>
      <c r="G5905" s="23" t="s">
        <v>15</v>
      </c>
      <c r="H5905" s="23" t="s">
        <v>22</v>
      </c>
      <c r="I5905" s="23">
        <v>4</v>
      </c>
      <c r="J5905" s="23">
        <v>0</v>
      </c>
      <c r="K5905" s="23">
        <v>3</v>
      </c>
      <c r="L5905" s="23" t="s">
        <v>55</v>
      </c>
      <c r="M5905" s="25">
        <v>17.8</v>
      </c>
      <c r="N5905">
        <f t="shared" si="92"/>
        <v>0</v>
      </c>
    </row>
    <row r="5906" spans="1:14" x14ac:dyDescent="0.35">
      <c r="A5906" s="6" t="s">
        <v>5976</v>
      </c>
      <c r="B5906" s="19" t="s">
        <v>45</v>
      </c>
      <c r="C5906" s="19">
        <v>3</v>
      </c>
      <c r="D5906" s="20">
        <v>45726</v>
      </c>
      <c r="E5906" s="19" t="s">
        <v>68</v>
      </c>
      <c r="F5906" s="19" t="s">
        <v>8364</v>
      </c>
      <c r="G5906" s="19" t="s">
        <v>15</v>
      </c>
      <c r="H5906" s="19" t="s">
        <v>8364</v>
      </c>
      <c r="I5906" s="19">
        <v>72</v>
      </c>
      <c r="J5906" s="19">
        <v>0</v>
      </c>
      <c r="K5906" s="19">
        <v>2</v>
      </c>
      <c r="L5906" s="19" t="s">
        <v>55</v>
      </c>
      <c r="M5906" s="21">
        <v>13</v>
      </c>
      <c r="N5906">
        <f t="shared" si="92"/>
        <v>1</v>
      </c>
    </row>
    <row r="5907" spans="1:14" x14ac:dyDescent="0.35">
      <c r="A5907" s="22" t="s">
        <v>5977</v>
      </c>
      <c r="B5907" s="23" t="s">
        <v>49</v>
      </c>
      <c r="C5907" s="23">
        <v>10</v>
      </c>
      <c r="D5907" s="24">
        <v>45960</v>
      </c>
      <c r="E5907" s="23" t="s">
        <v>68</v>
      </c>
      <c r="F5907" s="23" t="s">
        <v>14</v>
      </c>
      <c r="G5907" s="23" t="s">
        <v>21</v>
      </c>
      <c r="H5907" s="23" t="s">
        <v>28</v>
      </c>
      <c r="I5907" s="23">
        <v>48</v>
      </c>
      <c r="J5907" s="23">
        <v>0</v>
      </c>
      <c r="K5907" s="23">
        <v>4</v>
      </c>
      <c r="L5907" s="23" t="s">
        <v>17</v>
      </c>
      <c r="M5907" s="25">
        <v>9.1</v>
      </c>
      <c r="N5907">
        <f t="shared" si="92"/>
        <v>1</v>
      </c>
    </row>
    <row r="5908" spans="1:14" x14ac:dyDescent="0.35">
      <c r="A5908" s="6" t="s">
        <v>5978</v>
      </c>
      <c r="B5908" s="19" t="s">
        <v>69</v>
      </c>
      <c r="C5908" s="19"/>
      <c r="D5908" s="20"/>
      <c r="E5908" s="19" t="s">
        <v>20</v>
      </c>
      <c r="F5908" s="19" t="s">
        <v>14</v>
      </c>
      <c r="G5908" s="19" t="s">
        <v>27</v>
      </c>
      <c r="H5908" s="19" t="s">
        <v>16</v>
      </c>
      <c r="I5908" s="19">
        <v>8</v>
      </c>
      <c r="J5908" s="19">
        <v>0</v>
      </c>
      <c r="K5908" s="19">
        <v>3</v>
      </c>
      <c r="L5908" s="19" t="s">
        <v>44</v>
      </c>
      <c r="M5908" s="21">
        <v>17.399999999999999</v>
      </c>
      <c r="N5908">
        <f t="shared" si="92"/>
        <v>0</v>
      </c>
    </row>
    <row r="5909" spans="1:14" x14ac:dyDescent="0.35">
      <c r="A5909" s="22" t="s">
        <v>5979</v>
      </c>
      <c r="B5909" s="23" t="s">
        <v>51</v>
      </c>
      <c r="C5909" s="23">
        <v>5</v>
      </c>
      <c r="D5909" s="24">
        <v>45785</v>
      </c>
      <c r="E5909" s="23" t="s">
        <v>36</v>
      </c>
      <c r="F5909" s="23" t="s">
        <v>14</v>
      </c>
      <c r="G5909" s="23" t="s">
        <v>8364</v>
      </c>
      <c r="H5909" s="23" t="s">
        <v>16</v>
      </c>
      <c r="I5909" s="23">
        <v>48</v>
      </c>
      <c r="J5909" s="23">
        <v>0</v>
      </c>
      <c r="K5909" s="23">
        <v>2</v>
      </c>
      <c r="L5909" s="23" t="s">
        <v>8363</v>
      </c>
      <c r="M5909" s="25">
        <v>4</v>
      </c>
      <c r="N5909">
        <f t="shared" si="92"/>
        <v>1</v>
      </c>
    </row>
    <row r="5910" spans="1:14" x14ac:dyDescent="0.35">
      <c r="A5910" s="6" t="s">
        <v>5980</v>
      </c>
      <c r="B5910" s="19" t="s">
        <v>65</v>
      </c>
      <c r="C5910" s="19">
        <v>4</v>
      </c>
      <c r="D5910" s="20">
        <v>45768</v>
      </c>
      <c r="E5910" s="19" t="s">
        <v>68</v>
      </c>
      <c r="F5910" s="19" t="s">
        <v>43</v>
      </c>
      <c r="G5910" s="19" t="s">
        <v>31</v>
      </c>
      <c r="H5910" s="19" t="s">
        <v>16</v>
      </c>
      <c r="I5910" s="19">
        <v>4</v>
      </c>
      <c r="J5910" s="19">
        <v>0</v>
      </c>
      <c r="K5910" s="19"/>
      <c r="L5910" s="19" t="s">
        <v>44</v>
      </c>
      <c r="M5910" s="21">
        <v>8.1</v>
      </c>
      <c r="N5910">
        <f t="shared" si="92"/>
        <v>0</v>
      </c>
    </row>
    <row r="5911" spans="1:14" x14ac:dyDescent="0.35">
      <c r="A5911" s="22" t="s">
        <v>5981</v>
      </c>
      <c r="B5911" s="23" t="s">
        <v>126</v>
      </c>
      <c r="C5911" s="23">
        <v>3</v>
      </c>
      <c r="D5911" s="24">
        <v>45721</v>
      </c>
      <c r="E5911" s="23" t="s">
        <v>25</v>
      </c>
      <c r="F5911" s="23" t="s">
        <v>14</v>
      </c>
      <c r="G5911" s="23" t="s">
        <v>31</v>
      </c>
      <c r="H5911" s="23" t="s">
        <v>8364</v>
      </c>
      <c r="I5911" s="23">
        <v>4</v>
      </c>
      <c r="J5911" s="23">
        <v>2</v>
      </c>
      <c r="K5911" s="23">
        <v>5</v>
      </c>
      <c r="L5911" s="23" t="s">
        <v>62</v>
      </c>
      <c r="M5911" s="25">
        <v>7.3</v>
      </c>
      <c r="N5911">
        <f t="shared" si="92"/>
        <v>0</v>
      </c>
    </row>
    <row r="5912" spans="1:14" x14ac:dyDescent="0.35">
      <c r="A5912" s="6" t="s">
        <v>5982</v>
      </c>
      <c r="B5912" s="19" t="s">
        <v>253</v>
      </c>
      <c r="C5912" s="19">
        <v>7</v>
      </c>
      <c r="D5912" s="20">
        <v>45858</v>
      </c>
      <c r="E5912" s="19" t="s">
        <v>25</v>
      </c>
      <c r="F5912" s="19" t="s">
        <v>14</v>
      </c>
      <c r="G5912" s="19" t="s">
        <v>8364</v>
      </c>
      <c r="H5912" s="19" t="s">
        <v>8364</v>
      </c>
      <c r="I5912" s="19">
        <v>72</v>
      </c>
      <c r="J5912" s="19">
        <v>0</v>
      </c>
      <c r="K5912" s="19">
        <v>4</v>
      </c>
      <c r="L5912" s="19" t="s">
        <v>33</v>
      </c>
      <c r="M5912" s="21">
        <v>7</v>
      </c>
      <c r="N5912">
        <f t="shared" si="92"/>
        <v>1</v>
      </c>
    </row>
    <row r="5913" spans="1:14" x14ac:dyDescent="0.35">
      <c r="A5913" s="22" t="s">
        <v>5983</v>
      </c>
      <c r="B5913" s="23" t="s">
        <v>89</v>
      </c>
      <c r="C5913" s="23">
        <v>1</v>
      </c>
      <c r="D5913" s="24">
        <v>45682</v>
      </c>
      <c r="E5913" s="23" t="s">
        <v>8364</v>
      </c>
      <c r="F5913" s="23" t="s">
        <v>14</v>
      </c>
      <c r="G5913" s="23" t="s">
        <v>31</v>
      </c>
      <c r="H5913" s="23" t="s">
        <v>8364</v>
      </c>
      <c r="I5913" s="23">
        <v>8</v>
      </c>
      <c r="J5913" s="23">
        <v>0</v>
      </c>
      <c r="K5913" s="23"/>
      <c r="L5913" s="23" t="s">
        <v>8363</v>
      </c>
      <c r="M5913" s="25">
        <v>8.3000000000000007</v>
      </c>
      <c r="N5913">
        <f t="shared" si="92"/>
        <v>0</v>
      </c>
    </row>
    <row r="5914" spans="1:14" x14ac:dyDescent="0.35">
      <c r="A5914" s="6" t="s">
        <v>5984</v>
      </c>
      <c r="B5914" s="19" t="s">
        <v>47</v>
      </c>
      <c r="C5914" s="19">
        <v>12</v>
      </c>
      <c r="D5914" s="20">
        <v>46009</v>
      </c>
      <c r="E5914" s="19" t="s">
        <v>36</v>
      </c>
      <c r="F5914" s="19" t="s">
        <v>40</v>
      </c>
      <c r="G5914" s="19" t="s">
        <v>21</v>
      </c>
      <c r="H5914" s="19" t="s">
        <v>8364</v>
      </c>
      <c r="I5914" s="19">
        <v>24</v>
      </c>
      <c r="J5914" s="19">
        <v>0</v>
      </c>
      <c r="K5914" s="19"/>
      <c r="L5914" s="19" t="s">
        <v>8363</v>
      </c>
      <c r="M5914" s="21">
        <v>0.3</v>
      </c>
      <c r="N5914">
        <f t="shared" si="92"/>
        <v>1</v>
      </c>
    </row>
    <row r="5915" spans="1:14" x14ac:dyDescent="0.35">
      <c r="A5915" s="22" t="s">
        <v>5985</v>
      </c>
      <c r="B5915" s="23" t="s">
        <v>47</v>
      </c>
      <c r="C5915" s="23">
        <v>1</v>
      </c>
      <c r="D5915" s="24">
        <v>45667</v>
      </c>
      <c r="E5915" s="23" t="s">
        <v>8364</v>
      </c>
      <c r="F5915" s="23" t="s">
        <v>43</v>
      </c>
      <c r="G5915" s="23" t="s">
        <v>21</v>
      </c>
      <c r="H5915" s="23" t="s">
        <v>22</v>
      </c>
      <c r="I5915" s="23">
        <v>48</v>
      </c>
      <c r="J5915" s="23">
        <v>0</v>
      </c>
      <c r="K5915" s="23">
        <v>5</v>
      </c>
      <c r="L5915" s="23" t="s">
        <v>44</v>
      </c>
      <c r="M5915" s="25">
        <v>12.1</v>
      </c>
      <c r="N5915">
        <f t="shared" si="92"/>
        <v>1</v>
      </c>
    </row>
    <row r="5916" spans="1:14" x14ac:dyDescent="0.35">
      <c r="A5916" s="6" t="s">
        <v>5986</v>
      </c>
      <c r="B5916" s="19" t="s">
        <v>78</v>
      </c>
      <c r="C5916" s="19">
        <v>7</v>
      </c>
      <c r="D5916" s="20">
        <v>45857</v>
      </c>
      <c r="E5916" s="19" t="s">
        <v>20</v>
      </c>
      <c r="F5916" s="19" t="s">
        <v>40</v>
      </c>
      <c r="G5916" s="19" t="s">
        <v>31</v>
      </c>
      <c r="H5916" s="19" t="s">
        <v>22</v>
      </c>
      <c r="I5916" s="19">
        <v>4</v>
      </c>
      <c r="J5916" s="19">
        <v>0</v>
      </c>
      <c r="K5916" s="19">
        <v>4</v>
      </c>
      <c r="L5916" s="19" t="s">
        <v>75</v>
      </c>
      <c r="M5916" s="21">
        <v>18.8</v>
      </c>
      <c r="N5916">
        <f t="shared" si="92"/>
        <v>0</v>
      </c>
    </row>
    <row r="5917" spans="1:14" x14ac:dyDescent="0.35">
      <c r="A5917" s="22" t="s">
        <v>5987</v>
      </c>
      <c r="B5917" s="23" t="s">
        <v>39</v>
      </c>
      <c r="C5917" s="23">
        <v>11</v>
      </c>
      <c r="D5917" s="24">
        <v>45987</v>
      </c>
      <c r="E5917" s="23" t="s">
        <v>8364</v>
      </c>
      <c r="F5917" s="23" t="s">
        <v>59</v>
      </c>
      <c r="G5917" s="23" t="s">
        <v>31</v>
      </c>
      <c r="H5917" s="23" t="s">
        <v>32</v>
      </c>
      <c r="I5917" s="23">
        <v>24</v>
      </c>
      <c r="J5917" s="23">
        <v>0</v>
      </c>
      <c r="K5917" s="23">
        <v>5</v>
      </c>
      <c r="L5917" s="23" t="s">
        <v>33</v>
      </c>
      <c r="M5917" s="25">
        <v>6.4</v>
      </c>
      <c r="N5917">
        <f t="shared" si="92"/>
        <v>1</v>
      </c>
    </row>
    <row r="5918" spans="1:14" x14ac:dyDescent="0.35">
      <c r="A5918" s="6" t="s">
        <v>5988</v>
      </c>
      <c r="B5918" s="19" t="s">
        <v>57</v>
      </c>
      <c r="C5918" s="19">
        <v>5</v>
      </c>
      <c r="D5918" s="20">
        <v>45785</v>
      </c>
      <c r="E5918" s="19" t="s">
        <v>25</v>
      </c>
      <c r="F5918" s="19" t="s">
        <v>14</v>
      </c>
      <c r="G5918" s="19" t="s">
        <v>31</v>
      </c>
      <c r="H5918" s="19" t="s">
        <v>32</v>
      </c>
      <c r="I5918" s="19">
        <v>72</v>
      </c>
      <c r="J5918" s="19">
        <v>0</v>
      </c>
      <c r="K5918" s="19">
        <v>5</v>
      </c>
      <c r="L5918" s="19" t="s">
        <v>62</v>
      </c>
      <c r="M5918" s="21">
        <v>11</v>
      </c>
      <c r="N5918">
        <f t="shared" si="92"/>
        <v>1</v>
      </c>
    </row>
    <row r="5919" spans="1:14" x14ac:dyDescent="0.35">
      <c r="A5919" s="22" t="s">
        <v>5989</v>
      </c>
      <c r="B5919" s="23" t="s">
        <v>34</v>
      </c>
      <c r="C5919" s="23">
        <v>12</v>
      </c>
      <c r="D5919" s="24">
        <v>45992</v>
      </c>
      <c r="E5919" s="23" t="s">
        <v>13</v>
      </c>
      <c r="F5919" s="23" t="s">
        <v>14</v>
      </c>
      <c r="G5919" s="23" t="s">
        <v>27</v>
      </c>
      <c r="H5919" s="23" t="s">
        <v>28</v>
      </c>
      <c r="I5919" s="23">
        <v>24</v>
      </c>
      <c r="J5919" s="23">
        <v>0</v>
      </c>
      <c r="K5919" s="23">
        <v>4</v>
      </c>
      <c r="L5919" s="23" t="s">
        <v>8363</v>
      </c>
      <c r="M5919" s="25">
        <v>3.2</v>
      </c>
      <c r="N5919">
        <f t="shared" si="92"/>
        <v>1</v>
      </c>
    </row>
    <row r="5920" spans="1:14" x14ac:dyDescent="0.35">
      <c r="A5920" s="6" t="s">
        <v>5990</v>
      </c>
      <c r="B5920" s="19" t="s">
        <v>87</v>
      </c>
      <c r="C5920" s="19">
        <v>3</v>
      </c>
      <c r="D5920" s="20">
        <v>45741</v>
      </c>
      <c r="E5920" s="19" t="s">
        <v>68</v>
      </c>
      <c r="F5920" s="19" t="s">
        <v>26</v>
      </c>
      <c r="G5920" s="19" t="s">
        <v>27</v>
      </c>
      <c r="H5920" s="19" t="s">
        <v>22</v>
      </c>
      <c r="I5920" s="19">
        <v>24</v>
      </c>
      <c r="J5920" s="19">
        <v>0</v>
      </c>
      <c r="K5920" s="19">
        <v>2</v>
      </c>
      <c r="L5920" s="19" t="s">
        <v>38</v>
      </c>
      <c r="M5920" s="21">
        <v>14.3</v>
      </c>
      <c r="N5920">
        <f t="shared" si="92"/>
        <v>1</v>
      </c>
    </row>
    <row r="5921" spans="1:14" x14ac:dyDescent="0.35">
      <c r="A5921" s="22" t="s">
        <v>5991</v>
      </c>
      <c r="B5921" s="23" t="s">
        <v>146</v>
      </c>
      <c r="C5921" s="23">
        <v>8</v>
      </c>
      <c r="D5921" s="24">
        <v>45899</v>
      </c>
      <c r="E5921" s="23" t="s">
        <v>36</v>
      </c>
      <c r="F5921" s="23" t="s">
        <v>26</v>
      </c>
      <c r="G5921" s="23" t="s">
        <v>31</v>
      </c>
      <c r="H5921" s="23" t="s">
        <v>8364</v>
      </c>
      <c r="I5921" s="23">
        <v>72</v>
      </c>
      <c r="J5921" s="23">
        <v>0</v>
      </c>
      <c r="K5921" s="23">
        <v>5</v>
      </c>
      <c r="L5921" s="23" t="s">
        <v>44</v>
      </c>
      <c r="M5921" s="25">
        <v>2.8</v>
      </c>
      <c r="N5921">
        <f t="shared" si="92"/>
        <v>1</v>
      </c>
    </row>
    <row r="5922" spans="1:14" x14ac:dyDescent="0.35">
      <c r="A5922" s="6" t="s">
        <v>5992</v>
      </c>
      <c r="B5922" s="19" t="s">
        <v>146</v>
      </c>
      <c r="C5922" s="19">
        <v>12</v>
      </c>
      <c r="D5922" s="20">
        <v>46020</v>
      </c>
      <c r="E5922" s="19" t="s">
        <v>68</v>
      </c>
      <c r="F5922" s="19" t="s">
        <v>14</v>
      </c>
      <c r="G5922" s="19" t="s">
        <v>21</v>
      </c>
      <c r="H5922" s="19" t="s">
        <v>22</v>
      </c>
      <c r="I5922" s="19">
        <v>72</v>
      </c>
      <c r="J5922" s="19">
        <v>0</v>
      </c>
      <c r="K5922" s="19">
        <v>5</v>
      </c>
      <c r="L5922" s="19" t="s">
        <v>33</v>
      </c>
      <c r="M5922" s="21">
        <v>1.9</v>
      </c>
      <c r="N5922">
        <f t="shared" si="92"/>
        <v>1</v>
      </c>
    </row>
    <row r="5923" spans="1:14" x14ac:dyDescent="0.35">
      <c r="A5923" s="22" t="s">
        <v>5993</v>
      </c>
      <c r="B5923" s="23" t="s">
        <v>69</v>
      </c>
      <c r="C5923" s="23">
        <v>5</v>
      </c>
      <c r="D5923" s="24">
        <v>45803</v>
      </c>
      <c r="E5923" s="23" t="s">
        <v>36</v>
      </c>
      <c r="F5923" s="23" t="s">
        <v>14</v>
      </c>
      <c r="G5923" s="23" t="s">
        <v>15</v>
      </c>
      <c r="H5923" s="23" t="s">
        <v>8364</v>
      </c>
      <c r="I5923" s="23">
        <v>8</v>
      </c>
      <c r="J5923" s="23">
        <v>1</v>
      </c>
      <c r="K5923" s="23">
        <v>4</v>
      </c>
      <c r="L5923" s="23" t="s">
        <v>62</v>
      </c>
      <c r="M5923" s="25">
        <v>1.1000000000000001</v>
      </c>
      <c r="N5923">
        <f t="shared" si="92"/>
        <v>1</v>
      </c>
    </row>
    <row r="5924" spans="1:14" x14ac:dyDescent="0.35">
      <c r="A5924" s="6" t="s">
        <v>5994</v>
      </c>
      <c r="B5924" s="19" t="s">
        <v>18</v>
      </c>
      <c r="C5924" s="19">
        <v>12</v>
      </c>
      <c r="D5924" s="20">
        <v>46019</v>
      </c>
      <c r="E5924" s="19" t="s">
        <v>25</v>
      </c>
      <c r="F5924" s="19" t="s">
        <v>14</v>
      </c>
      <c r="G5924" s="19" t="s">
        <v>8364</v>
      </c>
      <c r="H5924" s="19" t="s">
        <v>22</v>
      </c>
      <c r="I5924" s="19">
        <v>4</v>
      </c>
      <c r="J5924" s="19">
        <v>2</v>
      </c>
      <c r="K5924" s="19"/>
      <c r="L5924" s="19" t="s">
        <v>75</v>
      </c>
      <c r="M5924" s="21">
        <v>10.4</v>
      </c>
      <c r="N5924">
        <f t="shared" si="92"/>
        <v>0</v>
      </c>
    </row>
    <row r="5925" spans="1:14" x14ac:dyDescent="0.35">
      <c r="A5925" s="22" t="s">
        <v>5995</v>
      </c>
      <c r="B5925" s="23" t="s">
        <v>104</v>
      </c>
      <c r="C5925" s="23"/>
      <c r="D5925" s="24"/>
      <c r="E5925" s="23" t="s">
        <v>13</v>
      </c>
      <c r="F5925" s="23" t="s">
        <v>37</v>
      </c>
      <c r="G5925" s="23" t="s">
        <v>27</v>
      </c>
      <c r="H5925" s="23" t="s">
        <v>28</v>
      </c>
      <c r="I5925" s="23">
        <v>72</v>
      </c>
      <c r="J5925" s="23">
        <v>0</v>
      </c>
      <c r="K5925" s="23">
        <v>5</v>
      </c>
      <c r="L5925" s="23" t="s">
        <v>38</v>
      </c>
      <c r="M5925" s="25">
        <v>17.5</v>
      </c>
      <c r="N5925">
        <f t="shared" si="92"/>
        <v>1</v>
      </c>
    </row>
    <row r="5926" spans="1:14" x14ac:dyDescent="0.35">
      <c r="A5926" s="6" t="s">
        <v>5996</v>
      </c>
      <c r="B5926" s="19" t="s">
        <v>51</v>
      </c>
      <c r="C5926" s="19">
        <v>6</v>
      </c>
      <c r="D5926" s="20">
        <v>45824</v>
      </c>
      <c r="E5926" s="19" t="s">
        <v>25</v>
      </c>
      <c r="F5926" s="19" t="s">
        <v>14</v>
      </c>
      <c r="G5926" s="19" t="s">
        <v>27</v>
      </c>
      <c r="H5926" s="19" t="s">
        <v>16</v>
      </c>
      <c r="I5926" s="19">
        <v>24</v>
      </c>
      <c r="J5926" s="19">
        <v>0</v>
      </c>
      <c r="K5926" s="19">
        <v>5</v>
      </c>
      <c r="L5926" s="19" t="s">
        <v>17</v>
      </c>
      <c r="M5926" s="21">
        <v>6.4</v>
      </c>
      <c r="N5926">
        <f t="shared" si="92"/>
        <v>1</v>
      </c>
    </row>
    <row r="5927" spans="1:14" x14ac:dyDescent="0.35">
      <c r="A5927" s="22" t="s">
        <v>5997</v>
      </c>
      <c r="B5927" s="23" t="s">
        <v>99</v>
      </c>
      <c r="C5927" s="23"/>
      <c r="D5927" s="24"/>
      <c r="E5927" s="23" t="s">
        <v>13</v>
      </c>
      <c r="F5927" s="23" t="s">
        <v>43</v>
      </c>
      <c r="G5927" s="23" t="s">
        <v>27</v>
      </c>
      <c r="H5927" s="23" t="s">
        <v>16</v>
      </c>
      <c r="I5927" s="23">
        <v>8</v>
      </c>
      <c r="J5927" s="23">
        <v>1</v>
      </c>
      <c r="K5927" s="23">
        <v>4</v>
      </c>
      <c r="L5927" s="23" t="s">
        <v>8363</v>
      </c>
      <c r="M5927" s="25">
        <v>0.7</v>
      </c>
      <c r="N5927">
        <f t="shared" si="92"/>
        <v>1</v>
      </c>
    </row>
    <row r="5928" spans="1:14" x14ac:dyDescent="0.35">
      <c r="A5928" s="6" t="s">
        <v>5998</v>
      </c>
      <c r="B5928" s="19" t="s">
        <v>49</v>
      </c>
      <c r="C5928" s="19">
        <v>6</v>
      </c>
      <c r="D5928" s="20">
        <v>45835</v>
      </c>
      <c r="E5928" s="19" t="s">
        <v>25</v>
      </c>
      <c r="F5928" s="19" t="s">
        <v>59</v>
      </c>
      <c r="G5928" s="19" t="s">
        <v>27</v>
      </c>
      <c r="H5928" s="19" t="s">
        <v>16</v>
      </c>
      <c r="I5928" s="19">
        <v>72</v>
      </c>
      <c r="J5928" s="19">
        <v>0</v>
      </c>
      <c r="K5928" s="19"/>
      <c r="L5928" s="19" t="s">
        <v>8363</v>
      </c>
      <c r="M5928" s="21">
        <v>5.9</v>
      </c>
      <c r="N5928">
        <f t="shared" si="92"/>
        <v>1</v>
      </c>
    </row>
    <row r="5929" spans="1:14" x14ac:dyDescent="0.35">
      <c r="A5929" s="22" t="s">
        <v>5999</v>
      </c>
      <c r="B5929" s="23" t="s">
        <v>92</v>
      </c>
      <c r="C5929" s="23">
        <v>2</v>
      </c>
      <c r="D5929" s="24">
        <v>45699</v>
      </c>
      <c r="E5929" s="23" t="s">
        <v>36</v>
      </c>
      <c r="F5929" s="23" t="s">
        <v>14</v>
      </c>
      <c r="G5929" s="23" t="s">
        <v>15</v>
      </c>
      <c r="H5929" s="23" t="s">
        <v>28</v>
      </c>
      <c r="I5929" s="23">
        <v>8</v>
      </c>
      <c r="J5929" s="23">
        <v>0</v>
      </c>
      <c r="K5929" s="23">
        <v>4</v>
      </c>
      <c r="L5929" s="23" t="s">
        <v>44</v>
      </c>
      <c r="M5929" s="25">
        <v>8.1999999999999993</v>
      </c>
      <c r="N5929">
        <f t="shared" si="92"/>
        <v>0</v>
      </c>
    </row>
    <row r="5930" spans="1:14" x14ac:dyDescent="0.35">
      <c r="A5930" s="6" t="s">
        <v>6000</v>
      </c>
      <c r="B5930" s="19" t="s">
        <v>47</v>
      </c>
      <c r="C5930" s="19">
        <v>11</v>
      </c>
      <c r="D5930" s="20">
        <v>45962</v>
      </c>
      <c r="E5930" s="19" t="s">
        <v>25</v>
      </c>
      <c r="F5930" s="19" t="s">
        <v>14</v>
      </c>
      <c r="G5930" s="19" t="s">
        <v>15</v>
      </c>
      <c r="H5930" s="19" t="s">
        <v>28</v>
      </c>
      <c r="I5930" s="19">
        <v>4</v>
      </c>
      <c r="J5930" s="19">
        <v>0</v>
      </c>
      <c r="K5930" s="19">
        <v>3</v>
      </c>
      <c r="L5930" s="19" t="s">
        <v>62</v>
      </c>
      <c r="M5930" s="21">
        <v>12.7</v>
      </c>
      <c r="N5930">
        <f t="shared" si="92"/>
        <v>0</v>
      </c>
    </row>
    <row r="5931" spans="1:14" x14ac:dyDescent="0.35">
      <c r="A5931" s="22" t="s">
        <v>6001</v>
      </c>
      <c r="B5931" s="23" t="s">
        <v>130</v>
      </c>
      <c r="C5931" s="23">
        <v>6</v>
      </c>
      <c r="D5931" s="24">
        <v>45824</v>
      </c>
      <c r="E5931" s="23" t="s">
        <v>13</v>
      </c>
      <c r="F5931" s="23" t="s">
        <v>14</v>
      </c>
      <c r="G5931" s="23" t="s">
        <v>27</v>
      </c>
      <c r="H5931" s="23" t="s">
        <v>8364</v>
      </c>
      <c r="I5931" s="23">
        <v>48</v>
      </c>
      <c r="J5931" s="23">
        <v>0</v>
      </c>
      <c r="K5931" s="23">
        <v>4</v>
      </c>
      <c r="L5931" s="23" t="s">
        <v>8363</v>
      </c>
      <c r="M5931" s="25">
        <v>11.3</v>
      </c>
      <c r="N5931">
        <f t="shared" si="92"/>
        <v>1</v>
      </c>
    </row>
    <row r="5932" spans="1:14" x14ac:dyDescent="0.35">
      <c r="A5932" s="6" t="s">
        <v>6002</v>
      </c>
      <c r="B5932" s="19" t="s">
        <v>85</v>
      </c>
      <c r="C5932" s="19">
        <v>1</v>
      </c>
      <c r="D5932" s="20">
        <v>45676</v>
      </c>
      <c r="E5932" s="19" t="s">
        <v>36</v>
      </c>
      <c r="F5932" s="19" t="s">
        <v>43</v>
      </c>
      <c r="G5932" s="19" t="s">
        <v>31</v>
      </c>
      <c r="H5932" s="19" t="s">
        <v>32</v>
      </c>
      <c r="I5932" s="19">
        <v>48</v>
      </c>
      <c r="J5932" s="19">
        <v>0</v>
      </c>
      <c r="K5932" s="19">
        <v>4</v>
      </c>
      <c r="L5932" s="19" t="s">
        <v>33</v>
      </c>
      <c r="M5932" s="21">
        <v>20.3</v>
      </c>
      <c r="N5932">
        <f t="shared" si="92"/>
        <v>1</v>
      </c>
    </row>
    <row r="5933" spans="1:14" x14ac:dyDescent="0.35">
      <c r="A5933" s="22" t="s">
        <v>6003</v>
      </c>
      <c r="B5933" s="23" t="s">
        <v>108</v>
      </c>
      <c r="C5933" s="23">
        <v>1</v>
      </c>
      <c r="D5933" s="24">
        <v>45688</v>
      </c>
      <c r="E5933" s="23" t="s">
        <v>13</v>
      </c>
      <c r="F5933" s="23" t="s">
        <v>37</v>
      </c>
      <c r="G5933" s="23" t="s">
        <v>31</v>
      </c>
      <c r="H5933" s="23" t="s">
        <v>8364</v>
      </c>
      <c r="I5933" s="23">
        <v>48</v>
      </c>
      <c r="J5933" s="23">
        <v>0</v>
      </c>
      <c r="K5933" s="23"/>
      <c r="L5933" s="23" t="s">
        <v>33</v>
      </c>
      <c r="M5933" s="25">
        <v>14.5</v>
      </c>
      <c r="N5933">
        <f t="shared" si="92"/>
        <v>1</v>
      </c>
    </row>
    <row r="5934" spans="1:14" x14ac:dyDescent="0.35">
      <c r="A5934" s="6" t="s">
        <v>6004</v>
      </c>
      <c r="B5934" s="19" t="s">
        <v>87</v>
      </c>
      <c r="C5934" s="19">
        <v>10</v>
      </c>
      <c r="D5934" s="20">
        <v>45942</v>
      </c>
      <c r="E5934" s="19" t="s">
        <v>8364</v>
      </c>
      <c r="F5934" s="19" t="s">
        <v>43</v>
      </c>
      <c r="G5934" s="19" t="s">
        <v>15</v>
      </c>
      <c r="H5934" s="19" t="s">
        <v>32</v>
      </c>
      <c r="I5934" s="19">
        <v>24</v>
      </c>
      <c r="J5934" s="19">
        <v>0</v>
      </c>
      <c r="K5934" s="19">
        <v>5</v>
      </c>
      <c r="L5934" s="19" t="s">
        <v>44</v>
      </c>
      <c r="M5934" s="21">
        <v>18</v>
      </c>
      <c r="N5934">
        <f t="shared" si="92"/>
        <v>1</v>
      </c>
    </row>
    <row r="5935" spans="1:14" x14ac:dyDescent="0.35">
      <c r="A5935" s="22" t="s">
        <v>6005</v>
      </c>
      <c r="B5935" s="23" t="s">
        <v>146</v>
      </c>
      <c r="C5935" s="23">
        <v>7</v>
      </c>
      <c r="D5935" s="24">
        <v>45867</v>
      </c>
      <c r="E5935" s="23" t="s">
        <v>13</v>
      </c>
      <c r="F5935" s="23" t="s">
        <v>14</v>
      </c>
      <c r="G5935" s="23" t="s">
        <v>8364</v>
      </c>
      <c r="H5935" s="23" t="s">
        <v>28</v>
      </c>
      <c r="I5935" s="23">
        <v>24</v>
      </c>
      <c r="J5935" s="23">
        <v>3</v>
      </c>
      <c r="K5935" s="23">
        <v>5</v>
      </c>
      <c r="L5935" s="23" t="s">
        <v>33</v>
      </c>
      <c r="M5935" s="25">
        <v>30.3</v>
      </c>
      <c r="N5935">
        <f t="shared" si="92"/>
        <v>0</v>
      </c>
    </row>
    <row r="5936" spans="1:14" x14ac:dyDescent="0.35">
      <c r="A5936" s="6" t="s">
        <v>6006</v>
      </c>
      <c r="B5936" s="19" t="s">
        <v>47</v>
      </c>
      <c r="C5936" s="19">
        <v>4</v>
      </c>
      <c r="D5936" s="20">
        <v>45756</v>
      </c>
      <c r="E5936" s="19" t="s">
        <v>36</v>
      </c>
      <c r="F5936" s="19" t="s">
        <v>14</v>
      </c>
      <c r="G5936" s="19" t="s">
        <v>27</v>
      </c>
      <c r="H5936" s="19" t="s">
        <v>22</v>
      </c>
      <c r="I5936" s="19">
        <v>8</v>
      </c>
      <c r="J5936" s="19">
        <v>0</v>
      </c>
      <c r="K5936" s="19">
        <v>5</v>
      </c>
      <c r="L5936" s="19" t="s">
        <v>55</v>
      </c>
      <c r="M5936" s="21">
        <v>21.8</v>
      </c>
      <c r="N5936">
        <f t="shared" si="92"/>
        <v>0</v>
      </c>
    </row>
    <row r="5937" spans="1:14" x14ac:dyDescent="0.35">
      <c r="A5937" s="22" t="s">
        <v>6007</v>
      </c>
      <c r="B5937" s="23" t="s">
        <v>65</v>
      </c>
      <c r="C5937" s="23">
        <v>10</v>
      </c>
      <c r="D5937" s="24">
        <v>45937</v>
      </c>
      <c r="E5937" s="23" t="s">
        <v>25</v>
      </c>
      <c r="F5937" s="23" t="s">
        <v>14</v>
      </c>
      <c r="G5937" s="23" t="s">
        <v>15</v>
      </c>
      <c r="H5937" s="23" t="s">
        <v>22</v>
      </c>
      <c r="I5937" s="23">
        <v>48</v>
      </c>
      <c r="J5937" s="23">
        <v>0</v>
      </c>
      <c r="K5937" s="23"/>
      <c r="L5937" s="23" t="s">
        <v>44</v>
      </c>
      <c r="M5937" s="25">
        <v>19.100000000000001</v>
      </c>
      <c r="N5937">
        <f t="shared" si="92"/>
        <v>1</v>
      </c>
    </row>
    <row r="5938" spans="1:14" x14ac:dyDescent="0.35">
      <c r="A5938" s="6" t="s">
        <v>6008</v>
      </c>
      <c r="B5938" s="19" t="s">
        <v>99</v>
      </c>
      <c r="C5938" s="19">
        <v>9</v>
      </c>
      <c r="D5938" s="20">
        <v>45916</v>
      </c>
      <c r="E5938" s="19" t="s">
        <v>8364</v>
      </c>
      <c r="F5938" s="19" t="s">
        <v>26</v>
      </c>
      <c r="G5938" s="19" t="s">
        <v>27</v>
      </c>
      <c r="H5938" s="19" t="s">
        <v>28</v>
      </c>
      <c r="I5938" s="19">
        <v>4</v>
      </c>
      <c r="J5938" s="19">
        <v>0</v>
      </c>
      <c r="K5938" s="19">
        <v>1</v>
      </c>
      <c r="L5938" s="19" t="s">
        <v>75</v>
      </c>
      <c r="M5938" s="21">
        <v>76</v>
      </c>
      <c r="N5938">
        <f t="shared" si="92"/>
        <v>0</v>
      </c>
    </row>
    <row r="5939" spans="1:14" x14ac:dyDescent="0.35">
      <c r="A5939" s="22" t="s">
        <v>6009</v>
      </c>
      <c r="B5939" s="23" t="s">
        <v>78</v>
      </c>
      <c r="C5939" s="23">
        <v>9</v>
      </c>
      <c r="D5939" s="24">
        <v>45906</v>
      </c>
      <c r="E5939" s="23" t="s">
        <v>20</v>
      </c>
      <c r="F5939" s="23" t="s">
        <v>26</v>
      </c>
      <c r="G5939" s="23" t="s">
        <v>31</v>
      </c>
      <c r="H5939" s="23" t="s">
        <v>8364</v>
      </c>
      <c r="I5939" s="23">
        <v>4</v>
      </c>
      <c r="J5939" s="23">
        <v>0</v>
      </c>
      <c r="K5939" s="23">
        <v>5</v>
      </c>
      <c r="L5939" s="23" t="s">
        <v>8363</v>
      </c>
      <c r="M5939" s="25">
        <v>4.9000000000000004</v>
      </c>
      <c r="N5939">
        <f t="shared" si="92"/>
        <v>0</v>
      </c>
    </row>
    <row r="5940" spans="1:14" x14ac:dyDescent="0.35">
      <c r="A5940" s="6" t="s">
        <v>6010</v>
      </c>
      <c r="B5940" s="19" t="s">
        <v>72</v>
      </c>
      <c r="C5940" s="19">
        <v>8</v>
      </c>
      <c r="D5940" s="20">
        <v>45877</v>
      </c>
      <c r="E5940" s="19" t="s">
        <v>25</v>
      </c>
      <c r="F5940" s="19" t="s">
        <v>40</v>
      </c>
      <c r="G5940" s="19" t="s">
        <v>8364</v>
      </c>
      <c r="H5940" s="19" t="s">
        <v>22</v>
      </c>
      <c r="I5940" s="19">
        <v>48</v>
      </c>
      <c r="J5940" s="19">
        <v>0</v>
      </c>
      <c r="K5940" s="19">
        <v>4</v>
      </c>
      <c r="L5940" s="19" t="s">
        <v>44</v>
      </c>
      <c r="M5940" s="21">
        <v>4.3</v>
      </c>
      <c r="N5940">
        <f t="shared" si="92"/>
        <v>1</v>
      </c>
    </row>
    <row r="5941" spans="1:14" x14ac:dyDescent="0.35">
      <c r="A5941" s="22" t="s">
        <v>6011</v>
      </c>
      <c r="B5941" s="23" t="s">
        <v>99</v>
      </c>
      <c r="C5941" s="23">
        <v>12</v>
      </c>
      <c r="D5941" s="24">
        <v>45992</v>
      </c>
      <c r="E5941" s="23" t="s">
        <v>20</v>
      </c>
      <c r="F5941" s="23" t="s">
        <v>40</v>
      </c>
      <c r="G5941" s="23" t="s">
        <v>31</v>
      </c>
      <c r="H5941" s="23" t="s">
        <v>32</v>
      </c>
      <c r="I5941" s="23">
        <v>72</v>
      </c>
      <c r="J5941" s="23">
        <v>0</v>
      </c>
      <c r="K5941" s="23">
        <v>5</v>
      </c>
      <c r="L5941" s="23" t="s">
        <v>38</v>
      </c>
      <c r="M5941" s="25">
        <v>2.6</v>
      </c>
      <c r="N5941">
        <f t="shared" si="92"/>
        <v>1</v>
      </c>
    </row>
    <row r="5942" spans="1:14" x14ac:dyDescent="0.35">
      <c r="A5942" s="6" t="s">
        <v>6012</v>
      </c>
      <c r="B5942" s="19" t="s">
        <v>29</v>
      </c>
      <c r="C5942" s="19">
        <v>10</v>
      </c>
      <c r="D5942" s="20">
        <v>45943</v>
      </c>
      <c r="E5942" s="19" t="s">
        <v>68</v>
      </c>
      <c r="F5942" s="19" t="s">
        <v>43</v>
      </c>
      <c r="G5942" s="19" t="s">
        <v>27</v>
      </c>
      <c r="H5942" s="19" t="s">
        <v>16</v>
      </c>
      <c r="I5942" s="19">
        <v>24</v>
      </c>
      <c r="J5942" s="19">
        <v>0</v>
      </c>
      <c r="K5942" s="19">
        <v>5</v>
      </c>
      <c r="L5942" s="19" t="s">
        <v>17</v>
      </c>
      <c r="M5942" s="21">
        <v>16.899999999999999</v>
      </c>
      <c r="N5942">
        <f t="shared" si="92"/>
        <v>1</v>
      </c>
    </row>
    <row r="5943" spans="1:14" x14ac:dyDescent="0.35">
      <c r="A5943" s="22" t="s">
        <v>6013</v>
      </c>
      <c r="B5943" s="23" t="s">
        <v>89</v>
      </c>
      <c r="C5943" s="23">
        <v>12</v>
      </c>
      <c r="D5943" s="24">
        <v>46015</v>
      </c>
      <c r="E5943" s="23" t="s">
        <v>13</v>
      </c>
      <c r="F5943" s="23" t="s">
        <v>14</v>
      </c>
      <c r="G5943" s="23" t="s">
        <v>31</v>
      </c>
      <c r="H5943" s="23" t="s">
        <v>32</v>
      </c>
      <c r="I5943" s="23">
        <v>24</v>
      </c>
      <c r="J5943" s="23">
        <v>0</v>
      </c>
      <c r="K5943" s="23">
        <v>1</v>
      </c>
      <c r="L5943" s="23" t="s">
        <v>8363</v>
      </c>
      <c r="M5943" s="25">
        <v>9.8000000000000007</v>
      </c>
      <c r="N5943">
        <f t="shared" si="92"/>
        <v>1</v>
      </c>
    </row>
    <row r="5944" spans="1:14" x14ac:dyDescent="0.35">
      <c r="A5944" s="6" t="s">
        <v>6014</v>
      </c>
      <c r="B5944" s="19" t="s">
        <v>89</v>
      </c>
      <c r="C5944" s="19">
        <v>1</v>
      </c>
      <c r="D5944" s="20">
        <v>45682</v>
      </c>
      <c r="E5944" s="19" t="s">
        <v>8364</v>
      </c>
      <c r="F5944" s="19" t="s">
        <v>14</v>
      </c>
      <c r="G5944" s="19" t="s">
        <v>21</v>
      </c>
      <c r="H5944" s="19" t="s">
        <v>22</v>
      </c>
      <c r="I5944" s="19">
        <v>24</v>
      </c>
      <c r="J5944" s="19">
        <v>0</v>
      </c>
      <c r="K5944" s="19">
        <v>4</v>
      </c>
      <c r="L5944" s="19" t="s">
        <v>33</v>
      </c>
      <c r="M5944" s="21">
        <v>8.1999999999999993</v>
      </c>
      <c r="N5944">
        <f t="shared" si="92"/>
        <v>1</v>
      </c>
    </row>
    <row r="5945" spans="1:14" x14ac:dyDescent="0.35">
      <c r="A5945" s="22" t="s">
        <v>6015</v>
      </c>
      <c r="B5945" s="23" t="s">
        <v>41</v>
      </c>
      <c r="C5945" s="23">
        <v>5</v>
      </c>
      <c r="D5945" s="24">
        <v>45786</v>
      </c>
      <c r="E5945" s="23" t="s">
        <v>8364</v>
      </c>
      <c r="F5945" s="23" t="s">
        <v>14</v>
      </c>
      <c r="G5945" s="23" t="s">
        <v>27</v>
      </c>
      <c r="H5945" s="23" t="s">
        <v>22</v>
      </c>
      <c r="I5945" s="23">
        <v>4</v>
      </c>
      <c r="J5945" s="23">
        <v>1</v>
      </c>
      <c r="K5945" s="23"/>
      <c r="L5945" s="23" t="s">
        <v>75</v>
      </c>
      <c r="M5945" s="25">
        <v>11</v>
      </c>
      <c r="N5945">
        <f t="shared" si="92"/>
        <v>0</v>
      </c>
    </row>
    <row r="5946" spans="1:14" x14ac:dyDescent="0.35">
      <c r="A5946" s="6" t="s">
        <v>6016</v>
      </c>
      <c r="B5946" s="19" t="s">
        <v>99</v>
      </c>
      <c r="C5946" s="19">
        <v>4</v>
      </c>
      <c r="D5946" s="20">
        <v>45759</v>
      </c>
      <c r="E5946" s="19" t="s">
        <v>25</v>
      </c>
      <c r="F5946" s="19" t="s">
        <v>26</v>
      </c>
      <c r="G5946" s="19" t="s">
        <v>31</v>
      </c>
      <c r="H5946" s="19" t="s">
        <v>8364</v>
      </c>
      <c r="I5946" s="19">
        <v>48</v>
      </c>
      <c r="J5946" s="19">
        <v>0</v>
      </c>
      <c r="K5946" s="19">
        <v>5</v>
      </c>
      <c r="L5946" s="19" t="s">
        <v>38</v>
      </c>
      <c r="M5946" s="21">
        <v>13.4</v>
      </c>
      <c r="N5946">
        <f t="shared" si="92"/>
        <v>1</v>
      </c>
    </row>
    <row r="5947" spans="1:14" x14ac:dyDescent="0.35">
      <c r="A5947" s="22" t="s">
        <v>6017</v>
      </c>
      <c r="B5947" s="23" t="s">
        <v>18</v>
      </c>
      <c r="C5947" s="23">
        <v>7</v>
      </c>
      <c r="D5947" s="24">
        <v>45850</v>
      </c>
      <c r="E5947" s="23" t="s">
        <v>36</v>
      </c>
      <c r="F5947" s="23" t="s">
        <v>43</v>
      </c>
      <c r="G5947" s="23" t="s">
        <v>15</v>
      </c>
      <c r="H5947" s="23" t="s">
        <v>28</v>
      </c>
      <c r="I5947" s="23">
        <v>8</v>
      </c>
      <c r="J5947" s="23">
        <v>0</v>
      </c>
      <c r="K5947" s="23">
        <v>3</v>
      </c>
      <c r="L5947" s="23" t="s">
        <v>55</v>
      </c>
      <c r="M5947" s="25">
        <v>25.9</v>
      </c>
      <c r="N5947">
        <f t="shared" si="92"/>
        <v>0</v>
      </c>
    </row>
    <row r="5948" spans="1:14" x14ac:dyDescent="0.35">
      <c r="A5948" s="6" t="s">
        <v>6018</v>
      </c>
      <c r="B5948" s="19" t="s">
        <v>87</v>
      </c>
      <c r="C5948" s="19">
        <v>3</v>
      </c>
      <c r="D5948" s="20">
        <v>45746</v>
      </c>
      <c r="E5948" s="19" t="s">
        <v>20</v>
      </c>
      <c r="F5948" s="19" t="s">
        <v>37</v>
      </c>
      <c r="G5948" s="19" t="s">
        <v>21</v>
      </c>
      <c r="H5948" s="19" t="s">
        <v>16</v>
      </c>
      <c r="I5948" s="19">
        <v>24</v>
      </c>
      <c r="J5948" s="19">
        <v>0</v>
      </c>
      <c r="K5948" s="19">
        <v>5</v>
      </c>
      <c r="L5948" s="19" t="s">
        <v>38</v>
      </c>
      <c r="M5948" s="21">
        <v>10.8</v>
      </c>
      <c r="N5948">
        <f t="shared" si="92"/>
        <v>1</v>
      </c>
    </row>
    <row r="5949" spans="1:14" x14ac:dyDescent="0.35">
      <c r="A5949" s="22" t="s">
        <v>6019</v>
      </c>
      <c r="B5949" s="23" t="s">
        <v>18</v>
      </c>
      <c r="C5949" s="23">
        <v>3</v>
      </c>
      <c r="D5949" s="24">
        <v>45741</v>
      </c>
      <c r="E5949" s="23" t="s">
        <v>8364</v>
      </c>
      <c r="F5949" s="23" t="s">
        <v>37</v>
      </c>
      <c r="G5949" s="23" t="s">
        <v>21</v>
      </c>
      <c r="H5949" s="23" t="s">
        <v>28</v>
      </c>
      <c r="I5949" s="23">
        <v>24</v>
      </c>
      <c r="J5949" s="23">
        <v>2</v>
      </c>
      <c r="K5949" s="23">
        <v>5</v>
      </c>
      <c r="L5949" s="23" t="s">
        <v>44</v>
      </c>
      <c r="M5949" s="25">
        <v>21.9</v>
      </c>
      <c r="N5949">
        <f t="shared" si="92"/>
        <v>1</v>
      </c>
    </row>
    <row r="5950" spans="1:14" x14ac:dyDescent="0.35">
      <c r="A5950" s="6" t="s">
        <v>6020</v>
      </c>
      <c r="B5950" s="19" t="s">
        <v>108</v>
      </c>
      <c r="C5950" s="19">
        <v>11</v>
      </c>
      <c r="D5950" s="20">
        <v>45972</v>
      </c>
      <c r="E5950" s="19" t="s">
        <v>13</v>
      </c>
      <c r="F5950" s="19" t="s">
        <v>14</v>
      </c>
      <c r="G5950" s="19" t="s">
        <v>31</v>
      </c>
      <c r="H5950" s="19" t="s">
        <v>8364</v>
      </c>
      <c r="I5950" s="19">
        <v>24</v>
      </c>
      <c r="J5950" s="19">
        <v>0</v>
      </c>
      <c r="K5950" s="19">
        <v>4</v>
      </c>
      <c r="L5950" s="19" t="s">
        <v>33</v>
      </c>
      <c r="M5950" s="21"/>
      <c r="N5950">
        <f t="shared" si="92"/>
        <v>1</v>
      </c>
    </row>
    <row r="5951" spans="1:14" x14ac:dyDescent="0.35">
      <c r="A5951" s="22" t="s">
        <v>6021</v>
      </c>
      <c r="B5951" s="23" t="s">
        <v>181</v>
      </c>
      <c r="C5951" s="23">
        <v>8</v>
      </c>
      <c r="D5951" s="24">
        <v>45892</v>
      </c>
      <c r="E5951" s="23" t="s">
        <v>20</v>
      </c>
      <c r="F5951" s="23" t="s">
        <v>14</v>
      </c>
      <c r="G5951" s="23" t="s">
        <v>27</v>
      </c>
      <c r="H5951" s="23" t="s">
        <v>22</v>
      </c>
      <c r="I5951" s="23">
        <v>72</v>
      </c>
      <c r="J5951" s="23">
        <v>1</v>
      </c>
      <c r="K5951" s="23">
        <v>4</v>
      </c>
      <c r="L5951" s="23" t="s">
        <v>17</v>
      </c>
      <c r="M5951" s="25">
        <v>14</v>
      </c>
      <c r="N5951">
        <f t="shared" si="92"/>
        <v>1</v>
      </c>
    </row>
    <row r="5952" spans="1:14" x14ac:dyDescent="0.35">
      <c r="A5952" s="6" t="s">
        <v>6022</v>
      </c>
      <c r="B5952" s="19" t="s">
        <v>65</v>
      </c>
      <c r="C5952" s="19">
        <v>9</v>
      </c>
      <c r="D5952" s="20">
        <v>45915</v>
      </c>
      <c r="E5952" s="19" t="s">
        <v>20</v>
      </c>
      <c r="F5952" s="19" t="s">
        <v>43</v>
      </c>
      <c r="G5952" s="19" t="s">
        <v>21</v>
      </c>
      <c r="H5952" s="19" t="s">
        <v>32</v>
      </c>
      <c r="I5952" s="19">
        <v>48</v>
      </c>
      <c r="J5952" s="19">
        <v>0</v>
      </c>
      <c r="K5952" s="19">
        <v>5</v>
      </c>
      <c r="L5952" s="19" t="s">
        <v>44</v>
      </c>
      <c r="M5952" s="21">
        <v>8.9</v>
      </c>
      <c r="N5952">
        <f t="shared" si="92"/>
        <v>1</v>
      </c>
    </row>
    <row r="5953" spans="1:14" x14ac:dyDescent="0.35">
      <c r="A5953" s="22" t="s">
        <v>6023</v>
      </c>
      <c r="B5953" s="23" t="s">
        <v>236</v>
      </c>
      <c r="C5953" s="23"/>
      <c r="D5953" s="24"/>
      <c r="E5953" s="23" t="s">
        <v>8364</v>
      </c>
      <c r="F5953" s="23" t="s">
        <v>43</v>
      </c>
      <c r="G5953" s="23" t="s">
        <v>8364</v>
      </c>
      <c r="H5953" s="23" t="s">
        <v>28</v>
      </c>
      <c r="I5953" s="23">
        <v>72</v>
      </c>
      <c r="J5953" s="23">
        <v>1</v>
      </c>
      <c r="K5953" s="23">
        <v>5</v>
      </c>
      <c r="L5953" s="23" t="s">
        <v>44</v>
      </c>
      <c r="M5953" s="25">
        <v>17</v>
      </c>
      <c r="N5953">
        <f t="shared" si="92"/>
        <v>1</v>
      </c>
    </row>
    <row r="5954" spans="1:14" x14ac:dyDescent="0.35">
      <c r="A5954" s="6" t="s">
        <v>6024</v>
      </c>
      <c r="B5954" s="19" t="s">
        <v>65</v>
      </c>
      <c r="C5954" s="19">
        <v>8</v>
      </c>
      <c r="D5954" s="20">
        <v>45898</v>
      </c>
      <c r="E5954" s="19" t="s">
        <v>13</v>
      </c>
      <c r="F5954" s="19" t="s">
        <v>37</v>
      </c>
      <c r="G5954" s="19" t="s">
        <v>8364</v>
      </c>
      <c r="H5954" s="19" t="s">
        <v>32</v>
      </c>
      <c r="I5954" s="19">
        <v>4</v>
      </c>
      <c r="J5954" s="19">
        <v>0</v>
      </c>
      <c r="K5954" s="19">
        <v>4</v>
      </c>
      <c r="L5954" s="19" t="s">
        <v>8363</v>
      </c>
      <c r="M5954" s="21"/>
      <c r="N5954">
        <f t="shared" si="92"/>
        <v>1</v>
      </c>
    </row>
    <row r="5955" spans="1:14" x14ac:dyDescent="0.35">
      <c r="A5955" s="22" t="s">
        <v>6025</v>
      </c>
      <c r="B5955" s="23" t="s">
        <v>41</v>
      </c>
      <c r="C5955" s="23">
        <v>1</v>
      </c>
      <c r="D5955" s="24">
        <v>45665</v>
      </c>
      <c r="E5955" s="23" t="s">
        <v>36</v>
      </c>
      <c r="F5955" s="23" t="s">
        <v>26</v>
      </c>
      <c r="G5955" s="23" t="s">
        <v>21</v>
      </c>
      <c r="H5955" s="23" t="s">
        <v>32</v>
      </c>
      <c r="I5955" s="23">
        <v>4</v>
      </c>
      <c r="J5955" s="23">
        <v>0</v>
      </c>
      <c r="K5955" s="23">
        <v>4</v>
      </c>
      <c r="L5955" s="23" t="s">
        <v>62</v>
      </c>
      <c r="M5955" s="25">
        <v>8.6</v>
      </c>
      <c r="N5955">
        <f t="shared" ref="N5955:N6001" si="93">IF(M5955 &lt;= I5955, 1, 0)</f>
        <v>0</v>
      </c>
    </row>
    <row r="5956" spans="1:14" x14ac:dyDescent="0.35">
      <c r="A5956" s="6" t="s">
        <v>6026</v>
      </c>
      <c r="B5956" s="19" t="s">
        <v>65</v>
      </c>
      <c r="C5956" s="19">
        <v>9</v>
      </c>
      <c r="D5956" s="20">
        <v>45917</v>
      </c>
      <c r="E5956" s="19" t="s">
        <v>68</v>
      </c>
      <c r="F5956" s="19" t="s">
        <v>14</v>
      </c>
      <c r="G5956" s="19" t="s">
        <v>27</v>
      </c>
      <c r="H5956" s="19" t="s">
        <v>22</v>
      </c>
      <c r="I5956" s="19">
        <v>4</v>
      </c>
      <c r="J5956" s="19">
        <v>1</v>
      </c>
      <c r="K5956" s="19">
        <v>3</v>
      </c>
      <c r="L5956" s="19" t="s">
        <v>8363</v>
      </c>
      <c r="M5956" s="21">
        <v>5.0999999999999996</v>
      </c>
      <c r="N5956">
        <f t="shared" si="93"/>
        <v>0</v>
      </c>
    </row>
    <row r="5957" spans="1:14" x14ac:dyDescent="0.35">
      <c r="A5957" s="22" t="s">
        <v>6027</v>
      </c>
      <c r="B5957" s="23" t="s">
        <v>253</v>
      </c>
      <c r="C5957" s="23">
        <v>8</v>
      </c>
      <c r="D5957" s="24">
        <v>45891</v>
      </c>
      <c r="E5957" s="23" t="s">
        <v>25</v>
      </c>
      <c r="F5957" s="23" t="s">
        <v>37</v>
      </c>
      <c r="G5957" s="23" t="s">
        <v>31</v>
      </c>
      <c r="H5957" s="23" t="s">
        <v>32</v>
      </c>
      <c r="I5957" s="23">
        <v>72</v>
      </c>
      <c r="J5957" s="23">
        <v>0</v>
      </c>
      <c r="K5957" s="23">
        <v>4</v>
      </c>
      <c r="L5957" s="23" t="s">
        <v>8363</v>
      </c>
      <c r="M5957" s="25">
        <v>18.8</v>
      </c>
      <c r="N5957">
        <f t="shared" si="93"/>
        <v>1</v>
      </c>
    </row>
    <row r="5958" spans="1:14" x14ac:dyDescent="0.35">
      <c r="A5958" s="6" t="s">
        <v>6028</v>
      </c>
      <c r="B5958" s="19" t="s">
        <v>139</v>
      </c>
      <c r="C5958" s="19">
        <v>7</v>
      </c>
      <c r="D5958" s="20">
        <v>45864</v>
      </c>
      <c r="E5958" s="19" t="s">
        <v>25</v>
      </c>
      <c r="F5958" s="19" t="s">
        <v>43</v>
      </c>
      <c r="G5958" s="19" t="s">
        <v>31</v>
      </c>
      <c r="H5958" s="19" t="s">
        <v>28</v>
      </c>
      <c r="I5958" s="19">
        <v>24</v>
      </c>
      <c r="J5958" s="19">
        <v>0</v>
      </c>
      <c r="K5958" s="19">
        <v>5</v>
      </c>
      <c r="L5958" s="19" t="s">
        <v>33</v>
      </c>
      <c r="M5958" s="21">
        <v>13.3</v>
      </c>
      <c r="N5958">
        <f t="shared" si="93"/>
        <v>1</v>
      </c>
    </row>
    <row r="5959" spans="1:14" x14ac:dyDescent="0.35">
      <c r="A5959" s="22" t="s">
        <v>6029</v>
      </c>
      <c r="B5959" s="23" t="s">
        <v>81</v>
      </c>
      <c r="C5959" s="23">
        <v>9</v>
      </c>
      <c r="D5959" s="24">
        <v>45909</v>
      </c>
      <c r="E5959" s="23" t="s">
        <v>25</v>
      </c>
      <c r="F5959" s="23" t="s">
        <v>59</v>
      </c>
      <c r="G5959" s="23" t="s">
        <v>31</v>
      </c>
      <c r="H5959" s="23" t="s">
        <v>28</v>
      </c>
      <c r="I5959" s="23">
        <v>4</v>
      </c>
      <c r="J5959" s="23">
        <v>0</v>
      </c>
      <c r="K5959" s="23">
        <v>5</v>
      </c>
      <c r="L5959" s="23" t="s">
        <v>38</v>
      </c>
      <c r="M5959" s="25">
        <v>2.5</v>
      </c>
      <c r="N5959">
        <f t="shared" si="93"/>
        <v>1</v>
      </c>
    </row>
    <row r="5960" spans="1:14" x14ac:dyDescent="0.35">
      <c r="A5960" s="6" t="s">
        <v>6030</v>
      </c>
      <c r="B5960" s="19" t="s">
        <v>101</v>
      </c>
      <c r="C5960" s="19">
        <v>12</v>
      </c>
      <c r="D5960" s="20">
        <v>46021</v>
      </c>
      <c r="E5960" s="19" t="s">
        <v>20</v>
      </c>
      <c r="F5960" s="19" t="s">
        <v>14</v>
      </c>
      <c r="G5960" s="19" t="s">
        <v>31</v>
      </c>
      <c r="H5960" s="19" t="s">
        <v>28</v>
      </c>
      <c r="I5960" s="19">
        <v>4</v>
      </c>
      <c r="J5960" s="19">
        <v>0</v>
      </c>
      <c r="K5960" s="19">
        <v>5</v>
      </c>
      <c r="L5960" s="19" t="s">
        <v>8363</v>
      </c>
      <c r="M5960" s="21">
        <v>7.2</v>
      </c>
      <c r="N5960">
        <f t="shared" si="93"/>
        <v>0</v>
      </c>
    </row>
    <row r="5961" spans="1:14" x14ac:dyDescent="0.35">
      <c r="A5961" s="22" t="s">
        <v>6031</v>
      </c>
      <c r="B5961" s="23" t="s">
        <v>126</v>
      </c>
      <c r="C5961" s="23">
        <v>9</v>
      </c>
      <c r="D5961" s="24">
        <v>45924</v>
      </c>
      <c r="E5961" s="23" t="s">
        <v>20</v>
      </c>
      <c r="F5961" s="23" t="s">
        <v>59</v>
      </c>
      <c r="G5961" s="23" t="s">
        <v>27</v>
      </c>
      <c r="H5961" s="23" t="s">
        <v>8364</v>
      </c>
      <c r="I5961" s="23">
        <v>48</v>
      </c>
      <c r="J5961" s="23">
        <v>0</v>
      </c>
      <c r="K5961" s="23">
        <v>2</v>
      </c>
      <c r="L5961" s="23" t="s">
        <v>75</v>
      </c>
      <c r="M5961" s="25">
        <v>8.4</v>
      </c>
      <c r="N5961">
        <f t="shared" si="93"/>
        <v>1</v>
      </c>
    </row>
    <row r="5962" spans="1:14" x14ac:dyDescent="0.35">
      <c r="A5962" s="6" t="s">
        <v>6032</v>
      </c>
      <c r="B5962" s="19" t="s">
        <v>23</v>
      </c>
      <c r="C5962" s="19">
        <v>10</v>
      </c>
      <c r="D5962" s="20">
        <v>45942</v>
      </c>
      <c r="E5962" s="19" t="s">
        <v>8364</v>
      </c>
      <c r="F5962" s="19" t="s">
        <v>40</v>
      </c>
      <c r="G5962" s="19" t="s">
        <v>27</v>
      </c>
      <c r="H5962" s="19" t="s">
        <v>8364</v>
      </c>
      <c r="I5962" s="19">
        <v>4</v>
      </c>
      <c r="J5962" s="19">
        <v>0</v>
      </c>
      <c r="K5962" s="19">
        <v>4</v>
      </c>
      <c r="L5962" s="19" t="s">
        <v>55</v>
      </c>
      <c r="M5962" s="21">
        <v>7.7</v>
      </c>
      <c r="N5962">
        <f t="shared" si="93"/>
        <v>0</v>
      </c>
    </row>
    <row r="5963" spans="1:14" x14ac:dyDescent="0.35">
      <c r="A5963" s="22" t="s">
        <v>6033</v>
      </c>
      <c r="B5963" s="23" t="s">
        <v>89</v>
      </c>
      <c r="C5963" s="23"/>
      <c r="D5963" s="24"/>
      <c r="E5963" s="23" t="s">
        <v>25</v>
      </c>
      <c r="F5963" s="23" t="s">
        <v>14</v>
      </c>
      <c r="G5963" s="23" t="s">
        <v>15</v>
      </c>
      <c r="H5963" s="23" t="s">
        <v>22</v>
      </c>
      <c r="I5963" s="23">
        <v>8</v>
      </c>
      <c r="J5963" s="23">
        <v>0</v>
      </c>
      <c r="K5963" s="23">
        <v>3</v>
      </c>
      <c r="L5963" s="23" t="s">
        <v>55</v>
      </c>
      <c r="M5963" s="25">
        <v>7.8</v>
      </c>
      <c r="N5963">
        <f t="shared" si="93"/>
        <v>1</v>
      </c>
    </row>
    <row r="5964" spans="1:14" x14ac:dyDescent="0.35">
      <c r="A5964" s="6" t="s">
        <v>6034</v>
      </c>
      <c r="B5964" s="19" t="s">
        <v>47</v>
      </c>
      <c r="C5964" s="19">
        <v>4</v>
      </c>
      <c r="D5964" s="20">
        <v>45761</v>
      </c>
      <c r="E5964" s="19" t="s">
        <v>13</v>
      </c>
      <c r="F5964" s="19" t="s">
        <v>14</v>
      </c>
      <c r="G5964" s="19" t="s">
        <v>31</v>
      </c>
      <c r="H5964" s="19" t="s">
        <v>28</v>
      </c>
      <c r="I5964" s="19">
        <v>72</v>
      </c>
      <c r="J5964" s="19">
        <v>0</v>
      </c>
      <c r="K5964" s="19">
        <v>4</v>
      </c>
      <c r="L5964" s="19" t="s">
        <v>38</v>
      </c>
      <c r="M5964" s="21">
        <v>21.8</v>
      </c>
      <c r="N5964">
        <f t="shared" si="93"/>
        <v>1</v>
      </c>
    </row>
    <row r="5965" spans="1:14" x14ac:dyDescent="0.35">
      <c r="A5965" s="22" t="s">
        <v>6035</v>
      </c>
      <c r="B5965" s="23" t="s">
        <v>34</v>
      </c>
      <c r="C5965" s="23"/>
      <c r="D5965" s="24"/>
      <c r="E5965" s="23" t="s">
        <v>13</v>
      </c>
      <c r="F5965" s="23" t="s">
        <v>43</v>
      </c>
      <c r="G5965" s="23" t="s">
        <v>31</v>
      </c>
      <c r="H5965" s="23" t="s">
        <v>22</v>
      </c>
      <c r="I5965" s="23">
        <v>48</v>
      </c>
      <c r="J5965" s="23">
        <v>0</v>
      </c>
      <c r="K5965" s="23">
        <v>3</v>
      </c>
      <c r="L5965" s="23" t="s">
        <v>55</v>
      </c>
      <c r="M5965" s="25">
        <v>21.7</v>
      </c>
      <c r="N5965">
        <f t="shared" si="93"/>
        <v>1</v>
      </c>
    </row>
    <row r="5966" spans="1:14" x14ac:dyDescent="0.35">
      <c r="A5966" s="6" t="s">
        <v>6036</v>
      </c>
      <c r="B5966" s="19" t="s">
        <v>101</v>
      </c>
      <c r="C5966" s="19">
        <v>8</v>
      </c>
      <c r="D5966" s="20">
        <v>45877</v>
      </c>
      <c r="E5966" s="19" t="s">
        <v>13</v>
      </c>
      <c r="F5966" s="19" t="s">
        <v>59</v>
      </c>
      <c r="G5966" s="19" t="s">
        <v>21</v>
      </c>
      <c r="H5966" s="19" t="s">
        <v>8364</v>
      </c>
      <c r="I5966" s="19">
        <v>72</v>
      </c>
      <c r="J5966" s="19">
        <v>2</v>
      </c>
      <c r="K5966" s="19">
        <v>4</v>
      </c>
      <c r="L5966" s="19" t="s">
        <v>62</v>
      </c>
      <c r="M5966" s="21">
        <v>3.9</v>
      </c>
      <c r="N5966">
        <f t="shared" si="93"/>
        <v>1</v>
      </c>
    </row>
    <row r="5967" spans="1:14" x14ac:dyDescent="0.35">
      <c r="A5967" s="22" t="s">
        <v>6037</v>
      </c>
      <c r="B5967" s="23" t="s">
        <v>89</v>
      </c>
      <c r="C5967" s="23">
        <v>8</v>
      </c>
      <c r="D5967" s="24">
        <v>45877</v>
      </c>
      <c r="E5967" s="23" t="s">
        <v>13</v>
      </c>
      <c r="F5967" s="23" t="s">
        <v>14</v>
      </c>
      <c r="G5967" s="23" t="s">
        <v>21</v>
      </c>
      <c r="H5967" s="23" t="s">
        <v>22</v>
      </c>
      <c r="I5967" s="23">
        <v>4</v>
      </c>
      <c r="J5967" s="23">
        <v>1</v>
      </c>
      <c r="K5967" s="23">
        <v>5</v>
      </c>
      <c r="L5967" s="23" t="s">
        <v>44</v>
      </c>
      <c r="M5967" s="25">
        <v>10.6</v>
      </c>
      <c r="N5967">
        <f t="shared" si="93"/>
        <v>0</v>
      </c>
    </row>
    <row r="5968" spans="1:14" x14ac:dyDescent="0.35">
      <c r="A5968" s="6" t="s">
        <v>6038</v>
      </c>
      <c r="B5968" s="19" t="s">
        <v>34</v>
      </c>
      <c r="C5968" s="19">
        <v>7</v>
      </c>
      <c r="D5968" s="20">
        <v>45866</v>
      </c>
      <c r="E5968" s="19" t="s">
        <v>68</v>
      </c>
      <c r="F5968" s="19" t="s">
        <v>26</v>
      </c>
      <c r="G5968" s="19" t="s">
        <v>27</v>
      </c>
      <c r="H5968" s="19" t="s">
        <v>8364</v>
      </c>
      <c r="I5968" s="19">
        <v>48</v>
      </c>
      <c r="J5968" s="19">
        <v>2</v>
      </c>
      <c r="K5968" s="19">
        <v>5</v>
      </c>
      <c r="L5968" s="19" t="s">
        <v>44</v>
      </c>
      <c r="M5968" s="21">
        <v>10.199999999999999</v>
      </c>
      <c r="N5968">
        <f t="shared" si="93"/>
        <v>1</v>
      </c>
    </row>
    <row r="5969" spans="1:14" x14ac:dyDescent="0.35">
      <c r="A5969" s="22" t="s">
        <v>6039</v>
      </c>
      <c r="B5969" s="23" t="s">
        <v>81</v>
      </c>
      <c r="C5969" s="23">
        <v>2</v>
      </c>
      <c r="D5969" s="24">
        <v>45714</v>
      </c>
      <c r="E5969" s="23" t="s">
        <v>36</v>
      </c>
      <c r="F5969" s="23" t="s">
        <v>8364</v>
      </c>
      <c r="G5969" s="23" t="s">
        <v>8364</v>
      </c>
      <c r="H5969" s="23" t="s">
        <v>8364</v>
      </c>
      <c r="I5969" s="23">
        <v>72</v>
      </c>
      <c r="J5969" s="23">
        <v>3</v>
      </c>
      <c r="K5969" s="23">
        <v>5</v>
      </c>
      <c r="L5969" s="23" t="s">
        <v>55</v>
      </c>
      <c r="M5969" s="25">
        <v>4.0999999999999996</v>
      </c>
      <c r="N5969">
        <f t="shared" si="93"/>
        <v>1</v>
      </c>
    </row>
    <row r="5970" spans="1:14" x14ac:dyDescent="0.35">
      <c r="A5970" s="6" t="s">
        <v>6040</v>
      </c>
      <c r="B5970" s="19" t="s">
        <v>181</v>
      </c>
      <c r="C5970" s="19">
        <v>9</v>
      </c>
      <c r="D5970" s="20">
        <v>45917</v>
      </c>
      <c r="E5970" s="19" t="s">
        <v>20</v>
      </c>
      <c r="F5970" s="19" t="s">
        <v>40</v>
      </c>
      <c r="G5970" s="19" t="s">
        <v>31</v>
      </c>
      <c r="H5970" s="19" t="s">
        <v>22</v>
      </c>
      <c r="I5970" s="19">
        <v>24</v>
      </c>
      <c r="J5970" s="19">
        <v>0</v>
      </c>
      <c r="K5970" s="19">
        <v>4</v>
      </c>
      <c r="L5970" s="19" t="s">
        <v>75</v>
      </c>
      <c r="M5970" s="21">
        <v>40.299999999999997</v>
      </c>
      <c r="N5970">
        <f t="shared" si="93"/>
        <v>0</v>
      </c>
    </row>
    <row r="5971" spans="1:14" x14ac:dyDescent="0.35">
      <c r="A5971" s="22" t="s">
        <v>6041</v>
      </c>
      <c r="B5971" s="23" t="s">
        <v>89</v>
      </c>
      <c r="C5971" s="23">
        <v>5</v>
      </c>
      <c r="D5971" s="24">
        <v>45799</v>
      </c>
      <c r="E5971" s="23" t="s">
        <v>13</v>
      </c>
      <c r="F5971" s="23" t="s">
        <v>14</v>
      </c>
      <c r="G5971" s="23" t="s">
        <v>15</v>
      </c>
      <c r="H5971" s="23" t="s">
        <v>22</v>
      </c>
      <c r="I5971" s="23">
        <v>72</v>
      </c>
      <c r="J5971" s="23">
        <v>0</v>
      </c>
      <c r="K5971" s="23">
        <v>4</v>
      </c>
      <c r="L5971" s="23" t="s">
        <v>8363</v>
      </c>
      <c r="M5971" s="25">
        <v>14.9</v>
      </c>
      <c r="N5971">
        <f t="shared" si="93"/>
        <v>1</v>
      </c>
    </row>
    <row r="5972" spans="1:14" x14ac:dyDescent="0.35">
      <c r="A5972" s="6" t="s">
        <v>6042</v>
      </c>
      <c r="B5972" s="19" t="s">
        <v>41</v>
      </c>
      <c r="C5972" s="19">
        <v>1</v>
      </c>
      <c r="D5972" s="20">
        <v>45672</v>
      </c>
      <c r="E5972" s="19" t="s">
        <v>8364</v>
      </c>
      <c r="F5972" s="19" t="s">
        <v>14</v>
      </c>
      <c r="G5972" s="19" t="s">
        <v>27</v>
      </c>
      <c r="H5972" s="19" t="s">
        <v>28</v>
      </c>
      <c r="I5972" s="19">
        <v>24</v>
      </c>
      <c r="J5972" s="19">
        <v>0</v>
      </c>
      <c r="K5972" s="19">
        <v>4</v>
      </c>
      <c r="L5972" s="19" t="s">
        <v>38</v>
      </c>
      <c r="M5972" s="21">
        <v>7.7</v>
      </c>
      <c r="N5972">
        <f t="shared" si="93"/>
        <v>1</v>
      </c>
    </row>
    <row r="5973" spans="1:14" x14ac:dyDescent="0.35">
      <c r="A5973" s="22" t="s">
        <v>6043</v>
      </c>
      <c r="B5973" s="23" t="s">
        <v>39</v>
      </c>
      <c r="C5973" s="23"/>
      <c r="D5973" s="24"/>
      <c r="E5973" s="23" t="s">
        <v>20</v>
      </c>
      <c r="F5973" s="23" t="s">
        <v>40</v>
      </c>
      <c r="G5973" s="23" t="s">
        <v>27</v>
      </c>
      <c r="H5973" s="23" t="s">
        <v>28</v>
      </c>
      <c r="I5973" s="23">
        <v>72</v>
      </c>
      <c r="J5973" s="23">
        <v>0</v>
      </c>
      <c r="K5973" s="23"/>
      <c r="L5973" s="23" t="s">
        <v>17</v>
      </c>
      <c r="M5973" s="25">
        <v>3.1</v>
      </c>
      <c r="N5973">
        <f t="shared" si="93"/>
        <v>1</v>
      </c>
    </row>
    <row r="5974" spans="1:14" x14ac:dyDescent="0.35">
      <c r="A5974" s="6" t="s">
        <v>6044</v>
      </c>
      <c r="B5974" s="19" t="s">
        <v>143</v>
      </c>
      <c r="C5974" s="19">
        <v>1</v>
      </c>
      <c r="D5974" s="20">
        <v>45661</v>
      </c>
      <c r="E5974" s="19" t="s">
        <v>68</v>
      </c>
      <c r="F5974" s="19" t="s">
        <v>14</v>
      </c>
      <c r="G5974" s="19" t="s">
        <v>27</v>
      </c>
      <c r="H5974" s="19" t="s">
        <v>16</v>
      </c>
      <c r="I5974" s="19">
        <v>72</v>
      </c>
      <c r="J5974" s="19">
        <v>0</v>
      </c>
      <c r="K5974" s="19">
        <v>5</v>
      </c>
      <c r="L5974" s="19" t="s">
        <v>33</v>
      </c>
      <c r="M5974" s="21"/>
      <c r="N5974">
        <f t="shared" si="93"/>
        <v>1</v>
      </c>
    </row>
    <row r="5975" spans="1:14" x14ac:dyDescent="0.35">
      <c r="A5975" s="22" t="s">
        <v>6045</v>
      </c>
      <c r="B5975" s="23" t="s">
        <v>85</v>
      </c>
      <c r="C5975" s="23">
        <v>2</v>
      </c>
      <c r="D5975" s="24">
        <v>45703</v>
      </c>
      <c r="E5975" s="23" t="s">
        <v>8364</v>
      </c>
      <c r="F5975" s="23" t="s">
        <v>14</v>
      </c>
      <c r="G5975" s="23" t="s">
        <v>15</v>
      </c>
      <c r="H5975" s="23" t="s">
        <v>32</v>
      </c>
      <c r="I5975" s="23">
        <v>8</v>
      </c>
      <c r="J5975" s="23">
        <v>1</v>
      </c>
      <c r="K5975" s="23">
        <v>5</v>
      </c>
      <c r="L5975" s="23" t="s">
        <v>38</v>
      </c>
      <c r="M5975" s="25">
        <v>5.2</v>
      </c>
      <c r="N5975">
        <f t="shared" si="93"/>
        <v>1</v>
      </c>
    </row>
    <row r="5976" spans="1:14" x14ac:dyDescent="0.35">
      <c r="A5976" s="6" t="s">
        <v>6046</v>
      </c>
      <c r="B5976" s="19" t="s">
        <v>57</v>
      </c>
      <c r="C5976" s="19">
        <v>5</v>
      </c>
      <c r="D5976" s="20">
        <v>45799</v>
      </c>
      <c r="E5976" s="19" t="s">
        <v>36</v>
      </c>
      <c r="F5976" s="19" t="s">
        <v>14</v>
      </c>
      <c r="G5976" s="19" t="s">
        <v>31</v>
      </c>
      <c r="H5976" s="19" t="s">
        <v>22</v>
      </c>
      <c r="I5976" s="19">
        <v>48</v>
      </c>
      <c r="J5976" s="19">
        <v>0</v>
      </c>
      <c r="K5976" s="19"/>
      <c r="L5976" s="19" t="s">
        <v>33</v>
      </c>
      <c r="M5976" s="21">
        <v>15.9</v>
      </c>
      <c r="N5976">
        <f t="shared" si="93"/>
        <v>1</v>
      </c>
    </row>
    <row r="5977" spans="1:14" x14ac:dyDescent="0.35">
      <c r="A5977" s="22" t="s">
        <v>6047</v>
      </c>
      <c r="B5977" s="23" t="s">
        <v>89</v>
      </c>
      <c r="C5977" s="23">
        <v>11</v>
      </c>
      <c r="D5977" s="24">
        <v>45981</v>
      </c>
      <c r="E5977" s="23" t="s">
        <v>13</v>
      </c>
      <c r="F5977" s="23" t="s">
        <v>14</v>
      </c>
      <c r="G5977" s="23" t="s">
        <v>31</v>
      </c>
      <c r="H5977" s="23" t="s">
        <v>22</v>
      </c>
      <c r="I5977" s="23">
        <v>72</v>
      </c>
      <c r="J5977" s="23">
        <v>0</v>
      </c>
      <c r="K5977" s="23">
        <v>3</v>
      </c>
      <c r="L5977" s="23" t="s">
        <v>17</v>
      </c>
      <c r="M5977" s="25">
        <v>12.7</v>
      </c>
      <c r="N5977">
        <f t="shared" si="93"/>
        <v>1</v>
      </c>
    </row>
    <row r="5978" spans="1:14" x14ac:dyDescent="0.35">
      <c r="A5978" s="6" t="s">
        <v>6048</v>
      </c>
      <c r="B5978" s="19" t="s">
        <v>89</v>
      </c>
      <c r="C5978" s="19">
        <v>1</v>
      </c>
      <c r="D5978" s="20">
        <v>45685</v>
      </c>
      <c r="E5978" s="19" t="s">
        <v>13</v>
      </c>
      <c r="F5978" s="19" t="s">
        <v>40</v>
      </c>
      <c r="G5978" s="19" t="s">
        <v>8364</v>
      </c>
      <c r="H5978" s="19" t="s">
        <v>22</v>
      </c>
      <c r="I5978" s="19">
        <v>24</v>
      </c>
      <c r="J5978" s="19">
        <v>0</v>
      </c>
      <c r="K5978" s="19">
        <v>2</v>
      </c>
      <c r="L5978" s="19" t="s">
        <v>55</v>
      </c>
      <c r="M5978" s="21">
        <v>4</v>
      </c>
      <c r="N5978">
        <f t="shared" si="93"/>
        <v>1</v>
      </c>
    </row>
    <row r="5979" spans="1:14" x14ac:dyDescent="0.35">
      <c r="A5979" s="22" t="s">
        <v>6049</v>
      </c>
      <c r="B5979" s="23" t="s">
        <v>47</v>
      </c>
      <c r="C5979" s="23">
        <v>5</v>
      </c>
      <c r="D5979" s="24">
        <v>45796</v>
      </c>
      <c r="E5979" s="23" t="s">
        <v>13</v>
      </c>
      <c r="F5979" s="23" t="s">
        <v>59</v>
      </c>
      <c r="G5979" s="23" t="s">
        <v>27</v>
      </c>
      <c r="H5979" s="23" t="s">
        <v>8364</v>
      </c>
      <c r="I5979" s="23">
        <v>24</v>
      </c>
      <c r="J5979" s="23">
        <v>0</v>
      </c>
      <c r="K5979" s="23">
        <v>4</v>
      </c>
      <c r="L5979" s="23" t="s">
        <v>75</v>
      </c>
      <c r="M5979" s="25">
        <v>10.4</v>
      </c>
      <c r="N5979">
        <f t="shared" si="93"/>
        <v>1</v>
      </c>
    </row>
    <row r="5980" spans="1:14" x14ac:dyDescent="0.35">
      <c r="A5980" s="6" t="s">
        <v>6050</v>
      </c>
      <c r="B5980" s="19" t="s">
        <v>69</v>
      </c>
      <c r="C5980" s="19">
        <v>1</v>
      </c>
      <c r="D5980" s="20">
        <v>45659</v>
      </c>
      <c r="E5980" s="19" t="s">
        <v>25</v>
      </c>
      <c r="F5980" s="19" t="s">
        <v>8364</v>
      </c>
      <c r="G5980" s="19" t="s">
        <v>15</v>
      </c>
      <c r="H5980" s="19" t="s">
        <v>32</v>
      </c>
      <c r="I5980" s="19">
        <v>48</v>
      </c>
      <c r="J5980" s="19">
        <v>0</v>
      </c>
      <c r="K5980" s="19">
        <v>5</v>
      </c>
      <c r="L5980" s="19" t="s">
        <v>75</v>
      </c>
      <c r="M5980" s="21"/>
      <c r="N5980">
        <f t="shared" si="93"/>
        <v>1</v>
      </c>
    </row>
    <row r="5981" spans="1:14" x14ac:dyDescent="0.35">
      <c r="A5981" s="22" t="s">
        <v>6051</v>
      </c>
      <c r="B5981" s="23" t="s">
        <v>104</v>
      </c>
      <c r="C5981" s="23">
        <v>3</v>
      </c>
      <c r="D5981" s="24">
        <v>45729</v>
      </c>
      <c r="E5981" s="23" t="s">
        <v>13</v>
      </c>
      <c r="F5981" s="23" t="s">
        <v>14</v>
      </c>
      <c r="G5981" s="23" t="s">
        <v>27</v>
      </c>
      <c r="H5981" s="23" t="s">
        <v>32</v>
      </c>
      <c r="I5981" s="23">
        <v>8</v>
      </c>
      <c r="J5981" s="23">
        <v>1</v>
      </c>
      <c r="K5981" s="23">
        <v>5</v>
      </c>
      <c r="L5981" s="23" t="s">
        <v>75</v>
      </c>
      <c r="M5981" s="25">
        <v>3.8</v>
      </c>
      <c r="N5981">
        <f t="shared" si="93"/>
        <v>1</v>
      </c>
    </row>
    <row r="5982" spans="1:14" x14ac:dyDescent="0.35">
      <c r="A5982" s="6" t="s">
        <v>6052</v>
      </c>
      <c r="B5982" s="19" t="s">
        <v>81</v>
      </c>
      <c r="C5982" s="19">
        <v>12</v>
      </c>
      <c r="D5982" s="20">
        <v>45994</v>
      </c>
      <c r="E5982" s="19" t="s">
        <v>68</v>
      </c>
      <c r="F5982" s="19" t="s">
        <v>14</v>
      </c>
      <c r="G5982" s="19" t="s">
        <v>31</v>
      </c>
      <c r="H5982" s="19" t="s">
        <v>22</v>
      </c>
      <c r="I5982" s="19">
        <v>48</v>
      </c>
      <c r="J5982" s="19">
        <v>0</v>
      </c>
      <c r="K5982" s="19">
        <v>5</v>
      </c>
      <c r="L5982" s="19" t="s">
        <v>33</v>
      </c>
      <c r="M5982" s="21">
        <v>20.9</v>
      </c>
      <c r="N5982">
        <f t="shared" si="93"/>
        <v>1</v>
      </c>
    </row>
    <row r="5983" spans="1:14" x14ac:dyDescent="0.35">
      <c r="A5983" s="22" t="s">
        <v>6053</v>
      </c>
      <c r="B5983" s="23" t="s">
        <v>130</v>
      </c>
      <c r="C5983" s="23">
        <v>11</v>
      </c>
      <c r="D5983" s="24">
        <v>45982</v>
      </c>
      <c r="E5983" s="23" t="s">
        <v>25</v>
      </c>
      <c r="F5983" s="23" t="s">
        <v>14</v>
      </c>
      <c r="G5983" s="23" t="s">
        <v>15</v>
      </c>
      <c r="H5983" s="23" t="s">
        <v>28</v>
      </c>
      <c r="I5983" s="23">
        <v>24</v>
      </c>
      <c r="J5983" s="23">
        <v>3</v>
      </c>
      <c r="K5983" s="23">
        <v>5</v>
      </c>
      <c r="L5983" s="23" t="s">
        <v>38</v>
      </c>
      <c r="M5983" s="25">
        <v>6.2</v>
      </c>
      <c r="N5983">
        <f t="shared" si="93"/>
        <v>1</v>
      </c>
    </row>
    <row r="5984" spans="1:14" x14ac:dyDescent="0.35">
      <c r="A5984" s="6" t="s">
        <v>6054</v>
      </c>
      <c r="B5984" s="19" t="s">
        <v>78</v>
      </c>
      <c r="C5984" s="19"/>
      <c r="D5984" s="20"/>
      <c r="E5984" s="19" t="s">
        <v>13</v>
      </c>
      <c r="F5984" s="19" t="s">
        <v>40</v>
      </c>
      <c r="G5984" s="19" t="s">
        <v>21</v>
      </c>
      <c r="H5984" s="19" t="s">
        <v>32</v>
      </c>
      <c r="I5984" s="19">
        <v>48</v>
      </c>
      <c r="J5984" s="19">
        <v>3</v>
      </c>
      <c r="K5984" s="19">
        <v>4</v>
      </c>
      <c r="L5984" s="19" t="s">
        <v>17</v>
      </c>
      <c r="M5984" s="21">
        <v>5</v>
      </c>
      <c r="N5984">
        <f t="shared" si="93"/>
        <v>1</v>
      </c>
    </row>
    <row r="5985" spans="1:14" x14ac:dyDescent="0.35">
      <c r="A5985" s="22" t="s">
        <v>6055</v>
      </c>
      <c r="B5985" s="23" t="s">
        <v>236</v>
      </c>
      <c r="C5985" s="23">
        <v>4</v>
      </c>
      <c r="D5985" s="24">
        <v>45760</v>
      </c>
      <c r="E5985" s="23" t="s">
        <v>68</v>
      </c>
      <c r="F5985" s="23" t="s">
        <v>37</v>
      </c>
      <c r="G5985" s="23" t="s">
        <v>31</v>
      </c>
      <c r="H5985" s="23" t="s">
        <v>28</v>
      </c>
      <c r="I5985" s="23">
        <v>24</v>
      </c>
      <c r="J5985" s="23">
        <v>0</v>
      </c>
      <c r="K5985" s="23">
        <v>4</v>
      </c>
      <c r="L5985" s="23" t="s">
        <v>8363</v>
      </c>
      <c r="M5985" s="25">
        <v>14.4</v>
      </c>
      <c r="N5985">
        <f t="shared" si="93"/>
        <v>1</v>
      </c>
    </row>
    <row r="5986" spans="1:14" x14ac:dyDescent="0.35">
      <c r="A5986" s="6" t="s">
        <v>6056</v>
      </c>
      <c r="B5986" s="19" t="s">
        <v>130</v>
      </c>
      <c r="C5986" s="19">
        <v>11</v>
      </c>
      <c r="D5986" s="20">
        <v>45963</v>
      </c>
      <c r="E5986" s="19" t="s">
        <v>36</v>
      </c>
      <c r="F5986" s="19" t="s">
        <v>43</v>
      </c>
      <c r="G5986" s="19" t="s">
        <v>21</v>
      </c>
      <c r="H5986" s="19" t="s">
        <v>22</v>
      </c>
      <c r="I5986" s="19">
        <v>4</v>
      </c>
      <c r="J5986" s="19">
        <v>0</v>
      </c>
      <c r="K5986" s="19">
        <v>4</v>
      </c>
      <c r="L5986" s="19" t="s">
        <v>17</v>
      </c>
      <c r="M5986" s="21">
        <v>28.2</v>
      </c>
      <c r="N5986">
        <f t="shared" si="93"/>
        <v>0</v>
      </c>
    </row>
    <row r="5987" spans="1:14" x14ac:dyDescent="0.35">
      <c r="A5987" s="22" t="s">
        <v>6057</v>
      </c>
      <c r="B5987" s="23" t="s">
        <v>181</v>
      </c>
      <c r="C5987" s="23">
        <v>4</v>
      </c>
      <c r="D5987" s="24">
        <v>45749</v>
      </c>
      <c r="E5987" s="23" t="s">
        <v>13</v>
      </c>
      <c r="F5987" s="23" t="s">
        <v>59</v>
      </c>
      <c r="G5987" s="23" t="s">
        <v>27</v>
      </c>
      <c r="H5987" s="23" t="s">
        <v>28</v>
      </c>
      <c r="I5987" s="23">
        <v>8</v>
      </c>
      <c r="J5987" s="23">
        <v>3</v>
      </c>
      <c r="K5987" s="23">
        <v>2</v>
      </c>
      <c r="L5987" s="23" t="s">
        <v>75</v>
      </c>
      <c r="M5987" s="25">
        <v>15.6</v>
      </c>
      <c r="N5987">
        <f t="shared" si="93"/>
        <v>0</v>
      </c>
    </row>
    <row r="5988" spans="1:14" x14ac:dyDescent="0.35">
      <c r="A5988" s="6" t="s">
        <v>6058</v>
      </c>
      <c r="B5988" s="19" t="s">
        <v>101</v>
      </c>
      <c r="C5988" s="19">
        <v>8</v>
      </c>
      <c r="D5988" s="20">
        <v>45899</v>
      </c>
      <c r="E5988" s="19" t="s">
        <v>13</v>
      </c>
      <c r="F5988" s="19" t="s">
        <v>43</v>
      </c>
      <c r="G5988" s="19" t="s">
        <v>21</v>
      </c>
      <c r="H5988" s="19" t="s">
        <v>22</v>
      </c>
      <c r="I5988" s="19">
        <v>4</v>
      </c>
      <c r="J5988" s="19">
        <v>0</v>
      </c>
      <c r="K5988" s="19"/>
      <c r="L5988" s="19" t="s">
        <v>33</v>
      </c>
      <c r="M5988" s="21">
        <v>6.4</v>
      </c>
      <c r="N5988">
        <f t="shared" si="93"/>
        <v>0</v>
      </c>
    </row>
    <row r="5989" spans="1:14" x14ac:dyDescent="0.35">
      <c r="A5989" s="22" t="s">
        <v>6059</v>
      </c>
      <c r="B5989" s="23" t="s">
        <v>126</v>
      </c>
      <c r="C5989" s="23">
        <v>8</v>
      </c>
      <c r="D5989" s="24">
        <v>45890</v>
      </c>
      <c r="E5989" s="23" t="s">
        <v>8364</v>
      </c>
      <c r="F5989" s="23" t="s">
        <v>40</v>
      </c>
      <c r="G5989" s="23" t="s">
        <v>15</v>
      </c>
      <c r="H5989" s="23" t="s">
        <v>22</v>
      </c>
      <c r="I5989" s="23">
        <v>4</v>
      </c>
      <c r="J5989" s="23">
        <v>0</v>
      </c>
      <c r="K5989" s="23">
        <v>5</v>
      </c>
      <c r="L5989" s="23" t="s">
        <v>55</v>
      </c>
      <c r="M5989" s="25">
        <v>13.3</v>
      </c>
      <c r="N5989">
        <f t="shared" si="93"/>
        <v>0</v>
      </c>
    </row>
    <row r="5990" spans="1:14" x14ac:dyDescent="0.35">
      <c r="A5990" s="6" t="s">
        <v>6060</v>
      </c>
      <c r="B5990" s="19" t="s">
        <v>89</v>
      </c>
      <c r="C5990" s="19">
        <v>8</v>
      </c>
      <c r="D5990" s="20">
        <v>45870</v>
      </c>
      <c r="E5990" s="19" t="s">
        <v>8364</v>
      </c>
      <c r="F5990" s="19" t="s">
        <v>37</v>
      </c>
      <c r="G5990" s="19" t="s">
        <v>27</v>
      </c>
      <c r="H5990" s="19" t="s">
        <v>22</v>
      </c>
      <c r="I5990" s="19">
        <v>48</v>
      </c>
      <c r="J5990" s="19">
        <v>0</v>
      </c>
      <c r="K5990" s="19">
        <v>5</v>
      </c>
      <c r="L5990" s="19" t="s">
        <v>38</v>
      </c>
      <c r="M5990" s="21"/>
      <c r="N5990">
        <f t="shared" si="93"/>
        <v>1</v>
      </c>
    </row>
    <row r="5991" spans="1:14" x14ac:dyDescent="0.35">
      <c r="A5991" s="22" t="s">
        <v>6061</v>
      </c>
      <c r="B5991" s="23" t="s">
        <v>47</v>
      </c>
      <c r="C5991" s="23">
        <v>3</v>
      </c>
      <c r="D5991" s="24">
        <v>45723</v>
      </c>
      <c r="E5991" s="23" t="s">
        <v>20</v>
      </c>
      <c r="F5991" s="23" t="s">
        <v>43</v>
      </c>
      <c r="G5991" s="23" t="s">
        <v>27</v>
      </c>
      <c r="H5991" s="23" t="s">
        <v>22</v>
      </c>
      <c r="I5991" s="23">
        <v>72</v>
      </c>
      <c r="J5991" s="23">
        <v>1</v>
      </c>
      <c r="K5991" s="23">
        <v>1</v>
      </c>
      <c r="L5991" s="23" t="s">
        <v>55</v>
      </c>
      <c r="M5991" s="25">
        <v>4.7</v>
      </c>
      <c r="N5991">
        <f t="shared" si="93"/>
        <v>1</v>
      </c>
    </row>
    <row r="5992" spans="1:14" x14ac:dyDescent="0.35">
      <c r="A5992" s="6" t="s">
        <v>6062</v>
      </c>
      <c r="B5992" s="19" t="s">
        <v>34</v>
      </c>
      <c r="C5992" s="19">
        <v>11</v>
      </c>
      <c r="D5992" s="20">
        <v>45980</v>
      </c>
      <c r="E5992" s="19" t="s">
        <v>36</v>
      </c>
      <c r="F5992" s="19" t="s">
        <v>43</v>
      </c>
      <c r="G5992" s="19" t="s">
        <v>21</v>
      </c>
      <c r="H5992" s="19" t="s">
        <v>22</v>
      </c>
      <c r="I5992" s="19">
        <v>4</v>
      </c>
      <c r="J5992" s="19">
        <v>0</v>
      </c>
      <c r="K5992" s="19">
        <v>3</v>
      </c>
      <c r="L5992" s="19" t="s">
        <v>8363</v>
      </c>
      <c r="M5992" s="21"/>
      <c r="N5992">
        <f t="shared" si="93"/>
        <v>1</v>
      </c>
    </row>
    <row r="5993" spans="1:14" x14ac:dyDescent="0.35">
      <c r="A5993" s="22" t="s">
        <v>6063</v>
      </c>
      <c r="B5993" s="23" t="s">
        <v>126</v>
      </c>
      <c r="C5993" s="23">
        <v>1</v>
      </c>
      <c r="D5993" s="24">
        <v>45680</v>
      </c>
      <c r="E5993" s="23" t="s">
        <v>13</v>
      </c>
      <c r="F5993" s="23" t="s">
        <v>14</v>
      </c>
      <c r="G5993" s="23" t="s">
        <v>27</v>
      </c>
      <c r="H5993" s="23" t="s">
        <v>32</v>
      </c>
      <c r="I5993" s="23">
        <v>48</v>
      </c>
      <c r="J5993" s="23">
        <v>1</v>
      </c>
      <c r="K5993" s="23">
        <v>3</v>
      </c>
      <c r="L5993" s="23" t="s">
        <v>17</v>
      </c>
      <c r="M5993" s="25">
        <v>12.1</v>
      </c>
      <c r="N5993">
        <f t="shared" si="93"/>
        <v>1</v>
      </c>
    </row>
    <row r="5994" spans="1:14" x14ac:dyDescent="0.35">
      <c r="A5994" s="6" t="s">
        <v>6064</v>
      </c>
      <c r="B5994" s="19" t="s">
        <v>158</v>
      </c>
      <c r="C5994" s="19">
        <v>5</v>
      </c>
      <c r="D5994" s="20">
        <v>45779</v>
      </c>
      <c r="E5994" s="19" t="s">
        <v>68</v>
      </c>
      <c r="F5994" s="19" t="s">
        <v>26</v>
      </c>
      <c r="G5994" s="19" t="s">
        <v>27</v>
      </c>
      <c r="H5994" s="19" t="s">
        <v>32</v>
      </c>
      <c r="I5994" s="19">
        <v>24</v>
      </c>
      <c r="J5994" s="19">
        <v>0</v>
      </c>
      <c r="K5994" s="19">
        <v>5</v>
      </c>
      <c r="L5994" s="19" t="s">
        <v>44</v>
      </c>
      <c r="M5994" s="21">
        <v>4.4000000000000004</v>
      </c>
      <c r="N5994">
        <f t="shared" si="93"/>
        <v>1</v>
      </c>
    </row>
    <row r="5995" spans="1:14" x14ac:dyDescent="0.35">
      <c r="A5995" s="22" t="s">
        <v>6065</v>
      </c>
      <c r="B5995" s="23" t="s">
        <v>99</v>
      </c>
      <c r="C5995" s="23">
        <v>6</v>
      </c>
      <c r="D5995" s="24">
        <v>45813</v>
      </c>
      <c r="E5995" s="23" t="s">
        <v>68</v>
      </c>
      <c r="F5995" s="23" t="s">
        <v>14</v>
      </c>
      <c r="G5995" s="23" t="s">
        <v>31</v>
      </c>
      <c r="H5995" s="23" t="s">
        <v>8364</v>
      </c>
      <c r="I5995" s="23">
        <v>8</v>
      </c>
      <c r="J5995" s="23">
        <v>1</v>
      </c>
      <c r="K5995" s="23">
        <v>4</v>
      </c>
      <c r="L5995" s="23" t="s">
        <v>55</v>
      </c>
      <c r="M5995" s="25">
        <v>10.3</v>
      </c>
      <c r="N5995">
        <f t="shared" si="93"/>
        <v>0</v>
      </c>
    </row>
    <row r="5996" spans="1:14" x14ac:dyDescent="0.35">
      <c r="A5996" s="6" t="s">
        <v>6066</v>
      </c>
      <c r="B5996" s="19" t="s">
        <v>181</v>
      </c>
      <c r="C5996" s="19">
        <v>4</v>
      </c>
      <c r="D5996" s="20">
        <v>45769</v>
      </c>
      <c r="E5996" s="19" t="s">
        <v>13</v>
      </c>
      <c r="F5996" s="19" t="s">
        <v>37</v>
      </c>
      <c r="G5996" s="19" t="s">
        <v>31</v>
      </c>
      <c r="H5996" s="19" t="s">
        <v>32</v>
      </c>
      <c r="I5996" s="19">
        <v>72</v>
      </c>
      <c r="J5996" s="19">
        <v>0</v>
      </c>
      <c r="K5996" s="19">
        <v>3</v>
      </c>
      <c r="L5996" s="19" t="s">
        <v>8363</v>
      </c>
      <c r="M5996" s="21">
        <v>6.6</v>
      </c>
      <c r="N5996">
        <f t="shared" si="93"/>
        <v>1</v>
      </c>
    </row>
    <row r="5997" spans="1:14" x14ac:dyDescent="0.35">
      <c r="A5997" s="22" t="s">
        <v>6067</v>
      </c>
      <c r="B5997" s="23" t="s">
        <v>65</v>
      </c>
      <c r="C5997" s="23">
        <v>6</v>
      </c>
      <c r="D5997" s="24">
        <v>45834</v>
      </c>
      <c r="E5997" s="23" t="s">
        <v>8364</v>
      </c>
      <c r="F5997" s="23" t="s">
        <v>43</v>
      </c>
      <c r="G5997" s="23" t="s">
        <v>27</v>
      </c>
      <c r="H5997" s="23" t="s">
        <v>32</v>
      </c>
      <c r="I5997" s="23">
        <v>24</v>
      </c>
      <c r="J5997" s="23">
        <v>0</v>
      </c>
      <c r="K5997" s="23">
        <v>5</v>
      </c>
      <c r="L5997" s="23" t="s">
        <v>75</v>
      </c>
      <c r="M5997" s="25">
        <v>10.8</v>
      </c>
      <c r="N5997">
        <f t="shared" si="93"/>
        <v>1</v>
      </c>
    </row>
    <row r="5998" spans="1:14" x14ac:dyDescent="0.35">
      <c r="A5998" s="6" t="s">
        <v>6068</v>
      </c>
      <c r="B5998" s="19" t="s">
        <v>146</v>
      </c>
      <c r="C5998" s="19"/>
      <c r="D5998" s="20"/>
      <c r="E5998" s="19" t="s">
        <v>13</v>
      </c>
      <c r="F5998" s="19" t="s">
        <v>14</v>
      </c>
      <c r="G5998" s="19" t="s">
        <v>8364</v>
      </c>
      <c r="H5998" s="19" t="s">
        <v>16</v>
      </c>
      <c r="I5998" s="19">
        <v>72</v>
      </c>
      <c r="J5998" s="19">
        <v>0</v>
      </c>
      <c r="K5998" s="19">
        <v>3</v>
      </c>
      <c r="L5998" s="19" t="s">
        <v>38</v>
      </c>
      <c r="M5998" s="21">
        <v>6.1</v>
      </c>
      <c r="N5998">
        <f t="shared" si="93"/>
        <v>1</v>
      </c>
    </row>
    <row r="5999" spans="1:14" x14ac:dyDescent="0.35">
      <c r="A5999" s="22" t="s">
        <v>6069</v>
      </c>
      <c r="B5999" s="23" t="s">
        <v>158</v>
      </c>
      <c r="C5999" s="23">
        <v>2</v>
      </c>
      <c r="D5999" s="24">
        <v>45710</v>
      </c>
      <c r="E5999" s="23" t="s">
        <v>25</v>
      </c>
      <c r="F5999" s="23" t="s">
        <v>8364</v>
      </c>
      <c r="G5999" s="23" t="s">
        <v>31</v>
      </c>
      <c r="H5999" s="23" t="s">
        <v>22</v>
      </c>
      <c r="I5999" s="23">
        <v>72</v>
      </c>
      <c r="J5999" s="23">
        <v>0</v>
      </c>
      <c r="K5999" s="23">
        <v>4</v>
      </c>
      <c r="L5999" s="23" t="s">
        <v>33</v>
      </c>
      <c r="M5999" s="25">
        <v>17.8</v>
      </c>
      <c r="N5999">
        <f t="shared" si="93"/>
        <v>1</v>
      </c>
    </row>
    <row r="6000" spans="1:14" x14ac:dyDescent="0.35">
      <c r="A6000" s="6" t="s">
        <v>6070</v>
      </c>
      <c r="B6000" s="19" t="s">
        <v>34</v>
      </c>
      <c r="C6000" s="19">
        <v>3</v>
      </c>
      <c r="D6000" s="20">
        <v>45744</v>
      </c>
      <c r="E6000" s="19" t="s">
        <v>13</v>
      </c>
      <c r="F6000" s="19" t="s">
        <v>40</v>
      </c>
      <c r="G6000" s="19" t="s">
        <v>31</v>
      </c>
      <c r="H6000" s="19" t="s">
        <v>8364</v>
      </c>
      <c r="I6000" s="19">
        <v>4</v>
      </c>
      <c r="J6000" s="19">
        <v>2</v>
      </c>
      <c r="K6000" s="19">
        <v>3</v>
      </c>
      <c r="L6000" s="19" t="s">
        <v>62</v>
      </c>
      <c r="M6000" s="21">
        <v>13.2</v>
      </c>
      <c r="N6000">
        <f t="shared" si="93"/>
        <v>0</v>
      </c>
    </row>
    <row r="6001" spans="1:14" x14ac:dyDescent="0.35">
      <c r="A6001" s="26" t="s">
        <v>6071</v>
      </c>
      <c r="B6001" s="27" t="s">
        <v>108</v>
      </c>
      <c r="C6001" s="27">
        <v>4</v>
      </c>
      <c r="D6001" s="28">
        <v>45758</v>
      </c>
      <c r="E6001" s="27" t="s">
        <v>13</v>
      </c>
      <c r="F6001" s="27" t="s">
        <v>59</v>
      </c>
      <c r="G6001" s="27" t="s">
        <v>27</v>
      </c>
      <c r="H6001" s="27" t="s">
        <v>22</v>
      </c>
      <c r="I6001" s="27">
        <v>24</v>
      </c>
      <c r="J6001" s="27">
        <v>0</v>
      </c>
      <c r="K6001" s="27">
        <v>3</v>
      </c>
      <c r="L6001" s="27" t="s">
        <v>38</v>
      </c>
      <c r="M6001" s="29">
        <v>5.9</v>
      </c>
      <c r="N6001">
        <f t="shared" si="93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BF0CD-5140-48A1-8C18-29DF4AED880D}">
  <dimension ref="A1:B13"/>
  <sheetViews>
    <sheetView workbookViewId="0"/>
  </sheetViews>
  <sheetFormatPr baseColWidth="10" defaultRowHeight="14.5" x14ac:dyDescent="0.35"/>
  <cols>
    <col min="1" max="1" width="9.1796875" bestFit="1" customWidth="1"/>
    <col min="2" max="2" width="9.81640625" bestFit="1" customWidth="1"/>
  </cols>
  <sheetData>
    <row r="1" spans="1:2" x14ac:dyDescent="0.35">
      <c r="A1" t="s">
        <v>8369</v>
      </c>
      <c r="B1" t="s">
        <v>8370</v>
      </c>
    </row>
    <row r="2" spans="1:2" x14ac:dyDescent="0.35">
      <c r="A2">
        <v>1</v>
      </c>
      <c r="B2" t="s">
        <v>8371</v>
      </c>
    </row>
    <row r="3" spans="1:2" x14ac:dyDescent="0.35">
      <c r="A3">
        <v>2</v>
      </c>
      <c r="B3" t="s">
        <v>8372</v>
      </c>
    </row>
    <row r="4" spans="1:2" x14ac:dyDescent="0.35">
      <c r="A4">
        <v>3</v>
      </c>
      <c r="B4" t="s">
        <v>8373</v>
      </c>
    </row>
    <row r="5" spans="1:2" x14ac:dyDescent="0.35">
      <c r="A5">
        <v>4</v>
      </c>
      <c r="B5" t="s">
        <v>8374</v>
      </c>
    </row>
    <row r="6" spans="1:2" x14ac:dyDescent="0.35">
      <c r="A6">
        <v>5</v>
      </c>
      <c r="B6" t="s">
        <v>8375</v>
      </c>
    </row>
    <row r="7" spans="1:2" x14ac:dyDescent="0.35">
      <c r="A7">
        <v>6</v>
      </c>
      <c r="B7" t="s">
        <v>8376</v>
      </c>
    </row>
    <row r="8" spans="1:2" x14ac:dyDescent="0.35">
      <c r="A8">
        <v>7</v>
      </c>
      <c r="B8" t="s">
        <v>8377</v>
      </c>
    </row>
    <row r="9" spans="1:2" x14ac:dyDescent="0.35">
      <c r="A9">
        <v>8</v>
      </c>
      <c r="B9" t="s">
        <v>8378</v>
      </c>
    </row>
    <row r="10" spans="1:2" x14ac:dyDescent="0.35">
      <c r="A10">
        <v>9</v>
      </c>
      <c r="B10" t="s">
        <v>8379</v>
      </c>
    </row>
    <row r="11" spans="1:2" x14ac:dyDescent="0.35">
      <c r="A11">
        <v>10</v>
      </c>
      <c r="B11" t="s">
        <v>8380</v>
      </c>
    </row>
    <row r="12" spans="1:2" x14ac:dyDescent="0.35">
      <c r="A12">
        <v>11</v>
      </c>
      <c r="B12" t="s">
        <v>8381</v>
      </c>
    </row>
    <row r="13" spans="1:2" x14ac:dyDescent="0.35">
      <c r="A13">
        <v>12</v>
      </c>
      <c r="B13" t="s">
        <v>8382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94D70-5E1D-473A-A28F-C5062A325944}">
  <dimension ref="A1:V41"/>
  <sheetViews>
    <sheetView tabSelected="1" zoomScale="74" workbookViewId="0">
      <selection activeCell="K2" sqref="K2"/>
    </sheetView>
  </sheetViews>
  <sheetFormatPr baseColWidth="10" defaultRowHeight="14.5" x14ac:dyDescent="0.35"/>
  <cols>
    <col min="2" max="2" width="15.7265625" customWidth="1"/>
    <col min="3" max="3" width="29.36328125" customWidth="1"/>
    <col min="4" max="4" width="24.90625" customWidth="1"/>
    <col min="5" max="5" width="18.54296875" customWidth="1"/>
    <col min="6" max="6" width="23.7265625" customWidth="1"/>
    <col min="7" max="7" width="25.90625" customWidth="1"/>
    <col min="8" max="8" width="21.08984375" customWidth="1"/>
    <col min="9" max="9" width="22" customWidth="1"/>
    <col min="11" max="11" width="16.26953125" customWidth="1"/>
    <col min="12" max="12" width="28" customWidth="1"/>
    <col min="13" max="13" width="22.90625" customWidth="1"/>
    <col min="14" max="14" width="15.90625" customWidth="1"/>
    <col min="15" max="15" width="12.453125" customWidth="1"/>
    <col min="16" max="16" width="26.81640625" customWidth="1"/>
    <col min="17" max="17" width="22.26953125" customWidth="1"/>
    <col min="18" max="18" width="31.7265625" customWidth="1"/>
    <col min="19" max="19" width="36.54296875" customWidth="1"/>
    <col min="20" max="20" width="18.08984375" customWidth="1"/>
    <col min="21" max="21" width="20.08984375" customWidth="1"/>
    <col min="22" max="22" width="19.54296875" customWidth="1"/>
  </cols>
  <sheetData>
    <row r="1" spans="1:22" x14ac:dyDescent="0.35">
      <c r="A1" s="3" t="s">
        <v>10</v>
      </c>
      <c r="B1" s="4" t="s">
        <v>6072</v>
      </c>
      <c r="C1" s="4" t="s">
        <v>8385</v>
      </c>
      <c r="D1" s="4" t="s">
        <v>8396</v>
      </c>
      <c r="E1" s="4" t="s">
        <v>8368</v>
      </c>
      <c r="F1" s="4" t="s">
        <v>8383</v>
      </c>
      <c r="G1" s="4" t="s">
        <v>8384</v>
      </c>
      <c r="H1" s="4" t="s">
        <v>8386</v>
      </c>
      <c r="I1" s="4" t="s">
        <v>8387</v>
      </c>
      <c r="J1" s="4" t="s">
        <v>8388</v>
      </c>
      <c r="K1" s="4" t="s">
        <v>8389</v>
      </c>
      <c r="L1" s="4" t="s">
        <v>8392</v>
      </c>
      <c r="M1" s="4" t="s">
        <v>8391</v>
      </c>
      <c r="N1" s="4" t="s">
        <v>8393</v>
      </c>
      <c r="O1" s="4" t="s">
        <v>8395</v>
      </c>
      <c r="P1" s="4" t="s">
        <v>8397</v>
      </c>
      <c r="Q1" s="5" t="s">
        <v>8398</v>
      </c>
      <c r="R1" s="4" t="s">
        <v>8399</v>
      </c>
      <c r="S1" s="4" t="s">
        <v>8400</v>
      </c>
      <c r="T1" s="4" t="s">
        <v>8401</v>
      </c>
      <c r="U1" s="5" t="s">
        <v>8403</v>
      </c>
      <c r="V1" s="32" t="s">
        <v>8402</v>
      </c>
    </row>
    <row r="2" spans="1:22" x14ac:dyDescent="0.35">
      <c r="A2" s="36" t="s">
        <v>99</v>
      </c>
      <c r="B2" s="37" t="s">
        <v>6086</v>
      </c>
      <c r="C2" s="37">
        <f>SUMIF(Productivite!$A$2:$A$5603,A2,Productivite!$D$2:$D$5603)</f>
        <v>114</v>
      </c>
      <c r="D2" s="38">
        <f>SUMIF(Productivite!$A$2:$A$5603,A2,Productivite!$C$2:$C$5603)</f>
        <v>874.4000000000002</v>
      </c>
      <c r="E2" s="37">
        <f>COUNTIFS(Productivite!$A$2:$A$5603,A2,Productivite!$E$2:$E$5603,"&lt;&gt;Non")</f>
        <v>12</v>
      </c>
      <c r="F2" s="38">
        <f>IFERROR(AVERAGEIF(Ticket!$B$2:$B$6003,A2,Ticket!$M$2:$M$6003),"Agent inactif")</f>
        <v>11.910769230769233</v>
      </c>
      <c r="G2" s="38">
        <f>IFERROR(AVERAGEIF(Ticket!$B$2:$B$6003,A2,Ticket!$K$2:$K$6003),"Agent inactif")</f>
        <v>3.6829268292682928</v>
      </c>
      <c r="H2" s="37">
        <f>COUNTIF(Ticket!$B$2:$B$6003,A2)</f>
        <v>134</v>
      </c>
      <c r="I2" s="39">
        <f>IFERROR((C2/H2),"Agent inactif")</f>
        <v>0.85074626865671643</v>
      </c>
      <c r="J2" s="37">
        <f>H2-C2</f>
        <v>20</v>
      </c>
      <c r="K2" s="39">
        <f>IFERROR(AVERAGEIF(Ticket!$B$2:$B$6001,A2,Ticket!$N$2:$N$6001),"Agent inactif")</f>
        <v>0.70149253731343286</v>
      </c>
      <c r="L2" s="37">
        <f>COUNTIFS(Ticket!$B$2:$B$6001,A2,Ticket!$F$2:$F$6001,"Bug technique")
+COUNTIFS(Ticket!$B$2:$B$6001,A2,Ticket!$F$2:$F$6001,"Problème de connexion")
+COUNTIFS(Ticket!$B$2:$B$6001,A2,Ticket!$F$2:$F$6001,"Question facturation")</f>
        <v>39</v>
      </c>
      <c r="M2" s="39">
        <f>IFERROR((L2/C2),"Agent inactif")</f>
        <v>0.34210526315789475</v>
      </c>
      <c r="N2" s="38">
        <f>IFERROR(AVERAGEIF(Enquetes_Satisfaction!$G$2:$G$2202,A2,Enquetes_Satisfaction!$D$2:$D$2202),"Agent inactif")</f>
        <v>4.020833333333333</v>
      </c>
      <c r="O2" s="38">
        <f>IFERROR(AVERAGEIF(Enquetes_Satisfaction!$G$2:$G$2202,A2,Enquetes_Satisfaction!$E$2:$E$2202),"Agent inactif")</f>
        <v>7.770833333333333</v>
      </c>
      <c r="P2" s="38">
        <f>IFERROR(D2/C2,"Agent inactif")</f>
        <v>7.6701754385964929</v>
      </c>
      <c r="Q2" s="46">
        <f>IFERROR(COUNTIFS(Ticket!$B$2:$B$6001,A2,Ticket!$H$2:$H$6001,"Resolu")/(COUNTIFS(Ticket!$B$2:$B$6001,A2,Ticket!$H$2:$H$6001,"Non Resolu")+COUNTIFS(Ticket!$B$2:$B$6001,A2,Ticket!$H$2:$H$6001,"Resolu")+COUNTIFS(Ticket!$B$2:$B$6001,A2,Ticket!$H$2:$H$6001,"Ferme sans resolution")),"Agent inactif")</f>
        <v>0.57333333333333336</v>
      </c>
      <c r="R2" s="39">
        <f>COUNTIFS(Ticket!$B$2:$B$6001,A2,Ticket!$J$2:$J$6001,"&gt;"&amp;0)/C2</f>
        <v>0.28947368421052633</v>
      </c>
      <c r="S2" s="39">
        <f>IFERROR(COUNTIFS(Ticket!$B$2:$B$6001,A2,Ticket!$J$2:$J$6001,0,Ticket!$H$2:$H$6001,"Resolu")/H2,"Agent inactif")</f>
        <v>0.2462686567164179</v>
      </c>
      <c r="T2" s="38">
        <f>C2/D2</f>
        <v>0.13037511436413537</v>
      </c>
      <c r="U2" s="47">
        <f>COUNTIF(Productivite!$A$2:$A$5603,A2)</f>
        <v>135</v>
      </c>
      <c r="V2" s="30">
        <f>(U2-E2)/U2</f>
        <v>0.91111111111111109</v>
      </c>
    </row>
    <row r="3" spans="1:22" x14ac:dyDescent="0.35">
      <c r="A3" s="36" t="s">
        <v>130</v>
      </c>
      <c r="B3" s="37" t="s">
        <v>6091</v>
      </c>
      <c r="C3" s="37">
        <f>SUMIF(Productivite!$A$2:$A$5603,A3,Productivite!$D$2:$D$5603)</f>
        <v>109</v>
      </c>
      <c r="D3" s="38">
        <f>SUMIF(Productivite!$A$2:$A$5603,A3,Productivite!$C$2:$C$5603)</f>
        <v>886.30000000000018</v>
      </c>
      <c r="E3" s="37">
        <f>COUNTIFS(Productivite!$A$2:$A$5603,A3,Productivite!$E$2:$E$5603,"&lt;&gt;Non")</f>
        <v>16</v>
      </c>
      <c r="F3" s="38">
        <f>IFERROR(AVERAGEIF(Ticket!$B$2:$B$6003,A3,Ticket!$M$2:$M$6003),"Agent inactif")</f>
        <v>11.49016393442623</v>
      </c>
      <c r="G3" s="38">
        <f>IFERROR(AVERAGEIF(Ticket!$B$2:$B$6003,A3,Ticket!$K$2:$K$6003),"Agent inactif")</f>
        <v>3.7652173913043478</v>
      </c>
      <c r="H3" s="37">
        <f>COUNTIF(Ticket!$B$2:$B$6003,A3)</f>
        <v>124</v>
      </c>
      <c r="I3" s="39">
        <f t="shared" ref="I3:I41" si="0">IFERROR((C3/H3),"Agent inactif")</f>
        <v>0.87903225806451613</v>
      </c>
      <c r="J3" s="37">
        <f t="shared" ref="J3:J41" si="1">H3-C3</f>
        <v>15</v>
      </c>
      <c r="K3" s="39">
        <f>IFERROR(AVERAGEIF(Ticket!$B$2:$B$6001,A3,Ticket!$N$2:$N$6001),"Agent inactif")</f>
        <v>0.75</v>
      </c>
      <c r="L3" s="37">
        <f>COUNTIFS(Ticket!$B$2:$B$6001,A3,Ticket!$F$2:$F$6001,"Bug technique")
+COUNTIFS(Ticket!$B$2:$B$6001,A3,Ticket!$F$2:$F$6001,"Problème de connexion")
+COUNTIFS(Ticket!$B$2:$B$6001,A3,Ticket!$F$2:$F$6001,"Question facturation")</f>
        <v>54</v>
      </c>
      <c r="M3" s="39">
        <f t="shared" ref="M3:M41" si="2">IFERROR((L3/C3),"Agent inactif")</f>
        <v>0.49541284403669728</v>
      </c>
      <c r="N3" s="38">
        <f>IFERROR(AVERAGEIF(Enquetes_Satisfaction!$G$2:$G$2202,A3,Enquetes_Satisfaction!$D$2:$D$2202),"Agent inactif")</f>
        <v>3.9750000000000001</v>
      </c>
      <c r="O3" s="38">
        <f>IFERROR(AVERAGEIF(Enquetes_Satisfaction!$G$2:$G$2202,A3,Enquetes_Satisfaction!$E$2:$E$2202),"Agent inactif")</f>
        <v>7.4324324324324325</v>
      </c>
      <c r="P3" s="38">
        <f t="shared" ref="P3:P41" si="3">IFERROR(D3/C3,"Agent inactif")</f>
        <v>8.131192660550461</v>
      </c>
      <c r="Q3" s="46">
        <f>IFERROR(COUNTIFS(Ticket!$B$2:$B$6001,A3,Ticket!$H$2:$H$6001,"Resolu")/(COUNTIFS(Ticket!$B$2:$B$6001,A3,Ticket!$H$2:$H$6001,"Non Resolu")+COUNTIFS(Ticket!$B$2:$B$6001,A3,Ticket!$H$2:$H$6001,"Resolu")+COUNTIFS(Ticket!$B$2:$B$6001,A3,Ticket!$H$2:$H$6001,"Ferme sans resolution")),"Agent inactif")</f>
        <v>0.6071428571428571</v>
      </c>
      <c r="R3" s="42">
        <f>COUNTIFS(Ticket!$B$2:$B$6001,A3,Ticket!$J$2:$J$6001,"&gt;"&amp;0)/C3</f>
        <v>0.30275229357798167</v>
      </c>
      <c r="S3" s="42">
        <f>IFERROR(COUNTIFS(Ticket!$B$2:$B$6001,A3,Ticket!$J$2:$J$6001,0,Ticket!$H$2:$H$6001,"Resolu")/H3,"Agent inactif")</f>
        <v>0.28225806451612906</v>
      </c>
      <c r="T3" s="41">
        <f t="shared" ref="T3:T41" si="4">C3/D3</f>
        <v>0.12298318853661286</v>
      </c>
      <c r="U3" s="47">
        <f>COUNTIF(Productivite!$A$2:$A$5603,A3)</f>
        <v>137</v>
      </c>
      <c r="V3" s="30">
        <f t="shared" ref="V3:V41" si="5">(U3-E3)/U3</f>
        <v>0.88321167883211682</v>
      </c>
    </row>
    <row r="4" spans="1:22" x14ac:dyDescent="0.35">
      <c r="A4" s="36" t="s">
        <v>29</v>
      </c>
      <c r="B4" s="37" t="s">
        <v>6093</v>
      </c>
      <c r="C4" s="37">
        <f>SUMIF(Productivite!$A$2:$A$5603,A4,Productivite!$D$2:$D$5603)</f>
        <v>113</v>
      </c>
      <c r="D4" s="38">
        <f>SUMIF(Productivite!$A$2:$A$5603,A4,Productivite!$C$2:$C$5603)</f>
        <v>847.10000000000025</v>
      </c>
      <c r="E4" s="37">
        <f>COUNTIFS(Productivite!$A$2:$A$5603,A4,Productivite!$E$2:$E$5603,"&lt;&gt;Non")</f>
        <v>15</v>
      </c>
      <c r="F4" s="38">
        <f>IFERROR(AVERAGEIF(Ticket!$B$2:$B$6003,A4,Ticket!$M$2:$M$6003),"Agent inactif")</f>
        <v>12.507086614173236</v>
      </c>
      <c r="G4" s="38">
        <f>IFERROR(AVERAGEIF(Ticket!$B$2:$B$6003,A4,Ticket!$K$2:$K$6003),"Agent inactif")</f>
        <v>3.8943089430894311</v>
      </c>
      <c r="H4" s="37">
        <f>COUNTIF(Ticket!$B$2:$B$6003,A4)</f>
        <v>131</v>
      </c>
      <c r="I4" s="39">
        <f t="shared" si="0"/>
        <v>0.86259541984732824</v>
      </c>
      <c r="J4" s="37">
        <f t="shared" si="1"/>
        <v>18</v>
      </c>
      <c r="K4" s="39">
        <f>IFERROR(AVERAGEIF(Ticket!$B$2:$B$6001,A4,Ticket!$N$2:$N$6001),"Agent inactif")</f>
        <v>0.63358778625954193</v>
      </c>
      <c r="L4" s="37">
        <f>COUNTIFS(Ticket!$B$2:$B$6001,A4,Ticket!$F$2:$F$6001,"Bug technique")
+COUNTIFS(Ticket!$B$2:$B$6001,A4,Ticket!$F$2:$F$6001,"Problème de connexion")
+COUNTIFS(Ticket!$B$2:$B$6001,A4,Ticket!$F$2:$F$6001,"Question facturation")</f>
        <v>45</v>
      </c>
      <c r="M4" s="39">
        <f t="shared" si="2"/>
        <v>0.39823008849557523</v>
      </c>
      <c r="N4" s="38">
        <f>IFERROR(AVERAGEIF(Enquetes_Satisfaction!$G$2:$G$2202,A4,Enquetes_Satisfaction!$D$2:$D$2202),"Agent inactif")</f>
        <v>3.9047619047619047</v>
      </c>
      <c r="O4" s="38">
        <f>IFERROR(AVERAGEIF(Enquetes_Satisfaction!$G$2:$G$2202,A4,Enquetes_Satisfaction!$E$2:$E$2202),"Agent inactif")</f>
        <v>7.8444444444444441</v>
      </c>
      <c r="P4" s="38">
        <f t="shared" si="3"/>
        <v>7.4964601769911523</v>
      </c>
      <c r="Q4" s="46">
        <f>IFERROR(COUNTIFS(Ticket!$B$2:$B$6001,A4,Ticket!$H$2:$H$6001,"Resolu")/(COUNTIFS(Ticket!$B$2:$B$6001,A4,Ticket!$H$2:$H$6001,"Non Resolu")+COUNTIFS(Ticket!$B$2:$B$6001,A4,Ticket!$H$2:$H$6001,"Resolu")+COUNTIFS(Ticket!$B$2:$B$6001,A4,Ticket!$H$2:$H$6001,"Ferme sans resolution")),"Agent inactif")</f>
        <v>0.46511627906976744</v>
      </c>
      <c r="R4" s="39">
        <f>COUNTIFS(Ticket!$B$2:$B$6001,A4,Ticket!$J$2:$J$6001,"&gt;"&amp;0)/C4</f>
        <v>0.22123893805309736</v>
      </c>
      <c r="S4" s="39">
        <f>IFERROR(COUNTIFS(Ticket!$B$2:$B$6001,A4,Ticket!$J$2:$J$6001,0,Ticket!$H$2:$H$6001,"Resolu")/H4,"Agent inactif")</f>
        <v>0.22137404580152673</v>
      </c>
      <c r="T4" s="38">
        <f t="shared" si="4"/>
        <v>0.13339629323574545</v>
      </c>
      <c r="U4" s="47">
        <f>COUNTIF(Productivite!$A$2:$A$5603,A4)</f>
        <v>136</v>
      </c>
      <c r="V4" s="30">
        <f t="shared" si="5"/>
        <v>0.88970588235294112</v>
      </c>
    </row>
    <row r="5" spans="1:22" x14ac:dyDescent="0.35">
      <c r="A5" s="36" t="s">
        <v>65</v>
      </c>
      <c r="B5" s="37" t="s">
        <v>6083</v>
      </c>
      <c r="C5" s="37">
        <f>SUMIF(Productivite!$A$2:$A$5603,A5,Productivite!$D$2:$D$5603)</f>
        <v>226</v>
      </c>
      <c r="D5" s="38">
        <f>SUMIF(Productivite!$A$2:$A$5603,A5,Productivite!$C$2:$C$5603)</f>
        <v>986.00000000000011</v>
      </c>
      <c r="E5" s="37">
        <f>COUNTIFS(Productivite!$A$2:$A$5603,A5,Productivite!$E$2:$E$5603,"&lt;&gt;Non")</f>
        <v>15</v>
      </c>
      <c r="F5" s="38">
        <f>IFERROR(AVERAGEIF(Ticket!$B$2:$B$6003,A5,Ticket!$M$2:$M$6003),"Agent inactif")</f>
        <v>12.714566929133865</v>
      </c>
      <c r="G5" s="38">
        <f>IFERROR(AVERAGEIF(Ticket!$B$2:$B$6003,A5,Ticket!$K$2:$K$6003),"Agent inactif")</f>
        <v>3.7745901639344264</v>
      </c>
      <c r="H5" s="37">
        <f>COUNTIF(Ticket!$B$2:$B$6003,A5)</f>
        <v>266</v>
      </c>
      <c r="I5" s="39">
        <f t="shared" si="0"/>
        <v>0.84962406015037595</v>
      </c>
      <c r="J5" s="37">
        <f t="shared" si="1"/>
        <v>40</v>
      </c>
      <c r="K5" s="39">
        <f>IFERROR(AVERAGEIF(Ticket!$B$2:$B$6001,A5,Ticket!$N$2:$N$6001),"Agent inactif")</f>
        <v>0.68045112781954886</v>
      </c>
      <c r="L5" s="37">
        <f>COUNTIFS(Ticket!$B$2:$B$6001,A5,Ticket!$F$2:$F$6001,"Bug technique")
+COUNTIFS(Ticket!$B$2:$B$6001,A5,Ticket!$F$2:$F$6001,"Problème de connexion")
+COUNTIFS(Ticket!$B$2:$B$6001,A5,Ticket!$F$2:$F$6001,"Question facturation")</f>
        <v>123</v>
      </c>
      <c r="M5" s="39">
        <f t="shared" si="2"/>
        <v>0.54424778761061943</v>
      </c>
      <c r="N5" s="38">
        <f>IFERROR(AVERAGEIF(Enquetes_Satisfaction!$G$2:$G$2202,A5,Enquetes_Satisfaction!$D$2:$D$2202),"Agent inactif")</f>
        <v>3.9425287356321839</v>
      </c>
      <c r="O5" s="38">
        <f>IFERROR(AVERAGEIF(Enquetes_Satisfaction!$G$2:$G$2202,A5,Enquetes_Satisfaction!$E$2:$E$2202),"Agent inactif")</f>
        <v>6.8</v>
      </c>
      <c r="P5" s="38">
        <f t="shared" si="3"/>
        <v>4.3628318584070804</v>
      </c>
      <c r="Q5" s="46">
        <f>IFERROR(COUNTIFS(Ticket!$B$2:$B$6001,A5,Ticket!$H$2:$H$6001,"Resolu")/(COUNTIFS(Ticket!$B$2:$B$6001,A5,Ticket!$H$2:$H$6001,"Non Resolu")+COUNTIFS(Ticket!$B$2:$B$6001,A5,Ticket!$H$2:$H$6001,"Resolu")+COUNTIFS(Ticket!$B$2:$B$6001,A5,Ticket!$H$2:$H$6001,"Ferme sans resolution")),"Agent inactif")</f>
        <v>0.58579881656804733</v>
      </c>
      <c r="R5" s="42">
        <f>COUNTIFS(Ticket!$B$2:$B$6001,A5,Ticket!$J$2:$J$6001,"&gt;"&amp;0)/C5</f>
        <v>0.28761061946902655</v>
      </c>
      <c r="S5" s="42">
        <f>IFERROR(COUNTIFS(Ticket!$B$2:$B$6001,A5,Ticket!$J$2:$J$6001,0,Ticket!$H$2:$H$6001,"Resolu")/H5,"Agent inactif")</f>
        <v>0.2781954887218045</v>
      </c>
      <c r="T5" s="41">
        <f t="shared" si="4"/>
        <v>0.22920892494929004</v>
      </c>
      <c r="U5" s="47">
        <f>COUNTIF(Productivite!$A$2:$A$5603,A5)</f>
        <v>163</v>
      </c>
      <c r="V5" s="30">
        <f t="shared" si="5"/>
        <v>0.90797546012269936</v>
      </c>
    </row>
    <row r="6" spans="1:22" x14ac:dyDescent="0.35">
      <c r="A6" s="36" t="s">
        <v>53</v>
      </c>
      <c r="B6" s="37" t="s">
        <v>6096</v>
      </c>
      <c r="C6" s="37">
        <f>SUMIF(Productivite!$A$2:$A$5603,A6,Productivite!$D$2:$D$5603)</f>
        <v>160</v>
      </c>
      <c r="D6" s="38">
        <f>SUMIF(Productivite!$A$2:$A$5603,A6,Productivite!$C$2:$C$5603)</f>
        <v>863.49999999999977</v>
      </c>
      <c r="E6" s="37">
        <f>COUNTIFS(Productivite!$A$2:$A$5603,A6,Productivite!$E$2:$E$5603,"&lt;&gt;Non")</f>
        <v>9</v>
      </c>
      <c r="F6" s="38">
        <f>IFERROR(AVERAGEIF(Ticket!$B$2:$B$6003,A6,Ticket!$M$2:$M$6003),"Agent inactif")</f>
        <v>12.543678160919537</v>
      </c>
      <c r="G6" s="38">
        <f>IFERROR(AVERAGEIF(Ticket!$B$2:$B$6003,A6,Ticket!$K$2:$K$6003),"Agent inactif")</f>
        <v>3.7705882352941176</v>
      </c>
      <c r="H6" s="37">
        <f>COUNTIF(Ticket!$B$2:$B$6003,A6)</f>
        <v>178</v>
      </c>
      <c r="I6" s="39">
        <f t="shared" si="0"/>
        <v>0.898876404494382</v>
      </c>
      <c r="J6" s="37">
        <f t="shared" si="1"/>
        <v>18</v>
      </c>
      <c r="K6" s="39">
        <f>IFERROR(AVERAGEIF(Ticket!$B$2:$B$6001,A6,Ticket!$N$2:$N$6001),"Agent inactif")</f>
        <v>0.6685393258426966</v>
      </c>
      <c r="L6" s="37">
        <f>COUNTIFS(Ticket!$B$2:$B$6001,A6,Ticket!$F$2:$F$6001,"Bug technique")
+COUNTIFS(Ticket!$B$2:$B$6001,A6,Ticket!$F$2:$F$6001,"Problème de connexion")
+COUNTIFS(Ticket!$B$2:$B$6001,A6,Ticket!$F$2:$F$6001,"Question facturation")</f>
        <v>65</v>
      </c>
      <c r="M6" s="39">
        <f t="shared" si="2"/>
        <v>0.40625</v>
      </c>
      <c r="N6" s="38">
        <f>IFERROR(AVERAGEIF(Enquetes_Satisfaction!$G$2:$G$2202,A6,Enquetes_Satisfaction!$D$2:$D$2202),"Agent inactif")</f>
        <v>3.7704918032786887</v>
      </c>
      <c r="O6" s="38">
        <f>IFERROR(AVERAGEIF(Enquetes_Satisfaction!$G$2:$G$2202,A6,Enquetes_Satisfaction!$E$2:$E$2202),"Agent inactif")</f>
        <v>7.8965517241379306</v>
      </c>
      <c r="P6" s="38">
        <f t="shared" si="3"/>
        <v>5.3968749999999988</v>
      </c>
      <c r="Q6" s="46">
        <f>IFERROR(COUNTIFS(Ticket!$B$2:$B$6001,A6,Ticket!$H$2:$H$6001,"Resolu")/(COUNTIFS(Ticket!$B$2:$B$6001,A6,Ticket!$H$2:$H$6001,"Non Resolu")+COUNTIFS(Ticket!$B$2:$B$6001,A6,Ticket!$H$2:$H$6001,"Resolu")+COUNTIFS(Ticket!$B$2:$B$6001,A6,Ticket!$H$2:$H$6001,"Ferme sans resolution")),"Agent inactif")</f>
        <v>0.55263157894736847</v>
      </c>
      <c r="R6" s="39">
        <f>COUNTIFS(Ticket!$B$2:$B$6001,A6,Ticket!$J$2:$J$6001,"&gt;"&amp;0)/C6</f>
        <v>0.31874999999999998</v>
      </c>
      <c r="S6" s="39">
        <f>IFERROR(COUNTIFS(Ticket!$B$2:$B$6001,A6,Ticket!$J$2:$J$6001,0,Ticket!$H$2:$H$6001,"Resolu")/H6,"Agent inactif")</f>
        <v>0.2303370786516854</v>
      </c>
      <c r="T6" s="38">
        <f t="shared" si="4"/>
        <v>0.1852924145917777</v>
      </c>
      <c r="U6" s="47">
        <f>COUNTIF(Productivite!$A$2:$A$5603,A6)</f>
        <v>139</v>
      </c>
      <c r="V6" s="30">
        <f t="shared" si="5"/>
        <v>0.93525179856115104</v>
      </c>
    </row>
    <row r="7" spans="1:22" x14ac:dyDescent="0.35">
      <c r="A7" s="43" t="s">
        <v>97</v>
      </c>
      <c r="B7" s="40" t="s">
        <v>6099</v>
      </c>
      <c r="C7" s="37">
        <f>SUMIF(Productivite!$A$2:$A$5603,A7,Productivite!$D$2:$D$5603)</f>
        <v>113</v>
      </c>
      <c r="D7" s="38">
        <f>SUMIF(Productivite!$A$2:$A$5603,A7,Productivite!$C$2:$C$5603)</f>
        <v>851.79999999999984</v>
      </c>
      <c r="E7" s="37">
        <f>COUNTIFS(Productivite!$A$2:$A$5603,A7,Productivite!$E$2:$E$5603,"&lt;&gt;Non")</f>
        <v>3</v>
      </c>
      <c r="F7" s="38">
        <f>IFERROR(AVERAGEIF(Ticket!$B$2:$B$6003,A7,Ticket!$M$2:$M$6003),"Agent inactif")</f>
        <v>12.009523809523809</v>
      </c>
      <c r="G7" s="38">
        <f>IFERROR(AVERAGEIF(Ticket!$B$2:$B$6003,A7,Ticket!$K$2:$K$6003),"Agent inactif")</f>
        <v>3.9279999999999999</v>
      </c>
      <c r="H7" s="37">
        <f>COUNTIF(Ticket!$B$2:$B$6003,A7)</f>
        <v>138</v>
      </c>
      <c r="I7" s="39">
        <f t="shared" si="0"/>
        <v>0.8188405797101449</v>
      </c>
      <c r="J7" s="37">
        <f t="shared" si="1"/>
        <v>25</v>
      </c>
      <c r="K7" s="39">
        <f>IFERROR(AVERAGEIF(Ticket!$B$2:$B$6001,A7,Ticket!$N$2:$N$6001),"Agent inactif")</f>
        <v>0.74637681159420288</v>
      </c>
      <c r="L7" s="37">
        <f>COUNTIFS(Ticket!$B$2:$B$6001,A7,Ticket!$F$2:$F$6001,"Bug technique")
+COUNTIFS(Ticket!$B$2:$B$6001,A7,Ticket!$F$2:$F$6001,"Problème de connexion")
+COUNTIFS(Ticket!$B$2:$B$6001,A7,Ticket!$F$2:$F$6001,"Question facturation")</f>
        <v>53</v>
      </c>
      <c r="M7" s="39">
        <f t="shared" si="2"/>
        <v>0.46902654867256638</v>
      </c>
      <c r="N7" s="38">
        <f>IFERROR(AVERAGEIF(Enquetes_Satisfaction!$G$2:$G$2202,A7,Enquetes_Satisfaction!$D$2:$D$2202),"Agent inactif")</f>
        <v>3.7692307692307692</v>
      </c>
      <c r="O7" s="38">
        <f>IFERROR(AVERAGEIF(Enquetes_Satisfaction!$G$2:$G$2202,A7,Enquetes_Satisfaction!$E$2:$E$2202),"Agent inactif")</f>
        <v>8.1090909090909093</v>
      </c>
      <c r="P7" s="38">
        <f t="shared" si="3"/>
        <v>7.5380530973451316</v>
      </c>
      <c r="Q7" s="46">
        <f>IFERROR(COUNTIFS(Ticket!$B$2:$B$6001,A7,Ticket!$H$2:$H$6001,"Resolu")/(COUNTIFS(Ticket!$B$2:$B$6001,A7,Ticket!$H$2:$H$6001,"Non Resolu")+COUNTIFS(Ticket!$B$2:$B$6001,A7,Ticket!$H$2:$H$6001,"Resolu")+COUNTIFS(Ticket!$B$2:$B$6001,A7,Ticket!$H$2:$H$6001,"Ferme sans resolution")),"Agent inactif")</f>
        <v>0.57471264367816088</v>
      </c>
      <c r="R7" s="42">
        <f>COUNTIFS(Ticket!$B$2:$B$6001,A7,Ticket!$J$2:$J$6001,"&gt;"&amp;0)/C7</f>
        <v>0.34513274336283184</v>
      </c>
      <c r="S7" s="42">
        <f>IFERROR(COUNTIFS(Ticket!$B$2:$B$6001,A7,Ticket!$J$2:$J$6001,0,Ticket!$H$2:$H$6001,"Resolu")/H7,"Agent inactif")</f>
        <v>0.26811594202898553</v>
      </c>
      <c r="T7" s="41">
        <f t="shared" si="4"/>
        <v>0.13266024888471475</v>
      </c>
      <c r="U7" s="47">
        <f>COUNTIF(Productivite!$A$2:$A$5603,A7)</f>
        <v>134</v>
      </c>
      <c r="V7" s="30">
        <f t="shared" si="5"/>
        <v>0.97761194029850751</v>
      </c>
    </row>
    <row r="8" spans="1:22" x14ac:dyDescent="0.35">
      <c r="A8" s="36" t="s">
        <v>108</v>
      </c>
      <c r="B8" s="37" t="s">
        <v>6100</v>
      </c>
      <c r="C8" s="37">
        <f>SUMIF(Productivite!$A$2:$A$5603,A8,Productivite!$D$2:$D$5603)</f>
        <v>112</v>
      </c>
      <c r="D8" s="38">
        <f>SUMIF(Productivite!$A$2:$A$5603,A8,Productivite!$C$2:$C$5603)</f>
        <v>782.80000000000018</v>
      </c>
      <c r="E8" s="37">
        <f>COUNTIFS(Productivite!$A$2:$A$5603,A8,Productivite!$E$2:$E$5603,"&lt;&gt;Non")</f>
        <v>9</v>
      </c>
      <c r="F8" s="38">
        <f>IFERROR(AVERAGEIF(Ticket!$B$2:$B$6003,A8,Ticket!$M$2:$M$6003),"Agent inactif")</f>
        <v>11.197709923664123</v>
      </c>
      <c r="G8" s="38">
        <f>IFERROR(AVERAGEIF(Ticket!$B$2:$B$6003,A8,Ticket!$K$2:$K$6003),"Agent inactif")</f>
        <v>3.6991869918699187</v>
      </c>
      <c r="H8" s="37">
        <f>COUNTIF(Ticket!$B$2:$B$6003,A8)</f>
        <v>136</v>
      </c>
      <c r="I8" s="39">
        <f t="shared" si="0"/>
        <v>0.82352941176470584</v>
      </c>
      <c r="J8" s="37">
        <f t="shared" si="1"/>
        <v>24</v>
      </c>
      <c r="K8" s="39">
        <f>IFERROR(AVERAGEIF(Ticket!$B$2:$B$6001,A8,Ticket!$N$2:$N$6001),"Agent inactif")</f>
        <v>0.67647058823529416</v>
      </c>
      <c r="L8" s="37">
        <f>COUNTIFS(Ticket!$B$2:$B$6001,A8,Ticket!$F$2:$F$6001,"Bug technique")
+COUNTIFS(Ticket!$B$2:$B$6001,A8,Ticket!$F$2:$F$6001,"Problème de connexion")
+COUNTIFS(Ticket!$B$2:$B$6001,A8,Ticket!$F$2:$F$6001,"Question facturation")</f>
        <v>38</v>
      </c>
      <c r="M8" s="39">
        <f t="shared" si="2"/>
        <v>0.3392857142857143</v>
      </c>
      <c r="N8" s="38">
        <f>IFERROR(AVERAGEIF(Enquetes_Satisfaction!$G$2:$G$2202,A8,Enquetes_Satisfaction!$D$2:$D$2202),"Agent inactif")</f>
        <v>3.7391304347826089</v>
      </c>
      <c r="O8" s="38">
        <f>IFERROR(AVERAGEIF(Enquetes_Satisfaction!$G$2:$G$2202,A8,Enquetes_Satisfaction!$E$2:$E$2202),"Agent inactif")</f>
        <v>7.1627906976744189</v>
      </c>
      <c r="P8" s="38">
        <f t="shared" si="3"/>
        <v>6.9892857142857157</v>
      </c>
      <c r="Q8" s="46">
        <f>IFERROR(COUNTIFS(Ticket!$B$2:$B$6001,A8,Ticket!$H$2:$H$6001,"Resolu")/(COUNTIFS(Ticket!$B$2:$B$6001,A8,Ticket!$H$2:$H$6001,"Non Resolu")+COUNTIFS(Ticket!$B$2:$B$6001,A8,Ticket!$H$2:$H$6001,"Resolu")+COUNTIFS(Ticket!$B$2:$B$6001,A8,Ticket!$H$2:$H$6001,"Ferme sans resolution")),"Agent inactif")</f>
        <v>0.52040816326530615</v>
      </c>
      <c r="R8" s="39">
        <f>COUNTIFS(Ticket!$B$2:$B$6001,A8,Ticket!$J$2:$J$6001,"&gt;"&amp;0)/C8</f>
        <v>0.32142857142857145</v>
      </c>
      <c r="S8" s="39">
        <f>IFERROR(COUNTIFS(Ticket!$B$2:$B$6001,A8,Ticket!$J$2:$J$6001,0,Ticket!$H$2:$H$6001,"Resolu")/H8,"Agent inactif")</f>
        <v>0.3014705882352941</v>
      </c>
      <c r="T8" s="38">
        <f t="shared" si="4"/>
        <v>0.14307613694430246</v>
      </c>
      <c r="U8" s="47">
        <f>COUNTIF(Productivite!$A$2:$A$5603,A8)</f>
        <v>134</v>
      </c>
      <c r="V8" s="30">
        <f t="shared" si="5"/>
        <v>0.93283582089552242</v>
      </c>
    </row>
    <row r="9" spans="1:22" x14ac:dyDescent="0.35">
      <c r="A9" s="43" t="s">
        <v>126</v>
      </c>
      <c r="B9" s="40" t="s">
        <v>6101</v>
      </c>
      <c r="C9" s="37">
        <f>SUMIF(Productivite!$A$2:$A$5603,A9,Productivite!$D$2:$D$5603)</f>
        <v>108</v>
      </c>
      <c r="D9" s="38">
        <f>SUMIF(Productivite!$A$2:$A$5603,A9,Productivite!$C$2:$C$5603)</f>
        <v>853.30000000000007</v>
      </c>
      <c r="E9" s="37">
        <f>COUNTIFS(Productivite!$A$2:$A$5603,A9,Productivite!$E$2:$E$5603,"&lt;&gt;Non")</f>
        <v>11</v>
      </c>
      <c r="F9" s="38">
        <f>IFERROR(AVERAGEIF(Ticket!$B$2:$B$6003,A9,Ticket!$M$2:$M$6003),"Agent inactif")</f>
        <v>11.261739130434782</v>
      </c>
      <c r="G9" s="38">
        <f>IFERROR(AVERAGEIF(Ticket!$B$2:$B$6003,A9,Ticket!$K$2:$K$6003),"Agent inactif")</f>
        <v>3.8245614035087718</v>
      </c>
      <c r="H9" s="37">
        <f>COUNTIF(Ticket!$B$2:$B$6003,A9)</f>
        <v>127</v>
      </c>
      <c r="I9" s="39">
        <f t="shared" si="0"/>
        <v>0.85039370078740162</v>
      </c>
      <c r="J9" s="37">
        <f t="shared" si="1"/>
        <v>19</v>
      </c>
      <c r="K9" s="39">
        <f>IFERROR(AVERAGEIF(Ticket!$B$2:$B$6001,A9,Ticket!$N$2:$N$6001),"Agent inactif")</f>
        <v>0.73228346456692917</v>
      </c>
      <c r="L9" s="37">
        <f>COUNTIFS(Ticket!$B$2:$B$6001,A9,Ticket!$F$2:$F$6001,"Bug technique")
+COUNTIFS(Ticket!$B$2:$B$6001,A9,Ticket!$F$2:$F$6001,"Problème de connexion")
+COUNTIFS(Ticket!$B$2:$B$6001,A9,Ticket!$F$2:$F$6001,"Question facturation")</f>
        <v>55</v>
      </c>
      <c r="M9" s="39">
        <f t="shared" si="2"/>
        <v>0.5092592592592593</v>
      </c>
      <c r="N9" s="38">
        <f>IFERROR(AVERAGEIF(Enquetes_Satisfaction!$G$2:$G$2202,A9,Enquetes_Satisfaction!$D$2:$D$2202),"Agent inactif")</f>
        <v>3.8823529411764706</v>
      </c>
      <c r="O9" s="38">
        <f>IFERROR(AVERAGEIF(Enquetes_Satisfaction!$G$2:$G$2202,A9,Enquetes_Satisfaction!$E$2:$E$2202),"Agent inactif")</f>
        <v>7.3055555555555554</v>
      </c>
      <c r="P9" s="38">
        <f t="shared" si="3"/>
        <v>7.9009259259259261</v>
      </c>
      <c r="Q9" s="46">
        <f>IFERROR(COUNTIFS(Ticket!$B$2:$B$6001,A9,Ticket!$H$2:$H$6001,"Resolu")/(COUNTIFS(Ticket!$B$2:$B$6001,A9,Ticket!$H$2:$H$6001,"Non Resolu")+COUNTIFS(Ticket!$B$2:$B$6001,A9,Ticket!$H$2:$H$6001,"Resolu")+COUNTIFS(Ticket!$B$2:$B$6001,A9,Ticket!$H$2:$H$6001,"Ferme sans resolution")),"Agent inactif")</f>
        <v>0.5357142857142857</v>
      </c>
      <c r="R9" s="42">
        <f>COUNTIFS(Ticket!$B$2:$B$6001,A9,Ticket!$J$2:$J$6001,"&gt;"&amp;0)/C9</f>
        <v>0.37037037037037035</v>
      </c>
      <c r="S9" s="42">
        <f>IFERROR(COUNTIFS(Ticket!$B$2:$B$6001,A9,Ticket!$J$2:$J$6001,0,Ticket!$H$2:$H$6001,"Resolu")/H9,"Agent inactif")</f>
        <v>0.25196850393700787</v>
      </c>
      <c r="T9" s="41">
        <f t="shared" si="4"/>
        <v>0.12656744404078282</v>
      </c>
      <c r="U9" s="47">
        <f>COUNTIF(Productivite!$A$2:$A$5603,A9)</f>
        <v>134</v>
      </c>
      <c r="V9" s="30">
        <f t="shared" si="5"/>
        <v>0.91791044776119401</v>
      </c>
    </row>
    <row r="10" spans="1:22" x14ac:dyDescent="0.35">
      <c r="A10" s="36" t="s">
        <v>146</v>
      </c>
      <c r="B10" s="37" t="s">
        <v>6102</v>
      </c>
      <c r="C10" s="37">
        <f>SUMIF(Productivite!$A$2:$A$5603,A10,Productivite!$D$2:$D$5603)</f>
        <v>139</v>
      </c>
      <c r="D10" s="38">
        <f>SUMIF(Productivite!$A$2:$A$5603,A10,Productivite!$C$2:$C$5603)</f>
        <v>773.00000000000023</v>
      </c>
      <c r="E10" s="37">
        <f>COUNTIFS(Productivite!$A$2:$A$5603,A10,Productivite!$E$2:$E$5603,"&lt;&gt;Non")</f>
        <v>17</v>
      </c>
      <c r="F10" s="38">
        <f>IFERROR(AVERAGEIF(Ticket!$B$2:$B$6003,A10,Ticket!$M$2:$M$6003),"Agent inactif")</f>
        <v>12.568707482993192</v>
      </c>
      <c r="G10" s="38">
        <f>IFERROR(AVERAGEIF(Ticket!$B$2:$B$6003,A10,Ticket!$K$2:$K$6003),"Agent inactif")</f>
        <v>3.8041958041958042</v>
      </c>
      <c r="H10" s="37">
        <f>COUNTIF(Ticket!$B$2:$B$6003,A10)</f>
        <v>151</v>
      </c>
      <c r="I10" s="39">
        <f t="shared" si="0"/>
        <v>0.92052980132450335</v>
      </c>
      <c r="J10" s="37">
        <f t="shared" si="1"/>
        <v>12</v>
      </c>
      <c r="K10" s="39">
        <f>IFERROR(AVERAGEIF(Ticket!$B$2:$B$6001,A10,Ticket!$N$2:$N$6001),"Agent inactif")</f>
        <v>0.68211920529801329</v>
      </c>
      <c r="L10" s="37">
        <f>COUNTIFS(Ticket!$B$2:$B$6001,A10,Ticket!$F$2:$F$6001,"Bug technique")
+COUNTIFS(Ticket!$B$2:$B$6001,A10,Ticket!$F$2:$F$6001,"Problème de connexion")
+COUNTIFS(Ticket!$B$2:$B$6001,A10,Ticket!$F$2:$F$6001,"Question facturation")</f>
        <v>54</v>
      </c>
      <c r="M10" s="39">
        <f t="shared" si="2"/>
        <v>0.38848920863309355</v>
      </c>
      <c r="N10" s="38">
        <f>IFERROR(AVERAGEIF(Enquetes_Satisfaction!$G$2:$G$2202,A10,Enquetes_Satisfaction!$D$2:$D$2202),"Agent inactif")</f>
        <v>3.8039215686274508</v>
      </c>
      <c r="O10" s="38">
        <f>IFERROR(AVERAGEIF(Enquetes_Satisfaction!$G$2:$G$2202,A10,Enquetes_Satisfaction!$E$2:$E$2202),"Agent inactif")</f>
        <v>7.92</v>
      </c>
      <c r="P10" s="38">
        <f t="shared" si="3"/>
        <v>5.5611510791366925</v>
      </c>
      <c r="Q10" s="46">
        <f>IFERROR(COUNTIFS(Ticket!$B$2:$B$6001,A10,Ticket!$H$2:$H$6001,"Resolu")/(COUNTIFS(Ticket!$B$2:$B$6001,A10,Ticket!$H$2:$H$6001,"Non Resolu")+COUNTIFS(Ticket!$B$2:$B$6001,A10,Ticket!$H$2:$H$6001,"Resolu")+COUNTIFS(Ticket!$B$2:$B$6001,A10,Ticket!$H$2:$H$6001,"Ferme sans resolution")),"Agent inactif")</f>
        <v>0.51515151515151514</v>
      </c>
      <c r="R10" s="39">
        <f>COUNTIFS(Ticket!$B$2:$B$6001,A10,Ticket!$J$2:$J$6001,"&gt;"&amp;0)/C10</f>
        <v>0.2805755395683453</v>
      </c>
      <c r="S10" s="39">
        <f>IFERROR(COUNTIFS(Ticket!$B$2:$B$6001,A10,Ticket!$J$2:$J$6001,0,Ticket!$H$2:$H$6001,"Resolu")/H10,"Agent inactif")</f>
        <v>0.23178807947019867</v>
      </c>
      <c r="T10" s="38">
        <f t="shared" si="4"/>
        <v>0.17981888745148766</v>
      </c>
      <c r="U10" s="47">
        <f>COUNTIF(Productivite!$A$2:$A$5603,A10)</f>
        <v>130</v>
      </c>
      <c r="V10" s="30">
        <f t="shared" si="5"/>
        <v>0.86923076923076925</v>
      </c>
    </row>
    <row r="11" spans="1:22" x14ac:dyDescent="0.35">
      <c r="A11" s="43" t="s">
        <v>89</v>
      </c>
      <c r="B11" s="40" t="s">
        <v>6090</v>
      </c>
      <c r="C11" s="37">
        <f>SUMIF(Productivite!$A$2:$A$5603,A11,Productivite!$D$2:$D$5603)</f>
        <v>296</v>
      </c>
      <c r="D11" s="38">
        <f>SUMIF(Productivite!$A$2:$A$5603,A11,Productivite!$C$2:$C$5603)</f>
        <v>1015.1000000000005</v>
      </c>
      <c r="E11" s="37">
        <f>COUNTIFS(Productivite!$A$2:$A$5603,A11,Productivite!$E$2:$E$5603,"&lt;&gt;Non")</f>
        <v>13</v>
      </c>
      <c r="F11" s="38">
        <f>IFERROR(AVERAGEIF(Ticket!$B$2:$B$6003,A11,Ticket!$M$2:$M$6003),"Agent inactif")</f>
        <v>12.515789473684217</v>
      </c>
      <c r="G11" s="38">
        <f>IFERROR(AVERAGEIF(Ticket!$B$2:$B$6003,A11,Ticket!$K$2:$K$6003),"Agent inactif")</f>
        <v>3.7551020408163267</v>
      </c>
      <c r="H11" s="37">
        <f>COUNTIF(Ticket!$B$2:$B$6003,A11)</f>
        <v>324</v>
      </c>
      <c r="I11" s="39">
        <f t="shared" si="0"/>
        <v>0.9135802469135802</v>
      </c>
      <c r="J11" s="37">
        <f t="shared" si="1"/>
        <v>28</v>
      </c>
      <c r="K11" s="39">
        <f>IFERROR(AVERAGEIF(Ticket!$B$2:$B$6001,A11,Ticket!$N$2:$N$6001),"Agent inactif")</f>
        <v>0.6728395061728395</v>
      </c>
      <c r="L11" s="37">
        <f>COUNTIFS(Ticket!$B$2:$B$6001,A11,Ticket!$F$2:$F$6001,"Bug technique")
+COUNTIFS(Ticket!$B$2:$B$6001,A11,Ticket!$F$2:$F$6001,"Problème de connexion")
+COUNTIFS(Ticket!$B$2:$B$6001,A11,Ticket!$F$2:$F$6001,"Question facturation")</f>
        <v>116</v>
      </c>
      <c r="M11" s="39">
        <f t="shared" si="2"/>
        <v>0.39189189189189189</v>
      </c>
      <c r="N11" s="38">
        <f>IFERROR(AVERAGEIF(Enquetes_Satisfaction!$G$2:$G$2202,A11,Enquetes_Satisfaction!$D$2:$D$2202),"Agent inactif")</f>
        <v>3.975609756097561</v>
      </c>
      <c r="O11" s="38">
        <f>IFERROR(AVERAGEIF(Enquetes_Satisfaction!$G$2:$G$2202,A11,Enquetes_Satisfaction!$E$2:$E$2202),"Agent inactif")</f>
        <v>7.120967741935484</v>
      </c>
      <c r="P11" s="38">
        <f t="shared" si="3"/>
        <v>3.4293918918918935</v>
      </c>
      <c r="Q11" s="46">
        <f>IFERROR(COUNTIFS(Ticket!$B$2:$B$6001,A11,Ticket!$H$2:$H$6001,"Resolu")/(COUNTIFS(Ticket!$B$2:$B$6001,A11,Ticket!$H$2:$H$6001,"Non Resolu")+COUNTIFS(Ticket!$B$2:$B$6001,A11,Ticket!$H$2:$H$6001,"Resolu")+COUNTIFS(Ticket!$B$2:$B$6001,A11,Ticket!$H$2:$H$6001,"Ferme sans resolution")),"Agent inactif")</f>
        <v>0.60096153846153844</v>
      </c>
      <c r="R11" s="42">
        <f>COUNTIFS(Ticket!$B$2:$B$6001,A11,Ticket!$J$2:$J$6001,"&gt;"&amp;0)/C11</f>
        <v>0.26351351351351349</v>
      </c>
      <c r="S11" s="42">
        <f>IFERROR(COUNTIFS(Ticket!$B$2:$B$6001,A11,Ticket!$J$2:$J$6001,0,Ticket!$H$2:$H$6001,"Resolu")/H11,"Agent inactif")</f>
        <v>0.28703703703703703</v>
      </c>
      <c r="T11" s="41">
        <f t="shared" si="4"/>
        <v>0.29159688700620617</v>
      </c>
      <c r="U11" s="47">
        <f>COUNTIF(Productivite!$A$2:$A$5603,A11)</f>
        <v>158</v>
      </c>
      <c r="V11" s="30">
        <f t="shared" si="5"/>
        <v>0.91772151898734178</v>
      </c>
    </row>
    <row r="12" spans="1:22" x14ac:dyDescent="0.35">
      <c r="A12" s="36" t="s">
        <v>253</v>
      </c>
      <c r="B12" s="37" t="s">
        <v>6103</v>
      </c>
      <c r="C12" s="37">
        <f>SUMIF(Productivite!$A$2:$A$5603,A12,Productivite!$D$2:$D$5603)</f>
        <v>93</v>
      </c>
      <c r="D12" s="38">
        <f>SUMIF(Productivite!$A$2:$A$5603,A12,Productivite!$C$2:$C$5603)</f>
        <v>835.60000000000025</v>
      </c>
      <c r="E12" s="37">
        <f>COUNTIFS(Productivite!$A$2:$A$5603,A12,Productivite!$E$2:$E$5603,"&lt;&gt;Non")</f>
        <v>13</v>
      </c>
      <c r="F12" s="38">
        <f>IFERROR(AVERAGEIF(Ticket!$B$2:$B$6003,A12,Ticket!$M$2:$M$6003),"Agent inactif")</f>
        <v>12.590178571428572</v>
      </c>
      <c r="G12" s="38">
        <f>IFERROR(AVERAGEIF(Ticket!$B$2:$B$6003,A12,Ticket!$K$2:$K$6003),"Agent inactif")</f>
        <v>3.8828828828828827</v>
      </c>
      <c r="H12" s="37">
        <f>COUNTIF(Ticket!$B$2:$B$6003,A12)</f>
        <v>116</v>
      </c>
      <c r="I12" s="39">
        <f t="shared" si="0"/>
        <v>0.80172413793103448</v>
      </c>
      <c r="J12" s="37">
        <f t="shared" si="1"/>
        <v>23</v>
      </c>
      <c r="K12" s="39">
        <f>IFERROR(AVERAGEIF(Ticket!$B$2:$B$6001,A12,Ticket!$N$2:$N$6001),"Agent inactif")</f>
        <v>0.72413793103448276</v>
      </c>
      <c r="L12" s="37">
        <f>COUNTIFS(Ticket!$B$2:$B$6001,A12,Ticket!$F$2:$F$6001,"Bug technique")
+COUNTIFS(Ticket!$B$2:$B$6001,A12,Ticket!$F$2:$F$6001,"Problème de connexion")
+COUNTIFS(Ticket!$B$2:$B$6001,A12,Ticket!$F$2:$F$6001,"Question facturation")</f>
        <v>52</v>
      </c>
      <c r="M12" s="39">
        <f t="shared" si="2"/>
        <v>0.55913978494623651</v>
      </c>
      <c r="N12" s="38">
        <f>IFERROR(AVERAGEIF(Enquetes_Satisfaction!$G$2:$G$2202,A12,Enquetes_Satisfaction!$D$2:$D$2202),"Agent inactif")</f>
        <v>4</v>
      </c>
      <c r="O12" s="38">
        <f>IFERROR(AVERAGEIF(Enquetes_Satisfaction!$G$2:$G$2202,A12,Enquetes_Satisfaction!$E$2:$E$2202),"Agent inactif")</f>
        <v>7.2</v>
      </c>
      <c r="P12" s="38">
        <f t="shared" si="3"/>
        <v>8.9849462365591428</v>
      </c>
      <c r="Q12" s="46">
        <f>IFERROR(COUNTIFS(Ticket!$B$2:$B$6001,A12,Ticket!$H$2:$H$6001,"Resolu")/(COUNTIFS(Ticket!$B$2:$B$6001,A12,Ticket!$H$2:$H$6001,"Non Resolu")+COUNTIFS(Ticket!$B$2:$B$6001,A12,Ticket!$H$2:$H$6001,"Resolu")+COUNTIFS(Ticket!$B$2:$B$6001,A12,Ticket!$H$2:$H$6001,"Ferme sans resolution")),"Agent inactif")</f>
        <v>0.59740259740259738</v>
      </c>
      <c r="R12" s="39">
        <f>COUNTIFS(Ticket!$B$2:$B$6001,A12,Ticket!$J$2:$J$6001,"&gt;"&amp;0)/C12</f>
        <v>0.30107526881720431</v>
      </c>
      <c r="S12" s="39">
        <f>IFERROR(COUNTIFS(Ticket!$B$2:$B$6001,A12,Ticket!$J$2:$J$6001,0,Ticket!$H$2:$H$6001,"Resolu")/H12,"Agent inactif")</f>
        <v>0.30172413793103448</v>
      </c>
      <c r="T12" s="38">
        <f t="shared" si="4"/>
        <v>0.11129727142173286</v>
      </c>
      <c r="U12" s="47">
        <f>COUNTIF(Productivite!$A$2:$A$5603,A12)</f>
        <v>135</v>
      </c>
      <c r="V12" s="30">
        <f t="shared" si="5"/>
        <v>0.90370370370370368</v>
      </c>
    </row>
    <row r="13" spans="1:22" x14ac:dyDescent="0.35">
      <c r="A13" s="43" t="s">
        <v>236</v>
      </c>
      <c r="B13" s="40" t="s">
        <v>6104</v>
      </c>
      <c r="C13" s="37">
        <f>SUMIF(Productivite!$A$2:$A$5603,A13,Productivite!$D$2:$D$5603)</f>
        <v>129</v>
      </c>
      <c r="D13" s="38">
        <f>SUMIF(Productivite!$A$2:$A$5603,A13,Productivite!$C$2:$C$5603)</f>
        <v>808.5</v>
      </c>
      <c r="E13" s="37">
        <f>COUNTIFS(Productivite!$A$2:$A$5603,A13,Productivite!$E$2:$E$5603,"&lt;&gt;Non")</f>
        <v>20</v>
      </c>
      <c r="F13" s="38">
        <f>IFERROR(AVERAGEIF(Ticket!$B$2:$B$6003,A13,Ticket!$M$2:$M$6003),"Agent inactif")</f>
        <v>11.590909090909093</v>
      </c>
      <c r="G13" s="38">
        <f>IFERROR(AVERAGEIF(Ticket!$B$2:$B$6003,A13,Ticket!$K$2:$K$6003),"Agent inactif")</f>
        <v>3.9019607843137254</v>
      </c>
      <c r="H13" s="37">
        <f>COUNTIF(Ticket!$B$2:$B$6003,A13)</f>
        <v>159</v>
      </c>
      <c r="I13" s="39">
        <f t="shared" si="0"/>
        <v>0.81132075471698117</v>
      </c>
      <c r="J13" s="37">
        <f t="shared" si="1"/>
        <v>30</v>
      </c>
      <c r="K13" s="39">
        <f>IFERROR(AVERAGEIF(Ticket!$B$2:$B$6001,A13,Ticket!$N$2:$N$6001),"Agent inactif")</f>
        <v>0.74213836477987416</v>
      </c>
      <c r="L13" s="37">
        <f>COUNTIFS(Ticket!$B$2:$B$6001,A13,Ticket!$F$2:$F$6001,"Bug technique")
+COUNTIFS(Ticket!$B$2:$B$6001,A13,Ticket!$F$2:$F$6001,"Problème de connexion")
+COUNTIFS(Ticket!$B$2:$B$6001,A13,Ticket!$F$2:$F$6001,"Question facturation")</f>
        <v>60</v>
      </c>
      <c r="M13" s="39">
        <f t="shared" si="2"/>
        <v>0.46511627906976744</v>
      </c>
      <c r="N13" s="38">
        <f>IFERROR(AVERAGEIF(Enquetes_Satisfaction!$G$2:$G$2202,A13,Enquetes_Satisfaction!$D$2:$D$2202),"Agent inactif")</f>
        <v>3.8928571428571428</v>
      </c>
      <c r="O13" s="38">
        <f>IFERROR(AVERAGEIF(Enquetes_Satisfaction!$G$2:$G$2202,A13,Enquetes_Satisfaction!$E$2:$E$2202),"Agent inactif")</f>
        <v>7.4339622641509431</v>
      </c>
      <c r="P13" s="38">
        <f t="shared" si="3"/>
        <v>6.2674418604651159</v>
      </c>
      <c r="Q13" s="46">
        <f>IFERROR(COUNTIFS(Ticket!$B$2:$B$6001,A13,Ticket!$H$2:$H$6001,"Resolu")/(COUNTIFS(Ticket!$B$2:$B$6001,A13,Ticket!$H$2:$H$6001,"Non Resolu")+COUNTIFS(Ticket!$B$2:$B$6001,A13,Ticket!$H$2:$H$6001,"Resolu")+COUNTIFS(Ticket!$B$2:$B$6001,A13,Ticket!$H$2:$H$6001,"Ferme sans resolution")),"Agent inactif")</f>
        <v>0.5446428571428571</v>
      </c>
      <c r="R13" s="42">
        <f>COUNTIFS(Ticket!$B$2:$B$6001,A13,Ticket!$J$2:$J$6001,"&gt;"&amp;0)/C13</f>
        <v>0.24806201550387597</v>
      </c>
      <c r="S13" s="42">
        <f>IFERROR(COUNTIFS(Ticket!$B$2:$B$6001,A13,Ticket!$J$2:$J$6001,0,Ticket!$H$2:$H$6001,"Resolu")/H13,"Agent inactif")</f>
        <v>0.28930817610062892</v>
      </c>
      <c r="T13" s="41">
        <f t="shared" si="4"/>
        <v>0.15955473098330242</v>
      </c>
      <c r="U13" s="47">
        <f>COUNTIF(Productivite!$A$2:$A$5603,A13)</f>
        <v>133</v>
      </c>
      <c r="V13" s="30">
        <f t="shared" si="5"/>
        <v>0.84962406015037595</v>
      </c>
    </row>
    <row r="14" spans="1:22" x14ac:dyDescent="0.35">
      <c r="A14" s="36" t="s">
        <v>87</v>
      </c>
      <c r="B14" s="37" t="s">
        <v>6105</v>
      </c>
      <c r="C14" s="37">
        <f>SUMIF(Productivite!$A$2:$A$5603,A14,Productivite!$D$2:$D$5603)</f>
        <v>131</v>
      </c>
      <c r="D14" s="38">
        <f>SUMIF(Productivite!$A$2:$A$5603,A14,Productivite!$C$2:$C$5603)</f>
        <v>840.30000000000018</v>
      </c>
      <c r="E14" s="37">
        <f>COUNTIFS(Productivite!$A$2:$A$5603,A14,Productivite!$E$2:$E$5603,"&lt;&gt;Non")</f>
        <v>16</v>
      </c>
      <c r="F14" s="38">
        <f>IFERROR(AVERAGEIF(Ticket!$B$2:$B$6003,A14,Ticket!$M$2:$M$6003),"Agent inactif")</f>
        <v>11.395348837209296</v>
      </c>
      <c r="G14" s="38">
        <f>IFERROR(AVERAGEIF(Ticket!$B$2:$B$6003,A14,Ticket!$K$2:$K$6003),"Agent inactif")</f>
        <v>3.6904761904761907</v>
      </c>
      <c r="H14" s="37">
        <f>COUNTIF(Ticket!$B$2:$B$6003,A14)</f>
        <v>142</v>
      </c>
      <c r="I14" s="39">
        <f t="shared" si="0"/>
        <v>0.92253521126760563</v>
      </c>
      <c r="J14" s="37">
        <f t="shared" si="1"/>
        <v>11</v>
      </c>
      <c r="K14" s="39">
        <f>IFERROR(AVERAGEIF(Ticket!$B$2:$B$6001,A14,Ticket!$N$2:$N$6001),"Agent inactif")</f>
        <v>0.70422535211267601</v>
      </c>
      <c r="L14" s="37">
        <f>COUNTIFS(Ticket!$B$2:$B$6001,A14,Ticket!$F$2:$F$6001,"Bug technique")
+COUNTIFS(Ticket!$B$2:$B$6001,A14,Ticket!$F$2:$F$6001,"Problème de connexion")
+COUNTIFS(Ticket!$B$2:$B$6001,A14,Ticket!$F$2:$F$6001,"Question facturation")</f>
        <v>51</v>
      </c>
      <c r="M14" s="39">
        <f t="shared" si="2"/>
        <v>0.38931297709923662</v>
      </c>
      <c r="N14" s="38">
        <f>IFERROR(AVERAGEIF(Enquetes_Satisfaction!$G$2:$G$2202,A14,Enquetes_Satisfaction!$D$2:$D$2202),"Agent inactif")</f>
        <v>4.0769230769230766</v>
      </c>
      <c r="O14" s="38">
        <f>IFERROR(AVERAGEIF(Enquetes_Satisfaction!$G$2:$G$2202,A14,Enquetes_Satisfaction!$E$2:$E$2202),"Agent inactif")</f>
        <v>6.74</v>
      </c>
      <c r="P14" s="38">
        <f t="shared" si="3"/>
        <v>6.4145038167938946</v>
      </c>
      <c r="Q14" s="46">
        <f>IFERROR(COUNTIFS(Ticket!$B$2:$B$6001,A14,Ticket!$H$2:$H$6001,"Resolu")/(COUNTIFS(Ticket!$B$2:$B$6001,A14,Ticket!$H$2:$H$6001,"Non Resolu")+COUNTIFS(Ticket!$B$2:$B$6001,A14,Ticket!$H$2:$H$6001,"Resolu")+COUNTIFS(Ticket!$B$2:$B$6001,A14,Ticket!$H$2:$H$6001,"Ferme sans resolution")),"Agent inactif")</f>
        <v>0.48192771084337349</v>
      </c>
      <c r="R14" s="39">
        <f>COUNTIFS(Ticket!$B$2:$B$6001,A14,Ticket!$J$2:$J$6001,"&gt;"&amp;0)/C14</f>
        <v>0.29007633587786258</v>
      </c>
      <c r="S14" s="39">
        <f>IFERROR(COUNTIFS(Ticket!$B$2:$B$6001,A14,Ticket!$J$2:$J$6001,0,Ticket!$H$2:$H$6001,"Resolu")/H14,"Agent inactif")</f>
        <v>0.19014084507042253</v>
      </c>
      <c r="T14" s="38">
        <f t="shared" si="4"/>
        <v>0.15589670355825297</v>
      </c>
      <c r="U14" s="47">
        <f>COUNTIF(Productivite!$A$2:$A$5603,A14)</f>
        <v>135</v>
      </c>
      <c r="V14" s="30">
        <f t="shared" si="5"/>
        <v>0.88148148148148153</v>
      </c>
    </row>
    <row r="15" spans="1:22" x14ac:dyDescent="0.35">
      <c r="A15" s="43" t="s">
        <v>72</v>
      </c>
      <c r="B15" s="40" t="s">
        <v>6106</v>
      </c>
      <c r="C15" s="37">
        <f>SUMIF(Productivite!$A$2:$A$5603,A15,Productivite!$D$2:$D$5603)</f>
        <v>134</v>
      </c>
      <c r="D15" s="38">
        <f>SUMIF(Productivite!$A$2:$A$5603,A15,Productivite!$C$2:$C$5603)</f>
        <v>809.09999999999991</v>
      </c>
      <c r="E15" s="37">
        <f>COUNTIFS(Productivite!$A$2:$A$5603,A15,Productivite!$E$2:$E$5603,"&lt;&gt;Non")</f>
        <v>17</v>
      </c>
      <c r="F15" s="38">
        <f>IFERROR(AVERAGEIF(Ticket!$B$2:$B$6003,A15,Ticket!$M$2:$M$6003),"Agent inactif")</f>
        <v>12.535606060606064</v>
      </c>
      <c r="G15" s="38">
        <f>IFERROR(AVERAGEIF(Ticket!$B$2:$B$6003,A15,Ticket!$K$2:$K$6003),"Agent inactif")</f>
        <v>3.765625</v>
      </c>
      <c r="H15" s="37">
        <f>COUNTIF(Ticket!$B$2:$B$6003,A15)</f>
        <v>137</v>
      </c>
      <c r="I15" s="39">
        <f t="shared" si="0"/>
        <v>0.97810218978102192</v>
      </c>
      <c r="J15" s="37">
        <f t="shared" si="1"/>
        <v>3</v>
      </c>
      <c r="K15" s="39">
        <f>IFERROR(AVERAGEIF(Ticket!$B$2:$B$6001,A15,Ticket!$N$2:$N$6001),"Agent inactif")</f>
        <v>0.66423357664233573</v>
      </c>
      <c r="L15" s="37">
        <f>COUNTIFS(Ticket!$B$2:$B$6001,A15,Ticket!$F$2:$F$6001,"Bug technique")
+COUNTIFS(Ticket!$B$2:$B$6001,A15,Ticket!$F$2:$F$6001,"Problème de connexion")
+COUNTIFS(Ticket!$B$2:$B$6001,A15,Ticket!$F$2:$F$6001,"Question facturation")</f>
        <v>49</v>
      </c>
      <c r="M15" s="39">
        <f t="shared" si="2"/>
        <v>0.36567164179104478</v>
      </c>
      <c r="N15" s="38">
        <f>IFERROR(AVERAGEIF(Enquetes_Satisfaction!$G$2:$G$2202,A15,Enquetes_Satisfaction!$D$2:$D$2202),"Agent inactif")</f>
        <v>4.1304347826086953</v>
      </c>
      <c r="O15" s="38">
        <f>IFERROR(AVERAGEIF(Enquetes_Satisfaction!$G$2:$G$2202,A15,Enquetes_Satisfaction!$E$2:$E$2202),"Agent inactif")</f>
        <v>7.5227272727272725</v>
      </c>
      <c r="P15" s="38">
        <f t="shared" si="3"/>
        <v>6.0380597014925366</v>
      </c>
      <c r="Q15" s="46">
        <f>IFERROR(COUNTIFS(Ticket!$B$2:$B$6001,A15,Ticket!$H$2:$H$6001,"Resolu")/(COUNTIFS(Ticket!$B$2:$B$6001,A15,Ticket!$H$2:$H$6001,"Non Resolu")+COUNTIFS(Ticket!$B$2:$B$6001,A15,Ticket!$H$2:$H$6001,"Resolu")+COUNTIFS(Ticket!$B$2:$B$6001,A15,Ticket!$H$2:$H$6001,"Ferme sans resolution")),"Agent inactif")</f>
        <v>0.48101265822784811</v>
      </c>
      <c r="R15" s="42">
        <f>COUNTIFS(Ticket!$B$2:$B$6001,A15,Ticket!$J$2:$J$6001,"&gt;"&amp;0)/C15</f>
        <v>0.23880597014925373</v>
      </c>
      <c r="S15" s="42">
        <f>IFERROR(COUNTIFS(Ticket!$B$2:$B$6001,A15,Ticket!$J$2:$J$6001,0,Ticket!$H$2:$H$6001,"Resolu")/H15,"Agent inactif")</f>
        <v>0.22627737226277372</v>
      </c>
      <c r="T15" s="41">
        <f t="shared" si="4"/>
        <v>0.1656161166728464</v>
      </c>
      <c r="U15" s="47">
        <f>COUNTIF(Productivite!$A$2:$A$5603,A15)</f>
        <v>137</v>
      </c>
      <c r="V15" s="30">
        <f t="shared" si="5"/>
        <v>0.87591240875912413</v>
      </c>
    </row>
    <row r="16" spans="1:22" x14ac:dyDescent="0.35">
      <c r="A16" s="36" t="s">
        <v>45</v>
      </c>
      <c r="B16" s="37" t="s">
        <v>6108</v>
      </c>
      <c r="C16" s="37">
        <f>SUMIF(Productivite!$A$2:$A$5603,A16,Productivite!$D$2:$D$5603)</f>
        <v>97</v>
      </c>
      <c r="D16" s="38">
        <f>SUMIF(Productivite!$A$2:$A$5603,A16,Productivite!$C$2:$C$5603)</f>
        <v>840.79999999999961</v>
      </c>
      <c r="E16" s="37">
        <f>COUNTIFS(Productivite!$A$2:$A$5603,A16,Productivite!$E$2:$E$5603,"&lt;&gt;Non")</f>
        <v>17</v>
      </c>
      <c r="F16" s="38">
        <f>IFERROR(AVERAGEIF(Ticket!$B$2:$B$6003,A16,Ticket!$M$2:$M$6003),"Agent inactif")</f>
        <v>11.88785046728972</v>
      </c>
      <c r="G16" s="38">
        <f>IFERROR(AVERAGEIF(Ticket!$B$2:$B$6003,A16,Ticket!$K$2:$K$6003),"Agent inactif")</f>
        <v>4.1020408163265305</v>
      </c>
      <c r="H16" s="37">
        <f>COUNTIF(Ticket!$B$2:$B$6003,A16)</f>
        <v>111</v>
      </c>
      <c r="I16" s="39">
        <f t="shared" si="0"/>
        <v>0.87387387387387383</v>
      </c>
      <c r="J16" s="37">
        <f t="shared" si="1"/>
        <v>14</v>
      </c>
      <c r="K16" s="39">
        <f>IFERROR(AVERAGEIF(Ticket!$B$2:$B$6001,A16,Ticket!$N$2:$N$6001),"Agent inactif")</f>
        <v>0.63063063063063063</v>
      </c>
      <c r="L16" s="37">
        <f>COUNTIFS(Ticket!$B$2:$B$6001,A16,Ticket!$F$2:$F$6001,"Bug technique")
+COUNTIFS(Ticket!$B$2:$B$6001,A16,Ticket!$F$2:$F$6001,"Problème de connexion")
+COUNTIFS(Ticket!$B$2:$B$6001,A16,Ticket!$F$2:$F$6001,"Question facturation")</f>
        <v>34</v>
      </c>
      <c r="M16" s="39">
        <f t="shared" si="2"/>
        <v>0.35051546391752575</v>
      </c>
      <c r="N16" s="38">
        <f>IFERROR(AVERAGEIF(Enquetes_Satisfaction!$G$2:$G$2202,A16,Enquetes_Satisfaction!$D$2:$D$2202),"Agent inactif")</f>
        <v>4.2750000000000004</v>
      </c>
      <c r="O16" s="38">
        <f>IFERROR(AVERAGEIF(Enquetes_Satisfaction!$G$2:$G$2202,A16,Enquetes_Satisfaction!$E$2:$E$2202),"Agent inactif")</f>
        <v>7.7105263157894735</v>
      </c>
      <c r="P16" s="38">
        <f t="shared" si="3"/>
        <v>8.6680412371133979</v>
      </c>
      <c r="Q16" s="46">
        <f>IFERROR(COUNTIFS(Ticket!$B$2:$B$6001,A16,Ticket!$H$2:$H$6001,"Resolu")/(COUNTIFS(Ticket!$B$2:$B$6001,A16,Ticket!$H$2:$H$6001,"Non Resolu")+COUNTIFS(Ticket!$B$2:$B$6001,A16,Ticket!$H$2:$H$6001,"Resolu")+COUNTIFS(Ticket!$B$2:$B$6001,A16,Ticket!$H$2:$H$6001,"Ferme sans resolution")),"Agent inactif")</f>
        <v>0.59701492537313428</v>
      </c>
      <c r="R16" s="39">
        <f>COUNTIFS(Ticket!$B$2:$B$6001,A16,Ticket!$J$2:$J$6001,"&gt;"&amp;0)/C16</f>
        <v>0.25773195876288657</v>
      </c>
      <c r="S16" s="39">
        <f>IFERROR(COUNTIFS(Ticket!$B$2:$B$6001,A16,Ticket!$J$2:$J$6001,0,Ticket!$H$2:$H$6001,"Resolu")/H16,"Agent inactif")</f>
        <v>0.24324324324324326</v>
      </c>
      <c r="T16" s="38">
        <f t="shared" si="4"/>
        <v>0.11536631779257855</v>
      </c>
      <c r="U16" s="47">
        <f>COUNTIF(Productivite!$A$2:$A$5603,A16)</f>
        <v>135</v>
      </c>
      <c r="V16" s="30">
        <f t="shared" si="5"/>
        <v>0.87407407407407411</v>
      </c>
    </row>
    <row r="17" spans="1:22" x14ac:dyDescent="0.35">
      <c r="A17" s="43" t="s">
        <v>139</v>
      </c>
      <c r="B17" s="40" t="s">
        <v>6109</v>
      </c>
      <c r="C17" s="37">
        <f>SUMIF(Productivite!$A$2:$A$5603,A17,Productivite!$D$2:$D$5603)</f>
        <v>110</v>
      </c>
      <c r="D17" s="38">
        <f>SUMIF(Productivite!$A$2:$A$5603,A17,Productivite!$C$2:$C$5603)</f>
        <v>817.2</v>
      </c>
      <c r="E17" s="37">
        <f>COUNTIFS(Productivite!$A$2:$A$5603,A17,Productivite!$E$2:$E$5603,"&lt;&gt;Non")</f>
        <v>14</v>
      </c>
      <c r="F17" s="38">
        <f>IFERROR(AVERAGEIF(Ticket!$B$2:$B$6003,A17,Ticket!$M$2:$M$6003),"Agent inactif")</f>
        <v>12.108527131782944</v>
      </c>
      <c r="G17" s="38">
        <f>IFERROR(AVERAGEIF(Ticket!$B$2:$B$6003,A17,Ticket!$K$2:$K$6003),"Agent inactif")</f>
        <v>3.8677685950413223</v>
      </c>
      <c r="H17" s="37">
        <f>COUNTIF(Ticket!$B$2:$B$6003,A17)</f>
        <v>131</v>
      </c>
      <c r="I17" s="39">
        <f t="shared" si="0"/>
        <v>0.83969465648854957</v>
      </c>
      <c r="J17" s="37">
        <f t="shared" si="1"/>
        <v>21</v>
      </c>
      <c r="K17" s="39">
        <f>IFERROR(AVERAGEIF(Ticket!$B$2:$B$6001,A17,Ticket!$N$2:$N$6001),"Agent inactif")</f>
        <v>0.69465648854961837</v>
      </c>
      <c r="L17" s="37">
        <f>COUNTIFS(Ticket!$B$2:$B$6001,A17,Ticket!$F$2:$F$6001,"Bug technique")
+COUNTIFS(Ticket!$B$2:$B$6001,A17,Ticket!$F$2:$F$6001,"Problème de connexion")
+COUNTIFS(Ticket!$B$2:$B$6001,A17,Ticket!$F$2:$F$6001,"Question facturation")</f>
        <v>53</v>
      </c>
      <c r="M17" s="39">
        <f t="shared" si="2"/>
        <v>0.48181818181818181</v>
      </c>
      <c r="N17" s="38">
        <f>IFERROR(AVERAGEIF(Enquetes_Satisfaction!$G$2:$G$2202,A17,Enquetes_Satisfaction!$D$2:$D$2202),"Agent inactif")</f>
        <v>4.0199999999999996</v>
      </c>
      <c r="O17" s="38">
        <f>IFERROR(AVERAGEIF(Enquetes_Satisfaction!$G$2:$G$2202,A17,Enquetes_Satisfaction!$E$2:$E$2202),"Agent inactif")</f>
        <v>7.204081632653061</v>
      </c>
      <c r="P17" s="38">
        <f t="shared" si="3"/>
        <v>7.4290909090909096</v>
      </c>
      <c r="Q17" s="46">
        <f>IFERROR(COUNTIFS(Ticket!$B$2:$B$6001,A17,Ticket!$H$2:$H$6001,"Resolu")/(COUNTIFS(Ticket!$B$2:$B$6001,A17,Ticket!$H$2:$H$6001,"Non Resolu")+COUNTIFS(Ticket!$B$2:$B$6001,A17,Ticket!$H$2:$H$6001,"Resolu")+COUNTIFS(Ticket!$B$2:$B$6001,A17,Ticket!$H$2:$H$6001,"Ferme sans resolution")),"Agent inactif")</f>
        <v>0.52500000000000002</v>
      </c>
      <c r="R17" s="42">
        <f>COUNTIFS(Ticket!$B$2:$B$6001,A17,Ticket!$J$2:$J$6001,"&gt;"&amp;0)/C17</f>
        <v>0.27272727272727271</v>
      </c>
      <c r="S17" s="42">
        <f>IFERROR(COUNTIFS(Ticket!$B$2:$B$6001,A17,Ticket!$J$2:$J$6001,0,Ticket!$H$2:$H$6001,"Resolu")/H17,"Agent inactif")</f>
        <v>0.24427480916030533</v>
      </c>
      <c r="T17" s="41">
        <f t="shared" si="4"/>
        <v>0.13460597161037688</v>
      </c>
      <c r="U17" s="47">
        <f>COUNTIF(Productivite!$A$2:$A$5603,A17)</f>
        <v>133</v>
      </c>
      <c r="V17" s="30">
        <f t="shared" si="5"/>
        <v>0.89473684210526316</v>
      </c>
    </row>
    <row r="18" spans="1:22" x14ac:dyDescent="0.35">
      <c r="A18" s="36" t="s">
        <v>78</v>
      </c>
      <c r="B18" s="37" t="s">
        <v>6110</v>
      </c>
      <c r="C18" s="37">
        <f>SUMIF(Productivite!$A$2:$A$5603,A18,Productivite!$D$2:$D$5603)</f>
        <v>104</v>
      </c>
      <c r="D18" s="38">
        <f>SUMIF(Productivite!$A$2:$A$5603,A18,Productivite!$C$2:$C$5603)</f>
        <v>814.8</v>
      </c>
      <c r="E18" s="37">
        <f>COUNTIFS(Productivite!$A$2:$A$5603,A18,Productivite!$E$2:$E$5603,"&lt;&gt;Non")</f>
        <v>12</v>
      </c>
      <c r="F18" s="38">
        <f>IFERROR(AVERAGEIF(Ticket!$B$2:$B$6003,A18,Ticket!$M$2:$M$6003),"Agent inactif")</f>
        <v>12.68285714285714</v>
      </c>
      <c r="G18" s="38">
        <f>IFERROR(AVERAGEIF(Ticket!$B$2:$B$6003,A18,Ticket!$K$2:$K$6003),"Agent inactif")</f>
        <v>3.7551020408163267</v>
      </c>
      <c r="H18" s="37">
        <f>COUNTIF(Ticket!$B$2:$B$6003,A18)</f>
        <v>110</v>
      </c>
      <c r="I18" s="39">
        <f t="shared" si="0"/>
        <v>0.94545454545454544</v>
      </c>
      <c r="J18" s="37">
        <f t="shared" si="1"/>
        <v>6</v>
      </c>
      <c r="K18" s="39">
        <f>IFERROR(AVERAGEIF(Ticket!$B$2:$B$6001,A18,Ticket!$N$2:$N$6001),"Agent inactif")</f>
        <v>0.62727272727272732</v>
      </c>
      <c r="L18" s="37">
        <f>COUNTIFS(Ticket!$B$2:$B$6001,A18,Ticket!$F$2:$F$6001,"Bug technique")
+COUNTIFS(Ticket!$B$2:$B$6001,A18,Ticket!$F$2:$F$6001,"Problème de connexion")
+COUNTIFS(Ticket!$B$2:$B$6001,A18,Ticket!$F$2:$F$6001,"Question facturation")</f>
        <v>44</v>
      </c>
      <c r="M18" s="39">
        <f t="shared" si="2"/>
        <v>0.42307692307692307</v>
      </c>
      <c r="N18" s="38">
        <f>IFERROR(AVERAGEIF(Enquetes_Satisfaction!$G$2:$G$2202,A18,Enquetes_Satisfaction!$D$2:$D$2202),"Agent inactif")</f>
        <v>3.6428571428571428</v>
      </c>
      <c r="O18" s="38">
        <f>IFERROR(AVERAGEIF(Enquetes_Satisfaction!$G$2:$G$2202,A18,Enquetes_Satisfaction!$E$2:$E$2202),"Agent inactif")</f>
        <v>6.8205128205128203</v>
      </c>
      <c r="P18" s="38">
        <f t="shared" si="3"/>
        <v>7.8346153846153843</v>
      </c>
      <c r="Q18" s="46">
        <f>IFERROR(COUNTIFS(Ticket!$B$2:$B$6001,A18,Ticket!$H$2:$H$6001,"Resolu")/(COUNTIFS(Ticket!$B$2:$B$6001,A18,Ticket!$H$2:$H$6001,"Non Resolu")+COUNTIFS(Ticket!$B$2:$B$6001,A18,Ticket!$H$2:$H$6001,"Resolu")+COUNTIFS(Ticket!$B$2:$B$6001,A18,Ticket!$H$2:$H$6001,"Ferme sans resolution")),"Agent inactif")</f>
        <v>0.63636363636363635</v>
      </c>
      <c r="R18" s="39">
        <f>COUNTIFS(Ticket!$B$2:$B$6001,A18,Ticket!$J$2:$J$6001,"&gt;"&amp;0)/C18</f>
        <v>0.26923076923076922</v>
      </c>
      <c r="S18" s="39">
        <f>IFERROR(COUNTIFS(Ticket!$B$2:$B$6001,A18,Ticket!$J$2:$J$6001,0,Ticket!$H$2:$H$6001,"Resolu")/H18,"Agent inactif")</f>
        <v>0.2818181818181818</v>
      </c>
      <c r="T18" s="38">
        <f t="shared" si="4"/>
        <v>0.12763868433971529</v>
      </c>
      <c r="U18" s="47">
        <f>COUNTIF(Productivite!$A$2:$A$5603,A18)</f>
        <v>137</v>
      </c>
      <c r="V18" s="30">
        <f t="shared" si="5"/>
        <v>0.91240875912408759</v>
      </c>
    </row>
    <row r="19" spans="1:22" x14ac:dyDescent="0.35">
      <c r="A19" s="43" t="s">
        <v>158</v>
      </c>
      <c r="B19" s="40" t="s">
        <v>6111</v>
      </c>
      <c r="C19" s="37">
        <f>SUMIF(Productivite!$A$2:$A$5603,A19,Productivite!$D$2:$D$5603)</f>
        <v>115</v>
      </c>
      <c r="D19" s="38">
        <f>SUMIF(Productivite!$A$2:$A$5603,A19,Productivite!$C$2:$C$5603)</f>
        <v>841.99999999999977</v>
      </c>
      <c r="E19" s="37">
        <f>COUNTIFS(Productivite!$A$2:$A$5603,A19,Productivite!$E$2:$E$5603,"&lt;&gt;Non")</f>
        <v>9</v>
      </c>
      <c r="F19" s="38">
        <f>IFERROR(AVERAGEIF(Ticket!$B$2:$B$6003,A19,Ticket!$M$2:$M$6003),"Agent inactif")</f>
        <v>11.579687500000002</v>
      </c>
      <c r="G19" s="38">
        <f>IFERROR(AVERAGEIF(Ticket!$B$2:$B$6003,A19,Ticket!$K$2:$K$6003),"Agent inactif")</f>
        <v>3.72</v>
      </c>
      <c r="H19" s="37">
        <f>COUNTIF(Ticket!$B$2:$B$6003,A19)</f>
        <v>133</v>
      </c>
      <c r="I19" s="39">
        <f t="shared" si="0"/>
        <v>0.86466165413533835</v>
      </c>
      <c r="J19" s="37">
        <f t="shared" si="1"/>
        <v>18</v>
      </c>
      <c r="K19" s="39">
        <f>IFERROR(AVERAGEIF(Ticket!$B$2:$B$6001,A19,Ticket!$N$2:$N$6001),"Agent inactif")</f>
        <v>0.72180451127819545</v>
      </c>
      <c r="L19" s="37">
        <f>COUNTIFS(Ticket!$B$2:$B$6001,A19,Ticket!$F$2:$F$6001,"Bug technique")
+COUNTIFS(Ticket!$B$2:$B$6001,A19,Ticket!$F$2:$F$6001,"Problème de connexion")
+COUNTIFS(Ticket!$B$2:$B$6001,A19,Ticket!$F$2:$F$6001,"Question facturation")</f>
        <v>50</v>
      </c>
      <c r="M19" s="39">
        <f t="shared" si="2"/>
        <v>0.43478260869565216</v>
      </c>
      <c r="N19" s="38">
        <f>IFERROR(AVERAGEIF(Enquetes_Satisfaction!$G$2:$G$2202,A19,Enquetes_Satisfaction!$D$2:$D$2202),"Agent inactif")</f>
        <v>3.7560975609756095</v>
      </c>
      <c r="O19" s="38">
        <f>IFERROR(AVERAGEIF(Enquetes_Satisfaction!$G$2:$G$2202,A19,Enquetes_Satisfaction!$E$2:$E$2202),"Agent inactif")</f>
        <v>7.1627906976744189</v>
      </c>
      <c r="P19" s="38">
        <f t="shared" si="3"/>
        <v>7.3217391304347803</v>
      </c>
      <c r="Q19" s="46">
        <f>IFERROR(COUNTIFS(Ticket!$B$2:$B$6001,A19,Ticket!$H$2:$H$6001,"Resolu")/(COUNTIFS(Ticket!$B$2:$B$6001,A19,Ticket!$H$2:$H$6001,"Non Resolu")+COUNTIFS(Ticket!$B$2:$B$6001,A19,Ticket!$H$2:$H$6001,"Resolu")+COUNTIFS(Ticket!$B$2:$B$6001,A19,Ticket!$H$2:$H$6001,"Ferme sans resolution")),"Agent inactif")</f>
        <v>0.57692307692307687</v>
      </c>
      <c r="R19" s="42">
        <f>COUNTIFS(Ticket!$B$2:$B$6001,A19,Ticket!$J$2:$J$6001,"&gt;"&amp;0)/C19</f>
        <v>0.31304347826086959</v>
      </c>
      <c r="S19" s="42">
        <f>IFERROR(COUNTIFS(Ticket!$B$2:$B$6001,A19,Ticket!$J$2:$J$6001,0,Ticket!$H$2:$H$6001,"Resolu")/H19,"Agent inactif")</f>
        <v>0.25563909774436089</v>
      </c>
      <c r="T19" s="41">
        <f t="shared" si="4"/>
        <v>0.13657957244655586</v>
      </c>
      <c r="U19" s="47">
        <f>COUNTIF(Productivite!$A$2:$A$5603,A19)</f>
        <v>134</v>
      </c>
      <c r="V19" s="30">
        <f t="shared" si="5"/>
        <v>0.93283582089552242</v>
      </c>
    </row>
    <row r="20" spans="1:22" x14ac:dyDescent="0.35">
      <c r="A20" s="36" t="s">
        <v>143</v>
      </c>
      <c r="B20" s="37" t="s">
        <v>6112</v>
      </c>
      <c r="C20" s="37">
        <f>SUMIF(Productivite!$A$2:$A$5603,A20,Productivite!$D$2:$D$5603)</f>
        <v>168</v>
      </c>
      <c r="D20" s="38">
        <f>SUMIF(Productivite!$A$2:$A$5603,A20,Productivite!$C$2:$C$5603)</f>
        <v>804.80000000000041</v>
      </c>
      <c r="E20" s="37">
        <f>COUNTIFS(Productivite!$A$2:$A$5603,A20,Productivite!$E$2:$E$5603,"&lt;&gt;Non")</f>
        <v>12</v>
      </c>
      <c r="F20" s="38">
        <f>IFERROR(AVERAGEIF(Ticket!$B$2:$B$6003,A20,Ticket!$M$2:$M$6003),"Agent inactif")</f>
        <v>11.811111111111108</v>
      </c>
      <c r="G20" s="38">
        <f>IFERROR(AVERAGEIF(Ticket!$B$2:$B$6003,A20,Ticket!$K$2:$K$6003),"Agent inactif")</f>
        <v>3.8588235294117648</v>
      </c>
      <c r="H20" s="37">
        <f>COUNTIF(Ticket!$B$2:$B$6003,A20)</f>
        <v>182</v>
      </c>
      <c r="I20" s="39">
        <f t="shared" si="0"/>
        <v>0.92307692307692313</v>
      </c>
      <c r="J20" s="37">
        <f t="shared" si="1"/>
        <v>14</v>
      </c>
      <c r="K20" s="39">
        <f>IFERROR(AVERAGEIF(Ticket!$B$2:$B$6001,A20,Ticket!$N$2:$N$6001),"Agent inactif")</f>
        <v>0.70329670329670335</v>
      </c>
      <c r="L20" s="37">
        <f>COUNTIFS(Ticket!$B$2:$B$6001,A20,Ticket!$F$2:$F$6001,"Bug technique")
+COUNTIFS(Ticket!$B$2:$B$6001,A20,Ticket!$F$2:$F$6001,"Problème de connexion")
+COUNTIFS(Ticket!$B$2:$B$6001,A20,Ticket!$F$2:$F$6001,"Question facturation")</f>
        <v>68</v>
      </c>
      <c r="M20" s="39">
        <f t="shared" si="2"/>
        <v>0.40476190476190477</v>
      </c>
      <c r="N20" s="38">
        <f>IFERROR(AVERAGEIF(Enquetes_Satisfaction!$G$2:$G$2202,A20,Enquetes_Satisfaction!$D$2:$D$2202),"Agent inactif")</f>
        <v>3.915492957746479</v>
      </c>
      <c r="O20" s="38">
        <f>IFERROR(AVERAGEIF(Enquetes_Satisfaction!$G$2:$G$2202,A20,Enquetes_Satisfaction!$E$2:$E$2202),"Agent inactif")</f>
        <v>7.416666666666667</v>
      </c>
      <c r="P20" s="38">
        <f t="shared" si="3"/>
        <v>4.790476190476193</v>
      </c>
      <c r="Q20" s="46">
        <f>IFERROR(COUNTIFS(Ticket!$B$2:$B$6001,A20,Ticket!$H$2:$H$6001,"Resolu")/(COUNTIFS(Ticket!$B$2:$B$6001,A20,Ticket!$H$2:$H$6001,"Non Resolu")+COUNTIFS(Ticket!$B$2:$B$6001,A20,Ticket!$H$2:$H$6001,"Resolu")+COUNTIFS(Ticket!$B$2:$B$6001,A20,Ticket!$H$2:$H$6001,"Ferme sans resolution")),"Agent inactif")</f>
        <v>0.59677419354838712</v>
      </c>
      <c r="R20" s="39">
        <f>COUNTIFS(Ticket!$B$2:$B$6001,A20,Ticket!$J$2:$J$6001,"&gt;"&amp;0)/C20</f>
        <v>0.29761904761904762</v>
      </c>
      <c r="S20" s="39">
        <f>IFERROR(COUNTIFS(Ticket!$B$2:$B$6001,A20,Ticket!$J$2:$J$6001,0,Ticket!$H$2:$H$6001,"Resolu")/H20,"Agent inactif")</f>
        <v>0.29120879120879123</v>
      </c>
      <c r="T20" s="38">
        <f t="shared" si="4"/>
        <v>0.20874751491053667</v>
      </c>
      <c r="U20" s="47">
        <f>COUNTIF(Productivite!$A$2:$A$5603,A20)</f>
        <v>132</v>
      </c>
      <c r="V20" s="30">
        <f t="shared" si="5"/>
        <v>0.90909090909090906</v>
      </c>
    </row>
    <row r="21" spans="1:22" x14ac:dyDescent="0.35">
      <c r="A21" s="43" t="s">
        <v>101</v>
      </c>
      <c r="B21" s="40" t="s">
        <v>6113</v>
      </c>
      <c r="C21" s="37">
        <f>SUMIF(Productivite!$A$2:$A$5603,A21,Productivite!$D$2:$D$5603)</f>
        <v>142</v>
      </c>
      <c r="D21" s="38">
        <f>SUMIF(Productivite!$A$2:$A$5603,A21,Productivite!$C$2:$C$5603)</f>
        <v>822</v>
      </c>
      <c r="E21" s="37">
        <f>COUNTIFS(Productivite!$A$2:$A$5603,A21,Productivite!$E$2:$E$5603,"&lt;&gt;Non")</f>
        <v>14</v>
      </c>
      <c r="F21" s="38">
        <f>IFERROR(AVERAGEIF(Ticket!$B$2:$B$6003,A21,Ticket!$M$2:$M$6003),"Agent inactif")</f>
        <v>11.886764705882351</v>
      </c>
      <c r="G21" s="38">
        <f>IFERROR(AVERAGEIF(Ticket!$B$2:$B$6003,A21,Ticket!$K$2:$K$6003),"Agent inactif")</f>
        <v>4</v>
      </c>
      <c r="H21" s="37">
        <f>COUNTIF(Ticket!$B$2:$B$6003,A21)</f>
        <v>146</v>
      </c>
      <c r="I21" s="39">
        <f t="shared" si="0"/>
        <v>0.9726027397260274</v>
      </c>
      <c r="J21" s="37">
        <f t="shared" si="1"/>
        <v>4</v>
      </c>
      <c r="K21" s="39">
        <f>IFERROR(AVERAGEIF(Ticket!$B$2:$B$6001,A21,Ticket!$N$2:$N$6001),"Agent inactif")</f>
        <v>0.75342465753424659</v>
      </c>
      <c r="L21" s="37">
        <f>COUNTIFS(Ticket!$B$2:$B$6001,A21,Ticket!$F$2:$F$6001,"Bug technique")
+COUNTIFS(Ticket!$B$2:$B$6001,A21,Ticket!$F$2:$F$6001,"Problème de connexion")
+COUNTIFS(Ticket!$B$2:$B$6001,A21,Ticket!$F$2:$F$6001,"Question facturation")</f>
        <v>50</v>
      </c>
      <c r="M21" s="39">
        <f t="shared" si="2"/>
        <v>0.352112676056338</v>
      </c>
      <c r="N21" s="38">
        <f>IFERROR(AVERAGEIF(Enquetes_Satisfaction!$G$2:$G$2202,A21,Enquetes_Satisfaction!$D$2:$D$2202),"Agent inactif")</f>
        <v>3.7962962962962963</v>
      </c>
      <c r="O21" s="38">
        <f>IFERROR(AVERAGEIF(Enquetes_Satisfaction!$G$2:$G$2202,A21,Enquetes_Satisfaction!$E$2:$E$2202),"Agent inactif")</f>
        <v>7.0625</v>
      </c>
      <c r="P21" s="38">
        <f t="shared" si="3"/>
        <v>5.788732394366197</v>
      </c>
      <c r="Q21" s="46">
        <f>IFERROR(COUNTIFS(Ticket!$B$2:$B$6001,A21,Ticket!$H$2:$H$6001,"Resolu")/(COUNTIFS(Ticket!$B$2:$B$6001,A21,Ticket!$H$2:$H$6001,"Non Resolu")+COUNTIFS(Ticket!$B$2:$B$6001,A21,Ticket!$H$2:$H$6001,"Resolu")+COUNTIFS(Ticket!$B$2:$B$6001,A21,Ticket!$H$2:$H$6001,"Ferme sans resolution")),"Agent inactif")</f>
        <v>0.54545454545454541</v>
      </c>
      <c r="R21" s="42">
        <f>COUNTIFS(Ticket!$B$2:$B$6001,A21,Ticket!$J$2:$J$6001,"&gt;"&amp;0)/C21</f>
        <v>0.352112676056338</v>
      </c>
      <c r="S21" s="42">
        <f>IFERROR(COUNTIFS(Ticket!$B$2:$B$6001,A21,Ticket!$J$2:$J$6001,0,Ticket!$H$2:$H$6001,"Resolu")/H21,"Agent inactif")</f>
        <v>0.19178082191780821</v>
      </c>
      <c r="T21" s="41">
        <f t="shared" si="4"/>
        <v>0.17274939172749393</v>
      </c>
      <c r="U21" s="47">
        <f>COUNTIF(Productivite!$A$2:$A$5603,A21)</f>
        <v>132</v>
      </c>
      <c r="V21" s="30">
        <f t="shared" si="5"/>
        <v>0.89393939393939392</v>
      </c>
    </row>
    <row r="22" spans="1:22" x14ac:dyDescent="0.35">
      <c r="A22" s="36" t="s">
        <v>34</v>
      </c>
      <c r="B22" s="37" t="s">
        <v>6078</v>
      </c>
      <c r="C22" s="37">
        <f>SUMIF(Productivite!$A$2:$A$5603,A22,Productivite!$D$2:$D$5603)</f>
        <v>242</v>
      </c>
      <c r="D22" s="38">
        <f>SUMIF(Productivite!$A$2:$A$5603,A22,Productivite!$C$2:$C$5603)</f>
        <v>1035.2000000000005</v>
      </c>
      <c r="E22" s="37">
        <f>COUNTIFS(Productivite!$A$2:$A$5603,A22,Productivite!$E$2:$E$5603,"&lt;&gt;Non")</f>
        <v>17</v>
      </c>
      <c r="F22" s="38">
        <f>IFERROR(AVERAGEIF(Ticket!$B$2:$B$6003,A22,Ticket!$M$2:$M$6003),"Agent inactif")</f>
        <v>12.181274900398414</v>
      </c>
      <c r="G22" s="38">
        <f>IFERROR(AVERAGEIF(Ticket!$B$2:$B$6003,A22,Ticket!$K$2:$K$6003),"Agent inactif")</f>
        <v>3.963265306122449</v>
      </c>
      <c r="H22" s="37">
        <f>COUNTIF(Ticket!$B$2:$B$6003,A22)</f>
        <v>264</v>
      </c>
      <c r="I22" s="39">
        <f t="shared" si="0"/>
        <v>0.91666666666666663</v>
      </c>
      <c r="J22" s="37">
        <f t="shared" si="1"/>
        <v>22</v>
      </c>
      <c r="K22" s="39">
        <f>IFERROR(AVERAGEIF(Ticket!$B$2:$B$6001,A22,Ticket!$N$2:$N$6001),"Agent inactif")</f>
        <v>0.6742424242424242</v>
      </c>
      <c r="L22" s="37">
        <f>COUNTIFS(Ticket!$B$2:$B$6001,A22,Ticket!$F$2:$F$6001,"Bug technique")
+COUNTIFS(Ticket!$B$2:$B$6001,A22,Ticket!$F$2:$F$6001,"Problème de connexion")
+COUNTIFS(Ticket!$B$2:$B$6001,A22,Ticket!$F$2:$F$6001,"Question facturation")</f>
        <v>116</v>
      </c>
      <c r="M22" s="39">
        <f t="shared" si="2"/>
        <v>0.47933884297520662</v>
      </c>
      <c r="N22" s="38">
        <f>IFERROR(AVERAGEIF(Enquetes_Satisfaction!$G$2:$G$2202,A22,Enquetes_Satisfaction!$D$2:$D$2202),"Agent inactif")</f>
        <v>4.0217391304347823</v>
      </c>
      <c r="O22" s="38">
        <f>IFERROR(AVERAGEIF(Enquetes_Satisfaction!$G$2:$G$2202,A22,Enquetes_Satisfaction!$E$2:$E$2202),"Agent inactif")</f>
        <v>6.6117647058823525</v>
      </c>
      <c r="P22" s="38">
        <f t="shared" si="3"/>
        <v>4.2776859504132254</v>
      </c>
      <c r="Q22" s="46">
        <f>IFERROR(COUNTIFS(Ticket!$B$2:$B$6001,A22,Ticket!$H$2:$H$6001,"Resolu")/(COUNTIFS(Ticket!$B$2:$B$6001,A22,Ticket!$H$2:$H$6001,"Non Resolu")+COUNTIFS(Ticket!$B$2:$B$6001,A22,Ticket!$H$2:$H$6001,"Resolu")+COUNTIFS(Ticket!$B$2:$B$6001,A22,Ticket!$H$2:$H$6001,"Ferme sans resolution")),"Agent inactif")</f>
        <v>0.62424242424242427</v>
      </c>
      <c r="R22" s="39">
        <f>COUNTIFS(Ticket!$B$2:$B$6001,A22,Ticket!$J$2:$J$6001,"&gt;"&amp;0)/C22</f>
        <v>0.27685950413223143</v>
      </c>
      <c r="S22" s="39">
        <f>IFERROR(COUNTIFS(Ticket!$B$2:$B$6001,A22,Ticket!$J$2:$J$6001,0,Ticket!$H$2:$H$6001,"Resolu")/H22,"Agent inactif")</f>
        <v>0.28030303030303028</v>
      </c>
      <c r="T22" s="38">
        <f t="shared" si="4"/>
        <v>0.23377125193199372</v>
      </c>
      <c r="U22" s="47">
        <f>COUNTIF(Productivite!$A$2:$A$5603,A22)</f>
        <v>173</v>
      </c>
      <c r="V22" s="30">
        <f t="shared" si="5"/>
        <v>0.90173410404624277</v>
      </c>
    </row>
    <row r="23" spans="1:22" x14ac:dyDescent="0.35">
      <c r="A23" s="43" t="s">
        <v>18</v>
      </c>
      <c r="B23" s="40" t="s">
        <v>6114</v>
      </c>
      <c r="C23" s="37">
        <f>SUMIF(Productivite!$A$2:$A$5603,A23,Productivite!$D$2:$D$5603)</f>
        <v>167</v>
      </c>
      <c r="D23" s="38">
        <f>SUMIF(Productivite!$A$2:$A$5603,A23,Productivite!$C$2:$C$5603)</f>
        <v>801.49999999999966</v>
      </c>
      <c r="E23" s="37">
        <f>COUNTIFS(Productivite!$A$2:$A$5603,A23,Productivite!$E$2:$E$5603,"&lt;&gt;Non")</f>
        <v>19</v>
      </c>
      <c r="F23" s="38">
        <f>IFERROR(AVERAGEIF(Ticket!$B$2:$B$6003,A23,Ticket!$M$2:$M$6003),"Agent inactif")</f>
        <v>12.025280898876412</v>
      </c>
      <c r="G23" s="38">
        <f>IFERROR(AVERAGEIF(Ticket!$B$2:$B$6003,A23,Ticket!$K$2:$K$6003),"Agent inactif")</f>
        <v>3.8</v>
      </c>
      <c r="H23" s="37">
        <f>COUNTIF(Ticket!$B$2:$B$6003,A23)</f>
        <v>189</v>
      </c>
      <c r="I23" s="39">
        <f t="shared" si="0"/>
        <v>0.8835978835978836</v>
      </c>
      <c r="J23" s="37">
        <f t="shared" si="1"/>
        <v>22</v>
      </c>
      <c r="K23" s="39">
        <f>IFERROR(AVERAGEIF(Ticket!$B$2:$B$6001,A23,Ticket!$N$2:$N$6001),"Agent inactif")</f>
        <v>0.70899470899470896</v>
      </c>
      <c r="L23" s="37">
        <f>COUNTIFS(Ticket!$B$2:$B$6001,A23,Ticket!$F$2:$F$6001,"Bug technique")
+COUNTIFS(Ticket!$B$2:$B$6001,A23,Ticket!$F$2:$F$6001,"Problème de connexion")
+COUNTIFS(Ticket!$B$2:$B$6001,A23,Ticket!$F$2:$F$6001,"Question facturation")</f>
        <v>80</v>
      </c>
      <c r="M23" s="39">
        <f t="shared" si="2"/>
        <v>0.47904191616766467</v>
      </c>
      <c r="N23" s="38">
        <f>IFERROR(AVERAGEIF(Enquetes_Satisfaction!$G$2:$G$2202,A23,Enquetes_Satisfaction!$D$2:$D$2202),"Agent inactif")</f>
        <v>3.9285714285714284</v>
      </c>
      <c r="O23" s="38">
        <f>IFERROR(AVERAGEIF(Enquetes_Satisfaction!$G$2:$G$2202,A23,Enquetes_Satisfaction!$E$2:$E$2202),"Agent inactif")</f>
        <v>7.1884057971014492</v>
      </c>
      <c r="P23" s="38">
        <f t="shared" si="3"/>
        <v>4.7994011976047881</v>
      </c>
      <c r="Q23" s="46">
        <f>IFERROR(COUNTIFS(Ticket!$B$2:$B$6001,A23,Ticket!$H$2:$H$6001,"Resolu")/(COUNTIFS(Ticket!$B$2:$B$6001,A23,Ticket!$H$2:$H$6001,"Non Resolu")+COUNTIFS(Ticket!$B$2:$B$6001,A23,Ticket!$H$2:$H$6001,"Resolu")+COUNTIFS(Ticket!$B$2:$B$6001,A23,Ticket!$H$2:$H$6001,"Ferme sans resolution")),"Agent inactif")</f>
        <v>0.48333333333333334</v>
      </c>
      <c r="R23" s="42">
        <f>COUNTIFS(Ticket!$B$2:$B$6001,A23,Ticket!$J$2:$J$6001,"&gt;"&amp;0)/C23</f>
        <v>0.29341317365269459</v>
      </c>
      <c r="S23" s="42">
        <f>IFERROR(COUNTIFS(Ticket!$B$2:$B$6001,A23,Ticket!$J$2:$J$6001,0,Ticket!$H$2:$H$6001,"Resolu")/H23,"Agent inactif")</f>
        <v>0.24867724867724866</v>
      </c>
      <c r="T23" s="41">
        <f t="shared" si="4"/>
        <v>0.20835932626325648</v>
      </c>
      <c r="U23" s="47">
        <f>COUNTIF(Productivite!$A$2:$A$5603,A23)</f>
        <v>134</v>
      </c>
      <c r="V23" s="30">
        <f t="shared" si="5"/>
        <v>0.85820895522388063</v>
      </c>
    </row>
    <row r="24" spans="1:22" x14ac:dyDescent="0.35">
      <c r="A24" s="36" t="s">
        <v>104</v>
      </c>
      <c r="B24" s="37" t="s">
        <v>6115</v>
      </c>
      <c r="C24" s="37">
        <f>SUMIF(Productivite!$A$2:$A$5603,A24,Productivite!$D$2:$D$5603)</f>
        <v>155</v>
      </c>
      <c r="D24" s="38">
        <f>SUMIF(Productivite!$A$2:$A$5603,A24,Productivite!$C$2:$C$5603)</f>
        <v>844.60000000000014</v>
      </c>
      <c r="E24" s="37">
        <f>COUNTIFS(Productivite!$A$2:$A$5603,A24,Productivite!$E$2:$E$5603,"&lt;&gt;Non")</f>
        <v>11</v>
      </c>
      <c r="F24" s="38">
        <f>IFERROR(AVERAGEIF(Ticket!$B$2:$B$6003,A24,Ticket!$M$2:$M$6003),"Agent inactif")</f>
        <v>10.683225806451613</v>
      </c>
      <c r="G24" s="38">
        <f>IFERROR(AVERAGEIF(Ticket!$B$2:$B$6003,A24,Ticket!$K$2:$K$6003),"Agent inactif")</f>
        <v>4.0718954248366011</v>
      </c>
      <c r="H24" s="37">
        <f>COUNTIF(Ticket!$B$2:$B$6003,A24)</f>
        <v>168</v>
      </c>
      <c r="I24" s="39">
        <f t="shared" si="0"/>
        <v>0.92261904761904767</v>
      </c>
      <c r="J24" s="37">
        <f t="shared" si="1"/>
        <v>13</v>
      </c>
      <c r="K24" s="39">
        <f>IFERROR(AVERAGEIF(Ticket!$B$2:$B$6001,A24,Ticket!$N$2:$N$6001),"Agent inactif")</f>
        <v>0.75595238095238093</v>
      </c>
      <c r="L24" s="37">
        <f>COUNTIFS(Ticket!$B$2:$B$6001,A24,Ticket!$F$2:$F$6001,"Bug technique")
+COUNTIFS(Ticket!$B$2:$B$6001,A24,Ticket!$F$2:$F$6001,"Problème de connexion")
+COUNTIFS(Ticket!$B$2:$B$6001,A24,Ticket!$F$2:$F$6001,"Question facturation")</f>
        <v>63</v>
      </c>
      <c r="M24" s="39">
        <f t="shared" si="2"/>
        <v>0.40645161290322579</v>
      </c>
      <c r="N24" s="38">
        <f>IFERROR(AVERAGEIF(Enquetes_Satisfaction!$G$2:$G$2202,A24,Enquetes_Satisfaction!$D$2:$D$2202),"Agent inactif")</f>
        <v>3.8333333333333335</v>
      </c>
      <c r="O24" s="38">
        <f>IFERROR(AVERAGEIF(Enquetes_Satisfaction!$G$2:$G$2202,A24,Enquetes_Satisfaction!$E$2:$E$2202),"Agent inactif")</f>
        <v>7.4</v>
      </c>
      <c r="P24" s="38">
        <f t="shared" si="3"/>
        <v>5.4490322580645172</v>
      </c>
      <c r="Q24" s="46">
        <f>IFERROR(COUNTIFS(Ticket!$B$2:$B$6001,A24,Ticket!$H$2:$H$6001,"Resolu")/(COUNTIFS(Ticket!$B$2:$B$6001,A24,Ticket!$H$2:$H$6001,"Non Resolu")+COUNTIFS(Ticket!$B$2:$B$6001,A24,Ticket!$H$2:$H$6001,"Resolu")+COUNTIFS(Ticket!$B$2:$B$6001,A24,Ticket!$H$2:$H$6001,"Ferme sans resolution")),"Agent inactif")</f>
        <v>0.60550458715596334</v>
      </c>
      <c r="R24" s="39">
        <f>COUNTIFS(Ticket!$B$2:$B$6001,A24,Ticket!$J$2:$J$6001,"&gt;"&amp;0)/C24</f>
        <v>0.25806451612903225</v>
      </c>
      <c r="S24" s="39">
        <f>IFERROR(COUNTIFS(Ticket!$B$2:$B$6001,A24,Ticket!$J$2:$J$6001,0,Ticket!$H$2:$H$6001,"Resolu")/H24,"Agent inactif")</f>
        <v>0.2857142857142857</v>
      </c>
      <c r="T24" s="38">
        <f t="shared" si="4"/>
        <v>0.18351882547951689</v>
      </c>
      <c r="U24" s="47">
        <f>COUNTIF(Productivite!$A$2:$A$5603,A24)</f>
        <v>136</v>
      </c>
      <c r="V24" s="30">
        <f t="shared" si="5"/>
        <v>0.91911764705882348</v>
      </c>
    </row>
    <row r="25" spans="1:22" x14ac:dyDescent="0.35">
      <c r="A25" s="43" t="s">
        <v>85</v>
      </c>
      <c r="B25" s="40" t="s">
        <v>6116</v>
      </c>
      <c r="C25" s="37">
        <f>SUMIF(Productivite!$A$2:$A$5603,A25,Productivite!$D$2:$D$5603)</f>
        <v>119</v>
      </c>
      <c r="D25" s="38">
        <f>SUMIF(Productivite!$A$2:$A$5603,A25,Productivite!$C$2:$C$5603)</f>
        <v>819.20000000000016</v>
      </c>
      <c r="E25" s="37">
        <f>COUNTIFS(Productivite!$A$2:$A$5603,A25,Productivite!$E$2:$E$5603,"&lt;&gt;Non")</f>
        <v>16</v>
      </c>
      <c r="F25" s="38">
        <f>IFERROR(AVERAGEIF(Ticket!$B$2:$B$6003,A25,Ticket!$M$2:$M$6003),"Agent inactif")</f>
        <v>12.217037037037041</v>
      </c>
      <c r="G25" s="38">
        <f>IFERROR(AVERAGEIF(Ticket!$B$2:$B$6003,A25,Ticket!$K$2:$K$6003),"Agent inactif")</f>
        <v>3.8538461538461539</v>
      </c>
      <c r="H25" s="37">
        <f>COUNTIF(Ticket!$B$2:$B$6003,A25)</f>
        <v>142</v>
      </c>
      <c r="I25" s="39">
        <f t="shared" si="0"/>
        <v>0.8380281690140845</v>
      </c>
      <c r="J25" s="37">
        <f t="shared" si="1"/>
        <v>23</v>
      </c>
      <c r="K25" s="39">
        <f>IFERROR(AVERAGEIF(Ticket!$B$2:$B$6001,A25,Ticket!$N$2:$N$6001),"Agent inactif")</f>
        <v>0.63380281690140849</v>
      </c>
      <c r="L25" s="37">
        <f>COUNTIFS(Ticket!$B$2:$B$6001,A25,Ticket!$F$2:$F$6001,"Bug technique")
+COUNTIFS(Ticket!$B$2:$B$6001,A25,Ticket!$F$2:$F$6001,"Problème de connexion")
+COUNTIFS(Ticket!$B$2:$B$6001,A25,Ticket!$F$2:$F$6001,"Question facturation")</f>
        <v>66</v>
      </c>
      <c r="M25" s="39">
        <f t="shared" si="2"/>
        <v>0.55462184873949583</v>
      </c>
      <c r="N25" s="38">
        <f>IFERROR(AVERAGEIF(Enquetes_Satisfaction!$G$2:$G$2202,A25,Enquetes_Satisfaction!$D$2:$D$2202),"Agent inactif")</f>
        <v>4.0588235294117645</v>
      </c>
      <c r="O25" s="38">
        <f>IFERROR(AVERAGEIF(Enquetes_Satisfaction!$G$2:$G$2202,A25,Enquetes_Satisfaction!$E$2:$E$2202),"Agent inactif")</f>
        <v>7.7755102040816331</v>
      </c>
      <c r="P25" s="38">
        <f t="shared" si="3"/>
        <v>6.8840336134453795</v>
      </c>
      <c r="Q25" s="46">
        <f>IFERROR(COUNTIFS(Ticket!$B$2:$B$6001,A25,Ticket!$H$2:$H$6001,"Resolu")/(COUNTIFS(Ticket!$B$2:$B$6001,A25,Ticket!$H$2:$H$6001,"Non Resolu")+COUNTIFS(Ticket!$B$2:$B$6001,A25,Ticket!$H$2:$H$6001,"Resolu")+COUNTIFS(Ticket!$B$2:$B$6001,A25,Ticket!$H$2:$H$6001,"Ferme sans resolution")),"Agent inactif")</f>
        <v>0.55696202531645567</v>
      </c>
      <c r="R25" s="42">
        <f>COUNTIFS(Ticket!$B$2:$B$6001,A25,Ticket!$J$2:$J$6001,"&gt;"&amp;0)/C25</f>
        <v>0.30252100840336132</v>
      </c>
      <c r="S25" s="42">
        <f>IFERROR(COUNTIFS(Ticket!$B$2:$B$6001,A25,Ticket!$J$2:$J$6001,0,Ticket!$H$2:$H$6001,"Resolu")/H25,"Agent inactif")</f>
        <v>0.21830985915492956</v>
      </c>
      <c r="T25" s="41">
        <f t="shared" si="4"/>
        <v>0.14526367187499997</v>
      </c>
      <c r="U25" s="47">
        <f>COUNTIF(Productivite!$A$2:$A$5603,A25)</f>
        <v>138</v>
      </c>
      <c r="V25" s="30">
        <f t="shared" si="5"/>
        <v>0.88405797101449279</v>
      </c>
    </row>
    <row r="26" spans="1:22" x14ac:dyDescent="0.35">
      <c r="A26" s="36" t="s">
        <v>41</v>
      </c>
      <c r="B26" s="37" t="s">
        <v>6117</v>
      </c>
      <c r="C26" s="37">
        <f>SUMIF(Productivite!$A$2:$A$5603,A26,Productivite!$D$2:$D$5603)</f>
        <v>172</v>
      </c>
      <c r="D26" s="38">
        <f>SUMIF(Productivite!$A$2:$A$5603,A26,Productivite!$C$2:$C$5603)</f>
        <v>809.89999999999986</v>
      </c>
      <c r="E26" s="37">
        <f>COUNTIFS(Productivite!$A$2:$A$5603,A26,Productivite!$E$2:$E$5603,"&lt;&gt;Non")</f>
        <v>14</v>
      </c>
      <c r="F26" s="38">
        <f>IFERROR(AVERAGEIF(Ticket!$B$2:$B$6003,A26,Ticket!$M$2:$M$6003),"Agent inactif")</f>
        <v>13.133510638297867</v>
      </c>
      <c r="G26" s="38">
        <f>IFERROR(AVERAGEIF(Ticket!$B$2:$B$6003,A26,Ticket!$K$2:$K$6003),"Agent inactif")</f>
        <v>3.8288770053475938</v>
      </c>
      <c r="H26" s="37">
        <f>COUNTIF(Ticket!$B$2:$B$6003,A26)</f>
        <v>198</v>
      </c>
      <c r="I26" s="39">
        <f t="shared" si="0"/>
        <v>0.86868686868686873</v>
      </c>
      <c r="J26" s="37">
        <f t="shared" si="1"/>
        <v>26</v>
      </c>
      <c r="K26" s="39">
        <f>IFERROR(AVERAGEIF(Ticket!$B$2:$B$6001,A26,Ticket!$N$2:$N$6001),"Agent inactif")</f>
        <v>0.65151515151515149</v>
      </c>
      <c r="L26" s="37">
        <f>COUNTIFS(Ticket!$B$2:$B$6001,A26,Ticket!$F$2:$F$6001,"Bug technique")
+COUNTIFS(Ticket!$B$2:$B$6001,A26,Ticket!$F$2:$F$6001,"Problème de connexion")
+COUNTIFS(Ticket!$B$2:$B$6001,A26,Ticket!$F$2:$F$6001,"Question facturation")</f>
        <v>84</v>
      </c>
      <c r="M26" s="39">
        <f t="shared" si="2"/>
        <v>0.48837209302325579</v>
      </c>
      <c r="N26" s="38">
        <f>IFERROR(AVERAGEIF(Enquetes_Satisfaction!$G$2:$G$2202,A26,Enquetes_Satisfaction!$D$2:$D$2202),"Agent inactif")</f>
        <v>3.8354430379746836</v>
      </c>
      <c r="O26" s="38">
        <f>IFERROR(AVERAGEIF(Enquetes_Satisfaction!$G$2:$G$2202,A26,Enquetes_Satisfaction!$E$2:$E$2202),"Agent inactif")</f>
        <v>7.4444444444444446</v>
      </c>
      <c r="P26" s="38">
        <f t="shared" si="3"/>
        <v>4.7087209302325572</v>
      </c>
      <c r="Q26" s="46">
        <f>IFERROR(COUNTIFS(Ticket!$B$2:$B$6001,A26,Ticket!$H$2:$H$6001,"Resolu")/(COUNTIFS(Ticket!$B$2:$B$6001,A26,Ticket!$H$2:$H$6001,"Non Resolu")+COUNTIFS(Ticket!$B$2:$B$6001,A26,Ticket!$H$2:$H$6001,"Resolu")+COUNTIFS(Ticket!$B$2:$B$6001,A26,Ticket!$H$2:$H$6001,"Ferme sans resolution")),"Agent inactif")</f>
        <v>0.58823529411764708</v>
      </c>
      <c r="R26" s="39">
        <f>COUNTIFS(Ticket!$B$2:$B$6001,A26,Ticket!$J$2:$J$6001,"&gt;"&amp;0)/C26</f>
        <v>0.34302325581395349</v>
      </c>
      <c r="S26" s="39">
        <f>IFERROR(COUNTIFS(Ticket!$B$2:$B$6001,A26,Ticket!$J$2:$J$6001,0,Ticket!$H$2:$H$6001,"Resolu")/H26,"Agent inactif")</f>
        <v>0.24242424242424243</v>
      </c>
      <c r="T26" s="38">
        <f t="shared" si="4"/>
        <v>0.21237189776515622</v>
      </c>
      <c r="U26" s="47">
        <f>COUNTIF(Productivite!$A$2:$A$5603,A26)</f>
        <v>130</v>
      </c>
      <c r="V26" s="30">
        <f t="shared" si="5"/>
        <v>0.89230769230769236</v>
      </c>
    </row>
    <row r="27" spans="1:22" x14ac:dyDescent="0.35">
      <c r="A27" s="36" t="s">
        <v>181</v>
      </c>
      <c r="B27" s="37" t="s">
        <v>6120</v>
      </c>
      <c r="C27" s="37">
        <f>SUMIF(Productivite!$A$2:$A$5603,A27,Productivite!$D$2:$D$5603)</f>
        <v>100</v>
      </c>
      <c r="D27" s="38">
        <f>SUMIF(Productivite!$A$2:$A$5603,A27,Productivite!$C$2:$C$5603)</f>
        <v>868.59999999999991</v>
      </c>
      <c r="E27" s="37">
        <f>COUNTIFS(Productivite!$A$2:$A$5603,A27,Productivite!$E$2:$E$5603,"&lt;&gt;Non")</f>
        <v>17</v>
      </c>
      <c r="F27" s="38">
        <f>IFERROR(AVERAGEIF(Ticket!$B$2:$B$6003,A27,Ticket!$M$2:$M$6003),"Agent inactif")</f>
        <v>13.284905660377355</v>
      </c>
      <c r="G27" s="38">
        <f>IFERROR(AVERAGEIF(Ticket!$B$2:$B$6003,A27,Ticket!$K$2:$K$6003),"Agent inactif")</f>
        <v>3.5961538461538463</v>
      </c>
      <c r="H27" s="37">
        <f>COUNTIF(Ticket!$B$2:$B$6003,A27)</f>
        <v>115</v>
      </c>
      <c r="I27" s="39">
        <f t="shared" si="0"/>
        <v>0.86956521739130432</v>
      </c>
      <c r="J27" s="37">
        <f t="shared" si="1"/>
        <v>15</v>
      </c>
      <c r="K27" s="39">
        <f>IFERROR(AVERAGEIF(Ticket!$B$2:$B$6001,A27,Ticket!$N$2:$N$6001),"Agent inactif")</f>
        <v>0.66956521739130437</v>
      </c>
      <c r="L27" s="37">
        <f>COUNTIFS(Ticket!$B$2:$B$6001,A27,Ticket!$F$2:$F$6001,"Bug technique")
+COUNTIFS(Ticket!$B$2:$B$6001,A27,Ticket!$F$2:$F$6001,"Problème de connexion")
+COUNTIFS(Ticket!$B$2:$B$6001,A27,Ticket!$F$2:$F$6001,"Question facturation")</f>
        <v>37</v>
      </c>
      <c r="M27" s="39">
        <f t="shared" si="2"/>
        <v>0.37</v>
      </c>
      <c r="N27" s="38">
        <f>IFERROR(AVERAGEIF(Enquetes_Satisfaction!$G$2:$G$2202,A27,Enquetes_Satisfaction!$D$2:$D$2202),"Agent inactif")</f>
        <v>3.7419354838709675</v>
      </c>
      <c r="O27" s="38">
        <f>IFERROR(AVERAGEIF(Enquetes_Satisfaction!$G$2:$G$2202,A27,Enquetes_Satisfaction!$E$2:$E$2202),"Agent inactif")</f>
        <v>6.6060606060606064</v>
      </c>
      <c r="P27" s="38">
        <f t="shared" si="3"/>
        <v>8.6859999999999999</v>
      </c>
      <c r="Q27" s="46">
        <f>IFERROR(COUNTIFS(Ticket!$B$2:$B$6001,A27,Ticket!$H$2:$H$6001,"Resolu")/(COUNTIFS(Ticket!$B$2:$B$6001,A27,Ticket!$H$2:$H$6001,"Non Resolu")+COUNTIFS(Ticket!$B$2:$B$6001,A27,Ticket!$H$2:$H$6001,"Resolu")+COUNTIFS(Ticket!$B$2:$B$6001,A27,Ticket!$H$2:$H$6001,"Ferme sans resolution")),"Agent inactif")</f>
        <v>0.6</v>
      </c>
      <c r="R27" s="42">
        <f>COUNTIFS(Ticket!$B$2:$B$6001,A27,Ticket!$J$2:$J$6001,"&gt;"&amp;0)/C27</f>
        <v>0.33</v>
      </c>
      <c r="S27" s="42">
        <f>IFERROR(COUNTIFS(Ticket!$B$2:$B$6001,A27,Ticket!$J$2:$J$6001,0,Ticket!$H$2:$H$6001,"Resolu")/H27,"Agent inactif")</f>
        <v>0.25217391304347825</v>
      </c>
      <c r="T27" s="41">
        <f t="shared" si="4"/>
        <v>0.11512779184895235</v>
      </c>
      <c r="U27" s="47">
        <f>COUNTIF(Productivite!$A$2:$A$5603,A27)</f>
        <v>137</v>
      </c>
      <c r="V27" s="30">
        <f t="shared" si="5"/>
        <v>0.87591240875912413</v>
      </c>
    </row>
    <row r="28" spans="1:22" x14ac:dyDescent="0.35">
      <c r="A28" s="36" t="s">
        <v>81</v>
      </c>
      <c r="B28" s="37" t="s">
        <v>6121</v>
      </c>
      <c r="C28" s="37">
        <f>SUMIF(Productivite!$A$2:$A$5603,A28,Productivite!$D$2:$D$5603)</f>
        <v>172</v>
      </c>
      <c r="D28" s="38">
        <f>SUMIF(Productivite!$A$2:$A$5603,A28,Productivite!$C$2:$C$5603)</f>
        <v>843.30000000000007</v>
      </c>
      <c r="E28" s="37">
        <f>COUNTIFS(Productivite!$A$2:$A$5603,A28,Productivite!$E$2:$E$5603,"&lt;&gt;Non")</f>
        <v>13</v>
      </c>
      <c r="F28" s="38">
        <f>IFERROR(AVERAGEIF(Ticket!$B$2:$B$6003,A28,Ticket!$M$2:$M$6003),"Agent inactif")</f>
        <v>11.043386243386248</v>
      </c>
      <c r="G28" s="38">
        <f>IFERROR(AVERAGEIF(Ticket!$B$2:$B$6003,A28,Ticket!$K$2:$K$6003),"Agent inactif")</f>
        <v>3.9005235602094239</v>
      </c>
      <c r="H28" s="37">
        <f>COUNTIF(Ticket!$B$2:$B$6003,A28)</f>
        <v>202</v>
      </c>
      <c r="I28" s="39">
        <f t="shared" si="0"/>
        <v>0.85148514851485146</v>
      </c>
      <c r="J28" s="37">
        <f t="shared" si="1"/>
        <v>30</v>
      </c>
      <c r="K28" s="39">
        <f>IFERROR(AVERAGEIF(Ticket!$B$2:$B$6001,A28,Ticket!$N$2:$N$6001),"Agent inactif")</f>
        <v>0.74752475247524752</v>
      </c>
      <c r="L28" s="37">
        <f>COUNTIFS(Ticket!$B$2:$B$6001,A28,Ticket!$F$2:$F$6001,"Bug technique")
+COUNTIFS(Ticket!$B$2:$B$6001,A28,Ticket!$F$2:$F$6001,"Problème de connexion")
+COUNTIFS(Ticket!$B$2:$B$6001,A28,Ticket!$F$2:$F$6001,"Question facturation")</f>
        <v>78</v>
      </c>
      <c r="M28" s="39">
        <f t="shared" si="2"/>
        <v>0.45348837209302323</v>
      </c>
      <c r="N28" s="38">
        <f>IFERROR(AVERAGEIF(Enquetes_Satisfaction!$G$2:$G$2202,A28,Enquetes_Satisfaction!$D$2:$D$2202),"Agent inactif")</f>
        <v>3.9682539682539684</v>
      </c>
      <c r="O28" s="38">
        <f>IFERROR(AVERAGEIF(Enquetes_Satisfaction!$G$2:$G$2202,A28,Enquetes_Satisfaction!$E$2:$E$2202),"Agent inactif")</f>
        <v>6.5846153846153843</v>
      </c>
      <c r="P28" s="38">
        <f t="shared" si="3"/>
        <v>4.9029069767441866</v>
      </c>
      <c r="Q28" s="46">
        <f>IFERROR(COUNTIFS(Ticket!$B$2:$B$6001,A28,Ticket!$H$2:$H$6001,"Resolu")/(COUNTIFS(Ticket!$B$2:$B$6001,A28,Ticket!$H$2:$H$6001,"Non Resolu")+COUNTIFS(Ticket!$B$2:$B$6001,A28,Ticket!$H$2:$H$6001,"Resolu")+COUNTIFS(Ticket!$B$2:$B$6001,A28,Ticket!$H$2:$H$6001,"Ferme sans resolution")),"Agent inactif")</f>
        <v>0.58695652173913049</v>
      </c>
      <c r="R28" s="39">
        <f>COUNTIFS(Ticket!$B$2:$B$6001,A28,Ticket!$J$2:$J$6001,"&gt;"&amp;0)/C28</f>
        <v>0.28488372093023256</v>
      </c>
      <c r="S28" s="39">
        <f>IFERROR(COUNTIFS(Ticket!$B$2:$B$6001,A28,Ticket!$J$2:$J$6001,0,Ticket!$H$2:$H$6001,"Resolu")/H28,"Agent inactif")</f>
        <v>0.30693069306930693</v>
      </c>
      <c r="T28" s="38">
        <f t="shared" si="4"/>
        <v>0.20396063085497448</v>
      </c>
      <c r="U28" s="47">
        <f>COUNTIF(Productivite!$A$2:$A$5603,A28)</f>
        <v>132</v>
      </c>
      <c r="V28" s="30">
        <f t="shared" si="5"/>
        <v>0.90151515151515149</v>
      </c>
    </row>
    <row r="29" spans="1:22" x14ac:dyDescent="0.35">
      <c r="A29" s="36" t="s">
        <v>51</v>
      </c>
      <c r="B29" s="37" t="s">
        <v>6122</v>
      </c>
      <c r="C29" s="37">
        <f>SUMIF(Productivite!$A$2:$A$5603,A29,Productivite!$D$2:$D$5603)</f>
        <v>186</v>
      </c>
      <c r="D29" s="38">
        <f>SUMIF(Productivite!$A$2:$A$5603,A29,Productivite!$C$2:$C$5603)</f>
        <v>830.09999999999991</v>
      </c>
      <c r="E29" s="37">
        <f>COUNTIFS(Productivite!$A$2:$A$5603,A29,Productivite!$E$2:$E$5603,"&lt;&gt;Non")</f>
        <v>10</v>
      </c>
      <c r="F29" s="38">
        <f>IFERROR(AVERAGEIF(Ticket!$B$2:$B$6003,A29,Ticket!$M$2:$M$6003),"Agent inactif")</f>
        <v>13.258585858585853</v>
      </c>
      <c r="G29" s="38">
        <f>IFERROR(AVERAGEIF(Ticket!$B$2:$B$6003,A29,Ticket!$K$2:$K$6003),"Agent inactif")</f>
        <v>3.835</v>
      </c>
      <c r="H29" s="37">
        <f>COUNTIF(Ticket!$B$2:$B$6003,A29)</f>
        <v>214</v>
      </c>
      <c r="I29" s="39">
        <f t="shared" si="0"/>
        <v>0.86915887850467288</v>
      </c>
      <c r="J29" s="37">
        <f t="shared" si="1"/>
        <v>28</v>
      </c>
      <c r="K29" s="39">
        <f>IFERROR(AVERAGEIF(Ticket!$B$2:$B$6001,A29,Ticket!$N$2:$N$6001),"Agent inactif")</f>
        <v>0.63084112149532712</v>
      </c>
      <c r="L29" s="37">
        <f>COUNTIFS(Ticket!$B$2:$B$6001,A29,Ticket!$F$2:$F$6001,"Bug technique")
+COUNTIFS(Ticket!$B$2:$B$6001,A29,Ticket!$F$2:$F$6001,"Problème de connexion")
+COUNTIFS(Ticket!$B$2:$B$6001,A29,Ticket!$F$2:$F$6001,"Question facturation")</f>
        <v>96</v>
      </c>
      <c r="M29" s="39">
        <f t="shared" si="2"/>
        <v>0.5161290322580645</v>
      </c>
      <c r="N29" s="38">
        <f>IFERROR(AVERAGEIF(Enquetes_Satisfaction!$G$2:$G$2202,A29,Enquetes_Satisfaction!$D$2:$D$2202),"Agent inactif")</f>
        <v>3.8028169014084505</v>
      </c>
      <c r="O29" s="38">
        <f>IFERROR(AVERAGEIF(Enquetes_Satisfaction!$G$2:$G$2202,A29,Enquetes_Satisfaction!$E$2:$E$2202),"Agent inactif")</f>
        <v>6.833333333333333</v>
      </c>
      <c r="P29" s="38">
        <f t="shared" si="3"/>
        <v>4.4629032258064507</v>
      </c>
      <c r="Q29" s="46">
        <f>IFERROR(COUNTIFS(Ticket!$B$2:$B$6001,A29,Ticket!$H$2:$H$6001,"Resolu")/(COUNTIFS(Ticket!$B$2:$B$6001,A29,Ticket!$H$2:$H$6001,"Non Resolu")+COUNTIFS(Ticket!$B$2:$B$6001,A29,Ticket!$H$2:$H$6001,"Resolu")+COUNTIFS(Ticket!$B$2:$B$6001,A29,Ticket!$H$2:$H$6001,"Ferme sans resolution")),"Agent inactif")</f>
        <v>0.60992907801418439</v>
      </c>
      <c r="R29" s="42">
        <f>COUNTIFS(Ticket!$B$2:$B$6001,A29,Ticket!$J$2:$J$6001,"&gt;"&amp;0)/C29</f>
        <v>0.27419354838709675</v>
      </c>
      <c r="S29" s="42">
        <f>IFERROR(COUNTIFS(Ticket!$B$2:$B$6001,A29,Ticket!$J$2:$J$6001,0,Ticket!$H$2:$H$6001,"Resolu")/H29,"Agent inactif")</f>
        <v>0.30373831775700932</v>
      </c>
      <c r="T29" s="41">
        <f t="shared" si="4"/>
        <v>0.22406938923021325</v>
      </c>
      <c r="U29" s="47">
        <f>COUNTIF(Productivite!$A$2:$A$5603,A29)</f>
        <v>134</v>
      </c>
      <c r="V29" s="30">
        <f t="shared" si="5"/>
        <v>0.92537313432835822</v>
      </c>
    </row>
    <row r="30" spans="1:22" x14ac:dyDescent="0.35">
      <c r="A30" s="36" t="s">
        <v>39</v>
      </c>
      <c r="B30" s="37" t="s">
        <v>6123</v>
      </c>
      <c r="C30" s="37">
        <f>SUMIF(Productivite!$A$2:$A$5603,A30,Productivite!$D$2:$D$5603)</f>
        <v>136</v>
      </c>
      <c r="D30" s="38">
        <f>SUMIF(Productivite!$A$2:$A$5603,A30,Productivite!$C$2:$C$5603)</f>
        <v>842.1999999999997</v>
      </c>
      <c r="E30" s="37">
        <f>COUNTIFS(Productivite!$A$2:$A$5603,A30,Productivite!$E$2:$E$5603,"&lt;&gt;Non")</f>
        <v>9</v>
      </c>
      <c r="F30" s="38">
        <f>IFERROR(AVERAGEIF(Ticket!$B$2:$B$6003,A30,Ticket!$M$2:$M$6003),"Agent inactif")</f>
        <v>11.436423841059604</v>
      </c>
      <c r="G30" s="38">
        <f>IFERROR(AVERAGEIF(Ticket!$B$2:$B$6003,A30,Ticket!$K$2:$K$6003),"Agent inactif")</f>
        <v>3.8866666666666667</v>
      </c>
      <c r="H30" s="37">
        <f>COUNTIF(Ticket!$B$2:$B$6003,A30)</f>
        <v>159</v>
      </c>
      <c r="I30" s="39">
        <f t="shared" si="0"/>
        <v>0.85534591194968557</v>
      </c>
      <c r="J30" s="37">
        <f t="shared" si="1"/>
        <v>23</v>
      </c>
      <c r="K30" s="39">
        <f>IFERROR(AVERAGEIF(Ticket!$B$2:$B$6001,A30,Ticket!$N$2:$N$6001),"Agent inactif")</f>
        <v>0.72327044025157228</v>
      </c>
      <c r="L30" s="37">
        <f>COUNTIFS(Ticket!$B$2:$B$6001,A30,Ticket!$F$2:$F$6001,"Bug technique")
+COUNTIFS(Ticket!$B$2:$B$6001,A30,Ticket!$F$2:$F$6001,"Problème de connexion")
+COUNTIFS(Ticket!$B$2:$B$6001,A30,Ticket!$F$2:$F$6001,"Question facturation")</f>
        <v>67</v>
      </c>
      <c r="M30" s="39">
        <f t="shared" si="2"/>
        <v>0.49264705882352944</v>
      </c>
      <c r="N30" s="38">
        <f>IFERROR(AVERAGEIF(Enquetes_Satisfaction!$G$2:$G$2202,A30,Enquetes_Satisfaction!$D$2:$D$2202),"Agent inactif")</f>
        <v>3.6610169491525424</v>
      </c>
      <c r="O30" s="38">
        <f>IFERROR(AVERAGEIF(Enquetes_Satisfaction!$G$2:$G$2202,A30,Enquetes_Satisfaction!$E$2:$E$2202),"Agent inactif")</f>
        <v>7.1379310344827589</v>
      </c>
      <c r="P30" s="38">
        <f t="shared" si="3"/>
        <v>6.1926470588235274</v>
      </c>
      <c r="Q30" s="46">
        <f>IFERROR(COUNTIFS(Ticket!$B$2:$B$6001,A30,Ticket!$H$2:$H$6001,"Resolu")/(COUNTIFS(Ticket!$B$2:$B$6001,A30,Ticket!$H$2:$H$6001,"Non Resolu")+COUNTIFS(Ticket!$B$2:$B$6001,A30,Ticket!$H$2:$H$6001,"Resolu")+COUNTIFS(Ticket!$B$2:$B$6001,A30,Ticket!$H$2:$H$6001,"Ferme sans resolution")),"Agent inactif")</f>
        <v>0.58620689655172409</v>
      </c>
      <c r="R30" s="39">
        <f>COUNTIFS(Ticket!$B$2:$B$6001,A30,Ticket!$J$2:$J$6001,"&gt;"&amp;0)/C30</f>
        <v>0.27941176470588236</v>
      </c>
      <c r="S30" s="39">
        <f>IFERROR(COUNTIFS(Ticket!$B$2:$B$6001,A30,Ticket!$J$2:$J$6001,0,Ticket!$H$2:$H$6001,"Resolu")/H30,"Agent inactif")</f>
        <v>0.25157232704402516</v>
      </c>
      <c r="T30" s="38">
        <f t="shared" si="4"/>
        <v>0.16148183329375451</v>
      </c>
      <c r="U30" s="47">
        <f>COUNTIF(Productivite!$A$2:$A$5603,A30)</f>
        <v>134</v>
      </c>
      <c r="V30" s="30">
        <f t="shared" si="5"/>
        <v>0.93283582089552242</v>
      </c>
    </row>
    <row r="31" spans="1:22" x14ac:dyDescent="0.35">
      <c r="A31" s="36" t="s">
        <v>49</v>
      </c>
      <c r="B31" s="37" t="s">
        <v>6124</v>
      </c>
      <c r="C31" s="37">
        <f>SUMIF(Productivite!$A$2:$A$5603,A31,Productivite!$D$2:$D$5603)</f>
        <v>153</v>
      </c>
      <c r="D31" s="38">
        <f>SUMIF(Productivite!$A$2:$A$5603,A31,Productivite!$C$2:$C$5603)</f>
        <v>831.9</v>
      </c>
      <c r="E31" s="37">
        <f>COUNTIFS(Productivite!$A$2:$A$5603,A31,Productivite!$E$2:$E$5603,"&lt;&gt;Non")</f>
        <v>16</v>
      </c>
      <c r="F31" s="38">
        <f>IFERROR(AVERAGEIF(Ticket!$B$2:$B$6003,A31,Ticket!$M$2:$M$6003),"Agent inactif")</f>
        <v>11.738036809815954</v>
      </c>
      <c r="G31" s="38">
        <f>IFERROR(AVERAGEIF(Ticket!$B$2:$B$6003,A31,Ticket!$K$2:$K$6003),"Agent inactif")</f>
        <v>3.9375</v>
      </c>
      <c r="H31" s="37">
        <f>COUNTIF(Ticket!$B$2:$B$6003,A31)</f>
        <v>173</v>
      </c>
      <c r="I31" s="39">
        <f t="shared" si="0"/>
        <v>0.88439306358381498</v>
      </c>
      <c r="J31" s="37">
        <f t="shared" si="1"/>
        <v>20</v>
      </c>
      <c r="K31" s="39">
        <f>IFERROR(AVERAGEIF(Ticket!$B$2:$B$6001,A31,Ticket!$N$2:$N$6001),"Agent inactif")</f>
        <v>0.76878612716763006</v>
      </c>
      <c r="L31" s="37">
        <f>COUNTIFS(Ticket!$B$2:$B$6001,A31,Ticket!$F$2:$F$6001,"Bug technique")
+COUNTIFS(Ticket!$B$2:$B$6001,A31,Ticket!$F$2:$F$6001,"Problème de connexion")
+COUNTIFS(Ticket!$B$2:$B$6001,A31,Ticket!$F$2:$F$6001,"Question facturation")</f>
        <v>67</v>
      </c>
      <c r="M31" s="39">
        <f t="shared" si="2"/>
        <v>0.43790849673202614</v>
      </c>
      <c r="N31" s="38">
        <f>IFERROR(AVERAGEIF(Enquetes_Satisfaction!$G$2:$G$2202,A31,Enquetes_Satisfaction!$D$2:$D$2202),"Agent inactif")</f>
        <v>4.0694444444444446</v>
      </c>
      <c r="O31" s="38">
        <f>IFERROR(AVERAGEIF(Enquetes_Satisfaction!$G$2:$G$2202,A31,Enquetes_Satisfaction!$E$2:$E$2202),"Agent inactif")</f>
        <v>7.615384615384615</v>
      </c>
      <c r="P31" s="38">
        <f t="shared" si="3"/>
        <v>5.4372549019607845</v>
      </c>
      <c r="Q31" s="46">
        <f>IFERROR(COUNTIFS(Ticket!$B$2:$B$6001,A31,Ticket!$H$2:$H$6001,"Resolu")/(COUNTIFS(Ticket!$B$2:$B$6001,A31,Ticket!$H$2:$H$6001,"Non Resolu")+COUNTIFS(Ticket!$B$2:$B$6001,A31,Ticket!$H$2:$H$6001,"Resolu")+COUNTIFS(Ticket!$B$2:$B$6001,A31,Ticket!$H$2:$H$6001,"Ferme sans resolution")),"Agent inactif")</f>
        <v>0.4336283185840708</v>
      </c>
      <c r="R31" s="42">
        <f>COUNTIFS(Ticket!$B$2:$B$6001,A31,Ticket!$J$2:$J$6001,"&gt;"&amp;0)/C31</f>
        <v>0.20915032679738563</v>
      </c>
      <c r="S31" s="42">
        <f>IFERROR(COUNTIFS(Ticket!$B$2:$B$6001,A31,Ticket!$J$2:$J$6001,0,Ticket!$H$2:$H$6001,"Resolu")/H31,"Agent inactif")</f>
        <v>0.24277456647398843</v>
      </c>
      <c r="T31" s="41">
        <f t="shared" si="4"/>
        <v>0.18391633609808872</v>
      </c>
      <c r="U31" s="47">
        <f>COUNTIF(Productivite!$A$2:$A$5603,A31)</f>
        <v>134</v>
      </c>
      <c r="V31" s="30">
        <f t="shared" si="5"/>
        <v>0.88059701492537312</v>
      </c>
    </row>
    <row r="32" spans="1:22" x14ac:dyDescent="0.35">
      <c r="A32" s="36" t="s">
        <v>92</v>
      </c>
      <c r="B32" s="37" t="s">
        <v>6125</v>
      </c>
      <c r="C32" s="37">
        <f>SUMIF(Productivite!$A$2:$A$5603,A32,Productivite!$D$2:$D$5603)</f>
        <v>105</v>
      </c>
      <c r="D32" s="38">
        <f>SUMIF(Productivite!$A$2:$A$5603,A32,Productivite!$C$2:$C$5603)</f>
        <v>825.50000000000011</v>
      </c>
      <c r="E32" s="37">
        <f>COUNTIFS(Productivite!$A$2:$A$5603,A32,Productivite!$E$2:$E$5603,"&lt;&gt;Non")</f>
        <v>16</v>
      </c>
      <c r="F32" s="38">
        <f>IFERROR(AVERAGEIF(Ticket!$B$2:$B$6003,A32,Ticket!$M$2:$M$6003),"Agent inactif")</f>
        <v>11.57207207207207</v>
      </c>
      <c r="G32" s="38">
        <f>IFERROR(AVERAGEIF(Ticket!$B$2:$B$6003,A32,Ticket!$K$2:$K$6003),"Agent inactif")</f>
        <v>3.7196261682242993</v>
      </c>
      <c r="H32" s="37">
        <f>COUNTIF(Ticket!$B$2:$B$6003,A32)</f>
        <v>119</v>
      </c>
      <c r="I32" s="39">
        <f t="shared" si="0"/>
        <v>0.88235294117647056</v>
      </c>
      <c r="J32" s="37">
        <f t="shared" si="1"/>
        <v>14</v>
      </c>
      <c r="K32" s="39">
        <f>IFERROR(AVERAGEIF(Ticket!$B$2:$B$6001,A32,Ticket!$N$2:$N$6001),"Agent inactif")</f>
        <v>0.70588235294117652</v>
      </c>
      <c r="L32" s="37">
        <f>COUNTIFS(Ticket!$B$2:$B$6001,A32,Ticket!$F$2:$F$6001,"Bug technique")
+COUNTIFS(Ticket!$B$2:$B$6001,A32,Ticket!$F$2:$F$6001,"Problème de connexion")
+COUNTIFS(Ticket!$B$2:$B$6001,A32,Ticket!$F$2:$F$6001,"Question facturation")</f>
        <v>48</v>
      </c>
      <c r="M32" s="39">
        <f t="shared" si="2"/>
        <v>0.45714285714285713</v>
      </c>
      <c r="N32" s="38">
        <f>IFERROR(AVERAGEIF(Enquetes_Satisfaction!$G$2:$G$2202,A32,Enquetes_Satisfaction!$D$2:$D$2202),"Agent inactif")</f>
        <v>3.5454545454545454</v>
      </c>
      <c r="O32" s="38">
        <f>IFERROR(AVERAGEIF(Enquetes_Satisfaction!$G$2:$G$2202,A32,Enquetes_Satisfaction!$E$2:$E$2202),"Agent inactif")</f>
        <v>6.7575757575757578</v>
      </c>
      <c r="P32" s="38">
        <f t="shared" si="3"/>
        <v>7.8619047619047633</v>
      </c>
      <c r="Q32" s="46">
        <f>IFERROR(COUNTIFS(Ticket!$B$2:$B$6001,A32,Ticket!$H$2:$H$6001,"Resolu")/(COUNTIFS(Ticket!$B$2:$B$6001,A32,Ticket!$H$2:$H$6001,"Non Resolu")+COUNTIFS(Ticket!$B$2:$B$6001,A32,Ticket!$H$2:$H$6001,"Resolu")+COUNTIFS(Ticket!$B$2:$B$6001,A32,Ticket!$H$2:$H$6001,"Ferme sans resolution")),"Agent inactif")</f>
        <v>0.59210526315789469</v>
      </c>
      <c r="R32" s="39">
        <f>COUNTIFS(Ticket!$B$2:$B$6001,A32,Ticket!$J$2:$J$6001,"&gt;"&amp;0)/C32</f>
        <v>0.30476190476190479</v>
      </c>
      <c r="S32" s="39">
        <f>IFERROR(COUNTIFS(Ticket!$B$2:$B$6001,A32,Ticket!$J$2:$J$6001,0,Ticket!$H$2:$H$6001,"Resolu")/H32,"Agent inactif")</f>
        <v>0.26050420168067229</v>
      </c>
      <c r="T32" s="38">
        <f t="shared" si="4"/>
        <v>0.12719563900666261</v>
      </c>
      <c r="U32" s="47">
        <f>COUNTIF(Productivite!$A$2:$A$5603,A32)</f>
        <v>130</v>
      </c>
      <c r="V32" s="30">
        <f t="shared" si="5"/>
        <v>0.87692307692307692</v>
      </c>
    </row>
    <row r="33" spans="1:22" x14ac:dyDescent="0.35">
      <c r="A33" s="36" t="s">
        <v>47</v>
      </c>
      <c r="B33" s="37" t="s">
        <v>6098</v>
      </c>
      <c r="C33" s="37">
        <f>SUMIF(Productivite!$A$2:$A$5603,A33,Productivite!$D$2:$D$5603)</f>
        <v>297</v>
      </c>
      <c r="D33" s="38">
        <f>SUMIF(Productivite!$A$2:$A$5603,A33,Productivite!$C$2:$C$5603)</f>
        <v>1029.5000000000005</v>
      </c>
      <c r="E33" s="37">
        <f>COUNTIFS(Productivite!$A$2:$A$5603,A33,Productivite!$E$2:$E$5603,"&lt;&gt;Non")</f>
        <v>19</v>
      </c>
      <c r="F33" s="38">
        <f>IFERROR(AVERAGEIF(Ticket!$B$2:$B$6003,A33,Ticket!$M$2:$M$6003),"Agent inactif")</f>
        <v>12.763461538461542</v>
      </c>
      <c r="G33" s="38">
        <f>IFERROR(AVERAGEIF(Ticket!$B$2:$B$6003,A33,Ticket!$K$2:$K$6003),"Agent inactif")</f>
        <v>3.8846153846153846</v>
      </c>
      <c r="H33" s="37">
        <f>COUNTIF(Ticket!$B$2:$B$6003,A33)</f>
        <v>331</v>
      </c>
      <c r="I33" s="39">
        <f t="shared" si="0"/>
        <v>0.89728096676737157</v>
      </c>
      <c r="J33" s="37">
        <f t="shared" si="1"/>
        <v>34</v>
      </c>
      <c r="K33" s="39">
        <f>IFERROR(AVERAGEIF(Ticket!$B$2:$B$6001,A33,Ticket!$N$2:$N$6001),"Agent inactif")</f>
        <v>0.70090634441087618</v>
      </c>
      <c r="L33" s="37">
        <f>COUNTIFS(Ticket!$B$2:$B$6001,A33,Ticket!$F$2:$F$6001,"Bug technique")
+COUNTIFS(Ticket!$B$2:$B$6001,A33,Ticket!$F$2:$F$6001,"Problème de connexion")
+COUNTIFS(Ticket!$B$2:$B$6001,A33,Ticket!$F$2:$F$6001,"Question facturation")</f>
        <v>131</v>
      </c>
      <c r="M33" s="39">
        <f t="shared" si="2"/>
        <v>0.44107744107744107</v>
      </c>
      <c r="N33" s="38">
        <f>IFERROR(AVERAGEIF(Enquetes_Satisfaction!$G$2:$G$2202,A33,Enquetes_Satisfaction!$D$2:$D$2202),"Agent inactif")</f>
        <v>3.9174311926605503</v>
      </c>
      <c r="O33" s="38">
        <f>IFERROR(AVERAGEIF(Enquetes_Satisfaction!$G$2:$G$2202,A33,Enquetes_Satisfaction!$E$2:$E$2202),"Agent inactif")</f>
        <v>7.12</v>
      </c>
      <c r="P33" s="38">
        <f t="shared" si="3"/>
        <v>3.466329966329968</v>
      </c>
      <c r="Q33" s="46">
        <f>IFERROR(COUNTIFS(Ticket!$B$2:$B$6001,A33,Ticket!$H$2:$H$6001,"Resolu")/(COUNTIFS(Ticket!$B$2:$B$6001,A33,Ticket!$H$2:$H$6001,"Non Resolu")+COUNTIFS(Ticket!$B$2:$B$6001,A33,Ticket!$H$2:$H$6001,"Resolu")+COUNTIFS(Ticket!$B$2:$B$6001,A33,Ticket!$H$2:$H$6001,"Ferme sans resolution")),"Agent inactif")</f>
        <v>0.54260089686098656</v>
      </c>
      <c r="R33" s="42">
        <f>COUNTIFS(Ticket!$B$2:$B$6001,A33,Ticket!$J$2:$J$6001,"&gt;"&amp;0)/C33</f>
        <v>0.27946127946127947</v>
      </c>
      <c r="S33" s="42">
        <f>IFERROR(COUNTIFS(Ticket!$B$2:$B$6001,A33,Ticket!$J$2:$J$6001,0,Ticket!$H$2:$H$6001,"Resolu")/H33,"Agent inactif")</f>
        <v>0.26888217522658608</v>
      </c>
      <c r="T33" s="41">
        <f t="shared" si="4"/>
        <v>0.28848955803788234</v>
      </c>
      <c r="U33" s="47">
        <f>COUNTIF(Productivite!$A$2:$A$5603,A33)</f>
        <v>167</v>
      </c>
      <c r="V33" s="30">
        <f t="shared" si="5"/>
        <v>0.88622754491017963</v>
      </c>
    </row>
    <row r="34" spans="1:22" x14ac:dyDescent="0.35">
      <c r="A34" s="36" t="s">
        <v>57</v>
      </c>
      <c r="B34" s="37" t="s">
        <v>6126</v>
      </c>
      <c r="C34" s="37">
        <f>SUMIF(Productivite!$A$2:$A$5603,A34,Productivite!$D$2:$D$5603)</f>
        <v>159</v>
      </c>
      <c r="D34" s="38">
        <f>SUMIF(Productivite!$A$2:$A$5603,A34,Productivite!$C$2:$C$5603)</f>
        <v>832.3000000000003</v>
      </c>
      <c r="E34" s="37">
        <f>COUNTIFS(Productivite!$A$2:$A$5603,A34,Productivite!$E$2:$E$5603,"&lt;&gt;Non")</f>
        <v>13</v>
      </c>
      <c r="F34" s="38">
        <f>IFERROR(AVERAGEIF(Ticket!$B$2:$B$6003,A34,Ticket!$M$2:$M$6003),"Agent inactif")</f>
        <v>11.687341772151902</v>
      </c>
      <c r="G34" s="38">
        <f>IFERROR(AVERAGEIF(Ticket!$B$2:$B$6003,A34,Ticket!$K$2:$K$6003),"Agent inactif")</f>
        <v>3.7666666666666666</v>
      </c>
      <c r="H34" s="37">
        <f>COUNTIF(Ticket!$B$2:$B$6003,A34)</f>
        <v>165</v>
      </c>
      <c r="I34" s="39">
        <f t="shared" si="0"/>
        <v>0.96363636363636362</v>
      </c>
      <c r="J34" s="37">
        <f t="shared" si="1"/>
        <v>6</v>
      </c>
      <c r="K34" s="39">
        <f>IFERROR(AVERAGEIF(Ticket!$B$2:$B$6001,A34,Ticket!$N$2:$N$6001),"Agent inactif")</f>
        <v>0.70909090909090911</v>
      </c>
      <c r="L34" s="37">
        <f>COUNTIFS(Ticket!$B$2:$B$6001,A34,Ticket!$F$2:$F$6001,"Bug technique")
+COUNTIFS(Ticket!$B$2:$B$6001,A34,Ticket!$F$2:$F$6001,"Problème de connexion")
+COUNTIFS(Ticket!$B$2:$B$6001,A34,Ticket!$F$2:$F$6001,"Question facturation")</f>
        <v>60</v>
      </c>
      <c r="M34" s="39">
        <f t="shared" si="2"/>
        <v>0.37735849056603776</v>
      </c>
      <c r="N34" s="38">
        <f>IFERROR(AVERAGEIF(Enquetes_Satisfaction!$G$2:$G$2202,A34,Enquetes_Satisfaction!$D$2:$D$2202),"Agent inactif")</f>
        <v>4.1428571428571432</v>
      </c>
      <c r="O34" s="38">
        <f>IFERROR(AVERAGEIF(Enquetes_Satisfaction!$G$2:$G$2202,A34,Enquetes_Satisfaction!$E$2:$E$2202),"Agent inactif")</f>
        <v>7.75</v>
      </c>
      <c r="P34" s="38">
        <f t="shared" si="3"/>
        <v>5.2345911949685551</v>
      </c>
      <c r="Q34" s="46">
        <f>IFERROR(COUNTIFS(Ticket!$B$2:$B$6001,A34,Ticket!$H$2:$H$6001,"Resolu")/(COUNTIFS(Ticket!$B$2:$B$6001,A34,Ticket!$H$2:$H$6001,"Non Resolu")+COUNTIFS(Ticket!$B$2:$B$6001,A34,Ticket!$H$2:$H$6001,"Resolu")+COUNTIFS(Ticket!$B$2:$B$6001,A34,Ticket!$H$2:$H$6001,"Ferme sans resolution")),"Agent inactif")</f>
        <v>0.5714285714285714</v>
      </c>
      <c r="R34" s="39">
        <f>COUNTIFS(Ticket!$B$2:$B$6001,A34,Ticket!$J$2:$J$6001,"&gt;"&amp;0)/C34</f>
        <v>0.26415094339622641</v>
      </c>
      <c r="S34" s="39">
        <f>IFERROR(COUNTIFS(Ticket!$B$2:$B$6001,A34,Ticket!$J$2:$J$6001,0,Ticket!$H$2:$H$6001,"Resolu")/H34,"Agent inactif")</f>
        <v>0.27878787878787881</v>
      </c>
      <c r="T34" s="38">
        <f t="shared" si="4"/>
        <v>0.19103688573831545</v>
      </c>
      <c r="U34" s="47">
        <f>COUNTIF(Productivite!$A$2:$A$5603,A34)</f>
        <v>135</v>
      </c>
      <c r="V34" s="30">
        <f t="shared" si="5"/>
        <v>0.90370370370370368</v>
      </c>
    </row>
    <row r="35" spans="1:22" x14ac:dyDescent="0.35">
      <c r="A35" s="36" t="s">
        <v>69</v>
      </c>
      <c r="B35" s="37" t="s">
        <v>6119</v>
      </c>
      <c r="C35" s="37">
        <f>SUMIF(Productivite!$A$2:$A$5603,A35,Productivite!$D$2:$D$5603)</f>
        <v>252</v>
      </c>
      <c r="D35" s="38">
        <f>SUMIF(Productivite!$A$2:$A$5603,A35,Productivite!$C$2:$C$5603)</f>
        <v>963.40000000000032</v>
      </c>
      <c r="E35" s="37">
        <f>COUNTIFS(Productivite!$A$2:$A$5603,A35,Productivite!$E$2:$E$5603,"&lt;&gt;Non")</f>
        <v>17</v>
      </c>
      <c r="F35" s="38">
        <f>IFERROR(AVERAGEIF(Ticket!$B$2:$B$6003,A35,Ticket!$M$2:$M$6003),"Agent inactif")</f>
        <v>11.708053691275159</v>
      </c>
      <c r="G35" s="38">
        <f>IFERROR(AVERAGEIF(Ticket!$B$2:$B$6003,A35,Ticket!$K$2:$K$6003),"Agent inactif")</f>
        <v>3.8435374149659864</v>
      </c>
      <c r="H35" s="37">
        <f>COUNTIF(Ticket!$B$2:$B$6003,A35)</f>
        <v>320</v>
      </c>
      <c r="I35" s="39">
        <f t="shared" si="0"/>
        <v>0.78749999999999998</v>
      </c>
      <c r="J35" s="37">
        <f t="shared" si="1"/>
        <v>68</v>
      </c>
      <c r="K35" s="39">
        <f>IFERROR(AVERAGEIF(Ticket!$B$2:$B$6001,A35,Ticket!$N$2:$N$6001),"Agent inactif")</f>
        <v>0.71562499999999996</v>
      </c>
      <c r="L35" s="37">
        <f>COUNTIFS(Ticket!$B$2:$B$6001,A35,Ticket!$F$2:$F$6001,"Bug technique")
+COUNTIFS(Ticket!$B$2:$B$6001,A35,Ticket!$F$2:$F$6001,"Problème de connexion")
+COUNTIFS(Ticket!$B$2:$B$6001,A35,Ticket!$F$2:$F$6001,"Question facturation")</f>
        <v>123</v>
      </c>
      <c r="M35" s="39">
        <f t="shared" si="2"/>
        <v>0.48809523809523808</v>
      </c>
      <c r="N35" s="38">
        <f>IFERROR(AVERAGEIF(Enquetes_Satisfaction!$G$2:$G$2202,A35,Enquetes_Satisfaction!$D$2:$D$2202),"Agent inactif")</f>
        <v>3.8899082568807342</v>
      </c>
      <c r="O35" s="38">
        <f>IFERROR(AVERAGEIF(Enquetes_Satisfaction!$G$2:$G$2202,A35,Enquetes_Satisfaction!$E$2:$E$2202),"Agent inactif")</f>
        <v>7.2678571428571432</v>
      </c>
      <c r="P35" s="38">
        <f t="shared" si="3"/>
        <v>3.8230158730158741</v>
      </c>
      <c r="Q35" s="46">
        <f>IFERROR(COUNTIFS(Ticket!$B$2:$B$6001,A35,Ticket!$H$2:$H$6001,"Resolu")/(COUNTIFS(Ticket!$B$2:$B$6001,A35,Ticket!$H$2:$H$6001,"Non Resolu")+COUNTIFS(Ticket!$B$2:$B$6001,A35,Ticket!$H$2:$H$6001,"Resolu")+COUNTIFS(Ticket!$B$2:$B$6001,A35,Ticket!$H$2:$H$6001,"Ferme sans resolution")),"Agent inactif")</f>
        <v>0.62962962962962965</v>
      </c>
      <c r="R35" s="42">
        <f>COUNTIFS(Ticket!$B$2:$B$6001,A35,Ticket!$J$2:$J$6001,"&gt;"&amp;0)/C35</f>
        <v>0.32142857142857145</v>
      </c>
      <c r="S35" s="42">
        <f>IFERROR(COUNTIFS(Ticket!$B$2:$B$6001,A35,Ticket!$J$2:$J$6001,0,Ticket!$H$2:$H$6001,"Resolu")/H35,"Agent inactif")</f>
        <v>0.32187500000000002</v>
      </c>
      <c r="T35" s="41">
        <f t="shared" si="4"/>
        <v>0.26157359352293952</v>
      </c>
      <c r="U35" s="47">
        <f>COUNTIF(Productivite!$A$2:$A$5603,A35)</f>
        <v>163</v>
      </c>
      <c r="V35" s="30">
        <f t="shared" si="5"/>
        <v>0.89570552147239269</v>
      </c>
    </row>
    <row r="36" spans="1:22" x14ac:dyDescent="0.35">
      <c r="A36" s="36" t="s">
        <v>23</v>
      </c>
      <c r="B36" s="37" t="s">
        <v>6127</v>
      </c>
      <c r="C36" s="37">
        <f>SUMIF(Productivite!$A$2:$A$5603,A36,Productivite!$D$2:$D$5603)</f>
        <v>158</v>
      </c>
      <c r="D36" s="38">
        <f>SUMIF(Productivite!$A$2:$A$5603,A36,Productivite!$C$2:$C$5603)</f>
        <v>866.19999999999993</v>
      </c>
      <c r="E36" s="37">
        <f>COUNTIFS(Productivite!$A$2:$A$5603,A36,Productivite!$E$2:$E$5603,"&lt;&gt;Non")</f>
        <v>9</v>
      </c>
      <c r="F36" s="38">
        <f>IFERROR(AVERAGEIF(Ticket!$B$2:$B$6003,A36,Ticket!$M$2:$M$6003),"Agent inactif")</f>
        <v>11.326874999999992</v>
      </c>
      <c r="G36" s="38">
        <f>IFERROR(AVERAGEIF(Ticket!$B$2:$B$6003,A36,Ticket!$K$2:$K$6003),"Agent inactif")</f>
        <v>3.6578947368421053</v>
      </c>
      <c r="H36" s="37">
        <f>COUNTIF(Ticket!$B$2:$B$6003,A36)</f>
        <v>165</v>
      </c>
      <c r="I36" s="39">
        <f t="shared" si="0"/>
        <v>0.95757575757575752</v>
      </c>
      <c r="J36" s="37">
        <f t="shared" si="1"/>
        <v>7</v>
      </c>
      <c r="K36" s="39">
        <f>IFERROR(AVERAGEIF(Ticket!$B$2:$B$6001,A36,Ticket!$N$2:$N$6001),"Agent inactif")</f>
        <v>0.69696969696969702</v>
      </c>
      <c r="L36" s="37">
        <f>COUNTIFS(Ticket!$B$2:$B$6001,A36,Ticket!$F$2:$F$6001,"Bug technique")
+COUNTIFS(Ticket!$B$2:$B$6001,A36,Ticket!$F$2:$F$6001,"Problème de connexion")
+COUNTIFS(Ticket!$B$2:$B$6001,A36,Ticket!$F$2:$F$6001,"Question facturation")</f>
        <v>61</v>
      </c>
      <c r="M36" s="39">
        <f t="shared" si="2"/>
        <v>0.38607594936708861</v>
      </c>
      <c r="N36" s="38">
        <f>IFERROR(AVERAGEIF(Enquetes_Satisfaction!$G$2:$G$2202,A36,Enquetes_Satisfaction!$D$2:$D$2202),"Agent inactif")</f>
        <v>3.5510204081632653</v>
      </c>
      <c r="O36" s="38">
        <f>IFERROR(AVERAGEIF(Enquetes_Satisfaction!$G$2:$G$2202,A36,Enquetes_Satisfaction!$E$2:$E$2202),"Agent inactif")</f>
        <v>7.9130434782608692</v>
      </c>
      <c r="P36" s="38">
        <f t="shared" si="3"/>
        <v>5.4822784810126581</v>
      </c>
      <c r="Q36" s="46">
        <f>IFERROR(COUNTIFS(Ticket!$B$2:$B$6001,A36,Ticket!$H$2:$H$6001,"Resolu")/(COUNTIFS(Ticket!$B$2:$B$6001,A36,Ticket!$H$2:$H$6001,"Non Resolu")+COUNTIFS(Ticket!$B$2:$B$6001,A36,Ticket!$H$2:$H$6001,"Resolu")+COUNTIFS(Ticket!$B$2:$B$6001,A36,Ticket!$H$2:$H$6001,"Ferme sans resolution")),"Agent inactif")</f>
        <v>0.57758620689655171</v>
      </c>
      <c r="R36" s="39">
        <f>COUNTIFS(Ticket!$B$2:$B$6001,A36,Ticket!$J$2:$J$6001,"&gt;"&amp;0)/C36</f>
        <v>0.29746835443037972</v>
      </c>
      <c r="S36" s="39">
        <f>IFERROR(COUNTIFS(Ticket!$B$2:$B$6001,A36,Ticket!$J$2:$J$6001,0,Ticket!$H$2:$H$6001,"Resolu")/H36,"Agent inactif")</f>
        <v>0.25454545454545452</v>
      </c>
      <c r="T36" s="38">
        <f t="shared" si="4"/>
        <v>0.18240591087508659</v>
      </c>
      <c r="U36" s="47">
        <f>COUNTIF(Productivite!$A$2:$A$5603,A36)</f>
        <v>138</v>
      </c>
      <c r="V36" s="30">
        <f t="shared" si="5"/>
        <v>0.93478260869565222</v>
      </c>
    </row>
    <row r="37" spans="1:22" x14ac:dyDescent="0.35">
      <c r="A37" s="36" t="s">
        <v>6077</v>
      </c>
      <c r="B37" s="37" t="s">
        <v>6078</v>
      </c>
      <c r="C37" s="37">
        <f>SUMIF(Productivite!$A$2:$A$5603,A37,Productivite!$D$2:$D$5603)</f>
        <v>0</v>
      </c>
      <c r="D37" s="38">
        <f>SUMIF(Productivite!$A$2:$A$5603,A37,Productivite!$C$2:$C$5603)</f>
        <v>508.59999999999997</v>
      </c>
      <c r="E37" s="37">
        <f>COUNTIFS(Productivite!$A$2:$A$5603,A37,Productivite!$E$2:$E$5603,"&lt;&gt;Non")</f>
        <v>5</v>
      </c>
      <c r="F37" s="38" t="str">
        <f>IFERROR(AVERAGEIF(Ticket!$B$2:$B$6003,A37,Ticket!$M$2:$M$6003),"Agent inactif")</f>
        <v>Agent inactif</v>
      </c>
      <c r="G37" s="38" t="str">
        <f>IFERROR(AVERAGEIF(Ticket!$B$2:$B$6003,A37,Ticket!$K$2:$K$6003),"Agent inactif")</f>
        <v>Agent inactif</v>
      </c>
      <c r="H37" s="37">
        <f>COUNTIF(Ticket!$B$2:$B$6003,A37)</f>
        <v>0</v>
      </c>
      <c r="I37" s="39" t="str">
        <f t="shared" si="0"/>
        <v>Agent inactif</v>
      </c>
      <c r="J37" s="37">
        <f t="shared" si="1"/>
        <v>0</v>
      </c>
      <c r="K37" s="39" t="str">
        <f>IFERROR(AVERAGEIF(Ticket!$B$2:$B$6001,A37,Ticket!$N$2:$N$6001),"Agent inactif")</f>
        <v>Agent inactif</v>
      </c>
      <c r="L37" s="37">
        <f>COUNTIFS(Ticket!$B$2:$B$6001,A37,Ticket!$F$2:$F$6001,"Bug technique")
+COUNTIFS(Ticket!$B$2:$B$6001,A37,Ticket!$F$2:$F$6001,"Problème de connexion")
+COUNTIFS(Ticket!$B$2:$B$6001,A37,Ticket!$F$2:$F$6001,"Question facturation")</f>
        <v>0</v>
      </c>
      <c r="M37" s="39" t="str">
        <f t="shared" si="2"/>
        <v>Agent inactif</v>
      </c>
      <c r="N37" s="38" t="str">
        <f>IFERROR(AVERAGEIF(Enquetes_Satisfaction!$G$2:$G$2202,A37,Enquetes_Satisfaction!$D$2:$D$2202),"Agent inactif")</f>
        <v>Agent inactif</v>
      </c>
      <c r="O37" s="38" t="str">
        <f>IFERROR(AVERAGEIF(Enquetes_Satisfaction!$G$2:$G$2202,A37,Enquetes_Satisfaction!$E$2:$E$2202),"Agent inactif")</f>
        <v>Agent inactif</v>
      </c>
      <c r="P37" s="38" t="str">
        <f t="shared" si="3"/>
        <v>Agent inactif</v>
      </c>
      <c r="Q37" s="46" t="str">
        <f>IFERROR(COUNTIFS(Ticket!$B$2:$B$6001,A37,Ticket!$H$2:$H$6001,"Resolu")/(COUNTIFS(Ticket!$B$2:$B$6001,A37,Ticket!$H$2:$H$6001,"Non Resolu")+COUNTIFS(Ticket!$B$2:$B$6001,A37,Ticket!$H$2:$H$6001,"Resolu")+COUNTIFS(Ticket!$B$2:$B$6001,A37,Ticket!$H$2:$H$6001,"Ferme sans resolution")),"Agent inactif")</f>
        <v>Agent inactif</v>
      </c>
      <c r="R37" s="42" t="e">
        <f>COUNTIFS(Ticket!$B$2:$B$6001,A37,Ticket!$J$2:$J$6001,"&gt;"&amp;0)/C37</f>
        <v>#DIV/0!</v>
      </c>
      <c r="S37" s="42" t="str">
        <f>IFERROR(COUNTIFS(Ticket!$B$2:$B$6001,A37,Ticket!$J$2:$J$6001,0,Ticket!$H$2:$H$6001,"Resolu")/H37,"Agent inactif")</f>
        <v>Agent inactif</v>
      </c>
      <c r="T37" s="41">
        <f t="shared" si="4"/>
        <v>0</v>
      </c>
      <c r="U37" s="47">
        <f>COUNTIF(Productivite!$A$2:$A$5603,A37)</f>
        <v>91</v>
      </c>
      <c r="V37" s="30">
        <f t="shared" si="5"/>
        <v>0.94505494505494503</v>
      </c>
    </row>
    <row r="38" spans="1:22" x14ac:dyDescent="0.35">
      <c r="A38" s="36" t="s">
        <v>6082</v>
      </c>
      <c r="B38" s="37" t="s">
        <v>6083</v>
      </c>
      <c r="C38" s="37">
        <f>SUMIF(Productivite!$A$2:$A$5603,A38,Productivite!$D$2:$D$5603)</f>
        <v>0</v>
      </c>
      <c r="D38" s="38">
        <f>SUMIF(Productivite!$A$2:$A$5603,A38,Productivite!$C$2:$C$5603)</f>
        <v>629.70000000000005</v>
      </c>
      <c r="E38" s="37">
        <f>COUNTIFS(Productivite!$A$2:$A$5603,A38,Productivite!$E$2:$E$5603,"&lt;&gt;Non")</f>
        <v>10</v>
      </c>
      <c r="F38" s="38" t="str">
        <f>IFERROR(AVERAGEIF(Ticket!$B$2:$B$6003,A38,Ticket!$M$2:$M$6003),"Agent inactif")</f>
        <v>Agent inactif</v>
      </c>
      <c r="G38" s="38" t="str">
        <f>IFERROR(AVERAGEIF(Ticket!$B$2:$B$6003,A38,Ticket!$K$2:$K$6003),"Agent inactif")</f>
        <v>Agent inactif</v>
      </c>
      <c r="H38" s="37">
        <f>COUNTIF(Ticket!$B$2:$B$6003,A38)</f>
        <v>0</v>
      </c>
      <c r="I38" s="39" t="str">
        <f t="shared" si="0"/>
        <v>Agent inactif</v>
      </c>
      <c r="J38" s="37">
        <f t="shared" si="1"/>
        <v>0</v>
      </c>
      <c r="K38" s="39" t="str">
        <f>IFERROR(AVERAGEIF(Ticket!$B$2:$B$6001,A38,Ticket!$N$2:$N$6001),"Agent inactif")</f>
        <v>Agent inactif</v>
      </c>
      <c r="L38" s="37">
        <f>COUNTIFS(Ticket!$B$2:$B$6001,A38,Ticket!$F$2:$F$6001,"Bug technique")
+COUNTIFS(Ticket!$B$2:$B$6001,A38,Ticket!$F$2:$F$6001,"Problème de connexion")
+COUNTIFS(Ticket!$B$2:$B$6001,A38,Ticket!$F$2:$F$6001,"Question facturation")</f>
        <v>0</v>
      </c>
      <c r="M38" s="39" t="str">
        <f t="shared" si="2"/>
        <v>Agent inactif</v>
      </c>
      <c r="N38" s="38" t="str">
        <f>IFERROR(AVERAGEIF(Enquetes_Satisfaction!$G$2:$G$2202,A38,Enquetes_Satisfaction!$D$2:$D$2202),"Agent inactif")</f>
        <v>Agent inactif</v>
      </c>
      <c r="O38" s="38" t="str">
        <f>IFERROR(AVERAGEIF(Enquetes_Satisfaction!$G$2:$G$2202,A38,Enquetes_Satisfaction!$E$2:$E$2202),"Agent inactif")</f>
        <v>Agent inactif</v>
      </c>
      <c r="P38" s="38" t="str">
        <f t="shared" si="3"/>
        <v>Agent inactif</v>
      </c>
      <c r="Q38" s="46" t="str">
        <f>IFERROR(COUNTIFS(Ticket!$B$2:$B$6001,A38,Ticket!$H$2:$H$6001,"Resolu")/(COUNTIFS(Ticket!$B$2:$B$6001,A38,Ticket!$H$2:$H$6001,"Non Resolu")+COUNTIFS(Ticket!$B$2:$B$6001,A38,Ticket!$H$2:$H$6001,"Resolu")+COUNTIFS(Ticket!$B$2:$B$6001,A38,Ticket!$H$2:$H$6001,"Ferme sans resolution")),"Agent inactif")</f>
        <v>Agent inactif</v>
      </c>
      <c r="R38" s="39" t="e">
        <f>COUNTIFS(Ticket!$B$2:$B$6001,A38,Ticket!$J$2:$J$6001,"&gt;"&amp;0)/C38</f>
        <v>#DIV/0!</v>
      </c>
      <c r="S38" s="39" t="str">
        <f>IFERROR(COUNTIFS(Ticket!$B$2:$B$6001,A38,Ticket!$J$2:$J$6001,0,Ticket!$H$2:$H$6001,"Resolu")/H38,"Agent inactif")</f>
        <v>Agent inactif</v>
      </c>
      <c r="T38" s="38">
        <f t="shared" si="4"/>
        <v>0</v>
      </c>
      <c r="U38" s="47">
        <f>COUNTIF(Productivite!$A$2:$A$5603,A38)</f>
        <v>101</v>
      </c>
      <c r="V38" s="30">
        <f t="shared" si="5"/>
        <v>0.90099009900990101</v>
      </c>
    </row>
    <row r="39" spans="1:22" x14ac:dyDescent="0.35">
      <c r="A39" s="43" t="s">
        <v>6089</v>
      </c>
      <c r="B39" s="40" t="s">
        <v>6090</v>
      </c>
      <c r="C39" s="37">
        <f>SUMIF(Productivite!$A$2:$A$5603,A39,Productivite!$D$2:$D$5603)</f>
        <v>0</v>
      </c>
      <c r="D39" s="38">
        <f>SUMIF(Productivite!$A$2:$A$5603,A39,Productivite!$C$2:$C$5603)</f>
        <v>680.60000000000025</v>
      </c>
      <c r="E39" s="37">
        <f>COUNTIFS(Productivite!$A$2:$A$5603,A39,Productivite!$E$2:$E$5603,"&lt;&gt;Non")</f>
        <v>17</v>
      </c>
      <c r="F39" s="38" t="str">
        <f>IFERROR(AVERAGEIF(Ticket!$B$2:$B$6003,A39,Ticket!$M$2:$M$6003),"Agent inactif")</f>
        <v>Agent inactif</v>
      </c>
      <c r="G39" s="38" t="str">
        <f>IFERROR(AVERAGEIF(Ticket!$B$2:$B$6003,A39,Ticket!$K$2:$K$6003),"Agent inactif")</f>
        <v>Agent inactif</v>
      </c>
      <c r="H39" s="37">
        <f>COUNTIF(Ticket!$B$2:$B$6003,A39)</f>
        <v>0</v>
      </c>
      <c r="I39" s="39" t="str">
        <f t="shared" si="0"/>
        <v>Agent inactif</v>
      </c>
      <c r="J39" s="37">
        <f t="shared" si="1"/>
        <v>0</v>
      </c>
      <c r="K39" s="39" t="str">
        <f>IFERROR(AVERAGEIF(Ticket!$B$2:$B$6001,A39,Ticket!$N$2:$N$6001),"Agent inactif")</f>
        <v>Agent inactif</v>
      </c>
      <c r="L39" s="37">
        <f>COUNTIFS(Ticket!$B$2:$B$6001,A39,Ticket!$F$2:$F$6001,"Bug technique")
+COUNTIFS(Ticket!$B$2:$B$6001,A39,Ticket!$F$2:$F$6001,"Problème de connexion")
+COUNTIFS(Ticket!$B$2:$B$6001,A39,Ticket!$F$2:$F$6001,"Question facturation")</f>
        <v>0</v>
      </c>
      <c r="M39" s="39" t="str">
        <f t="shared" si="2"/>
        <v>Agent inactif</v>
      </c>
      <c r="N39" s="38" t="str">
        <f>IFERROR(AVERAGEIF(Enquetes_Satisfaction!$G$2:$G$2202,A39,Enquetes_Satisfaction!$D$2:$D$2202),"Agent inactif")</f>
        <v>Agent inactif</v>
      </c>
      <c r="O39" s="38" t="str">
        <f>IFERROR(AVERAGEIF(Enquetes_Satisfaction!$G$2:$G$2202,A39,Enquetes_Satisfaction!$E$2:$E$2202),"Agent inactif")</f>
        <v>Agent inactif</v>
      </c>
      <c r="P39" s="38" t="str">
        <f t="shared" si="3"/>
        <v>Agent inactif</v>
      </c>
      <c r="Q39" s="46" t="str">
        <f>IFERROR(COUNTIFS(Ticket!$B$2:$B$6001,A39,Ticket!$H$2:$H$6001,"Resolu")/(COUNTIFS(Ticket!$B$2:$B$6001,A39,Ticket!$H$2:$H$6001,"Non Resolu")+COUNTIFS(Ticket!$B$2:$B$6001,A39,Ticket!$H$2:$H$6001,"Resolu")+COUNTIFS(Ticket!$B$2:$B$6001,A39,Ticket!$H$2:$H$6001,"Ferme sans resolution")),"Agent inactif")</f>
        <v>Agent inactif</v>
      </c>
      <c r="R39" s="42" t="e">
        <f>COUNTIFS(Ticket!$B$2:$B$6001,A39,Ticket!$J$2:$J$6001,"&gt;"&amp;0)/C39</f>
        <v>#DIV/0!</v>
      </c>
      <c r="S39" s="42" t="str">
        <f>IFERROR(COUNTIFS(Ticket!$B$2:$B$6001,A39,Ticket!$J$2:$J$6001,0,Ticket!$H$2:$H$6001,"Resolu")/H39,"Agent inactif")</f>
        <v>Agent inactif</v>
      </c>
      <c r="T39" s="41">
        <f t="shared" si="4"/>
        <v>0</v>
      </c>
      <c r="U39" s="47">
        <f>COUNTIF(Productivite!$A$2:$A$5603,A39)</f>
        <v>108</v>
      </c>
      <c r="V39" s="30">
        <f t="shared" si="5"/>
        <v>0.84259259259259256</v>
      </c>
    </row>
    <row r="40" spans="1:22" x14ac:dyDescent="0.35">
      <c r="A40" s="36" t="s">
        <v>6097</v>
      </c>
      <c r="B40" s="37" t="s">
        <v>6098</v>
      </c>
      <c r="C40" s="37">
        <f>SUMIF(Productivite!$A$2:$A$5603,A40,Productivite!$D$2:$D$5603)</f>
        <v>0</v>
      </c>
      <c r="D40" s="38">
        <f>SUMIF(Productivite!$A$2:$A$5603,A40,Productivite!$C$2:$C$5603)</f>
        <v>616.1</v>
      </c>
      <c r="E40" s="37">
        <f>COUNTIFS(Productivite!$A$2:$A$5603,A40,Productivite!$E$2:$E$5603,"&lt;&gt;Non")</f>
        <v>12</v>
      </c>
      <c r="F40" s="38" t="str">
        <f>IFERROR(AVERAGEIF(Ticket!$B$2:$B$6003,A40,Ticket!$M$2:$M$6003),"Agent inactif")</f>
        <v>Agent inactif</v>
      </c>
      <c r="G40" s="38" t="str">
        <f>IFERROR(AVERAGEIF(Ticket!$B$2:$B$6003,A40,Ticket!$K$2:$K$6003),"Agent inactif")</f>
        <v>Agent inactif</v>
      </c>
      <c r="H40" s="37">
        <f>COUNTIF(Ticket!$B$2:$B$6003,A40)</f>
        <v>0</v>
      </c>
      <c r="I40" s="39" t="str">
        <f t="shared" si="0"/>
        <v>Agent inactif</v>
      </c>
      <c r="J40" s="37">
        <f t="shared" si="1"/>
        <v>0</v>
      </c>
      <c r="K40" s="39" t="str">
        <f>IFERROR(AVERAGEIF(Ticket!$B$2:$B$6001,A40,Ticket!$N$2:$N$6001),"Agent inactif")</f>
        <v>Agent inactif</v>
      </c>
      <c r="L40" s="37">
        <f>COUNTIFS(Ticket!$B$2:$B$6001,A40,Ticket!$F$2:$F$6001,"Bug technique")
+COUNTIFS(Ticket!$B$2:$B$6001,A40,Ticket!$F$2:$F$6001,"Problème de connexion")
+COUNTIFS(Ticket!$B$2:$B$6001,A40,Ticket!$F$2:$F$6001,"Question facturation")</f>
        <v>0</v>
      </c>
      <c r="M40" s="39" t="str">
        <f t="shared" si="2"/>
        <v>Agent inactif</v>
      </c>
      <c r="N40" s="38" t="str">
        <f>IFERROR(AVERAGEIF(Enquetes_Satisfaction!$G$2:$G$2202,A40,Enquetes_Satisfaction!$D$2:$D$2202),"Agent inactif")</f>
        <v>Agent inactif</v>
      </c>
      <c r="O40" s="38" t="str">
        <f>IFERROR(AVERAGEIF(Enquetes_Satisfaction!$G$2:$G$2202,A40,Enquetes_Satisfaction!$E$2:$E$2202),"Agent inactif")</f>
        <v>Agent inactif</v>
      </c>
      <c r="P40" s="38" t="str">
        <f t="shared" si="3"/>
        <v>Agent inactif</v>
      </c>
      <c r="Q40" s="46" t="str">
        <f>IFERROR(COUNTIFS(Ticket!$B$2:$B$6001,A40,Ticket!$H$2:$H$6001,"Resolu")/(COUNTIFS(Ticket!$B$2:$B$6001,A40,Ticket!$H$2:$H$6001,"Non Resolu")+COUNTIFS(Ticket!$B$2:$B$6001,A40,Ticket!$H$2:$H$6001,"Resolu")+COUNTIFS(Ticket!$B$2:$B$6001,A40,Ticket!$H$2:$H$6001,"Ferme sans resolution")),"Agent inactif")</f>
        <v>Agent inactif</v>
      </c>
      <c r="R40" s="39" t="e">
        <f>COUNTIFS(Ticket!$B$2:$B$6001,A40,Ticket!$J$2:$J$6001,"&gt;"&amp;0)/C40</f>
        <v>#DIV/0!</v>
      </c>
      <c r="S40" s="39" t="str">
        <f>IFERROR(COUNTIFS(Ticket!$B$2:$B$6001,A40,Ticket!$J$2:$J$6001,0,Ticket!$H$2:$H$6001,"Resolu")/H40,"Agent inactif")</f>
        <v>Agent inactif</v>
      </c>
      <c r="T40" s="38">
        <f t="shared" si="4"/>
        <v>0</v>
      </c>
      <c r="U40" s="47">
        <f>COUNTIF(Productivite!$A$2:$A$5603,A40)</f>
        <v>100</v>
      </c>
      <c r="V40" s="30">
        <f t="shared" si="5"/>
        <v>0.88</v>
      </c>
    </row>
    <row r="41" spans="1:22" x14ac:dyDescent="0.35">
      <c r="A41" s="35" t="s">
        <v>6118</v>
      </c>
      <c r="B41" s="34" t="s">
        <v>6119</v>
      </c>
      <c r="C41" s="33">
        <f>SUMIF(Productivite!$A$2:$A$5603,A41,Productivite!$D$2:$D$5603)</f>
        <v>0</v>
      </c>
      <c r="D41" s="48">
        <f>SUMIF(Productivite!$A$2:$A$5603,A41,Productivite!$C$2:$C$5603)</f>
        <v>635.99999999999989</v>
      </c>
      <c r="E41" s="33">
        <f>COUNTIFS(Productivite!$A$2:$A$5603,A41,Productivite!$E$2:$E$5603,"&lt;&gt;Non")</f>
        <v>9</v>
      </c>
      <c r="F41" s="48" t="str">
        <f>IFERROR(AVERAGEIF(Ticket!$B$2:$B$6003,A41,Ticket!$M$2:$M$6003),"Agent inactif")</f>
        <v>Agent inactif</v>
      </c>
      <c r="G41" s="48" t="str">
        <f>IFERROR(AVERAGEIF(Ticket!$B$2:$B$6003,A41,Ticket!$K$2:$K$6003),"Agent inactif")</f>
        <v>Agent inactif</v>
      </c>
      <c r="H41" s="33">
        <f>COUNTIF(Ticket!$B$2:$B$6003,A41)</f>
        <v>0</v>
      </c>
      <c r="I41" s="49" t="str">
        <f t="shared" si="0"/>
        <v>Agent inactif</v>
      </c>
      <c r="J41" s="33">
        <f t="shared" si="1"/>
        <v>0</v>
      </c>
      <c r="K41" s="49" t="str">
        <f>IFERROR(AVERAGEIF(Ticket!$B$2:$B$6001,A41,Ticket!$N$2:$N$6001),"Agent inactif")</f>
        <v>Agent inactif</v>
      </c>
      <c r="L41" s="33">
        <f>COUNTIFS(Ticket!$B$2:$B$6001,A41,Ticket!$F$2:$F$6001,"Bug technique")
+COUNTIFS(Ticket!$B$2:$B$6001,A41,Ticket!$F$2:$F$6001,"Problème de connexion")
+COUNTIFS(Ticket!$B$2:$B$6001,A41,Ticket!$F$2:$F$6001,"Question facturation")</f>
        <v>0</v>
      </c>
      <c r="M41" s="49" t="str">
        <f t="shared" si="2"/>
        <v>Agent inactif</v>
      </c>
      <c r="N41" s="48" t="str">
        <f>IFERROR(AVERAGEIF(Enquetes_Satisfaction!$G$2:$G$2202,A41,Enquetes_Satisfaction!$D$2:$D$2202),"Agent inactif")</f>
        <v>Agent inactif</v>
      </c>
      <c r="O41" s="48" t="str">
        <f>IFERROR(AVERAGEIF(Enquetes_Satisfaction!$G$2:$G$2202,A41,Enquetes_Satisfaction!$E$2:$E$2202),"Agent inactif")</f>
        <v>Agent inactif</v>
      </c>
      <c r="P41" s="48" t="str">
        <f t="shared" si="3"/>
        <v>Agent inactif</v>
      </c>
      <c r="Q41" s="50" t="str">
        <f>IFERROR(COUNTIFS(Ticket!$B$2:$B$6001,A41,Ticket!$H$2:$H$6001,"Resolu")/(COUNTIFS(Ticket!$B$2:$B$6001,A41,Ticket!$H$2:$H$6001,"Non Resolu")+COUNTIFS(Ticket!$B$2:$B$6001,A41,Ticket!$H$2:$H$6001,"Resolu")+COUNTIFS(Ticket!$B$2:$B$6001,A41,Ticket!$H$2:$H$6001,"Ferme sans resolution")),"Agent inactif")</f>
        <v>Agent inactif</v>
      </c>
      <c r="R41" s="45" t="e">
        <f>COUNTIFS(Ticket!$B$2:$B$6001,A41,Ticket!$J$2:$J$6001,"&gt;"&amp;0)/C41</f>
        <v>#DIV/0!</v>
      </c>
      <c r="S41" s="45" t="str">
        <f>IFERROR(COUNTIFS(Ticket!$B$2:$B$6001,A41,Ticket!$J$2:$J$6001,0,Ticket!$H$2:$H$6001,"Resolu")/H41,"Agent inactif")</f>
        <v>Agent inactif</v>
      </c>
      <c r="T41" s="44">
        <f t="shared" si="4"/>
        <v>0</v>
      </c>
      <c r="U41" s="47">
        <f>COUNTIF(Productivite!$A$2:$A$5603,A41)</f>
        <v>103</v>
      </c>
      <c r="V41" s="30">
        <f t="shared" si="5"/>
        <v>0.91262135922330101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B5DF8A-7A42-4D4A-A3C9-A0BCCC63D9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Agent</vt:lpstr>
      <vt:lpstr>Productivite</vt:lpstr>
      <vt:lpstr>Enquetes_Satisfaction</vt:lpstr>
      <vt:lpstr>Ticket</vt:lpstr>
      <vt:lpstr>Dim Date</vt:lpstr>
      <vt:lpstr>suivi_KPI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Ilyies LERHZAL</cp:lastModifiedBy>
  <dcterms:created xsi:type="dcterms:W3CDTF">2026-08-01T15:56:02Z</dcterms:created>
  <dcterms:modified xsi:type="dcterms:W3CDTF">2026-08-02T14:18:56Z</dcterms:modified>
</cp:coreProperties>
</file>